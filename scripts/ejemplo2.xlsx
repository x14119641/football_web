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externalReferences>
    <externalReference r:id="rId4"/>
  </externalReference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<sst xmlns="http://schemas.openxmlformats.org/spreadsheetml/2006/main" count="22" uniqueCount="22">
  <si>
    <t xml:space="preserve">Nº</t>
  </si>
  <si>
    <t xml:space="preserve">Nombre</t>
  </si>
  <si>
    <t xml:space="preserve">Equipo_Actual</t>
  </si>
  <si>
    <t xml:space="preserve">Nacionalidad</t>
  </si>
  <si>
    <t xml:space="preserve">Segunda Nacionalidad</t>
  </si>
  <si>
    <t xml:space="preserve">Posición</t>
  </si>
  <si>
    <t xml:space="preserve">Media_Jugador</t>
  </si>
  <si>
    <t xml:space="preserve">Edad</t>
  </si>
  <si>
    <t xml:space="preserve">Valor</t>
  </si>
  <si>
    <t xml:space="preserve">Precio_Mercado</t>
  </si>
  <si>
    <t xml:space="preserve">Salario</t>
  </si>
  <si>
    <t xml:space="preserve">Contrato</t>
  </si>
  <si>
    <t xml:space="preserve">Cláusula</t>
  </si>
  <si>
    <t xml:space="preserve">Importancia_Deportiva</t>
  </si>
  <si>
    <t xml:space="preserve">Filial</t>
  </si>
  <si>
    <t xml:space="preserve">Origen_Formativo</t>
  </si>
  <si>
    <t xml:space="preserve">Nuevo fichaje</t>
  </si>
  <si>
    <t xml:space="preserve">Repu. Equipo</t>
  </si>
  <si>
    <t xml:space="preserve">Multiplicador_Edad</t>
  </si>
  <si>
    <t xml:space="preserve">Multiplicador_deportivo</t>
  </si>
  <si>
    <t xml:space="preserve">Multiplicador Posicion</t>
  </si>
  <si>
    <t xml:space="preserve">Alemania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</si>
</sst>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_-* #,##0.00_-;\-* #,##0.00_-;_-* \-??_-;_-@_-"/>
    <numFmt numFmtId="166" formatCode="_-* #,##0_-;\-* #,##0_-;_-* \-??_-;_-@_-"/>
  </numFmts>
  <fonts count="5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theme="1"/>
      <name val="Calibri"/>
      <family val="2"/>
      <charset val="1"/>
    </font>
  </fonts>
  <fills count="4">
    <fill>
      <patternFill patternType="none"/>
    </fill>
    <fill>
      <patternFill patternType="gray125"/>
    </fill>
    <fill>
      <patternFill patternType="solid">
        <fgColor theme="8" tint="0.5999"/>
        <bgColor rgb="FF99CCFF"/>
      </patternFill>
    </fill>
    <fill>
      <patternFill patternType="solid">
        <fgColor theme="9" tint="0.7999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165" fontId="0" fillId="0" borderId="0" applyFont="fals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3" borderId="0" xfId="0" applyFont="true" applyBorder="false" applyAlignment="false" applyProtection="true">
      <alignment horizontal="general" vertical="bottom" textRotation="0" wrapText="false" indent="0" shrinkToFit="false"/>
      <protection locked="fals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false" hidden="false"/>
    </xf>
    <xf numFmtId="164" fontId="4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4" fillId="3" borderId="0" xfId="15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right" vertical="bottom" textRotation="0" wrapText="false" indent="0" shrinkToFit="false"/>
      <protection locked="false" hidden="false"/>
    </xf>
    <xf numFmtId="164" fontId="4" fillId="3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right" vertical="bottom" textRotation="0" wrapText="false" indent="0" shrinkToFit="false"/>
      <protection locked="false" hidden="false"/>
    </xf>
    <xf numFmtId="164" fontId="4" fillId="3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">
    <dxf>
      <fill>
        <patternFill>
          <bgColor rgb="FFFF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BDD7E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F0D9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externalLink" Target="externalLinks/externalLink1.xml"/><Relationship Id="rId5" Type="http://schemas.openxmlformats.org/officeDocument/2006/relationships/sharedStrings" Target="sharedStrings.xml"/>
</Relationships>
</file>

<file path=xl/externalLinks/_rels/externalLink1.xml.rels><?xml version="1.0" encoding="UTF-8"?>
<Relationships xmlns="http://schemas.openxmlformats.org/package/2006/relationships"><Relationship Id="rId1" Type="http://schemas.openxmlformats.org/officeDocument/2006/relationships/externalLinkPath" Target="../../Downloads/Mercado%20CPU%20(1).xlsx" TargetMode="External"/>
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Listado_Jugadores"/>
      <sheetName val="Estado_Equipos"/>
      <sheetName val="Voluntad_Jugadores"/>
      <sheetName val="Mercado_Humano (OBJ DIFERENTES)"/>
      <sheetName val="Jugadores_en_venta"/>
      <sheetName val="Mercado_Venta (OBJ IGUALES)"/>
      <sheetName val="Fichajes_Realizados"/>
      <sheetName val="Reglas"/>
      <sheetName val="Base_Jugadores"/>
    </sheetNames>
    <sheetDataSet>
      <sheetData sheetId="0"/>
      <sheetData sheetId="1">
        <row r="2">
          <cell r="A2" t="str">
            <v>Deportivo Alavés</v>
          </cell>
        </row>
        <row r="2">
          <cell r="J2">
            <v>72</v>
          </cell>
        </row>
        <row r="3">
          <cell r="A3" t="str">
            <v>Athletic Club</v>
          </cell>
        </row>
        <row r="3">
          <cell r="J3">
            <v>81</v>
          </cell>
        </row>
        <row r="4">
          <cell r="A4" t="str">
            <v>Atlético de Madrid</v>
          </cell>
        </row>
        <row r="4">
          <cell r="J4">
            <v>83</v>
          </cell>
        </row>
        <row r="5">
          <cell r="A5" t="str">
            <v>B-Team</v>
          </cell>
        </row>
        <row r="5">
          <cell r="J5">
            <v>74</v>
          </cell>
        </row>
        <row r="6">
          <cell r="A6" t="str">
            <v>FC Barcelona</v>
          </cell>
        </row>
        <row r="6">
          <cell r="J6">
            <v>83</v>
          </cell>
        </row>
        <row r="7">
          <cell r="A7" t="str">
            <v>Real Betis</v>
          </cell>
        </row>
        <row r="7">
          <cell r="J7">
            <v>78</v>
          </cell>
        </row>
        <row r="8">
          <cell r="A8" t="str">
            <v>RC Celta de Vigo</v>
          </cell>
        </row>
        <row r="8">
          <cell r="J8">
            <v>75</v>
          </cell>
        </row>
        <row r="9">
          <cell r="A9" t="str">
            <v>RCD Espanyol</v>
          </cell>
        </row>
        <row r="9">
          <cell r="J9">
            <v>71</v>
          </cell>
        </row>
        <row r="10">
          <cell r="A10" t="str">
            <v>Getafe CF</v>
          </cell>
        </row>
        <row r="10">
          <cell r="J10">
            <v>72</v>
          </cell>
        </row>
        <row r="11">
          <cell r="A11" t="str">
            <v>Girona FC</v>
          </cell>
        </row>
        <row r="11">
          <cell r="J11">
            <v>76</v>
          </cell>
        </row>
        <row r="12">
          <cell r="A12" t="str">
            <v>FC Hispano</v>
          </cell>
        </row>
        <row r="12">
          <cell r="J12">
            <v>74</v>
          </cell>
        </row>
        <row r="13">
          <cell r="A13" t="str">
            <v>Real Madrid CF</v>
          </cell>
        </row>
        <row r="13">
          <cell r="J13">
            <v>85</v>
          </cell>
        </row>
        <row r="14">
          <cell r="A14" t="str">
            <v>RCD Mallorca</v>
          </cell>
        </row>
        <row r="14">
          <cell r="J14">
            <v>74</v>
          </cell>
        </row>
        <row r="15">
          <cell r="A15" t="str">
            <v>Mercadona FC</v>
          </cell>
        </row>
        <row r="15">
          <cell r="J15">
            <v>74</v>
          </cell>
        </row>
        <row r="16">
          <cell r="A16" t="str">
            <v>CA Osasuna</v>
          </cell>
        </row>
        <row r="16">
          <cell r="J16">
            <v>73</v>
          </cell>
        </row>
        <row r="17">
          <cell r="A17" t="str">
            <v>Rayo Vallecano</v>
          </cell>
        </row>
        <row r="17">
          <cell r="J17">
            <v>74</v>
          </cell>
        </row>
        <row r="18">
          <cell r="A18" t="str">
            <v>Real Sociedad</v>
          </cell>
        </row>
        <row r="18">
          <cell r="J18">
            <v>74</v>
          </cell>
        </row>
        <row r="19">
          <cell r="A19" t="str">
            <v>CE Sabadell</v>
          </cell>
        </row>
        <row r="19">
          <cell r="J19">
            <v>74</v>
          </cell>
        </row>
        <row r="20">
          <cell r="A20" t="str">
            <v>Valencia CF</v>
          </cell>
        </row>
        <row r="20">
          <cell r="J20">
            <v>75</v>
          </cell>
        </row>
        <row r="21">
          <cell r="A21" t="str">
            <v>Villarreal CF</v>
          </cell>
        </row>
        <row r="21">
          <cell r="J21">
            <v>77</v>
          </cell>
        </row>
        <row r="22">
          <cell r="A22" t="str">
            <v>Arsenal FC</v>
          </cell>
        </row>
        <row r="22">
          <cell r="J22">
            <v>84</v>
          </cell>
        </row>
        <row r="23">
          <cell r="A23" t="str">
            <v>Aston Villa</v>
          </cell>
        </row>
        <row r="23">
          <cell r="J23">
            <v>81</v>
          </cell>
        </row>
        <row r="24">
          <cell r="A24" t="str">
            <v>AFC Bournemouth</v>
          </cell>
        </row>
        <row r="24">
          <cell r="J24">
            <v>74</v>
          </cell>
        </row>
        <row r="25">
          <cell r="A25" t="str">
            <v>Brentford FC</v>
          </cell>
        </row>
        <row r="25">
          <cell r="J25">
            <v>72</v>
          </cell>
        </row>
        <row r="26">
          <cell r="A26" t="str">
            <v>Brighton &amp; Hove Albion</v>
          </cell>
        </row>
        <row r="26">
          <cell r="J26">
            <v>76</v>
          </cell>
        </row>
        <row r="27">
          <cell r="A27" t="str">
            <v>Burnley FC</v>
          </cell>
        </row>
        <row r="27">
          <cell r="J27">
            <v>73</v>
          </cell>
        </row>
        <row r="28">
          <cell r="A28" t="str">
            <v>Chelsea FC</v>
          </cell>
        </row>
        <row r="28">
          <cell r="J28">
            <v>81</v>
          </cell>
        </row>
        <row r="29">
          <cell r="A29" t="str">
            <v>Crystal Palace</v>
          </cell>
        </row>
        <row r="29">
          <cell r="J29">
            <v>74</v>
          </cell>
        </row>
        <row r="30">
          <cell r="A30" t="str">
            <v>Everton FC</v>
          </cell>
        </row>
        <row r="30">
          <cell r="J30">
            <v>74</v>
          </cell>
        </row>
        <row r="31">
          <cell r="A31" t="str">
            <v>Fulham FC</v>
          </cell>
        </row>
        <row r="31">
          <cell r="J31">
            <v>75</v>
          </cell>
        </row>
        <row r="32">
          <cell r="A32" t="str">
            <v>Leeds United</v>
          </cell>
        </row>
        <row r="32">
          <cell r="J32">
            <v>75</v>
          </cell>
        </row>
        <row r="33">
          <cell r="A33" t="str">
            <v>Liverpool FC</v>
          </cell>
        </row>
        <row r="33">
          <cell r="J33">
            <v>84</v>
          </cell>
        </row>
        <row r="34">
          <cell r="A34" t="str">
            <v>Manchester City</v>
          </cell>
        </row>
        <row r="34">
          <cell r="J34">
            <v>84</v>
          </cell>
        </row>
        <row r="35">
          <cell r="A35" t="str">
            <v>Manchester United</v>
          </cell>
        </row>
        <row r="35">
          <cell r="J35">
            <v>76</v>
          </cell>
        </row>
        <row r="36">
          <cell r="A36" t="str">
            <v>Newclastle United</v>
          </cell>
        </row>
        <row r="36">
          <cell r="J36">
            <v>77</v>
          </cell>
        </row>
        <row r="37">
          <cell r="A37" t="str">
            <v>Nottingham Forest</v>
          </cell>
        </row>
        <row r="37">
          <cell r="J37">
            <v>77</v>
          </cell>
        </row>
        <row r="38">
          <cell r="A38" t="str">
            <v>Sunderland AFC</v>
          </cell>
        </row>
        <row r="38">
          <cell r="J38">
            <v>72</v>
          </cell>
        </row>
        <row r="39">
          <cell r="A39" t="str">
            <v>Tottenham Hotspur</v>
          </cell>
        </row>
        <row r="39">
          <cell r="J39">
            <v>78</v>
          </cell>
        </row>
        <row r="40">
          <cell r="A40" t="str">
            <v>West Ham United</v>
          </cell>
        </row>
        <row r="40">
          <cell r="J40">
            <v>75</v>
          </cell>
        </row>
        <row r="41">
          <cell r="A41" t="str">
            <v>Wolverhampton W.</v>
          </cell>
        </row>
        <row r="41">
          <cell r="J41">
            <v>74</v>
          </cell>
        </row>
        <row r="42">
          <cell r="A42" t="str">
            <v>Atalanta BC</v>
          </cell>
        </row>
        <row r="42">
          <cell r="J42">
            <v>76</v>
          </cell>
        </row>
        <row r="43">
          <cell r="A43" t="str">
            <v>Bolonia</v>
          </cell>
        </row>
        <row r="43">
          <cell r="J43">
            <v>75</v>
          </cell>
        </row>
        <row r="44">
          <cell r="A44" t="str">
            <v>Cagliari</v>
          </cell>
        </row>
        <row r="44">
          <cell r="J44">
            <v>71</v>
          </cell>
        </row>
        <row r="45">
          <cell r="A45" t="str">
            <v>Como 1907</v>
          </cell>
        </row>
        <row r="45">
          <cell r="J45">
            <v>73</v>
          </cell>
        </row>
        <row r="46">
          <cell r="A46" t="str">
            <v>US Cremonese</v>
          </cell>
        </row>
        <row r="46">
          <cell r="J46">
            <v>71</v>
          </cell>
        </row>
        <row r="47">
          <cell r="A47" t="str">
            <v>Fiorentina</v>
          </cell>
        </row>
        <row r="47">
          <cell r="J47">
            <v>74</v>
          </cell>
        </row>
        <row r="48">
          <cell r="A48" t="str">
            <v>Génova</v>
          </cell>
        </row>
        <row r="48">
          <cell r="J48">
            <v>70</v>
          </cell>
        </row>
        <row r="49">
          <cell r="A49" t="str">
            <v>Hellas Verona</v>
          </cell>
        </row>
        <row r="49">
          <cell r="J49">
            <v>71</v>
          </cell>
        </row>
        <row r="50">
          <cell r="A50" t="str">
            <v>Inter de Milán</v>
          </cell>
        </row>
        <row r="50">
          <cell r="J50">
            <v>78</v>
          </cell>
        </row>
        <row r="51">
          <cell r="A51" t="str">
            <v>Juventus de Turín</v>
          </cell>
        </row>
        <row r="51">
          <cell r="J51">
            <v>77</v>
          </cell>
        </row>
        <row r="52">
          <cell r="A52" t="str">
            <v>SS Lazio</v>
          </cell>
        </row>
        <row r="52">
          <cell r="J52">
            <v>76</v>
          </cell>
        </row>
        <row r="53">
          <cell r="A53" t="str">
            <v>US Lecce</v>
          </cell>
        </row>
        <row r="53">
          <cell r="J53">
            <v>69</v>
          </cell>
        </row>
        <row r="54">
          <cell r="A54" t="str">
            <v>AC Milan</v>
          </cell>
        </row>
        <row r="54">
          <cell r="J54">
            <v>77</v>
          </cell>
        </row>
        <row r="55">
          <cell r="A55" t="str">
            <v>SSC Nápoles</v>
          </cell>
        </row>
        <row r="55">
          <cell r="J55">
            <v>77</v>
          </cell>
        </row>
        <row r="56">
          <cell r="A56" t="str">
            <v>Palermo</v>
          </cell>
        </row>
        <row r="56">
          <cell r="J56">
            <v>70</v>
          </cell>
        </row>
        <row r="57">
          <cell r="A57" t="str">
            <v>Parma</v>
          </cell>
        </row>
        <row r="57">
          <cell r="J57">
            <v>72</v>
          </cell>
        </row>
        <row r="58">
          <cell r="A58" t="str">
            <v>AS Roma</v>
          </cell>
        </row>
        <row r="58">
          <cell r="J58">
            <v>76</v>
          </cell>
        </row>
        <row r="59">
          <cell r="A59" t="str">
            <v>US Sassuolo</v>
          </cell>
        </row>
        <row r="59">
          <cell r="J59">
            <v>71</v>
          </cell>
        </row>
        <row r="60">
          <cell r="A60" t="str">
            <v>Torino FC</v>
          </cell>
        </row>
        <row r="60">
          <cell r="J60">
            <v>73</v>
          </cell>
        </row>
        <row r="61">
          <cell r="A61" t="str">
            <v>Udinese</v>
          </cell>
        </row>
        <row r="61">
          <cell r="J61">
            <v>70</v>
          </cell>
        </row>
        <row r="62">
          <cell r="A62" t="str">
            <v>FC Augsburgo</v>
          </cell>
        </row>
        <row r="62">
          <cell r="J62">
            <v>72</v>
          </cell>
        </row>
        <row r="63">
          <cell r="A63" t="str">
            <v>Bayer 04 Leverkusen</v>
          </cell>
        </row>
        <row r="63">
          <cell r="J63">
            <v>76</v>
          </cell>
        </row>
        <row r="64">
          <cell r="A64" t="str">
            <v>Bayern Múnich</v>
          </cell>
        </row>
        <row r="64">
          <cell r="J64">
            <v>82</v>
          </cell>
        </row>
        <row r="65">
          <cell r="A65" t="str">
            <v>VfL Bochum</v>
          </cell>
        </row>
        <row r="65">
          <cell r="J65">
            <v>70</v>
          </cell>
        </row>
        <row r="66">
          <cell r="A66" t="str">
            <v>Borussia Dortmund</v>
          </cell>
        </row>
        <row r="66">
          <cell r="J66">
            <v>77</v>
          </cell>
        </row>
        <row r="67">
          <cell r="A67" t="str">
            <v>Borussia Mönchengladbach</v>
          </cell>
        </row>
        <row r="67">
          <cell r="J67">
            <v>71</v>
          </cell>
        </row>
        <row r="68">
          <cell r="A68" t="str">
            <v>Eintracht Fráncfort</v>
          </cell>
        </row>
        <row r="68">
          <cell r="J68">
            <v>74</v>
          </cell>
        </row>
        <row r="69">
          <cell r="A69" t="str">
            <v>SC Friburgo</v>
          </cell>
        </row>
        <row r="69">
          <cell r="J69">
            <v>73</v>
          </cell>
        </row>
        <row r="70">
          <cell r="A70" t="str">
            <v>1. FC Heidenheim 1846</v>
          </cell>
        </row>
        <row r="70">
          <cell r="J70">
            <v>71</v>
          </cell>
        </row>
        <row r="71">
          <cell r="A71" t="str">
            <v>TSG 1899 Hoffenheim</v>
          </cell>
        </row>
        <row r="71">
          <cell r="J71">
            <v>72</v>
          </cell>
        </row>
        <row r="72">
          <cell r="A72" t="str">
            <v>Holstein Kiel</v>
          </cell>
        </row>
        <row r="72">
          <cell r="J72">
            <v>69</v>
          </cell>
        </row>
        <row r="73">
          <cell r="A73" t="str">
            <v>1. FSV Mainz 05</v>
          </cell>
        </row>
        <row r="73">
          <cell r="J73">
            <v>70</v>
          </cell>
        </row>
        <row r="74">
          <cell r="A74" t="str">
            <v>RB Leipzig</v>
          </cell>
        </row>
        <row r="74">
          <cell r="J74">
            <v>75</v>
          </cell>
        </row>
        <row r="75">
          <cell r="A75" t="str">
            <v>FC St. Pauli</v>
          </cell>
        </row>
        <row r="75">
          <cell r="J75">
            <v>70</v>
          </cell>
        </row>
        <row r="76">
          <cell r="A76" t="str">
            <v>VfB Stuttgart</v>
          </cell>
        </row>
        <row r="76">
          <cell r="J76">
            <v>74</v>
          </cell>
        </row>
        <row r="77">
          <cell r="A77" t="str">
            <v>1.FC Unión Berlín</v>
          </cell>
        </row>
        <row r="77">
          <cell r="J77">
            <v>72</v>
          </cell>
        </row>
        <row r="78">
          <cell r="A78" t="str">
            <v>SV Werder Bremen</v>
          </cell>
        </row>
        <row r="78">
          <cell r="J78">
            <v>73</v>
          </cell>
        </row>
        <row r="79">
          <cell r="A79" t="str">
            <v>VfL Wolfsburgo</v>
          </cell>
        </row>
        <row r="79">
          <cell r="J79">
            <v>74</v>
          </cell>
        </row>
        <row r="80">
          <cell r="A80">
            <v>79</v>
          </cell>
        </row>
        <row r="81">
          <cell r="A81">
            <v>80</v>
          </cell>
        </row>
        <row r="82">
          <cell r="A82">
            <v>81</v>
          </cell>
        </row>
        <row r="83">
          <cell r="A83">
            <v>82</v>
          </cell>
        </row>
        <row r="84">
          <cell r="A84">
            <v>83</v>
          </cell>
        </row>
        <row r="85">
          <cell r="A85">
            <v>84</v>
          </cell>
        </row>
        <row r="86">
          <cell r="A86">
            <v>85</v>
          </cell>
        </row>
        <row r="87">
          <cell r="A87">
            <v>86</v>
          </cell>
        </row>
        <row r="88">
          <cell r="A88">
            <v>87</v>
          </cell>
        </row>
        <row r="89">
          <cell r="A89">
            <v>88</v>
          </cell>
        </row>
        <row r="90">
          <cell r="A90">
            <v>89</v>
          </cell>
        </row>
        <row r="91">
          <cell r="A91">
            <v>90</v>
          </cell>
        </row>
        <row r="92">
          <cell r="A92">
            <v>91</v>
          </cell>
        </row>
        <row r="93">
          <cell r="A93">
            <v>92</v>
          </cell>
        </row>
        <row r="94">
          <cell r="A94">
            <v>93</v>
          </cell>
        </row>
        <row r="95">
          <cell r="A95">
            <v>94</v>
          </cell>
        </row>
        <row r="96">
          <cell r="A96">
            <v>95</v>
          </cell>
        </row>
        <row r="97">
          <cell r="A97">
            <v>96</v>
          </cell>
        </row>
        <row r="98">
          <cell r="A98">
            <v>97</v>
          </cell>
        </row>
        <row r="99">
          <cell r="A99">
            <v>98</v>
          </cell>
        </row>
        <row r="100">
          <cell r="A100">
            <v>99</v>
          </cell>
        </row>
        <row r="101">
          <cell r="A101">
            <v>100</v>
          </cell>
        </row>
        <row r="102">
          <cell r="A102">
            <v>101</v>
          </cell>
        </row>
        <row r="103">
          <cell r="A103">
            <v>102</v>
          </cell>
        </row>
        <row r="104">
          <cell r="A104">
            <v>103</v>
          </cell>
        </row>
        <row r="105">
          <cell r="A105">
            <v>104</v>
          </cell>
        </row>
        <row r="106">
          <cell r="A106">
            <v>105</v>
          </cell>
        </row>
        <row r="107">
          <cell r="A107">
            <v>106</v>
          </cell>
        </row>
        <row r="108">
          <cell r="A108">
            <v>107</v>
          </cell>
        </row>
        <row r="109">
          <cell r="A109">
            <v>108</v>
          </cell>
        </row>
      </sheetData>
      <sheetData sheetId="2"/>
      <sheetData sheetId="3"/>
      <sheetData sheetId="4"/>
      <sheetData sheetId="5"/>
      <sheetData sheetId="6"/>
      <sheetData sheetId="7"/>
      <sheetData sheetId="8">
        <row r="2">
          <cell r="A2">
            <v>1</v>
          </cell>
          <cell r="B2" t="str">
            <v>Abde Rebbach</v>
          </cell>
          <cell r="C2" t="str">
            <v>Deportivo Alavés</v>
          </cell>
          <cell r="D2" t="str">
            <v>Argelia</v>
          </cell>
          <cell r="E2" t="str">
            <v>EI</v>
          </cell>
          <cell r="F2">
            <v>70</v>
          </cell>
          <cell r="G2">
            <v>27</v>
          </cell>
        </row>
        <row r="2">
          <cell r="J2" t="str">
            <v>Ander Guevara</v>
          </cell>
        </row>
        <row r="3">
          <cell r="A3">
            <v>2</v>
          </cell>
          <cell r="B3" t="str">
            <v>Ander Guevara</v>
          </cell>
          <cell r="C3" t="str">
            <v>Deportivo Alavés</v>
          </cell>
          <cell r="D3" t="str">
            <v>España</v>
          </cell>
          <cell r="E3" t="str">
            <v>MC</v>
          </cell>
          <cell r="F3">
            <v>75</v>
          </cell>
          <cell r="G3">
            <v>28</v>
          </cell>
        </row>
        <row r="3">
          <cell r="J3" t="str">
            <v>Jon Guridi</v>
          </cell>
        </row>
        <row r="4">
          <cell r="A4">
            <v>3</v>
          </cell>
          <cell r="B4" t="str">
            <v>Antonio Blanco</v>
          </cell>
          <cell r="C4" t="str">
            <v>Deportivo Alavés</v>
          </cell>
          <cell r="D4" t="str">
            <v>España</v>
          </cell>
          <cell r="E4" t="str">
            <v>MCD</v>
          </cell>
          <cell r="F4">
            <v>75</v>
          </cell>
          <cell r="G4">
            <v>25</v>
          </cell>
        </row>
        <row r="4">
          <cell r="J4" t="str">
            <v>Jon Pacheco</v>
          </cell>
        </row>
        <row r="5">
          <cell r="A5">
            <v>4</v>
          </cell>
          <cell r="B5" t="str">
            <v>Antonio Sivera</v>
          </cell>
          <cell r="C5" t="str">
            <v>Deportivo Alavés</v>
          </cell>
          <cell r="D5" t="str">
            <v>España</v>
          </cell>
          <cell r="E5" t="str">
            <v>PO</v>
          </cell>
          <cell r="F5">
            <v>76</v>
          </cell>
          <cell r="G5">
            <v>29</v>
          </cell>
        </row>
        <row r="5">
          <cell r="J5" t="str">
            <v>Aitor Paredes</v>
          </cell>
        </row>
        <row r="6">
          <cell r="A6">
            <v>5</v>
          </cell>
          <cell r="B6" t="str">
            <v>Calebe</v>
          </cell>
          <cell r="C6" t="str">
            <v>Deportivo Alavés</v>
          </cell>
          <cell r="D6" t="str">
            <v>Brasil</v>
          </cell>
          <cell r="E6" t="str">
            <v>MO</v>
          </cell>
          <cell r="F6">
            <v>71</v>
          </cell>
          <cell r="G6">
            <v>25</v>
          </cell>
        </row>
        <row r="6">
          <cell r="J6" t="str">
            <v>Álex Berenguer</v>
          </cell>
        </row>
        <row r="7">
          <cell r="A7">
            <v>6</v>
          </cell>
          <cell r="B7" t="str">
            <v>Carles Aleñá</v>
          </cell>
          <cell r="C7" t="str">
            <v>Deportivo Alavés</v>
          </cell>
          <cell r="D7" t="str">
            <v>España</v>
          </cell>
          <cell r="E7" t="str">
            <v>MC</v>
          </cell>
          <cell r="F7">
            <v>74</v>
          </cell>
          <cell r="G7">
            <v>27</v>
          </cell>
        </row>
        <row r="7">
          <cell r="J7" t="str">
            <v>Andoni Gorosabel</v>
          </cell>
        </row>
        <row r="8">
          <cell r="A8">
            <v>7</v>
          </cell>
          <cell r="B8" t="str">
            <v>Carlos Protesoni</v>
          </cell>
          <cell r="C8" t="str">
            <v>Deportivo Alavés</v>
          </cell>
          <cell r="D8" t="str">
            <v>Uruguay</v>
          </cell>
          <cell r="E8" t="str">
            <v>MCD</v>
          </cell>
          <cell r="F8">
            <v>71</v>
          </cell>
          <cell r="G8">
            <v>27</v>
          </cell>
        </row>
        <row r="8">
          <cell r="J8" t="str">
            <v>Beñat Prados</v>
          </cell>
        </row>
        <row r="9">
          <cell r="A9">
            <v>8</v>
          </cell>
          <cell r="B9" t="str">
            <v>Carlos Vicente</v>
          </cell>
          <cell r="C9" t="str">
            <v>Deportivo Alavés</v>
          </cell>
          <cell r="D9" t="str">
            <v>España</v>
          </cell>
          <cell r="E9" t="str">
            <v>ED</v>
          </cell>
          <cell r="F9">
            <v>75</v>
          </cell>
          <cell r="G9">
            <v>26</v>
          </cell>
        </row>
        <row r="9">
          <cell r="J9" t="str">
            <v>Dani Vivian</v>
          </cell>
        </row>
        <row r="10">
          <cell r="A10">
            <v>9</v>
          </cell>
          <cell r="B10" t="str">
            <v>Denis Suárez</v>
          </cell>
          <cell r="C10" t="str">
            <v>Deportivo Alavés</v>
          </cell>
          <cell r="D10" t="str">
            <v>España</v>
          </cell>
          <cell r="E10" t="str">
            <v>MO</v>
          </cell>
          <cell r="F10">
            <v>75</v>
          </cell>
          <cell r="G10">
            <v>31</v>
          </cell>
        </row>
        <row r="10">
          <cell r="J10" t="str">
            <v>Gorka Guruzeta</v>
          </cell>
        </row>
        <row r="11">
          <cell r="A11">
            <v>10</v>
          </cell>
          <cell r="B11" t="str">
            <v>Facundo Garcés</v>
          </cell>
          <cell r="C11" t="str">
            <v>Deportivo Alavés</v>
          </cell>
          <cell r="D11" t="str">
            <v>Malasia</v>
          </cell>
          <cell r="E11" t="str">
            <v>CT</v>
          </cell>
          <cell r="F11">
            <v>71</v>
          </cell>
          <cell r="G11">
            <v>26</v>
          </cell>
        </row>
        <row r="11">
          <cell r="J11" t="str">
            <v>Iñigo Lekue</v>
          </cell>
        </row>
        <row r="12">
          <cell r="A12">
            <v>11</v>
          </cell>
          <cell r="B12" t="str">
            <v>Grégoire Swiderski</v>
          </cell>
          <cell r="C12" t="str">
            <v>Deportivo Alavés</v>
          </cell>
          <cell r="D12" t="str">
            <v>Canadá</v>
          </cell>
          <cell r="E12" t="str">
            <v>PO</v>
          </cell>
          <cell r="F12">
            <v>59</v>
          </cell>
          <cell r="G12">
            <v>20</v>
          </cell>
        </row>
        <row r="12">
          <cell r="J12" t="str">
            <v>Mikel Jauregizar</v>
          </cell>
        </row>
        <row r="13">
          <cell r="A13">
            <v>12</v>
          </cell>
          <cell r="B13" t="str">
            <v>Jon Guridi</v>
          </cell>
          <cell r="C13" t="str">
            <v>Deportivo Alavés</v>
          </cell>
          <cell r="D13" t="str">
            <v>España</v>
          </cell>
          <cell r="E13" t="str">
            <v>MC</v>
          </cell>
          <cell r="F13">
            <v>74</v>
          </cell>
          <cell r="G13">
            <v>30</v>
          </cell>
        </row>
        <row r="13">
          <cell r="J13" t="str">
            <v>Mikel Vesga</v>
          </cell>
        </row>
        <row r="14">
          <cell r="A14">
            <v>13</v>
          </cell>
          <cell r="B14" t="str">
            <v>Jon Pacheco</v>
          </cell>
          <cell r="C14" t="str">
            <v>Deportivo Alavés</v>
          </cell>
          <cell r="D14" t="str">
            <v>España</v>
          </cell>
          <cell r="E14" t="str">
            <v>CT</v>
          </cell>
          <cell r="F14">
            <v>71</v>
          </cell>
          <cell r="G14">
            <v>24</v>
          </cell>
        </row>
        <row r="14">
          <cell r="J14" t="str">
            <v>Nico Serrano</v>
          </cell>
        </row>
        <row r="15">
          <cell r="A15">
            <v>14</v>
          </cell>
          <cell r="B15" t="str">
            <v>Jonny Otto</v>
          </cell>
          <cell r="C15" t="str">
            <v>Deportivo Alavés</v>
          </cell>
          <cell r="D15" t="str">
            <v>España</v>
          </cell>
          <cell r="E15" t="str">
            <v>LD</v>
          </cell>
          <cell r="F15">
            <v>74</v>
          </cell>
          <cell r="G15">
            <v>31</v>
          </cell>
        </row>
        <row r="15">
          <cell r="J15" t="str">
            <v>Nico Williams</v>
          </cell>
        </row>
        <row r="16">
          <cell r="A16">
            <v>15</v>
          </cell>
          <cell r="B16" t="str">
            <v>Lucas Boyé</v>
          </cell>
          <cell r="C16" t="str">
            <v>Deportivo Alavés</v>
          </cell>
          <cell r="D16" t="str">
            <v>Argentina</v>
          </cell>
          <cell r="E16" t="str">
            <v>DC</v>
          </cell>
          <cell r="F16">
            <v>76</v>
          </cell>
          <cell r="G16">
            <v>29</v>
          </cell>
        </row>
        <row r="16">
          <cell r="J16" t="str">
            <v>Oihan Sancet</v>
          </cell>
        </row>
        <row r="17">
          <cell r="A17">
            <v>16</v>
          </cell>
          <cell r="B17" t="str">
            <v>Mariano Díaz</v>
          </cell>
          <cell r="C17" t="str">
            <v>Deportivo Alavés</v>
          </cell>
          <cell r="D17" t="str">
            <v>República Dominicana</v>
          </cell>
          <cell r="E17" t="str">
            <v>DC</v>
          </cell>
          <cell r="F17">
            <v>74</v>
          </cell>
          <cell r="G17">
            <v>32</v>
          </cell>
        </row>
        <row r="17">
          <cell r="J17" t="str">
            <v>Ruiz de Galarreta</v>
          </cell>
        </row>
        <row r="18">
          <cell r="A18">
            <v>17</v>
          </cell>
          <cell r="B18" t="str">
            <v>Moussa Diarra F.</v>
          </cell>
          <cell r="C18" t="str">
            <v>Deportivo Alavés</v>
          </cell>
          <cell r="D18" t="str">
            <v>Malí</v>
          </cell>
          <cell r="E18" t="str">
            <v>CT</v>
          </cell>
          <cell r="F18">
            <v>71</v>
          </cell>
          <cell r="G18">
            <v>25</v>
          </cell>
        </row>
        <row r="18">
          <cell r="J18" t="str">
            <v>Unai Gómez</v>
          </cell>
        </row>
        <row r="19">
          <cell r="A19">
            <v>18</v>
          </cell>
          <cell r="B19" t="str">
            <v>Nahuel Tenaglia</v>
          </cell>
          <cell r="C19" t="str">
            <v>Deportivo Alavés</v>
          </cell>
          <cell r="D19" t="str">
            <v>Argentina</v>
          </cell>
          <cell r="E19" t="str">
            <v>LD</v>
          </cell>
          <cell r="F19">
            <v>75</v>
          </cell>
          <cell r="G19">
            <v>29</v>
          </cell>
        </row>
        <row r="19">
          <cell r="J19" t="str">
            <v>Unai Simón</v>
          </cell>
        </row>
        <row r="20">
          <cell r="A20">
            <v>19</v>
          </cell>
          <cell r="B20" t="str">
            <v>Nikola Maras</v>
          </cell>
          <cell r="C20" t="str">
            <v>Deportivo Alavés</v>
          </cell>
          <cell r="D20" t="str">
            <v>Serbia</v>
          </cell>
          <cell r="E20" t="str">
            <v>CT</v>
          </cell>
          <cell r="F20">
            <v>72</v>
          </cell>
          <cell r="G20">
            <v>30</v>
          </cell>
        </row>
        <row r="20">
          <cell r="J20" t="str">
            <v>Yeray Álvarez</v>
          </cell>
        </row>
        <row r="21">
          <cell r="A21">
            <v>20</v>
          </cell>
          <cell r="B21" t="str">
            <v>Pablo Ibáñez</v>
          </cell>
          <cell r="C21" t="str">
            <v>Deportivo Alavés</v>
          </cell>
          <cell r="D21" t="str">
            <v>España</v>
          </cell>
          <cell r="E21" t="str">
            <v>MC</v>
          </cell>
          <cell r="F21">
            <v>71</v>
          </cell>
          <cell r="G21">
            <v>27</v>
          </cell>
        </row>
        <row r="21">
          <cell r="J21" t="str">
            <v>Yuri Berchiche</v>
          </cell>
        </row>
        <row r="22">
          <cell r="A22">
            <v>21</v>
          </cell>
          <cell r="B22" t="str">
            <v>Raúl Fernández</v>
          </cell>
          <cell r="C22" t="str">
            <v>Deportivo Alavés</v>
          </cell>
          <cell r="D22" t="str">
            <v>España</v>
          </cell>
          <cell r="E22" t="str">
            <v>PO</v>
          </cell>
          <cell r="F22">
            <v>72</v>
          </cell>
          <cell r="G22">
            <v>37</v>
          </cell>
        </row>
        <row r="22">
          <cell r="J22" t="str">
            <v>Julen Agirrezabala</v>
          </cell>
        </row>
        <row r="23">
          <cell r="A23">
            <v>22</v>
          </cell>
          <cell r="B23" t="str">
            <v>Toni Martínez</v>
          </cell>
          <cell r="C23" t="str">
            <v>Deportivo Alavés</v>
          </cell>
          <cell r="D23" t="str">
            <v>España</v>
          </cell>
          <cell r="E23" t="str">
            <v>DC</v>
          </cell>
          <cell r="F23">
            <v>75</v>
          </cell>
          <cell r="G23">
            <v>28</v>
          </cell>
        </row>
        <row r="23">
          <cell r="J23" t="str">
            <v>Kepa Arrizabalaga</v>
          </cell>
        </row>
        <row r="24">
          <cell r="A24">
            <v>23</v>
          </cell>
          <cell r="B24" t="str">
            <v>Victor Parada</v>
          </cell>
          <cell r="C24" t="str">
            <v>Deportivo Alavés</v>
          </cell>
          <cell r="D24" t="str">
            <v>España</v>
          </cell>
          <cell r="E24" t="str">
            <v>LI</v>
          </cell>
          <cell r="F24">
            <v>66</v>
          </cell>
          <cell r="G24">
            <v>23</v>
          </cell>
        </row>
        <row r="24">
          <cell r="J24" t="str">
            <v>Aitor Fernández</v>
          </cell>
        </row>
        <row r="25">
          <cell r="A25">
            <v>24</v>
          </cell>
          <cell r="B25" t="str">
            <v>Youssef Enríquez</v>
          </cell>
          <cell r="C25" t="str">
            <v>Deportivo Alavés</v>
          </cell>
          <cell r="D25" t="str">
            <v>Marruecos</v>
          </cell>
          <cell r="E25" t="str">
            <v>LI</v>
          </cell>
          <cell r="F25">
            <v>74</v>
          </cell>
          <cell r="G25">
            <v>20</v>
          </cell>
        </row>
        <row r="25">
          <cell r="J25" t="str">
            <v>Unai Núñez</v>
          </cell>
        </row>
        <row r="26">
          <cell r="A26">
            <v>25</v>
          </cell>
          <cell r="B26" t="str">
            <v>Adama Boiro</v>
          </cell>
          <cell r="C26" t="str">
            <v>Athletic Club</v>
          </cell>
          <cell r="D26" t="str">
            <v>España</v>
          </cell>
          <cell r="E26" t="str">
            <v>LI</v>
          </cell>
          <cell r="F26">
            <v>64</v>
          </cell>
          <cell r="G26">
            <v>23</v>
          </cell>
        </row>
        <row r="26">
          <cell r="J26" t="str">
            <v>Oier Zarraga</v>
          </cell>
        </row>
        <row r="27">
          <cell r="A27">
            <v>26</v>
          </cell>
          <cell r="B27" t="str">
            <v>Aitor Paredes</v>
          </cell>
          <cell r="C27" t="str">
            <v>Athletic Club</v>
          </cell>
          <cell r="D27" t="str">
            <v>España</v>
          </cell>
          <cell r="E27" t="str">
            <v>CT</v>
          </cell>
          <cell r="F27">
            <v>78</v>
          </cell>
          <cell r="G27">
            <v>25</v>
          </cell>
        </row>
        <row r="27">
          <cell r="J27" t="str">
            <v>Aimar Oroz</v>
          </cell>
        </row>
        <row r="28">
          <cell r="A28">
            <v>27</v>
          </cell>
          <cell r="B28" t="str">
            <v>Álex Berenguer</v>
          </cell>
          <cell r="C28" t="str">
            <v>Athletic Club</v>
          </cell>
          <cell r="D28" t="str">
            <v>España</v>
          </cell>
          <cell r="E28" t="str">
            <v>EI</v>
          </cell>
          <cell r="F28">
            <v>81</v>
          </cell>
          <cell r="G28">
            <v>30</v>
          </cell>
        </row>
        <row r="28">
          <cell r="J28" t="str">
            <v>Jon Moncayola</v>
          </cell>
        </row>
        <row r="29">
          <cell r="A29">
            <v>28</v>
          </cell>
          <cell r="B29" t="str">
            <v>Álex Padilla</v>
          </cell>
          <cell r="C29" t="str">
            <v>Athletic Club</v>
          </cell>
          <cell r="D29" t="str">
            <v>México</v>
          </cell>
          <cell r="E29" t="str">
            <v>PO</v>
          </cell>
          <cell r="F29">
            <v>72</v>
          </cell>
          <cell r="G29">
            <v>22</v>
          </cell>
        </row>
        <row r="29">
          <cell r="J29" t="str">
            <v>Iker Muñoz</v>
          </cell>
        </row>
        <row r="30">
          <cell r="A30">
            <v>29</v>
          </cell>
          <cell r="B30" t="str">
            <v>Andoni Gorosabel</v>
          </cell>
          <cell r="C30" t="str">
            <v>Athletic Club</v>
          </cell>
          <cell r="D30" t="str">
            <v>España</v>
          </cell>
          <cell r="E30" t="str">
            <v>LD</v>
          </cell>
          <cell r="F30">
            <v>76</v>
          </cell>
          <cell r="G30">
            <v>29</v>
          </cell>
        </row>
        <row r="30">
          <cell r="J30" t="str">
            <v>Asier Osambela</v>
          </cell>
        </row>
        <row r="31">
          <cell r="A31">
            <v>30</v>
          </cell>
          <cell r="B31" t="str">
            <v>Aymeric Laporte</v>
          </cell>
          <cell r="C31" t="str">
            <v>Athletic Club</v>
          </cell>
          <cell r="D31" t="str">
            <v>España</v>
          </cell>
          <cell r="E31" t="str">
            <v>CT</v>
          </cell>
          <cell r="F31">
            <v>84</v>
          </cell>
          <cell r="G31">
            <v>31</v>
          </cell>
        </row>
        <row r="31">
          <cell r="J31" t="str">
            <v>Raúl García</v>
          </cell>
        </row>
        <row r="32">
          <cell r="A32">
            <v>31</v>
          </cell>
          <cell r="B32" t="str">
            <v>Beñat Prados</v>
          </cell>
          <cell r="C32" t="str">
            <v>Athletic Club</v>
          </cell>
          <cell r="D32" t="str">
            <v>España</v>
          </cell>
          <cell r="E32" t="str">
            <v>MC</v>
          </cell>
          <cell r="F32">
            <v>76</v>
          </cell>
          <cell r="G32">
            <v>24</v>
          </cell>
        </row>
        <row r="32">
          <cell r="J32" t="str">
            <v>Rubén García</v>
          </cell>
        </row>
        <row r="33">
          <cell r="A33">
            <v>32</v>
          </cell>
          <cell r="B33" t="str">
            <v>Dani Vivian</v>
          </cell>
          <cell r="C33" t="str">
            <v>Athletic Club</v>
          </cell>
          <cell r="D33" t="str">
            <v>España</v>
          </cell>
          <cell r="E33" t="str">
            <v>CT</v>
          </cell>
          <cell r="F33">
            <v>83</v>
          </cell>
          <cell r="G33">
            <v>26</v>
          </cell>
        </row>
        <row r="33">
          <cell r="J33" t="str">
            <v>Sergio Herrera</v>
          </cell>
        </row>
        <row r="34">
          <cell r="A34">
            <v>33</v>
          </cell>
          <cell r="B34" t="str">
            <v>Gorka Guruzeta</v>
          </cell>
          <cell r="C34" t="str">
            <v>Athletic Club</v>
          </cell>
          <cell r="D34" t="str">
            <v>España</v>
          </cell>
          <cell r="E34" t="str">
            <v>DC</v>
          </cell>
          <cell r="F34">
            <v>79</v>
          </cell>
          <cell r="G34">
            <v>29</v>
          </cell>
        </row>
        <row r="34">
          <cell r="J34" t="str">
            <v>Mikel Merino</v>
          </cell>
        </row>
        <row r="35">
          <cell r="A35">
            <v>34</v>
          </cell>
          <cell r="B35" t="str">
            <v>Iñaki Williams</v>
          </cell>
          <cell r="C35" t="str">
            <v>Athletic Club</v>
          </cell>
          <cell r="D35" t="str">
            <v>Ghana</v>
          </cell>
          <cell r="E35" t="str">
            <v>ED</v>
          </cell>
          <cell r="F35">
            <v>82</v>
          </cell>
          <cell r="G35">
            <v>31</v>
          </cell>
        </row>
        <row r="35">
          <cell r="J35" t="str">
            <v>Álvaro Odriozola</v>
          </cell>
        </row>
        <row r="36">
          <cell r="A36">
            <v>35</v>
          </cell>
          <cell r="B36" t="str">
            <v>Iñigo Lekue</v>
          </cell>
          <cell r="C36" t="str">
            <v>Athletic Club</v>
          </cell>
          <cell r="D36" t="str">
            <v>España</v>
          </cell>
          <cell r="E36" t="str">
            <v>LD</v>
          </cell>
          <cell r="F36">
            <v>77</v>
          </cell>
          <cell r="G36">
            <v>32</v>
          </cell>
        </row>
        <row r="36">
          <cell r="J36" t="str">
            <v>Ander Barrenetxea</v>
          </cell>
        </row>
        <row r="37">
          <cell r="A37">
            <v>36</v>
          </cell>
          <cell r="B37" t="str">
            <v>Jesús Areso</v>
          </cell>
          <cell r="C37" t="str">
            <v>Athletic Club</v>
          </cell>
          <cell r="D37" t="str">
            <v>España</v>
          </cell>
          <cell r="E37" t="str">
            <v>LD</v>
          </cell>
          <cell r="F37">
            <v>74</v>
          </cell>
          <cell r="G37">
            <v>26</v>
          </cell>
        </row>
        <row r="37">
          <cell r="J37" t="str">
            <v>Aritz Elustondo</v>
          </cell>
        </row>
        <row r="38">
          <cell r="A38">
            <v>37</v>
          </cell>
          <cell r="B38" t="str">
            <v>Maroan Sannadi</v>
          </cell>
          <cell r="C38" t="str">
            <v>Athletic Club</v>
          </cell>
          <cell r="D38" t="str">
            <v>Marruecos</v>
          </cell>
          <cell r="E38" t="str">
            <v>DC</v>
          </cell>
          <cell r="F38">
            <v>68</v>
          </cell>
          <cell r="G38">
            <v>24</v>
          </cell>
        </row>
        <row r="38">
          <cell r="J38" t="str">
            <v>Beñat Turrientes</v>
          </cell>
        </row>
        <row r="39">
          <cell r="A39">
            <v>38</v>
          </cell>
          <cell r="B39" t="str">
            <v>Mikel Jauregizar</v>
          </cell>
          <cell r="C39" t="str">
            <v>Athletic Club</v>
          </cell>
          <cell r="D39" t="str">
            <v>España</v>
          </cell>
          <cell r="E39" t="str">
            <v>MC</v>
          </cell>
          <cell r="F39">
            <v>73</v>
          </cell>
          <cell r="G39">
            <v>22</v>
          </cell>
        </row>
        <row r="39">
          <cell r="J39" t="str">
            <v>Igor Zubeldia</v>
          </cell>
        </row>
        <row r="40">
          <cell r="A40">
            <v>39</v>
          </cell>
          <cell r="B40" t="str">
            <v>Mikel Vesga</v>
          </cell>
          <cell r="C40" t="str">
            <v>Athletic Club</v>
          </cell>
          <cell r="D40" t="str">
            <v>España</v>
          </cell>
          <cell r="E40" t="str">
            <v>MCD</v>
          </cell>
          <cell r="F40">
            <v>76</v>
          </cell>
          <cell r="G40">
            <v>32</v>
          </cell>
        </row>
        <row r="40">
          <cell r="J40" t="str">
            <v>Jon Karrikaburu</v>
          </cell>
        </row>
        <row r="41">
          <cell r="A41">
            <v>40</v>
          </cell>
          <cell r="B41" t="str">
            <v>Nico Serrano</v>
          </cell>
          <cell r="C41" t="str">
            <v>Athletic Club</v>
          </cell>
          <cell r="D41" t="str">
            <v>España</v>
          </cell>
          <cell r="E41" t="str">
            <v>EI</v>
          </cell>
          <cell r="F41">
            <v>70</v>
          </cell>
          <cell r="G41">
            <v>22</v>
          </cell>
        </row>
        <row r="41">
          <cell r="J41" t="str">
            <v>Mikel Oyarzabal</v>
          </cell>
        </row>
        <row r="42">
          <cell r="A42">
            <v>41</v>
          </cell>
          <cell r="B42" t="str">
            <v>Nico Williams</v>
          </cell>
          <cell r="C42" t="str">
            <v>Athletic Club</v>
          </cell>
          <cell r="D42" t="str">
            <v>España</v>
          </cell>
          <cell r="E42" t="str">
            <v>EI</v>
          </cell>
          <cell r="F42">
            <v>85</v>
          </cell>
          <cell r="G42">
            <v>23</v>
          </cell>
        </row>
        <row r="42">
          <cell r="J42" t="str">
            <v>Unai Marrero</v>
          </cell>
        </row>
        <row r="43">
          <cell r="A43">
            <v>42</v>
          </cell>
          <cell r="B43" t="str">
            <v>Oihan Sancet</v>
          </cell>
          <cell r="C43" t="str">
            <v>Athletic Club</v>
          </cell>
          <cell r="D43" t="str">
            <v>España</v>
          </cell>
          <cell r="E43" t="str">
            <v>MO</v>
          </cell>
          <cell r="F43">
            <v>82</v>
          </cell>
          <cell r="G43">
            <v>25</v>
          </cell>
        </row>
        <row r="43">
          <cell r="J43" t="str">
            <v>Martín Zubimendi</v>
          </cell>
        </row>
        <row r="44">
          <cell r="A44">
            <v>43</v>
          </cell>
          <cell r="B44" t="str">
            <v>Robert Navarro</v>
          </cell>
          <cell r="C44" t="str">
            <v>Athletic Club</v>
          </cell>
          <cell r="D44" t="str">
            <v>España</v>
          </cell>
          <cell r="E44" t="str">
            <v>ED</v>
          </cell>
          <cell r="F44">
            <v>73</v>
          </cell>
          <cell r="G44">
            <v>23</v>
          </cell>
        </row>
        <row r="44">
          <cell r="J44" t="str">
            <v>Aihen Muñoz</v>
          </cell>
        </row>
        <row r="45">
          <cell r="A45">
            <v>44</v>
          </cell>
          <cell r="B45" t="str">
            <v>Ruiz de Galarreta</v>
          </cell>
          <cell r="C45" t="str">
            <v>Athletic Club</v>
          </cell>
          <cell r="D45" t="str">
            <v>España</v>
          </cell>
          <cell r="E45" t="str">
            <v>MC</v>
          </cell>
          <cell r="F45">
            <v>80</v>
          </cell>
          <cell r="G45">
            <v>32</v>
          </cell>
        </row>
        <row r="45">
          <cell r="J45" t="str">
            <v>Unai López</v>
          </cell>
        </row>
        <row r="46">
          <cell r="A46">
            <v>45</v>
          </cell>
          <cell r="B46" t="str">
            <v>Unai Gómez</v>
          </cell>
          <cell r="C46" t="str">
            <v>Athletic Club</v>
          </cell>
          <cell r="D46" t="str">
            <v>España</v>
          </cell>
          <cell r="E46" t="str">
            <v>MO</v>
          </cell>
          <cell r="F46">
            <v>71</v>
          </cell>
          <cell r="G46">
            <v>22</v>
          </cell>
        </row>
        <row r="46">
          <cell r="J46" t="str">
            <v>Adama Boiro</v>
          </cell>
        </row>
        <row r="47">
          <cell r="A47">
            <v>46</v>
          </cell>
          <cell r="B47" t="str">
            <v>Unai Simón</v>
          </cell>
          <cell r="C47" t="str">
            <v>Athletic Club</v>
          </cell>
          <cell r="D47" t="str">
            <v>España</v>
          </cell>
          <cell r="E47" t="str">
            <v>PO</v>
          </cell>
          <cell r="F47">
            <v>86</v>
          </cell>
          <cell r="G47">
            <v>28</v>
          </cell>
        </row>
        <row r="47">
          <cell r="J47" t="str">
            <v>Robert Navarro</v>
          </cell>
        </row>
        <row r="48">
          <cell r="A48">
            <v>47</v>
          </cell>
          <cell r="B48" t="str">
            <v>Urko Izeta</v>
          </cell>
          <cell r="C48" t="str">
            <v>Athletic Club</v>
          </cell>
          <cell r="D48" t="str">
            <v>España</v>
          </cell>
          <cell r="E48" t="str">
            <v>DC</v>
          </cell>
          <cell r="F48">
            <v>68</v>
          </cell>
          <cell r="G48">
            <v>26</v>
          </cell>
        </row>
        <row r="48">
          <cell r="J48" t="str">
            <v>Urko Izeta</v>
          </cell>
        </row>
        <row r="49">
          <cell r="A49">
            <v>48</v>
          </cell>
          <cell r="B49" t="str">
            <v>Yeray Álvarez</v>
          </cell>
          <cell r="C49" t="str">
            <v>Athletic Club</v>
          </cell>
          <cell r="D49" t="str">
            <v>España</v>
          </cell>
          <cell r="E49" t="str">
            <v>CT</v>
          </cell>
          <cell r="F49">
            <v>80</v>
          </cell>
          <cell r="G49">
            <v>30</v>
          </cell>
        </row>
        <row r="49">
          <cell r="J49" t="str">
            <v>Hugo Rincón</v>
          </cell>
        </row>
        <row r="50">
          <cell r="A50">
            <v>49</v>
          </cell>
          <cell r="B50" t="str">
            <v>Yuri Berchiche</v>
          </cell>
          <cell r="C50" t="str">
            <v>Athletic Club</v>
          </cell>
          <cell r="D50" t="str">
            <v>España</v>
          </cell>
          <cell r="E50" t="str">
            <v>LI</v>
          </cell>
          <cell r="F50">
            <v>78</v>
          </cell>
          <cell r="G50">
            <v>35</v>
          </cell>
        </row>
        <row r="50">
          <cell r="J50" t="str">
            <v>Iván Martín</v>
          </cell>
        </row>
        <row r="51">
          <cell r="A51">
            <v>50</v>
          </cell>
          <cell r="B51" t="str">
            <v>Álex Baena</v>
          </cell>
          <cell r="C51" t="str">
            <v>Atlético de Madrid</v>
          </cell>
          <cell r="D51" t="str">
            <v>España</v>
          </cell>
          <cell r="E51" t="str">
            <v>EI</v>
          </cell>
          <cell r="F51">
            <v>83</v>
          </cell>
          <cell r="G51">
            <v>24</v>
          </cell>
        </row>
        <row r="51">
          <cell r="J51" t="str">
            <v>Álex Padilla</v>
          </cell>
        </row>
        <row r="52">
          <cell r="A52">
            <v>51</v>
          </cell>
          <cell r="B52" t="str">
            <v>Alexander Sørloth</v>
          </cell>
          <cell r="C52" t="str">
            <v>Atlético de Madrid</v>
          </cell>
          <cell r="D52" t="str">
            <v>Noruega</v>
          </cell>
          <cell r="E52" t="str">
            <v>DC</v>
          </cell>
          <cell r="F52">
            <v>82</v>
          </cell>
          <cell r="G52">
            <v>30</v>
          </cell>
        </row>
        <row r="52">
          <cell r="J52" t="str">
            <v>Aymeric Laporte</v>
          </cell>
        </row>
        <row r="53">
          <cell r="A53">
            <v>52</v>
          </cell>
          <cell r="B53" t="str">
            <v>Antoine Griezmann</v>
          </cell>
          <cell r="C53" t="str">
            <v>Atlético de Madrid</v>
          </cell>
          <cell r="D53" t="str">
            <v>Francia</v>
          </cell>
          <cell r="E53" t="str">
            <v>SD</v>
          </cell>
          <cell r="F53">
            <v>87</v>
          </cell>
          <cell r="G53">
            <v>34</v>
          </cell>
        </row>
        <row r="53">
          <cell r="J53" t="str">
            <v>Iñaki Williams</v>
          </cell>
        </row>
        <row r="54">
          <cell r="A54">
            <v>53</v>
          </cell>
          <cell r="B54" t="str">
            <v>Carlos Martín</v>
          </cell>
          <cell r="C54" t="str">
            <v>Atlético de Madrid</v>
          </cell>
          <cell r="D54" t="str">
            <v>España</v>
          </cell>
          <cell r="E54" t="str">
            <v>EI</v>
          </cell>
          <cell r="F54">
            <v>72</v>
          </cell>
          <cell r="G54">
            <v>23</v>
          </cell>
        </row>
        <row r="54">
          <cell r="J54" t="str">
            <v>Jesús Areso</v>
          </cell>
        </row>
        <row r="55">
          <cell r="A55">
            <v>54</v>
          </cell>
          <cell r="B55" t="str">
            <v>Clément Lenglet</v>
          </cell>
          <cell r="C55" t="str">
            <v>Atlético de Madrid</v>
          </cell>
          <cell r="D55" t="str">
            <v>Francia</v>
          </cell>
          <cell r="E55" t="str">
            <v>CT</v>
          </cell>
          <cell r="F55">
            <v>76</v>
          </cell>
          <cell r="G55">
            <v>30</v>
          </cell>
        </row>
        <row r="55">
          <cell r="J55" t="str">
            <v>Maroan Sannadi</v>
          </cell>
        </row>
        <row r="56">
          <cell r="A56">
            <v>55</v>
          </cell>
          <cell r="B56" t="str">
            <v>Conor Gallagher</v>
          </cell>
          <cell r="C56" t="str">
            <v>Atlético de Madrid</v>
          </cell>
          <cell r="D56" t="str">
            <v>Inglaterra</v>
          </cell>
          <cell r="E56" t="str">
            <v>MC</v>
          </cell>
          <cell r="F56">
            <v>81</v>
          </cell>
          <cell r="G56">
            <v>25</v>
          </cell>
        </row>
        <row r="57">
          <cell r="A57">
            <v>56</v>
          </cell>
          <cell r="B57" t="str">
            <v>Dávid Hancko</v>
          </cell>
          <cell r="C57" t="str">
            <v>Atlético de Madrid</v>
          </cell>
          <cell r="D57" t="str">
            <v>Eslovaquia</v>
          </cell>
          <cell r="E57" t="str">
            <v>CT</v>
          </cell>
          <cell r="F57">
            <v>81</v>
          </cell>
          <cell r="G57">
            <v>28</v>
          </cell>
        </row>
        <row r="58">
          <cell r="A58">
            <v>57</v>
          </cell>
          <cell r="B58" t="str">
            <v>Giacomo Raspadori</v>
          </cell>
          <cell r="C58" t="str">
            <v>Atlético de Madrid</v>
          </cell>
          <cell r="D58" t="str">
            <v>Italia</v>
          </cell>
          <cell r="E58" t="str">
            <v>SD</v>
          </cell>
          <cell r="F58">
            <v>80</v>
          </cell>
          <cell r="G58">
            <v>25</v>
          </cell>
        </row>
        <row r="59">
          <cell r="A59">
            <v>58</v>
          </cell>
          <cell r="B59" t="str">
            <v>Giuliano Simeone</v>
          </cell>
          <cell r="C59" t="str">
            <v>Atlético de Madrid</v>
          </cell>
          <cell r="D59" t="str">
            <v>Argentina</v>
          </cell>
          <cell r="E59" t="str">
            <v>ED</v>
          </cell>
          <cell r="F59">
            <v>78</v>
          </cell>
          <cell r="G59">
            <v>23</v>
          </cell>
        </row>
        <row r="60">
          <cell r="A60">
            <v>59</v>
          </cell>
          <cell r="B60" t="str">
            <v>Ilias Kostis</v>
          </cell>
          <cell r="C60" t="str">
            <v>Atlético de Madrid</v>
          </cell>
          <cell r="D60" t="str">
            <v>Grecia</v>
          </cell>
          <cell r="E60" t="str">
            <v>CT</v>
          </cell>
          <cell r="F60">
            <v>69</v>
          </cell>
          <cell r="G60">
            <v>22</v>
          </cell>
        </row>
        <row r="61">
          <cell r="A61">
            <v>60</v>
          </cell>
          <cell r="B61" t="str">
            <v>Jan Oblak</v>
          </cell>
          <cell r="C61" t="str">
            <v>Atlético de Madrid</v>
          </cell>
          <cell r="D61" t="str">
            <v>Eslovenia</v>
          </cell>
          <cell r="E61" t="str">
            <v>PO</v>
          </cell>
          <cell r="F61">
            <v>87</v>
          </cell>
          <cell r="G61">
            <v>32</v>
          </cell>
        </row>
        <row r="62">
          <cell r="A62">
            <v>61</v>
          </cell>
          <cell r="B62" t="str">
            <v>Javi Galán</v>
          </cell>
          <cell r="C62" t="str">
            <v>Atlético de Madrid</v>
          </cell>
          <cell r="D62" t="str">
            <v>España</v>
          </cell>
          <cell r="E62" t="str">
            <v>LI</v>
          </cell>
          <cell r="F62">
            <v>80</v>
          </cell>
          <cell r="G62">
            <v>31</v>
          </cell>
        </row>
        <row r="63">
          <cell r="A63">
            <v>62</v>
          </cell>
          <cell r="B63" t="str">
            <v>Javi Serrano</v>
          </cell>
          <cell r="C63" t="str">
            <v>Atlético de Madrid</v>
          </cell>
          <cell r="D63" t="str">
            <v>España</v>
          </cell>
          <cell r="E63" t="str">
            <v>MC</v>
          </cell>
          <cell r="F63">
            <v>66</v>
          </cell>
          <cell r="G63">
            <v>22</v>
          </cell>
        </row>
        <row r="64">
          <cell r="A64">
            <v>63</v>
          </cell>
          <cell r="B64" t="str">
            <v>Javier Boñar</v>
          </cell>
          <cell r="C64" t="str">
            <v>Atlético de Madrid</v>
          </cell>
          <cell r="D64" t="str">
            <v>España</v>
          </cell>
          <cell r="E64" t="str">
            <v>LD</v>
          </cell>
          <cell r="F64">
            <v>63</v>
          </cell>
          <cell r="G64">
            <v>20</v>
          </cell>
        </row>
        <row r="65">
          <cell r="A65">
            <v>64</v>
          </cell>
          <cell r="B65" t="str">
            <v>Johnny Cardoso</v>
          </cell>
          <cell r="C65" t="str">
            <v>Atlético de Madrid</v>
          </cell>
          <cell r="D65" t="str">
            <v>Estados Unidos</v>
          </cell>
          <cell r="E65" t="str">
            <v>MCD</v>
          </cell>
          <cell r="F65">
            <v>80</v>
          </cell>
          <cell r="G65">
            <v>24</v>
          </cell>
        </row>
        <row r="66">
          <cell r="A66">
            <v>65</v>
          </cell>
          <cell r="B66" t="str">
            <v>José María Giménez</v>
          </cell>
          <cell r="C66" t="str">
            <v>Atlético de Madrid</v>
          </cell>
          <cell r="D66" t="str">
            <v>Uruguay</v>
          </cell>
          <cell r="E66" t="str">
            <v>CT</v>
          </cell>
          <cell r="F66">
            <v>83</v>
          </cell>
          <cell r="G66">
            <v>30</v>
          </cell>
        </row>
        <row r="67">
          <cell r="A67">
            <v>66</v>
          </cell>
          <cell r="B67" t="str">
            <v>Juan Musso</v>
          </cell>
          <cell r="C67" t="str">
            <v>Atlético de Madrid</v>
          </cell>
          <cell r="D67" t="str">
            <v>Argentina</v>
          </cell>
          <cell r="E67" t="str">
            <v>PO</v>
          </cell>
          <cell r="F67">
            <v>81</v>
          </cell>
          <cell r="G67">
            <v>31</v>
          </cell>
        </row>
        <row r="68">
          <cell r="A68">
            <v>67</v>
          </cell>
          <cell r="B68" t="str">
            <v>Julián Alvarez</v>
          </cell>
          <cell r="C68" t="str">
            <v>Atlético de Madrid</v>
          </cell>
          <cell r="D68" t="str">
            <v>Argentina</v>
          </cell>
          <cell r="E68" t="str">
            <v>DC</v>
          </cell>
          <cell r="F68">
            <v>84</v>
          </cell>
          <cell r="G68">
            <v>25</v>
          </cell>
        </row>
        <row r="69">
          <cell r="A69">
            <v>68</v>
          </cell>
          <cell r="B69" t="str">
            <v>Koke</v>
          </cell>
          <cell r="C69" t="str">
            <v>Atlético de Madrid</v>
          </cell>
          <cell r="D69" t="str">
            <v>España</v>
          </cell>
          <cell r="E69" t="str">
            <v>MC</v>
          </cell>
          <cell r="F69">
            <v>82</v>
          </cell>
          <cell r="G69">
            <v>33</v>
          </cell>
        </row>
        <row r="70">
          <cell r="A70">
            <v>69</v>
          </cell>
          <cell r="B70" t="str">
            <v>Marc Pubill</v>
          </cell>
          <cell r="C70" t="str">
            <v>Atlético de Madrid</v>
          </cell>
          <cell r="D70" t="str">
            <v>España</v>
          </cell>
          <cell r="E70" t="str">
            <v>CT</v>
          </cell>
          <cell r="F70">
            <v>66</v>
          </cell>
          <cell r="G70">
            <v>22</v>
          </cell>
        </row>
        <row r="71">
          <cell r="A71">
            <v>70</v>
          </cell>
          <cell r="B71" t="str">
            <v>Marcos Llorente</v>
          </cell>
          <cell r="C71" t="str">
            <v>Atlético de Madrid</v>
          </cell>
          <cell r="D71" t="str">
            <v>España</v>
          </cell>
          <cell r="E71" t="str">
            <v>LD</v>
          </cell>
          <cell r="F71">
            <v>84</v>
          </cell>
          <cell r="G71">
            <v>30</v>
          </cell>
        </row>
        <row r="72">
          <cell r="A72">
            <v>71</v>
          </cell>
          <cell r="B72" t="str">
            <v>Matteo Ruggeri</v>
          </cell>
          <cell r="C72" t="str">
            <v>Atlético de Madrid</v>
          </cell>
          <cell r="D72" t="str">
            <v>Italia</v>
          </cell>
          <cell r="E72" t="str">
            <v>LI</v>
          </cell>
          <cell r="F72">
            <v>79</v>
          </cell>
          <cell r="G72">
            <v>23</v>
          </cell>
        </row>
        <row r="73">
          <cell r="A73">
            <v>72</v>
          </cell>
          <cell r="B73" t="str">
            <v>Nahuel Molina</v>
          </cell>
          <cell r="C73" t="str">
            <v>Atlético de Madrid</v>
          </cell>
          <cell r="D73" t="str">
            <v>Argentina</v>
          </cell>
          <cell r="E73" t="str">
            <v>LD</v>
          </cell>
          <cell r="F73">
            <v>82</v>
          </cell>
          <cell r="G73">
            <v>27</v>
          </cell>
        </row>
        <row r="74">
          <cell r="A74">
            <v>73</v>
          </cell>
          <cell r="B74" t="str">
            <v>Nico I. González</v>
          </cell>
          <cell r="C74" t="str">
            <v>Atlético de Madrid</v>
          </cell>
          <cell r="D74" t="str">
            <v>Argentina</v>
          </cell>
          <cell r="E74" t="str">
            <v>EI</v>
          </cell>
          <cell r="F74">
            <v>81</v>
          </cell>
          <cell r="G74">
            <v>27</v>
          </cell>
        </row>
        <row r="75">
          <cell r="A75">
            <v>74</v>
          </cell>
          <cell r="B75" t="str">
            <v>Pablo Barrios</v>
          </cell>
          <cell r="C75" t="str">
            <v>Atlético de Madrid</v>
          </cell>
          <cell r="D75" t="str">
            <v>España</v>
          </cell>
          <cell r="E75" t="str">
            <v>MC</v>
          </cell>
          <cell r="F75">
            <v>77</v>
          </cell>
          <cell r="G75">
            <v>22</v>
          </cell>
        </row>
        <row r="76">
          <cell r="A76">
            <v>75</v>
          </cell>
          <cell r="B76" t="str">
            <v>Robin Le Normand</v>
          </cell>
          <cell r="C76" t="str">
            <v>Atlético de Madrid</v>
          </cell>
          <cell r="D76" t="str">
            <v>España</v>
          </cell>
          <cell r="E76" t="str">
            <v>CT</v>
          </cell>
          <cell r="F76">
            <v>83</v>
          </cell>
          <cell r="G76">
            <v>29</v>
          </cell>
        </row>
        <row r="77">
          <cell r="A77">
            <v>76</v>
          </cell>
          <cell r="B77" t="str">
            <v>Thiago Almada</v>
          </cell>
          <cell r="C77" t="str">
            <v>Atlético de Madrid</v>
          </cell>
          <cell r="D77" t="str">
            <v>Argentina</v>
          </cell>
          <cell r="E77" t="str">
            <v>EI</v>
          </cell>
          <cell r="F77">
            <v>81</v>
          </cell>
          <cell r="G77">
            <v>24</v>
          </cell>
        </row>
        <row r="78">
          <cell r="A78">
            <v>77</v>
          </cell>
          <cell r="B78" t="str">
            <v>Aleksandar Dragovic</v>
          </cell>
          <cell r="C78" t="str">
            <v>B-Team</v>
          </cell>
          <cell r="D78" t="str">
            <v>Austria</v>
          </cell>
          <cell r="E78" t="str">
            <v>CT</v>
          </cell>
          <cell r="F78">
            <v>75</v>
          </cell>
          <cell r="G78">
            <v>34</v>
          </cell>
        </row>
        <row r="79">
          <cell r="A79">
            <v>78</v>
          </cell>
          <cell r="B79" t="str">
            <v>Andrea Adorante</v>
          </cell>
          <cell r="C79" t="str">
            <v>B-Team</v>
          </cell>
          <cell r="D79" t="str">
            <v>Italia</v>
          </cell>
          <cell r="E79" t="str">
            <v>DC</v>
          </cell>
          <cell r="F79">
            <v>70</v>
          </cell>
          <cell r="G79">
            <v>25</v>
          </cell>
        </row>
        <row r="80">
          <cell r="A80">
            <v>79</v>
          </cell>
          <cell r="B80" t="str">
            <v>Arnaud Djoum</v>
          </cell>
          <cell r="C80" t="str">
            <v>B-Team</v>
          </cell>
          <cell r="D80" t="str">
            <v>Camerún</v>
          </cell>
          <cell r="E80" t="str">
            <v>MC</v>
          </cell>
          <cell r="F80">
            <v>70</v>
          </cell>
          <cell r="G80">
            <v>36</v>
          </cell>
        </row>
        <row r="81">
          <cell r="A81">
            <v>80</v>
          </cell>
          <cell r="B81" t="str">
            <v>Byron Castillo</v>
          </cell>
          <cell r="C81" t="str">
            <v>B-Team</v>
          </cell>
          <cell r="D81" t="str">
            <v>Ecuador</v>
          </cell>
          <cell r="E81" t="str">
            <v>LD</v>
          </cell>
          <cell r="F81">
            <v>76</v>
          </cell>
          <cell r="G81">
            <v>27</v>
          </cell>
        </row>
        <row r="82">
          <cell r="A82">
            <v>81</v>
          </cell>
          <cell r="B82" t="str">
            <v>Diego Lopes</v>
          </cell>
          <cell r="C82" t="str">
            <v>B-Team</v>
          </cell>
          <cell r="D82" t="str">
            <v>Brasil</v>
          </cell>
          <cell r="E82" t="str">
            <v>MO</v>
          </cell>
          <cell r="F82">
            <v>74</v>
          </cell>
          <cell r="G82">
            <v>31</v>
          </cell>
        </row>
        <row r="83">
          <cell r="A83">
            <v>82</v>
          </cell>
          <cell r="B83" t="str">
            <v>Eduard Atuesta</v>
          </cell>
          <cell r="C83" t="str">
            <v>B-Team</v>
          </cell>
          <cell r="D83" t="str">
            <v>Colombia</v>
          </cell>
          <cell r="E83" t="str">
            <v>MC</v>
          </cell>
          <cell r="F83">
            <v>74</v>
          </cell>
          <cell r="G83">
            <v>28</v>
          </cell>
        </row>
        <row r="84">
          <cell r="A84">
            <v>83</v>
          </cell>
          <cell r="B84" t="str">
            <v>Fabio Maistro</v>
          </cell>
          <cell r="C84" t="str">
            <v>B-Team</v>
          </cell>
          <cell r="D84" t="str">
            <v>Italia</v>
          </cell>
          <cell r="E84" t="str">
            <v>MC</v>
          </cell>
          <cell r="F84">
            <v>68</v>
          </cell>
          <cell r="G84">
            <v>27</v>
          </cell>
        </row>
        <row r="85">
          <cell r="A85">
            <v>84</v>
          </cell>
          <cell r="B85" t="str">
            <v>Gastón Lezcano</v>
          </cell>
          <cell r="C85" t="str">
            <v>B-Team</v>
          </cell>
          <cell r="D85" t="str">
            <v>Argentina</v>
          </cell>
          <cell r="E85" t="str">
            <v>ED</v>
          </cell>
          <cell r="F85">
            <v>74</v>
          </cell>
          <cell r="G85">
            <v>39</v>
          </cell>
        </row>
        <row r="86">
          <cell r="A86">
            <v>85</v>
          </cell>
          <cell r="B86" t="str">
            <v>Gonzalo Bettini</v>
          </cell>
          <cell r="C86" t="str">
            <v>B-Team</v>
          </cell>
          <cell r="D86" t="str">
            <v>Argentina</v>
          </cell>
          <cell r="E86" t="str">
            <v>LD</v>
          </cell>
          <cell r="F86">
            <v>74</v>
          </cell>
          <cell r="G86">
            <v>33</v>
          </cell>
        </row>
        <row r="87">
          <cell r="A87">
            <v>86</v>
          </cell>
          <cell r="B87" t="str">
            <v>Jannes Horn</v>
          </cell>
          <cell r="C87" t="str">
            <v>B-Team</v>
          </cell>
          <cell r="D87" t="str">
            <v>Alemania</v>
          </cell>
          <cell r="E87" t="str">
            <v>LI</v>
          </cell>
          <cell r="F87">
            <v>74</v>
          </cell>
          <cell r="G87">
            <v>28</v>
          </cell>
        </row>
        <row r="88">
          <cell r="A88">
            <v>87</v>
          </cell>
          <cell r="B88" t="str">
            <v>Joselu Mato</v>
          </cell>
          <cell r="C88" t="str">
            <v>B-Team</v>
          </cell>
          <cell r="D88" t="str">
            <v>España</v>
          </cell>
          <cell r="E88" t="str">
            <v>DC</v>
          </cell>
          <cell r="F88">
            <v>82</v>
          </cell>
          <cell r="G88">
            <v>35</v>
          </cell>
        </row>
        <row r="89">
          <cell r="A89">
            <v>88</v>
          </cell>
          <cell r="B89" t="str">
            <v>Kevin Piscopo</v>
          </cell>
          <cell r="C89" t="str">
            <v>B-Team</v>
          </cell>
          <cell r="D89" t="str">
            <v>Italia</v>
          </cell>
          <cell r="E89" t="str">
            <v>MO</v>
          </cell>
          <cell r="F89">
            <v>67</v>
          </cell>
          <cell r="G89">
            <v>27</v>
          </cell>
        </row>
        <row r="90">
          <cell r="A90">
            <v>89</v>
          </cell>
          <cell r="B90" t="str">
            <v>Lorenzo Insigne</v>
          </cell>
          <cell r="C90" t="str">
            <v>B-Team</v>
          </cell>
          <cell r="D90" t="str">
            <v>Italia</v>
          </cell>
          <cell r="E90" t="str">
            <v>EI</v>
          </cell>
          <cell r="F90">
            <v>80</v>
          </cell>
          <cell r="G90">
            <v>34</v>
          </cell>
        </row>
        <row r="91">
          <cell r="A91">
            <v>90</v>
          </cell>
          <cell r="B91" t="str">
            <v>Marco Bellich</v>
          </cell>
          <cell r="C91" t="str">
            <v>B-Team</v>
          </cell>
          <cell r="D91" t="str">
            <v>Italia</v>
          </cell>
          <cell r="E91" t="str">
            <v>CT</v>
          </cell>
          <cell r="F91">
            <v>68</v>
          </cell>
          <cell r="G91">
            <v>26</v>
          </cell>
        </row>
        <row r="92">
          <cell r="A92">
            <v>91</v>
          </cell>
          <cell r="B92" t="str">
            <v>Marco Meli</v>
          </cell>
          <cell r="C92" t="str">
            <v>B-Team</v>
          </cell>
          <cell r="D92" t="str">
            <v>Italia</v>
          </cell>
          <cell r="E92" t="str">
            <v>MC</v>
          </cell>
          <cell r="F92">
            <v>60</v>
          </cell>
          <cell r="G92">
            <v>25</v>
          </cell>
        </row>
        <row r="93">
          <cell r="A93">
            <v>92</v>
          </cell>
          <cell r="B93" t="str">
            <v>Martín Campaña</v>
          </cell>
          <cell r="C93" t="str">
            <v>B-Team</v>
          </cell>
          <cell r="D93" t="str">
            <v>Uruguay</v>
          </cell>
          <cell r="E93" t="str">
            <v>PO</v>
          </cell>
          <cell r="F93">
            <v>75</v>
          </cell>
          <cell r="G93">
            <v>36</v>
          </cell>
        </row>
        <row r="94">
          <cell r="A94">
            <v>93</v>
          </cell>
          <cell r="B94" t="str">
            <v>Myrto Uzuni</v>
          </cell>
          <cell r="C94" t="str">
            <v>B-Team</v>
          </cell>
          <cell r="D94" t="str">
            <v>Albania</v>
          </cell>
          <cell r="E94" t="str">
            <v>EI</v>
          </cell>
          <cell r="F94">
            <v>77</v>
          </cell>
          <cell r="G94">
            <v>30</v>
          </cell>
        </row>
        <row r="95">
          <cell r="A95">
            <v>94</v>
          </cell>
          <cell r="B95" t="str">
            <v>Nahitan Nández</v>
          </cell>
          <cell r="C95" t="str">
            <v>B-Team</v>
          </cell>
          <cell r="D95" t="str">
            <v>Uruguay</v>
          </cell>
          <cell r="E95" t="str">
            <v>MC</v>
          </cell>
          <cell r="F95">
            <v>77</v>
          </cell>
          <cell r="G95">
            <v>30</v>
          </cell>
        </row>
        <row r="96">
          <cell r="A96">
            <v>95</v>
          </cell>
          <cell r="B96" t="str">
            <v>Nico Schulz</v>
          </cell>
          <cell r="C96" t="str">
            <v>B-Team</v>
          </cell>
          <cell r="D96" t="str">
            <v>Alemania</v>
          </cell>
          <cell r="E96" t="str">
            <v>LI</v>
          </cell>
          <cell r="F96">
            <v>75</v>
          </cell>
          <cell r="G96">
            <v>32</v>
          </cell>
        </row>
        <row r="97">
          <cell r="A97">
            <v>96</v>
          </cell>
          <cell r="B97" t="str">
            <v>Predrag Rajković</v>
          </cell>
          <cell r="C97" t="str">
            <v>B-Team</v>
          </cell>
          <cell r="D97" t="str">
            <v>Serbia</v>
          </cell>
          <cell r="E97" t="str">
            <v>PO</v>
          </cell>
          <cell r="F97">
            <v>79</v>
          </cell>
          <cell r="G97">
            <v>30</v>
          </cell>
        </row>
        <row r="98">
          <cell r="A98">
            <v>97</v>
          </cell>
          <cell r="B98" t="str">
            <v>Robin Knoche</v>
          </cell>
          <cell r="C98" t="str">
            <v>B-Team</v>
          </cell>
          <cell r="D98" t="str">
            <v>Alemania</v>
          </cell>
          <cell r="E98" t="str">
            <v>CT</v>
          </cell>
          <cell r="F98">
            <v>77</v>
          </cell>
          <cell r="G98">
            <v>33</v>
          </cell>
        </row>
        <row r="99">
          <cell r="A99">
            <v>98</v>
          </cell>
          <cell r="B99" t="str">
            <v>Rodrigo Caio</v>
          </cell>
          <cell r="C99" t="str">
            <v>B-Team</v>
          </cell>
          <cell r="D99" t="str">
            <v>Brasil</v>
          </cell>
          <cell r="E99" t="str">
            <v>CT</v>
          </cell>
          <cell r="F99">
            <v>75</v>
          </cell>
          <cell r="G99">
            <v>32</v>
          </cell>
        </row>
        <row r="100">
          <cell r="A100">
            <v>99</v>
          </cell>
          <cell r="B100" t="str">
            <v>Sammy Ameobi</v>
          </cell>
          <cell r="C100" t="str">
            <v>B-Team</v>
          </cell>
          <cell r="D100" t="str">
            <v>Inglaterra</v>
          </cell>
          <cell r="E100" t="str">
            <v>EI</v>
          </cell>
          <cell r="F100">
            <v>72</v>
          </cell>
          <cell r="G100">
            <v>33</v>
          </cell>
        </row>
        <row r="101">
          <cell r="A101">
            <v>100</v>
          </cell>
          <cell r="B101" t="str">
            <v>Thomas Goiginger</v>
          </cell>
          <cell r="C101" t="str">
            <v>B-Team</v>
          </cell>
          <cell r="D101" t="str">
            <v>Austria</v>
          </cell>
          <cell r="E101" t="str">
            <v>EI</v>
          </cell>
          <cell r="F101">
            <v>73</v>
          </cell>
          <cell r="G101">
            <v>32</v>
          </cell>
        </row>
        <row r="102">
          <cell r="A102">
            <v>101</v>
          </cell>
          <cell r="B102" t="str">
            <v>A. Christensen</v>
          </cell>
          <cell r="C102" t="str">
            <v>FC Barcelona</v>
          </cell>
          <cell r="D102" t="str">
            <v>Dinamarca</v>
          </cell>
          <cell r="E102" t="str">
            <v>CT</v>
          </cell>
          <cell r="F102">
            <v>83</v>
          </cell>
          <cell r="G102">
            <v>29</v>
          </cell>
        </row>
        <row r="103">
          <cell r="A103">
            <v>102</v>
          </cell>
          <cell r="B103" t="str">
            <v>Alejandro Balde</v>
          </cell>
          <cell r="C103" t="str">
            <v>FC Barcelona</v>
          </cell>
          <cell r="D103" t="str">
            <v>España</v>
          </cell>
          <cell r="E103" t="str">
            <v>LI</v>
          </cell>
          <cell r="F103">
            <v>83</v>
          </cell>
          <cell r="G103">
            <v>22</v>
          </cell>
        </row>
        <row r="104">
          <cell r="A104">
            <v>103</v>
          </cell>
          <cell r="B104" t="str">
            <v>Andrés Cuenca</v>
          </cell>
          <cell r="C104" t="str">
            <v>FC Barcelona</v>
          </cell>
          <cell r="D104" t="str">
            <v>España</v>
          </cell>
          <cell r="E104" t="str">
            <v>CT</v>
          </cell>
          <cell r="F104">
            <v>61</v>
          </cell>
          <cell r="G104">
            <v>18</v>
          </cell>
        </row>
        <row r="105">
          <cell r="A105">
            <v>104</v>
          </cell>
          <cell r="B105" t="str">
            <v>Dani Olmo</v>
          </cell>
          <cell r="C105" t="str">
            <v>FC Barcelona</v>
          </cell>
          <cell r="D105" t="str">
            <v>España</v>
          </cell>
          <cell r="E105" t="str">
            <v>MO</v>
          </cell>
          <cell r="F105">
            <v>84</v>
          </cell>
          <cell r="G105">
            <v>27</v>
          </cell>
        </row>
        <row r="106">
          <cell r="A106">
            <v>105</v>
          </cell>
          <cell r="B106" t="str">
            <v>Dani Rodríguez C.</v>
          </cell>
          <cell r="C106" t="str">
            <v>FC Barcelona</v>
          </cell>
          <cell r="D106" t="str">
            <v>España</v>
          </cell>
          <cell r="E106" t="str">
            <v>ED</v>
          </cell>
          <cell r="F106">
            <v>63</v>
          </cell>
          <cell r="G106">
            <v>20</v>
          </cell>
        </row>
        <row r="107">
          <cell r="A107">
            <v>106</v>
          </cell>
          <cell r="B107" t="str">
            <v>Diego Kochen</v>
          </cell>
          <cell r="C107" t="str">
            <v>FC Barcelona</v>
          </cell>
          <cell r="D107" t="str">
            <v>Estados Unidos</v>
          </cell>
          <cell r="E107" t="str">
            <v>PO</v>
          </cell>
          <cell r="F107">
            <v>58</v>
          </cell>
          <cell r="G107">
            <v>19</v>
          </cell>
        </row>
        <row r="108">
          <cell r="A108">
            <v>107</v>
          </cell>
          <cell r="B108" t="str">
            <v>Eric García</v>
          </cell>
          <cell r="C108" t="str">
            <v>FC Barcelona</v>
          </cell>
          <cell r="D108" t="str">
            <v>España</v>
          </cell>
          <cell r="E108" t="str">
            <v>CT</v>
          </cell>
          <cell r="F108">
            <v>84</v>
          </cell>
          <cell r="G108">
            <v>24</v>
          </cell>
        </row>
        <row r="109">
          <cell r="A109">
            <v>108</v>
          </cell>
          <cell r="B109" t="str">
            <v>Fermín López</v>
          </cell>
          <cell r="C109" t="str">
            <v>FC Barcelona</v>
          </cell>
          <cell r="D109" t="str">
            <v>España</v>
          </cell>
          <cell r="E109" t="str">
            <v>MO</v>
          </cell>
          <cell r="F109">
            <v>82</v>
          </cell>
          <cell r="G109">
            <v>22</v>
          </cell>
        </row>
        <row r="110">
          <cell r="A110">
            <v>109</v>
          </cell>
          <cell r="B110" t="str">
            <v>Ferrán Torres</v>
          </cell>
          <cell r="C110" t="str">
            <v>FC Barcelona</v>
          </cell>
          <cell r="D110" t="str">
            <v>España</v>
          </cell>
          <cell r="E110" t="str">
            <v>DC</v>
          </cell>
          <cell r="F110">
            <v>79</v>
          </cell>
          <cell r="G110">
            <v>25</v>
          </cell>
        </row>
        <row r="111">
          <cell r="A111">
            <v>110</v>
          </cell>
          <cell r="B111" t="str">
            <v>Frenkie de Jong</v>
          </cell>
          <cell r="C111" t="str">
            <v>FC Barcelona</v>
          </cell>
          <cell r="D111" t="str">
            <v>Países Bajos</v>
          </cell>
          <cell r="E111" t="str">
            <v>MC</v>
          </cell>
          <cell r="F111">
            <v>86</v>
          </cell>
          <cell r="G111">
            <v>28</v>
          </cell>
        </row>
        <row r="112">
          <cell r="A112">
            <v>111</v>
          </cell>
          <cell r="B112" t="str">
            <v>Gavi</v>
          </cell>
          <cell r="C112" t="str">
            <v>FC Barcelona</v>
          </cell>
          <cell r="D112" t="str">
            <v>España</v>
          </cell>
          <cell r="E112" t="str">
            <v>MC</v>
          </cell>
          <cell r="F112">
            <v>83</v>
          </cell>
          <cell r="G112">
            <v>21</v>
          </cell>
        </row>
        <row r="113">
          <cell r="A113">
            <v>112</v>
          </cell>
          <cell r="B113" t="str">
            <v>Gerard Martín</v>
          </cell>
          <cell r="C113" t="str">
            <v>FC Barcelona</v>
          </cell>
          <cell r="D113" t="str">
            <v>España</v>
          </cell>
          <cell r="E113" t="str">
            <v>LI</v>
          </cell>
          <cell r="F113">
            <v>75</v>
          </cell>
          <cell r="G113">
            <v>23</v>
          </cell>
        </row>
        <row r="114">
          <cell r="A114">
            <v>113</v>
          </cell>
          <cell r="B114" t="str">
            <v>Joan García</v>
          </cell>
          <cell r="C114" t="str">
            <v>FC Barcelona</v>
          </cell>
          <cell r="D114" t="str">
            <v>España</v>
          </cell>
          <cell r="E114" t="str">
            <v>PO</v>
          </cell>
          <cell r="F114">
            <v>86</v>
          </cell>
          <cell r="G114">
            <v>24</v>
          </cell>
        </row>
        <row r="115">
          <cell r="A115">
            <v>114</v>
          </cell>
          <cell r="B115" t="str">
            <v>Jules Koundé</v>
          </cell>
          <cell r="C115" t="str">
            <v>FC Barcelona</v>
          </cell>
          <cell r="D115" t="str">
            <v>Francia</v>
          </cell>
          <cell r="E115" t="str">
            <v>LD</v>
          </cell>
          <cell r="F115">
            <v>86</v>
          </cell>
          <cell r="G115">
            <v>27</v>
          </cell>
        </row>
        <row r="116">
          <cell r="A116">
            <v>115</v>
          </cell>
          <cell r="B116" t="str">
            <v>Lamine Yamal</v>
          </cell>
          <cell r="C116" t="str">
            <v>FC Barcelona</v>
          </cell>
          <cell r="D116" t="str">
            <v>España</v>
          </cell>
          <cell r="E116" t="str">
            <v>ED</v>
          </cell>
          <cell r="F116">
            <v>85</v>
          </cell>
          <cell r="G116">
            <v>18</v>
          </cell>
        </row>
        <row r="117">
          <cell r="A117">
            <v>116</v>
          </cell>
          <cell r="B117" t="str">
            <v>M. ter Stegen</v>
          </cell>
          <cell r="C117" t="str">
            <v>FC Barcelona</v>
          </cell>
          <cell r="D117" t="str">
            <v>Alemania</v>
          </cell>
          <cell r="E117" t="str">
            <v>PO</v>
          </cell>
          <cell r="F117">
            <v>83</v>
          </cell>
          <cell r="G117">
            <v>33</v>
          </cell>
        </row>
        <row r="118">
          <cell r="A118">
            <v>117</v>
          </cell>
          <cell r="B118" t="str">
            <v>Marc Bernal</v>
          </cell>
          <cell r="C118" t="str">
            <v>FC Barcelona</v>
          </cell>
          <cell r="D118" t="str">
            <v>España</v>
          </cell>
          <cell r="E118" t="str">
            <v>MCD</v>
          </cell>
          <cell r="F118">
            <v>67</v>
          </cell>
          <cell r="G118">
            <v>18</v>
          </cell>
        </row>
        <row r="119">
          <cell r="A119">
            <v>118</v>
          </cell>
          <cell r="B119" t="str">
            <v>Marc Casadó</v>
          </cell>
          <cell r="C119" t="str">
            <v>FC Barcelona</v>
          </cell>
          <cell r="D119" t="str">
            <v>España</v>
          </cell>
          <cell r="E119" t="str">
            <v>MCD</v>
          </cell>
          <cell r="F119">
            <v>77</v>
          </cell>
          <cell r="G119">
            <v>22</v>
          </cell>
        </row>
        <row r="120">
          <cell r="A120">
            <v>119</v>
          </cell>
          <cell r="B120" t="str">
            <v>Marcus Rashford</v>
          </cell>
          <cell r="C120" t="str">
            <v>FC Barcelona</v>
          </cell>
          <cell r="D120" t="str">
            <v>Inglaterra</v>
          </cell>
          <cell r="E120" t="str">
            <v>EI</v>
          </cell>
          <cell r="F120">
            <v>82</v>
          </cell>
          <cell r="G120">
            <v>28</v>
          </cell>
        </row>
        <row r="121">
          <cell r="A121">
            <v>120</v>
          </cell>
          <cell r="B121" t="str">
            <v>Pau Cubarsí</v>
          </cell>
          <cell r="C121" t="str">
            <v>FC Barcelona</v>
          </cell>
          <cell r="D121" t="str">
            <v>España</v>
          </cell>
          <cell r="E121" t="str">
            <v>CT</v>
          </cell>
          <cell r="F121">
            <v>80</v>
          </cell>
          <cell r="G121">
            <v>18</v>
          </cell>
        </row>
        <row r="122">
          <cell r="A122">
            <v>121</v>
          </cell>
          <cell r="B122" t="str">
            <v>Pedri</v>
          </cell>
          <cell r="C122" t="str">
            <v>FC Barcelona</v>
          </cell>
          <cell r="D122" t="str">
            <v>España</v>
          </cell>
          <cell r="E122" t="str">
            <v>MC</v>
          </cell>
          <cell r="F122">
            <v>89</v>
          </cell>
          <cell r="G122">
            <v>23</v>
          </cell>
        </row>
        <row r="123">
          <cell r="A123">
            <v>122</v>
          </cell>
          <cell r="B123" t="str">
            <v>R. Lewandowski</v>
          </cell>
          <cell r="C123" t="str">
            <v>FC Barcelona</v>
          </cell>
          <cell r="D123" t="str">
            <v>Polonia</v>
          </cell>
          <cell r="E123" t="str">
            <v>DC</v>
          </cell>
          <cell r="F123">
            <v>88</v>
          </cell>
          <cell r="G123">
            <v>37</v>
          </cell>
        </row>
        <row r="124">
          <cell r="A124">
            <v>123</v>
          </cell>
          <cell r="B124" t="str">
            <v>Raphinha</v>
          </cell>
          <cell r="C124" t="str">
            <v>FC Barcelona</v>
          </cell>
          <cell r="D124" t="str">
            <v>Brasil</v>
          </cell>
          <cell r="E124" t="str">
            <v>EI</v>
          </cell>
          <cell r="F124">
            <v>87</v>
          </cell>
          <cell r="G124">
            <v>29</v>
          </cell>
        </row>
        <row r="125">
          <cell r="A125">
            <v>124</v>
          </cell>
          <cell r="B125" t="str">
            <v>Ronald Araujo</v>
          </cell>
          <cell r="C125" t="str">
            <v>FC Barcelona</v>
          </cell>
          <cell r="D125" t="str">
            <v>Uruguay</v>
          </cell>
          <cell r="E125" t="str">
            <v>CT</v>
          </cell>
          <cell r="F125">
            <v>79</v>
          </cell>
          <cell r="G125">
            <v>26</v>
          </cell>
        </row>
        <row r="126">
          <cell r="A126">
            <v>125</v>
          </cell>
          <cell r="B126" t="str">
            <v>Roony Bardghji</v>
          </cell>
          <cell r="C126" t="str">
            <v>FC Barcelona</v>
          </cell>
          <cell r="D126" t="str">
            <v>Suecia</v>
          </cell>
          <cell r="E126" t="str">
            <v>ED</v>
          </cell>
          <cell r="F126">
            <v>71</v>
          </cell>
          <cell r="G126">
            <v>20</v>
          </cell>
        </row>
        <row r="127">
          <cell r="A127">
            <v>126</v>
          </cell>
          <cell r="B127" t="str">
            <v>Wojciech Szczesny</v>
          </cell>
          <cell r="C127" t="str">
            <v>FC Barcelona</v>
          </cell>
          <cell r="D127" t="str">
            <v>Polonia</v>
          </cell>
          <cell r="E127" t="str">
            <v>PO</v>
          </cell>
          <cell r="F127">
            <v>81</v>
          </cell>
          <cell r="G127">
            <v>35</v>
          </cell>
        </row>
        <row r="128">
          <cell r="A128">
            <v>127</v>
          </cell>
          <cell r="B128" t="str">
            <v>Abde Ezzalzouli</v>
          </cell>
          <cell r="C128" t="str">
            <v>Real Betis</v>
          </cell>
          <cell r="D128" t="str">
            <v>Marruecos</v>
          </cell>
          <cell r="E128" t="str">
            <v>EI</v>
          </cell>
          <cell r="F128">
            <v>77</v>
          </cell>
          <cell r="G128">
            <v>24</v>
          </cell>
        </row>
        <row r="129">
          <cell r="A129">
            <v>128</v>
          </cell>
          <cell r="B129" t="str">
            <v>Adrián San Miguel</v>
          </cell>
          <cell r="C129" t="str">
            <v>Real Betis</v>
          </cell>
          <cell r="D129" t="str">
            <v>España</v>
          </cell>
          <cell r="E129" t="str">
            <v>PO</v>
          </cell>
          <cell r="F129">
            <v>73</v>
          </cell>
          <cell r="G129">
            <v>38</v>
          </cell>
        </row>
        <row r="130">
          <cell r="A130">
            <v>129</v>
          </cell>
          <cell r="B130" t="str">
            <v>Aitor Ruibal</v>
          </cell>
          <cell r="C130" t="str">
            <v>Real Betis</v>
          </cell>
          <cell r="D130" t="str">
            <v>España</v>
          </cell>
          <cell r="E130" t="str">
            <v>ED</v>
          </cell>
          <cell r="F130">
            <v>78</v>
          </cell>
          <cell r="G130">
            <v>29</v>
          </cell>
        </row>
        <row r="131">
          <cell r="A131">
            <v>130</v>
          </cell>
          <cell r="B131" t="str">
            <v>Álvaro Valles</v>
          </cell>
          <cell r="C131" t="str">
            <v>Real Betis</v>
          </cell>
          <cell r="D131" t="str">
            <v>España</v>
          </cell>
          <cell r="E131" t="str">
            <v>PO</v>
          </cell>
          <cell r="F131">
            <v>81</v>
          </cell>
          <cell r="G131">
            <v>28</v>
          </cell>
        </row>
        <row r="132">
          <cell r="A132">
            <v>131</v>
          </cell>
          <cell r="B132" t="str">
            <v>Ángel Ortiz</v>
          </cell>
          <cell r="C132" t="str">
            <v>Real Betis</v>
          </cell>
          <cell r="D132" t="str">
            <v>España</v>
          </cell>
          <cell r="E132" t="str">
            <v>LD</v>
          </cell>
          <cell r="F132">
            <v>67</v>
          </cell>
          <cell r="G132">
            <v>21</v>
          </cell>
        </row>
        <row r="133">
          <cell r="A133">
            <v>132</v>
          </cell>
          <cell r="B133" t="str">
            <v>Antony</v>
          </cell>
          <cell r="C133" t="str">
            <v>Real Betis</v>
          </cell>
          <cell r="D133" t="str">
            <v>Brasil</v>
          </cell>
          <cell r="E133" t="str">
            <v>ED</v>
          </cell>
          <cell r="F133">
            <v>81</v>
          </cell>
          <cell r="G133">
            <v>25</v>
          </cell>
        </row>
        <row r="134">
          <cell r="A134">
            <v>133</v>
          </cell>
          <cell r="B134" t="str">
            <v>Cédric Bakambu</v>
          </cell>
          <cell r="C134" t="str">
            <v>Real Betis</v>
          </cell>
          <cell r="D134" t="str">
            <v>RD del Congo</v>
          </cell>
          <cell r="E134" t="str">
            <v>DC</v>
          </cell>
          <cell r="F134">
            <v>75</v>
          </cell>
          <cell r="G134">
            <v>34</v>
          </cell>
        </row>
        <row r="135">
          <cell r="A135">
            <v>134</v>
          </cell>
          <cell r="B135" t="str">
            <v>Chimy Ávila</v>
          </cell>
          <cell r="C135" t="str">
            <v>Real Betis</v>
          </cell>
          <cell r="D135" t="str">
            <v>Argentina</v>
          </cell>
          <cell r="E135" t="str">
            <v>DC</v>
          </cell>
          <cell r="F135">
            <v>78</v>
          </cell>
          <cell r="G135">
            <v>31</v>
          </cell>
        </row>
        <row r="136">
          <cell r="A136">
            <v>135</v>
          </cell>
          <cell r="B136" t="str">
            <v>Cucho Hernández</v>
          </cell>
          <cell r="C136" t="str">
            <v>Real Betis</v>
          </cell>
          <cell r="D136" t="str">
            <v>Colombia</v>
          </cell>
          <cell r="E136" t="str">
            <v>DC</v>
          </cell>
          <cell r="F136">
            <v>79</v>
          </cell>
          <cell r="G136">
            <v>26</v>
          </cell>
        </row>
        <row r="137">
          <cell r="A137">
            <v>136</v>
          </cell>
          <cell r="B137" t="str">
            <v>Dani Pérez</v>
          </cell>
          <cell r="C137" t="str">
            <v>Real Betis</v>
          </cell>
          <cell r="D137" t="str">
            <v>España</v>
          </cell>
          <cell r="E137" t="str">
            <v>MO</v>
          </cell>
          <cell r="F137">
            <v>64</v>
          </cell>
          <cell r="G137">
            <v>20</v>
          </cell>
        </row>
        <row r="138">
          <cell r="A138">
            <v>137</v>
          </cell>
          <cell r="B138" t="str">
            <v>Diego Llorente</v>
          </cell>
          <cell r="C138" t="str">
            <v>Real Betis</v>
          </cell>
          <cell r="D138" t="str">
            <v>España</v>
          </cell>
          <cell r="E138" t="str">
            <v>CT</v>
          </cell>
          <cell r="F138">
            <v>79</v>
          </cell>
          <cell r="G138">
            <v>32</v>
          </cell>
        </row>
        <row r="139">
          <cell r="A139">
            <v>138</v>
          </cell>
          <cell r="B139" t="str">
            <v>Ginés Sorroche</v>
          </cell>
          <cell r="C139" t="str">
            <v>Real Betis</v>
          </cell>
          <cell r="D139" t="str">
            <v>España</v>
          </cell>
          <cell r="E139" t="str">
            <v>MC</v>
          </cell>
          <cell r="F139">
            <v>64</v>
          </cell>
          <cell r="G139">
            <v>21</v>
          </cell>
        </row>
        <row r="140">
          <cell r="A140">
            <v>139</v>
          </cell>
          <cell r="B140" t="str">
            <v>Giovani Lo Celso</v>
          </cell>
          <cell r="C140" t="str">
            <v>Real Betis</v>
          </cell>
          <cell r="D140" t="str">
            <v>Argentina</v>
          </cell>
          <cell r="E140" t="str">
            <v>MO</v>
          </cell>
          <cell r="F140">
            <v>81</v>
          </cell>
          <cell r="G140">
            <v>29</v>
          </cell>
        </row>
        <row r="141">
          <cell r="A141">
            <v>140</v>
          </cell>
          <cell r="B141" t="str">
            <v>Héctor Bellerín</v>
          </cell>
          <cell r="C141" t="str">
            <v>Real Betis</v>
          </cell>
          <cell r="D141" t="str">
            <v>España</v>
          </cell>
          <cell r="E141" t="str">
            <v>LD</v>
          </cell>
          <cell r="F141">
            <v>77</v>
          </cell>
          <cell r="G141">
            <v>30</v>
          </cell>
        </row>
        <row r="142">
          <cell r="A142">
            <v>141</v>
          </cell>
          <cell r="B142" t="str">
            <v>Isco</v>
          </cell>
          <cell r="C142" t="str">
            <v>Real Betis</v>
          </cell>
          <cell r="D142" t="str">
            <v>España</v>
          </cell>
          <cell r="E142" t="str">
            <v>MO</v>
          </cell>
          <cell r="F142">
            <v>83</v>
          </cell>
          <cell r="G142">
            <v>33</v>
          </cell>
        </row>
        <row r="143">
          <cell r="A143">
            <v>142</v>
          </cell>
          <cell r="B143" t="str">
            <v>Junior Firpo</v>
          </cell>
          <cell r="C143" t="str">
            <v>Real Betis</v>
          </cell>
          <cell r="D143" t="str">
            <v>República Dominicana</v>
          </cell>
          <cell r="E143" t="str">
            <v>LI</v>
          </cell>
          <cell r="F143">
            <v>75</v>
          </cell>
          <cell r="G143">
            <v>29</v>
          </cell>
        </row>
        <row r="144">
          <cell r="A144">
            <v>143</v>
          </cell>
          <cell r="B144" t="str">
            <v>Marc Bartra</v>
          </cell>
          <cell r="C144" t="str">
            <v>Real Betis</v>
          </cell>
          <cell r="D144" t="str">
            <v>España</v>
          </cell>
          <cell r="E144" t="str">
            <v>CT</v>
          </cell>
          <cell r="F144">
            <v>77</v>
          </cell>
          <cell r="G144">
            <v>34</v>
          </cell>
        </row>
        <row r="145">
          <cell r="A145">
            <v>144</v>
          </cell>
          <cell r="B145" t="str">
            <v>Marc Roca</v>
          </cell>
          <cell r="C145" t="str">
            <v>Real Betis</v>
          </cell>
          <cell r="D145" t="str">
            <v>España</v>
          </cell>
          <cell r="E145" t="str">
            <v>MCD</v>
          </cell>
          <cell r="F145">
            <v>78</v>
          </cell>
          <cell r="G145">
            <v>29</v>
          </cell>
        </row>
        <row r="146">
          <cell r="A146">
            <v>145</v>
          </cell>
          <cell r="B146" t="str">
            <v>Natan</v>
          </cell>
          <cell r="C146" t="str">
            <v>Real Betis</v>
          </cell>
          <cell r="D146" t="str">
            <v>Brasil</v>
          </cell>
          <cell r="E146" t="str">
            <v>CT</v>
          </cell>
          <cell r="F146">
            <v>76</v>
          </cell>
          <cell r="G146">
            <v>24</v>
          </cell>
        </row>
        <row r="147">
          <cell r="A147">
            <v>146</v>
          </cell>
          <cell r="B147" t="str">
            <v>Nelson Deossa</v>
          </cell>
          <cell r="C147" t="str">
            <v>Real Betis</v>
          </cell>
          <cell r="D147" t="str">
            <v>Colombia</v>
          </cell>
          <cell r="E147" t="str">
            <v>MC</v>
          </cell>
          <cell r="F147">
            <v>75</v>
          </cell>
          <cell r="G147">
            <v>25</v>
          </cell>
        </row>
        <row r="148">
          <cell r="A148">
            <v>147</v>
          </cell>
          <cell r="B148" t="str">
            <v>Pablo Busto</v>
          </cell>
          <cell r="C148" t="str">
            <v>Real Betis</v>
          </cell>
          <cell r="D148" t="str">
            <v>España</v>
          </cell>
          <cell r="E148" t="str">
            <v>LD</v>
          </cell>
          <cell r="F148">
            <v>67</v>
          </cell>
          <cell r="G148">
            <v>20</v>
          </cell>
        </row>
        <row r="149">
          <cell r="A149">
            <v>148</v>
          </cell>
          <cell r="B149" t="str">
            <v>Pablo Fornals</v>
          </cell>
          <cell r="C149" t="str">
            <v>Real Betis</v>
          </cell>
          <cell r="D149" t="str">
            <v>España</v>
          </cell>
          <cell r="E149" t="str">
            <v>MC</v>
          </cell>
          <cell r="F149">
            <v>78</v>
          </cell>
          <cell r="G149">
            <v>29</v>
          </cell>
        </row>
        <row r="150">
          <cell r="A150">
            <v>149</v>
          </cell>
          <cell r="B150" t="str">
            <v>Pablo García F.</v>
          </cell>
          <cell r="C150" t="str">
            <v>Real Betis</v>
          </cell>
          <cell r="D150" t="str">
            <v>España</v>
          </cell>
          <cell r="E150" t="str">
            <v>ED</v>
          </cell>
          <cell r="F150">
            <v>65</v>
          </cell>
          <cell r="G150">
            <v>19</v>
          </cell>
        </row>
        <row r="151">
          <cell r="A151">
            <v>150</v>
          </cell>
          <cell r="B151" t="str">
            <v>Pau López</v>
          </cell>
          <cell r="C151" t="str">
            <v>Real Betis</v>
          </cell>
          <cell r="D151" t="str">
            <v>España</v>
          </cell>
          <cell r="E151" t="str">
            <v>PO</v>
          </cell>
          <cell r="F151">
            <v>77</v>
          </cell>
          <cell r="G151">
            <v>31</v>
          </cell>
        </row>
        <row r="152">
          <cell r="A152">
            <v>151</v>
          </cell>
          <cell r="B152" t="str">
            <v>Ricardo Rodríguez</v>
          </cell>
          <cell r="C152" t="str">
            <v>Real Betis</v>
          </cell>
          <cell r="D152" t="str">
            <v>Suiza</v>
          </cell>
          <cell r="E152" t="str">
            <v>LI</v>
          </cell>
          <cell r="F152">
            <v>76</v>
          </cell>
          <cell r="G152">
            <v>33</v>
          </cell>
        </row>
        <row r="153">
          <cell r="A153">
            <v>152</v>
          </cell>
          <cell r="B153" t="str">
            <v>Rodrigo Riquelme</v>
          </cell>
          <cell r="C153" t="str">
            <v>Real Betis</v>
          </cell>
          <cell r="D153" t="str">
            <v>España</v>
          </cell>
          <cell r="E153" t="str">
            <v>EI</v>
          </cell>
          <cell r="F153">
            <v>78</v>
          </cell>
          <cell r="G153">
            <v>25</v>
          </cell>
        </row>
        <row r="154">
          <cell r="A154">
            <v>153</v>
          </cell>
          <cell r="B154" t="str">
            <v>Sergi Altimira</v>
          </cell>
          <cell r="C154" t="str">
            <v>Real Betis</v>
          </cell>
          <cell r="D154" t="str">
            <v>España</v>
          </cell>
          <cell r="E154" t="str">
            <v>MC</v>
          </cell>
          <cell r="F154">
            <v>76</v>
          </cell>
          <cell r="G154">
            <v>24</v>
          </cell>
        </row>
        <row r="155">
          <cell r="A155">
            <v>154</v>
          </cell>
          <cell r="B155" t="str">
            <v>Sofyan Amrabat</v>
          </cell>
          <cell r="C155" t="str">
            <v>Real Betis</v>
          </cell>
          <cell r="D155" t="str">
            <v>Marruecos</v>
          </cell>
          <cell r="E155" t="str">
            <v>MCD</v>
          </cell>
          <cell r="F155">
            <v>80</v>
          </cell>
          <cell r="G155">
            <v>29</v>
          </cell>
        </row>
        <row r="156">
          <cell r="A156">
            <v>155</v>
          </cell>
          <cell r="B156" t="str">
            <v>Valentín Gómez</v>
          </cell>
          <cell r="C156" t="str">
            <v>Real Betis</v>
          </cell>
          <cell r="D156" t="str">
            <v>Argentina</v>
          </cell>
          <cell r="E156" t="str">
            <v>CT</v>
          </cell>
          <cell r="F156">
            <v>76</v>
          </cell>
          <cell r="G156">
            <v>22</v>
          </cell>
        </row>
        <row r="157">
          <cell r="A157">
            <v>156</v>
          </cell>
          <cell r="B157" t="str">
            <v>Borja Iglesias</v>
          </cell>
          <cell r="C157" t="str">
            <v>RC Celta de Vigo</v>
          </cell>
          <cell r="D157" t="str">
            <v>España</v>
          </cell>
          <cell r="E157" t="str">
            <v>DC</v>
          </cell>
          <cell r="F157">
            <v>78</v>
          </cell>
          <cell r="G157">
            <v>32</v>
          </cell>
        </row>
        <row r="158">
          <cell r="A158">
            <v>157</v>
          </cell>
          <cell r="B158" t="str">
            <v>Bryan Zaragoza</v>
          </cell>
          <cell r="C158" t="str">
            <v>RC Celta de Vigo</v>
          </cell>
          <cell r="D158" t="str">
            <v>España</v>
          </cell>
          <cell r="E158" t="str">
            <v>EI</v>
          </cell>
          <cell r="F158">
            <v>77</v>
          </cell>
          <cell r="G158">
            <v>24</v>
          </cell>
        </row>
        <row r="159">
          <cell r="A159">
            <v>158</v>
          </cell>
          <cell r="B159" t="str">
            <v>Carl Starfelt</v>
          </cell>
          <cell r="C159" t="str">
            <v>RC Celta de Vigo</v>
          </cell>
          <cell r="D159" t="str">
            <v>Suecia</v>
          </cell>
          <cell r="E159" t="str">
            <v>CT</v>
          </cell>
          <cell r="F159">
            <v>77</v>
          </cell>
          <cell r="G159">
            <v>30</v>
          </cell>
        </row>
        <row r="160">
          <cell r="A160">
            <v>159</v>
          </cell>
          <cell r="B160" t="str">
            <v>Carlos Domínguez</v>
          </cell>
          <cell r="C160" t="str">
            <v>RC Celta de Vigo</v>
          </cell>
          <cell r="D160" t="str">
            <v>España</v>
          </cell>
          <cell r="E160" t="str">
            <v>CT</v>
          </cell>
          <cell r="F160">
            <v>71</v>
          </cell>
          <cell r="G160">
            <v>24</v>
          </cell>
        </row>
        <row r="161">
          <cell r="A161">
            <v>160</v>
          </cell>
          <cell r="B161" t="str">
            <v>Damián Rodríguez</v>
          </cell>
          <cell r="C161" t="str">
            <v>RC Celta de Vigo</v>
          </cell>
          <cell r="D161" t="str">
            <v>España</v>
          </cell>
          <cell r="E161" t="str">
            <v>MCD</v>
          </cell>
          <cell r="F161">
            <v>72</v>
          </cell>
          <cell r="G161">
            <v>22</v>
          </cell>
        </row>
        <row r="162">
          <cell r="A162">
            <v>161</v>
          </cell>
          <cell r="B162" t="str">
            <v>Ferran Jutglà</v>
          </cell>
          <cell r="C162" t="str">
            <v>RC Celta de Vigo</v>
          </cell>
          <cell r="D162" t="str">
            <v>España</v>
          </cell>
          <cell r="E162" t="str">
            <v>DC</v>
          </cell>
          <cell r="F162">
            <v>75</v>
          </cell>
          <cell r="G162">
            <v>26</v>
          </cell>
        </row>
        <row r="163">
          <cell r="A163">
            <v>162</v>
          </cell>
          <cell r="B163" t="str">
            <v>Fran Beltrán</v>
          </cell>
          <cell r="C163" t="str">
            <v>RC Celta de Vigo</v>
          </cell>
          <cell r="D163" t="str">
            <v>España</v>
          </cell>
          <cell r="E163" t="str">
            <v>MC</v>
          </cell>
          <cell r="F163">
            <v>78</v>
          </cell>
          <cell r="G163">
            <v>26</v>
          </cell>
        </row>
        <row r="164">
          <cell r="A164">
            <v>163</v>
          </cell>
          <cell r="B164" t="str">
            <v>Franco Cervi</v>
          </cell>
          <cell r="C164" t="str">
            <v>RC Celta de Vigo</v>
          </cell>
          <cell r="D164" t="str">
            <v>Argentina</v>
          </cell>
          <cell r="E164" t="str">
            <v>EI</v>
          </cell>
          <cell r="F164">
            <v>75</v>
          </cell>
          <cell r="G164">
            <v>31</v>
          </cell>
        </row>
        <row r="165">
          <cell r="A165">
            <v>164</v>
          </cell>
          <cell r="B165" t="str">
            <v>Hugo Álvarez</v>
          </cell>
          <cell r="C165" t="str">
            <v>RC Celta de Vigo</v>
          </cell>
          <cell r="D165" t="str">
            <v>España</v>
          </cell>
          <cell r="E165" t="str">
            <v>EI</v>
          </cell>
          <cell r="F165">
            <v>75</v>
          </cell>
          <cell r="G165">
            <v>22</v>
          </cell>
        </row>
        <row r="166">
          <cell r="A166">
            <v>165</v>
          </cell>
          <cell r="B166" t="str">
            <v>Hugo Sotelo</v>
          </cell>
          <cell r="C166" t="str">
            <v>RC Celta de Vigo</v>
          </cell>
          <cell r="D166" t="str">
            <v>España</v>
          </cell>
          <cell r="E166" t="str">
            <v>MC</v>
          </cell>
          <cell r="F166">
            <v>69</v>
          </cell>
          <cell r="G166">
            <v>22</v>
          </cell>
        </row>
        <row r="167">
          <cell r="A167">
            <v>166</v>
          </cell>
          <cell r="B167" t="str">
            <v>Iago Aspas</v>
          </cell>
          <cell r="C167" t="str">
            <v>RC Celta de Vigo</v>
          </cell>
          <cell r="D167" t="str">
            <v>España</v>
          </cell>
          <cell r="E167" t="str">
            <v>DC</v>
          </cell>
          <cell r="F167">
            <v>84</v>
          </cell>
          <cell r="G167">
            <v>38</v>
          </cell>
        </row>
        <row r="168">
          <cell r="A168">
            <v>167</v>
          </cell>
          <cell r="B168" t="str">
            <v>Ilaix Moriba</v>
          </cell>
          <cell r="C168" t="str">
            <v>RC Celta de Vigo</v>
          </cell>
          <cell r="D168" t="str">
            <v>Guinea</v>
          </cell>
          <cell r="E168" t="str">
            <v>MC</v>
          </cell>
          <cell r="F168">
            <v>76</v>
          </cell>
          <cell r="G168">
            <v>22</v>
          </cell>
        </row>
        <row r="169">
          <cell r="A169">
            <v>168</v>
          </cell>
          <cell r="B169" t="str">
            <v>Ionut Radu</v>
          </cell>
          <cell r="C169" t="str">
            <v>RC Celta de Vigo</v>
          </cell>
          <cell r="D169" t="str">
            <v>Rumania</v>
          </cell>
          <cell r="E169" t="str">
            <v>PO</v>
          </cell>
          <cell r="F169">
            <v>73</v>
          </cell>
          <cell r="G169">
            <v>28</v>
          </cell>
        </row>
        <row r="170">
          <cell r="A170">
            <v>169</v>
          </cell>
          <cell r="B170" t="str">
            <v>Iván Villar</v>
          </cell>
          <cell r="C170" t="str">
            <v>RC Celta de Vigo</v>
          </cell>
          <cell r="D170" t="str">
            <v>España</v>
          </cell>
          <cell r="E170" t="str">
            <v>PO</v>
          </cell>
          <cell r="F170">
            <v>74</v>
          </cell>
          <cell r="G170">
            <v>28</v>
          </cell>
        </row>
        <row r="171">
          <cell r="A171">
            <v>170</v>
          </cell>
          <cell r="B171" t="str">
            <v>Javi Rodríguez</v>
          </cell>
          <cell r="C171" t="str">
            <v>RC Celta de Vigo</v>
          </cell>
          <cell r="D171" t="str">
            <v>España</v>
          </cell>
          <cell r="E171" t="str">
            <v>CT</v>
          </cell>
          <cell r="F171">
            <v>69</v>
          </cell>
          <cell r="G171">
            <v>22</v>
          </cell>
        </row>
        <row r="172">
          <cell r="A172">
            <v>171</v>
          </cell>
          <cell r="B172" t="str">
            <v>Javi Rueda</v>
          </cell>
          <cell r="C172" t="str">
            <v>RC Celta de Vigo</v>
          </cell>
          <cell r="D172" t="str">
            <v>España</v>
          </cell>
          <cell r="E172" t="str">
            <v>LD</v>
          </cell>
          <cell r="F172">
            <v>64</v>
          </cell>
          <cell r="G172">
            <v>23</v>
          </cell>
        </row>
        <row r="173">
          <cell r="A173">
            <v>172</v>
          </cell>
          <cell r="B173" t="str">
            <v>Joseph Aidoo</v>
          </cell>
          <cell r="C173" t="str">
            <v>RC Celta de Vigo</v>
          </cell>
          <cell r="D173" t="str">
            <v>Ghana</v>
          </cell>
          <cell r="E173" t="str">
            <v>CT</v>
          </cell>
          <cell r="F173">
            <v>77</v>
          </cell>
          <cell r="G173">
            <v>30</v>
          </cell>
        </row>
        <row r="174">
          <cell r="A174">
            <v>173</v>
          </cell>
          <cell r="B174" t="str">
            <v>Manu Fernández</v>
          </cell>
          <cell r="C174" t="str">
            <v>RC Celta de Vigo</v>
          </cell>
          <cell r="D174" t="str">
            <v>España</v>
          </cell>
          <cell r="E174" t="str">
            <v>CT</v>
          </cell>
          <cell r="F174">
            <v>64</v>
          </cell>
          <cell r="G174">
            <v>24</v>
          </cell>
        </row>
        <row r="175">
          <cell r="A175">
            <v>174</v>
          </cell>
          <cell r="B175" t="str">
            <v>Marc Vidal</v>
          </cell>
          <cell r="C175" t="str">
            <v>RC Celta de Vigo</v>
          </cell>
          <cell r="D175" t="str">
            <v>España</v>
          </cell>
          <cell r="E175" t="str">
            <v>PO</v>
          </cell>
          <cell r="F175">
            <v>62</v>
          </cell>
          <cell r="G175">
            <v>25</v>
          </cell>
        </row>
        <row r="176">
          <cell r="A176">
            <v>175</v>
          </cell>
          <cell r="B176" t="str">
            <v>Marcos Alonso</v>
          </cell>
          <cell r="C176" t="str">
            <v>RC Celta de Vigo</v>
          </cell>
          <cell r="D176" t="str">
            <v>España</v>
          </cell>
          <cell r="E176" t="str">
            <v>CT</v>
          </cell>
          <cell r="F176">
            <v>73</v>
          </cell>
          <cell r="G176">
            <v>35</v>
          </cell>
        </row>
        <row r="177">
          <cell r="A177">
            <v>176</v>
          </cell>
          <cell r="B177" t="str">
            <v>Miguel Román</v>
          </cell>
          <cell r="C177" t="str">
            <v>RC Celta de Vigo</v>
          </cell>
          <cell r="D177" t="str">
            <v>España</v>
          </cell>
          <cell r="E177" t="str">
            <v>MC</v>
          </cell>
          <cell r="F177">
            <v>70</v>
          </cell>
          <cell r="G177">
            <v>23</v>
          </cell>
        </row>
        <row r="178">
          <cell r="A178">
            <v>177</v>
          </cell>
          <cell r="B178" t="str">
            <v>Mihailo Ristic</v>
          </cell>
          <cell r="C178" t="str">
            <v>RC Celta de Vigo</v>
          </cell>
          <cell r="D178" t="str">
            <v>Serbia</v>
          </cell>
          <cell r="E178" t="str">
            <v>LI</v>
          </cell>
          <cell r="F178">
            <v>74</v>
          </cell>
          <cell r="G178">
            <v>30</v>
          </cell>
        </row>
        <row r="179">
          <cell r="A179">
            <v>178</v>
          </cell>
          <cell r="B179" t="str">
            <v>Óscar Mingueza</v>
          </cell>
          <cell r="C179" t="str">
            <v>RC Celta de Vigo</v>
          </cell>
          <cell r="D179" t="str">
            <v>España</v>
          </cell>
          <cell r="E179" t="str">
            <v>LD</v>
          </cell>
          <cell r="F179">
            <v>79</v>
          </cell>
          <cell r="G179">
            <v>26</v>
          </cell>
        </row>
        <row r="180">
          <cell r="A180">
            <v>179</v>
          </cell>
          <cell r="B180" t="str">
            <v>Pablo Durán</v>
          </cell>
          <cell r="C180" t="str">
            <v>RC Celta de Vigo</v>
          </cell>
          <cell r="D180" t="str">
            <v>España</v>
          </cell>
          <cell r="E180" t="str">
            <v>DC</v>
          </cell>
          <cell r="F180">
            <v>67</v>
          </cell>
          <cell r="G180">
            <v>24</v>
          </cell>
        </row>
        <row r="181">
          <cell r="A181">
            <v>180</v>
          </cell>
          <cell r="B181" t="str">
            <v>Sergio Carreira</v>
          </cell>
          <cell r="C181" t="str">
            <v>RC Celta de Vigo</v>
          </cell>
          <cell r="D181" t="str">
            <v>España</v>
          </cell>
          <cell r="E181" t="str">
            <v>LD</v>
          </cell>
          <cell r="F181">
            <v>73</v>
          </cell>
          <cell r="G181">
            <v>25</v>
          </cell>
        </row>
        <row r="182">
          <cell r="A182">
            <v>181</v>
          </cell>
          <cell r="B182" t="str">
            <v>Williot Swedberg</v>
          </cell>
          <cell r="C182" t="str">
            <v>RC Celta de Vigo</v>
          </cell>
          <cell r="D182" t="str">
            <v>Suecia</v>
          </cell>
          <cell r="E182" t="str">
            <v>EI</v>
          </cell>
          <cell r="F182">
            <v>76</v>
          </cell>
          <cell r="G182">
            <v>21</v>
          </cell>
        </row>
        <row r="183">
          <cell r="A183">
            <v>182</v>
          </cell>
          <cell r="B183" t="str">
            <v>Yoel Lago</v>
          </cell>
          <cell r="C183" t="str">
            <v>RC Celta de Vigo</v>
          </cell>
          <cell r="D183" t="str">
            <v>España</v>
          </cell>
          <cell r="E183" t="str">
            <v>CT</v>
          </cell>
          <cell r="F183">
            <v>65</v>
          </cell>
          <cell r="G183">
            <v>21</v>
          </cell>
        </row>
        <row r="184">
          <cell r="A184">
            <v>183</v>
          </cell>
          <cell r="B184" t="str">
            <v>Ángel Fortuño</v>
          </cell>
          <cell r="C184" t="str">
            <v>RCD Espanyol</v>
          </cell>
          <cell r="D184" t="str">
            <v>España</v>
          </cell>
          <cell r="E184" t="str">
            <v>PO</v>
          </cell>
          <cell r="F184">
            <v>66</v>
          </cell>
          <cell r="G184">
            <v>24</v>
          </cell>
        </row>
        <row r="185">
          <cell r="A185">
            <v>184</v>
          </cell>
          <cell r="B185" t="str">
            <v>Antoniu Roca</v>
          </cell>
          <cell r="C185" t="str">
            <v>RCD Espanyol</v>
          </cell>
          <cell r="D185" t="str">
            <v>España</v>
          </cell>
          <cell r="E185" t="str">
            <v>ED</v>
          </cell>
          <cell r="F185">
            <v>66</v>
          </cell>
          <cell r="G185">
            <v>23</v>
          </cell>
        </row>
        <row r="186">
          <cell r="A186">
            <v>185</v>
          </cell>
          <cell r="B186" t="str">
            <v>Carlos Romero</v>
          </cell>
          <cell r="C186" t="str">
            <v>RCD Espanyol</v>
          </cell>
          <cell r="D186" t="str">
            <v>España</v>
          </cell>
          <cell r="E186" t="str">
            <v>LI</v>
          </cell>
          <cell r="F186">
            <v>72</v>
          </cell>
          <cell r="G186">
            <v>24</v>
          </cell>
        </row>
        <row r="187">
          <cell r="A187">
            <v>186</v>
          </cell>
          <cell r="B187" t="str">
            <v>Charles Pickel</v>
          </cell>
          <cell r="C187" t="str">
            <v>RCD Espanyol</v>
          </cell>
          <cell r="D187" t="str">
            <v>RD del Congo</v>
          </cell>
          <cell r="E187" t="str">
            <v>MCD</v>
          </cell>
          <cell r="F187">
            <v>70</v>
          </cell>
          <cell r="G187">
            <v>28</v>
          </cell>
        </row>
        <row r="188">
          <cell r="A188">
            <v>187</v>
          </cell>
          <cell r="B188" t="str">
            <v>Clemens Riedel</v>
          </cell>
          <cell r="C188" t="str">
            <v>RCD Espanyol</v>
          </cell>
          <cell r="D188" t="str">
            <v>Alemania</v>
          </cell>
          <cell r="E188" t="str">
            <v>CT</v>
          </cell>
          <cell r="F188">
            <v>68</v>
          </cell>
          <cell r="G188">
            <v>22</v>
          </cell>
        </row>
        <row r="189">
          <cell r="A189">
            <v>188</v>
          </cell>
          <cell r="B189" t="str">
            <v>Edu Expósito</v>
          </cell>
          <cell r="C189" t="str">
            <v>RCD Espanyol</v>
          </cell>
          <cell r="D189" t="str">
            <v>España</v>
          </cell>
          <cell r="E189" t="str">
            <v>MC</v>
          </cell>
          <cell r="F189">
            <v>75</v>
          </cell>
          <cell r="G189">
            <v>29</v>
          </cell>
        </row>
        <row r="190">
          <cell r="A190">
            <v>189</v>
          </cell>
          <cell r="B190" t="str">
            <v>Fernando Calero</v>
          </cell>
          <cell r="C190" t="str">
            <v>RCD Espanyol</v>
          </cell>
          <cell r="D190" t="str">
            <v>España</v>
          </cell>
          <cell r="E190" t="str">
            <v>CT</v>
          </cell>
          <cell r="F190">
            <v>73</v>
          </cell>
          <cell r="G190">
            <v>30</v>
          </cell>
        </row>
        <row r="191">
          <cell r="A191">
            <v>190</v>
          </cell>
          <cell r="B191" t="str">
            <v>Javi Puado</v>
          </cell>
          <cell r="C191" t="str">
            <v>RCD Espanyol</v>
          </cell>
          <cell r="D191" t="str">
            <v>España</v>
          </cell>
          <cell r="E191" t="str">
            <v>EI</v>
          </cell>
          <cell r="F191">
            <v>77</v>
          </cell>
          <cell r="G191">
            <v>27</v>
          </cell>
        </row>
        <row r="192">
          <cell r="A192">
            <v>191</v>
          </cell>
          <cell r="B192" t="str">
            <v>Jofre Carreras</v>
          </cell>
          <cell r="C192" t="str">
            <v>RCD Espanyol</v>
          </cell>
          <cell r="D192" t="str">
            <v>España</v>
          </cell>
          <cell r="E192" t="str">
            <v>ED</v>
          </cell>
          <cell r="F192">
            <v>72</v>
          </cell>
          <cell r="G192">
            <v>24</v>
          </cell>
        </row>
        <row r="193">
          <cell r="A193">
            <v>192</v>
          </cell>
          <cell r="B193" t="str">
            <v>José Salinas</v>
          </cell>
          <cell r="C193" t="str">
            <v>RCD Espanyol</v>
          </cell>
          <cell r="D193" t="str">
            <v>España</v>
          </cell>
          <cell r="E193" t="str">
            <v>LI</v>
          </cell>
          <cell r="F193">
            <v>70</v>
          </cell>
          <cell r="G193">
            <v>25</v>
          </cell>
        </row>
        <row r="194">
          <cell r="A194">
            <v>193</v>
          </cell>
          <cell r="B194" t="str">
            <v>Kike García</v>
          </cell>
          <cell r="C194" t="str">
            <v>RCD Espanyol</v>
          </cell>
          <cell r="D194" t="str">
            <v>España</v>
          </cell>
          <cell r="E194" t="str">
            <v>DC</v>
          </cell>
          <cell r="F194">
            <v>74</v>
          </cell>
          <cell r="G194">
            <v>36</v>
          </cell>
        </row>
        <row r="195">
          <cell r="A195">
            <v>194</v>
          </cell>
          <cell r="B195" t="str">
            <v>Leandro Cabrera</v>
          </cell>
          <cell r="C195" t="str">
            <v>RCD Espanyol</v>
          </cell>
          <cell r="D195" t="str">
            <v>Uruguay</v>
          </cell>
          <cell r="E195" t="str">
            <v>CT</v>
          </cell>
          <cell r="F195">
            <v>74</v>
          </cell>
          <cell r="G195">
            <v>34</v>
          </cell>
        </row>
        <row r="196">
          <cell r="A196">
            <v>195</v>
          </cell>
          <cell r="B196" t="str">
            <v>Luca Koleosho</v>
          </cell>
          <cell r="C196" t="str">
            <v>RCD Espanyol</v>
          </cell>
          <cell r="D196" t="str">
            <v>Italia</v>
          </cell>
          <cell r="E196" t="str">
            <v>ED</v>
          </cell>
          <cell r="F196">
            <v>73</v>
          </cell>
          <cell r="G196">
            <v>21</v>
          </cell>
        </row>
        <row r="197">
          <cell r="A197">
            <v>196</v>
          </cell>
          <cell r="B197" t="str">
            <v>Marko Dmitrovic</v>
          </cell>
          <cell r="C197" t="str">
            <v>RCD Espanyol</v>
          </cell>
          <cell r="D197" t="str">
            <v>Serbia</v>
          </cell>
          <cell r="E197" t="str">
            <v>PO</v>
          </cell>
          <cell r="F197">
            <v>78</v>
          </cell>
          <cell r="G197">
            <v>33</v>
          </cell>
        </row>
        <row r="198">
          <cell r="A198">
            <v>197</v>
          </cell>
          <cell r="B198" t="str">
            <v>Miguel Rubio</v>
          </cell>
          <cell r="C198" t="str">
            <v>RCD Espanyol</v>
          </cell>
          <cell r="D198" t="str">
            <v>España</v>
          </cell>
          <cell r="E198" t="str">
            <v>CT</v>
          </cell>
          <cell r="F198">
            <v>68</v>
          </cell>
          <cell r="G198">
            <v>27</v>
          </cell>
        </row>
        <row r="199">
          <cell r="A199">
            <v>198</v>
          </cell>
          <cell r="B199" t="str">
            <v>Omar El Hilali</v>
          </cell>
          <cell r="C199" t="str">
            <v>RCD Espanyol</v>
          </cell>
          <cell r="D199" t="str">
            <v>Marruecos</v>
          </cell>
          <cell r="E199" t="str">
            <v>LD</v>
          </cell>
          <cell r="F199">
            <v>74</v>
          </cell>
          <cell r="G199">
            <v>22</v>
          </cell>
        </row>
        <row r="200">
          <cell r="A200">
            <v>199</v>
          </cell>
          <cell r="B200" t="str">
            <v>Pere Milla</v>
          </cell>
          <cell r="C200" t="str">
            <v>RCD Espanyol</v>
          </cell>
          <cell r="D200" t="str">
            <v>España</v>
          </cell>
          <cell r="E200" t="str">
            <v>EI</v>
          </cell>
          <cell r="F200">
            <v>74</v>
          </cell>
          <cell r="G200">
            <v>33</v>
          </cell>
        </row>
        <row r="201">
          <cell r="A201">
            <v>200</v>
          </cell>
          <cell r="B201" t="str">
            <v>Pol Lozano</v>
          </cell>
          <cell r="C201" t="str">
            <v>RCD Espanyol</v>
          </cell>
          <cell r="D201" t="str">
            <v>España</v>
          </cell>
          <cell r="E201" t="str">
            <v>MC</v>
          </cell>
          <cell r="F201">
            <v>71</v>
          </cell>
          <cell r="G201">
            <v>26</v>
          </cell>
        </row>
        <row r="202">
          <cell r="A202">
            <v>201</v>
          </cell>
          <cell r="B202" t="str">
            <v>Ramón Terrats</v>
          </cell>
          <cell r="C202" t="str">
            <v>RCD Espanyol</v>
          </cell>
          <cell r="D202" t="str">
            <v>España</v>
          </cell>
          <cell r="E202" t="str">
            <v>MC</v>
          </cell>
          <cell r="F202">
            <v>73</v>
          </cell>
          <cell r="G202">
            <v>25</v>
          </cell>
        </row>
        <row r="203">
          <cell r="A203">
            <v>202</v>
          </cell>
          <cell r="B203" t="str">
            <v>Roberto Fernández</v>
          </cell>
          <cell r="C203" t="str">
            <v>RCD Espanyol</v>
          </cell>
          <cell r="D203" t="str">
            <v>España</v>
          </cell>
          <cell r="E203" t="str">
            <v>DC</v>
          </cell>
          <cell r="F203">
            <v>72</v>
          </cell>
          <cell r="G203">
            <v>23</v>
          </cell>
        </row>
        <row r="204">
          <cell r="A204">
            <v>203</v>
          </cell>
          <cell r="B204" t="str">
            <v>Rubén Sánchez</v>
          </cell>
          <cell r="C204" t="str">
            <v>RCD Espanyol</v>
          </cell>
          <cell r="D204" t="str">
            <v>España</v>
          </cell>
          <cell r="E204" t="str">
            <v>LD</v>
          </cell>
          <cell r="F204">
            <v>70</v>
          </cell>
          <cell r="G204">
            <v>24</v>
          </cell>
        </row>
        <row r="205">
          <cell r="A205">
            <v>204</v>
          </cell>
          <cell r="B205" t="str">
            <v>Tyrhys Dolan</v>
          </cell>
          <cell r="C205" t="str">
            <v>RCD Espanyol</v>
          </cell>
          <cell r="D205" t="str">
            <v>Inglaterra</v>
          </cell>
          <cell r="E205" t="str">
            <v>ED</v>
          </cell>
          <cell r="F205">
            <v>69</v>
          </cell>
          <cell r="G205">
            <v>24</v>
          </cell>
        </row>
        <row r="206">
          <cell r="A206">
            <v>205</v>
          </cell>
          <cell r="B206" t="str">
            <v>Urko González</v>
          </cell>
          <cell r="C206" t="str">
            <v>RCD Espanyol</v>
          </cell>
          <cell r="D206" t="str">
            <v>España</v>
          </cell>
          <cell r="E206" t="str">
            <v>MCD</v>
          </cell>
          <cell r="F206">
            <v>66</v>
          </cell>
          <cell r="G206">
            <v>24</v>
          </cell>
        </row>
        <row r="207">
          <cell r="A207">
            <v>206</v>
          </cell>
          <cell r="B207" t="str">
            <v>Xavi Pleguezuelo</v>
          </cell>
          <cell r="C207" t="str">
            <v>RCD Espanyol</v>
          </cell>
          <cell r="D207" t="str">
            <v>España</v>
          </cell>
          <cell r="E207" t="str">
            <v>LI</v>
          </cell>
          <cell r="F207">
            <v>66</v>
          </cell>
          <cell r="G207">
            <v>22</v>
          </cell>
        </row>
        <row r="208">
          <cell r="A208">
            <v>207</v>
          </cell>
          <cell r="B208" t="str">
            <v>Abdel Abqar</v>
          </cell>
          <cell r="C208" t="str">
            <v>Getafe CF</v>
          </cell>
          <cell r="D208" t="str">
            <v>Marruecos</v>
          </cell>
          <cell r="E208" t="str">
            <v>CT</v>
          </cell>
          <cell r="F208">
            <v>72</v>
          </cell>
          <cell r="G208">
            <v>26</v>
          </cell>
        </row>
        <row r="209">
          <cell r="A209">
            <v>208</v>
          </cell>
          <cell r="B209" t="str">
            <v>Abu Kamara</v>
          </cell>
          <cell r="C209" t="str">
            <v>Getafe CF</v>
          </cell>
          <cell r="D209" t="str">
            <v>Inglaterra</v>
          </cell>
          <cell r="E209" t="str">
            <v>ED</v>
          </cell>
          <cell r="F209">
            <v>69</v>
          </cell>
          <cell r="G209">
            <v>22</v>
          </cell>
        </row>
        <row r="210">
          <cell r="A210">
            <v>209</v>
          </cell>
          <cell r="B210" t="str">
            <v>Adrián Liso</v>
          </cell>
          <cell r="C210" t="str">
            <v>Getafe CF</v>
          </cell>
          <cell r="D210" t="str">
            <v>España</v>
          </cell>
          <cell r="E210" t="str">
            <v>EI</v>
          </cell>
          <cell r="F210">
            <v>69</v>
          </cell>
          <cell r="G210">
            <v>20</v>
          </cell>
        </row>
        <row r="211">
          <cell r="A211">
            <v>210</v>
          </cell>
          <cell r="B211" t="str">
            <v>Alberto Risco</v>
          </cell>
          <cell r="C211" t="str">
            <v>Getafe CF</v>
          </cell>
          <cell r="D211" t="str">
            <v>España</v>
          </cell>
          <cell r="E211" t="str">
            <v>MO</v>
          </cell>
          <cell r="F211">
            <v>59</v>
          </cell>
          <cell r="G211">
            <v>20</v>
          </cell>
        </row>
        <row r="212">
          <cell r="A212">
            <v>211</v>
          </cell>
          <cell r="B212" t="str">
            <v>Álex Sancris</v>
          </cell>
          <cell r="C212" t="str">
            <v>Getafe CF</v>
          </cell>
          <cell r="D212" t="str">
            <v>España</v>
          </cell>
          <cell r="E212" t="str">
            <v>ED</v>
          </cell>
          <cell r="F212">
            <v>73</v>
          </cell>
          <cell r="G212">
            <v>28</v>
          </cell>
        </row>
        <row r="213">
          <cell r="A213">
            <v>212</v>
          </cell>
          <cell r="B213" t="str">
            <v>Allan Nyom</v>
          </cell>
          <cell r="C213" t="str">
            <v>Getafe CF</v>
          </cell>
          <cell r="D213" t="str">
            <v>Camerún</v>
          </cell>
          <cell r="E213" t="str">
            <v>LD</v>
          </cell>
          <cell r="F213">
            <v>73</v>
          </cell>
          <cell r="G213">
            <v>37</v>
          </cell>
        </row>
        <row r="214">
          <cell r="A214">
            <v>213</v>
          </cell>
          <cell r="B214" t="str">
            <v>Borja Mayoral</v>
          </cell>
          <cell r="C214" t="str">
            <v>Getafe CF</v>
          </cell>
          <cell r="D214" t="str">
            <v>España</v>
          </cell>
          <cell r="E214" t="str">
            <v>DC</v>
          </cell>
          <cell r="F214">
            <v>79</v>
          </cell>
          <cell r="G214">
            <v>28</v>
          </cell>
        </row>
        <row r="215">
          <cell r="A215">
            <v>214</v>
          </cell>
          <cell r="B215" t="str">
            <v>Coba da Costa</v>
          </cell>
          <cell r="C215" t="str">
            <v>Getafe CF</v>
          </cell>
          <cell r="D215" t="str">
            <v>Guinea-Bissau</v>
          </cell>
          <cell r="E215" t="str">
            <v>EI</v>
          </cell>
          <cell r="F215">
            <v>65</v>
          </cell>
          <cell r="G215">
            <v>23</v>
          </cell>
        </row>
        <row r="216">
          <cell r="A216">
            <v>215</v>
          </cell>
          <cell r="B216" t="str">
            <v>Dakonam Djené</v>
          </cell>
          <cell r="C216" t="str">
            <v>Getafe CF</v>
          </cell>
          <cell r="D216" t="str">
            <v>Togo</v>
          </cell>
          <cell r="E216" t="str">
            <v>CT</v>
          </cell>
          <cell r="F216">
            <v>77</v>
          </cell>
          <cell r="G216">
            <v>34</v>
          </cell>
        </row>
        <row r="217">
          <cell r="A217">
            <v>216</v>
          </cell>
          <cell r="B217" t="str">
            <v>David Soria</v>
          </cell>
          <cell r="C217" t="str">
            <v>Getafe CF</v>
          </cell>
          <cell r="D217" t="str">
            <v>España</v>
          </cell>
          <cell r="E217" t="str">
            <v>PO</v>
          </cell>
          <cell r="F217">
            <v>81</v>
          </cell>
          <cell r="G217">
            <v>32</v>
          </cell>
        </row>
        <row r="218">
          <cell r="A218">
            <v>217</v>
          </cell>
          <cell r="B218" t="str">
            <v>Diego Rico</v>
          </cell>
          <cell r="C218" t="str">
            <v>Getafe CF</v>
          </cell>
          <cell r="D218" t="str">
            <v>España</v>
          </cell>
          <cell r="E218" t="str">
            <v>LI</v>
          </cell>
          <cell r="F218">
            <v>78</v>
          </cell>
          <cell r="G218">
            <v>32</v>
          </cell>
        </row>
        <row r="219">
          <cell r="A219">
            <v>218</v>
          </cell>
          <cell r="B219" t="str">
            <v>Djordjije Medenica</v>
          </cell>
          <cell r="C219" t="str">
            <v>Getafe CF</v>
          </cell>
          <cell r="D219" t="str">
            <v>República Checa</v>
          </cell>
          <cell r="E219" t="str">
            <v>PO</v>
          </cell>
          <cell r="F219">
            <v>59</v>
          </cell>
          <cell r="G219">
            <v>19</v>
          </cell>
        </row>
        <row r="220">
          <cell r="A220">
            <v>219</v>
          </cell>
          <cell r="B220" t="str">
            <v>Domingos Duarte</v>
          </cell>
          <cell r="C220" t="str">
            <v>Getafe CF</v>
          </cell>
          <cell r="D220" t="str">
            <v>Portugal</v>
          </cell>
          <cell r="E220" t="str">
            <v>CT</v>
          </cell>
          <cell r="F220">
            <v>74</v>
          </cell>
          <cell r="G220">
            <v>30</v>
          </cell>
        </row>
        <row r="221">
          <cell r="A221">
            <v>220</v>
          </cell>
          <cell r="B221" t="str">
            <v>Gorka Rivera</v>
          </cell>
          <cell r="C221" t="str">
            <v>Getafe CF</v>
          </cell>
          <cell r="D221" t="str">
            <v>España</v>
          </cell>
          <cell r="E221" t="str">
            <v>LI</v>
          </cell>
          <cell r="F221">
            <v>65</v>
          </cell>
          <cell r="G221">
            <v>21</v>
          </cell>
        </row>
        <row r="222">
          <cell r="A222">
            <v>221</v>
          </cell>
          <cell r="B222" t="str">
            <v>Ismael Bekhoucha</v>
          </cell>
          <cell r="C222" t="str">
            <v>Getafe CF</v>
          </cell>
          <cell r="D222" t="str">
            <v>Marruecos</v>
          </cell>
          <cell r="E222" t="str">
            <v>LD</v>
          </cell>
          <cell r="F222">
            <v>59</v>
          </cell>
          <cell r="G222">
            <v>21</v>
          </cell>
        </row>
        <row r="223">
          <cell r="A223">
            <v>222</v>
          </cell>
          <cell r="B223" t="str">
            <v>Javi Muñoz</v>
          </cell>
          <cell r="C223" t="str">
            <v>Getafe CF</v>
          </cell>
          <cell r="D223" t="str">
            <v>España</v>
          </cell>
          <cell r="E223" t="str">
            <v>MC</v>
          </cell>
          <cell r="F223">
            <v>74</v>
          </cell>
          <cell r="G223">
            <v>30</v>
          </cell>
        </row>
        <row r="224">
          <cell r="A224">
            <v>223</v>
          </cell>
          <cell r="B224" t="str">
            <v>Jiri Letacek</v>
          </cell>
          <cell r="C224" t="str">
            <v>Getafe CF</v>
          </cell>
          <cell r="D224" t="str">
            <v>República Checa</v>
          </cell>
          <cell r="E224" t="str">
            <v>PO</v>
          </cell>
          <cell r="F224">
            <v>69</v>
          </cell>
          <cell r="G224">
            <v>26</v>
          </cell>
        </row>
        <row r="225">
          <cell r="A225">
            <v>224</v>
          </cell>
          <cell r="B225" t="str">
            <v>Juan Iglesias</v>
          </cell>
          <cell r="C225" t="str">
            <v>Getafe CF</v>
          </cell>
          <cell r="D225" t="str">
            <v>España</v>
          </cell>
          <cell r="E225" t="str">
            <v>LD</v>
          </cell>
          <cell r="F225">
            <v>75</v>
          </cell>
          <cell r="G225">
            <v>27</v>
          </cell>
        </row>
        <row r="226">
          <cell r="A226">
            <v>225</v>
          </cell>
          <cell r="B226" t="str">
            <v>Juanmi</v>
          </cell>
          <cell r="C226" t="str">
            <v>Getafe CF</v>
          </cell>
          <cell r="D226" t="str">
            <v>España</v>
          </cell>
          <cell r="E226" t="str">
            <v>EI</v>
          </cell>
          <cell r="F226">
            <v>79</v>
          </cell>
          <cell r="G226">
            <v>32</v>
          </cell>
        </row>
        <row r="227">
          <cell r="A227">
            <v>226</v>
          </cell>
          <cell r="B227" t="str">
            <v>Kiko Femenía</v>
          </cell>
          <cell r="C227" t="str">
            <v>Getafe CF</v>
          </cell>
          <cell r="D227" t="str">
            <v>España</v>
          </cell>
          <cell r="E227" t="str">
            <v>LD</v>
          </cell>
          <cell r="F227">
            <v>75</v>
          </cell>
          <cell r="G227">
            <v>34</v>
          </cell>
        </row>
        <row r="228">
          <cell r="A228">
            <v>227</v>
          </cell>
          <cell r="B228" t="str">
            <v>Luis Milla</v>
          </cell>
          <cell r="C228" t="str">
            <v>Getafe CF</v>
          </cell>
          <cell r="D228" t="str">
            <v>España</v>
          </cell>
          <cell r="E228" t="str">
            <v>MC</v>
          </cell>
          <cell r="F228">
            <v>78</v>
          </cell>
          <cell r="G228">
            <v>31</v>
          </cell>
        </row>
        <row r="229">
          <cell r="A229">
            <v>228</v>
          </cell>
          <cell r="B229" t="str">
            <v>Mario Martín</v>
          </cell>
          <cell r="C229" t="str">
            <v>Getafe CF</v>
          </cell>
          <cell r="D229" t="str">
            <v>España</v>
          </cell>
          <cell r="E229" t="str">
            <v>MCD</v>
          </cell>
          <cell r="F229">
            <v>69</v>
          </cell>
          <cell r="G229">
            <v>21</v>
          </cell>
        </row>
        <row r="230">
          <cell r="A230">
            <v>229</v>
          </cell>
          <cell r="B230" t="str">
            <v>Mauro Arambarri</v>
          </cell>
          <cell r="C230" t="str">
            <v>Getafe CF</v>
          </cell>
          <cell r="D230" t="str">
            <v>Uruguay</v>
          </cell>
          <cell r="E230" t="str">
            <v>MC</v>
          </cell>
          <cell r="F230">
            <v>78</v>
          </cell>
          <cell r="G230">
            <v>30</v>
          </cell>
        </row>
        <row r="231">
          <cell r="A231">
            <v>230</v>
          </cell>
          <cell r="B231" t="str">
            <v>Yvan Neyou</v>
          </cell>
          <cell r="C231" t="str">
            <v>Getafe CF</v>
          </cell>
          <cell r="D231" t="str">
            <v>Camerún</v>
          </cell>
          <cell r="E231" t="str">
            <v>MCD</v>
          </cell>
          <cell r="F231">
            <v>72</v>
          </cell>
          <cell r="G231">
            <v>28</v>
          </cell>
        </row>
        <row r="232">
          <cell r="A232">
            <v>231</v>
          </cell>
          <cell r="B232" t="str">
            <v>Abel Ruiz</v>
          </cell>
          <cell r="C232" t="str">
            <v>Girona FC</v>
          </cell>
          <cell r="D232" t="str">
            <v>España</v>
          </cell>
          <cell r="E232" t="str">
            <v>DC</v>
          </cell>
          <cell r="F232">
            <v>77</v>
          </cell>
          <cell r="G232">
            <v>25</v>
          </cell>
        </row>
        <row r="233">
          <cell r="A233">
            <v>232</v>
          </cell>
          <cell r="B233" t="str">
            <v>Alejandro Francés</v>
          </cell>
          <cell r="C233" t="str">
            <v>Girona FC</v>
          </cell>
          <cell r="D233" t="str">
            <v>España</v>
          </cell>
          <cell r="E233" t="str">
            <v>CT</v>
          </cell>
          <cell r="F233">
            <v>75</v>
          </cell>
          <cell r="G233">
            <v>23</v>
          </cell>
        </row>
        <row r="234">
          <cell r="A234">
            <v>233</v>
          </cell>
          <cell r="B234" t="str">
            <v>Álex Moreno</v>
          </cell>
          <cell r="C234" t="str">
            <v>Girona FC</v>
          </cell>
          <cell r="D234" t="str">
            <v>España</v>
          </cell>
          <cell r="E234" t="str">
            <v>LI</v>
          </cell>
          <cell r="F234">
            <v>79</v>
          </cell>
          <cell r="G234">
            <v>32</v>
          </cell>
        </row>
        <row r="235">
          <cell r="A235">
            <v>234</v>
          </cell>
          <cell r="B235" t="str">
            <v>Arnau Martínez</v>
          </cell>
          <cell r="C235" t="str">
            <v>Girona FC</v>
          </cell>
          <cell r="D235" t="str">
            <v>España</v>
          </cell>
          <cell r="E235" t="str">
            <v>LD</v>
          </cell>
          <cell r="F235">
            <v>79</v>
          </cell>
          <cell r="G235">
            <v>22</v>
          </cell>
        </row>
        <row r="236">
          <cell r="A236">
            <v>235</v>
          </cell>
          <cell r="B236" t="str">
            <v>Axel Witsel</v>
          </cell>
          <cell r="C236" t="str">
            <v>Girona FC</v>
          </cell>
          <cell r="D236" t="str">
            <v>Bélgica</v>
          </cell>
          <cell r="E236" t="str">
            <v>MCD</v>
          </cell>
          <cell r="F236">
            <v>83</v>
          </cell>
          <cell r="G236">
            <v>36</v>
          </cell>
        </row>
        <row r="237">
          <cell r="A237">
            <v>236</v>
          </cell>
          <cell r="B237" t="str">
            <v>Azzedine Ounahi</v>
          </cell>
          <cell r="C237" t="str">
            <v>Girona FC</v>
          </cell>
          <cell r="D237" t="str">
            <v>Marruecos</v>
          </cell>
          <cell r="E237" t="str">
            <v>MC</v>
          </cell>
          <cell r="F237">
            <v>75</v>
          </cell>
          <cell r="G237">
            <v>25</v>
          </cell>
        </row>
        <row r="238">
          <cell r="A238">
            <v>237</v>
          </cell>
          <cell r="B238" t="str">
            <v>Bryan Gil</v>
          </cell>
          <cell r="C238" t="str">
            <v>Girona FC</v>
          </cell>
          <cell r="D238" t="str">
            <v>España</v>
          </cell>
          <cell r="E238" t="str">
            <v>EI</v>
          </cell>
          <cell r="F238">
            <v>77</v>
          </cell>
          <cell r="G238">
            <v>24</v>
          </cell>
        </row>
        <row r="239">
          <cell r="A239">
            <v>238</v>
          </cell>
          <cell r="B239" t="str">
            <v>Cristhian Stuani</v>
          </cell>
          <cell r="C239" t="str">
            <v>Girona FC</v>
          </cell>
          <cell r="D239" t="str">
            <v>Uruguay</v>
          </cell>
          <cell r="E239" t="str">
            <v>DC</v>
          </cell>
          <cell r="F239">
            <v>77</v>
          </cell>
          <cell r="G239">
            <v>39</v>
          </cell>
        </row>
        <row r="240">
          <cell r="A240">
            <v>239</v>
          </cell>
          <cell r="B240" t="str">
            <v>D. van de Beek</v>
          </cell>
          <cell r="C240" t="str">
            <v>Girona FC</v>
          </cell>
          <cell r="D240" t="str">
            <v>Países Bajos</v>
          </cell>
          <cell r="E240" t="str">
            <v>MC</v>
          </cell>
          <cell r="F240">
            <v>75</v>
          </cell>
          <cell r="G240">
            <v>28</v>
          </cell>
        </row>
        <row r="241">
          <cell r="A241">
            <v>240</v>
          </cell>
          <cell r="B241" t="str">
            <v>Daley Blind</v>
          </cell>
          <cell r="C241" t="str">
            <v>Girona FC</v>
          </cell>
          <cell r="D241" t="str">
            <v>Países Bajos</v>
          </cell>
          <cell r="E241" t="str">
            <v>CT</v>
          </cell>
          <cell r="F241">
            <v>80</v>
          </cell>
          <cell r="G241">
            <v>35</v>
          </cell>
        </row>
        <row r="242">
          <cell r="A242">
            <v>241</v>
          </cell>
          <cell r="B242" t="str">
            <v>David López S.</v>
          </cell>
          <cell r="C242" t="str">
            <v>Girona FC</v>
          </cell>
          <cell r="D242" t="str">
            <v>España</v>
          </cell>
          <cell r="E242" t="str">
            <v>CT</v>
          </cell>
          <cell r="F242">
            <v>80</v>
          </cell>
          <cell r="G242">
            <v>36</v>
          </cell>
        </row>
        <row r="243">
          <cell r="A243">
            <v>242</v>
          </cell>
          <cell r="B243" t="str">
            <v>Dominik Livakovic</v>
          </cell>
          <cell r="C243" t="str">
            <v>Girona FC</v>
          </cell>
          <cell r="D243" t="str">
            <v>Croacia</v>
          </cell>
          <cell r="E243" t="str">
            <v>PO</v>
          </cell>
          <cell r="F243">
            <v>81</v>
          </cell>
          <cell r="G243">
            <v>30</v>
          </cell>
        </row>
        <row r="244">
          <cell r="A244">
            <v>243</v>
          </cell>
          <cell r="B244" t="str">
            <v>Hugo Rincón</v>
          </cell>
          <cell r="C244" t="str">
            <v>Girona FC</v>
          </cell>
          <cell r="D244" t="str">
            <v>España</v>
          </cell>
          <cell r="E244" t="str">
            <v>LD</v>
          </cell>
          <cell r="F244">
            <v>69</v>
          </cell>
          <cell r="G244">
            <v>22</v>
          </cell>
        </row>
        <row r="245">
          <cell r="A245">
            <v>244</v>
          </cell>
          <cell r="B245" t="str">
            <v>Iván Martín</v>
          </cell>
          <cell r="C245" t="str">
            <v>Girona FC</v>
          </cell>
          <cell r="D245" t="str">
            <v>España</v>
          </cell>
          <cell r="E245" t="str">
            <v>MO</v>
          </cell>
          <cell r="F245">
            <v>80</v>
          </cell>
          <cell r="G245">
            <v>26</v>
          </cell>
        </row>
        <row r="246">
          <cell r="A246">
            <v>245</v>
          </cell>
          <cell r="B246" t="str">
            <v>Jhon Solís</v>
          </cell>
          <cell r="C246" t="str">
            <v>Girona FC</v>
          </cell>
          <cell r="D246" t="str">
            <v>Colombia</v>
          </cell>
          <cell r="E246" t="str">
            <v>MC</v>
          </cell>
          <cell r="F246">
            <v>70</v>
          </cell>
          <cell r="G246">
            <v>21</v>
          </cell>
        </row>
        <row r="247">
          <cell r="A247">
            <v>246</v>
          </cell>
          <cell r="B247" t="str">
            <v>Joel Roca</v>
          </cell>
          <cell r="C247" t="str">
            <v>Girona FC</v>
          </cell>
          <cell r="D247" t="str">
            <v>España</v>
          </cell>
          <cell r="E247" t="str">
            <v>EI</v>
          </cell>
          <cell r="F247">
            <v>66</v>
          </cell>
          <cell r="G247">
            <v>20</v>
          </cell>
        </row>
        <row r="248">
          <cell r="A248">
            <v>247</v>
          </cell>
          <cell r="B248" t="str">
            <v>Juan Carlos</v>
          </cell>
          <cell r="C248" t="str">
            <v>Girona FC</v>
          </cell>
          <cell r="D248" t="str">
            <v>España</v>
          </cell>
          <cell r="E248" t="str">
            <v>PO</v>
          </cell>
          <cell r="F248">
            <v>73</v>
          </cell>
          <cell r="G248">
            <v>37</v>
          </cell>
        </row>
        <row r="249">
          <cell r="A249">
            <v>248</v>
          </cell>
          <cell r="B249" t="str">
            <v>Paulo Gazzaniga</v>
          </cell>
          <cell r="C249" t="str">
            <v>Girona FC</v>
          </cell>
          <cell r="D249" t="str">
            <v>Argentina</v>
          </cell>
          <cell r="E249" t="str">
            <v>PO</v>
          </cell>
          <cell r="F249">
            <v>82</v>
          </cell>
          <cell r="G249">
            <v>33</v>
          </cell>
        </row>
        <row r="250">
          <cell r="A250">
            <v>249</v>
          </cell>
          <cell r="B250" t="str">
            <v>Portu</v>
          </cell>
          <cell r="C250" t="str">
            <v>Girona FC</v>
          </cell>
          <cell r="D250" t="str">
            <v>España</v>
          </cell>
          <cell r="E250" t="str">
            <v>ED</v>
          </cell>
          <cell r="F250">
            <v>77</v>
          </cell>
          <cell r="G250">
            <v>33</v>
          </cell>
        </row>
        <row r="251">
          <cell r="A251">
            <v>250</v>
          </cell>
          <cell r="B251" t="str">
            <v>Ricard Artero</v>
          </cell>
          <cell r="C251" t="str">
            <v>Girona FC</v>
          </cell>
          <cell r="D251" t="str">
            <v>España</v>
          </cell>
          <cell r="E251" t="str">
            <v>MO</v>
          </cell>
          <cell r="F251">
            <v>65</v>
          </cell>
          <cell r="G251">
            <v>22</v>
          </cell>
        </row>
        <row r="252">
          <cell r="A252">
            <v>251</v>
          </cell>
          <cell r="B252" t="str">
            <v>Thomas Lemar</v>
          </cell>
          <cell r="C252" t="str">
            <v>Girona FC</v>
          </cell>
          <cell r="D252" t="str">
            <v>Francia</v>
          </cell>
          <cell r="E252" t="str">
            <v>MO</v>
          </cell>
          <cell r="F252">
            <v>79</v>
          </cell>
          <cell r="G252">
            <v>30</v>
          </cell>
        </row>
        <row r="253">
          <cell r="A253">
            <v>252</v>
          </cell>
          <cell r="B253" t="str">
            <v>V. Krapyvtsov</v>
          </cell>
          <cell r="C253" t="str">
            <v>Girona FC</v>
          </cell>
          <cell r="D253" t="str">
            <v>Ucrania</v>
          </cell>
          <cell r="E253" t="str">
            <v>PO</v>
          </cell>
          <cell r="F253">
            <v>62</v>
          </cell>
          <cell r="G253">
            <v>20</v>
          </cell>
        </row>
        <row r="254">
          <cell r="A254">
            <v>253</v>
          </cell>
          <cell r="B254" t="str">
            <v>V. Tsygankov</v>
          </cell>
          <cell r="C254" t="str">
            <v>Girona FC</v>
          </cell>
          <cell r="D254" t="str">
            <v>Ucrania</v>
          </cell>
          <cell r="E254" t="str">
            <v>ED</v>
          </cell>
          <cell r="F254">
            <v>83</v>
          </cell>
          <cell r="G254">
            <v>28</v>
          </cell>
        </row>
        <row r="255">
          <cell r="A255">
            <v>254</v>
          </cell>
          <cell r="B255" t="str">
            <v>Vitor Reis</v>
          </cell>
          <cell r="C255" t="str">
            <v>Girona FC</v>
          </cell>
          <cell r="D255" t="str">
            <v>Brasil</v>
          </cell>
          <cell r="E255" t="str">
            <v>CT</v>
          </cell>
          <cell r="F255">
            <v>70</v>
          </cell>
          <cell r="G255">
            <v>19</v>
          </cell>
        </row>
        <row r="256">
          <cell r="A256">
            <v>255</v>
          </cell>
          <cell r="B256" t="str">
            <v>Vladyslav Vanat</v>
          </cell>
          <cell r="C256" t="str">
            <v>Girona FC</v>
          </cell>
          <cell r="D256" t="str">
            <v>Ucrania</v>
          </cell>
          <cell r="E256" t="str">
            <v>DC</v>
          </cell>
          <cell r="F256">
            <v>74</v>
          </cell>
          <cell r="G256">
            <v>23</v>
          </cell>
        </row>
        <row r="257">
          <cell r="A257">
            <v>256</v>
          </cell>
          <cell r="B257" t="str">
            <v>Yáser Asprilla</v>
          </cell>
          <cell r="C257" t="str">
            <v>Girona FC</v>
          </cell>
          <cell r="D257" t="str">
            <v>Colombia</v>
          </cell>
          <cell r="E257" t="str">
            <v>ED</v>
          </cell>
          <cell r="F257">
            <v>75</v>
          </cell>
          <cell r="G257">
            <v>22</v>
          </cell>
        </row>
        <row r="258">
          <cell r="A258">
            <v>257</v>
          </cell>
          <cell r="B258" t="str">
            <v>Andrés Cubas</v>
          </cell>
          <cell r="C258" t="str">
            <v>FC Hispano</v>
          </cell>
          <cell r="D258" t="str">
            <v>Paraguay</v>
          </cell>
          <cell r="E258" t="str">
            <v>MCD</v>
          </cell>
          <cell r="F258">
            <v>74</v>
          </cell>
          <cell r="G258">
            <v>29</v>
          </cell>
        </row>
        <row r="259">
          <cell r="A259">
            <v>258</v>
          </cell>
          <cell r="B259" t="str">
            <v>Baiano de Sousa</v>
          </cell>
          <cell r="C259" t="str">
            <v>FC Hispano</v>
          </cell>
          <cell r="D259" t="str">
            <v>Brasil</v>
          </cell>
          <cell r="E259" t="str">
            <v>LD</v>
          </cell>
          <cell r="F259">
            <v>70</v>
          </cell>
          <cell r="G259">
            <v>38</v>
          </cell>
        </row>
        <row r="260">
          <cell r="A260">
            <v>259</v>
          </cell>
          <cell r="B260" t="str">
            <v>Ben Yedder</v>
          </cell>
          <cell r="C260" t="str">
            <v>FC Hispano</v>
          </cell>
          <cell r="D260" t="str">
            <v>Francia</v>
          </cell>
          <cell r="E260" t="str">
            <v>DC</v>
          </cell>
          <cell r="F260">
            <v>82</v>
          </cell>
          <cell r="G260">
            <v>35</v>
          </cell>
        </row>
        <row r="261">
          <cell r="A261">
            <v>260</v>
          </cell>
          <cell r="B261" t="str">
            <v>Bernardo Folha</v>
          </cell>
          <cell r="C261" t="str">
            <v>FC Hispano</v>
          </cell>
          <cell r="D261" t="str">
            <v>Portugal</v>
          </cell>
          <cell r="E261" t="str">
            <v>MC</v>
          </cell>
          <cell r="F261">
            <v>70</v>
          </cell>
          <cell r="G261">
            <v>23</v>
          </cell>
        </row>
        <row r="262">
          <cell r="A262">
            <v>261</v>
          </cell>
          <cell r="B262" t="str">
            <v>Bruno Peres</v>
          </cell>
          <cell r="C262" t="str">
            <v>FC Hispano</v>
          </cell>
          <cell r="D262" t="str">
            <v>Brasil</v>
          </cell>
          <cell r="E262" t="str">
            <v>LD</v>
          </cell>
          <cell r="F262">
            <v>75</v>
          </cell>
          <cell r="G262">
            <v>35</v>
          </cell>
        </row>
        <row r="263">
          <cell r="A263">
            <v>262</v>
          </cell>
          <cell r="B263" t="str">
            <v>Bryan Idowu</v>
          </cell>
          <cell r="C263" t="str">
            <v>FC Hispano</v>
          </cell>
          <cell r="D263" t="str">
            <v>Nigeria</v>
          </cell>
          <cell r="E263" t="str">
            <v>LI</v>
          </cell>
          <cell r="F263">
            <v>75</v>
          </cell>
          <cell r="G263">
            <v>33</v>
          </cell>
        </row>
        <row r="264">
          <cell r="A264">
            <v>263</v>
          </cell>
          <cell r="B264" t="str">
            <v>Cristian Galano</v>
          </cell>
          <cell r="C264" t="str">
            <v>FC Hispano</v>
          </cell>
          <cell r="D264" t="str">
            <v>Italia</v>
          </cell>
          <cell r="E264" t="str">
            <v>ED</v>
          </cell>
          <cell r="F264">
            <v>74</v>
          </cell>
          <cell r="G264">
            <v>34</v>
          </cell>
        </row>
        <row r="265">
          <cell r="A265">
            <v>264</v>
          </cell>
          <cell r="B265" t="str">
            <v>Enzo Roco</v>
          </cell>
          <cell r="C265" t="str">
            <v>FC Hispano</v>
          </cell>
          <cell r="D265" t="str">
            <v>Chile</v>
          </cell>
          <cell r="E265" t="str">
            <v>CT</v>
          </cell>
          <cell r="F265">
            <v>72</v>
          </cell>
          <cell r="G265">
            <v>33</v>
          </cell>
        </row>
        <row r="266">
          <cell r="A266">
            <v>265</v>
          </cell>
          <cell r="B266" t="str">
            <v>Evander</v>
          </cell>
          <cell r="C266" t="str">
            <v>FC Hispano</v>
          </cell>
          <cell r="D266" t="str">
            <v>Brasil</v>
          </cell>
          <cell r="E266" t="str">
            <v>MO</v>
          </cell>
          <cell r="F266">
            <v>78</v>
          </cell>
          <cell r="G266">
            <v>27</v>
          </cell>
        </row>
        <row r="267">
          <cell r="A267">
            <v>266</v>
          </cell>
          <cell r="B267" t="str">
            <v>Gian Nardelli</v>
          </cell>
          <cell r="C267" t="str">
            <v>FC Hispano</v>
          </cell>
          <cell r="D267" t="str">
            <v>Argentina</v>
          </cell>
          <cell r="E267" t="str">
            <v>CT</v>
          </cell>
          <cell r="F267">
            <v>67</v>
          </cell>
          <cell r="G267">
            <v>25</v>
          </cell>
        </row>
        <row r="268">
          <cell r="A268">
            <v>267</v>
          </cell>
          <cell r="B268" t="str">
            <v>Gilberto Jr</v>
          </cell>
          <cell r="C268" t="str">
            <v>FC Hispano</v>
          </cell>
          <cell r="D268" t="str">
            <v>Brasil</v>
          </cell>
          <cell r="E268" t="str">
            <v>MCD</v>
          </cell>
          <cell r="F268">
            <v>68</v>
          </cell>
          <cell r="G268">
            <v>37</v>
          </cell>
        </row>
        <row r="269">
          <cell r="A269">
            <v>268</v>
          </cell>
          <cell r="B269" t="str">
            <v>Jonas Gomes</v>
          </cell>
          <cell r="C269" t="str">
            <v>FC Hispano</v>
          </cell>
          <cell r="D269" t="str">
            <v>Brasil</v>
          </cell>
          <cell r="E269" t="str">
            <v>MCD</v>
          </cell>
          <cell r="F269">
            <v>75</v>
          </cell>
          <cell r="G269">
            <v>34</v>
          </cell>
        </row>
        <row r="270">
          <cell r="A270">
            <v>269</v>
          </cell>
          <cell r="B270" t="str">
            <v>Julian Krahl</v>
          </cell>
          <cell r="C270" t="str">
            <v>FC Hispano</v>
          </cell>
          <cell r="D270" t="str">
            <v>Alemania</v>
          </cell>
          <cell r="E270" t="str">
            <v>PO</v>
          </cell>
          <cell r="F270">
            <v>61</v>
          </cell>
          <cell r="G270">
            <v>25</v>
          </cell>
        </row>
        <row r="271">
          <cell r="A271">
            <v>270</v>
          </cell>
          <cell r="B271" t="str">
            <v>Julián Quiñones</v>
          </cell>
          <cell r="C271" t="str">
            <v>FC Hispano</v>
          </cell>
          <cell r="D271" t="str">
            <v>México</v>
          </cell>
          <cell r="E271" t="str">
            <v>DC</v>
          </cell>
          <cell r="F271">
            <v>80</v>
          </cell>
          <cell r="G271">
            <v>28</v>
          </cell>
        </row>
        <row r="272">
          <cell r="A272">
            <v>271</v>
          </cell>
          <cell r="B272" t="str">
            <v>Marvin Schwäbe</v>
          </cell>
          <cell r="C272" t="str">
            <v>FC Hispano</v>
          </cell>
          <cell r="D272" t="str">
            <v>Alemania</v>
          </cell>
          <cell r="E272" t="str">
            <v>PO</v>
          </cell>
          <cell r="F272">
            <v>77</v>
          </cell>
          <cell r="G272">
            <v>30</v>
          </cell>
        </row>
        <row r="273">
          <cell r="A273">
            <v>272</v>
          </cell>
          <cell r="B273" t="str">
            <v>Mateo Pavlović</v>
          </cell>
          <cell r="C273" t="str">
            <v>FC Hispano</v>
          </cell>
          <cell r="D273" t="str">
            <v>Croacia</v>
          </cell>
          <cell r="E273" t="str">
            <v>CT</v>
          </cell>
          <cell r="F273">
            <v>75</v>
          </cell>
          <cell r="G273">
            <v>35</v>
          </cell>
        </row>
        <row r="274">
          <cell r="A274">
            <v>273</v>
          </cell>
          <cell r="B274" t="str">
            <v>Mbaye Diagne</v>
          </cell>
          <cell r="C274" t="str">
            <v>FC Hispano</v>
          </cell>
          <cell r="D274" t="str">
            <v>Senegal</v>
          </cell>
          <cell r="E274" t="str">
            <v>DC</v>
          </cell>
          <cell r="F274">
            <v>75</v>
          </cell>
          <cell r="G274">
            <v>34</v>
          </cell>
        </row>
        <row r="275">
          <cell r="A275">
            <v>274</v>
          </cell>
          <cell r="B275" t="str">
            <v>Miguel Almirón</v>
          </cell>
          <cell r="C275" t="str">
            <v>FC Hispano</v>
          </cell>
          <cell r="D275" t="str">
            <v>Paraguay</v>
          </cell>
          <cell r="E275" t="str">
            <v>ED</v>
          </cell>
          <cell r="F275">
            <v>78</v>
          </cell>
          <cell r="G275">
            <v>31</v>
          </cell>
        </row>
        <row r="276">
          <cell r="A276">
            <v>275</v>
          </cell>
          <cell r="B276" t="str">
            <v>Nani</v>
          </cell>
          <cell r="C276" t="str">
            <v>FC Hispano</v>
          </cell>
          <cell r="D276" t="str">
            <v>Portugal</v>
          </cell>
          <cell r="E276" t="str">
            <v>EI</v>
          </cell>
          <cell r="F276">
            <v>73</v>
          </cell>
          <cell r="G276">
            <v>39</v>
          </cell>
        </row>
        <row r="277">
          <cell r="A277">
            <v>276</v>
          </cell>
          <cell r="B277" t="str">
            <v>Petr Ševčík</v>
          </cell>
          <cell r="C277" t="str">
            <v>FC Hispano</v>
          </cell>
          <cell r="D277" t="str">
            <v>República Checa</v>
          </cell>
          <cell r="E277" t="str">
            <v>MC</v>
          </cell>
          <cell r="F277">
            <v>74</v>
          </cell>
          <cell r="G277">
            <v>31</v>
          </cell>
        </row>
        <row r="278">
          <cell r="A278">
            <v>277</v>
          </cell>
          <cell r="B278" t="str">
            <v>Tamkin Khalilzada</v>
          </cell>
          <cell r="C278" t="str">
            <v>FC Hispano</v>
          </cell>
          <cell r="D278" t="str">
            <v>Azerbaiyán</v>
          </cell>
          <cell r="E278" t="str">
            <v>LI</v>
          </cell>
          <cell r="F278">
            <v>68</v>
          </cell>
          <cell r="G278">
            <v>32</v>
          </cell>
        </row>
        <row r="279">
          <cell r="A279">
            <v>278</v>
          </cell>
          <cell r="B279" t="str">
            <v>Thiago Martins</v>
          </cell>
          <cell r="C279" t="str">
            <v>FC Hispano</v>
          </cell>
          <cell r="D279" t="str">
            <v>Brasil</v>
          </cell>
          <cell r="E279" t="str">
            <v>CT</v>
          </cell>
          <cell r="F279">
            <v>74</v>
          </cell>
          <cell r="G279">
            <v>30</v>
          </cell>
        </row>
        <row r="280">
          <cell r="A280">
            <v>279</v>
          </cell>
          <cell r="B280" t="str">
            <v>Timo Hübers</v>
          </cell>
          <cell r="C280" t="str">
            <v>FC Hispano</v>
          </cell>
          <cell r="D280" t="str">
            <v>Alemania</v>
          </cell>
          <cell r="E280" t="str">
            <v>CT</v>
          </cell>
          <cell r="F280">
            <v>77</v>
          </cell>
          <cell r="G280">
            <v>29</v>
          </cell>
        </row>
        <row r="281">
          <cell r="A281">
            <v>280</v>
          </cell>
          <cell r="B281" t="str">
            <v>V. Shepelev</v>
          </cell>
          <cell r="C281" t="str">
            <v>FC Hispano</v>
          </cell>
          <cell r="D281" t="str">
            <v>Ucrania</v>
          </cell>
          <cell r="E281" t="str">
            <v>MC</v>
          </cell>
          <cell r="F281">
            <v>75</v>
          </cell>
          <cell r="G281">
            <v>28</v>
          </cell>
        </row>
        <row r="282">
          <cell r="A282">
            <v>281</v>
          </cell>
          <cell r="B282" t="str">
            <v>A. Tchouaméni</v>
          </cell>
          <cell r="C282" t="str">
            <v>Real Madrid CF</v>
          </cell>
          <cell r="D282" t="str">
            <v>Francia</v>
          </cell>
          <cell r="E282" t="str">
            <v>MCD</v>
          </cell>
          <cell r="F282">
            <v>84</v>
          </cell>
          <cell r="G282">
            <v>25</v>
          </cell>
        </row>
        <row r="283">
          <cell r="A283">
            <v>282</v>
          </cell>
          <cell r="B283" t="str">
            <v>Alexander-Arnold</v>
          </cell>
          <cell r="C283" t="str">
            <v>Real Madrid CF</v>
          </cell>
          <cell r="D283" t="str">
            <v>Inglaterra</v>
          </cell>
          <cell r="E283" t="str">
            <v>LD</v>
          </cell>
          <cell r="F283">
            <v>86</v>
          </cell>
          <cell r="G283">
            <v>27</v>
          </cell>
        </row>
        <row r="284">
          <cell r="A284">
            <v>283</v>
          </cell>
          <cell r="B284" t="str">
            <v>Álvaro Carreras</v>
          </cell>
          <cell r="C284" t="str">
            <v>Real Madrid CF</v>
          </cell>
          <cell r="D284" t="str">
            <v>España</v>
          </cell>
          <cell r="E284" t="str">
            <v>LI</v>
          </cell>
          <cell r="F284">
            <v>78</v>
          </cell>
          <cell r="G284">
            <v>22</v>
          </cell>
        </row>
        <row r="285">
          <cell r="A285">
            <v>284</v>
          </cell>
          <cell r="B285" t="str">
            <v>Andriy Lunin</v>
          </cell>
          <cell r="C285" t="str">
            <v>Real Madrid CF</v>
          </cell>
          <cell r="D285" t="str">
            <v>Ucrania</v>
          </cell>
          <cell r="E285" t="str">
            <v>PO</v>
          </cell>
          <cell r="F285">
            <v>80</v>
          </cell>
          <cell r="G285">
            <v>26</v>
          </cell>
        </row>
        <row r="286">
          <cell r="A286">
            <v>285</v>
          </cell>
          <cell r="B286" t="str">
            <v>Antonio Rüdiger</v>
          </cell>
          <cell r="C286" t="str">
            <v>Real Madrid CF</v>
          </cell>
          <cell r="D286" t="str">
            <v>Alemania</v>
          </cell>
          <cell r="E286" t="str">
            <v>CT</v>
          </cell>
          <cell r="F286">
            <v>87</v>
          </cell>
          <cell r="G286">
            <v>32</v>
          </cell>
        </row>
        <row r="287">
          <cell r="A287">
            <v>286</v>
          </cell>
          <cell r="B287" t="str">
            <v>Arda Güler</v>
          </cell>
          <cell r="C287" t="str">
            <v>Real Madrid CF</v>
          </cell>
          <cell r="D287" t="str">
            <v>Turquía</v>
          </cell>
          <cell r="E287" t="str">
            <v>MO</v>
          </cell>
          <cell r="F287">
            <v>78</v>
          </cell>
          <cell r="G287">
            <v>20</v>
          </cell>
        </row>
        <row r="288">
          <cell r="A288">
            <v>287</v>
          </cell>
          <cell r="B288" t="str">
            <v>Brahim Díaz</v>
          </cell>
          <cell r="C288" t="str">
            <v>Real Madrid CF</v>
          </cell>
          <cell r="D288" t="str">
            <v>Marruecos</v>
          </cell>
          <cell r="E288" t="str">
            <v>ED</v>
          </cell>
          <cell r="F288">
            <v>81</v>
          </cell>
          <cell r="G288">
            <v>26</v>
          </cell>
        </row>
        <row r="289">
          <cell r="A289">
            <v>288</v>
          </cell>
          <cell r="B289" t="str">
            <v>Dani Ceballos</v>
          </cell>
          <cell r="C289" t="str">
            <v>Real Madrid CF</v>
          </cell>
          <cell r="D289" t="str">
            <v>España</v>
          </cell>
          <cell r="E289" t="str">
            <v>MC</v>
          </cell>
          <cell r="F289">
            <v>78</v>
          </cell>
          <cell r="G289">
            <v>29</v>
          </cell>
        </row>
        <row r="290">
          <cell r="A290">
            <v>289</v>
          </cell>
          <cell r="B290" t="str">
            <v>Daniel Carvajal</v>
          </cell>
          <cell r="C290" t="str">
            <v>Real Madrid CF</v>
          </cell>
          <cell r="D290" t="str">
            <v>España</v>
          </cell>
          <cell r="E290" t="str">
            <v>LD</v>
          </cell>
          <cell r="F290">
            <v>86</v>
          </cell>
          <cell r="G290">
            <v>33</v>
          </cell>
        </row>
        <row r="291">
          <cell r="A291">
            <v>290</v>
          </cell>
          <cell r="B291" t="str">
            <v>Daniel Yáñez</v>
          </cell>
          <cell r="C291" t="str">
            <v>Real Madrid CF</v>
          </cell>
          <cell r="D291" t="str">
            <v>España</v>
          </cell>
          <cell r="E291" t="str">
            <v>ED</v>
          </cell>
          <cell r="F291">
            <v>59</v>
          </cell>
          <cell r="G291">
            <v>18</v>
          </cell>
        </row>
        <row r="292">
          <cell r="A292">
            <v>291</v>
          </cell>
          <cell r="B292" t="str">
            <v>David Alaba</v>
          </cell>
          <cell r="C292" t="str">
            <v>Real Madrid CF</v>
          </cell>
          <cell r="D292" t="str">
            <v>Austria</v>
          </cell>
          <cell r="E292" t="str">
            <v>CT</v>
          </cell>
          <cell r="F292">
            <v>85</v>
          </cell>
          <cell r="G292">
            <v>33</v>
          </cell>
        </row>
        <row r="293">
          <cell r="A293">
            <v>292</v>
          </cell>
          <cell r="B293" t="str">
            <v>Dean Huijsen</v>
          </cell>
          <cell r="C293" t="str">
            <v>Real Madrid CF</v>
          </cell>
          <cell r="D293" t="str">
            <v>España</v>
          </cell>
          <cell r="E293" t="str">
            <v>CT</v>
          </cell>
          <cell r="F293">
            <v>78</v>
          </cell>
          <cell r="G293">
            <v>20</v>
          </cell>
        </row>
        <row r="294">
          <cell r="A294">
            <v>293</v>
          </cell>
          <cell r="B294" t="str">
            <v>Éder Militão</v>
          </cell>
          <cell r="C294" t="str">
            <v>Real Madrid CF</v>
          </cell>
          <cell r="D294" t="str">
            <v>Brasil</v>
          </cell>
          <cell r="E294" t="str">
            <v>CT</v>
          </cell>
          <cell r="F294">
            <v>86</v>
          </cell>
          <cell r="G294">
            <v>27</v>
          </cell>
        </row>
        <row r="295">
          <cell r="A295">
            <v>294</v>
          </cell>
          <cell r="B295" t="str">
            <v>Eduardo Camavinga</v>
          </cell>
          <cell r="C295" t="str">
            <v>Real Madrid CF</v>
          </cell>
          <cell r="D295" t="str">
            <v>Francia</v>
          </cell>
          <cell r="E295" t="str">
            <v>MC</v>
          </cell>
          <cell r="F295">
            <v>83</v>
          </cell>
          <cell r="G295">
            <v>23</v>
          </cell>
        </row>
        <row r="296">
          <cell r="A296">
            <v>295</v>
          </cell>
          <cell r="B296" t="str">
            <v>Endrick</v>
          </cell>
          <cell r="C296" t="str">
            <v>Real Madrid CF</v>
          </cell>
          <cell r="D296" t="str">
            <v>Brasil</v>
          </cell>
          <cell r="E296" t="str">
            <v>DC</v>
          </cell>
          <cell r="F296">
            <v>77</v>
          </cell>
          <cell r="G296">
            <v>19</v>
          </cell>
        </row>
        <row r="297">
          <cell r="A297">
            <v>296</v>
          </cell>
          <cell r="B297" t="str">
            <v>Federico Valverde</v>
          </cell>
          <cell r="C297" t="str">
            <v>Real Madrid CF</v>
          </cell>
          <cell r="D297" t="str">
            <v>Uruguay</v>
          </cell>
          <cell r="E297" t="str">
            <v>MC</v>
          </cell>
          <cell r="F297">
            <v>87</v>
          </cell>
          <cell r="G297">
            <v>27</v>
          </cell>
        </row>
        <row r="298">
          <cell r="A298">
            <v>297</v>
          </cell>
          <cell r="B298" t="str">
            <v>Ferland Mendy</v>
          </cell>
          <cell r="C298" t="str">
            <v>Real Madrid CF</v>
          </cell>
          <cell r="D298" t="str">
            <v>Francia</v>
          </cell>
          <cell r="E298" t="str">
            <v>LI</v>
          </cell>
          <cell r="F298">
            <v>82</v>
          </cell>
          <cell r="G298">
            <v>30</v>
          </cell>
        </row>
        <row r="299">
          <cell r="A299">
            <v>298</v>
          </cell>
          <cell r="B299" t="str">
            <v>Fran García T.</v>
          </cell>
          <cell r="C299" t="str">
            <v>Real Madrid CF</v>
          </cell>
          <cell r="D299" t="str">
            <v>España</v>
          </cell>
          <cell r="E299" t="str">
            <v>LI</v>
          </cell>
          <cell r="F299">
            <v>78</v>
          </cell>
          <cell r="G299">
            <v>26</v>
          </cell>
        </row>
        <row r="300">
          <cell r="A300">
            <v>299</v>
          </cell>
          <cell r="B300" t="str">
            <v>Fran González</v>
          </cell>
          <cell r="C300" t="str">
            <v>Real Madrid CF</v>
          </cell>
          <cell r="D300" t="str">
            <v>España</v>
          </cell>
          <cell r="E300" t="str">
            <v>PO</v>
          </cell>
          <cell r="F300">
            <v>72</v>
          </cell>
          <cell r="G300">
            <v>20</v>
          </cell>
        </row>
        <row r="301">
          <cell r="A301">
            <v>300</v>
          </cell>
          <cell r="B301" t="str">
            <v>Franco Mastantuono</v>
          </cell>
          <cell r="C301" t="str">
            <v>Real Madrid CF</v>
          </cell>
          <cell r="D301" t="str">
            <v>Argentina</v>
          </cell>
          <cell r="E301" t="str">
            <v>ED</v>
          </cell>
          <cell r="F301">
            <v>75</v>
          </cell>
          <cell r="G301">
            <v>18</v>
          </cell>
        </row>
        <row r="302">
          <cell r="A302">
            <v>301</v>
          </cell>
          <cell r="B302" t="str">
            <v>Gonzalo García</v>
          </cell>
          <cell r="C302" t="str">
            <v>Real Madrid CF</v>
          </cell>
          <cell r="D302" t="str">
            <v>España</v>
          </cell>
          <cell r="E302" t="str">
            <v>DC</v>
          </cell>
          <cell r="F302">
            <v>64</v>
          </cell>
          <cell r="G302">
            <v>21</v>
          </cell>
        </row>
        <row r="303">
          <cell r="A303">
            <v>302</v>
          </cell>
          <cell r="B303" t="str">
            <v>Jude Bellingham</v>
          </cell>
          <cell r="C303" t="str">
            <v>Real Madrid CF</v>
          </cell>
          <cell r="D303" t="str">
            <v>Inglaterra</v>
          </cell>
          <cell r="E303" t="str">
            <v>MO</v>
          </cell>
          <cell r="F303">
            <v>89</v>
          </cell>
          <cell r="G303">
            <v>22</v>
          </cell>
        </row>
        <row r="304">
          <cell r="A304">
            <v>303</v>
          </cell>
          <cell r="B304" t="str">
            <v>Kylian Mbappé</v>
          </cell>
          <cell r="C304" t="str">
            <v>Real Madrid CF</v>
          </cell>
          <cell r="D304" t="str">
            <v>Francia</v>
          </cell>
          <cell r="E304" t="str">
            <v>DC</v>
          </cell>
          <cell r="F304">
            <v>91</v>
          </cell>
          <cell r="G304">
            <v>27</v>
          </cell>
        </row>
        <row r="305">
          <cell r="A305">
            <v>304</v>
          </cell>
          <cell r="B305" t="str">
            <v>Raúl Asencio</v>
          </cell>
          <cell r="C305" t="str">
            <v>Real Madrid CF</v>
          </cell>
          <cell r="D305" t="str">
            <v>España</v>
          </cell>
          <cell r="E305" t="str">
            <v>CT</v>
          </cell>
          <cell r="F305">
            <v>76</v>
          </cell>
          <cell r="G305">
            <v>22</v>
          </cell>
        </row>
        <row r="306">
          <cell r="A306">
            <v>305</v>
          </cell>
          <cell r="B306" t="str">
            <v>Rodrygo</v>
          </cell>
          <cell r="C306" t="str">
            <v>Real Madrid CF</v>
          </cell>
          <cell r="D306" t="str">
            <v>Brasil</v>
          </cell>
          <cell r="E306" t="str">
            <v>ED</v>
          </cell>
          <cell r="F306">
            <v>86</v>
          </cell>
          <cell r="G306">
            <v>24</v>
          </cell>
        </row>
        <row r="307">
          <cell r="A307">
            <v>306</v>
          </cell>
          <cell r="B307" t="str">
            <v>Sergio Mestre</v>
          </cell>
          <cell r="C307" t="str">
            <v>Real Madrid CF</v>
          </cell>
          <cell r="D307" t="str">
            <v>España</v>
          </cell>
          <cell r="E307" t="str">
            <v>PO</v>
          </cell>
          <cell r="F307">
            <v>67</v>
          </cell>
          <cell r="G307">
            <v>20</v>
          </cell>
        </row>
        <row r="308">
          <cell r="A308">
            <v>307</v>
          </cell>
          <cell r="B308" t="str">
            <v>Thibaut Courtois</v>
          </cell>
          <cell r="C308" t="str">
            <v>Real Madrid CF</v>
          </cell>
          <cell r="D308" t="str">
            <v>Bélgica</v>
          </cell>
          <cell r="E308" t="str">
            <v>PO</v>
          </cell>
          <cell r="F308">
            <v>91</v>
          </cell>
          <cell r="G308">
            <v>33</v>
          </cell>
        </row>
        <row r="309">
          <cell r="A309">
            <v>308</v>
          </cell>
          <cell r="B309" t="str">
            <v>Vinícius Júnior</v>
          </cell>
          <cell r="C309" t="str">
            <v>Real Madrid CF</v>
          </cell>
          <cell r="D309" t="str">
            <v>Brasil</v>
          </cell>
          <cell r="E309" t="str">
            <v>EI</v>
          </cell>
          <cell r="F309">
            <v>90</v>
          </cell>
          <cell r="G309">
            <v>25</v>
          </cell>
        </row>
        <row r="310">
          <cell r="A310">
            <v>309</v>
          </cell>
          <cell r="B310" t="str">
            <v>Abdón Prats</v>
          </cell>
          <cell r="C310" t="str">
            <v>RCD Mallorca</v>
          </cell>
          <cell r="D310" t="str">
            <v>España</v>
          </cell>
          <cell r="E310" t="str">
            <v>DC</v>
          </cell>
          <cell r="F310">
            <v>73</v>
          </cell>
          <cell r="G310">
            <v>33</v>
          </cell>
        </row>
        <row r="311">
          <cell r="A311">
            <v>310</v>
          </cell>
          <cell r="B311" t="str">
            <v>Antonio Raíllo</v>
          </cell>
          <cell r="C311" t="str">
            <v>RCD Mallorca</v>
          </cell>
          <cell r="D311" t="str">
            <v>España</v>
          </cell>
          <cell r="E311" t="str">
            <v>CT</v>
          </cell>
          <cell r="F311">
            <v>77</v>
          </cell>
          <cell r="G311">
            <v>34</v>
          </cell>
        </row>
        <row r="312">
          <cell r="A312">
            <v>311</v>
          </cell>
          <cell r="B312" t="str">
            <v>Antonio Sánchez</v>
          </cell>
          <cell r="C312" t="str">
            <v>RCD Mallorca</v>
          </cell>
          <cell r="D312" t="str">
            <v>España</v>
          </cell>
          <cell r="E312" t="str">
            <v>MC</v>
          </cell>
          <cell r="F312">
            <v>74</v>
          </cell>
          <cell r="G312">
            <v>28</v>
          </cell>
        </row>
        <row r="313">
          <cell r="A313">
            <v>312</v>
          </cell>
          <cell r="B313" t="str">
            <v>Dani Rodríguez V.</v>
          </cell>
          <cell r="C313" t="str">
            <v>RCD Mallorca</v>
          </cell>
          <cell r="D313" t="str">
            <v>España</v>
          </cell>
          <cell r="E313" t="str">
            <v>MO</v>
          </cell>
          <cell r="F313">
            <v>78</v>
          </cell>
          <cell r="G313">
            <v>37</v>
          </cell>
        </row>
        <row r="314">
          <cell r="A314">
            <v>313</v>
          </cell>
          <cell r="B314" t="str">
            <v>David López G.</v>
          </cell>
          <cell r="C314" t="str">
            <v>RCD Mallorca</v>
          </cell>
          <cell r="D314" t="str">
            <v>España</v>
          </cell>
          <cell r="E314" t="str">
            <v>CT</v>
          </cell>
          <cell r="F314">
            <v>67</v>
          </cell>
          <cell r="G314">
            <v>22</v>
          </cell>
        </row>
        <row r="315">
          <cell r="A315">
            <v>314</v>
          </cell>
          <cell r="B315" t="str">
            <v>Iván Cuéllar</v>
          </cell>
          <cell r="C315" t="str">
            <v>RCD Mallorca</v>
          </cell>
          <cell r="D315" t="str">
            <v>España</v>
          </cell>
          <cell r="E315" t="str">
            <v>PO</v>
          </cell>
          <cell r="F315">
            <v>68</v>
          </cell>
          <cell r="G315">
            <v>41</v>
          </cell>
        </row>
        <row r="316">
          <cell r="A316">
            <v>315</v>
          </cell>
          <cell r="B316" t="str">
            <v>Javi Llabrés</v>
          </cell>
          <cell r="C316" t="str">
            <v>RCD Mallorca</v>
          </cell>
          <cell r="D316" t="str">
            <v>España</v>
          </cell>
          <cell r="E316" t="str">
            <v>EI</v>
          </cell>
          <cell r="F316">
            <v>70</v>
          </cell>
          <cell r="G316">
            <v>23</v>
          </cell>
        </row>
        <row r="317">
          <cell r="A317">
            <v>316</v>
          </cell>
          <cell r="B317" t="str">
            <v>Johan Mojica</v>
          </cell>
          <cell r="C317" t="str">
            <v>RCD Mallorca</v>
          </cell>
          <cell r="D317" t="str">
            <v>Colombia</v>
          </cell>
          <cell r="E317" t="str">
            <v>LI</v>
          </cell>
          <cell r="F317">
            <v>77</v>
          </cell>
          <cell r="G317">
            <v>33</v>
          </cell>
        </row>
        <row r="318">
          <cell r="A318">
            <v>317</v>
          </cell>
          <cell r="B318" t="str">
            <v>Leo Román</v>
          </cell>
          <cell r="C318" t="str">
            <v>RCD Mallorca</v>
          </cell>
          <cell r="D318" t="str">
            <v>España</v>
          </cell>
          <cell r="E318" t="str">
            <v>PO</v>
          </cell>
          <cell r="F318">
            <v>75</v>
          </cell>
          <cell r="G318">
            <v>25</v>
          </cell>
        </row>
        <row r="319">
          <cell r="A319">
            <v>318</v>
          </cell>
          <cell r="B319" t="str">
            <v>Lucas Bergström</v>
          </cell>
          <cell r="C319" t="str">
            <v>RCD Mallorca</v>
          </cell>
          <cell r="D319" t="str">
            <v>Finlandia</v>
          </cell>
          <cell r="E319" t="str">
            <v>PO</v>
          </cell>
          <cell r="F319">
            <v>68</v>
          </cell>
          <cell r="G319">
            <v>23</v>
          </cell>
        </row>
        <row r="320">
          <cell r="A320">
            <v>319</v>
          </cell>
          <cell r="B320" t="str">
            <v>Manu Morlanes</v>
          </cell>
          <cell r="C320" t="str">
            <v>RCD Mallorca</v>
          </cell>
          <cell r="D320" t="str">
            <v>España</v>
          </cell>
          <cell r="E320" t="str">
            <v>MC</v>
          </cell>
          <cell r="F320">
            <v>74</v>
          </cell>
          <cell r="G320">
            <v>26</v>
          </cell>
        </row>
        <row r="321">
          <cell r="A321">
            <v>320</v>
          </cell>
          <cell r="B321" t="str">
            <v>Marash Kumbulla</v>
          </cell>
          <cell r="C321" t="str">
            <v>RCD Mallorca</v>
          </cell>
          <cell r="D321" t="str">
            <v>Albania</v>
          </cell>
          <cell r="E321" t="str">
            <v>CT</v>
          </cell>
          <cell r="F321">
            <v>75</v>
          </cell>
          <cell r="G321">
            <v>25</v>
          </cell>
        </row>
        <row r="322">
          <cell r="A322">
            <v>321</v>
          </cell>
          <cell r="B322" t="str">
            <v>Marc Domènech G.</v>
          </cell>
          <cell r="C322" t="str">
            <v>RCD Mallorca</v>
          </cell>
          <cell r="D322" t="str">
            <v>España</v>
          </cell>
          <cell r="E322" t="str">
            <v>DC</v>
          </cell>
          <cell r="F322">
            <v>61</v>
          </cell>
          <cell r="G322">
            <v>19</v>
          </cell>
        </row>
        <row r="323">
          <cell r="A323">
            <v>322</v>
          </cell>
          <cell r="B323" t="str">
            <v>Martin Valjent</v>
          </cell>
          <cell r="C323" t="str">
            <v>RCD Mallorca</v>
          </cell>
          <cell r="D323" t="str">
            <v>Eslovaquia</v>
          </cell>
          <cell r="E323" t="str">
            <v>CT</v>
          </cell>
          <cell r="F323">
            <v>77</v>
          </cell>
          <cell r="G323">
            <v>30</v>
          </cell>
        </row>
        <row r="324">
          <cell r="A324">
            <v>323</v>
          </cell>
          <cell r="B324" t="str">
            <v>Mateo Joseph</v>
          </cell>
          <cell r="C324" t="str">
            <v>RCD Mallorca</v>
          </cell>
          <cell r="D324" t="str">
            <v>España</v>
          </cell>
          <cell r="E324" t="str">
            <v>DC</v>
          </cell>
          <cell r="F324">
            <v>70</v>
          </cell>
          <cell r="G324">
            <v>22</v>
          </cell>
        </row>
        <row r="325">
          <cell r="A325">
            <v>324</v>
          </cell>
          <cell r="B325" t="str">
            <v>Mateu Morey</v>
          </cell>
          <cell r="C325" t="str">
            <v>RCD Mallorca</v>
          </cell>
          <cell r="D325" t="str">
            <v>España</v>
          </cell>
          <cell r="E325" t="str">
            <v>LD</v>
          </cell>
          <cell r="F325">
            <v>72</v>
          </cell>
          <cell r="G325">
            <v>25</v>
          </cell>
        </row>
        <row r="326">
          <cell r="A326">
            <v>325</v>
          </cell>
          <cell r="B326" t="str">
            <v>Omar Mascarell</v>
          </cell>
          <cell r="C326" t="str">
            <v>RCD Mallorca</v>
          </cell>
          <cell r="D326" t="str">
            <v>Guinea Ecuatorial</v>
          </cell>
          <cell r="E326" t="str">
            <v>MCD</v>
          </cell>
          <cell r="F326">
            <v>75</v>
          </cell>
          <cell r="G326">
            <v>32</v>
          </cell>
        </row>
        <row r="327">
          <cell r="A327">
            <v>326</v>
          </cell>
          <cell r="B327" t="str">
            <v>Pablo Maffeo</v>
          </cell>
          <cell r="C327" t="str">
            <v>RCD Mallorca</v>
          </cell>
          <cell r="D327" t="str">
            <v>Argentina</v>
          </cell>
          <cell r="E327" t="str">
            <v>LD</v>
          </cell>
          <cell r="F327">
            <v>79</v>
          </cell>
          <cell r="G327">
            <v>28</v>
          </cell>
        </row>
        <row r="328">
          <cell r="A328">
            <v>327</v>
          </cell>
          <cell r="B328" t="str">
            <v>Pablo Torre</v>
          </cell>
          <cell r="C328" t="str">
            <v>RCD Mallorca</v>
          </cell>
          <cell r="D328" t="str">
            <v>España</v>
          </cell>
          <cell r="E328" t="str">
            <v>MO</v>
          </cell>
          <cell r="F328">
            <v>74</v>
          </cell>
          <cell r="G328">
            <v>22</v>
          </cell>
        </row>
        <row r="329">
          <cell r="A329">
            <v>328</v>
          </cell>
          <cell r="B329" t="str">
            <v>Samú Costa</v>
          </cell>
          <cell r="C329" t="str">
            <v>RCD Mallorca</v>
          </cell>
          <cell r="D329" t="str">
            <v>Portugal</v>
          </cell>
          <cell r="E329" t="str">
            <v>MCD</v>
          </cell>
          <cell r="F329">
            <v>75</v>
          </cell>
          <cell r="G329">
            <v>25</v>
          </cell>
        </row>
        <row r="330">
          <cell r="A330">
            <v>329</v>
          </cell>
          <cell r="B330" t="str">
            <v>Sergi Darder</v>
          </cell>
          <cell r="C330" t="str">
            <v>RCD Mallorca</v>
          </cell>
          <cell r="D330" t="str">
            <v>España</v>
          </cell>
          <cell r="E330" t="str">
            <v>MC</v>
          </cell>
          <cell r="F330">
            <v>82</v>
          </cell>
          <cell r="G330">
            <v>32</v>
          </cell>
        </row>
        <row r="331">
          <cell r="A331">
            <v>330</v>
          </cell>
          <cell r="B331" t="str">
            <v>Takuma Asano</v>
          </cell>
          <cell r="C331" t="str">
            <v>RCD Mallorca</v>
          </cell>
          <cell r="D331" t="str">
            <v>Japón</v>
          </cell>
          <cell r="E331" t="str">
            <v>ED</v>
          </cell>
          <cell r="F331">
            <v>75</v>
          </cell>
          <cell r="G331">
            <v>31</v>
          </cell>
        </row>
        <row r="332">
          <cell r="A332">
            <v>331</v>
          </cell>
          <cell r="B332" t="str">
            <v>Toni Lato</v>
          </cell>
          <cell r="C332" t="str">
            <v>RCD Mallorca</v>
          </cell>
          <cell r="D332" t="str">
            <v>España</v>
          </cell>
          <cell r="E332" t="str">
            <v>LI</v>
          </cell>
          <cell r="F332">
            <v>74</v>
          </cell>
          <cell r="G332">
            <v>28</v>
          </cell>
        </row>
        <row r="333">
          <cell r="A333">
            <v>332</v>
          </cell>
          <cell r="B333" t="str">
            <v>Vedat Muriqi</v>
          </cell>
          <cell r="C333" t="str">
            <v>RCD Mallorca</v>
          </cell>
          <cell r="D333" t="str">
            <v>Kosovo</v>
          </cell>
          <cell r="E333" t="str">
            <v>DC</v>
          </cell>
          <cell r="F333">
            <v>80</v>
          </cell>
          <cell r="G333">
            <v>31</v>
          </cell>
        </row>
        <row r="334">
          <cell r="A334">
            <v>333</v>
          </cell>
          <cell r="B334" t="str">
            <v>Adri Giménez</v>
          </cell>
          <cell r="C334" t="str">
            <v>Mercadona FC</v>
          </cell>
          <cell r="D334" t="str">
            <v>Argentina</v>
          </cell>
          <cell r="E334" t="str">
            <v>ED</v>
          </cell>
          <cell r="F334">
            <v>82</v>
          </cell>
          <cell r="G334">
            <v>30</v>
          </cell>
        </row>
        <row r="335">
          <cell r="A335">
            <v>334</v>
          </cell>
          <cell r="B335" t="str">
            <v>Aitor Alhaja</v>
          </cell>
          <cell r="C335" t="str">
            <v>Mercadona FC</v>
          </cell>
          <cell r="D335" t="str">
            <v>Alemania</v>
          </cell>
          <cell r="E335" t="str">
            <v>EI</v>
          </cell>
          <cell r="F335">
            <v>77</v>
          </cell>
          <cell r="G335">
            <v>32</v>
          </cell>
        </row>
        <row r="336">
          <cell r="A336">
            <v>335</v>
          </cell>
          <cell r="B336" t="str">
            <v>Albert Ortega</v>
          </cell>
          <cell r="C336" t="str">
            <v>Mercadona FC</v>
          </cell>
          <cell r="D336" t="str">
            <v>España</v>
          </cell>
          <cell r="E336" t="str">
            <v>MCD</v>
          </cell>
          <cell r="F336">
            <v>79</v>
          </cell>
          <cell r="G336">
            <v>34</v>
          </cell>
        </row>
        <row r="337">
          <cell r="A337">
            <v>336</v>
          </cell>
          <cell r="B337" t="str">
            <v>Antonio Molano</v>
          </cell>
          <cell r="C337" t="str">
            <v>Mercadona FC</v>
          </cell>
          <cell r="D337" t="str">
            <v>Ecuador</v>
          </cell>
          <cell r="E337" t="str">
            <v>EI</v>
          </cell>
          <cell r="F337">
            <v>74</v>
          </cell>
          <cell r="G337">
            <v>31</v>
          </cell>
        </row>
        <row r="338">
          <cell r="A338">
            <v>337</v>
          </cell>
          <cell r="B338" t="str">
            <v>Botella</v>
          </cell>
          <cell r="C338" t="str">
            <v>Mercadona FC</v>
          </cell>
          <cell r="D338" t="str">
            <v>Eslovaquia</v>
          </cell>
          <cell r="E338" t="str">
            <v>CT</v>
          </cell>
          <cell r="F338">
            <v>70</v>
          </cell>
          <cell r="G338">
            <v>41</v>
          </cell>
        </row>
        <row r="339">
          <cell r="A339">
            <v>338</v>
          </cell>
          <cell r="B339" t="str">
            <v>Carlos Gutiérrez</v>
          </cell>
          <cell r="C339" t="str">
            <v>Mercadona FC</v>
          </cell>
          <cell r="D339" t="str">
            <v>Bélgica</v>
          </cell>
          <cell r="E339" t="str">
            <v>DC</v>
          </cell>
          <cell r="F339">
            <v>77</v>
          </cell>
          <cell r="G339">
            <v>28</v>
          </cell>
        </row>
        <row r="340">
          <cell r="A340">
            <v>339</v>
          </cell>
          <cell r="B340" t="str">
            <v>David Pablo</v>
          </cell>
          <cell r="C340" t="str">
            <v>Mercadona FC</v>
          </cell>
          <cell r="D340" t="str">
            <v>Italia</v>
          </cell>
          <cell r="E340" t="str">
            <v>LD</v>
          </cell>
          <cell r="F340">
            <v>67</v>
          </cell>
          <cell r="G340">
            <v>36</v>
          </cell>
        </row>
        <row r="341">
          <cell r="A341">
            <v>340</v>
          </cell>
          <cell r="B341" t="str">
            <v>Encargao Manolo</v>
          </cell>
          <cell r="C341" t="str">
            <v>Mercadona FC</v>
          </cell>
          <cell r="D341" t="str">
            <v>Grecia</v>
          </cell>
          <cell r="E341" t="str">
            <v>SD</v>
          </cell>
          <cell r="F341">
            <v>75</v>
          </cell>
          <cell r="G341">
            <v>30</v>
          </cell>
        </row>
        <row r="342">
          <cell r="A342">
            <v>341</v>
          </cell>
          <cell r="B342" t="str">
            <v>Fake Carlos</v>
          </cell>
          <cell r="C342" t="str">
            <v>Mercadona FC</v>
          </cell>
          <cell r="D342" t="str">
            <v>Argentina</v>
          </cell>
          <cell r="E342" t="str">
            <v>CT</v>
          </cell>
          <cell r="F342">
            <v>74</v>
          </cell>
          <cell r="G342">
            <v>35</v>
          </cell>
        </row>
        <row r="343">
          <cell r="A343">
            <v>342</v>
          </cell>
          <cell r="B343" t="str">
            <v>Iván Page</v>
          </cell>
          <cell r="C343" t="str">
            <v>Mercadona FC</v>
          </cell>
          <cell r="D343" t="str">
            <v>Rusia</v>
          </cell>
          <cell r="E343" t="str">
            <v>MO</v>
          </cell>
          <cell r="F343">
            <v>80</v>
          </cell>
          <cell r="G343">
            <v>30</v>
          </cell>
        </row>
        <row r="344">
          <cell r="A344">
            <v>343</v>
          </cell>
          <cell r="B344" t="str">
            <v>Javi Casanova</v>
          </cell>
          <cell r="C344" t="str">
            <v>Mercadona FC</v>
          </cell>
          <cell r="D344" t="str">
            <v>Islandia</v>
          </cell>
          <cell r="E344" t="str">
            <v>CT</v>
          </cell>
          <cell r="F344">
            <v>75</v>
          </cell>
          <cell r="G344">
            <v>39</v>
          </cell>
        </row>
        <row r="345">
          <cell r="A345">
            <v>344</v>
          </cell>
          <cell r="B345" t="str">
            <v>Javi Repartidor</v>
          </cell>
          <cell r="C345" t="str">
            <v>Mercadona FC</v>
          </cell>
          <cell r="D345" t="str">
            <v>México</v>
          </cell>
          <cell r="E345" t="str">
            <v>ED</v>
          </cell>
          <cell r="F345">
            <v>68</v>
          </cell>
          <cell r="G345">
            <v>22</v>
          </cell>
        </row>
        <row r="346">
          <cell r="A346">
            <v>345</v>
          </cell>
          <cell r="B346" t="str">
            <v>Javi Valero</v>
          </cell>
          <cell r="C346" t="str">
            <v>Mercadona FC</v>
          </cell>
          <cell r="D346" t="str">
            <v>España</v>
          </cell>
          <cell r="E346" t="str">
            <v>EI</v>
          </cell>
          <cell r="F346">
            <v>71</v>
          </cell>
          <cell r="G346">
            <v>27</v>
          </cell>
        </row>
        <row r="347">
          <cell r="A347">
            <v>346</v>
          </cell>
          <cell r="B347" t="str">
            <v>Jordi Darriba</v>
          </cell>
          <cell r="C347" t="str">
            <v>Mercadona FC</v>
          </cell>
          <cell r="D347" t="str">
            <v>España</v>
          </cell>
          <cell r="E347" t="str">
            <v>PO</v>
          </cell>
          <cell r="F347">
            <v>61</v>
          </cell>
          <cell r="G347">
            <v>26</v>
          </cell>
        </row>
        <row r="348">
          <cell r="A348">
            <v>347</v>
          </cell>
          <cell r="B348" t="str">
            <v>Jordi Ledesma</v>
          </cell>
          <cell r="C348" t="str">
            <v>Mercadona FC</v>
          </cell>
          <cell r="D348" t="str">
            <v>Paraguay</v>
          </cell>
          <cell r="E348" t="str">
            <v>LD</v>
          </cell>
          <cell r="F348">
            <v>75</v>
          </cell>
          <cell r="G348">
            <v>35</v>
          </cell>
        </row>
        <row r="349">
          <cell r="A349">
            <v>348</v>
          </cell>
          <cell r="B349" t="str">
            <v>Jordi Parejo</v>
          </cell>
          <cell r="C349" t="str">
            <v>Mercadona FC</v>
          </cell>
          <cell r="D349" t="str">
            <v>Colombia</v>
          </cell>
          <cell r="E349" t="str">
            <v>MCD</v>
          </cell>
          <cell r="F349">
            <v>72</v>
          </cell>
          <cell r="G349">
            <v>39</v>
          </cell>
        </row>
        <row r="350">
          <cell r="A350">
            <v>349</v>
          </cell>
          <cell r="B350" t="str">
            <v>Juanma Cano</v>
          </cell>
          <cell r="C350" t="str">
            <v>Mercadona FC</v>
          </cell>
          <cell r="D350" t="str">
            <v>Portugal</v>
          </cell>
          <cell r="E350" t="str">
            <v>DC</v>
          </cell>
          <cell r="F350">
            <v>73</v>
          </cell>
          <cell r="G350">
            <v>32</v>
          </cell>
        </row>
        <row r="351">
          <cell r="A351">
            <v>350</v>
          </cell>
          <cell r="B351" t="str">
            <v>Maicol Salazar</v>
          </cell>
          <cell r="C351" t="str">
            <v>Mercadona FC</v>
          </cell>
          <cell r="D351" t="str">
            <v>Uruguay</v>
          </cell>
          <cell r="E351" t="str">
            <v>CT</v>
          </cell>
          <cell r="F351">
            <v>75</v>
          </cell>
          <cell r="G351">
            <v>24</v>
          </cell>
        </row>
        <row r="352">
          <cell r="A352">
            <v>351</v>
          </cell>
          <cell r="B352" t="str">
            <v>Marc Fernández</v>
          </cell>
          <cell r="C352" t="str">
            <v>Mercadona FC</v>
          </cell>
          <cell r="D352" t="str">
            <v>Alemania</v>
          </cell>
          <cell r="E352" t="str">
            <v>ED</v>
          </cell>
          <cell r="F352">
            <v>77</v>
          </cell>
          <cell r="G352">
            <v>28</v>
          </cell>
        </row>
        <row r="353">
          <cell r="A353">
            <v>352</v>
          </cell>
          <cell r="B353" t="str">
            <v>Sergi Pintado</v>
          </cell>
          <cell r="C353" t="str">
            <v>Mercadona FC</v>
          </cell>
          <cell r="D353" t="str">
            <v>Portugal</v>
          </cell>
          <cell r="E353" t="str">
            <v>EI</v>
          </cell>
          <cell r="F353">
            <v>77</v>
          </cell>
          <cell r="G353">
            <v>32</v>
          </cell>
        </row>
        <row r="354">
          <cell r="A354">
            <v>353</v>
          </cell>
          <cell r="B354" t="str">
            <v>Sergio Balderas</v>
          </cell>
          <cell r="C354" t="str">
            <v>Mercadona FC</v>
          </cell>
          <cell r="D354" t="str">
            <v>Suiza</v>
          </cell>
          <cell r="E354" t="str">
            <v>PO</v>
          </cell>
          <cell r="F354">
            <v>77</v>
          </cell>
          <cell r="G354">
            <v>35</v>
          </cell>
        </row>
        <row r="355">
          <cell r="A355">
            <v>354</v>
          </cell>
          <cell r="B355" t="str">
            <v>Sergio Penya</v>
          </cell>
          <cell r="C355" t="str">
            <v>Mercadona FC</v>
          </cell>
          <cell r="D355" t="str">
            <v>Países Bajos</v>
          </cell>
          <cell r="E355" t="str">
            <v>LI</v>
          </cell>
          <cell r="F355">
            <v>68</v>
          </cell>
          <cell r="G355">
            <v>31</v>
          </cell>
        </row>
        <row r="356">
          <cell r="A356">
            <v>355</v>
          </cell>
          <cell r="B356" t="str">
            <v>Uri Martínez</v>
          </cell>
          <cell r="C356" t="str">
            <v>Mercadona FC</v>
          </cell>
          <cell r="D356" t="str">
            <v>España</v>
          </cell>
          <cell r="E356" t="str">
            <v>LI</v>
          </cell>
          <cell r="F356">
            <v>75</v>
          </cell>
          <cell r="G356">
            <v>32</v>
          </cell>
        </row>
        <row r="357">
          <cell r="A357">
            <v>356</v>
          </cell>
          <cell r="B357" t="str">
            <v>Youseff Segarro</v>
          </cell>
          <cell r="C357" t="str">
            <v>Mercadona FC</v>
          </cell>
          <cell r="D357" t="str">
            <v>Argentina</v>
          </cell>
          <cell r="E357" t="str">
            <v>MC</v>
          </cell>
          <cell r="F357">
            <v>74</v>
          </cell>
          <cell r="G357">
            <v>38</v>
          </cell>
        </row>
        <row r="358">
          <cell r="A358">
            <v>357</v>
          </cell>
          <cell r="B358" t="str">
            <v>Abel Bretones</v>
          </cell>
          <cell r="C358" t="str">
            <v>CA Osasuna</v>
          </cell>
          <cell r="D358" t="str">
            <v>España</v>
          </cell>
          <cell r="E358" t="str">
            <v>LI</v>
          </cell>
          <cell r="F358">
            <v>72</v>
          </cell>
          <cell r="G358">
            <v>25</v>
          </cell>
        </row>
        <row r="359">
          <cell r="A359">
            <v>358</v>
          </cell>
          <cell r="B359" t="str">
            <v>Aimar Oroz</v>
          </cell>
          <cell r="C359" t="str">
            <v>CA Osasuna</v>
          </cell>
          <cell r="D359" t="str">
            <v>España</v>
          </cell>
          <cell r="E359" t="str">
            <v>MO</v>
          </cell>
          <cell r="F359">
            <v>75</v>
          </cell>
          <cell r="G359">
            <v>24</v>
          </cell>
        </row>
        <row r="360">
          <cell r="A360">
            <v>359</v>
          </cell>
          <cell r="B360" t="str">
            <v>Aitor Fernández</v>
          </cell>
          <cell r="C360" t="str">
            <v>CA Osasuna</v>
          </cell>
          <cell r="D360" t="str">
            <v>España</v>
          </cell>
          <cell r="E360" t="str">
            <v>PO</v>
          </cell>
          <cell r="F360">
            <v>77</v>
          </cell>
          <cell r="G360">
            <v>34</v>
          </cell>
        </row>
        <row r="361">
          <cell r="A361">
            <v>360</v>
          </cell>
          <cell r="B361" t="str">
            <v>Alejandro Catena</v>
          </cell>
          <cell r="C361" t="str">
            <v>CA Osasuna</v>
          </cell>
          <cell r="D361" t="str">
            <v>España</v>
          </cell>
          <cell r="E361" t="str">
            <v>CT</v>
          </cell>
          <cell r="F361">
            <v>79</v>
          </cell>
          <cell r="G361">
            <v>31</v>
          </cell>
        </row>
        <row r="362">
          <cell r="A362">
            <v>361</v>
          </cell>
          <cell r="B362" t="str">
            <v>Ante Budimir</v>
          </cell>
          <cell r="C362" t="str">
            <v>CA Osasuna</v>
          </cell>
          <cell r="D362" t="str">
            <v>Croacia</v>
          </cell>
          <cell r="E362" t="str">
            <v>DC</v>
          </cell>
          <cell r="F362">
            <v>78</v>
          </cell>
          <cell r="G362">
            <v>34</v>
          </cell>
        </row>
        <row r="363">
          <cell r="A363">
            <v>362</v>
          </cell>
          <cell r="B363" t="str">
            <v>Asier Osambela</v>
          </cell>
          <cell r="C363" t="str">
            <v>CA Osasuna</v>
          </cell>
          <cell r="D363" t="str">
            <v>España</v>
          </cell>
          <cell r="E363" t="str">
            <v>MC</v>
          </cell>
          <cell r="F363">
            <v>64</v>
          </cell>
          <cell r="G363">
            <v>21</v>
          </cell>
        </row>
        <row r="364">
          <cell r="A364">
            <v>363</v>
          </cell>
          <cell r="B364" t="str">
            <v>D. Stamatakis</v>
          </cell>
          <cell r="C364" t="str">
            <v>CA Osasuna</v>
          </cell>
          <cell r="D364" t="str">
            <v>Grecia</v>
          </cell>
          <cell r="E364" t="str">
            <v>PO</v>
          </cell>
          <cell r="F364">
            <v>61</v>
          </cell>
          <cell r="G364">
            <v>22</v>
          </cell>
        </row>
        <row r="365">
          <cell r="A365">
            <v>364</v>
          </cell>
          <cell r="B365" t="str">
            <v>Enzo Boyomo</v>
          </cell>
          <cell r="C365" t="str">
            <v>CA Osasuna</v>
          </cell>
          <cell r="D365" t="str">
            <v>Camerún</v>
          </cell>
          <cell r="E365" t="str">
            <v>CT</v>
          </cell>
          <cell r="F365">
            <v>74</v>
          </cell>
          <cell r="G365">
            <v>24</v>
          </cell>
        </row>
        <row r="366">
          <cell r="A366">
            <v>365</v>
          </cell>
          <cell r="B366" t="str">
            <v>Iker Benito</v>
          </cell>
          <cell r="C366" t="str">
            <v>CA Osasuna</v>
          </cell>
          <cell r="D366" t="str">
            <v>España</v>
          </cell>
          <cell r="E366" t="str">
            <v>ED</v>
          </cell>
          <cell r="F366">
            <v>67</v>
          </cell>
          <cell r="G366">
            <v>23</v>
          </cell>
        </row>
        <row r="367">
          <cell r="A367">
            <v>366</v>
          </cell>
          <cell r="B367" t="str">
            <v>Iker Muñoz C.</v>
          </cell>
          <cell r="C367" t="str">
            <v>CA Osasuna</v>
          </cell>
          <cell r="D367" t="str">
            <v>España</v>
          </cell>
          <cell r="E367" t="str">
            <v>MCD</v>
          </cell>
          <cell r="F367">
            <v>68</v>
          </cell>
          <cell r="G367">
            <v>23</v>
          </cell>
        </row>
        <row r="368">
          <cell r="A368">
            <v>367</v>
          </cell>
          <cell r="B368" t="str">
            <v>Iñigo Arguibide</v>
          </cell>
          <cell r="C368" t="str">
            <v>CA Osasuna</v>
          </cell>
          <cell r="D368" t="str">
            <v>España</v>
          </cell>
          <cell r="E368" t="str">
            <v>LD</v>
          </cell>
          <cell r="F368">
            <v>62</v>
          </cell>
          <cell r="G368">
            <v>20</v>
          </cell>
        </row>
        <row r="369">
          <cell r="A369">
            <v>368</v>
          </cell>
          <cell r="B369" t="str">
            <v>Jon Moncayola</v>
          </cell>
          <cell r="C369" t="str">
            <v>CA Osasuna</v>
          </cell>
          <cell r="D369" t="str">
            <v>España</v>
          </cell>
          <cell r="E369" t="str">
            <v>MC</v>
          </cell>
          <cell r="F369">
            <v>79</v>
          </cell>
          <cell r="G369">
            <v>27</v>
          </cell>
        </row>
        <row r="370">
          <cell r="A370">
            <v>369</v>
          </cell>
          <cell r="B370" t="str">
            <v>Jorge Herrando</v>
          </cell>
          <cell r="C370" t="str">
            <v>CA Osasuna</v>
          </cell>
          <cell r="D370" t="str">
            <v>España</v>
          </cell>
          <cell r="E370" t="str">
            <v>CT</v>
          </cell>
          <cell r="F370">
            <v>72</v>
          </cell>
          <cell r="G370">
            <v>24</v>
          </cell>
        </row>
        <row r="371">
          <cell r="A371">
            <v>370</v>
          </cell>
          <cell r="B371" t="str">
            <v>Juan Cruz Á.</v>
          </cell>
          <cell r="C371" t="str">
            <v>CA Osasuna</v>
          </cell>
          <cell r="D371" t="str">
            <v>España</v>
          </cell>
          <cell r="E371" t="str">
            <v>LI</v>
          </cell>
          <cell r="F371">
            <v>75</v>
          </cell>
          <cell r="G371">
            <v>33</v>
          </cell>
        </row>
        <row r="372">
          <cell r="A372">
            <v>371</v>
          </cell>
          <cell r="B372" t="str">
            <v>Kike Barja</v>
          </cell>
          <cell r="C372" t="str">
            <v>CA Osasuna</v>
          </cell>
          <cell r="D372" t="str">
            <v>España</v>
          </cell>
          <cell r="E372" t="str">
            <v>ED</v>
          </cell>
          <cell r="F372">
            <v>75</v>
          </cell>
          <cell r="G372">
            <v>28</v>
          </cell>
        </row>
        <row r="373">
          <cell r="A373">
            <v>372</v>
          </cell>
          <cell r="B373" t="str">
            <v>Lucas Torró</v>
          </cell>
          <cell r="C373" t="str">
            <v>CA Osasuna</v>
          </cell>
          <cell r="D373" t="str">
            <v>España</v>
          </cell>
          <cell r="E373" t="str">
            <v>MCD</v>
          </cell>
          <cell r="F373">
            <v>77</v>
          </cell>
          <cell r="G373">
            <v>31</v>
          </cell>
        </row>
        <row r="374">
          <cell r="A374">
            <v>373</v>
          </cell>
          <cell r="B374" t="str">
            <v>Moi Gómez</v>
          </cell>
          <cell r="C374" t="str">
            <v>CA Osasuna</v>
          </cell>
          <cell r="D374" t="str">
            <v>España</v>
          </cell>
          <cell r="E374" t="str">
            <v>MO</v>
          </cell>
          <cell r="F374">
            <v>81</v>
          </cell>
          <cell r="G374">
            <v>31</v>
          </cell>
        </row>
        <row r="375">
          <cell r="A375">
            <v>374</v>
          </cell>
          <cell r="B375" t="str">
            <v>Raúl Chasco</v>
          </cell>
          <cell r="C375" t="str">
            <v>CA Osasuna</v>
          </cell>
          <cell r="D375" t="str">
            <v>España</v>
          </cell>
          <cell r="E375" t="str">
            <v>LI</v>
          </cell>
          <cell r="F375">
            <v>63</v>
          </cell>
          <cell r="G375">
            <v>22</v>
          </cell>
        </row>
        <row r="376">
          <cell r="A376">
            <v>375</v>
          </cell>
          <cell r="B376" t="str">
            <v>Raúl García</v>
          </cell>
          <cell r="C376" t="str">
            <v>CA Osasuna</v>
          </cell>
          <cell r="D376" t="str">
            <v>España</v>
          </cell>
          <cell r="E376" t="str">
            <v>DC</v>
          </cell>
          <cell r="F376">
            <v>74</v>
          </cell>
          <cell r="G376">
            <v>25</v>
          </cell>
        </row>
        <row r="377">
          <cell r="A377">
            <v>376</v>
          </cell>
          <cell r="B377" t="str">
            <v>Rubén García</v>
          </cell>
          <cell r="C377" t="str">
            <v>CA Osasuna</v>
          </cell>
          <cell r="D377" t="str">
            <v>España</v>
          </cell>
          <cell r="E377" t="str">
            <v>ED</v>
          </cell>
          <cell r="F377">
            <v>78</v>
          </cell>
          <cell r="G377">
            <v>32</v>
          </cell>
        </row>
        <row r="378">
          <cell r="A378">
            <v>377</v>
          </cell>
          <cell r="B378" t="str">
            <v>Sergio Herrera</v>
          </cell>
          <cell r="C378" t="str">
            <v>CA Osasuna</v>
          </cell>
          <cell r="D378" t="str">
            <v>España</v>
          </cell>
          <cell r="E378" t="str">
            <v>PO</v>
          </cell>
          <cell r="F378">
            <v>78</v>
          </cell>
          <cell r="G378">
            <v>32</v>
          </cell>
        </row>
        <row r="379">
          <cell r="A379">
            <v>378</v>
          </cell>
          <cell r="B379" t="str">
            <v>Sheraldo Becker</v>
          </cell>
          <cell r="C379" t="str">
            <v>CA Osasuna</v>
          </cell>
          <cell r="D379" t="str">
            <v>Surinam</v>
          </cell>
          <cell r="E379" t="str">
            <v>EI</v>
          </cell>
          <cell r="F379">
            <v>80</v>
          </cell>
          <cell r="G379">
            <v>30</v>
          </cell>
        </row>
        <row r="380">
          <cell r="A380">
            <v>379</v>
          </cell>
          <cell r="B380" t="str">
            <v>Valentin Rosier</v>
          </cell>
          <cell r="C380" t="str">
            <v>CA Osasuna</v>
          </cell>
          <cell r="D380" t="str">
            <v>Francia</v>
          </cell>
          <cell r="E380" t="str">
            <v>LD</v>
          </cell>
          <cell r="F380">
            <v>74</v>
          </cell>
          <cell r="G380">
            <v>29</v>
          </cell>
        </row>
        <row r="381">
          <cell r="A381">
            <v>380</v>
          </cell>
          <cell r="B381" t="str">
            <v>Víctor Muñoz</v>
          </cell>
          <cell r="C381" t="str">
            <v>CA Osasuna</v>
          </cell>
          <cell r="D381" t="str">
            <v>España</v>
          </cell>
          <cell r="E381" t="str">
            <v>EI</v>
          </cell>
          <cell r="F381">
            <v>60</v>
          </cell>
          <cell r="G381">
            <v>22</v>
          </cell>
        </row>
        <row r="382">
          <cell r="A382">
            <v>381</v>
          </cell>
          <cell r="B382" t="str">
            <v>Abdul Mumin</v>
          </cell>
          <cell r="C382" t="str">
            <v>Rayo Vallecano</v>
          </cell>
          <cell r="D382" t="str">
            <v>Ghana</v>
          </cell>
          <cell r="E382" t="str">
            <v>CT</v>
          </cell>
          <cell r="F382">
            <v>71</v>
          </cell>
          <cell r="G382">
            <v>27</v>
          </cell>
        </row>
        <row r="383">
          <cell r="A383">
            <v>382</v>
          </cell>
          <cell r="B383" t="str">
            <v>Alemão Z.</v>
          </cell>
          <cell r="C383" t="str">
            <v>Rayo Vallecano</v>
          </cell>
          <cell r="D383" t="str">
            <v>Brasil</v>
          </cell>
          <cell r="E383" t="str">
            <v>DC</v>
          </cell>
          <cell r="F383">
            <v>71</v>
          </cell>
          <cell r="G383">
            <v>27</v>
          </cell>
        </row>
        <row r="384">
          <cell r="A384">
            <v>383</v>
          </cell>
          <cell r="B384" t="str">
            <v>Alfonso Espino</v>
          </cell>
          <cell r="C384" t="str">
            <v>Rayo Vallecano</v>
          </cell>
          <cell r="D384" t="str">
            <v>Uruguay</v>
          </cell>
          <cell r="E384" t="str">
            <v>LI</v>
          </cell>
          <cell r="F384">
            <v>78</v>
          </cell>
          <cell r="G384">
            <v>33</v>
          </cell>
        </row>
        <row r="385">
          <cell r="A385">
            <v>384</v>
          </cell>
          <cell r="B385" t="str">
            <v>Álvaro García R.</v>
          </cell>
          <cell r="C385" t="str">
            <v>Rayo Vallecano</v>
          </cell>
          <cell r="D385" t="str">
            <v>España</v>
          </cell>
          <cell r="E385" t="str">
            <v>EI</v>
          </cell>
          <cell r="F385">
            <v>80</v>
          </cell>
          <cell r="G385">
            <v>33</v>
          </cell>
        </row>
        <row r="386">
          <cell r="A386">
            <v>385</v>
          </cell>
          <cell r="B386" t="str">
            <v>Andrei Rațiu</v>
          </cell>
          <cell r="C386" t="str">
            <v>Rayo Vallecano</v>
          </cell>
          <cell r="D386" t="str">
            <v>Rumania</v>
          </cell>
          <cell r="E386" t="str">
            <v>LD</v>
          </cell>
          <cell r="F386">
            <v>78</v>
          </cell>
          <cell r="G386">
            <v>27</v>
          </cell>
        </row>
        <row r="387">
          <cell r="A387">
            <v>386</v>
          </cell>
          <cell r="B387" t="str">
            <v>Augusto Batalla</v>
          </cell>
          <cell r="C387" t="str">
            <v>Rayo Vallecano</v>
          </cell>
          <cell r="D387" t="str">
            <v>Argentina</v>
          </cell>
          <cell r="E387" t="str">
            <v>PO</v>
          </cell>
          <cell r="F387">
            <v>77</v>
          </cell>
          <cell r="G387">
            <v>29</v>
          </cell>
        </row>
        <row r="388">
          <cell r="A388">
            <v>387</v>
          </cell>
          <cell r="B388" t="str">
            <v>Dani Cárdenas</v>
          </cell>
          <cell r="C388" t="str">
            <v>Rayo Vallecano</v>
          </cell>
          <cell r="D388" t="str">
            <v>España</v>
          </cell>
          <cell r="E388" t="str">
            <v>PO</v>
          </cell>
          <cell r="F388">
            <v>75</v>
          </cell>
          <cell r="G388">
            <v>28</v>
          </cell>
        </row>
        <row r="389">
          <cell r="A389">
            <v>388</v>
          </cell>
          <cell r="B389" t="str">
            <v>Florian Lejeune</v>
          </cell>
          <cell r="C389" t="str">
            <v>Rayo Vallecano</v>
          </cell>
          <cell r="D389" t="str">
            <v>Francia</v>
          </cell>
          <cell r="E389" t="str">
            <v>CT</v>
          </cell>
          <cell r="F389">
            <v>77</v>
          </cell>
          <cell r="G389">
            <v>34</v>
          </cell>
        </row>
        <row r="390">
          <cell r="A390">
            <v>389</v>
          </cell>
          <cell r="B390" t="str">
            <v>Fran Pérez</v>
          </cell>
          <cell r="C390" t="str">
            <v>Rayo Vallecano</v>
          </cell>
          <cell r="D390" t="str">
            <v>España</v>
          </cell>
          <cell r="E390" t="str">
            <v>ED</v>
          </cell>
          <cell r="F390">
            <v>74</v>
          </cell>
          <cell r="G390">
            <v>23</v>
          </cell>
        </row>
        <row r="391">
          <cell r="A391">
            <v>390</v>
          </cell>
          <cell r="B391" t="str">
            <v>Gerard Gumbau</v>
          </cell>
          <cell r="C391" t="str">
            <v>Rayo Vallecano</v>
          </cell>
          <cell r="D391" t="str">
            <v>España</v>
          </cell>
          <cell r="E391" t="str">
            <v>MCD</v>
          </cell>
          <cell r="F391">
            <v>75</v>
          </cell>
          <cell r="G391">
            <v>31</v>
          </cell>
        </row>
        <row r="392">
          <cell r="A392">
            <v>391</v>
          </cell>
          <cell r="B392" t="str">
            <v>Isi Palazón</v>
          </cell>
          <cell r="C392" t="str">
            <v>Rayo Vallecano</v>
          </cell>
          <cell r="D392" t="str">
            <v>España</v>
          </cell>
          <cell r="E392" t="str">
            <v>SD</v>
          </cell>
          <cell r="F392">
            <v>80</v>
          </cell>
          <cell r="G392">
            <v>31</v>
          </cell>
        </row>
        <row r="393">
          <cell r="A393">
            <v>392</v>
          </cell>
          <cell r="B393" t="str">
            <v>Iván Balliu</v>
          </cell>
          <cell r="C393" t="str">
            <v>Rayo Vallecano</v>
          </cell>
          <cell r="D393" t="str">
            <v>Albania</v>
          </cell>
          <cell r="E393" t="str">
            <v>LD</v>
          </cell>
          <cell r="F393">
            <v>77</v>
          </cell>
          <cell r="G393">
            <v>33</v>
          </cell>
        </row>
        <row r="394">
          <cell r="A394">
            <v>393</v>
          </cell>
          <cell r="B394" t="str">
            <v>J. Vertrouwd</v>
          </cell>
          <cell r="C394" t="str">
            <v>Rayo Vallecano</v>
          </cell>
          <cell r="D394" t="str">
            <v>Países Bajos</v>
          </cell>
          <cell r="E394" t="str">
            <v>CT</v>
          </cell>
          <cell r="F394">
            <v>64</v>
          </cell>
          <cell r="G394">
            <v>21</v>
          </cell>
        </row>
        <row r="395">
          <cell r="A395">
            <v>394</v>
          </cell>
          <cell r="B395" t="str">
            <v>Jorge de Frutos</v>
          </cell>
          <cell r="C395" t="str">
            <v>Rayo Vallecano</v>
          </cell>
          <cell r="D395" t="str">
            <v>España</v>
          </cell>
          <cell r="E395" t="str">
            <v>ED</v>
          </cell>
          <cell r="F395">
            <v>78</v>
          </cell>
          <cell r="G395">
            <v>28</v>
          </cell>
        </row>
        <row r="396">
          <cell r="A396">
            <v>395</v>
          </cell>
          <cell r="B396" t="str">
            <v>Juanpe Gil</v>
          </cell>
          <cell r="C396" t="str">
            <v>Rayo Vallecano</v>
          </cell>
          <cell r="D396" t="str">
            <v>España</v>
          </cell>
          <cell r="E396" t="str">
            <v>PO</v>
          </cell>
          <cell r="F396">
            <v>59</v>
          </cell>
          <cell r="G396">
            <v>24</v>
          </cell>
        </row>
        <row r="397">
          <cell r="A397">
            <v>396</v>
          </cell>
          <cell r="B397" t="str">
            <v>Luiz Felipe R.</v>
          </cell>
          <cell r="C397" t="str">
            <v>Rayo Vallecano</v>
          </cell>
          <cell r="D397" t="str">
            <v>Italia</v>
          </cell>
          <cell r="E397" t="str">
            <v>CT</v>
          </cell>
          <cell r="F397">
            <v>77</v>
          </cell>
          <cell r="G397">
            <v>28</v>
          </cell>
        </row>
        <row r="398">
          <cell r="A398">
            <v>397</v>
          </cell>
          <cell r="B398" t="str">
            <v>Nobel Mendy</v>
          </cell>
          <cell r="C398" t="str">
            <v>Rayo Vallecano</v>
          </cell>
          <cell r="D398" t="str">
            <v>Senegal</v>
          </cell>
          <cell r="E398" t="str">
            <v>CT</v>
          </cell>
          <cell r="F398">
            <v>69</v>
          </cell>
          <cell r="G398">
            <v>21</v>
          </cell>
        </row>
        <row r="399">
          <cell r="A399">
            <v>398</v>
          </cell>
          <cell r="B399" t="str">
            <v>Óscar Trejo</v>
          </cell>
          <cell r="C399" t="str">
            <v>Rayo Vallecano</v>
          </cell>
          <cell r="D399" t="str">
            <v>Argentina</v>
          </cell>
          <cell r="E399" t="str">
            <v>MO</v>
          </cell>
          <cell r="F399">
            <v>77</v>
          </cell>
          <cell r="G399">
            <v>37</v>
          </cell>
        </row>
        <row r="400">
          <cell r="A400">
            <v>399</v>
          </cell>
          <cell r="B400" t="str">
            <v>Óscar Valentín</v>
          </cell>
          <cell r="C400" t="str">
            <v>Rayo Vallecano</v>
          </cell>
          <cell r="D400" t="str">
            <v>España</v>
          </cell>
          <cell r="E400" t="str">
            <v>MC</v>
          </cell>
          <cell r="F400">
            <v>76</v>
          </cell>
          <cell r="G400">
            <v>31</v>
          </cell>
        </row>
        <row r="401">
          <cell r="A401">
            <v>400</v>
          </cell>
          <cell r="B401" t="str">
            <v>Pathé Ciss</v>
          </cell>
          <cell r="C401" t="str">
            <v>Rayo Vallecano</v>
          </cell>
          <cell r="D401" t="str">
            <v>Senegal</v>
          </cell>
          <cell r="E401" t="str">
            <v>MC</v>
          </cell>
          <cell r="F401">
            <v>75</v>
          </cell>
          <cell r="G401">
            <v>31</v>
          </cell>
        </row>
        <row r="402">
          <cell r="A402">
            <v>401</v>
          </cell>
          <cell r="B402" t="str">
            <v>Pedro Díaz</v>
          </cell>
          <cell r="C402" t="str">
            <v>Rayo Vallecano</v>
          </cell>
          <cell r="D402" t="str">
            <v>España</v>
          </cell>
          <cell r="E402" t="str">
            <v>MC</v>
          </cell>
          <cell r="F402">
            <v>74</v>
          </cell>
          <cell r="G402">
            <v>27</v>
          </cell>
        </row>
        <row r="403">
          <cell r="A403">
            <v>402</v>
          </cell>
          <cell r="B403" t="str">
            <v>Pep Chavarría</v>
          </cell>
          <cell r="C403" t="str">
            <v>Rayo Vallecano</v>
          </cell>
          <cell r="D403" t="str">
            <v>España</v>
          </cell>
          <cell r="E403" t="str">
            <v>LI</v>
          </cell>
          <cell r="F403">
            <v>71</v>
          </cell>
          <cell r="G403">
            <v>27</v>
          </cell>
        </row>
        <row r="404">
          <cell r="A404">
            <v>403</v>
          </cell>
          <cell r="B404" t="str">
            <v>Randy Nteka</v>
          </cell>
          <cell r="C404" t="str">
            <v>Rayo Vallecano</v>
          </cell>
          <cell r="D404" t="str">
            <v>Angola</v>
          </cell>
          <cell r="E404" t="str">
            <v>MO</v>
          </cell>
          <cell r="F404">
            <v>71</v>
          </cell>
          <cell r="G404">
            <v>28</v>
          </cell>
        </row>
        <row r="405">
          <cell r="A405">
            <v>404</v>
          </cell>
          <cell r="B405" t="str">
            <v>Sergio Camello</v>
          </cell>
          <cell r="C405" t="str">
            <v>Rayo Vallecano</v>
          </cell>
          <cell r="D405" t="str">
            <v>España</v>
          </cell>
          <cell r="E405" t="str">
            <v>DC</v>
          </cell>
          <cell r="F405">
            <v>76</v>
          </cell>
          <cell r="G405">
            <v>24</v>
          </cell>
        </row>
        <row r="406">
          <cell r="A406">
            <v>405</v>
          </cell>
          <cell r="B406" t="str">
            <v>Unai López</v>
          </cell>
          <cell r="C406" t="str">
            <v>Rayo Vallecano</v>
          </cell>
          <cell r="D406" t="str">
            <v>España</v>
          </cell>
          <cell r="E406" t="str">
            <v>MC</v>
          </cell>
          <cell r="F406">
            <v>74</v>
          </cell>
          <cell r="G406">
            <v>30</v>
          </cell>
        </row>
        <row r="407">
          <cell r="A407">
            <v>406</v>
          </cell>
          <cell r="B407" t="str">
            <v>A. Mariezkurrena</v>
          </cell>
          <cell r="C407" t="str">
            <v>Real Sociedad</v>
          </cell>
          <cell r="D407" t="str">
            <v>España</v>
          </cell>
          <cell r="E407" t="str">
            <v>EI</v>
          </cell>
          <cell r="F407">
            <v>64</v>
          </cell>
          <cell r="G407">
            <v>20</v>
          </cell>
        </row>
        <row r="408">
          <cell r="A408">
            <v>407</v>
          </cell>
          <cell r="B408" t="str">
            <v>Aihen Muñoz</v>
          </cell>
          <cell r="C408" t="str">
            <v>Real Sociedad</v>
          </cell>
          <cell r="D408" t="str">
            <v>España</v>
          </cell>
          <cell r="E408" t="str">
            <v>LI</v>
          </cell>
          <cell r="F408">
            <v>75</v>
          </cell>
          <cell r="G408">
            <v>28</v>
          </cell>
        </row>
        <row r="409">
          <cell r="A409">
            <v>408</v>
          </cell>
          <cell r="B409" t="str">
            <v>Álex Remiro</v>
          </cell>
          <cell r="C409" t="str">
            <v>Real Sociedad</v>
          </cell>
          <cell r="D409" t="str">
            <v>España</v>
          </cell>
          <cell r="E409" t="str">
            <v>PO</v>
          </cell>
          <cell r="F409">
            <v>84</v>
          </cell>
          <cell r="G409">
            <v>30</v>
          </cell>
        </row>
        <row r="410">
          <cell r="A410">
            <v>409</v>
          </cell>
          <cell r="B410" t="str">
            <v>Álvaro Odriozola</v>
          </cell>
          <cell r="C410" t="str">
            <v>Real Sociedad</v>
          </cell>
          <cell r="D410" t="str">
            <v>España</v>
          </cell>
          <cell r="E410" t="str">
            <v>LD</v>
          </cell>
          <cell r="F410">
            <v>76</v>
          </cell>
          <cell r="G410">
            <v>30</v>
          </cell>
        </row>
        <row r="411">
          <cell r="A411">
            <v>410</v>
          </cell>
          <cell r="B411" t="str">
            <v>Ander Barrenetxea</v>
          </cell>
          <cell r="C411" t="str">
            <v>Real Sociedad</v>
          </cell>
          <cell r="D411" t="str">
            <v>España</v>
          </cell>
          <cell r="E411" t="str">
            <v>EI</v>
          </cell>
          <cell r="F411">
            <v>75</v>
          </cell>
          <cell r="G411">
            <v>24</v>
          </cell>
        </row>
        <row r="412">
          <cell r="A412">
            <v>411</v>
          </cell>
          <cell r="B412" t="str">
            <v>Aritz Elustondo</v>
          </cell>
          <cell r="C412" t="str">
            <v>Real Sociedad</v>
          </cell>
          <cell r="D412" t="str">
            <v>España</v>
          </cell>
          <cell r="E412" t="str">
            <v>CT</v>
          </cell>
          <cell r="F412">
            <v>79</v>
          </cell>
          <cell r="G412">
            <v>31</v>
          </cell>
        </row>
        <row r="413">
          <cell r="A413">
            <v>412</v>
          </cell>
          <cell r="B413" t="str">
            <v>Arsen Zakharyan</v>
          </cell>
          <cell r="C413" t="str">
            <v>Real Sociedad</v>
          </cell>
          <cell r="D413" t="str">
            <v>Rusia</v>
          </cell>
          <cell r="E413" t="str">
            <v>MO</v>
          </cell>
          <cell r="F413">
            <v>74</v>
          </cell>
          <cell r="G413">
            <v>22</v>
          </cell>
        </row>
        <row r="414">
          <cell r="A414">
            <v>413</v>
          </cell>
          <cell r="B414" t="str">
            <v>Beñat Turrientes</v>
          </cell>
          <cell r="C414" t="str">
            <v>Real Sociedad</v>
          </cell>
          <cell r="D414" t="str">
            <v>España</v>
          </cell>
          <cell r="E414" t="str">
            <v>MC</v>
          </cell>
          <cell r="F414">
            <v>73</v>
          </cell>
          <cell r="G414">
            <v>23</v>
          </cell>
        </row>
        <row r="415">
          <cell r="A415">
            <v>414</v>
          </cell>
          <cell r="B415" t="str">
            <v>Brais Méndez</v>
          </cell>
          <cell r="C415" t="str">
            <v>Real Sociedad</v>
          </cell>
          <cell r="D415" t="str">
            <v>España</v>
          </cell>
          <cell r="E415" t="str">
            <v>MO</v>
          </cell>
          <cell r="F415">
            <v>81</v>
          </cell>
          <cell r="G415">
            <v>28</v>
          </cell>
        </row>
        <row r="416">
          <cell r="A416">
            <v>415</v>
          </cell>
          <cell r="B416" t="str">
            <v>Carlos Soler</v>
          </cell>
          <cell r="C416" t="str">
            <v>Real Sociedad</v>
          </cell>
          <cell r="D416" t="str">
            <v>España</v>
          </cell>
          <cell r="E416" t="str">
            <v>MC</v>
          </cell>
          <cell r="F416">
            <v>78</v>
          </cell>
          <cell r="G416">
            <v>28</v>
          </cell>
        </row>
        <row r="417">
          <cell r="A417">
            <v>416</v>
          </cell>
          <cell r="B417" t="str">
            <v>Duje Caleta-Car</v>
          </cell>
          <cell r="C417" t="str">
            <v>Real Sociedad</v>
          </cell>
          <cell r="D417" t="str">
            <v>Croacia</v>
          </cell>
          <cell r="E417" t="str">
            <v>CT</v>
          </cell>
          <cell r="F417">
            <v>75</v>
          </cell>
          <cell r="G417">
            <v>29</v>
          </cell>
        </row>
        <row r="418">
          <cell r="A418">
            <v>417</v>
          </cell>
          <cell r="B418" t="str">
            <v>Egoitz Arana</v>
          </cell>
          <cell r="C418" t="str">
            <v>Real Sociedad</v>
          </cell>
          <cell r="D418" t="str">
            <v>España</v>
          </cell>
          <cell r="E418" t="str">
            <v>PO</v>
          </cell>
          <cell r="F418">
            <v>58</v>
          </cell>
          <cell r="G418">
            <v>23</v>
          </cell>
        </row>
        <row r="419">
          <cell r="A419">
            <v>418</v>
          </cell>
          <cell r="B419" t="str">
            <v>Gonçalo Guedes</v>
          </cell>
          <cell r="C419" t="str">
            <v>Real Sociedad</v>
          </cell>
          <cell r="D419" t="str">
            <v>Portugal</v>
          </cell>
          <cell r="E419" t="str">
            <v>EI</v>
          </cell>
          <cell r="F419">
            <v>78</v>
          </cell>
          <cell r="G419">
            <v>29</v>
          </cell>
        </row>
        <row r="420">
          <cell r="A420">
            <v>419</v>
          </cell>
          <cell r="B420" t="str">
            <v>Igor Zubeldia</v>
          </cell>
          <cell r="C420" t="str">
            <v>Real Sociedad</v>
          </cell>
          <cell r="D420" t="str">
            <v>España</v>
          </cell>
          <cell r="E420" t="str">
            <v>CT</v>
          </cell>
          <cell r="F420">
            <v>80</v>
          </cell>
          <cell r="G420">
            <v>28</v>
          </cell>
        </row>
        <row r="421">
          <cell r="A421">
            <v>420</v>
          </cell>
          <cell r="B421" t="str">
            <v>Jon Aramburu</v>
          </cell>
          <cell r="C421" t="str">
            <v>Real Sociedad</v>
          </cell>
          <cell r="D421" t="str">
            <v>Venezuela</v>
          </cell>
          <cell r="E421" t="str">
            <v>LD</v>
          </cell>
          <cell r="F421">
            <v>74</v>
          </cell>
          <cell r="G421">
            <v>23</v>
          </cell>
        </row>
        <row r="422">
          <cell r="A422">
            <v>421</v>
          </cell>
          <cell r="B422" t="str">
            <v>Jon Gorrotxategi</v>
          </cell>
          <cell r="C422" t="str">
            <v>Real Sociedad</v>
          </cell>
          <cell r="D422" t="str">
            <v>España</v>
          </cell>
          <cell r="E422" t="str">
            <v>MCD</v>
          </cell>
          <cell r="F422">
            <v>70</v>
          </cell>
          <cell r="G422">
            <v>23</v>
          </cell>
        </row>
        <row r="423">
          <cell r="A423">
            <v>422</v>
          </cell>
          <cell r="B423" t="str">
            <v>Jon Karrikaburu</v>
          </cell>
          <cell r="C423" t="str">
            <v>Real Sociedad</v>
          </cell>
          <cell r="D423" t="str">
            <v>España</v>
          </cell>
          <cell r="E423" t="str">
            <v>DC</v>
          </cell>
          <cell r="F423">
            <v>67</v>
          </cell>
          <cell r="G423">
            <v>23</v>
          </cell>
        </row>
        <row r="424">
          <cell r="A424">
            <v>423</v>
          </cell>
          <cell r="B424" t="str">
            <v>Jon Martín</v>
          </cell>
          <cell r="C424" t="str">
            <v>Real Sociedad</v>
          </cell>
          <cell r="D424" t="str">
            <v>España</v>
          </cell>
          <cell r="E424" t="str">
            <v>CT</v>
          </cell>
          <cell r="F424">
            <v>60</v>
          </cell>
          <cell r="G424">
            <v>19</v>
          </cell>
        </row>
        <row r="425">
          <cell r="A425">
            <v>424</v>
          </cell>
          <cell r="B425" t="str">
            <v>Luka Sucic</v>
          </cell>
          <cell r="C425" t="str">
            <v>Real Sociedad</v>
          </cell>
          <cell r="D425" t="str">
            <v>Croacia</v>
          </cell>
          <cell r="E425" t="str">
            <v>MC</v>
          </cell>
          <cell r="F425">
            <v>74</v>
          </cell>
          <cell r="G425">
            <v>23</v>
          </cell>
        </row>
        <row r="426">
          <cell r="A426">
            <v>425</v>
          </cell>
          <cell r="B426" t="str">
            <v>Mikel Goti</v>
          </cell>
          <cell r="C426" t="str">
            <v>Real Sociedad</v>
          </cell>
          <cell r="D426" t="str">
            <v>España</v>
          </cell>
          <cell r="E426" t="str">
            <v>MO</v>
          </cell>
          <cell r="F426">
            <v>70</v>
          </cell>
          <cell r="G426">
            <v>23</v>
          </cell>
        </row>
        <row r="427">
          <cell r="A427">
            <v>426</v>
          </cell>
          <cell r="B427" t="str">
            <v>Mikel Oyarzabal</v>
          </cell>
          <cell r="C427" t="str">
            <v>Real Sociedad</v>
          </cell>
          <cell r="D427" t="str">
            <v>España</v>
          </cell>
          <cell r="E427" t="str">
            <v>DC</v>
          </cell>
          <cell r="F427">
            <v>82</v>
          </cell>
          <cell r="G427">
            <v>28</v>
          </cell>
        </row>
        <row r="428">
          <cell r="A428">
            <v>427</v>
          </cell>
          <cell r="B428" t="str">
            <v>Orri Óskarsson</v>
          </cell>
          <cell r="C428" t="str">
            <v>Real Sociedad</v>
          </cell>
          <cell r="D428" t="str">
            <v>Islandia</v>
          </cell>
          <cell r="E428" t="str">
            <v>DC</v>
          </cell>
          <cell r="F428">
            <v>72</v>
          </cell>
          <cell r="G428">
            <v>21</v>
          </cell>
        </row>
        <row r="429">
          <cell r="A429">
            <v>428</v>
          </cell>
          <cell r="B429" t="str">
            <v>Pablo Marín</v>
          </cell>
          <cell r="C429" t="str">
            <v>Real Sociedad</v>
          </cell>
          <cell r="D429" t="str">
            <v>España</v>
          </cell>
          <cell r="E429" t="str">
            <v>MO</v>
          </cell>
          <cell r="F429">
            <v>71</v>
          </cell>
          <cell r="G429">
            <v>22</v>
          </cell>
        </row>
        <row r="430">
          <cell r="A430">
            <v>429</v>
          </cell>
          <cell r="B430" t="str">
            <v>Sergio Gómez</v>
          </cell>
          <cell r="C430" t="str">
            <v>Real Sociedad</v>
          </cell>
          <cell r="D430" t="str">
            <v>España</v>
          </cell>
          <cell r="E430" t="str">
            <v>LI</v>
          </cell>
          <cell r="F430">
            <v>76</v>
          </cell>
          <cell r="G430">
            <v>25</v>
          </cell>
        </row>
        <row r="431">
          <cell r="A431">
            <v>430</v>
          </cell>
          <cell r="B431" t="str">
            <v>Takefusa Kubo</v>
          </cell>
          <cell r="C431" t="str">
            <v>Real Sociedad</v>
          </cell>
          <cell r="D431" t="str">
            <v>Japón</v>
          </cell>
          <cell r="E431" t="str">
            <v>ED</v>
          </cell>
          <cell r="F431">
            <v>81</v>
          </cell>
          <cell r="G431">
            <v>24</v>
          </cell>
        </row>
        <row r="432">
          <cell r="A432">
            <v>431</v>
          </cell>
          <cell r="B432" t="str">
            <v>Umar Sadiq</v>
          </cell>
          <cell r="C432" t="str">
            <v>Real Sociedad</v>
          </cell>
          <cell r="D432" t="str">
            <v>Nigeria</v>
          </cell>
          <cell r="E432" t="str">
            <v>DC</v>
          </cell>
          <cell r="F432">
            <v>76</v>
          </cell>
          <cell r="G432">
            <v>28</v>
          </cell>
        </row>
        <row r="433">
          <cell r="A433">
            <v>432</v>
          </cell>
          <cell r="B433" t="str">
            <v>Unai Marrero</v>
          </cell>
          <cell r="C433" t="str">
            <v>Real Sociedad</v>
          </cell>
          <cell r="D433" t="str">
            <v>España</v>
          </cell>
          <cell r="E433" t="str">
            <v>PO</v>
          </cell>
          <cell r="F433">
            <v>67</v>
          </cell>
          <cell r="G433">
            <v>24</v>
          </cell>
        </row>
        <row r="434">
          <cell r="A434">
            <v>433</v>
          </cell>
          <cell r="B434" t="str">
            <v>Yangel Herrera</v>
          </cell>
          <cell r="C434" t="str">
            <v>Real Sociedad</v>
          </cell>
          <cell r="D434" t="str">
            <v>Venezuela</v>
          </cell>
          <cell r="E434" t="str">
            <v>MC</v>
          </cell>
          <cell r="F434">
            <v>81</v>
          </cell>
          <cell r="G434">
            <v>27</v>
          </cell>
        </row>
        <row r="435">
          <cell r="A435">
            <v>434</v>
          </cell>
          <cell r="B435" t="str">
            <v>Aïssa Laïdouni</v>
          </cell>
          <cell r="C435" t="str">
            <v>CE Sabadell</v>
          </cell>
          <cell r="D435" t="str">
            <v>Túnez</v>
          </cell>
          <cell r="E435" t="str">
            <v>MC</v>
          </cell>
          <cell r="F435">
            <v>75</v>
          </cell>
          <cell r="G435">
            <v>29</v>
          </cell>
        </row>
        <row r="436">
          <cell r="A436">
            <v>435</v>
          </cell>
          <cell r="B436" t="str">
            <v>Alejandro Alanís</v>
          </cell>
          <cell r="C436" t="str">
            <v>CE Sabadell</v>
          </cell>
          <cell r="D436" t="str">
            <v>México</v>
          </cell>
          <cell r="E436" t="str">
            <v>PO</v>
          </cell>
          <cell r="F436">
            <v>61</v>
          </cell>
          <cell r="G436">
            <v>22</v>
          </cell>
        </row>
        <row r="437">
          <cell r="A437">
            <v>436</v>
          </cell>
          <cell r="B437" t="str">
            <v>Dodô Pires</v>
          </cell>
          <cell r="C437" t="str">
            <v>CE Sabadell</v>
          </cell>
          <cell r="D437" t="str">
            <v>Brasil</v>
          </cell>
          <cell r="E437" t="str">
            <v>LI</v>
          </cell>
          <cell r="F437">
            <v>74</v>
          </cell>
          <cell r="G437">
            <v>33</v>
          </cell>
        </row>
        <row r="438">
          <cell r="A438">
            <v>437</v>
          </cell>
          <cell r="B438" t="str">
            <v>Emil Forsberg</v>
          </cell>
          <cell r="C438" t="str">
            <v>CE Sabadell</v>
          </cell>
          <cell r="D438" t="str">
            <v>Suecia</v>
          </cell>
          <cell r="E438" t="str">
            <v>EI</v>
          </cell>
          <cell r="F438">
            <v>79</v>
          </cell>
          <cell r="G438">
            <v>34</v>
          </cell>
        </row>
        <row r="439">
          <cell r="A439">
            <v>438</v>
          </cell>
          <cell r="B439" t="str">
            <v>Enock Kwateng</v>
          </cell>
          <cell r="C439" t="str">
            <v>CE Sabadell</v>
          </cell>
          <cell r="D439" t="str">
            <v>Francia</v>
          </cell>
          <cell r="E439" t="str">
            <v>LD</v>
          </cell>
          <cell r="F439">
            <v>75</v>
          </cell>
          <cell r="G439">
            <v>28</v>
          </cell>
        </row>
        <row r="440">
          <cell r="A440">
            <v>439</v>
          </cell>
          <cell r="B440" t="str">
            <v>Giorgi Makaridze</v>
          </cell>
          <cell r="C440" t="str">
            <v>CE Sabadell</v>
          </cell>
          <cell r="D440" t="str">
            <v>Georgia</v>
          </cell>
          <cell r="E440" t="str">
            <v>PO</v>
          </cell>
          <cell r="F440">
            <v>75</v>
          </cell>
          <cell r="G440">
            <v>35</v>
          </cell>
        </row>
        <row r="441">
          <cell r="A441">
            <v>440</v>
          </cell>
          <cell r="B441" t="str">
            <v>Jeremain Lens</v>
          </cell>
          <cell r="C441" t="str">
            <v>CE Sabadell</v>
          </cell>
          <cell r="D441" t="str">
            <v>Países Bajos</v>
          </cell>
          <cell r="E441" t="str">
            <v>ED</v>
          </cell>
          <cell r="F441">
            <v>74</v>
          </cell>
          <cell r="G441">
            <v>38</v>
          </cell>
        </row>
        <row r="442">
          <cell r="A442">
            <v>441</v>
          </cell>
          <cell r="B442" t="str">
            <v>Jorge Pereira</v>
          </cell>
          <cell r="C442" t="str">
            <v>CE Sabadell</v>
          </cell>
          <cell r="D442" t="str">
            <v>Portugal</v>
          </cell>
          <cell r="E442" t="str">
            <v>MC</v>
          </cell>
          <cell r="F442">
            <v>65</v>
          </cell>
          <cell r="G442">
            <v>27</v>
          </cell>
        </row>
        <row r="443">
          <cell r="A443">
            <v>442</v>
          </cell>
          <cell r="B443" t="str">
            <v>Juan Daniel Roa</v>
          </cell>
          <cell r="C443" t="str">
            <v>CE Sabadell</v>
          </cell>
          <cell r="D443" t="str">
            <v>Colombia</v>
          </cell>
          <cell r="E443" t="str">
            <v>MC</v>
          </cell>
          <cell r="F443">
            <v>70</v>
          </cell>
          <cell r="G443">
            <v>34</v>
          </cell>
        </row>
        <row r="444">
          <cell r="A444">
            <v>443</v>
          </cell>
          <cell r="B444" t="str">
            <v>Luiz Henrique A.</v>
          </cell>
          <cell r="C444" t="str">
            <v>CE Sabadell</v>
          </cell>
          <cell r="D444" t="str">
            <v>Brasil</v>
          </cell>
          <cell r="E444" t="str">
            <v>ED</v>
          </cell>
          <cell r="F444">
            <v>77</v>
          </cell>
          <cell r="G444">
            <v>24</v>
          </cell>
        </row>
        <row r="445">
          <cell r="A445">
            <v>444</v>
          </cell>
          <cell r="B445" t="str">
            <v>Marcel Tisserand</v>
          </cell>
          <cell r="C445" t="str">
            <v>CE Sabadell</v>
          </cell>
          <cell r="D445" t="str">
            <v>RD del Congo</v>
          </cell>
          <cell r="E445" t="str">
            <v>CT</v>
          </cell>
          <cell r="F445">
            <v>76</v>
          </cell>
          <cell r="G445">
            <v>32</v>
          </cell>
        </row>
        <row r="446">
          <cell r="A446">
            <v>445</v>
          </cell>
          <cell r="B446" t="str">
            <v>Michael Venturi</v>
          </cell>
          <cell r="C446" t="str">
            <v>CE Sabadell</v>
          </cell>
          <cell r="D446" t="str">
            <v>Italia</v>
          </cell>
          <cell r="E446" t="str">
            <v>CT</v>
          </cell>
          <cell r="F446">
            <v>68</v>
          </cell>
          <cell r="G446">
            <v>26</v>
          </cell>
        </row>
        <row r="447">
          <cell r="A447">
            <v>446</v>
          </cell>
          <cell r="B447" t="str">
            <v>Musa Barrow</v>
          </cell>
          <cell r="C447" t="str">
            <v>CE Sabadell</v>
          </cell>
          <cell r="D447" t="str">
            <v>Gambia</v>
          </cell>
          <cell r="E447" t="str">
            <v>EI</v>
          </cell>
          <cell r="F447">
            <v>78</v>
          </cell>
          <cell r="G447">
            <v>27</v>
          </cell>
        </row>
        <row r="448">
          <cell r="A448">
            <v>447</v>
          </cell>
          <cell r="B448" t="str">
            <v>Paulus Arajuuri</v>
          </cell>
          <cell r="C448" t="str">
            <v>CE Sabadell</v>
          </cell>
          <cell r="D448" t="str">
            <v>Finlandia</v>
          </cell>
          <cell r="E448" t="str">
            <v>CT</v>
          </cell>
          <cell r="F448">
            <v>73</v>
          </cell>
          <cell r="G448">
            <v>37</v>
          </cell>
        </row>
        <row r="449">
          <cell r="A449">
            <v>448</v>
          </cell>
          <cell r="B449" t="str">
            <v>Pedro Rebocho</v>
          </cell>
          <cell r="C449" t="str">
            <v>CE Sabadell</v>
          </cell>
          <cell r="D449" t="str">
            <v>Portugal</v>
          </cell>
          <cell r="E449" t="str">
            <v>LI</v>
          </cell>
          <cell r="F449">
            <v>75</v>
          </cell>
          <cell r="G449">
            <v>30</v>
          </cell>
        </row>
        <row r="450">
          <cell r="A450">
            <v>449</v>
          </cell>
          <cell r="B450" t="str">
            <v>Quentin Maceiras</v>
          </cell>
          <cell r="C450" t="str">
            <v>CE Sabadell</v>
          </cell>
          <cell r="D450" t="str">
            <v>Suiza</v>
          </cell>
          <cell r="E450" t="str">
            <v>LD</v>
          </cell>
          <cell r="F450">
            <v>68</v>
          </cell>
          <cell r="G450">
            <v>30</v>
          </cell>
        </row>
        <row r="451">
          <cell r="A451">
            <v>450</v>
          </cell>
          <cell r="B451" t="str">
            <v>Robert Rojas</v>
          </cell>
          <cell r="C451" t="str">
            <v>CE Sabadell</v>
          </cell>
          <cell r="D451" t="str">
            <v>Paraguay</v>
          </cell>
          <cell r="E451" t="str">
            <v>CT</v>
          </cell>
          <cell r="F451">
            <v>74</v>
          </cell>
          <cell r="G451">
            <v>29</v>
          </cell>
        </row>
        <row r="452">
          <cell r="A452">
            <v>451</v>
          </cell>
          <cell r="B452" t="str">
            <v>Rodrigo Villagra</v>
          </cell>
          <cell r="C452" t="str">
            <v>CE Sabadell</v>
          </cell>
          <cell r="D452" t="str">
            <v>Argentina</v>
          </cell>
          <cell r="E452" t="str">
            <v>MCD</v>
          </cell>
          <cell r="F452">
            <v>74</v>
          </cell>
          <cell r="G452">
            <v>24</v>
          </cell>
        </row>
        <row r="453">
          <cell r="A453">
            <v>452</v>
          </cell>
          <cell r="B453" t="str">
            <v>Rúben Semedo</v>
          </cell>
          <cell r="C453" t="str">
            <v>CE Sabadell</v>
          </cell>
          <cell r="D453" t="str">
            <v>Portugal</v>
          </cell>
          <cell r="E453" t="str">
            <v>CT</v>
          </cell>
          <cell r="F453">
            <v>77</v>
          </cell>
          <cell r="G453">
            <v>31</v>
          </cell>
        </row>
        <row r="454">
          <cell r="A454">
            <v>453</v>
          </cell>
          <cell r="B454" t="str">
            <v>Samuel Lino</v>
          </cell>
          <cell r="C454" t="str">
            <v>CE Sabadell</v>
          </cell>
          <cell r="D454" t="str">
            <v>Brasil</v>
          </cell>
          <cell r="E454" t="str">
            <v>EI</v>
          </cell>
          <cell r="F454">
            <v>81</v>
          </cell>
          <cell r="G454">
            <v>26</v>
          </cell>
        </row>
        <row r="455">
          <cell r="A455">
            <v>454</v>
          </cell>
          <cell r="B455" t="str">
            <v>Sardar Azmoun</v>
          </cell>
          <cell r="C455" t="str">
            <v>CE Sabadell</v>
          </cell>
          <cell r="D455" t="str">
            <v>Irán</v>
          </cell>
          <cell r="E455" t="str">
            <v>DC</v>
          </cell>
          <cell r="F455">
            <v>79</v>
          </cell>
          <cell r="G455">
            <v>30</v>
          </cell>
        </row>
        <row r="456">
          <cell r="A456">
            <v>455</v>
          </cell>
          <cell r="B456" t="str">
            <v>Sung-yueng Ki</v>
          </cell>
          <cell r="C456" t="str">
            <v>CE Sabadell</v>
          </cell>
          <cell r="D456" t="str">
            <v>Corea del Sur</v>
          </cell>
          <cell r="E456" t="str">
            <v>MCD</v>
          </cell>
          <cell r="F456">
            <v>75</v>
          </cell>
          <cell r="G456">
            <v>36</v>
          </cell>
        </row>
        <row r="457">
          <cell r="A457">
            <v>456</v>
          </cell>
          <cell r="B457" t="str">
            <v>Tommaso Fumagalli</v>
          </cell>
          <cell r="C457" t="str">
            <v>CE Sabadell</v>
          </cell>
          <cell r="D457" t="str">
            <v>Italia</v>
          </cell>
          <cell r="E457" t="str">
            <v>DC</v>
          </cell>
          <cell r="F457">
            <v>72</v>
          </cell>
          <cell r="G457">
            <v>25</v>
          </cell>
        </row>
        <row r="458">
          <cell r="A458">
            <v>457</v>
          </cell>
          <cell r="B458" t="str">
            <v>Valentin Gheorghe</v>
          </cell>
          <cell r="C458" t="str">
            <v>CE Sabadell</v>
          </cell>
          <cell r="D458" t="str">
            <v>Rumania</v>
          </cell>
          <cell r="E458" t="str">
            <v>EI</v>
          </cell>
          <cell r="F458">
            <v>70</v>
          </cell>
          <cell r="G458">
            <v>28</v>
          </cell>
        </row>
        <row r="459">
          <cell r="A459">
            <v>458</v>
          </cell>
          <cell r="B459" t="str">
            <v>André Almeida</v>
          </cell>
          <cell r="C459" t="str">
            <v>Valencia CF</v>
          </cell>
          <cell r="D459" t="str">
            <v>Portugal</v>
          </cell>
          <cell r="E459" t="str">
            <v>MO</v>
          </cell>
          <cell r="F459">
            <v>75</v>
          </cell>
          <cell r="G459">
            <v>25</v>
          </cell>
        </row>
        <row r="460">
          <cell r="A460">
            <v>459</v>
          </cell>
          <cell r="B460" t="str">
            <v>Arnaut Danjuma</v>
          </cell>
          <cell r="C460" t="str">
            <v>Valencia CF</v>
          </cell>
          <cell r="D460" t="str">
            <v>Países Bajos</v>
          </cell>
          <cell r="E460" t="str">
            <v>EI</v>
          </cell>
          <cell r="F460">
            <v>77</v>
          </cell>
          <cell r="G460">
            <v>28</v>
          </cell>
        </row>
        <row r="461">
          <cell r="A461">
            <v>460</v>
          </cell>
          <cell r="B461" t="str">
            <v>B. Santamaría</v>
          </cell>
          <cell r="C461" t="str">
            <v>Valencia CF</v>
          </cell>
          <cell r="D461" t="str">
            <v>Francia</v>
          </cell>
          <cell r="E461" t="str">
            <v>MCD</v>
          </cell>
          <cell r="F461">
            <v>77</v>
          </cell>
          <cell r="G461">
            <v>30</v>
          </cell>
        </row>
        <row r="462">
          <cell r="A462">
            <v>461</v>
          </cell>
          <cell r="B462" t="str">
            <v>César Tárrega</v>
          </cell>
          <cell r="C462" t="str">
            <v>Valencia CF</v>
          </cell>
          <cell r="D462" t="str">
            <v>España</v>
          </cell>
          <cell r="E462" t="str">
            <v>CT</v>
          </cell>
          <cell r="F462">
            <v>72</v>
          </cell>
          <cell r="G462">
            <v>23</v>
          </cell>
        </row>
        <row r="463">
          <cell r="A463">
            <v>462</v>
          </cell>
          <cell r="B463" t="str">
            <v>Cristian Rivero</v>
          </cell>
          <cell r="C463" t="str">
            <v>Valencia CF</v>
          </cell>
          <cell r="D463" t="str">
            <v>España</v>
          </cell>
          <cell r="E463" t="str">
            <v>PO</v>
          </cell>
          <cell r="F463">
            <v>69</v>
          </cell>
          <cell r="G463">
            <v>27</v>
          </cell>
        </row>
        <row r="464">
          <cell r="A464">
            <v>463</v>
          </cell>
          <cell r="B464" t="str">
            <v>Dani Raba</v>
          </cell>
          <cell r="C464" t="str">
            <v>Valencia CF</v>
          </cell>
          <cell r="D464" t="str">
            <v>España</v>
          </cell>
          <cell r="E464" t="str">
            <v>SD</v>
          </cell>
          <cell r="F464">
            <v>73</v>
          </cell>
          <cell r="G464">
            <v>30</v>
          </cell>
        </row>
        <row r="465">
          <cell r="A465">
            <v>464</v>
          </cell>
          <cell r="B465" t="str">
            <v>Diego López</v>
          </cell>
          <cell r="C465" t="str">
            <v>Valencia CF</v>
          </cell>
          <cell r="D465" t="str">
            <v>España</v>
          </cell>
          <cell r="E465" t="str">
            <v>ED</v>
          </cell>
          <cell r="F465">
            <v>75</v>
          </cell>
          <cell r="G465">
            <v>23</v>
          </cell>
        </row>
        <row r="466">
          <cell r="A466">
            <v>465</v>
          </cell>
          <cell r="B466" t="str">
            <v>Dimitri Foulquier</v>
          </cell>
          <cell r="C466" t="str">
            <v>Valencia CF</v>
          </cell>
          <cell r="D466" t="str">
            <v>Guadalupe</v>
          </cell>
          <cell r="E466" t="str">
            <v>LD</v>
          </cell>
          <cell r="F466">
            <v>74</v>
          </cell>
          <cell r="G466">
            <v>32</v>
          </cell>
        </row>
        <row r="467">
          <cell r="A467">
            <v>466</v>
          </cell>
          <cell r="B467" t="str">
            <v>Eray Cömert</v>
          </cell>
          <cell r="C467" t="str">
            <v>Valencia CF</v>
          </cell>
          <cell r="D467" t="str">
            <v>Suiza</v>
          </cell>
          <cell r="E467" t="str">
            <v>CT</v>
          </cell>
          <cell r="F467">
            <v>74</v>
          </cell>
          <cell r="G467">
            <v>27</v>
          </cell>
        </row>
        <row r="468">
          <cell r="A468">
            <v>467</v>
          </cell>
          <cell r="B468" t="str">
            <v>Filip Ugrinic</v>
          </cell>
          <cell r="C468" t="str">
            <v>Valencia CF</v>
          </cell>
          <cell r="D468" t="str">
            <v>Suiza</v>
          </cell>
          <cell r="E468" t="str">
            <v>MC</v>
          </cell>
          <cell r="F468">
            <v>74</v>
          </cell>
          <cell r="G468">
            <v>26</v>
          </cell>
        </row>
        <row r="469">
          <cell r="A469">
            <v>468</v>
          </cell>
          <cell r="B469" t="str">
            <v>Hugo Duro</v>
          </cell>
          <cell r="C469" t="str">
            <v>Valencia CF</v>
          </cell>
          <cell r="D469" t="str">
            <v>España</v>
          </cell>
          <cell r="E469" t="str">
            <v>DC</v>
          </cell>
          <cell r="F469">
            <v>78</v>
          </cell>
          <cell r="G469">
            <v>26</v>
          </cell>
        </row>
        <row r="470">
          <cell r="A470">
            <v>469</v>
          </cell>
          <cell r="B470" t="str">
            <v>Javi Guerra</v>
          </cell>
          <cell r="C470" t="str">
            <v>Valencia CF</v>
          </cell>
          <cell r="D470" t="str">
            <v>España</v>
          </cell>
          <cell r="E470" t="str">
            <v>MC</v>
          </cell>
          <cell r="F470">
            <v>75</v>
          </cell>
          <cell r="G470">
            <v>22</v>
          </cell>
        </row>
        <row r="471">
          <cell r="A471">
            <v>470</v>
          </cell>
          <cell r="B471" t="str">
            <v>Jesús Vázquez</v>
          </cell>
          <cell r="C471" t="str">
            <v>Valencia CF</v>
          </cell>
          <cell r="D471" t="str">
            <v>España</v>
          </cell>
          <cell r="E471" t="str">
            <v>LI</v>
          </cell>
          <cell r="F471">
            <v>72</v>
          </cell>
          <cell r="G471">
            <v>22</v>
          </cell>
        </row>
        <row r="472">
          <cell r="A472">
            <v>471</v>
          </cell>
          <cell r="B472" t="str">
            <v>José Copete</v>
          </cell>
          <cell r="C472" t="str">
            <v>Valencia CF</v>
          </cell>
          <cell r="D472" t="str">
            <v>España</v>
          </cell>
          <cell r="E472" t="str">
            <v>CT</v>
          </cell>
          <cell r="F472">
            <v>75</v>
          </cell>
          <cell r="G472">
            <v>26</v>
          </cell>
        </row>
        <row r="473">
          <cell r="A473">
            <v>472</v>
          </cell>
          <cell r="B473" t="str">
            <v>José Gayà</v>
          </cell>
          <cell r="C473" t="str">
            <v>Valencia CF</v>
          </cell>
          <cell r="D473" t="str">
            <v>España</v>
          </cell>
          <cell r="E473" t="str">
            <v>LI</v>
          </cell>
          <cell r="F473">
            <v>82</v>
          </cell>
          <cell r="G473">
            <v>30</v>
          </cell>
        </row>
        <row r="474">
          <cell r="A474">
            <v>473</v>
          </cell>
          <cell r="B474" t="str">
            <v>Julen Agirrezabala</v>
          </cell>
          <cell r="C474" t="str">
            <v>Valencia CF</v>
          </cell>
          <cell r="D474" t="str">
            <v>España</v>
          </cell>
          <cell r="E474" t="str">
            <v>PO</v>
          </cell>
          <cell r="F474">
            <v>78</v>
          </cell>
          <cell r="G474">
            <v>25</v>
          </cell>
        </row>
        <row r="475">
          <cell r="A475">
            <v>474</v>
          </cell>
          <cell r="B475" t="str">
            <v>Largie Ramazani</v>
          </cell>
          <cell r="C475" t="str">
            <v>Valencia CF</v>
          </cell>
          <cell r="D475" t="str">
            <v>Bélgica</v>
          </cell>
          <cell r="E475" t="str">
            <v>EI</v>
          </cell>
          <cell r="F475">
            <v>74</v>
          </cell>
          <cell r="G475">
            <v>24</v>
          </cell>
        </row>
        <row r="476">
          <cell r="A476">
            <v>475</v>
          </cell>
          <cell r="B476" t="str">
            <v>Lucas Beltrán</v>
          </cell>
          <cell r="C476" t="str">
            <v>Valencia CF</v>
          </cell>
          <cell r="D476" t="str">
            <v>Argentina</v>
          </cell>
          <cell r="E476" t="str">
            <v>DC</v>
          </cell>
          <cell r="F476">
            <v>76</v>
          </cell>
          <cell r="G476">
            <v>24</v>
          </cell>
        </row>
        <row r="477">
          <cell r="A477">
            <v>476</v>
          </cell>
          <cell r="B477" t="str">
            <v>Luis Rioja</v>
          </cell>
          <cell r="C477" t="str">
            <v>Valencia CF</v>
          </cell>
          <cell r="D477" t="str">
            <v>España</v>
          </cell>
          <cell r="E477" t="str">
            <v>EI</v>
          </cell>
          <cell r="F477">
            <v>77</v>
          </cell>
          <cell r="G477">
            <v>32</v>
          </cell>
        </row>
        <row r="478">
          <cell r="A478">
            <v>477</v>
          </cell>
          <cell r="B478" t="str">
            <v>Marcos Navarro</v>
          </cell>
          <cell r="C478" t="str">
            <v>Valencia CF</v>
          </cell>
          <cell r="D478" t="str">
            <v>España</v>
          </cell>
          <cell r="E478" t="str">
            <v>LI</v>
          </cell>
          <cell r="F478">
            <v>60</v>
          </cell>
          <cell r="G478">
            <v>21</v>
          </cell>
        </row>
        <row r="479">
          <cell r="A479">
            <v>478</v>
          </cell>
          <cell r="B479" t="str">
            <v>Mouctar Diakhaby</v>
          </cell>
          <cell r="C479" t="str">
            <v>Valencia CF</v>
          </cell>
          <cell r="D479" t="str">
            <v>Guinea</v>
          </cell>
          <cell r="E479" t="str">
            <v>CT</v>
          </cell>
          <cell r="F479">
            <v>76</v>
          </cell>
          <cell r="G479">
            <v>29</v>
          </cell>
        </row>
        <row r="480">
          <cell r="A480">
            <v>479</v>
          </cell>
          <cell r="B480" t="str">
            <v>Pepelu</v>
          </cell>
          <cell r="C480" t="str">
            <v>Valencia CF</v>
          </cell>
          <cell r="D480" t="str">
            <v>España</v>
          </cell>
          <cell r="E480" t="str">
            <v>MCD</v>
          </cell>
          <cell r="F480">
            <v>82</v>
          </cell>
          <cell r="G480">
            <v>27</v>
          </cell>
        </row>
        <row r="481">
          <cell r="A481">
            <v>480</v>
          </cell>
          <cell r="B481" t="str">
            <v>Rubén Iranzo</v>
          </cell>
          <cell r="C481" t="str">
            <v>Valencia CF</v>
          </cell>
          <cell r="D481" t="str">
            <v>España</v>
          </cell>
          <cell r="E481" t="str">
            <v>LD</v>
          </cell>
          <cell r="F481">
            <v>70</v>
          </cell>
          <cell r="G481">
            <v>22</v>
          </cell>
        </row>
        <row r="482">
          <cell r="A482">
            <v>481</v>
          </cell>
          <cell r="B482" t="str">
            <v>Stole Dimitrievski</v>
          </cell>
          <cell r="C482" t="str">
            <v>Valencia CF</v>
          </cell>
          <cell r="D482" t="str">
            <v>Macedonia del Norte</v>
          </cell>
          <cell r="E482" t="str">
            <v>PO</v>
          </cell>
          <cell r="F482">
            <v>79</v>
          </cell>
          <cell r="G482">
            <v>32</v>
          </cell>
        </row>
        <row r="483">
          <cell r="A483">
            <v>482</v>
          </cell>
          <cell r="B483" t="str">
            <v>Thierry Correia</v>
          </cell>
          <cell r="C483" t="str">
            <v>Valencia CF</v>
          </cell>
          <cell r="D483" t="str">
            <v>Portugal</v>
          </cell>
          <cell r="E483" t="str">
            <v>LD</v>
          </cell>
          <cell r="F483">
            <v>77</v>
          </cell>
          <cell r="G483">
            <v>26</v>
          </cell>
        </row>
        <row r="484">
          <cell r="A484">
            <v>483</v>
          </cell>
          <cell r="B484" t="str">
            <v>Adrià Altimira</v>
          </cell>
          <cell r="C484" t="str">
            <v>Villarreal CF</v>
          </cell>
          <cell r="D484" t="str">
            <v>España</v>
          </cell>
          <cell r="E484" t="str">
            <v>LD</v>
          </cell>
          <cell r="F484">
            <v>67</v>
          </cell>
          <cell r="G484">
            <v>24</v>
          </cell>
        </row>
        <row r="485">
          <cell r="A485">
            <v>484</v>
          </cell>
          <cell r="B485" t="str">
            <v>Alberto Moleiro</v>
          </cell>
          <cell r="C485" t="str">
            <v>Villarreal CF</v>
          </cell>
          <cell r="D485" t="str">
            <v>España</v>
          </cell>
          <cell r="E485" t="str">
            <v>EI</v>
          </cell>
          <cell r="F485">
            <v>80</v>
          </cell>
          <cell r="G485">
            <v>22</v>
          </cell>
        </row>
        <row r="486">
          <cell r="A486">
            <v>485</v>
          </cell>
          <cell r="B486" t="str">
            <v>Alfonso Pedraza</v>
          </cell>
          <cell r="C486" t="str">
            <v>Villarreal CF</v>
          </cell>
          <cell r="D486" t="str">
            <v>España</v>
          </cell>
          <cell r="E486" t="str">
            <v>LI</v>
          </cell>
          <cell r="F486">
            <v>78</v>
          </cell>
          <cell r="G486">
            <v>29</v>
          </cell>
        </row>
        <row r="487">
          <cell r="A487">
            <v>486</v>
          </cell>
          <cell r="B487" t="str">
            <v>Arnau Tenas</v>
          </cell>
          <cell r="C487" t="str">
            <v>Villarreal CF</v>
          </cell>
          <cell r="D487" t="str">
            <v>España</v>
          </cell>
          <cell r="E487" t="str">
            <v>PO</v>
          </cell>
          <cell r="F487">
            <v>75</v>
          </cell>
          <cell r="G487">
            <v>24</v>
          </cell>
        </row>
        <row r="488">
          <cell r="A488">
            <v>487</v>
          </cell>
          <cell r="B488" t="str">
            <v>Ayoze Pérez</v>
          </cell>
          <cell r="C488" t="str">
            <v>Villarreal CF</v>
          </cell>
          <cell r="D488" t="str">
            <v>España</v>
          </cell>
          <cell r="E488" t="str">
            <v>DC</v>
          </cell>
          <cell r="F488">
            <v>81</v>
          </cell>
          <cell r="G488">
            <v>32</v>
          </cell>
        </row>
        <row r="489">
          <cell r="A489">
            <v>488</v>
          </cell>
          <cell r="B489" t="str">
            <v>Dani Parejo</v>
          </cell>
          <cell r="C489" t="str">
            <v>Villarreal CF</v>
          </cell>
          <cell r="D489" t="str">
            <v>España</v>
          </cell>
          <cell r="E489" t="str">
            <v>MC</v>
          </cell>
          <cell r="F489">
            <v>81</v>
          </cell>
          <cell r="G489">
            <v>36</v>
          </cell>
        </row>
        <row r="490">
          <cell r="A490">
            <v>489</v>
          </cell>
          <cell r="B490" t="str">
            <v>Diego Conde</v>
          </cell>
          <cell r="C490" t="str">
            <v>Villarreal CF</v>
          </cell>
          <cell r="D490" t="str">
            <v>España</v>
          </cell>
          <cell r="E490" t="str">
            <v>PO</v>
          </cell>
          <cell r="F490">
            <v>77</v>
          </cell>
          <cell r="G490">
            <v>27</v>
          </cell>
        </row>
        <row r="491">
          <cell r="A491">
            <v>490</v>
          </cell>
          <cell r="B491" t="str">
            <v>G. Mikautadze</v>
          </cell>
          <cell r="C491" t="str">
            <v>Villarreal CF</v>
          </cell>
          <cell r="D491" t="str">
            <v>Georgia</v>
          </cell>
          <cell r="E491" t="str">
            <v>DC</v>
          </cell>
          <cell r="F491">
            <v>77</v>
          </cell>
          <cell r="G491">
            <v>25</v>
          </cell>
        </row>
        <row r="492">
          <cell r="A492">
            <v>491</v>
          </cell>
          <cell r="B492" t="str">
            <v>Gerard Moreno</v>
          </cell>
          <cell r="C492" t="str">
            <v>Villarreal CF</v>
          </cell>
          <cell r="D492" t="str">
            <v>España</v>
          </cell>
          <cell r="E492" t="str">
            <v>DC</v>
          </cell>
          <cell r="F492">
            <v>83</v>
          </cell>
          <cell r="G492">
            <v>33</v>
          </cell>
        </row>
        <row r="493">
          <cell r="A493">
            <v>492</v>
          </cell>
          <cell r="B493" t="str">
            <v>Ilias Akhomach</v>
          </cell>
          <cell r="C493" t="str">
            <v>Villarreal CF</v>
          </cell>
          <cell r="D493" t="str">
            <v>Marruecos</v>
          </cell>
          <cell r="E493" t="str">
            <v>ED</v>
          </cell>
          <cell r="F493">
            <v>72</v>
          </cell>
          <cell r="G493">
            <v>21</v>
          </cell>
        </row>
        <row r="494">
          <cell r="A494">
            <v>493</v>
          </cell>
          <cell r="B494" t="str">
            <v>Juan Foyth</v>
          </cell>
          <cell r="C494" t="str">
            <v>Villarreal CF</v>
          </cell>
          <cell r="D494" t="str">
            <v>Argentina</v>
          </cell>
          <cell r="E494" t="str">
            <v>CT</v>
          </cell>
          <cell r="F494">
            <v>76</v>
          </cell>
          <cell r="G494">
            <v>27</v>
          </cell>
        </row>
        <row r="495">
          <cell r="A495">
            <v>494</v>
          </cell>
          <cell r="B495" t="str">
            <v>Logan Costa</v>
          </cell>
          <cell r="C495" t="str">
            <v>Villarreal CF</v>
          </cell>
          <cell r="D495" t="str">
            <v>Cabo Verde</v>
          </cell>
          <cell r="E495" t="str">
            <v>CT</v>
          </cell>
          <cell r="F495">
            <v>76</v>
          </cell>
          <cell r="G495">
            <v>24</v>
          </cell>
        </row>
        <row r="496">
          <cell r="A496">
            <v>495</v>
          </cell>
          <cell r="B496" t="str">
            <v>Luiz Júnior</v>
          </cell>
          <cell r="C496" t="str">
            <v>Villarreal CF</v>
          </cell>
          <cell r="D496" t="str">
            <v>Brasil</v>
          </cell>
          <cell r="E496" t="str">
            <v>PO</v>
          </cell>
          <cell r="F496">
            <v>76</v>
          </cell>
          <cell r="G496">
            <v>24</v>
          </cell>
        </row>
        <row r="497">
          <cell r="A497">
            <v>496</v>
          </cell>
          <cell r="B497" t="str">
            <v>Manor Solomon</v>
          </cell>
          <cell r="C497" t="str">
            <v>Villarreal CF</v>
          </cell>
          <cell r="D497" t="str">
            <v>Israel</v>
          </cell>
          <cell r="E497" t="str">
            <v>EI</v>
          </cell>
          <cell r="F497">
            <v>77</v>
          </cell>
          <cell r="G497">
            <v>26</v>
          </cell>
        </row>
        <row r="498">
          <cell r="A498">
            <v>497</v>
          </cell>
          <cell r="B498" t="str">
            <v>Nicolas Pépé</v>
          </cell>
          <cell r="C498" t="str">
            <v>Villarreal CF</v>
          </cell>
          <cell r="D498" t="str">
            <v>Costa de Marfil</v>
          </cell>
          <cell r="E498" t="str">
            <v>ED</v>
          </cell>
          <cell r="F498">
            <v>78</v>
          </cell>
          <cell r="G498">
            <v>30</v>
          </cell>
        </row>
        <row r="499">
          <cell r="A499">
            <v>498</v>
          </cell>
          <cell r="B499" t="str">
            <v>Pape Gueye</v>
          </cell>
          <cell r="C499" t="str">
            <v>Villarreal CF</v>
          </cell>
          <cell r="D499" t="str">
            <v>Senegal</v>
          </cell>
          <cell r="E499" t="str">
            <v>MC</v>
          </cell>
          <cell r="F499">
            <v>74</v>
          </cell>
          <cell r="G499">
            <v>26</v>
          </cell>
        </row>
        <row r="500">
          <cell r="A500">
            <v>499</v>
          </cell>
          <cell r="B500" t="str">
            <v>Pau Cabanes</v>
          </cell>
          <cell r="C500" t="str">
            <v>Villarreal CF</v>
          </cell>
          <cell r="D500" t="str">
            <v>España</v>
          </cell>
          <cell r="E500" t="str">
            <v>DC</v>
          </cell>
          <cell r="F500">
            <v>63</v>
          </cell>
          <cell r="G500">
            <v>20</v>
          </cell>
        </row>
        <row r="501">
          <cell r="A501">
            <v>500</v>
          </cell>
          <cell r="B501" t="str">
            <v>Pau Navarro</v>
          </cell>
          <cell r="C501" t="str">
            <v>Villarreal CF</v>
          </cell>
          <cell r="D501" t="str">
            <v>España</v>
          </cell>
          <cell r="E501" t="str">
            <v>LD</v>
          </cell>
          <cell r="F501">
            <v>64</v>
          </cell>
          <cell r="G501">
            <v>20</v>
          </cell>
        </row>
        <row r="502">
          <cell r="A502">
            <v>501</v>
          </cell>
          <cell r="B502" t="str">
            <v>Rafa Marín</v>
          </cell>
          <cell r="C502" t="str">
            <v>Villarreal CF</v>
          </cell>
          <cell r="D502" t="str">
            <v>España</v>
          </cell>
          <cell r="E502" t="str">
            <v>CT</v>
          </cell>
          <cell r="F502">
            <v>71</v>
          </cell>
          <cell r="G502">
            <v>23</v>
          </cell>
        </row>
        <row r="503">
          <cell r="A503">
            <v>502</v>
          </cell>
          <cell r="B503" t="str">
            <v>Renato Veiga</v>
          </cell>
          <cell r="C503" t="str">
            <v>Villarreal CF</v>
          </cell>
          <cell r="D503" t="str">
            <v>Portugal</v>
          </cell>
          <cell r="E503" t="str">
            <v>CT</v>
          </cell>
          <cell r="F503">
            <v>72</v>
          </cell>
          <cell r="G503">
            <v>22</v>
          </cell>
        </row>
        <row r="504">
          <cell r="A504">
            <v>503</v>
          </cell>
          <cell r="B504" t="str">
            <v>Santi Comesaña</v>
          </cell>
          <cell r="C504" t="str">
            <v>Villarreal CF</v>
          </cell>
          <cell r="D504" t="str">
            <v>España</v>
          </cell>
          <cell r="E504" t="str">
            <v>MC</v>
          </cell>
          <cell r="F504">
            <v>76</v>
          </cell>
          <cell r="G504">
            <v>29</v>
          </cell>
        </row>
        <row r="505">
          <cell r="A505">
            <v>504</v>
          </cell>
          <cell r="B505" t="str">
            <v>Santiago Mouriño</v>
          </cell>
          <cell r="C505" t="str">
            <v>Villarreal CF</v>
          </cell>
          <cell r="D505" t="str">
            <v>Uruguay</v>
          </cell>
          <cell r="E505" t="str">
            <v>LD</v>
          </cell>
          <cell r="F505">
            <v>71</v>
          </cell>
          <cell r="G505">
            <v>23</v>
          </cell>
        </row>
        <row r="506">
          <cell r="A506">
            <v>505</v>
          </cell>
          <cell r="B506" t="str">
            <v>Sergi Cardona</v>
          </cell>
          <cell r="C506" t="str">
            <v>Villarreal CF</v>
          </cell>
          <cell r="D506" t="str">
            <v>España</v>
          </cell>
          <cell r="E506" t="str">
            <v>LI</v>
          </cell>
          <cell r="F506">
            <v>75</v>
          </cell>
          <cell r="G506">
            <v>26</v>
          </cell>
        </row>
        <row r="507">
          <cell r="A507">
            <v>506</v>
          </cell>
          <cell r="B507" t="str">
            <v>Tajon Buchanan</v>
          </cell>
          <cell r="C507" t="str">
            <v>Villarreal CF</v>
          </cell>
          <cell r="D507" t="str">
            <v>Canadá</v>
          </cell>
          <cell r="E507" t="str">
            <v>ED</v>
          </cell>
          <cell r="F507">
            <v>73</v>
          </cell>
          <cell r="G507">
            <v>26</v>
          </cell>
        </row>
        <row r="508">
          <cell r="A508">
            <v>507</v>
          </cell>
          <cell r="B508" t="str">
            <v>Tani Oluwaseyi</v>
          </cell>
          <cell r="C508" t="str">
            <v>Villarreal CF</v>
          </cell>
          <cell r="D508" t="str">
            <v>Canadá</v>
          </cell>
          <cell r="E508" t="str">
            <v>DC</v>
          </cell>
          <cell r="F508">
            <v>69</v>
          </cell>
          <cell r="G508">
            <v>25</v>
          </cell>
        </row>
        <row r="509">
          <cell r="A509">
            <v>508</v>
          </cell>
          <cell r="B509" t="str">
            <v>Thomas Partey</v>
          </cell>
          <cell r="C509" t="str">
            <v>Villarreal CF</v>
          </cell>
          <cell r="D509" t="str">
            <v>Ghana</v>
          </cell>
          <cell r="E509" t="str">
            <v>MCD</v>
          </cell>
          <cell r="F509">
            <v>82</v>
          </cell>
          <cell r="G509">
            <v>32</v>
          </cell>
        </row>
        <row r="510">
          <cell r="A510">
            <v>509</v>
          </cell>
          <cell r="B510" t="str">
            <v>Willy Kambwala</v>
          </cell>
          <cell r="C510" t="str">
            <v>Villarreal CF</v>
          </cell>
          <cell r="D510" t="str">
            <v>Francia</v>
          </cell>
          <cell r="E510" t="str">
            <v>CT</v>
          </cell>
          <cell r="F510">
            <v>71</v>
          </cell>
          <cell r="G510">
            <v>21</v>
          </cell>
        </row>
        <row r="511">
          <cell r="A511">
            <v>510</v>
          </cell>
          <cell r="B511" t="str">
            <v>Ben White</v>
          </cell>
          <cell r="C511" t="str">
            <v>Arsenal FC</v>
          </cell>
          <cell r="D511" t="str">
            <v>Inglaterra</v>
          </cell>
          <cell r="E511" t="str">
            <v>LD</v>
          </cell>
          <cell r="F511">
            <v>84</v>
          </cell>
          <cell r="G511">
            <v>28</v>
          </cell>
        </row>
        <row r="512">
          <cell r="A512">
            <v>511</v>
          </cell>
          <cell r="B512" t="str">
            <v>Bukayo Saka</v>
          </cell>
          <cell r="C512" t="str">
            <v>Arsenal FC</v>
          </cell>
          <cell r="D512" t="str">
            <v>Inglaterra</v>
          </cell>
          <cell r="E512" t="str">
            <v>ED</v>
          </cell>
          <cell r="F512">
            <v>87</v>
          </cell>
          <cell r="G512">
            <v>24</v>
          </cell>
        </row>
        <row r="513">
          <cell r="A513">
            <v>512</v>
          </cell>
          <cell r="B513" t="str">
            <v>Christian Nørgaard</v>
          </cell>
          <cell r="C513" t="str">
            <v>Arsenal FC</v>
          </cell>
          <cell r="D513" t="str">
            <v>Dinamarca</v>
          </cell>
          <cell r="E513" t="str">
            <v>MCD</v>
          </cell>
          <cell r="F513">
            <v>78</v>
          </cell>
          <cell r="G513">
            <v>31</v>
          </cell>
        </row>
        <row r="514">
          <cell r="A514">
            <v>513</v>
          </cell>
          <cell r="B514" t="str">
            <v>Cristhian Mosquera</v>
          </cell>
          <cell r="C514" t="str">
            <v>Arsenal FC</v>
          </cell>
          <cell r="D514" t="str">
            <v>España</v>
          </cell>
          <cell r="E514" t="str">
            <v>CT</v>
          </cell>
          <cell r="F514">
            <v>77</v>
          </cell>
          <cell r="G514">
            <v>21</v>
          </cell>
        </row>
        <row r="515">
          <cell r="A515">
            <v>514</v>
          </cell>
          <cell r="B515" t="str">
            <v>David Raya</v>
          </cell>
          <cell r="C515" t="str">
            <v>Arsenal FC</v>
          </cell>
          <cell r="D515" t="str">
            <v>España</v>
          </cell>
          <cell r="E515" t="str">
            <v>PO</v>
          </cell>
          <cell r="F515">
            <v>84</v>
          </cell>
          <cell r="G515">
            <v>30</v>
          </cell>
        </row>
        <row r="516">
          <cell r="A516">
            <v>515</v>
          </cell>
          <cell r="B516" t="str">
            <v>Declan Rice</v>
          </cell>
          <cell r="C516" t="str">
            <v>Arsenal FC</v>
          </cell>
          <cell r="D516" t="str">
            <v>Inglaterra</v>
          </cell>
          <cell r="E516" t="str">
            <v>MC</v>
          </cell>
          <cell r="F516">
            <v>85</v>
          </cell>
          <cell r="G516">
            <v>26</v>
          </cell>
        </row>
        <row r="517">
          <cell r="A517">
            <v>516</v>
          </cell>
          <cell r="B517" t="str">
            <v>Eberechi Eze</v>
          </cell>
          <cell r="C517" t="str">
            <v>Arsenal FC</v>
          </cell>
          <cell r="D517" t="str">
            <v>Inglaterra</v>
          </cell>
          <cell r="E517" t="str">
            <v>MO</v>
          </cell>
          <cell r="F517">
            <v>81</v>
          </cell>
          <cell r="G517">
            <v>27</v>
          </cell>
        </row>
        <row r="518">
          <cell r="A518">
            <v>517</v>
          </cell>
          <cell r="B518" t="str">
            <v>Ethan Nwaneri</v>
          </cell>
          <cell r="C518" t="str">
            <v>Arsenal FC</v>
          </cell>
          <cell r="D518" t="str">
            <v>Inglaterra</v>
          </cell>
          <cell r="E518" t="str">
            <v>MO</v>
          </cell>
          <cell r="F518">
            <v>75</v>
          </cell>
          <cell r="G518">
            <v>18</v>
          </cell>
        </row>
        <row r="519">
          <cell r="A519">
            <v>518</v>
          </cell>
          <cell r="B519" t="str">
            <v>Gabriel Jesus</v>
          </cell>
          <cell r="C519" t="str">
            <v>Arsenal FC</v>
          </cell>
          <cell r="D519" t="str">
            <v>Brasil</v>
          </cell>
          <cell r="E519" t="str">
            <v>DC</v>
          </cell>
          <cell r="F519">
            <v>81</v>
          </cell>
          <cell r="G519">
            <v>28</v>
          </cell>
        </row>
        <row r="520">
          <cell r="A520">
            <v>519</v>
          </cell>
          <cell r="B520" t="str">
            <v>Gabriel Magalhães</v>
          </cell>
          <cell r="C520" t="str">
            <v>Arsenal FC</v>
          </cell>
          <cell r="D520" t="str">
            <v>Brasil</v>
          </cell>
          <cell r="E520" t="str">
            <v>CT</v>
          </cell>
          <cell r="F520">
            <v>86</v>
          </cell>
          <cell r="G520">
            <v>28</v>
          </cell>
        </row>
        <row r="521">
          <cell r="A521">
            <v>520</v>
          </cell>
          <cell r="B521" t="str">
            <v>Gabriel Martinelli</v>
          </cell>
          <cell r="C521" t="str">
            <v>Arsenal FC</v>
          </cell>
          <cell r="D521" t="str">
            <v>Brasil</v>
          </cell>
          <cell r="E521" t="str">
            <v>EI</v>
          </cell>
          <cell r="F521">
            <v>83</v>
          </cell>
          <cell r="G521">
            <v>24</v>
          </cell>
        </row>
        <row r="522">
          <cell r="A522">
            <v>521</v>
          </cell>
          <cell r="B522" t="str">
            <v>Jurriën Timber</v>
          </cell>
          <cell r="C522" t="str">
            <v>Arsenal FC</v>
          </cell>
          <cell r="D522" t="str">
            <v>Países Bajos</v>
          </cell>
          <cell r="E522" t="str">
            <v>LD</v>
          </cell>
          <cell r="F522">
            <v>83</v>
          </cell>
          <cell r="G522">
            <v>24</v>
          </cell>
        </row>
        <row r="523">
          <cell r="A523">
            <v>522</v>
          </cell>
          <cell r="B523" t="str">
            <v>Kai Havertz</v>
          </cell>
          <cell r="C523" t="str">
            <v>Arsenal FC</v>
          </cell>
          <cell r="D523" t="str">
            <v>Alemania</v>
          </cell>
          <cell r="E523" t="str">
            <v>DC</v>
          </cell>
          <cell r="F523">
            <v>81</v>
          </cell>
          <cell r="G523">
            <v>26</v>
          </cell>
        </row>
        <row r="524">
          <cell r="A524">
            <v>523</v>
          </cell>
          <cell r="B524" t="str">
            <v>Kepa Arrizabalaga</v>
          </cell>
          <cell r="C524" t="str">
            <v>Arsenal FC</v>
          </cell>
          <cell r="D524" t="str">
            <v>España</v>
          </cell>
          <cell r="E524" t="str">
            <v>PO</v>
          </cell>
          <cell r="F524">
            <v>79</v>
          </cell>
          <cell r="G524">
            <v>31</v>
          </cell>
        </row>
        <row r="525">
          <cell r="A525">
            <v>524</v>
          </cell>
          <cell r="B525" t="str">
            <v>Leandro Trossard</v>
          </cell>
          <cell r="C525" t="str">
            <v>Arsenal FC</v>
          </cell>
          <cell r="D525" t="str">
            <v>Bélgica</v>
          </cell>
          <cell r="E525" t="str">
            <v>EI</v>
          </cell>
          <cell r="F525">
            <v>83</v>
          </cell>
          <cell r="G525">
            <v>31</v>
          </cell>
        </row>
        <row r="526">
          <cell r="A526">
            <v>525</v>
          </cell>
          <cell r="B526" t="str">
            <v>Maldini Kacurri</v>
          </cell>
          <cell r="C526" t="str">
            <v>Arsenal FC</v>
          </cell>
          <cell r="D526" t="str">
            <v>Albania</v>
          </cell>
          <cell r="E526" t="str">
            <v>CT</v>
          </cell>
          <cell r="F526">
            <v>60</v>
          </cell>
          <cell r="G526">
            <v>20</v>
          </cell>
        </row>
        <row r="527">
          <cell r="A527">
            <v>526</v>
          </cell>
          <cell r="B527" t="str">
            <v>Martin Ødegaard</v>
          </cell>
          <cell r="C527" t="str">
            <v>Arsenal FC</v>
          </cell>
          <cell r="D527" t="str">
            <v>Noruega</v>
          </cell>
          <cell r="E527" t="str">
            <v>MO</v>
          </cell>
          <cell r="F527">
            <v>88</v>
          </cell>
          <cell r="G527">
            <v>27</v>
          </cell>
        </row>
        <row r="528">
          <cell r="A528">
            <v>527</v>
          </cell>
          <cell r="B528" t="str">
            <v>Martín Zubimendi</v>
          </cell>
          <cell r="C528" t="str">
            <v>Arsenal FC</v>
          </cell>
          <cell r="D528" t="str">
            <v>España</v>
          </cell>
          <cell r="E528" t="str">
            <v>MCD</v>
          </cell>
          <cell r="F528">
            <v>83</v>
          </cell>
          <cell r="G528">
            <v>26</v>
          </cell>
        </row>
        <row r="529">
          <cell r="A529">
            <v>528</v>
          </cell>
          <cell r="B529" t="str">
            <v>Mikel Merino</v>
          </cell>
          <cell r="C529" t="str">
            <v>Arsenal FC</v>
          </cell>
          <cell r="D529" t="str">
            <v>España</v>
          </cell>
          <cell r="E529" t="str">
            <v>MC</v>
          </cell>
          <cell r="F529">
            <v>85</v>
          </cell>
          <cell r="G529">
            <v>29</v>
          </cell>
        </row>
        <row r="530">
          <cell r="A530">
            <v>529</v>
          </cell>
          <cell r="B530" t="str">
            <v>Myles Lewis-Skelly</v>
          </cell>
          <cell r="C530" t="str">
            <v>Arsenal FC</v>
          </cell>
          <cell r="D530" t="str">
            <v>Inglaterra</v>
          </cell>
          <cell r="E530" t="str">
            <v>LI</v>
          </cell>
          <cell r="F530">
            <v>72</v>
          </cell>
          <cell r="G530">
            <v>19</v>
          </cell>
        </row>
        <row r="531">
          <cell r="A531">
            <v>530</v>
          </cell>
          <cell r="B531" t="str">
            <v>Noni Madueke</v>
          </cell>
          <cell r="C531" t="str">
            <v>Arsenal FC</v>
          </cell>
          <cell r="D531" t="str">
            <v>Inglaterra</v>
          </cell>
          <cell r="E531" t="str">
            <v>ED</v>
          </cell>
          <cell r="F531">
            <v>79</v>
          </cell>
          <cell r="G531">
            <v>23</v>
          </cell>
        </row>
        <row r="532">
          <cell r="A532">
            <v>531</v>
          </cell>
          <cell r="B532" t="str">
            <v>Piero Hincapié</v>
          </cell>
          <cell r="C532" t="str">
            <v>Arsenal FC</v>
          </cell>
          <cell r="D532" t="str">
            <v>Ecuador</v>
          </cell>
          <cell r="E532" t="str">
            <v>CT</v>
          </cell>
          <cell r="F532">
            <v>81</v>
          </cell>
          <cell r="G532">
            <v>23</v>
          </cell>
        </row>
        <row r="533">
          <cell r="A533">
            <v>532</v>
          </cell>
          <cell r="B533" t="str">
            <v>Riccardo Calafiori</v>
          </cell>
          <cell r="C533" t="str">
            <v>Arsenal FC</v>
          </cell>
          <cell r="D533" t="str">
            <v>Italia</v>
          </cell>
          <cell r="E533" t="str">
            <v>LI</v>
          </cell>
          <cell r="F533">
            <v>81</v>
          </cell>
          <cell r="G533">
            <v>23</v>
          </cell>
        </row>
        <row r="534">
          <cell r="A534">
            <v>533</v>
          </cell>
          <cell r="B534" t="str">
            <v>Tommy Setford</v>
          </cell>
          <cell r="C534" t="str">
            <v>Arsenal FC</v>
          </cell>
          <cell r="D534" t="str">
            <v>Inglaterra</v>
          </cell>
          <cell r="E534" t="str">
            <v>PO</v>
          </cell>
          <cell r="F534">
            <v>61</v>
          </cell>
          <cell r="G534">
            <v>19</v>
          </cell>
        </row>
        <row r="535">
          <cell r="A535">
            <v>534</v>
          </cell>
          <cell r="B535" t="str">
            <v>Viktor Gyökeres</v>
          </cell>
          <cell r="C535" t="str">
            <v>Arsenal FC</v>
          </cell>
          <cell r="D535" t="str">
            <v>Suecia</v>
          </cell>
          <cell r="E535" t="str">
            <v>DC</v>
          </cell>
          <cell r="F535">
            <v>84</v>
          </cell>
          <cell r="G535">
            <v>27</v>
          </cell>
        </row>
        <row r="536">
          <cell r="A536">
            <v>535</v>
          </cell>
          <cell r="B536" t="str">
            <v>William Saliba</v>
          </cell>
          <cell r="C536" t="str">
            <v>Arsenal FC</v>
          </cell>
          <cell r="D536" t="str">
            <v>Francia</v>
          </cell>
          <cell r="E536" t="str">
            <v>CT</v>
          </cell>
          <cell r="F536">
            <v>87</v>
          </cell>
          <cell r="G536">
            <v>24</v>
          </cell>
        </row>
        <row r="537">
          <cell r="A537">
            <v>536</v>
          </cell>
          <cell r="B537" t="str">
            <v>Amadou Onana</v>
          </cell>
          <cell r="C537" t="str">
            <v>Aston Villa</v>
          </cell>
          <cell r="D537" t="str">
            <v>Bélgica</v>
          </cell>
          <cell r="E537" t="str">
            <v>MCD</v>
          </cell>
          <cell r="F537">
            <v>79</v>
          </cell>
          <cell r="G537">
            <v>24</v>
          </cell>
        </row>
        <row r="538">
          <cell r="A538">
            <v>537</v>
          </cell>
          <cell r="B538" t="str">
            <v>Andrés García</v>
          </cell>
          <cell r="C538" t="str">
            <v>Aston Villa</v>
          </cell>
          <cell r="D538" t="str">
            <v>España</v>
          </cell>
          <cell r="E538" t="str">
            <v>LD</v>
          </cell>
          <cell r="F538">
            <v>72</v>
          </cell>
          <cell r="G538">
            <v>22</v>
          </cell>
        </row>
        <row r="539">
          <cell r="A539">
            <v>538</v>
          </cell>
          <cell r="B539" t="str">
            <v>Boubacar Kamara</v>
          </cell>
          <cell r="C539" t="str">
            <v>Aston Villa</v>
          </cell>
          <cell r="D539" t="str">
            <v>Francia</v>
          </cell>
          <cell r="E539" t="str">
            <v>MCD</v>
          </cell>
          <cell r="F539">
            <v>82</v>
          </cell>
          <cell r="G539">
            <v>26</v>
          </cell>
        </row>
        <row r="540">
          <cell r="A540">
            <v>539</v>
          </cell>
          <cell r="B540" t="str">
            <v>Donyell Malen</v>
          </cell>
          <cell r="C540" t="str">
            <v>Aston Villa</v>
          </cell>
          <cell r="D540" t="str">
            <v>Países Bajos</v>
          </cell>
          <cell r="E540" t="str">
            <v>DC</v>
          </cell>
          <cell r="F540">
            <v>81</v>
          </cell>
          <cell r="G540">
            <v>26</v>
          </cell>
        </row>
        <row r="541">
          <cell r="A541">
            <v>540</v>
          </cell>
          <cell r="B541" t="str">
            <v>Emiliano Buendía</v>
          </cell>
          <cell r="C541" t="str">
            <v>Aston Villa</v>
          </cell>
          <cell r="D541" t="str">
            <v>Argentina</v>
          </cell>
          <cell r="E541" t="str">
            <v>MO</v>
          </cell>
          <cell r="F541">
            <v>76</v>
          </cell>
          <cell r="G541">
            <v>29</v>
          </cell>
        </row>
        <row r="542">
          <cell r="A542">
            <v>541</v>
          </cell>
          <cell r="B542" t="str">
            <v>Emiliano Martínez</v>
          </cell>
          <cell r="C542" t="str">
            <v>Aston Villa</v>
          </cell>
          <cell r="D542" t="str">
            <v>Argentina</v>
          </cell>
          <cell r="E542" t="str">
            <v>PO</v>
          </cell>
          <cell r="F542">
            <v>87</v>
          </cell>
          <cell r="G542">
            <v>33</v>
          </cell>
        </row>
        <row r="543">
          <cell r="A543">
            <v>542</v>
          </cell>
          <cell r="B543" t="str">
            <v>Evann Guessand</v>
          </cell>
          <cell r="C543" t="str">
            <v>Aston Villa</v>
          </cell>
          <cell r="D543" t="str">
            <v>Costa de Marfil</v>
          </cell>
          <cell r="E543" t="str">
            <v>ED</v>
          </cell>
          <cell r="F543">
            <v>78</v>
          </cell>
          <cell r="G543">
            <v>24</v>
          </cell>
        </row>
        <row r="544">
          <cell r="A544">
            <v>543</v>
          </cell>
          <cell r="B544" t="str">
            <v>Ezri Konsa</v>
          </cell>
          <cell r="C544" t="str">
            <v>Aston Villa</v>
          </cell>
          <cell r="D544" t="str">
            <v>Inglaterra</v>
          </cell>
          <cell r="E544" t="str">
            <v>CT</v>
          </cell>
          <cell r="F544">
            <v>81</v>
          </cell>
          <cell r="G544">
            <v>28</v>
          </cell>
        </row>
        <row r="545">
          <cell r="A545">
            <v>544</v>
          </cell>
          <cell r="B545" t="str">
            <v>Harvey Elliott</v>
          </cell>
          <cell r="C545" t="str">
            <v>Aston Villa</v>
          </cell>
          <cell r="D545" t="str">
            <v>Inglaterra</v>
          </cell>
          <cell r="E545" t="str">
            <v>MO</v>
          </cell>
          <cell r="F545">
            <v>78</v>
          </cell>
          <cell r="G545">
            <v>22</v>
          </cell>
        </row>
        <row r="546">
          <cell r="A546">
            <v>545</v>
          </cell>
          <cell r="B546" t="str">
            <v>Ian Maatsen</v>
          </cell>
          <cell r="C546" t="str">
            <v>Aston Villa</v>
          </cell>
          <cell r="D546" t="str">
            <v>Países Bajos</v>
          </cell>
          <cell r="E546" t="str">
            <v>LI</v>
          </cell>
          <cell r="F546">
            <v>78</v>
          </cell>
          <cell r="G546">
            <v>23</v>
          </cell>
        </row>
        <row r="547">
          <cell r="A547">
            <v>546</v>
          </cell>
          <cell r="B547" t="str">
            <v>Jadon Sancho</v>
          </cell>
          <cell r="C547" t="str">
            <v>Aston Villa</v>
          </cell>
          <cell r="D547" t="str">
            <v>Inglaterra</v>
          </cell>
          <cell r="E547" t="str">
            <v>EI</v>
          </cell>
          <cell r="F547">
            <v>82</v>
          </cell>
          <cell r="G547">
            <v>25</v>
          </cell>
        </row>
        <row r="548">
          <cell r="A548">
            <v>547</v>
          </cell>
          <cell r="B548" t="str">
            <v>John McGinn</v>
          </cell>
          <cell r="C548" t="str">
            <v>Aston Villa</v>
          </cell>
          <cell r="D548" t="str">
            <v>Escocia</v>
          </cell>
          <cell r="E548" t="str">
            <v>MC</v>
          </cell>
          <cell r="F548">
            <v>82</v>
          </cell>
          <cell r="G548">
            <v>31</v>
          </cell>
        </row>
        <row r="549">
          <cell r="A549">
            <v>548</v>
          </cell>
          <cell r="B549" t="str">
            <v>Lamare Bogarde</v>
          </cell>
          <cell r="C549" t="str">
            <v>Aston Villa</v>
          </cell>
          <cell r="D549" t="str">
            <v>Países Bajos</v>
          </cell>
          <cell r="E549" t="str">
            <v>MCD</v>
          </cell>
          <cell r="F549">
            <v>66</v>
          </cell>
          <cell r="G549">
            <v>21</v>
          </cell>
        </row>
        <row r="550">
          <cell r="A550">
            <v>549</v>
          </cell>
          <cell r="B550" t="str">
            <v>Lucas Digne</v>
          </cell>
          <cell r="C550" t="str">
            <v>Aston Villa</v>
          </cell>
          <cell r="D550" t="str">
            <v>Francia</v>
          </cell>
          <cell r="E550" t="str">
            <v>LI</v>
          </cell>
          <cell r="F550">
            <v>80</v>
          </cell>
          <cell r="G550">
            <v>32</v>
          </cell>
        </row>
        <row r="551">
          <cell r="A551">
            <v>550</v>
          </cell>
          <cell r="B551" t="str">
            <v>Marco Bizot</v>
          </cell>
          <cell r="C551" t="str">
            <v>Aston Villa</v>
          </cell>
          <cell r="D551" t="str">
            <v>Países Bajos</v>
          </cell>
          <cell r="E551" t="str">
            <v>PO</v>
          </cell>
          <cell r="F551">
            <v>79</v>
          </cell>
          <cell r="G551">
            <v>34</v>
          </cell>
        </row>
        <row r="552">
          <cell r="A552">
            <v>551</v>
          </cell>
          <cell r="B552" t="str">
            <v>Matty Cash</v>
          </cell>
          <cell r="C552" t="str">
            <v>Aston Villa</v>
          </cell>
          <cell r="D552" t="str">
            <v>Polonia</v>
          </cell>
          <cell r="E552" t="str">
            <v>LD</v>
          </cell>
          <cell r="F552">
            <v>79</v>
          </cell>
          <cell r="G552">
            <v>28</v>
          </cell>
        </row>
        <row r="553">
          <cell r="A553">
            <v>552</v>
          </cell>
          <cell r="B553" t="str">
            <v>Morgan Rogers</v>
          </cell>
          <cell r="C553" t="str">
            <v>Aston Villa</v>
          </cell>
          <cell r="D553" t="str">
            <v>Inglaterra</v>
          </cell>
          <cell r="E553" t="str">
            <v>MO</v>
          </cell>
          <cell r="F553">
            <v>80</v>
          </cell>
          <cell r="G553">
            <v>23</v>
          </cell>
        </row>
        <row r="554">
          <cell r="A554">
            <v>553</v>
          </cell>
          <cell r="B554" t="str">
            <v>Ollie Watkins</v>
          </cell>
          <cell r="C554" t="str">
            <v>Aston Villa</v>
          </cell>
          <cell r="D554" t="str">
            <v>Inglaterra</v>
          </cell>
          <cell r="E554" t="str">
            <v>DC</v>
          </cell>
          <cell r="F554">
            <v>85</v>
          </cell>
          <cell r="G554">
            <v>30</v>
          </cell>
        </row>
        <row r="555">
          <cell r="A555">
            <v>554</v>
          </cell>
          <cell r="B555" t="str">
            <v>Pau Torres</v>
          </cell>
          <cell r="C555" t="str">
            <v>Aston Villa</v>
          </cell>
          <cell r="D555" t="str">
            <v>España</v>
          </cell>
          <cell r="E555" t="str">
            <v>CT</v>
          </cell>
          <cell r="F555">
            <v>83</v>
          </cell>
          <cell r="G555">
            <v>28</v>
          </cell>
        </row>
        <row r="556">
          <cell r="A556">
            <v>555</v>
          </cell>
          <cell r="B556" t="str">
            <v>Ross Barkley</v>
          </cell>
          <cell r="C556" t="str">
            <v>Aston Villa</v>
          </cell>
          <cell r="D556" t="str">
            <v>Inglaterra</v>
          </cell>
          <cell r="E556" t="str">
            <v>MC</v>
          </cell>
          <cell r="F556">
            <v>78</v>
          </cell>
          <cell r="G556">
            <v>32</v>
          </cell>
        </row>
        <row r="557">
          <cell r="A557">
            <v>556</v>
          </cell>
          <cell r="B557" t="str">
            <v>Tyrone Mings</v>
          </cell>
          <cell r="C557" t="str">
            <v>Aston Villa</v>
          </cell>
          <cell r="D557" t="str">
            <v>Inglaterra</v>
          </cell>
          <cell r="E557" t="str">
            <v>CT</v>
          </cell>
          <cell r="F557">
            <v>79</v>
          </cell>
          <cell r="G557">
            <v>32</v>
          </cell>
        </row>
        <row r="558">
          <cell r="A558">
            <v>557</v>
          </cell>
          <cell r="B558" t="str">
            <v>Victor Lindelöf</v>
          </cell>
          <cell r="C558" t="str">
            <v>Aston Villa</v>
          </cell>
          <cell r="D558" t="str">
            <v>Suecia</v>
          </cell>
          <cell r="E558" t="str">
            <v>CT</v>
          </cell>
          <cell r="F558">
            <v>78</v>
          </cell>
          <cell r="G558">
            <v>31</v>
          </cell>
        </row>
        <row r="559">
          <cell r="A559">
            <v>558</v>
          </cell>
          <cell r="B559" t="str">
            <v>Youri Tielemans</v>
          </cell>
          <cell r="C559" t="str">
            <v>Aston Villa</v>
          </cell>
          <cell r="D559" t="str">
            <v>Bélgica</v>
          </cell>
          <cell r="E559" t="str">
            <v>MC</v>
          </cell>
          <cell r="F559">
            <v>82</v>
          </cell>
          <cell r="G559">
            <v>28</v>
          </cell>
        </row>
        <row r="560">
          <cell r="A560">
            <v>559</v>
          </cell>
          <cell r="B560" t="str">
            <v>Adam Smith</v>
          </cell>
          <cell r="C560" t="str">
            <v>AFC Bournemouth</v>
          </cell>
          <cell r="D560" t="str">
            <v>Inglaterra</v>
          </cell>
          <cell r="E560" t="str">
            <v>LD</v>
          </cell>
          <cell r="F560">
            <v>73</v>
          </cell>
          <cell r="G560">
            <v>34</v>
          </cell>
        </row>
        <row r="561">
          <cell r="A561">
            <v>560</v>
          </cell>
          <cell r="B561" t="str">
            <v>Adrien Truffert</v>
          </cell>
          <cell r="C561" t="str">
            <v>AFC Bournemouth</v>
          </cell>
          <cell r="D561" t="str">
            <v>Francia</v>
          </cell>
          <cell r="E561" t="str">
            <v>LI</v>
          </cell>
          <cell r="F561">
            <v>77</v>
          </cell>
          <cell r="G561">
            <v>24</v>
          </cell>
        </row>
        <row r="562">
          <cell r="A562">
            <v>561</v>
          </cell>
          <cell r="B562" t="str">
            <v>Álex Jiménez S.</v>
          </cell>
          <cell r="C562" t="str">
            <v>AFC Bournemouth</v>
          </cell>
          <cell r="D562" t="str">
            <v>España</v>
          </cell>
          <cell r="E562" t="str">
            <v>LD</v>
          </cell>
          <cell r="F562">
            <v>66</v>
          </cell>
          <cell r="G562">
            <v>20</v>
          </cell>
        </row>
        <row r="563">
          <cell r="A563">
            <v>562</v>
          </cell>
          <cell r="B563" t="str">
            <v>Alex Scott</v>
          </cell>
          <cell r="C563" t="str">
            <v>AFC Bournemouth</v>
          </cell>
          <cell r="D563" t="str">
            <v>Inglaterra</v>
          </cell>
          <cell r="E563" t="str">
            <v>MC</v>
          </cell>
          <cell r="F563">
            <v>74</v>
          </cell>
          <cell r="G563">
            <v>22</v>
          </cell>
        </row>
        <row r="564">
          <cell r="A564">
            <v>563</v>
          </cell>
          <cell r="B564" t="str">
            <v>Amine Adli</v>
          </cell>
          <cell r="C564" t="str">
            <v>AFC Bournemouth</v>
          </cell>
          <cell r="D564" t="str">
            <v>Marruecos</v>
          </cell>
          <cell r="E564" t="str">
            <v>EI</v>
          </cell>
          <cell r="F564">
            <v>80</v>
          </cell>
          <cell r="G564">
            <v>25</v>
          </cell>
        </row>
        <row r="565">
          <cell r="A565">
            <v>564</v>
          </cell>
          <cell r="B565" t="str">
            <v>Antoine Semenyo</v>
          </cell>
          <cell r="C565" t="str">
            <v>AFC Bournemouth</v>
          </cell>
          <cell r="D565" t="str">
            <v>Ghana</v>
          </cell>
          <cell r="E565" t="str">
            <v>ED</v>
          </cell>
          <cell r="F565">
            <v>79</v>
          </cell>
          <cell r="G565">
            <v>25</v>
          </cell>
        </row>
        <row r="566">
          <cell r="A566">
            <v>565</v>
          </cell>
          <cell r="B566" t="str">
            <v>Bafodé Diakité</v>
          </cell>
          <cell r="C566" t="str">
            <v>AFC Bournemouth</v>
          </cell>
          <cell r="D566" t="str">
            <v>Francia</v>
          </cell>
          <cell r="E566" t="str">
            <v>CT</v>
          </cell>
          <cell r="F566">
            <v>77</v>
          </cell>
          <cell r="G566">
            <v>24</v>
          </cell>
        </row>
        <row r="567">
          <cell r="A567">
            <v>566</v>
          </cell>
          <cell r="B567" t="str">
            <v>Ben Gannon-Doak</v>
          </cell>
          <cell r="C567" t="str">
            <v>AFC Bournemouth</v>
          </cell>
          <cell r="D567" t="str">
            <v>Escocia</v>
          </cell>
          <cell r="E567" t="str">
            <v>ED</v>
          </cell>
          <cell r="F567">
            <v>70</v>
          </cell>
          <cell r="G567">
            <v>20</v>
          </cell>
        </row>
        <row r="568">
          <cell r="A568">
            <v>567</v>
          </cell>
          <cell r="B568" t="str">
            <v>David Brooks</v>
          </cell>
          <cell r="C568" t="str">
            <v>AFC Bournemouth</v>
          </cell>
          <cell r="D568" t="str">
            <v>Gales</v>
          </cell>
          <cell r="E568" t="str">
            <v>ED</v>
          </cell>
          <cell r="F568">
            <v>74</v>
          </cell>
          <cell r="G568">
            <v>28</v>
          </cell>
        </row>
        <row r="569">
          <cell r="A569">
            <v>568</v>
          </cell>
          <cell r="B569" t="str">
            <v>Djordje Petrovic</v>
          </cell>
          <cell r="C569" t="str">
            <v>AFC Bournemouth</v>
          </cell>
          <cell r="D569" t="str">
            <v>Serbia</v>
          </cell>
          <cell r="E569" t="str">
            <v>PO</v>
          </cell>
          <cell r="F569">
            <v>79</v>
          </cell>
          <cell r="G569">
            <v>26</v>
          </cell>
        </row>
        <row r="570">
          <cell r="A570">
            <v>569</v>
          </cell>
          <cell r="B570" t="str">
            <v>Enes Ünal</v>
          </cell>
          <cell r="C570" t="str">
            <v>AFC Bournemouth</v>
          </cell>
          <cell r="D570" t="str">
            <v>Turquía</v>
          </cell>
          <cell r="E570" t="str">
            <v>DC</v>
          </cell>
          <cell r="F570">
            <v>78</v>
          </cell>
          <cell r="G570">
            <v>28</v>
          </cell>
        </row>
        <row r="571">
          <cell r="A571">
            <v>570</v>
          </cell>
          <cell r="B571" t="str">
            <v>Evanilson</v>
          </cell>
          <cell r="C571" t="str">
            <v>AFC Bournemouth</v>
          </cell>
          <cell r="D571" t="str">
            <v>Brasil</v>
          </cell>
          <cell r="E571" t="str">
            <v>DC</v>
          </cell>
          <cell r="F571">
            <v>80</v>
          </cell>
          <cell r="G571">
            <v>26</v>
          </cell>
        </row>
        <row r="572">
          <cell r="A572">
            <v>571</v>
          </cell>
          <cell r="B572" t="str">
            <v>James Hill</v>
          </cell>
          <cell r="C572" t="str">
            <v>AFC Bournemouth</v>
          </cell>
          <cell r="D572" t="str">
            <v>Inglaterra</v>
          </cell>
          <cell r="E572" t="str">
            <v>CT</v>
          </cell>
          <cell r="F572">
            <v>69</v>
          </cell>
          <cell r="G572">
            <v>23</v>
          </cell>
        </row>
        <row r="573">
          <cell r="A573">
            <v>572</v>
          </cell>
          <cell r="B573" t="str">
            <v>Julián Araujo</v>
          </cell>
          <cell r="C573" t="str">
            <v>AFC Bournemouth</v>
          </cell>
          <cell r="D573" t="str">
            <v>México</v>
          </cell>
          <cell r="E573" t="str">
            <v>LD</v>
          </cell>
          <cell r="F573">
            <v>75</v>
          </cell>
          <cell r="G573">
            <v>24</v>
          </cell>
        </row>
        <row r="574">
          <cell r="A574">
            <v>573</v>
          </cell>
          <cell r="B574" t="str">
            <v>Julio Soler</v>
          </cell>
          <cell r="C574" t="str">
            <v>AFC Bournemouth</v>
          </cell>
          <cell r="D574" t="str">
            <v>Argentina</v>
          </cell>
          <cell r="E574" t="str">
            <v>LI</v>
          </cell>
          <cell r="F574">
            <v>73</v>
          </cell>
          <cell r="G574">
            <v>20</v>
          </cell>
        </row>
        <row r="575">
          <cell r="A575">
            <v>574</v>
          </cell>
          <cell r="B575" t="str">
            <v>Junior Kroupi</v>
          </cell>
          <cell r="C575" t="str">
            <v>AFC Bournemouth</v>
          </cell>
          <cell r="D575" t="str">
            <v>Francia</v>
          </cell>
          <cell r="E575" t="str">
            <v>DC</v>
          </cell>
          <cell r="F575">
            <v>73</v>
          </cell>
          <cell r="G575">
            <v>19</v>
          </cell>
        </row>
        <row r="576">
          <cell r="A576">
            <v>575</v>
          </cell>
          <cell r="B576" t="str">
            <v>Justin Kluivert</v>
          </cell>
          <cell r="C576" t="str">
            <v>AFC Bournemouth</v>
          </cell>
          <cell r="D576" t="str">
            <v>Países Bajos</v>
          </cell>
          <cell r="E576" t="str">
            <v>MO</v>
          </cell>
          <cell r="F576">
            <v>77</v>
          </cell>
          <cell r="G576">
            <v>26</v>
          </cell>
        </row>
        <row r="577">
          <cell r="A577">
            <v>576</v>
          </cell>
          <cell r="B577" t="str">
            <v>Lewis Cook</v>
          </cell>
          <cell r="C577" t="str">
            <v>AFC Bournemouth</v>
          </cell>
          <cell r="D577" t="str">
            <v>Inglaterra</v>
          </cell>
          <cell r="E577" t="str">
            <v>MC</v>
          </cell>
          <cell r="F577">
            <v>78</v>
          </cell>
          <cell r="G577">
            <v>28</v>
          </cell>
        </row>
        <row r="578">
          <cell r="A578">
            <v>577</v>
          </cell>
          <cell r="B578" t="str">
            <v>Marcos Senesi</v>
          </cell>
          <cell r="C578" t="str">
            <v>AFC Bournemouth</v>
          </cell>
          <cell r="D578" t="str">
            <v>Argentina</v>
          </cell>
          <cell r="E578" t="str">
            <v>CT</v>
          </cell>
          <cell r="F578">
            <v>79</v>
          </cell>
          <cell r="G578">
            <v>28</v>
          </cell>
        </row>
        <row r="579">
          <cell r="A579">
            <v>578</v>
          </cell>
          <cell r="B579" t="str">
            <v>Marcus Tavernier</v>
          </cell>
          <cell r="C579" t="str">
            <v>AFC Bournemouth</v>
          </cell>
          <cell r="D579" t="str">
            <v>Inglaterra</v>
          </cell>
          <cell r="E579" t="str">
            <v>MO</v>
          </cell>
          <cell r="F579">
            <v>75</v>
          </cell>
          <cell r="G579">
            <v>26</v>
          </cell>
        </row>
        <row r="580">
          <cell r="A580">
            <v>579</v>
          </cell>
          <cell r="B580" t="str">
            <v>Matai Akinmboni</v>
          </cell>
          <cell r="C580" t="str">
            <v>AFC Bournemouth</v>
          </cell>
          <cell r="D580" t="str">
            <v>Estados Unidos</v>
          </cell>
          <cell r="E580" t="str">
            <v>CT</v>
          </cell>
          <cell r="F580">
            <v>58</v>
          </cell>
          <cell r="G580">
            <v>19</v>
          </cell>
        </row>
        <row r="581">
          <cell r="A581">
            <v>580</v>
          </cell>
          <cell r="B581" t="str">
            <v>Ryan Christie</v>
          </cell>
          <cell r="C581" t="str">
            <v>AFC Bournemouth</v>
          </cell>
          <cell r="D581" t="str">
            <v>Escocia</v>
          </cell>
          <cell r="E581" t="str">
            <v>MC</v>
          </cell>
          <cell r="F581">
            <v>76</v>
          </cell>
          <cell r="G581">
            <v>30</v>
          </cell>
        </row>
        <row r="582">
          <cell r="A582">
            <v>581</v>
          </cell>
          <cell r="B582" t="str">
            <v>Tyler Adams</v>
          </cell>
          <cell r="C582" t="str">
            <v>AFC Bournemouth</v>
          </cell>
          <cell r="D582" t="str">
            <v>Estados Unidos</v>
          </cell>
          <cell r="E582" t="str">
            <v>MCD</v>
          </cell>
          <cell r="F582">
            <v>78</v>
          </cell>
          <cell r="G582">
            <v>26</v>
          </cell>
        </row>
        <row r="583">
          <cell r="A583">
            <v>582</v>
          </cell>
          <cell r="B583" t="str">
            <v>Veljko Milosavljevic</v>
          </cell>
          <cell r="C583" t="str">
            <v>AFC Bournemouth</v>
          </cell>
          <cell r="D583" t="str">
            <v>Serbia</v>
          </cell>
          <cell r="E583" t="str">
            <v>CT</v>
          </cell>
          <cell r="F583">
            <v>63</v>
          </cell>
          <cell r="G583">
            <v>18</v>
          </cell>
        </row>
        <row r="584">
          <cell r="A584">
            <v>583</v>
          </cell>
          <cell r="B584" t="str">
            <v>Will Dennis</v>
          </cell>
          <cell r="C584" t="str">
            <v>AFC Bournemouth</v>
          </cell>
          <cell r="D584" t="str">
            <v>Inglaterra</v>
          </cell>
          <cell r="E584" t="str">
            <v>PO</v>
          </cell>
          <cell r="F584">
            <v>67</v>
          </cell>
          <cell r="G584">
            <v>25</v>
          </cell>
        </row>
        <row r="585">
          <cell r="A585">
            <v>584</v>
          </cell>
          <cell r="B585" t="str">
            <v>Aaron Hickey</v>
          </cell>
          <cell r="C585" t="str">
            <v>Brentford FC</v>
          </cell>
          <cell r="D585" t="str">
            <v>Escocia</v>
          </cell>
          <cell r="E585" t="str">
            <v>LD</v>
          </cell>
          <cell r="F585">
            <v>76</v>
          </cell>
          <cell r="G585">
            <v>23</v>
          </cell>
        </row>
        <row r="586">
          <cell r="A586">
            <v>585</v>
          </cell>
          <cell r="B586" t="str">
            <v>Antoni Milambo</v>
          </cell>
          <cell r="C586" t="str">
            <v>Brentford FC</v>
          </cell>
          <cell r="D586" t="str">
            <v>Países Bajos</v>
          </cell>
          <cell r="E586" t="str">
            <v>MO</v>
          </cell>
          <cell r="F586">
            <v>71</v>
          </cell>
          <cell r="G586">
            <v>20</v>
          </cell>
        </row>
        <row r="587">
          <cell r="A587">
            <v>586</v>
          </cell>
          <cell r="B587" t="str">
            <v>Caoimhín Kelleher</v>
          </cell>
          <cell r="C587" t="str">
            <v>Brentford FC</v>
          </cell>
          <cell r="D587" t="str">
            <v>Irlanda</v>
          </cell>
          <cell r="E587" t="str">
            <v>PO</v>
          </cell>
          <cell r="F587">
            <v>77</v>
          </cell>
          <cell r="G587">
            <v>27</v>
          </cell>
        </row>
        <row r="588">
          <cell r="A588">
            <v>587</v>
          </cell>
          <cell r="B588" t="str">
            <v>Dango Ouattara</v>
          </cell>
          <cell r="C588" t="str">
            <v>Brentford FC</v>
          </cell>
          <cell r="D588" t="str">
            <v>Burkina Faso</v>
          </cell>
          <cell r="E588" t="str">
            <v>ED</v>
          </cell>
          <cell r="F588">
            <v>76</v>
          </cell>
          <cell r="G588">
            <v>23</v>
          </cell>
        </row>
        <row r="589">
          <cell r="A589">
            <v>588</v>
          </cell>
          <cell r="B589" t="str">
            <v>Ellery Balcombe</v>
          </cell>
          <cell r="C589" t="str">
            <v>Brentford FC</v>
          </cell>
          <cell r="D589" t="str">
            <v>Inglaterra</v>
          </cell>
          <cell r="E589" t="str">
            <v>PO</v>
          </cell>
          <cell r="F589">
            <v>62</v>
          </cell>
          <cell r="G589">
            <v>26</v>
          </cell>
        </row>
        <row r="590">
          <cell r="A590">
            <v>589</v>
          </cell>
          <cell r="B590" t="str">
            <v>Ethan Pinnock</v>
          </cell>
          <cell r="C590" t="str">
            <v>Brentford FC</v>
          </cell>
          <cell r="D590" t="str">
            <v>Jamaica</v>
          </cell>
          <cell r="E590" t="str">
            <v>CT</v>
          </cell>
          <cell r="F590">
            <v>79</v>
          </cell>
          <cell r="G590">
            <v>32</v>
          </cell>
        </row>
        <row r="591">
          <cell r="A591">
            <v>590</v>
          </cell>
          <cell r="B591" t="str">
            <v>Fábio Carvalho</v>
          </cell>
          <cell r="C591" t="str">
            <v>Brentford FC</v>
          </cell>
          <cell r="D591" t="str">
            <v>Portugal</v>
          </cell>
          <cell r="E591" t="str">
            <v>MO</v>
          </cell>
          <cell r="F591">
            <v>75</v>
          </cell>
          <cell r="G591">
            <v>23</v>
          </cell>
        </row>
        <row r="592">
          <cell r="A592">
            <v>591</v>
          </cell>
          <cell r="B592" t="str">
            <v>Frank Onyeka</v>
          </cell>
          <cell r="C592" t="str">
            <v>Brentford FC</v>
          </cell>
          <cell r="D592" t="str">
            <v>Nigeria</v>
          </cell>
          <cell r="E592" t="str">
            <v>MC</v>
          </cell>
          <cell r="F592">
            <v>73</v>
          </cell>
          <cell r="G592">
            <v>27</v>
          </cell>
        </row>
        <row r="593">
          <cell r="A593">
            <v>592</v>
          </cell>
          <cell r="B593" t="str">
            <v>Gustavo Nunes</v>
          </cell>
          <cell r="C593" t="str">
            <v>Brentford FC</v>
          </cell>
          <cell r="D593" t="str">
            <v>Brasil</v>
          </cell>
          <cell r="E593" t="str">
            <v>EI</v>
          </cell>
          <cell r="F593">
            <v>66</v>
          </cell>
          <cell r="G593">
            <v>20</v>
          </cell>
        </row>
        <row r="594">
          <cell r="A594">
            <v>593</v>
          </cell>
          <cell r="B594" t="str">
            <v>Hákon Valdimarsson</v>
          </cell>
          <cell r="C594" t="str">
            <v>Brentford FC</v>
          </cell>
          <cell r="D594" t="str">
            <v>Islandia</v>
          </cell>
          <cell r="E594" t="str">
            <v>PO</v>
          </cell>
          <cell r="F594">
            <v>68</v>
          </cell>
          <cell r="G594">
            <v>24</v>
          </cell>
        </row>
        <row r="595">
          <cell r="A595">
            <v>594</v>
          </cell>
          <cell r="B595" t="str">
            <v>Igor Thiago</v>
          </cell>
          <cell r="C595" t="str">
            <v>Brentford FC</v>
          </cell>
          <cell r="D595" t="str">
            <v>Brasil</v>
          </cell>
          <cell r="E595" t="str">
            <v>DC</v>
          </cell>
          <cell r="F595">
            <v>76</v>
          </cell>
          <cell r="G595">
            <v>24</v>
          </cell>
        </row>
        <row r="596">
          <cell r="A596">
            <v>595</v>
          </cell>
          <cell r="B596" t="str">
            <v>Jordan Henderson</v>
          </cell>
          <cell r="C596" t="str">
            <v>Brentford FC</v>
          </cell>
          <cell r="D596" t="str">
            <v>Inglaterra</v>
          </cell>
          <cell r="E596" t="str">
            <v>MCD</v>
          </cell>
          <cell r="F596">
            <v>82</v>
          </cell>
          <cell r="G596">
            <v>35</v>
          </cell>
        </row>
        <row r="597">
          <cell r="A597">
            <v>596</v>
          </cell>
          <cell r="B597" t="str">
            <v>Josh Dasilva</v>
          </cell>
          <cell r="C597" t="str">
            <v>Brentford FC</v>
          </cell>
          <cell r="D597" t="str">
            <v>Inglaterra</v>
          </cell>
          <cell r="E597" t="str">
            <v>MC</v>
          </cell>
          <cell r="F597">
            <v>73</v>
          </cell>
          <cell r="G597">
            <v>27</v>
          </cell>
        </row>
        <row r="598">
          <cell r="A598">
            <v>597</v>
          </cell>
          <cell r="B598" t="str">
            <v>Keane Lewis-Potter</v>
          </cell>
          <cell r="C598" t="str">
            <v>Brentford FC</v>
          </cell>
          <cell r="D598" t="str">
            <v>Inglaterra</v>
          </cell>
          <cell r="E598" t="str">
            <v>EI</v>
          </cell>
          <cell r="F598">
            <v>74</v>
          </cell>
          <cell r="G598">
            <v>24</v>
          </cell>
        </row>
        <row r="599">
          <cell r="A599">
            <v>598</v>
          </cell>
          <cell r="B599" t="str">
            <v>Kevin Schade</v>
          </cell>
          <cell r="C599" t="str">
            <v>Brentford FC</v>
          </cell>
          <cell r="D599" t="str">
            <v>Alemania</v>
          </cell>
          <cell r="E599" t="str">
            <v>EI</v>
          </cell>
          <cell r="F599">
            <v>75</v>
          </cell>
          <cell r="G599">
            <v>24</v>
          </cell>
        </row>
        <row r="600">
          <cell r="A600">
            <v>599</v>
          </cell>
          <cell r="B600" t="str">
            <v>Kristoffer Ajer</v>
          </cell>
          <cell r="C600" t="str">
            <v>Brentford FC</v>
          </cell>
          <cell r="D600" t="str">
            <v>Noruega</v>
          </cell>
          <cell r="E600" t="str">
            <v>CT</v>
          </cell>
          <cell r="F600">
            <v>76</v>
          </cell>
          <cell r="G600">
            <v>27</v>
          </cell>
        </row>
        <row r="601">
          <cell r="A601">
            <v>600</v>
          </cell>
          <cell r="B601" t="str">
            <v>Mathias Jensen J.</v>
          </cell>
          <cell r="C601" t="str">
            <v>Brentford FC</v>
          </cell>
          <cell r="D601" t="str">
            <v>Dinamarca</v>
          </cell>
          <cell r="E601" t="str">
            <v>MC</v>
          </cell>
          <cell r="F601">
            <v>77</v>
          </cell>
          <cell r="G601">
            <v>29</v>
          </cell>
        </row>
        <row r="602">
          <cell r="A602">
            <v>601</v>
          </cell>
          <cell r="B602" t="str">
            <v>Matthew Cox</v>
          </cell>
          <cell r="C602" t="str">
            <v>Brentford FC</v>
          </cell>
          <cell r="D602" t="str">
            <v>Inglaterra</v>
          </cell>
          <cell r="E602" t="str">
            <v>PO</v>
          </cell>
          <cell r="F602">
            <v>65</v>
          </cell>
          <cell r="G602">
            <v>22</v>
          </cell>
        </row>
        <row r="603">
          <cell r="A603">
            <v>602</v>
          </cell>
          <cell r="B603" t="str">
            <v>Michael Kayode</v>
          </cell>
          <cell r="C603" t="str">
            <v>Brentford FC</v>
          </cell>
          <cell r="D603" t="str">
            <v>Italia</v>
          </cell>
          <cell r="E603" t="str">
            <v>LD</v>
          </cell>
          <cell r="F603">
            <v>74</v>
          </cell>
          <cell r="G603">
            <v>21</v>
          </cell>
        </row>
        <row r="604">
          <cell r="A604">
            <v>603</v>
          </cell>
          <cell r="B604" t="str">
            <v>Mikkel Damsgaard</v>
          </cell>
          <cell r="C604" t="str">
            <v>Brentford FC</v>
          </cell>
          <cell r="D604" t="str">
            <v>Dinamarca</v>
          </cell>
          <cell r="E604" t="str">
            <v>MO</v>
          </cell>
          <cell r="F604">
            <v>72</v>
          </cell>
          <cell r="G604">
            <v>25</v>
          </cell>
        </row>
        <row r="605">
          <cell r="A605">
            <v>604</v>
          </cell>
          <cell r="B605" t="str">
            <v>Myles Peart-Harris</v>
          </cell>
          <cell r="C605" t="str">
            <v>Brentford FC</v>
          </cell>
          <cell r="D605" t="str">
            <v>Jamaica</v>
          </cell>
          <cell r="E605" t="str">
            <v>MO</v>
          </cell>
          <cell r="F605">
            <v>67</v>
          </cell>
          <cell r="G605">
            <v>23</v>
          </cell>
        </row>
        <row r="606">
          <cell r="A606">
            <v>605</v>
          </cell>
          <cell r="B606" t="str">
            <v>Nathan Collins</v>
          </cell>
          <cell r="C606" t="str">
            <v>Brentford FC</v>
          </cell>
          <cell r="D606" t="str">
            <v>Irlanda</v>
          </cell>
          <cell r="E606" t="str">
            <v>CT</v>
          </cell>
          <cell r="F606">
            <v>77</v>
          </cell>
          <cell r="G606">
            <v>24</v>
          </cell>
        </row>
        <row r="607">
          <cell r="A607">
            <v>606</v>
          </cell>
          <cell r="B607" t="str">
            <v>Paris Maghoma</v>
          </cell>
          <cell r="C607" t="str">
            <v>Brentford FC</v>
          </cell>
          <cell r="D607" t="str">
            <v>Inglaterra</v>
          </cell>
          <cell r="E607" t="str">
            <v>MC</v>
          </cell>
          <cell r="F607">
            <v>67</v>
          </cell>
          <cell r="G607">
            <v>24</v>
          </cell>
        </row>
        <row r="608">
          <cell r="A608">
            <v>607</v>
          </cell>
          <cell r="B608" t="str">
            <v>Reiss Nelson</v>
          </cell>
          <cell r="C608" t="str">
            <v>Brentford FC</v>
          </cell>
          <cell r="D608" t="str">
            <v>Inglaterra</v>
          </cell>
          <cell r="E608" t="str">
            <v>EI</v>
          </cell>
          <cell r="F608">
            <v>77</v>
          </cell>
          <cell r="G608">
            <v>26</v>
          </cell>
        </row>
        <row r="609">
          <cell r="A609">
            <v>608</v>
          </cell>
          <cell r="B609" t="str">
            <v>Rico Henry</v>
          </cell>
          <cell r="C609" t="str">
            <v>Brentford FC</v>
          </cell>
          <cell r="D609" t="str">
            <v>Jamaica</v>
          </cell>
          <cell r="E609" t="str">
            <v>LI</v>
          </cell>
          <cell r="F609">
            <v>78</v>
          </cell>
          <cell r="G609">
            <v>28</v>
          </cell>
        </row>
        <row r="610">
          <cell r="A610">
            <v>609</v>
          </cell>
          <cell r="B610" t="str">
            <v>Romelle Donovan</v>
          </cell>
          <cell r="C610" t="str">
            <v>Brentford FC</v>
          </cell>
          <cell r="D610" t="str">
            <v>Inglaterra</v>
          </cell>
          <cell r="E610" t="str">
            <v>ED</v>
          </cell>
          <cell r="F610">
            <v>58</v>
          </cell>
          <cell r="G610">
            <v>19</v>
          </cell>
        </row>
        <row r="611">
          <cell r="A611">
            <v>610</v>
          </cell>
          <cell r="B611" t="str">
            <v>S. van den Berg</v>
          </cell>
          <cell r="C611" t="str">
            <v>Brentford FC</v>
          </cell>
          <cell r="D611" t="str">
            <v>Países Bajos</v>
          </cell>
          <cell r="E611" t="str">
            <v>CT</v>
          </cell>
          <cell r="F611">
            <v>77</v>
          </cell>
          <cell r="G611">
            <v>24</v>
          </cell>
        </row>
        <row r="612">
          <cell r="A612">
            <v>611</v>
          </cell>
          <cell r="B612" t="str">
            <v>Vitaly Janelt</v>
          </cell>
          <cell r="C612" t="str">
            <v>Brentford FC</v>
          </cell>
          <cell r="D612" t="str">
            <v>Alemania</v>
          </cell>
          <cell r="E612" t="str">
            <v>MCD</v>
          </cell>
          <cell r="F612">
            <v>76</v>
          </cell>
          <cell r="G612">
            <v>27</v>
          </cell>
        </row>
        <row r="613">
          <cell r="A613">
            <v>612</v>
          </cell>
          <cell r="B613" t="str">
            <v>Yegor Yarmolyuk</v>
          </cell>
          <cell r="C613" t="str">
            <v>Brentford FC</v>
          </cell>
          <cell r="D613" t="str">
            <v>Ucrania</v>
          </cell>
          <cell r="E613" t="str">
            <v>MC</v>
          </cell>
          <cell r="F613">
            <v>68</v>
          </cell>
          <cell r="G613">
            <v>21</v>
          </cell>
        </row>
        <row r="614">
          <cell r="A614">
            <v>613</v>
          </cell>
          <cell r="B614" t="str">
            <v>Yunus Konak</v>
          </cell>
          <cell r="C614" t="str">
            <v>Brentford FC</v>
          </cell>
          <cell r="D614" t="str">
            <v>Turquía</v>
          </cell>
          <cell r="E614" t="str">
            <v>MCD</v>
          </cell>
          <cell r="F614">
            <v>62</v>
          </cell>
          <cell r="G614">
            <v>19</v>
          </cell>
        </row>
        <row r="615">
          <cell r="A615">
            <v>614</v>
          </cell>
          <cell r="B615" t="str">
            <v>Adam Webster</v>
          </cell>
          <cell r="C615" t="str">
            <v>Brighton &amp; Hove Albion</v>
          </cell>
          <cell r="D615" t="str">
            <v>Inglaterra</v>
          </cell>
          <cell r="E615" t="str">
            <v>CT</v>
          </cell>
          <cell r="F615">
            <v>76</v>
          </cell>
          <cell r="G615">
            <v>30</v>
          </cell>
        </row>
        <row r="616">
          <cell r="A616">
            <v>615</v>
          </cell>
          <cell r="B616" t="str">
            <v>Bart Verbruggen</v>
          </cell>
          <cell r="C616" t="str">
            <v>Brighton &amp; Hove Albion</v>
          </cell>
          <cell r="D616" t="str">
            <v>Países Bajos</v>
          </cell>
          <cell r="E616" t="str">
            <v>PO</v>
          </cell>
          <cell r="F616">
            <v>77</v>
          </cell>
          <cell r="G616">
            <v>23</v>
          </cell>
        </row>
        <row r="617">
          <cell r="A617">
            <v>616</v>
          </cell>
          <cell r="B617" t="str">
            <v>Brajan Gruda</v>
          </cell>
          <cell r="C617" t="str">
            <v>Brighton &amp; Hove Albion</v>
          </cell>
          <cell r="D617" t="str">
            <v>Alemania</v>
          </cell>
          <cell r="E617" t="str">
            <v>MO</v>
          </cell>
          <cell r="F617">
            <v>73</v>
          </cell>
          <cell r="G617">
            <v>21</v>
          </cell>
        </row>
        <row r="618">
          <cell r="A618">
            <v>617</v>
          </cell>
          <cell r="B618" t="str">
            <v>C. Kostoulas</v>
          </cell>
          <cell r="C618" t="str">
            <v>Brighton &amp; Hove Albion</v>
          </cell>
          <cell r="D618" t="str">
            <v>Grecia</v>
          </cell>
          <cell r="E618" t="str">
            <v>DC</v>
          </cell>
          <cell r="F618">
            <v>70</v>
          </cell>
          <cell r="G618">
            <v>18</v>
          </cell>
        </row>
        <row r="619">
          <cell r="A619">
            <v>618</v>
          </cell>
          <cell r="B619" t="str">
            <v>Carlos Baleba</v>
          </cell>
          <cell r="C619" t="str">
            <v>Brighton &amp; Hove Albion</v>
          </cell>
          <cell r="D619" t="str">
            <v>Camerún</v>
          </cell>
          <cell r="E619" t="str">
            <v>MCD</v>
          </cell>
          <cell r="F619">
            <v>79</v>
          </cell>
          <cell r="G619">
            <v>21</v>
          </cell>
        </row>
        <row r="620">
          <cell r="A620">
            <v>619</v>
          </cell>
          <cell r="B620" t="str">
            <v>Danny Welbeck</v>
          </cell>
          <cell r="C620" t="str">
            <v>Brighton &amp; Hove Albion</v>
          </cell>
          <cell r="D620" t="str">
            <v>Inglaterra</v>
          </cell>
          <cell r="E620" t="str">
            <v>DC</v>
          </cell>
          <cell r="F620">
            <v>77</v>
          </cell>
          <cell r="G620">
            <v>35</v>
          </cell>
        </row>
        <row r="621">
          <cell r="A621">
            <v>620</v>
          </cell>
          <cell r="B621" t="str">
            <v>Diego Coppola</v>
          </cell>
          <cell r="C621" t="str">
            <v>Brighton &amp; Hove Albion</v>
          </cell>
          <cell r="D621" t="str">
            <v>Italia</v>
          </cell>
          <cell r="E621" t="str">
            <v>CT</v>
          </cell>
          <cell r="F621">
            <v>72</v>
          </cell>
          <cell r="G621">
            <v>22</v>
          </cell>
        </row>
        <row r="622">
          <cell r="A622">
            <v>621</v>
          </cell>
          <cell r="B622" t="str">
            <v>Diego Gómez A.</v>
          </cell>
          <cell r="C622" t="str">
            <v>Brighton &amp; Hove Albion</v>
          </cell>
          <cell r="D622" t="str">
            <v>Paraguay</v>
          </cell>
          <cell r="E622" t="str">
            <v>MC</v>
          </cell>
          <cell r="F622">
            <v>68</v>
          </cell>
          <cell r="G622">
            <v>22</v>
          </cell>
        </row>
        <row r="623">
          <cell r="A623">
            <v>622</v>
          </cell>
          <cell r="B623" t="str">
            <v>Ferdi Kadıoğlu</v>
          </cell>
          <cell r="C623" t="str">
            <v>Brighton &amp; Hove Albion</v>
          </cell>
          <cell r="D623" t="str">
            <v>Turquía</v>
          </cell>
          <cell r="E623" t="str">
            <v>LI</v>
          </cell>
          <cell r="F623">
            <v>81</v>
          </cell>
          <cell r="G623">
            <v>26</v>
          </cell>
        </row>
        <row r="624">
          <cell r="A624">
            <v>623</v>
          </cell>
          <cell r="B624" t="str">
            <v>Georginio Rutter</v>
          </cell>
          <cell r="C624" t="str">
            <v>Brighton &amp; Hove Albion</v>
          </cell>
          <cell r="D624" t="str">
            <v>Francia</v>
          </cell>
          <cell r="E624" t="str">
            <v>DC</v>
          </cell>
          <cell r="F624">
            <v>78</v>
          </cell>
          <cell r="G624">
            <v>23</v>
          </cell>
        </row>
        <row r="625">
          <cell r="A625">
            <v>624</v>
          </cell>
          <cell r="B625" t="str">
            <v>J. van Hecke</v>
          </cell>
          <cell r="C625" t="str">
            <v>Brighton &amp; Hove Albion</v>
          </cell>
          <cell r="D625" t="str">
            <v>Países Bajos</v>
          </cell>
          <cell r="E625" t="str">
            <v>CT</v>
          </cell>
          <cell r="F625">
            <v>77</v>
          </cell>
          <cell r="G625">
            <v>25</v>
          </cell>
        </row>
        <row r="626">
          <cell r="A626">
            <v>625</v>
          </cell>
          <cell r="B626" t="str">
            <v>Jack Hinshelwood</v>
          </cell>
          <cell r="C626" t="str">
            <v>Brighton &amp; Hove Albion</v>
          </cell>
          <cell r="D626" t="str">
            <v>Inglaterra</v>
          </cell>
          <cell r="E626" t="str">
            <v>MCD</v>
          </cell>
          <cell r="F626">
            <v>71</v>
          </cell>
          <cell r="G626">
            <v>20</v>
          </cell>
        </row>
        <row r="627">
          <cell r="A627">
            <v>626</v>
          </cell>
          <cell r="B627" t="str">
            <v>James Milner</v>
          </cell>
          <cell r="C627" t="str">
            <v>Brighton &amp; Hove Albion</v>
          </cell>
          <cell r="D627" t="str">
            <v>Inglaterra</v>
          </cell>
          <cell r="E627" t="str">
            <v>MC</v>
          </cell>
          <cell r="F627">
            <v>75</v>
          </cell>
          <cell r="G627">
            <v>39</v>
          </cell>
        </row>
        <row r="628">
          <cell r="A628">
            <v>627</v>
          </cell>
          <cell r="B628" t="str">
            <v>Jason Steele</v>
          </cell>
          <cell r="C628" t="str">
            <v>Brighton &amp; Hove Albion</v>
          </cell>
          <cell r="D628" t="str">
            <v>Inglaterra</v>
          </cell>
          <cell r="E628" t="str">
            <v>PO</v>
          </cell>
          <cell r="F628">
            <v>74</v>
          </cell>
          <cell r="G628">
            <v>35</v>
          </cell>
        </row>
        <row r="629">
          <cell r="A629">
            <v>628</v>
          </cell>
          <cell r="B629" t="str">
            <v>Joël Veltman</v>
          </cell>
          <cell r="C629" t="str">
            <v>Brighton &amp; Hove Albion</v>
          </cell>
          <cell r="D629" t="str">
            <v>Países Bajos</v>
          </cell>
          <cell r="E629" t="str">
            <v>LD</v>
          </cell>
          <cell r="F629">
            <v>77</v>
          </cell>
          <cell r="G629">
            <v>33</v>
          </cell>
        </row>
        <row r="630">
          <cell r="A630">
            <v>629</v>
          </cell>
          <cell r="B630" t="str">
            <v>Kaoru Mitoma</v>
          </cell>
          <cell r="C630" t="str">
            <v>Brighton &amp; Hove Albion</v>
          </cell>
          <cell r="D630" t="str">
            <v>Japón</v>
          </cell>
          <cell r="E630" t="str">
            <v>EI</v>
          </cell>
          <cell r="F630">
            <v>81</v>
          </cell>
          <cell r="G630">
            <v>28</v>
          </cell>
        </row>
        <row r="631">
          <cell r="A631">
            <v>630</v>
          </cell>
          <cell r="B631" t="str">
            <v>Lewis Dunk</v>
          </cell>
          <cell r="C631" t="str">
            <v>Brighton &amp; Hove Albion</v>
          </cell>
          <cell r="D631" t="str">
            <v>Inglaterra</v>
          </cell>
          <cell r="E631" t="str">
            <v>CT</v>
          </cell>
          <cell r="F631">
            <v>79</v>
          </cell>
          <cell r="G631">
            <v>34</v>
          </cell>
        </row>
        <row r="632">
          <cell r="A632">
            <v>631</v>
          </cell>
          <cell r="B632" t="str">
            <v>Mats Wieffer</v>
          </cell>
          <cell r="C632" t="str">
            <v>Brighton &amp; Hove Albion</v>
          </cell>
          <cell r="D632" t="str">
            <v>Países Bajos</v>
          </cell>
          <cell r="E632" t="str">
            <v>MCD</v>
          </cell>
          <cell r="F632">
            <v>80</v>
          </cell>
          <cell r="G632">
            <v>26</v>
          </cell>
        </row>
        <row r="633">
          <cell r="A633">
            <v>632</v>
          </cell>
          <cell r="B633" t="str">
            <v>Maxim De Cuyper</v>
          </cell>
          <cell r="C633" t="str">
            <v>Brighton &amp; Hove Albion</v>
          </cell>
          <cell r="D633" t="str">
            <v>Bélgica</v>
          </cell>
          <cell r="E633" t="str">
            <v>LI</v>
          </cell>
          <cell r="F633">
            <v>78</v>
          </cell>
          <cell r="G633">
            <v>25</v>
          </cell>
        </row>
        <row r="634">
          <cell r="A634">
            <v>633</v>
          </cell>
          <cell r="B634" t="str">
            <v>Olivier Boscagli</v>
          </cell>
          <cell r="C634" t="str">
            <v>Brighton &amp; Hove Albion</v>
          </cell>
          <cell r="D634" t="str">
            <v>Francia</v>
          </cell>
          <cell r="E634" t="str">
            <v>CT</v>
          </cell>
          <cell r="F634">
            <v>80</v>
          </cell>
          <cell r="G634">
            <v>28</v>
          </cell>
        </row>
        <row r="635">
          <cell r="A635">
            <v>634</v>
          </cell>
          <cell r="B635" t="str">
            <v>Solly March</v>
          </cell>
          <cell r="C635" t="str">
            <v>Brighton &amp; Hove Albion</v>
          </cell>
          <cell r="D635" t="str">
            <v>Inglaterra</v>
          </cell>
          <cell r="E635" t="str">
            <v>ED</v>
          </cell>
          <cell r="F635">
            <v>78</v>
          </cell>
          <cell r="G635">
            <v>31</v>
          </cell>
        </row>
        <row r="636">
          <cell r="A636">
            <v>635</v>
          </cell>
          <cell r="B636" t="str">
            <v>Tom McGill</v>
          </cell>
          <cell r="C636" t="str">
            <v>Brighton &amp; Hove Albion</v>
          </cell>
          <cell r="D636" t="str">
            <v>Canadá</v>
          </cell>
          <cell r="E636" t="str">
            <v>PO</v>
          </cell>
          <cell r="F636">
            <v>69</v>
          </cell>
          <cell r="G636">
            <v>25</v>
          </cell>
        </row>
        <row r="637">
          <cell r="A637">
            <v>636</v>
          </cell>
          <cell r="B637" t="str">
            <v>Yankuba Minteh</v>
          </cell>
          <cell r="C637" t="str">
            <v>Brighton &amp; Hove Albion</v>
          </cell>
          <cell r="D637" t="str">
            <v>Gambia</v>
          </cell>
          <cell r="E637" t="str">
            <v>ED</v>
          </cell>
          <cell r="F637">
            <v>76</v>
          </cell>
          <cell r="G637">
            <v>21</v>
          </cell>
        </row>
        <row r="638">
          <cell r="A638">
            <v>637</v>
          </cell>
          <cell r="B638" t="str">
            <v>Yasin Ayari</v>
          </cell>
          <cell r="C638" t="str">
            <v>Brighton &amp; Hove Albion</v>
          </cell>
          <cell r="D638" t="str">
            <v>Suecia</v>
          </cell>
          <cell r="E638" t="str">
            <v>MC</v>
          </cell>
          <cell r="F638">
            <v>67</v>
          </cell>
          <cell r="G638">
            <v>22</v>
          </cell>
        </row>
        <row r="639">
          <cell r="A639">
            <v>638</v>
          </cell>
          <cell r="B639" t="str">
            <v>Armando Broja</v>
          </cell>
          <cell r="C639" t="str">
            <v>Burnley FC</v>
          </cell>
          <cell r="D639" t="str">
            <v>Albania</v>
          </cell>
          <cell r="E639" t="str">
            <v>DC</v>
          </cell>
          <cell r="F639">
            <v>74</v>
          </cell>
          <cell r="G639">
            <v>24</v>
          </cell>
        </row>
        <row r="640">
          <cell r="A640">
            <v>639</v>
          </cell>
          <cell r="B640" t="str">
            <v>Ashley Barnes</v>
          </cell>
          <cell r="C640" t="str">
            <v>Burnley FC</v>
          </cell>
          <cell r="D640" t="str">
            <v>Inglaterra</v>
          </cell>
          <cell r="E640" t="str">
            <v>DC</v>
          </cell>
          <cell r="F640">
            <v>72</v>
          </cell>
          <cell r="G640">
            <v>36</v>
          </cell>
        </row>
        <row r="641">
          <cell r="A641">
            <v>640</v>
          </cell>
          <cell r="B641" t="str">
            <v>Axel Tuanzebe</v>
          </cell>
          <cell r="C641" t="str">
            <v>Burnley FC</v>
          </cell>
          <cell r="D641" t="str">
            <v>RD del Congo</v>
          </cell>
          <cell r="E641" t="str">
            <v>CT</v>
          </cell>
          <cell r="F641">
            <v>74</v>
          </cell>
          <cell r="G641">
            <v>28</v>
          </cell>
        </row>
        <row r="642">
          <cell r="A642">
            <v>641</v>
          </cell>
          <cell r="B642" t="str">
            <v>Bashir Humphreys</v>
          </cell>
          <cell r="C642" t="str">
            <v>Burnley FC</v>
          </cell>
          <cell r="D642" t="str">
            <v>Inglaterra</v>
          </cell>
          <cell r="E642" t="str">
            <v>CT</v>
          </cell>
          <cell r="F642">
            <v>71</v>
          </cell>
          <cell r="G642">
            <v>22</v>
          </cell>
        </row>
        <row r="643">
          <cell r="A643">
            <v>642</v>
          </cell>
          <cell r="B643" t="str">
            <v>Connor Roberts</v>
          </cell>
          <cell r="C643" t="str">
            <v>Burnley FC</v>
          </cell>
          <cell r="D643" t="str">
            <v>Gales</v>
          </cell>
          <cell r="E643" t="str">
            <v>LD</v>
          </cell>
          <cell r="F643">
            <v>75</v>
          </cell>
          <cell r="G643">
            <v>30</v>
          </cell>
        </row>
        <row r="644">
          <cell r="A644">
            <v>643</v>
          </cell>
          <cell r="B644" t="str">
            <v>Enock Agyei</v>
          </cell>
          <cell r="C644" t="str">
            <v>Burnley FC</v>
          </cell>
          <cell r="D644" t="str">
            <v>Bélgica</v>
          </cell>
          <cell r="E644" t="str">
            <v>ED</v>
          </cell>
          <cell r="F644">
            <v>66</v>
          </cell>
          <cell r="G644">
            <v>20</v>
          </cell>
        </row>
        <row r="645">
          <cell r="A645">
            <v>644</v>
          </cell>
          <cell r="B645" t="str">
            <v>Florentino Luís</v>
          </cell>
          <cell r="C645" t="str">
            <v>Burnley FC</v>
          </cell>
          <cell r="D645" t="str">
            <v>Portugal</v>
          </cell>
          <cell r="E645" t="str">
            <v>MCD</v>
          </cell>
          <cell r="F645">
            <v>80</v>
          </cell>
          <cell r="G645">
            <v>26</v>
          </cell>
        </row>
        <row r="646">
          <cell r="A646">
            <v>645</v>
          </cell>
          <cell r="B646" t="str">
            <v>Hannes Delcroix</v>
          </cell>
          <cell r="C646" t="str">
            <v>Burnley FC</v>
          </cell>
          <cell r="D646" t="str">
            <v>Haití</v>
          </cell>
          <cell r="E646" t="str">
            <v>CT</v>
          </cell>
          <cell r="F646">
            <v>72</v>
          </cell>
          <cell r="G646">
            <v>26</v>
          </cell>
        </row>
        <row r="647">
          <cell r="A647">
            <v>646</v>
          </cell>
          <cell r="B647" t="str">
            <v>Hannibal</v>
          </cell>
          <cell r="C647" t="str">
            <v>Burnley FC</v>
          </cell>
          <cell r="D647" t="str">
            <v>Túnez</v>
          </cell>
          <cell r="E647" t="str">
            <v>MO</v>
          </cell>
          <cell r="F647">
            <v>71</v>
          </cell>
          <cell r="G647">
            <v>22</v>
          </cell>
        </row>
        <row r="648">
          <cell r="A648">
            <v>647</v>
          </cell>
          <cell r="B648" t="str">
            <v>Hjalmar Ekdal</v>
          </cell>
          <cell r="C648" t="str">
            <v>Burnley FC</v>
          </cell>
          <cell r="D648" t="str">
            <v>Suecia</v>
          </cell>
          <cell r="E648" t="str">
            <v>CT</v>
          </cell>
          <cell r="F648">
            <v>73</v>
          </cell>
          <cell r="G648">
            <v>27</v>
          </cell>
        </row>
        <row r="649">
          <cell r="A649">
            <v>648</v>
          </cell>
          <cell r="B649" t="str">
            <v>J. Bruun Larsen</v>
          </cell>
          <cell r="C649" t="str">
            <v>Burnley FC</v>
          </cell>
          <cell r="D649" t="str">
            <v>Dinamarca</v>
          </cell>
          <cell r="E649" t="str">
            <v>EI</v>
          </cell>
          <cell r="F649">
            <v>75</v>
          </cell>
          <cell r="G649">
            <v>27</v>
          </cell>
        </row>
        <row r="650">
          <cell r="A650">
            <v>649</v>
          </cell>
          <cell r="B650" t="str">
            <v>Jaidon Anthony</v>
          </cell>
          <cell r="C650" t="str">
            <v>Burnley FC</v>
          </cell>
          <cell r="D650" t="str">
            <v>Inglaterra</v>
          </cell>
          <cell r="E650" t="str">
            <v>EI</v>
          </cell>
          <cell r="F650">
            <v>74</v>
          </cell>
          <cell r="G650">
            <v>26</v>
          </cell>
        </row>
        <row r="651">
          <cell r="A651">
            <v>650</v>
          </cell>
          <cell r="B651" t="str">
            <v>Jaydon Banel</v>
          </cell>
          <cell r="C651" t="str">
            <v>Burnley FC</v>
          </cell>
          <cell r="D651" t="str">
            <v>Países Bajos</v>
          </cell>
          <cell r="E651" t="str">
            <v>EI</v>
          </cell>
          <cell r="F651">
            <v>64</v>
          </cell>
          <cell r="G651">
            <v>21</v>
          </cell>
        </row>
        <row r="652">
          <cell r="A652">
            <v>651</v>
          </cell>
          <cell r="B652" t="str">
            <v>Joe Worrall</v>
          </cell>
          <cell r="C652" t="str">
            <v>Burnley FC</v>
          </cell>
          <cell r="D652" t="str">
            <v>Inglaterra</v>
          </cell>
          <cell r="E652" t="str">
            <v>CT</v>
          </cell>
          <cell r="F652">
            <v>74</v>
          </cell>
          <cell r="G652">
            <v>28</v>
          </cell>
        </row>
        <row r="653">
          <cell r="A653">
            <v>652</v>
          </cell>
          <cell r="B653" t="str">
            <v>Jordan Beyer</v>
          </cell>
          <cell r="C653" t="str">
            <v>Burnley FC</v>
          </cell>
          <cell r="D653" t="str">
            <v>Alemania</v>
          </cell>
          <cell r="E653" t="str">
            <v>CT</v>
          </cell>
          <cell r="F653">
            <v>75</v>
          </cell>
          <cell r="G653">
            <v>25</v>
          </cell>
        </row>
        <row r="654">
          <cell r="A654">
            <v>653</v>
          </cell>
          <cell r="B654" t="str">
            <v>Josh Cullen</v>
          </cell>
          <cell r="C654" t="str">
            <v>Burnley FC</v>
          </cell>
          <cell r="D654" t="str">
            <v>Irlanda</v>
          </cell>
          <cell r="E654" t="str">
            <v>MC</v>
          </cell>
          <cell r="F654">
            <v>76</v>
          </cell>
          <cell r="G654">
            <v>29</v>
          </cell>
        </row>
        <row r="655">
          <cell r="A655">
            <v>654</v>
          </cell>
          <cell r="B655" t="str">
            <v>Josh Laurent</v>
          </cell>
          <cell r="C655" t="str">
            <v>Burnley FC</v>
          </cell>
          <cell r="D655" t="str">
            <v>Inglaterra</v>
          </cell>
          <cell r="E655" t="str">
            <v>MC</v>
          </cell>
          <cell r="F655">
            <v>70</v>
          </cell>
          <cell r="G655">
            <v>30</v>
          </cell>
        </row>
        <row r="656">
          <cell r="A656">
            <v>655</v>
          </cell>
          <cell r="B656" t="str">
            <v>Kyle Walker</v>
          </cell>
          <cell r="C656" t="str">
            <v>Burnley FC</v>
          </cell>
          <cell r="D656" t="str">
            <v>Inglaterra</v>
          </cell>
          <cell r="E656" t="str">
            <v>LD</v>
          </cell>
          <cell r="F656">
            <v>83</v>
          </cell>
          <cell r="G656">
            <v>35</v>
          </cell>
        </row>
        <row r="657">
          <cell r="A657">
            <v>656</v>
          </cell>
          <cell r="B657" t="str">
            <v>L. Ugochukwu</v>
          </cell>
          <cell r="C657" t="str">
            <v>Burnley FC</v>
          </cell>
          <cell r="D657" t="str">
            <v>Francia</v>
          </cell>
          <cell r="E657" t="str">
            <v>MCD</v>
          </cell>
          <cell r="F657">
            <v>74</v>
          </cell>
          <cell r="G657">
            <v>21</v>
          </cell>
        </row>
        <row r="658">
          <cell r="A658">
            <v>657</v>
          </cell>
          <cell r="B658" t="str">
            <v>Loum Tchaouna</v>
          </cell>
          <cell r="C658" t="str">
            <v>Burnley FC</v>
          </cell>
          <cell r="D658" t="str">
            <v>Francia</v>
          </cell>
          <cell r="E658" t="str">
            <v>ED</v>
          </cell>
          <cell r="F658">
            <v>71</v>
          </cell>
          <cell r="G658">
            <v>22</v>
          </cell>
        </row>
        <row r="659">
          <cell r="A659">
            <v>658</v>
          </cell>
          <cell r="B659" t="str">
            <v>Lucas Pires</v>
          </cell>
          <cell r="C659" t="str">
            <v>Burnley FC</v>
          </cell>
          <cell r="D659" t="str">
            <v>Brasil</v>
          </cell>
          <cell r="E659" t="str">
            <v>LI</v>
          </cell>
          <cell r="F659">
            <v>72</v>
          </cell>
          <cell r="G659">
            <v>24</v>
          </cell>
        </row>
        <row r="660">
          <cell r="A660">
            <v>659</v>
          </cell>
          <cell r="B660" t="str">
            <v>Lyle Foster</v>
          </cell>
          <cell r="C660" t="str">
            <v>Burnley FC</v>
          </cell>
          <cell r="D660" t="str">
            <v>Sudáfrica</v>
          </cell>
          <cell r="E660" t="str">
            <v>DC</v>
          </cell>
          <cell r="F660">
            <v>73</v>
          </cell>
          <cell r="G660">
            <v>25</v>
          </cell>
        </row>
        <row r="661">
          <cell r="A661">
            <v>660</v>
          </cell>
          <cell r="B661" t="str">
            <v>Marcus Edwards</v>
          </cell>
          <cell r="C661" t="str">
            <v>Burnley FC</v>
          </cell>
          <cell r="D661" t="str">
            <v>Inglaterra</v>
          </cell>
          <cell r="E661" t="str">
            <v>ED</v>
          </cell>
          <cell r="F661">
            <v>78</v>
          </cell>
          <cell r="G661">
            <v>27</v>
          </cell>
        </row>
        <row r="662">
          <cell r="A662">
            <v>661</v>
          </cell>
          <cell r="B662" t="str">
            <v>Martin Dúbravka</v>
          </cell>
          <cell r="C662" t="str">
            <v>Burnley FC</v>
          </cell>
          <cell r="D662" t="str">
            <v>Eslovaquia</v>
          </cell>
          <cell r="E662" t="str">
            <v>PO</v>
          </cell>
          <cell r="F662">
            <v>77</v>
          </cell>
          <cell r="G662">
            <v>36</v>
          </cell>
        </row>
        <row r="663">
          <cell r="A663">
            <v>662</v>
          </cell>
          <cell r="B663" t="str">
            <v>Maxime Estève</v>
          </cell>
          <cell r="C663" t="str">
            <v>Burnley FC</v>
          </cell>
          <cell r="D663" t="str">
            <v>Francia</v>
          </cell>
          <cell r="E663" t="str">
            <v>CT</v>
          </cell>
          <cell r="F663">
            <v>75</v>
          </cell>
          <cell r="G663">
            <v>23</v>
          </cell>
        </row>
        <row r="664">
          <cell r="A664">
            <v>663</v>
          </cell>
          <cell r="B664" t="str">
            <v>Mike Tresor</v>
          </cell>
          <cell r="C664" t="str">
            <v>Burnley FC</v>
          </cell>
          <cell r="D664" t="str">
            <v>Bélgica</v>
          </cell>
          <cell r="E664" t="str">
            <v>MO</v>
          </cell>
          <cell r="F664">
            <v>73</v>
          </cell>
          <cell r="G664">
            <v>26</v>
          </cell>
        </row>
        <row r="665">
          <cell r="A665">
            <v>664</v>
          </cell>
          <cell r="B665" t="str">
            <v>Oliver Sonne</v>
          </cell>
          <cell r="C665" t="str">
            <v>Burnley FC</v>
          </cell>
          <cell r="D665" t="str">
            <v>Perú</v>
          </cell>
          <cell r="E665" t="str">
            <v>LD</v>
          </cell>
          <cell r="F665">
            <v>70</v>
          </cell>
          <cell r="G665">
            <v>25</v>
          </cell>
        </row>
        <row r="666">
          <cell r="A666">
            <v>665</v>
          </cell>
          <cell r="B666" t="str">
            <v>Václav Hladký</v>
          </cell>
          <cell r="C666" t="str">
            <v>Burnley FC</v>
          </cell>
          <cell r="D666" t="str">
            <v>República Checa</v>
          </cell>
          <cell r="E666" t="str">
            <v>PO</v>
          </cell>
          <cell r="F666">
            <v>69</v>
          </cell>
          <cell r="G666">
            <v>35</v>
          </cell>
        </row>
        <row r="667">
          <cell r="A667">
            <v>666</v>
          </cell>
          <cell r="B667" t="str">
            <v>Zeki Amdouni</v>
          </cell>
          <cell r="C667" t="str">
            <v>Burnley FC</v>
          </cell>
          <cell r="D667" t="str">
            <v>Suiza</v>
          </cell>
          <cell r="E667" t="str">
            <v>DC</v>
          </cell>
          <cell r="F667">
            <v>74</v>
          </cell>
          <cell r="G667">
            <v>25</v>
          </cell>
        </row>
        <row r="668">
          <cell r="A668">
            <v>667</v>
          </cell>
          <cell r="B668" t="str">
            <v>Zian Flemming</v>
          </cell>
          <cell r="C668" t="str">
            <v>Burnley FC</v>
          </cell>
          <cell r="D668" t="str">
            <v>Países Bajos</v>
          </cell>
          <cell r="E668" t="str">
            <v>DC</v>
          </cell>
          <cell r="F668">
            <v>74</v>
          </cell>
          <cell r="G668">
            <v>27</v>
          </cell>
        </row>
        <row r="669">
          <cell r="A669">
            <v>668</v>
          </cell>
          <cell r="B669" t="str">
            <v>A. Garnacho</v>
          </cell>
          <cell r="C669" t="str">
            <v>Chelsea FC</v>
          </cell>
          <cell r="D669" t="str">
            <v>Argentina</v>
          </cell>
          <cell r="E669" t="str">
            <v>EI</v>
          </cell>
          <cell r="F669">
            <v>79</v>
          </cell>
          <cell r="G669">
            <v>21</v>
          </cell>
        </row>
        <row r="670">
          <cell r="A670">
            <v>669</v>
          </cell>
          <cell r="B670" t="str">
            <v>Andrey Santos</v>
          </cell>
          <cell r="C670" t="str">
            <v>Chelsea FC</v>
          </cell>
          <cell r="D670" t="str">
            <v>Brasil</v>
          </cell>
          <cell r="E670" t="str">
            <v>MC</v>
          </cell>
          <cell r="F670">
            <v>77</v>
          </cell>
          <cell r="G670">
            <v>21</v>
          </cell>
        </row>
        <row r="671">
          <cell r="A671">
            <v>670</v>
          </cell>
          <cell r="B671" t="str">
            <v>Axel Disasi</v>
          </cell>
          <cell r="C671" t="str">
            <v>Chelsea FC</v>
          </cell>
          <cell r="D671" t="str">
            <v>Francia</v>
          </cell>
          <cell r="E671" t="str">
            <v>CT</v>
          </cell>
          <cell r="F671">
            <v>79</v>
          </cell>
          <cell r="G671">
            <v>27</v>
          </cell>
        </row>
        <row r="672">
          <cell r="A672">
            <v>671</v>
          </cell>
          <cell r="B672" t="str">
            <v>B. Badiashile</v>
          </cell>
          <cell r="C672" t="str">
            <v>Chelsea FC</v>
          </cell>
          <cell r="D672" t="str">
            <v>Francia</v>
          </cell>
          <cell r="E672" t="str">
            <v>CT</v>
          </cell>
          <cell r="F672">
            <v>78</v>
          </cell>
          <cell r="G672">
            <v>24</v>
          </cell>
        </row>
        <row r="673">
          <cell r="A673">
            <v>672</v>
          </cell>
          <cell r="B673" t="str">
            <v>Cole Palmer</v>
          </cell>
          <cell r="C673" t="str">
            <v>Chelsea FC</v>
          </cell>
          <cell r="D673" t="str">
            <v>Inglaterra</v>
          </cell>
          <cell r="E673" t="str">
            <v>MO</v>
          </cell>
          <cell r="F673">
            <v>85</v>
          </cell>
          <cell r="G673">
            <v>23</v>
          </cell>
        </row>
        <row r="674">
          <cell r="A674">
            <v>673</v>
          </cell>
          <cell r="B674" t="str">
            <v>Dário Essugo</v>
          </cell>
          <cell r="C674" t="str">
            <v>Chelsea FC</v>
          </cell>
          <cell r="D674" t="str">
            <v>Portugal</v>
          </cell>
          <cell r="E674" t="str">
            <v>MCD</v>
          </cell>
          <cell r="F674">
            <v>74</v>
          </cell>
          <cell r="G674">
            <v>20</v>
          </cell>
        </row>
        <row r="675">
          <cell r="A675">
            <v>674</v>
          </cell>
          <cell r="B675" t="str">
            <v>Enzo Fernández</v>
          </cell>
          <cell r="C675" t="str">
            <v>Chelsea FC</v>
          </cell>
          <cell r="D675" t="str">
            <v>Argentina</v>
          </cell>
          <cell r="E675" t="str">
            <v>MC</v>
          </cell>
          <cell r="F675">
            <v>83</v>
          </cell>
          <cell r="G675">
            <v>24</v>
          </cell>
        </row>
        <row r="676">
          <cell r="A676">
            <v>675</v>
          </cell>
          <cell r="B676" t="str">
            <v>Estêvão</v>
          </cell>
          <cell r="C676" t="str">
            <v>Chelsea FC</v>
          </cell>
          <cell r="D676" t="str">
            <v>Brasil</v>
          </cell>
          <cell r="E676" t="str">
            <v>ED</v>
          </cell>
          <cell r="F676">
            <v>79</v>
          </cell>
          <cell r="G676">
            <v>18</v>
          </cell>
        </row>
        <row r="677">
          <cell r="A677">
            <v>676</v>
          </cell>
          <cell r="B677" t="str">
            <v>F. Buonanotte</v>
          </cell>
          <cell r="C677" t="str">
            <v>Chelsea FC</v>
          </cell>
          <cell r="D677" t="str">
            <v>Argentina</v>
          </cell>
          <cell r="E677" t="str">
            <v>MO</v>
          </cell>
          <cell r="F677">
            <v>76</v>
          </cell>
          <cell r="G677">
            <v>21</v>
          </cell>
        </row>
        <row r="678">
          <cell r="A678">
            <v>677</v>
          </cell>
          <cell r="B678" t="str">
            <v>Filip Jørgensen</v>
          </cell>
          <cell r="C678" t="str">
            <v>Chelsea FC</v>
          </cell>
          <cell r="D678" t="str">
            <v>Dinamarca</v>
          </cell>
          <cell r="E678" t="str">
            <v>PO</v>
          </cell>
          <cell r="F678">
            <v>77</v>
          </cell>
          <cell r="G678">
            <v>23</v>
          </cell>
        </row>
        <row r="679">
          <cell r="A679">
            <v>678</v>
          </cell>
          <cell r="B679" t="str">
            <v>Gabriel Slonina</v>
          </cell>
          <cell r="C679" t="str">
            <v>Chelsea FC</v>
          </cell>
          <cell r="D679" t="str">
            <v>Estados Unidos</v>
          </cell>
          <cell r="E679" t="str">
            <v>PO</v>
          </cell>
          <cell r="F679">
            <v>68</v>
          </cell>
          <cell r="G679">
            <v>21</v>
          </cell>
        </row>
        <row r="680">
          <cell r="A680">
            <v>679</v>
          </cell>
          <cell r="B680" t="str">
            <v>J. Acheampong</v>
          </cell>
          <cell r="C680" t="str">
            <v>Chelsea FC</v>
          </cell>
          <cell r="D680" t="str">
            <v>Inglaterra</v>
          </cell>
          <cell r="E680" t="str">
            <v>LD</v>
          </cell>
          <cell r="F680">
            <v>67</v>
          </cell>
          <cell r="G680">
            <v>19</v>
          </cell>
        </row>
        <row r="681">
          <cell r="A681">
            <v>680</v>
          </cell>
          <cell r="B681" t="str">
            <v>Jamie Gittens</v>
          </cell>
          <cell r="C681" t="str">
            <v>Chelsea FC</v>
          </cell>
          <cell r="D681" t="str">
            <v>Inglaterra</v>
          </cell>
          <cell r="E681" t="str">
            <v>EI</v>
          </cell>
          <cell r="F681">
            <v>79</v>
          </cell>
          <cell r="G681">
            <v>21</v>
          </cell>
        </row>
        <row r="682">
          <cell r="A682">
            <v>681</v>
          </cell>
          <cell r="B682" t="str">
            <v>João Pedro J.</v>
          </cell>
          <cell r="C682" t="str">
            <v>Chelsea FC</v>
          </cell>
          <cell r="D682" t="str">
            <v>Brasil</v>
          </cell>
          <cell r="E682" t="str">
            <v>DC</v>
          </cell>
          <cell r="F682">
            <v>79</v>
          </cell>
          <cell r="G682">
            <v>24</v>
          </cell>
        </row>
        <row r="683">
          <cell r="A683">
            <v>682</v>
          </cell>
          <cell r="B683" t="str">
            <v>Jorrel Hato</v>
          </cell>
          <cell r="C683" t="str">
            <v>Chelsea FC</v>
          </cell>
          <cell r="D683" t="str">
            <v>Países Bajos</v>
          </cell>
          <cell r="E683" t="str">
            <v>LI</v>
          </cell>
          <cell r="F683">
            <v>80</v>
          </cell>
          <cell r="G683">
            <v>19</v>
          </cell>
        </row>
        <row r="684">
          <cell r="A684">
            <v>683</v>
          </cell>
          <cell r="B684" t="str">
            <v>Levi Colwill</v>
          </cell>
          <cell r="C684" t="str">
            <v>Chelsea FC</v>
          </cell>
          <cell r="D684" t="str">
            <v>Inglaterra</v>
          </cell>
          <cell r="E684" t="str">
            <v>CT</v>
          </cell>
          <cell r="F684">
            <v>80</v>
          </cell>
          <cell r="G684">
            <v>22</v>
          </cell>
        </row>
        <row r="685">
          <cell r="A685">
            <v>684</v>
          </cell>
          <cell r="B685" t="str">
            <v>Liam Delap</v>
          </cell>
          <cell r="C685" t="str">
            <v>Chelsea FC</v>
          </cell>
          <cell r="D685" t="str">
            <v>Inglaterra</v>
          </cell>
          <cell r="E685" t="str">
            <v>DC</v>
          </cell>
          <cell r="F685">
            <v>77</v>
          </cell>
          <cell r="G685">
            <v>22</v>
          </cell>
        </row>
        <row r="686">
          <cell r="A686">
            <v>685</v>
          </cell>
          <cell r="B686" t="str">
            <v>Malo Gusto</v>
          </cell>
          <cell r="C686" t="str">
            <v>Chelsea FC</v>
          </cell>
          <cell r="D686" t="str">
            <v>Francia</v>
          </cell>
          <cell r="E686" t="str">
            <v>LD</v>
          </cell>
          <cell r="F686">
            <v>80</v>
          </cell>
          <cell r="G686">
            <v>22</v>
          </cell>
        </row>
        <row r="687">
          <cell r="A687">
            <v>686</v>
          </cell>
          <cell r="B687" t="str">
            <v>Marc Cucurella</v>
          </cell>
          <cell r="C687" t="str">
            <v>Chelsea FC</v>
          </cell>
          <cell r="D687" t="str">
            <v>España</v>
          </cell>
          <cell r="E687" t="str">
            <v>LI</v>
          </cell>
          <cell r="F687">
            <v>83</v>
          </cell>
          <cell r="G687">
            <v>27</v>
          </cell>
        </row>
        <row r="688">
          <cell r="A688">
            <v>687</v>
          </cell>
          <cell r="B688" t="str">
            <v>Marc Guiu</v>
          </cell>
          <cell r="C688" t="str">
            <v>Chelsea FC</v>
          </cell>
          <cell r="D688" t="str">
            <v>España</v>
          </cell>
          <cell r="E688" t="str">
            <v>DC</v>
          </cell>
          <cell r="F688">
            <v>69</v>
          </cell>
          <cell r="G688">
            <v>19</v>
          </cell>
        </row>
        <row r="689">
          <cell r="A689">
            <v>688</v>
          </cell>
          <cell r="B689" t="str">
            <v>Moisés Caicedo</v>
          </cell>
          <cell r="C689" t="str">
            <v>Chelsea FC</v>
          </cell>
          <cell r="D689" t="str">
            <v>Ecuador</v>
          </cell>
          <cell r="E689" t="str">
            <v>MCD</v>
          </cell>
          <cell r="F689">
            <v>85</v>
          </cell>
          <cell r="G689">
            <v>24</v>
          </cell>
        </row>
        <row r="690">
          <cell r="A690">
            <v>689</v>
          </cell>
          <cell r="B690" t="str">
            <v>Mykhaylo Mudryk</v>
          </cell>
          <cell r="C690" t="str">
            <v>Chelsea FC</v>
          </cell>
          <cell r="D690" t="str">
            <v>Ucrania</v>
          </cell>
          <cell r="E690" t="str">
            <v>EI</v>
          </cell>
          <cell r="F690">
            <v>77</v>
          </cell>
          <cell r="G690">
            <v>24</v>
          </cell>
        </row>
        <row r="691">
          <cell r="A691">
            <v>690</v>
          </cell>
          <cell r="B691" t="str">
            <v>Pedro Neto</v>
          </cell>
          <cell r="C691" t="str">
            <v>Chelsea FC</v>
          </cell>
          <cell r="D691" t="str">
            <v>Portugal</v>
          </cell>
          <cell r="E691" t="str">
            <v>ED</v>
          </cell>
          <cell r="F691">
            <v>81</v>
          </cell>
          <cell r="G691">
            <v>25</v>
          </cell>
        </row>
        <row r="692">
          <cell r="A692">
            <v>691</v>
          </cell>
          <cell r="B692" t="str">
            <v>Raheem Sterling</v>
          </cell>
          <cell r="C692" t="str">
            <v>Chelsea FC</v>
          </cell>
          <cell r="D692" t="str">
            <v>Inglaterra</v>
          </cell>
          <cell r="E692" t="str">
            <v>ED</v>
          </cell>
          <cell r="F692">
            <v>82</v>
          </cell>
          <cell r="G692">
            <v>31</v>
          </cell>
        </row>
        <row r="693">
          <cell r="A693">
            <v>692</v>
          </cell>
          <cell r="B693" t="str">
            <v>Reece James</v>
          </cell>
          <cell r="C693" t="str">
            <v>Chelsea FC</v>
          </cell>
          <cell r="D693" t="str">
            <v>Inglaterra</v>
          </cell>
          <cell r="E693" t="str">
            <v>LD</v>
          </cell>
          <cell r="F693">
            <v>82</v>
          </cell>
          <cell r="G693">
            <v>26</v>
          </cell>
        </row>
        <row r="694">
          <cell r="A694">
            <v>693</v>
          </cell>
          <cell r="B694" t="str">
            <v>Reggie Walsh</v>
          </cell>
          <cell r="C694" t="str">
            <v>Chelsea FC</v>
          </cell>
          <cell r="D694" t="str">
            <v>Inglaterra</v>
          </cell>
          <cell r="E694" t="str">
            <v>MC</v>
          </cell>
          <cell r="F694">
            <v>58</v>
          </cell>
          <cell r="G694">
            <v>17</v>
          </cell>
        </row>
        <row r="695">
          <cell r="A695">
            <v>694</v>
          </cell>
          <cell r="B695" t="str">
            <v>Robert Sánchez</v>
          </cell>
          <cell r="C695" t="str">
            <v>Chelsea FC</v>
          </cell>
          <cell r="D695" t="str">
            <v>España</v>
          </cell>
          <cell r="E695" t="str">
            <v>PO</v>
          </cell>
          <cell r="F695">
            <v>79</v>
          </cell>
          <cell r="G695">
            <v>28</v>
          </cell>
        </row>
        <row r="696">
          <cell r="A696">
            <v>695</v>
          </cell>
          <cell r="B696" t="str">
            <v>Roméo Lavia</v>
          </cell>
          <cell r="C696" t="str">
            <v>Chelsea FC</v>
          </cell>
          <cell r="D696" t="str">
            <v>Bélgica</v>
          </cell>
          <cell r="E696" t="str">
            <v>MCD</v>
          </cell>
          <cell r="F696">
            <v>75</v>
          </cell>
          <cell r="G696">
            <v>21</v>
          </cell>
        </row>
        <row r="697">
          <cell r="A697">
            <v>696</v>
          </cell>
          <cell r="B697" t="str">
            <v>T. Adarabioyo</v>
          </cell>
          <cell r="C697" t="str">
            <v>Chelsea FC</v>
          </cell>
          <cell r="D697" t="str">
            <v>Inglaterra</v>
          </cell>
          <cell r="E697" t="str">
            <v>CT</v>
          </cell>
          <cell r="F697">
            <v>78</v>
          </cell>
          <cell r="G697">
            <v>28</v>
          </cell>
        </row>
        <row r="698">
          <cell r="A698">
            <v>697</v>
          </cell>
          <cell r="B698" t="str">
            <v>Trevoh Chalobah</v>
          </cell>
          <cell r="C698" t="str">
            <v>Chelsea FC</v>
          </cell>
          <cell r="D698" t="str">
            <v>Inglaterra</v>
          </cell>
          <cell r="E698" t="str">
            <v>CT</v>
          </cell>
          <cell r="F698">
            <v>78</v>
          </cell>
          <cell r="G698">
            <v>26</v>
          </cell>
        </row>
        <row r="699">
          <cell r="A699">
            <v>698</v>
          </cell>
          <cell r="B699" t="str">
            <v>Tyrique George</v>
          </cell>
          <cell r="C699" t="str">
            <v>Chelsea FC</v>
          </cell>
          <cell r="D699" t="str">
            <v>Inglaterra</v>
          </cell>
          <cell r="E699" t="str">
            <v>EI</v>
          </cell>
          <cell r="F699">
            <v>65</v>
          </cell>
          <cell r="G699">
            <v>19</v>
          </cell>
        </row>
        <row r="700">
          <cell r="A700">
            <v>699</v>
          </cell>
          <cell r="B700" t="str">
            <v>Wesley Fofana</v>
          </cell>
          <cell r="C700" t="str">
            <v>Chelsea FC</v>
          </cell>
          <cell r="D700" t="str">
            <v>Francia</v>
          </cell>
          <cell r="E700" t="str">
            <v>CT</v>
          </cell>
          <cell r="F700">
            <v>79</v>
          </cell>
          <cell r="G700">
            <v>25</v>
          </cell>
        </row>
        <row r="701">
          <cell r="A701">
            <v>700</v>
          </cell>
          <cell r="B701" t="str">
            <v>Adam Wharton</v>
          </cell>
          <cell r="C701" t="str">
            <v>Crystal Palace</v>
          </cell>
          <cell r="D701" t="str">
            <v>Inglaterra</v>
          </cell>
          <cell r="E701" t="str">
            <v>MCD</v>
          </cell>
          <cell r="F701">
            <v>81</v>
          </cell>
          <cell r="G701">
            <v>21</v>
          </cell>
        </row>
        <row r="702">
          <cell r="A702">
            <v>701</v>
          </cell>
          <cell r="B702" t="str">
            <v>Asher Agbinone</v>
          </cell>
          <cell r="C702" t="str">
            <v>Crystal Palace</v>
          </cell>
          <cell r="D702" t="str">
            <v>Inglaterra</v>
          </cell>
          <cell r="E702" t="str">
            <v>EI</v>
          </cell>
          <cell r="F702">
            <v>63</v>
          </cell>
          <cell r="G702">
            <v>20</v>
          </cell>
        </row>
        <row r="703">
          <cell r="A703">
            <v>702</v>
          </cell>
          <cell r="B703" t="str">
            <v>Borna Sosa</v>
          </cell>
          <cell r="C703" t="str">
            <v>Crystal Palace</v>
          </cell>
          <cell r="D703" t="str">
            <v>Croacia</v>
          </cell>
          <cell r="E703" t="str">
            <v>LI</v>
          </cell>
          <cell r="F703">
            <v>76</v>
          </cell>
          <cell r="G703">
            <v>27</v>
          </cell>
        </row>
        <row r="704">
          <cell r="A704">
            <v>703</v>
          </cell>
          <cell r="B704" t="str">
            <v>Caleb Kporha</v>
          </cell>
          <cell r="C704" t="str">
            <v>Crystal Palace</v>
          </cell>
          <cell r="D704" t="str">
            <v>Inglaterra</v>
          </cell>
          <cell r="E704" t="str">
            <v>LD</v>
          </cell>
          <cell r="F704">
            <v>63</v>
          </cell>
          <cell r="G704">
            <v>19</v>
          </cell>
        </row>
        <row r="705">
          <cell r="A705">
            <v>704</v>
          </cell>
          <cell r="B705" t="str">
            <v>Chadi Riad</v>
          </cell>
          <cell r="C705" t="str">
            <v>Crystal Palace</v>
          </cell>
          <cell r="D705" t="str">
            <v>Marruecos</v>
          </cell>
          <cell r="E705" t="str">
            <v>CT</v>
          </cell>
          <cell r="F705">
            <v>74</v>
          </cell>
          <cell r="G705">
            <v>22</v>
          </cell>
        </row>
        <row r="706">
          <cell r="A706">
            <v>705</v>
          </cell>
          <cell r="B706" t="str">
            <v>Cheick Doucouré</v>
          </cell>
          <cell r="C706" t="str">
            <v>Crystal Palace</v>
          </cell>
          <cell r="D706" t="str">
            <v>Malí</v>
          </cell>
          <cell r="E706" t="str">
            <v>MCD</v>
          </cell>
          <cell r="F706">
            <v>79</v>
          </cell>
          <cell r="G706">
            <v>25</v>
          </cell>
        </row>
        <row r="707">
          <cell r="A707">
            <v>706</v>
          </cell>
          <cell r="B707" t="str">
            <v>Chris Richards</v>
          </cell>
          <cell r="C707" t="str">
            <v>Crystal Palace</v>
          </cell>
          <cell r="D707" t="str">
            <v>Estados Unidos</v>
          </cell>
          <cell r="E707" t="str">
            <v>CT</v>
          </cell>
          <cell r="F707">
            <v>76</v>
          </cell>
          <cell r="G707">
            <v>25</v>
          </cell>
        </row>
        <row r="708">
          <cell r="A708">
            <v>707</v>
          </cell>
          <cell r="B708" t="str">
            <v>Christantus Uche</v>
          </cell>
          <cell r="C708" t="str">
            <v>Crystal Palace</v>
          </cell>
          <cell r="D708" t="str">
            <v>Nigeria</v>
          </cell>
          <cell r="E708" t="str">
            <v>DC</v>
          </cell>
          <cell r="F708">
            <v>71</v>
          </cell>
          <cell r="G708">
            <v>22</v>
          </cell>
        </row>
        <row r="709">
          <cell r="A709">
            <v>708</v>
          </cell>
          <cell r="B709" t="str">
            <v>Daichi Kamada</v>
          </cell>
          <cell r="C709" t="str">
            <v>Crystal Palace</v>
          </cell>
          <cell r="D709" t="str">
            <v>Japón</v>
          </cell>
          <cell r="E709" t="str">
            <v>MO</v>
          </cell>
          <cell r="F709">
            <v>80</v>
          </cell>
          <cell r="G709">
            <v>29</v>
          </cell>
        </row>
        <row r="710">
          <cell r="A710">
            <v>709</v>
          </cell>
          <cell r="B710" t="str">
            <v>Daniel Muñoz</v>
          </cell>
          <cell r="C710" t="str">
            <v>Crystal Palace</v>
          </cell>
          <cell r="D710" t="str">
            <v>Colombia</v>
          </cell>
          <cell r="E710" t="str">
            <v>LD</v>
          </cell>
          <cell r="F710">
            <v>80</v>
          </cell>
          <cell r="G710">
            <v>29</v>
          </cell>
        </row>
        <row r="711">
          <cell r="A711">
            <v>710</v>
          </cell>
          <cell r="B711" t="str">
            <v>Dean Henderson</v>
          </cell>
          <cell r="C711" t="str">
            <v>Crystal Palace</v>
          </cell>
          <cell r="D711" t="str">
            <v>Inglaterra</v>
          </cell>
          <cell r="E711" t="str">
            <v>PO</v>
          </cell>
          <cell r="F711">
            <v>79</v>
          </cell>
          <cell r="G711">
            <v>28</v>
          </cell>
        </row>
        <row r="712">
          <cell r="A712">
            <v>711</v>
          </cell>
          <cell r="B712" t="str">
            <v>Eddie Nketiah</v>
          </cell>
          <cell r="C712" t="str">
            <v>Crystal Palace</v>
          </cell>
          <cell r="D712" t="str">
            <v>Inglaterra</v>
          </cell>
          <cell r="E712" t="str">
            <v>DC</v>
          </cell>
          <cell r="F712">
            <v>76</v>
          </cell>
          <cell r="G712">
            <v>26</v>
          </cell>
        </row>
        <row r="713">
          <cell r="A713">
            <v>712</v>
          </cell>
          <cell r="B713" t="str">
            <v>Ismaïla Sarr</v>
          </cell>
          <cell r="C713" t="str">
            <v>Crystal Palace</v>
          </cell>
          <cell r="D713" t="str">
            <v>Senegal</v>
          </cell>
          <cell r="E713" t="str">
            <v>ED</v>
          </cell>
          <cell r="F713">
            <v>77</v>
          </cell>
          <cell r="G713">
            <v>27</v>
          </cell>
        </row>
        <row r="714">
          <cell r="A714">
            <v>713</v>
          </cell>
          <cell r="B714" t="str">
            <v>Jaydee Canvot</v>
          </cell>
          <cell r="C714" t="str">
            <v>Crystal Palace</v>
          </cell>
          <cell r="D714" t="str">
            <v>Francia</v>
          </cell>
          <cell r="E714" t="str">
            <v>CT</v>
          </cell>
          <cell r="F714">
            <v>64</v>
          </cell>
          <cell r="G714">
            <v>19</v>
          </cell>
        </row>
        <row r="715">
          <cell r="A715">
            <v>714</v>
          </cell>
          <cell r="B715" t="str">
            <v>Jean Mateta</v>
          </cell>
          <cell r="C715" t="str">
            <v>Crystal Palace</v>
          </cell>
          <cell r="D715" t="str">
            <v>Francia</v>
          </cell>
          <cell r="E715" t="str">
            <v>DC</v>
          </cell>
          <cell r="F715">
            <v>80</v>
          </cell>
          <cell r="G715">
            <v>28</v>
          </cell>
        </row>
        <row r="716">
          <cell r="A716">
            <v>715</v>
          </cell>
          <cell r="B716" t="str">
            <v>Jefferson Lerma</v>
          </cell>
          <cell r="C716" t="str">
            <v>Crystal Palace</v>
          </cell>
          <cell r="D716" t="str">
            <v>Colombia</v>
          </cell>
          <cell r="E716" t="str">
            <v>MCD</v>
          </cell>
          <cell r="F716">
            <v>79</v>
          </cell>
          <cell r="G716">
            <v>31</v>
          </cell>
        </row>
        <row r="717">
          <cell r="A717">
            <v>716</v>
          </cell>
          <cell r="B717" t="str">
            <v>Justin Devenny</v>
          </cell>
          <cell r="C717" t="str">
            <v>Crystal Palace</v>
          </cell>
          <cell r="D717" t="str">
            <v>Irlanda del Norte</v>
          </cell>
          <cell r="E717" t="str">
            <v>MO</v>
          </cell>
          <cell r="F717">
            <v>62</v>
          </cell>
          <cell r="G717">
            <v>22</v>
          </cell>
        </row>
        <row r="718">
          <cell r="A718">
            <v>717</v>
          </cell>
          <cell r="B718" t="str">
            <v>Marc Guéhi</v>
          </cell>
          <cell r="C718" t="str">
            <v>Crystal Palace</v>
          </cell>
          <cell r="D718" t="str">
            <v>Inglaterra</v>
          </cell>
          <cell r="E718" t="str">
            <v>CT</v>
          </cell>
          <cell r="F718">
            <v>81</v>
          </cell>
          <cell r="G718">
            <v>25</v>
          </cell>
        </row>
        <row r="719">
          <cell r="A719">
            <v>718</v>
          </cell>
          <cell r="B719" t="str">
            <v>Maxence Lacroix</v>
          </cell>
          <cell r="C719" t="str">
            <v>Crystal Palace</v>
          </cell>
          <cell r="D719" t="str">
            <v>Francia</v>
          </cell>
          <cell r="E719" t="str">
            <v>CT</v>
          </cell>
          <cell r="F719">
            <v>77</v>
          </cell>
          <cell r="G719">
            <v>25</v>
          </cell>
        </row>
        <row r="720">
          <cell r="A720">
            <v>719</v>
          </cell>
          <cell r="B720" t="str">
            <v>Naouirou Ahamada</v>
          </cell>
          <cell r="C720" t="str">
            <v>Crystal Palace</v>
          </cell>
          <cell r="D720" t="str">
            <v>Francia</v>
          </cell>
          <cell r="E720" t="str">
            <v>MC</v>
          </cell>
          <cell r="F720">
            <v>69</v>
          </cell>
          <cell r="G720">
            <v>23</v>
          </cell>
        </row>
        <row r="721">
          <cell r="A721">
            <v>720</v>
          </cell>
          <cell r="B721" t="str">
            <v>Nathaniel Clyne</v>
          </cell>
          <cell r="C721" t="str">
            <v>Crystal Palace</v>
          </cell>
          <cell r="D721" t="str">
            <v>Inglaterra</v>
          </cell>
          <cell r="E721" t="str">
            <v>LD</v>
          </cell>
          <cell r="F721">
            <v>75</v>
          </cell>
          <cell r="G721">
            <v>34</v>
          </cell>
        </row>
        <row r="722">
          <cell r="A722">
            <v>721</v>
          </cell>
          <cell r="B722" t="str">
            <v>Remi Matthews</v>
          </cell>
          <cell r="C722" t="str">
            <v>Crystal Palace</v>
          </cell>
          <cell r="D722" t="str">
            <v>Inglaterra</v>
          </cell>
          <cell r="E722" t="str">
            <v>PO</v>
          </cell>
          <cell r="F722">
            <v>67</v>
          </cell>
          <cell r="G722">
            <v>31</v>
          </cell>
        </row>
        <row r="723">
          <cell r="A723">
            <v>722</v>
          </cell>
          <cell r="B723" t="str">
            <v>Romain Esse</v>
          </cell>
          <cell r="C723" t="str">
            <v>Crystal Palace</v>
          </cell>
          <cell r="D723" t="str">
            <v>Inglaterra</v>
          </cell>
          <cell r="E723" t="str">
            <v>ED</v>
          </cell>
          <cell r="F723">
            <v>70</v>
          </cell>
          <cell r="G723">
            <v>20</v>
          </cell>
        </row>
        <row r="724">
          <cell r="A724">
            <v>723</v>
          </cell>
          <cell r="B724" t="str">
            <v>Tyrick Mitchell</v>
          </cell>
          <cell r="C724" t="str">
            <v>Crystal Palace</v>
          </cell>
          <cell r="D724" t="str">
            <v>Inglaterra</v>
          </cell>
          <cell r="E724" t="str">
            <v>LI</v>
          </cell>
          <cell r="F724">
            <v>78</v>
          </cell>
          <cell r="G724">
            <v>26</v>
          </cell>
        </row>
        <row r="725">
          <cell r="A725">
            <v>724</v>
          </cell>
          <cell r="B725" t="str">
            <v>Walter Benítez</v>
          </cell>
          <cell r="C725" t="str">
            <v>Crystal Palace</v>
          </cell>
          <cell r="D725" t="str">
            <v>Argentina</v>
          </cell>
          <cell r="E725" t="str">
            <v>PO</v>
          </cell>
          <cell r="F725">
            <v>80</v>
          </cell>
          <cell r="G725">
            <v>32</v>
          </cell>
        </row>
        <row r="726">
          <cell r="A726">
            <v>725</v>
          </cell>
          <cell r="B726" t="str">
            <v>Will Hughes</v>
          </cell>
          <cell r="C726" t="str">
            <v>Crystal Palace</v>
          </cell>
          <cell r="D726" t="str">
            <v>Inglaterra</v>
          </cell>
          <cell r="E726" t="str">
            <v>MC</v>
          </cell>
          <cell r="F726">
            <v>75</v>
          </cell>
          <cell r="G726">
            <v>30</v>
          </cell>
        </row>
        <row r="727">
          <cell r="A727">
            <v>726</v>
          </cell>
          <cell r="B727" t="str">
            <v>Yéremy Pino</v>
          </cell>
          <cell r="C727" t="str">
            <v>Crystal Palace</v>
          </cell>
          <cell r="D727" t="str">
            <v>España</v>
          </cell>
          <cell r="E727" t="str">
            <v>ED</v>
          </cell>
          <cell r="F727">
            <v>79</v>
          </cell>
          <cell r="G727">
            <v>23</v>
          </cell>
        </row>
        <row r="728">
          <cell r="A728">
            <v>727</v>
          </cell>
          <cell r="B728" t="str">
            <v>Adam Aznou</v>
          </cell>
          <cell r="C728" t="str">
            <v>Everton FC</v>
          </cell>
          <cell r="D728" t="str">
            <v>Marruecos</v>
          </cell>
          <cell r="E728" t="str">
            <v>LI</v>
          </cell>
          <cell r="F728">
            <v>64</v>
          </cell>
          <cell r="G728">
            <v>19</v>
          </cell>
        </row>
        <row r="729">
          <cell r="A729">
            <v>728</v>
          </cell>
          <cell r="B729" t="str">
            <v>Beto</v>
          </cell>
          <cell r="C729" t="str">
            <v>Everton FC</v>
          </cell>
          <cell r="D729" t="str">
            <v>Guinea-Bissau</v>
          </cell>
          <cell r="E729" t="str">
            <v>DC</v>
          </cell>
          <cell r="F729">
            <v>77</v>
          </cell>
          <cell r="G729">
            <v>27</v>
          </cell>
        </row>
        <row r="730">
          <cell r="A730">
            <v>729</v>
          </cell>
          <cell r="B730" t="str">
            <v>Carlos Alcaraz</v>
          </cell>
          <cell r="C730" t="str">
            <v>Everton FC</v>
          </cell>
          <cell r="D730" t="str">
            <v>Argentina</v>
          </cell>
          <cell r="E730" t="str">
            <v>MC</v>
          </cell>
          <cell r="F730">
            <v>75</v>
          </cell>
          <cell r="G730">
            <v>23</v>
          </cell>
        </row>
        <row r="731">
          <cell r="A731">
            <v>730</v>
          </cell>
          <cell r="B731" t="str">
            <v>Dwight McNeil</v>
          </cell>
          <cell r="C731" t="str">
            <v>Everton FC</v>
          </cell>
          <cell r="D731" t="str">
            <v>Inglaterra</v>
          </cell>
          <cell r="E731" t="str">
            <v>EI</v>
          </cell>
          <cell r="F731">
            <v>78</v>
          </cell>
          <cell r="G731">
            <v>26</v>
          </cell>
        </row>
        <row r="732">
          <cell r="A732">
            <v>731</v>
          </cell>
          <cell r="B732" t="str">
            <v>Harry Tyrer</v>
          </cell>
          <cell r="C732" t="str">
            <v>Everton FC</v>
          </cell>
          <cell r="D732" t="str">
            <v>Inglaterra</v>
          </cell>
          <cell r="E732" t="str">
            <v>PO</v>
          </cell>
          <cell r="F732">
            <v>62</v>
          </cell>
          <cell r="G732">
            <v>24</v>
          </cell>
        </row>
        <row r="733">
          <cell r="A733">
            <v>732</v>
          </cell>
          <cell r="B733" t="str">
            <v>Idrissa G. Gueye</v>
          </cell>
          <cell r="C733" t="str">
            <v>Everton FC</v>
          </cell>
          <cell r="D733" t="str">
            <v>Senegal</v>
          </cell>
          <cell r="E733" t="str">
            <v>MCD</v>
          </cell>
          <cell r="F733">
            <v>76</v>
          </cell>
          <cell r="G733">
            <v>36</v>
          </cell>
        </row>
        <row r="734">
          <cell r="A734">
            <v>733</v>
          </cell>
          <cell r="B734" t="str">
            <v>Iliman Ndiaye</v>
          </cell>
          <cell r="C734" t="str">
            <v>Everton FC</v>
          </cell>
          <cell r="D734" t="str">
            <v>Senegal</v>
          </cell>
          <cell r="E734" t="str">
            <v>ED</v>
          </cell>
          <cell r="F734">
            <v>75</v>
          </cell>
          <cell r="G734">
            <v>25</v>
          </cell>
        </row>
        <row r="735">
          <cell r="A735">
            <v>734</v>
          </cell>
          <cell r="B735" t="str">
            <v>Jack Grealish</v>
          </cell>
          <cell r="C735" t="str">
            <v>Everton FC</v>
          </cell>
          <cell r="D735" t="str">
            <v>Inglaterra</v>
          </cell>
          <cell r="E735" t="str">
            <v>EI</v>
          </cell>
          <cell r="F735">
            <v>81</v>
          </cell>
          <cell r="G735">
            <v>30</v>
          </cell>
        </row>
        <row r="736">
          <cell r="A736">
            <v>735</v>
          </cell>
          <cell r="B736" t="str">
            <v>Jake O'Brien</v>
          </cell>
          <cell r="C736" t="str">
            <v>Everton FC</v>
          </cell>
          <cell r="D736" t="str">
            <v>Irlanda</v>
          </cell>
          <cell r="E736" t="str">
            <v>LD</v>
          </cell>
          <cell r="F736">
            <v>72</v>
          </cell>
          <cell r="G736">
            <v>24</v>
          </cell>
        </row>
        <row r="737">
          <cell r="A737">
            <v>736</v>
          </cell>
          <cell r="B737" t="str">
            <v>James Garner</v>
          </cell>
          <cell r="C737" t="str">
            <v>Everton FC</v>
          </cell>
          <cell r="D737" t="str">
            <v>Inglaterra</v>
          </cell>
          <cell r="E737" t="str">
            <v>MCD</v>
          </cell>
          <cell r="F737">
            <v>75</v>
          </cell>
          <cell r="G737">
            <v>24</v>
          </cell>
        </row>
        <row r="738">
          <cell r="A738">
            <v>737</v>
          </cell>
          <cell r="B738" t="str">
            <v>James Tarkowski</v>
          </cell>
          <cell r="C738" t="str">
            <v>Everton FC</v>
          </cell>
          <cell r="D738" t="str">
            <v>Inglaterra</v>
          </cell>
          <cell r="E738" t="str">
            <v>CT</v>
          </cell>
          <cell r="F738">
            <v>80</v>
          </cell>
          <cell r="G738">
            <v>33</v>
          </cell>
        </row>
        <row r="739">
          <cell r="A739">
            <v>738</v>
          </cell>
          <cell r="B739" t="str">
            <v>Jarrad Branthwaite</v>
          </cell>
          <cell r="C739" t="str">
            <v>Everton FC</v>
          </cell>
          <cell r="D739" t="str">
            <v>Inglaterra</v>
          </cell>
          <cell r="E739" t="str">
            <v>CT</v>
          </cell>
          <cell r="F739">
            <v>79</v>
          </cell>
          <cell r="G739">
            <v>23</v>
          </cell>
        </row>
        <row r="740">
          <cell r="A740">
            <v>739</v>
          </cell>
          <cell r="B740" t="str">
            <v>Jordan Pickford</v>
          </cell>
          <cell r="C740" t="str">
            <v>Everton FC</v>
          </cell>
          <cell r="D740" t="str">
            <v>Inglaterra</v>
          </cell>
          <cell r="E740" t="str">
            <v>PO</v>
          </cell>
          <cell r="F740">
            <v>83</v>
          </cell>
          <cell r="G740">
            <v>31</v>
          </cell>
        </row>
        <row r="741">
          <cell r="A741">
            <v>740</v>
          </cell>
          <cell r="B741" t="str">
            <v>K. Dewsbury-Hall</v>
          </cell>
          <cell r="C741" t="str">
            <v>Everton FC</v>
          </cell>
          <cell r="D741" t="str">
            <v>Inglaterra</v>
          </cell>
          <cell r="E741" t="str">
            <v>MC</v>
          </cell>
          <cell r="F741">
            <v>77</v>
          </cell>
          <cell r="G741">
            <v>27</v>
          </cell>
        </row>
        <row r="742">
          <cell r="A742">
            <v>741</v>
          </cell>
          <cell r="B742" t="str">
            <v>Mark Travers</v>
          </cell>
          <cell r="C742" t="str">
            <v>Everton FC</v>
          </cell>
          <cell r="D742" t="str">
            <v>Irlanda</v>
          </cell>
          <cell r="E742" t="str">
            <v>PO</v>
          </cell>
          <cell r="F742">
            <v>73</v>
          </cell>
          <cell r="G742">
            <v>26</v>
          </cell>
        </row>
        <row r="743">
          <cell r="A743">
            <v>742</v>
          </cell>
          <cell r="B743" t="str">
            <v>Merlin Röhl</v>
          </cell>
          <cell r="C743" t="str">
            <v>Everton FC</v>
          </cell>
          <cell r="D743" t="str">
            <v>Alemania</v>
          </cell>
          <cell r="E743" t="str">
            <v>MO</v>
          </cell>
          <cell r="F743">
            <v>74</v>
          </cell>
          <cell r="G743">
            <v>23</v>
          </cell>
        </row>
        <row r="744">
          <cell r="A744">
            <v>743</v>
          </cell>
          <cell r="B744" t="str">
            <v>Michael Keane</v>
          </cell>
          <cell r="C744" t="str">
            <v>Everton FC</v>
          </cell>
          <cell r="D744" t="str">
            <v>Inglaterra</v>
          </cell>
          <cell r="E744" t="str">
            <v>CT</v>
          </cell>
          <cell r="F744">
            <v>75</v>
          </cell>
          <cell r="G744">
            <v>32</v>
          </cell>
        </row>
        <row r="745">
          <cell r="A745">
            <v>744</v>
          </cell>
          <cell r="B745" t="str">
            <v>Nathan Patterson</v>
          </cell>
          <cell r="C745" t="str">
            <v>Everton FC</v>
          </cell>
          <cell r="D745" t="str">
            <v>Escocia</v>
          </cell>
          <cell r="E745" t="str">
            <v>LD</v>
          </cell>
          <cell r="F745">
            <v>72</v>
          </cell>
          <cell r="G745">
            <v>24</v>
          </cell>
        </row>
        <row r="746">
          <cell r="A746">
            <v>745</v>
          </cell>
          <cell r="B746" t="str">
            <v>Séamus Coleman</v>
          </cell>
          <cell r="C746" t="str">
            <v>Everton FC</v>
          </cell>
          <cell r="D746" t="str">
            <v>Irlanda</v>
          </cell>
          <cell r="E746" t="str">
            <v>LD</v>
          </cell>
          <cell r="F746">
            <v>74</v>
          </cell>
          <cell r="G746">
            <v>37</v>
          </cell>
        </row>
        <row r="747">
          <cell r="A747">
            <v>746</v>
          </cell>
          <cell r="B747" t="str">
            <v>Thierno Barry</v>
          </cell>
          <cell r="C747" t="str">
            <v>Everton FC</v>
          </cell>
          <cell r="D747" t="str">
            <v>Francia</v>
          </cell>
          <cell r="E747" t="str">
            <v>DC</v>
          </cell>
          <cell r="F747">
            <v>73</v>
          </cell>
          <cell r="G747">
            <v>23</v>
          </cell>
        </row>
        <row r="748">
          <cell r="A748">
            <v>747</v>
          </cell>
          <cell r="B748" t="str">
            <v>Tim Iroegbunam</v>
          </cell>
          <cell r="C748" t="str">
            <v>Everton FC</v>
          </cell>
          <cell r="D748" t="str">
            <v>Inglaterra</v>
          </cell>
          <cell r="E748" t="str">
            <v>MC</v>
          </cell>
          <cell r="F748">
            <v>70</v>
          </cell>
          <cell r="G748">
            <v>22</v>
          </cell>
        </row>
        <row r="749">
          <cell r="A749">
            <v>748</v>
          </cell>
          <cell r="B749" t="str">
            <v>Tom King</v>
          </cell>
          <cell r="C749" t="str">
            <v>Everton FC</v>
          </cell>
          <cell r="D749" t="str">
            <v>Gales</v>
          </cell>
          <cell r="E749" t="str">
            <v>PO</v>
          </cell>
          <cell r="F749">
            <v>65</v>
          </cell>
          <cell r="G749">
            <v>30</v>
          </cell>
        </row>
        <row r="750">
          <cell r="A750">
            <v>749</v>
          </cell>
          <cell r="B750" t="str">
            <v>Tyler Dibling</v>
          </cell>
          <cell r="C750" t="str">
            <v>Everton FC</v>
          </cell>
          <cell r="D750" t="str">
            <v>Inglaterra</v>
          </cell>
          <cell r="E750" t="str">
            <v>ED</v>
          </cell>
          <cell r="F750">
            <v>74</v>
          </cell>
          <cell r="G750">
            <v>19</v>
          </cell>
        </row>
        <row r="751">
          <cell r="A751">
            <v>750</v>
          </cell>
          <cell r="B751" t="str">
            <v>Vitaliy Mykolenko</v>
          </cell>
          <cell r="C751" t="str">
            <v>Everton FC</v>
          </cell>
          <cell r="D751" t="str">
            <v>Ucrania</v>
          </cell>
          <cell r="E751" t="str">
            <v>LI</v>
          </cell>
          <cell r="F751">
            <v>77</v>
          </cell>
          <cell r="G751">
            <v>26</v>
          </cell>
        </row>
        <row r="752">
          <cell r="A752">
            <v>751</v>
          </cell>
          <cell r="B752" t="str">
            <v>Adama Traoré</v>
          </cell>
          <cell r="C752" t="str">
            <v>Fulham FC</v>
          </cell>
          <cell r="D752" t="str">
            <v>España</v>
          </cell>
          <cell r="E752" t="str">
            <v>ED</v>
          </cell>
          <cell r="F752">
            <v>76</v>
          </cell>
          <cell r="G752">
            <v>29</v>
          </cell>
        </row>
        <row r="753">
          <cell r="A753">
            <v>752</v>
          </cell>
          <cell r="B753" t="str">
            <v>Alex Borto</v>
          </cell>
          <cell r="C753" t="str">
            <v>Fulham FC</v>
          </cell>
          <cell r="D753" t="str">
            <v>Estados Unidos</v>
          </cell>
          <cell r="E753" t="str">
            <v>PO</v>
          </cell>
          <cell r="F753">
            <v>59</v>
          </cell>
          <cell r="G753">
            <v>22</v>
          </cell>
        </row>
        <row r="754">
          <cell r="A754">
            <v>753</v>
          </cell>
          <cell r="B754" t="str">
            <v>Alex Iwobi</v>
          </cell>
          <cell r="C754" t="str">
            <v>Fulham FC</v>
          </cell>
          <cell r="D754" t="str">
            <v>Nigeria</v>
          </cell>
          <cell r="E754" t="str">
            <v>EI</v>
          </cell>
          <cell r="F754">
            <v>78</v>
          </cell>
          <cell r="G754">
            <v>29</v>
          </cell>
        </row>
        <row r="755">
          <cell r="A755">
            <v>754</v>
          </cell>
          <cell r="B755" t="str">
            <v>Antonee Robinson</v>
          </cell>
          <cell r="C755" t="str">
            <v>Fulham FC</v>
          </cell>
          <cell r="D755" t="str">
            <v>Estados Unidos</v>
          </cell>
          <cell r="E755" t="str">
            <v>LI</v>
          </cell>
          <cell r="F755">
            <v>80</v>
          </cell>
          <cell r="G755">
            <v>28</v>
          </cell>
        </row>
        <row r="756">
          <cell r="A756">
            <v>755</v>
          </cell>
          <cell r="B756" t="str">
            <v>B. Lecomte</v>
          </cell>
          <cell r="C756" t="str">
            <v>Fulham FC</v>
          </cell>
          <cell r="D756" t="str">
            <v>Francia</v>
          </cell>
          <cell r="E756" t="str">
            <v>PO</v>
          </cell>
          <cell r="F756">
            <v>76</v>
          </cell>
          <cell r="G756">
            <v>34</v>
          </cell>
        </row>
        <row r="757">
          <cell r="A757">
            <v>756</v>
          </cell>
          <cell r="B757" t="str">
            <v>Bernd Leno</v>
          </cell>
          <cell r="C757" t="str">
            <v>Fulham FC</v>
          </cell>
          <cell r="D757" t="str">
            <v>Alemania</v>
          </cell>
          <cell r="E757" t="str">
            <v>PO</v>
          </cell>
          <cell r="F757">
            <v>82</v>
          </cell>
          <cell r="G757">
            <v>33</v>
          </cell>
        </row>
        <row r="758">
          <cell r="A758">
            <v>757</v>
          </cell>
          <cell r="B758" t="str">
            <v>Calvin Bassey</v>
          </cell>
          <cell r="C758" t="str">
            <v>Fulham FC</v>
          </cell>
          <cell r="D758" t="str">
            <v>Nigeria</v>
          </cell>
          <cell r="E758" t="str">
            <v>CT</v>
          </cell>
          <cell r="F758">
            <v>76</v>
          </cell>
          <cell r="G758">
            <v>26</v>
          </cell>
        </row>
        <row r="759">
          <cell r="A759">
            <v>758</v>
          </cell>
          <cell r="B759" t="str">
            <v>E. Smith Rowe</v>
          </cell>
          <cell r="C759" t="str">
            <v>Fulham FC</v>
          </cell>
          <cell r="D759" t="str">
            <v>Inglaterra</v>
          </cell>
          <cell r="E759" t="str">
            <v>MO</v>
          </cell>
          <cell r="F759">
            <v>77</v>
          </cell>
          <cell r="G759">
            <v>25</v>
          </cell>
        </row>
        <row r="760">
          <cell r="A760">
            <v>759</v>
          </cell>
          <cell r="B760" t="str">
            <v>Harrison Reed</v>
          </cell>
          <cell r="C760" t="str">
            <v>Fulham FC</v>
          </cell>
          <cell r="D760" t="str">
            <v>Inglaterra</v>
          </cell>
          <cell r="E760" t="str">
            <v>MC</v>
          </cell>
          <cell r="F760">
            <v>76</v>
          </cell>
          <cell r="G760">
            <v>30</v>
          </cell>
        </row>
        <row r="761">
          <cell r="A761">
            <v>760</v>
          </cell>
          <cell r="B761" t="str">
            <v>Harry Wilson</v>
          </cell>
          <cell r="C761" t="str">
            <v>Fulham FC</v>
          </cell>
          <cell r="D761" t="str">
            <v>Gales</v>
          </cell>
          <cell r="E761" t="str">
            <v>ED</v>
          </cell>
          <cell r="F761">
            <v>76</v>
          </cell>
          <cell r="G761">
            <v>28</v>
          </cell>
        </row>
        <row r="762">
          <cell r="A762">
            <v>761</v>
          </cell>
          <cell r="B762" t="str">
            <v>Issa Diop</v>
          </cell>
          <cell r="C762" t="str">
            <v>Fulham FC</v>
          </cell>
          <cell r="D762" t="str">
            <v>Francia</v>
          </cell>
          <cell r="E762" t="str">
            <v>CT</v>
          </cell>
          <cell r="F762">
            <v>77</v>
          </cell>
          <cell r="G762">
            <v>28</v>
          </cell>
        </row>
        <row r="763">
          <cell r="A763">
            <v>762</v>
          </cell>
          <cell r="B763" t="str">
            <v>Joachim Andersen</v>
          </cell>
          <cell r="C763" t="str">
            <v>Fulham FC</v>
          </cell>
          <cell r="D763" t="str">
            <v>Dinamarca</v>
          </cell>
          <cell r="E763" t="str">
            <v>CT</v>
          </cell>
          <cell r="F763">
            <v>80</v>
          </cell>
          <cell r="G763">
            <v>29</v>
          </cell>
        </row>
        <row r="764">
          <cell r="A764">
            <v>763</v>
          </cell>
          <cell r="B764" t="str">
            <v>Jonah Kusi-Asare</v>
          </cell>
          <cell r="C764" t="str">
            <v>Fulham FC</v>
          </cell>
          <cell r="D764" t="str">
            <v>Suecia</v>
          </cell>
          <cell r="E764" t="str">
            <v>DC</v>
          </cell>
          <cell r="F764">
            <v>60</v>
          </cell>
          <cell r="G764">
            <v>18</v>
          </cell>
        </row>
        <row r="765">
          <cell r="A765">
            <v>764</v>
          </cell>
          <cell r="B765" t="str">
            <v>Jorge Cuenca</v>
          </cell>
          <cell r="C765" t="str">
            <v>Fulham FC</v>
          </cell>
          <cell r="D765" t="str">
            <v>España</v>
          </cell>
          <cell r="E765" t="str">
            <v>CT</v>
          </cell>
          <cell r="F765">
            <v>74</v>
          </cell>
          <cell r="G765">
            <v>26</v>
          </cell>
        </row>
        <row r="766">
          <cell r="A766">
            <v>765</v>
          </cell>
          <cell r="B766" t="str">
            <v>Josh King</v>
          </cell>
          <cell r="C766" t="str">
            <v>Fulham FC</v>
          </cell>
          <cell r="D766" t="str">
            <v>Inglaterra</v>
          </cell>
          <cell r="E766" t="str">
            <v>MO</v>
          </cell>
          <cell r="F766">
            <v>63</v>
          </cell>
          <cell r="G766">
            <v>18</v>
          </cell>
        </row>
        <row r="767">
          <cell r="A767">
            <v>766</v>
          </cell>
          <cell r="B767" t="str">
            <v>Kenny Tete</v>
          </cell>
          <cell r="C767" t="str">
            <v>Fulham FC</v>
          </cell>
          <cell r="D767" t="str">
            <v>Países Bajos</v>
          </cell>
          <cell r="E767" t="str">
            <v>LD</v>
          </cell>
          <cell r="F767">
            <v>77</v>
          </cell>
          <cell r="G767">
            <v>30</v>
          </cell>
        </row>
        <row r="768">
          <cell r="A768">
            <v>767</v>
          </cell>
          <cell r="B768" t="str">
            <v>Kevin Santos</v>
          </cell>
          <cell r="C768" t="str">
            <v>Fulham FC</v>
          </cell>
          <cell r="D768" t="str">
            <v>Brasil</v>
          </cell>
          <cell r="E768" t="str">
            <v>EI</v>
          </cell>
          <cell r="F768">
            <v>74</v>
          </cell>
          <cell r="G768">
            <v>22</v>
          </cell>
        </row>
        <row r="769">
          <cell r="A769">
            <v>768</v>
          </cell>
          <cell r="B769" t="str">
            <v>Raúl Jiménez</v>
          </cell>
          <cell r="C769" t="str">
            <v>Fulham FC</v>
          </cell>
          <cell r="D769" t="str">
            <v>México</v>
          </cell>
          <cell r="E769" t="str">
            <v>DC</v>
          </cell>
          <cell r="F769">
            <v>77</v>
          </cell>
          <cell r="G769">
            <v>34</v>
          </cell>
        </row>
        <row r="770">
          <cell r="A770">
            <v>769</v>
          </cell>
          <cell r="B770" t="str">
            <v>Rodrigo Muniz</v>
          </cell>
          <cell r="C770" t="str">
            <v>Fulham FC</v>
          </cell>
          <cell r="D770" t="str">
            <v>Brasil</v>
          </cell>
          <cell r="E770" t="str">
            <v>DC</v>
          </cell>
          <cell r="F770">
            <v>75</v>
          </cell>
          <cell r="G770">
            <v>24</v>
          </cell>
        </row>
        <row r="771">
          <cell r="A771">
            <v>770</v>
          </cell>
          <cell r="B771" t="str">
            <v>Ryan Sessegnon</v>
          </cell>
          <cell r="C771" t="str">
            <v>Fulham FC</v>
          </cell>
          <cell r="D771" t="str">
            <v>Inglaterra</v>
          </cell>
          <cell r="E771" t="str">
            <v>LI</v>
          </cell>
          <cell r="F771">
            <v>74</v>
          </cell>
          <cell r="G771">
            <v>25</v>
          </cell>
        </row>
        <row r="772">
          <cell r="A772">
            <v>771</v>
          </cell>
          <cell r="B772" t="str">
            <v>Samu Chukwueze</v>
          </cell>
          <cell r="C772" t="str">
            <v>Fulham FC</v>
          </cell>
          <cell r="D772" t="str">
            <v>Nigeria</v>
          </cell>
          <cell r="E772" t="str">
            <v>ED</v>
          </cell>
          <cell r="F772">
            <v>81</v>
          </cell>
          <cell r="G772">
            <v>26</v>
          </cell>
        </row>
        <row r="773">
          <cell r="A773">
            <v>772</v>
          </cell>
          <cell r="B773" t="str">
            <v>Sander Berge</v>
          </cell>
          <cell r="C773" t="str">
            <v>Fulham FC</v>
          </cell>
          <cell r="D773" t="str">
            <v>Noruega</v>
          </cell>
          <cell r="E773" t="str">
            <v>MCD</v>
          </cell>
          <cell r="F773">
            <v>77</v>
          </cell>
          <cell r="G773">
            <v>27</v>
          </cell>
        </row>
        <row r="774">
          <cell r="A774">
            <v>773</v>
          </cell>
          <cell r="B774" t="str">
            <v>Saša Lukić</v>
          </cell>
          <cell r="C774" t="str">
            <v>Fulham FC</v>
          </cell>
          <cell r="D774" t="str">
            <v>Serbia</v>
          </cell>
          <cell r="E774" t="str">
            <v>MC</v>
          </cell>
          <cell r="F774">
            <v>76</v>
          </cell>
          <cell r="G774">
            <v>29</v>
          </cell>
        </row>
        <row r="775">
          <cell r="A775">
            <v>774</v>
          </cell>
          <cell r="B775" t="str">
            <v>Timothy Castagne</v>
          </cell>
          <cell r="C775" t="str">
            <v>Fulham FC</v>
          </cell>
          <cell r="D775" t="str">
            <v>Bélgica</v>
          </cell>
          <cell r="E775" t="str">
            <v>LD</v>
          </cell>
          <cell r="F775">
            <v>78</v>
          </cell>
          <cell r="G775">
            <v>30</v>
          </cell>
        </row>
        <row r="776">
          <cell r="A776">
            <v>775</v>
          </cell>
          <cell r="B776" t="str">
            <v>Tom Cairney</v>
          </cell>
          <cell r="C776" t="str">
            <v>Fulham FC</v>
          </cell>
          <cell r="D776" t="str">
            <v>Escocia</v>
          </cell>
          <cell r="E776" t="str">
            <v>MC</v>
          </cell>
          <cell r="F776">
            <v>75</v>
          </cell>
          <cell r="G776">
            <v>34</v>
          </cell>
        </row>
        <row r="777">
          <cell r="A777">
            <v>776</v>
          </cell>
          <cell r="B777" t="str">
            <v>Alex Cairns</v>
          </cell>
          <cell r="C777" t="str">
            <v>Leeds United</v>
          </cell>
          <cell r="D777" t="str">
            <v>Inglaterra</v>
          </cell>
          <cell r="E777" t="str">
            <v>PO</v>
          </cell>
          <cell r="F777">
            <v>63</v>
          </cell>
          <cell r="G777">
            <v>32</v>
          </cell>
        </row>
        <row r="778">
          <cell r="A778">
            <v>777</v>
          </cell>
          <cell r="B778" t="str">
            <v>Anton Stach</v>
          </cell>
          <cell r="C778" t="str">
            <v>Leeds United</v>
          </cell>
          <cell r="D778" t="str">
            <v>Alemania</v>
          </cell>
          <cell r="E778" t="str">
            <v>MCD</v>
          </cell>
          <cell r="F778">
            <v>77</v>
          </cell>
          <cell r="G778">
            <v>27</v>
          </cell>
        </row>
        <row r="779">
          <cell r="A779">
            <v>778</v>
          </cell>
          <cell r="B779" t="str">
            <v>Ao Tanaka</v>
          </cell>
          <cell r="C779" t="str">
            <v>Leeds United</v>
          </cell>
          <cell r="D779" t="str">
            <v>Japón</v>
          </cell>
          <cell r="E779" t="str">
            <v>MC</v>
          </cell>
          <cell r="F779">
            <v>74</v>
          </cell>
          <cell r="G779">
            <v>27</v>
          </cell>
        </row>
        <row r="780">
          <cell r="A780">
            <v>779</v>
          </cell>
          <cell r="B780" t="str">
            <v>Brenden Aaronson</v>
          </cell>
          <cell r="C780" t="str">
            <v>Leeds United</v>
          </cell>
          <cell r="D780" t="str">
            <v>Estados Unidos</v>
          </cell>
          <cell r="E780" t="str">
            <v>MO</v>
          </cell>
          <cell r="F780">
            <v>74</v>
          </cell>
          <cell r="G780">
            <v>25</v>
          </cell>
        </row>
        <row r="781">
          <cell r="A781">
            <v>780</v>
          </cell>
          <cell r="B781" t="str">
            <v>D. Calvert-Lewin</v>
          </cell>
          <cell r="C781" t="str">
            <v>Leeds United</v>
          </cell>
          <cell r="D781" t="str">
            <v>Inglaterra</v>
          </cell>
          <cell r="E781" t="str">
            <v>DC</v>
          </cell>
          <cell r="F781">
            <v>77</v>
          </cell>
          <cell r="G781">
            <v>28</v>
          </cell>
        </row>
        <row r="782">
          <cell r="A782">
            <v>781</v>
          </cell>
          <cell r="B782" t="str">
            <v>Daniel James</v>
          </cell>
          <cell r="C782" t="str">
            <v>Leeds United</v>
          </cell>
          <cell r="D782" t="str">
            <v>Gales</v>
          </cell>
          <cell r="E782" t="str">
            <v>ED</v>
          </cell>
          <cell r="F782">
            <v>77</v>
          </cell>
          <cell r="G782">
            <v>28</v>
          </cell>
        </row>
        <row r="783">
          <cell r="A783">
            <v>782</v>
          </cell>
          <cell r="B783" t="str">
            <v>Ethan Ampadu</v>
          </cell>
          <cell r="C783" t="str">
            <v>Leeds United</v>
          </cell>
          <cell r="D783" t="str">
            <v>Gales</v>
          </cell>
          <cell r="E783" t="str">
            <v>MCD</v>
          </cell>
          <cell r="F783">
            <v>76</v>
          </cell>
          <cell r="G783">
            <v>25</v>
          </cell>
        </row>
        <row r="784">
          <cell r="A784">
            <v>783</v>
          </cell>
          <cell r="B784" t="str">
            <v>G. Gudmundsson</v>
          </cell>
          <cell r="C784" t="str">
            <v>Leeds United</v>
          </cell>
          <cell r="D784" t="str">
            <v>Suecia</v>
          </cell>
          <cell r="E784" t="str">
            <v>LI</v>
          </cell>
          <cell r="F784">
            <v>76</v>
          </cell>
          <cell r="G784">
            <v>26</v>
          </cell>
        </row>
        <row r="785">
          <cell r="A785">
            <v>784</v>
          </cell>
          <cell r="B785" t="str">
            <v>Ilia Gruev</v>
          </cell>
          <cell r="C785" t="str">
            <v>Leeds United</v>
          </cell>
          <cell r="D785" t="str">
            <v>Bulgaria</v>
          </cell>
          <cell r="E785" t="str">
            <v>MCD</v>
          </cell>
          <cell r="F785">
            <v>74</v>
          </cell>
          <cell r="G785">
            <v>25</v>
          </cell>
        </row>
        <row r="786">
          <cell r="A786">
            <v>785</v>
          </cell>
          <cell r="B786" t="str">
            <v>Illan Meslier</v>
          </cell>
          <cell r="C786" t="str">
            <v>Leeds United</v>
          </cell>
          <cell r="D786" t="str">
            <v>Francia</v>
          </cell>
          <cell r="E786" t="str">
            <v>PO</v>
          </cell>
          <cell r="F786">
            <v>73</v>
          </cell>
          <cell r="G786">
            <v>25</v>
          </cell>
        </row>
        <row r="787">
          <cell r="A787">
            <v>786</v>
          </cell>
          <cell r="B787" t="str">
            <v>Jack Harrison</v>
          </cell>
          <cell r="C787" t="str">
            <v>Leeds United</v>
          </cell>
          <cell r="D787" t="str">
            <v>Inglaterra</v>
          </cell>
          <cell r="E787" t="str">
            <v>EI</v>
          </cell>
          <cell r="F787">
            <v>76</v>
          </cell>
          <cell r="G787">
            <v>29</v>
          </cell>
        </row>
        <row r="788">
          <cell r="A788">
            <v>787</v>
          </cell>
          <cell r="B788" t="str">
            <v>Jaka Bijol</v>
          </cell>
          <cell r="C788" t="str">
            <v>Leeds United</v>
          </cell>
          <cell r="D788" t="str">
            <v>Eslovenia</v>
          </cell>
          <cell r="E788" t="str">
            <v>CT</v>
          </cell>
          <cell r="F788">
            <v>76</v>
          </cell>
          <cell r="G788">
            <v>26</v>
          </cell>
        </row>
        <row r="789">
          <cell r="A789">
            <v>788</v>
          </cell>
          <cell r="B789" t="str">
            <v>James Justin</v>
          </cell>
          <cell r="C789" t="str">
            <v>Leeds United</v>
          </cell>
          <cell r="D789" t="str">
            <v>Inglaterra</v>
          </cell>
          <cell r="E789" t="str">
            <v>LD</v>
          </cell>
          <cell r="F789">
            <v>77</v>
          </cell>
          <cell r="G789">
            <v>27</v>
          </cell>
        </row>
        <row r="790">
          <cell r="A790">
            <v>789</v>
          </cell>
          <cell r="B790" t="str">
            <v>Jayden Bogle</v>
          </cell>
          <cell r="C790" t="str">
            <v>Leeds United</v>
          </cell>
          <cell r="D790" t="str">
            <v>Inglaterra</v>
          </cell>
          <cell r="E790" t="str">
            <v>LD</v>
          </cell>
          <cell r="F790">
            <v>75</v>
          </cell>
          <cell r="G790">
            <v>25</v>
          </cell>
        </row>
        <row r="791">
          <cell r="A791">
            <v>790</v>
          </cell>
          <cell r="B791" t="str">
            <v>Joe Rodon</v>
          </cell>
          <cell r="C791" t="str">
            <v>Leeds United</v>
          </cell>
          <cell r="D791" t="str">
            <v>Gales</v>
          </cell>
          <cell r="E791" t="str">
            <v>CT</v>
          </cell>
          <cell r="F791">
            <v>76</v>
          </cell>
          <cell r="G791">
            <v>28</v>
          </cell>
        </row>
        <row r="792">
          <cell r="A792">
            <v>791</v>
          </cell>
          <cell r="B792" t="str">
            <v>Joël Piroe</v>
          </cell>
          <cell r="C792" t="str">
            <v>Leeds United</v>
          </cell>
          <cell r="D792" t="str">
            <v>Surinam</v>
          </cell>
          <cell r="E792" t="str">
            <v>DC</v>
          </cell>
          <cell r="F792">
            <v>75</v>
          </cell>
          <cell r="G792">
            <v>26</v>
          </cell>
        </row>
        <row r="793">
          <cell r="A793">
            <v>792</v>
          </cell>
          <cell r="B793" t="str">
            <v>Karl Darlow</v>
          </cell>
          <cell r="C793" t="str">
            <v>Leeds United</v>
          </cell>
          <cell r="D793" t="str">
            <v>Gales</v>
          </cell>
          <cell r="E793" t="str">
            <v>PO</v>
          </cell>
          <cell r="F793">
            <v>73</v>
          </cell>
          <cell r="G793">
            <v>35</v>
          </cell>
        </row>
        <row r="794">
          <cell r="A794">
            <v>793</v>
          </cell>
          <cell r="B794" t="str">
            <v>Lucas Perri</v>
          </cell>
          <cell r="C794" t="str">
            <v>Leeds United</v>
          </cell>
          <cell r="D794" t="str">
            <v>Brasil</v>
          </cell>
          <cell r="E794" t="str">
            <v>PO</v>
          </cell>
          <cell r="F794">
            <v>79</v>
          </cell>
          <cell r="G794">
            <v>28</v>
          </cell>
        </row>
        <row r="795">
          <cell r="A795">
            <v>794</v>
          </cell>
          <cell r="B795" t="str">
            <v>Lukas Nmecha</v>
          </cell>
          <cell r="C795" t="str">
            <v>Leeds United</v>
          </cell>
          <cell r="D795" t="str">
            <v>Alemania</v>
          </cell>
          <cell r="E795" t="str">
            <v>DC</v>
          </cell>
          <cell r="F795">
            <v>77</v>
          </cell>
          <cell r="G795">
            <v>27</v>
          </cell>
        </row>
        <row r="796">
          <cell r="A796">
            <v>795</v>
          </cell>
          <cell r="B796" t="str">
            <v>Noah Okafor</v>
          </cell>
          <cell r="C796" t="str">
            <v>Leeds United</v>
          </cell>
          <cell r="D796" t="str">
            <v>Suiza</v>
          </cell>
          <cell r="E796" t="str">
            <v>EI</v>
          </cell>
          <cell r="F796">
            <v>79</v>
          </cell>
          <cell r="G796">
            <v>25</v>
          </cell>
        </row>
        <row r="797">
          <cell r="A797">
            <v>796</v>
          </cell>
          <cell r="B797" t="str">
            <v>Pascal Struijk</v>
          </cell>
          <cell r="C797" t="str">
            <v>Leeds United</v>
          </cell>
          <cell r="D797" t="str">
            <v>Países Bajos</v>
          </cell>
          <cell r="E797" t="str">
            <v>CT</v>
          </cell>
          <cell r="F797">
            <v>76</v>
          </cell>
          <cell r="G797">
            <v>26</v>
          </cell>
        </row>
        <row r="798">
          <cell r="A798">
            <v>797</v>
          </cell>
          <cell r="B798" t="str">
            <v>S. Bornauw</v>
          </cell>
          <cell r="C798" t="str">
            <v>Leeds United</v>
          </cell>
          <cell r="D798" t="str">
            <v>Bélgica</v>
          </cell>
          <cell r="E798" t="str">
            <v>CT</v>
          </cell>
          <cell r="F798">
            <v>74</v>
          </cell>
          <cell r="G798">
            <v>26</v>
          </cell>
        </row>
        <row r="799">
          <cell r="A799">
            <v>798</v>
          </cell>
          <cell r="B799" t="str">
            <v>Sam Byram</v>
          </cell>
          <cell r="C799" t="str">
            <v>Leeds United</v>
          </cell>
          <cell r="D799" t="str">
            <v>Inglaterra</v>
          </cell>
          <cell r="E799" t="str">
            <v>LI</v>
          </cell>
          <cell r="F799">
            <v>72</v>
          </cell>
          <cell r="G799">
            <v>32</v>
          </cell>
        </row>
        <row r="800">
          <cell r="A800">
            <v>799</v>
          </cell>
          <cell r="B800" t="str">
            <v>Sean Longstaff</v>
          </cell>
          <cell r="C800" t="str">
            <v>Leeds United</v>
          </cell>
          <cell r="D800" t="str">
            <v>Inglaterra</v>
          </cell>
          <cell r="E800" t="str">
            <v>MC</v>
          </cell>
          <cell r="F800">
            <v>76</v>
          </cell>
          <cell r="G800">
            <v>28</v>
          </cell>
        </row>
        <row r="801">
          <cell r="A801">
            <v>800</v>
          </cell>
          <cell r="B801" t="str">
            <v>Wilfried Gnonto</v>
          </cell>
          <cell r="C801" t="str">
            <v>Leeds United</v>
          </cell>
          <cell r="D801" t="str">
            <v>Italia</v>
          </cell>
          <cell r="E801" t="str">
            <v>ED</v>
          </cell>
          <cell r="F801">
            <v>75</v>
          </cell>
          <cell r="G801">
            <v>22</v>
          </cell>
        </row>
        <row r="802">
          <cell r="A802">
            <v>801</v>
          </cell>
          <cell r="B802" t="str">
            <v>A. Mac Allister</v>
          </cell>
          <cell r="C802" t="str">
            <v>Liverpool FC</v>
          </cell>
          <cell r="D802" t="str">
            <v>Argentina</v>
          </cell>
          <cell r="E802" t="str">
            <v>MC</v>
          </cell>
          <cell r="F802">
            <v>86</v>
          </cell>
          <cell r="G802">
            <v>27</v>
          </cell>
        </row>
        <row r="803">
          <cell r="A803">
            <v>802</v>
          </cell>
          <cell r="B803" t="str">
            <v>A. Robertson</v>
          </cell>
          <cell r="C803" t="str">
            <v>Liverpool FC</v>
          </cell>
          <cell r="D803" t="str">
            <v>Escocia</v>
          </cell>
          <cell r="E803" t="str">
            <v>LI</v>
          </cell>
          <cell r="F803">
            <v>84</v>
          </cell>
          <cell r="G803">
            <v>31</v>
          </cell>
        </row>
        <row r="804">
          <cell r="A804">
            <v>803</v>
          </cell>
          <cell r="B804" t="str">
            <v>Alexander Isak</v>
          </cell>
          <cell r="C804" t="str">
            <v>Liverpool FC</v>
          </cell>
          <cell r="D804" t="str">
            <v>Suecia</v>
          </cell>
          <cell r="E804" t="str">
            <v>DC</v>
          </cell>
          <cell r="F804">
            <v>86</v>
          </cell>
          <cell r="G804">
            <v>26</v>
          </cell>
        </row>
        <row r="805">
          <cell r="A805">
            <v>804</v>
          </cell>
          <cell r="B805" t="str">
            <v>Alisson Becker</v>
          </cell>
          <cell r="C805" t="str">
            <v>Liverpool FC</v>
          </cell>
          <cell r="D805" t="str">
            <v>Brasil</v>
          </cell>
          <cell r="E805" t="str">
            <v>PO</v>
          </cell>
          <cell r="F805">
            <v>89</v>
          </cell>
          <cell r="G805">
            <v>33</v>
          </cell>
        </row>
        <row r="806">
          <cell r="A806">
            <v>805</v>
          </cell>
          <cell r="B806" t="str">
            <v>Cody Gakpo</v>
          </cell>
          <cell r="C806" t="str">
            <v>Liverpool FC</v>
          </cell>
          <cell r="D806" t="str">
            <v>Países Bajos</v>
          </cell>
          <cell r="E806" t="str">
            <v>EI</v>
          </cell>
          <cell r="F806">
            <v>83</v>
          </cell>
          <cell r="G806">
            <v>26</v>
          </cell>
        </row>
        <row r="807">
          <cell r="A807">
            <v>806</v>
          </cell>
          <cell r="B807" t="str">
            <v>Conor Bradley</v>
          </cell>
          <cell r="C807" t="str">
            <v>Liverpool FC</v>
          </cell>
          <cell r="D807" t="str">
            <v>Irlanda del Norte</v>
          </cell>
          <cell r="E807" t="str">
            <v>LD</v>
          </cell>
          <cell r="F807">
            <v>75</v>
          </cell>
          <cell r="G807">
            <v>22</v>
          </cell>
        </row>
        <row r="808">
          <cell r="A808">
            <v>807</v>
          </cell>
          <cell r="B808" t="str">
            <v>Curtis Jones</v>
          </cell>
          <cell r="C808" t="str">
            <v>Liverpool FC</v>
          </cell>
          <cell r="D808" t="str">
            <v>Inglaterra</v>
          </cell>
          <cell r="E808" t="str">
            <v>MC</v>
          </cell>
          <cell r="F808">
            <v>79</v>
          </cell>
          <cell r="G808">
            <v>24</v>
          </cell>
        </row>
        <row r="809">
          <cell r="A809">
            <v>808</v>
          </cell>
          <cell r="B809" t="str">
            <v>D. Szoboszlai</v>
          </cell>
          <cell r="C809" t="str">
            <v>Liverpool FC</v>
          </cell>
          <cell r="D809" t="str">
            <v>Hungría</v>
          </cell>
          <cell r="E809" t="str">
            <v>MO</v>
          </cell>
          <cell r="F809">
            <v>83</v>
          </cell>
          <cell r="G809">
            <v>25</v>
          </cell>
        </row>
        <row r="810">
          <cell r="A810">
            <v>809</v>
          </cell>
          <cell r="B810" t="str">
            <v>Federico Chiesa</v>
          </cell>
          <cell r="C810" t="str">
            <v>Liverpool FC</v>
          </cell>
          <cell r="D810" t="str">
            <v>Italia</v>
          </cell>
          <cell r="E810" t="str">
            <v>ED</v>
          </cell>
          <cell r="F810">
            <v>84</v>
          </cell>
          <cell r="G810">
            <v>28</v>
          </cell>
        </row>
        <row r="811">
          <cell r="A811">
            <v>810</v>
          </cell>
          <cell r="B811" t="str">
            <v>Florian Wirtz</v>
          </cell>
          <cell r="C811" t="str">
            <v>Liverpool FC</v>
          </cell>
          <cell r="D811" t="str">
            <v>Alemania</v>
          </cell>
          <cell r="E811" t="str">
            <v>MO</v>
          </cell>
          <cell r="F811">
            <v>87</v>
          </cell>
          <cell r="G811">
            <v>22</v>
          </cell>
        </row>
        <row r="812">
          <cell r="A812">
            <v>811</v>
          </cell>
          <cell r="B812" t="str">
            <v>Freddie Woodman</v>
          </cell>
          <cell r="C812" t="str">
            <v>Liverpool FC</v>
          </cell>
          <cell r="D812" t="str">
            <v>Inglaterra</v>
          </cell>
          <cell r="E812" t="str">
            <v>PO</v>
          </cell>
          <cell r="F812">
            <v>72</v>
          </cell>
          <cell r="G812">
            <v>28</v>
          </cell>
        </row>
        <row r="813">
          <cell r="A813">
            <v>812</v>
          </cell>
          <cell r="B813" t="str">
            <v>G. Mamardashvili</v>
          </cell>
          <cell r="C813" t="str">
            <v>Liverpool FC</v>
          </cell>
          <cell r="D813" t="str">
            <v>Georgia</v>
          </cell>
          <cell r="E813" t="str">
            <v>PO</v>
          </cell>
          <cell r="F813">
            <v>85</v>
          </cell>
          <cell r="G813">
            <v>25</v>
          </cell>
        </row>
        <row r="814">
          <cell r="A814">
            <v>813</v>
          </cell>
          <cell r="B814" t="str">
            <v>Giovanni Leoni</v>
          </cell>
          <cell r="C814" t="str">
            <v>Liverpool FC</v>
          </cell>
          <cell r="D814" t="str">
            <v>Italia</v>
          </cell>
          <cell r="E814" t="str">
            <v>CT</v>
          </cell>
          <cell r="F814">
            <v>66</v>
          </cell>
          <cell r="G814">
            <v>19</v>
          </cell>
        </row>
        <row r="815">
          <cell r="A815">
            <v>814</v>
          </cell>
          <cell r="B815" t="str">
            <v>Hugo Ekitiké</v>
          </cell>
          <cell r="C815" t="str">
            <v>Liverpool FC</v>
          </cell>
          <cell r="D815" t="str">
            <v>Francia</v>
          </cell>
          <cell r="E815" t="str">
            <v>DC</v>
          </cell>
          <cell r="F815">
            <v>79</v>
          </cell>
          <cell r="G815">
            <v>23</v>
          </cell>
        </row>
        <row r="816">
          <cell r="A816">
            <v>815</v>
          </cell>
          <cell r="B816" t="str">
            <v>Ibrahima Konaté</v>
          </cell>
          <cell r="C816" t="str">
            <v>Liverpool FC</v>
          </cell>
          <cell r="D816" t="str">
            <v>Francia</v>
          </cell>
          <cell r="E816" t="str">
            <v>CT</v>
          </cell>
          <cell r="F816">
            <v>84</v>
          </cell>
          <cell r="G816">
            <v>26</v>
          </cell>
        </row>
        <row r="817">
          <cell r="A817">
            <v>816</v>
          </cell>
          <cell r="B817" t="str">
            <v>Jayden Danns</v>
          </cell>
          <cell r="C817" t="str">
            <v>Liverpool FC</v>
          </cell>
          <cell r="D817" t="str">
            <v>Inglaterra</v>
          </cell>
          <cell r="E817" t="str">
            <v>DC</v>
          </cell>
          <cell r="F817">
            <v>65</v>
          </cell>
          <cell r="G817">
            <v>19</v>
          </cell>
        </row>
        <row r="818">
          <cell r="A818">
            <v>817</v>
          </cell>
          <cell r="B818" t="str">
            <v>Jeremie Frimpong</v>
          </cell>
          <cell r="C818" t="str">
            <v>Liverpool FC</v>
          </cell>
          <cell r="D818" t="str">
            <v>Países Bajos</v>
          </cell>
          <cell r="E818" t="str">
            <v>LD</v>
          </cell>
          <cell r="F818">
            <v>87</v>
          </cell>
          <cell r="G818">
            <v>25</v>
          </cell>
        </row>
        <row r="819">
          <cell r="A819">
            <v>818</v>
          </cell>
          <cell r="B819" t="str">
            <v>Joe Gomez</v>
          </cell>
          <cell r="C819" t="str">
            <v>Liverpool FC</v>
          </cell>
          <cell r="D819" t="str">
            <v>Inglaterra</v>
          </cell>
          <cell r="E819" t="str">
            <v>CT</v>
          </cell>
          <cell r="F819">
            <v>80</v>
          </cell>
          <cell r="G819">
            <v>28</v>
          </cell>
        </row>
        <row r="820">
          <cell r="A820">
            <v>819</v>
          </cell>
          <cell r="B820" t="str">
            <v>Milos Kerkez</v>
          </cell>
          <cell r="C820" t="str">
            <v>Liverpool FC</v>
          </cell>
          <cell r="D820" t="str">
            <v>Hungría</v>
          </cell>
          <cell r="E820" t="str">
            <v>LI</v>
          </cell>
          <cell r="F820">
            <v>81</v>
          </cell>
          <cell r="G820">
            <v>22</v>
          </cell>
        </row>
        <row r="821">
          <cell r="A821">
            <v>820</v>
          </cell>
          <cell r="B821" t="str">
            <v>Mohamed Salah</v>
          </cell>
          <cell r="C821" t="str">
            <v>Liverpool FC</v>
          </cell>
          <cell r="D821" t="str">
            <v>Egipto</v>
          </cell>
          <cell r="E821" t="str">
            <v>ED</v>
          </cell>
          <cell r="F821">
            <v>89</v>
          </cell>
          <cell r="G821">
            <v>33</v>
          </cell>
        </row>
        <row r="822">
          <cell r="A822">
            <v>821</v>
          </cell>
          <cell r="B822" t="str">
            <v>R. Gravenberch</v>
          </cell>
          <cell r="C822" t="str">
            <v>Liverpool FC</v>
          </cell>
          <cell r="D822" t="str">
            <v>Países Bajos</v>
          </cell>
          <cell r="E822" t="str">
            <v>MCD</v>
          </cell>
          <cell r="F822">
            <v>82</v>
          </cell>
          <cell r="G822">
            <v>23</v>
          </cell>
        </row>
        <row r="823">
          <cell r="A823">
            <v>822</v>
          </cell>
          <cell r="B823" t="str">
            <v>Rhys Williams</v>
          </cell>
          <cell r="C823" t="str">
            <v>Liverpool FC</v>
          </cell>
          <cell r="D823" t="str">
            <v>Inglaterra</v>
          </cell>
          <cell r="E823" t="str">
            <v>CT</v>
          </cell>
          <cell r="F823">
            <v>69</v>
          </cell>
          <cell r="G823">
            <v>24</v>
          </cell>
        </row>
        <row r="824">
          <cell r="A824">
            <v>823</v>
          </cell>
          <cell r="B824" t="str">
            <v>Stefan Bajcetic</v>
          </cell>
          <cell r="C824" t="str">
            <v>Liverpool FC</v>
          </cell>
          <cell r="D824" t="str">
            <v>España</v>
          </cell>
          <cell r="E824" t="str">
            <v>MCD</v>
          </cell>
          <cell r="F824">
            <v>73</v>
          </cell>
          <cell r="G824">
            <v>21</v>
          </cell>
        </row>
        <row r="825">
          <cell r="A825">
            <v>824</v>
          </cell>
          <cell r="B825" t="str">
            <v>Trey Nyoni</v>
          </cell>
          <cell r="C825" t="str">
            <v>Liverpool FC</v>
          </cell>
          <cell r="D825" t="str">
            <v>Inglaterra</v>
          </cell>
          <cell r="E825" t="str">
            <v>MC</v>
          </cell>
          <cell r="F825">
            <v>60</v>
          </cell>
          <cell r="G825">
            <v>18</v>
          </cell>
        </row>
        <row r="826">
          <cell r="A826">
            <v>825</v>
          </cell>
          <cell r="B826" t="str">
            <v>Virgil van Dijk</v>
          </cell>
          <cell r="C826" t="str">
            <v>Liverpool FC</v>
          </cell>
          <cell r="D826" t="str">
            <v>Países Bajos</v>
          </cell>
          <cell r="E826" t="str">
            <v>CT</v>
          </cell>
          <cell r="F826">
            <v>89</v>
          </cell>
          <cell r="G826">
            <v>34</v>
          </cell>
        </row>
        <row r="827">
          <cell r="A827">
            <v>826</v>
          </cell>
          <cell r="B827" t="str">
            <v>Wataru Endo</v>
          </cell>
          <cell r="C827" t="str">
            <v>Liverpool FC</v>
          </cell>
          <cell r="D827" t="str">
            <v>Japón</v>
          </cell>
          <cell r="E827" t="str">
            <v>MCD</v>
          </cell>
          <cell r="F827">
            <v>80</v>
          </cell>
          <cell r="G827">
            <v>32</v>
          </cell>
        </row>
        <row r="828">
          <cell r="A828">
            <v>827</v>
          </cell>
          <cell r="B828" t="str">
            <v>A. Khusanov</v>
          </cell>
          <cell r="C828" t="str">
            <v>Manchester City</v>
          </cell>
          <cell r="D828" t="str">
            <v>Uzbekistán</v>
          </cell>
          <cell r="E828" t="str">
            <v>CT</v>
          </cell>
          <cell r="F828">
            <v>77</v>
          </cell>
          <cell r="G828">
            <v>21</v>
          </cell>
        </row>
        <row r="829">
          <cell r="A829">
            <v>828</v>
          </cell>
          <cell r="B829" t="str">
            <v>Bernardo Silva</v>
          </cell>
          <cell r="C829" t="str">
            <v>Manchester City</v>
          </cell>
          <cell r="D829" t="str">
            <v>Portugal</v>
          </cell>
          <cell r="E829" t="str">
            <v>MO</v>
          </cell>
          <cell r="F829">
            <v>85</v>
          </cell>
          <cell r="G829">
            <v>31</v>
          </cell>
        </row>
        <row r="830">
          <cell r="A830">
            <v>829</v>
          </cell>
          <cell r="B830" t="str">
            <v>Erling Haaland</v>
          </cell>
          <cell r="C830" t="str">
            <v>Manchester City</v>
          </cell>
          <cell r="D830" t="str">
            <v>Noruega</v>
          </cell>
          <cell r="E830" t="str">
            <v>DC</v>
          </cell>
          <cell r="F830">
            <v>90</v>
          </cell>
          <cell r="G830">
            <v>25</v>
          </cell>
        </row>
        <row r="831">
          <cell r="A831">
            <v>830</v>
          </cell>
          <cell r="B831" t="str">
            <v>G. Donnarumma</v>
          </cell>
          <cell r="C831" t="str">
            <v>Manchester City</v>
          </cell>
          <cell r="D831" t="str">
            <v>Italia</v>
          </cell>
          <cell r="E831" t="str">
            <v>PO</v>
          </cell>
          <cell r="F831">
            <v>88</v>
          </cell>
          <cell r="G831">
            <v>26</v>
          </cell>
        </row>
        <row r="832">
          <cell r="A832">
            <v>831</v>
          </cell>
          <cell r="B832" t="str">
            <v>J. Simpson-Pusey</v>
          </cell>
          <cell r="C832" t="str">
            <v>Manchester City</v>
          </cell>
          <cell r="D832" t="str">
            <v>Inglaterra</v>
          </cell>
          <cell r="E832" t="str">
            <v>CT</v>
          </cell>
          <cell r="F832">
            <v>66</v>
          </cell>
          <cell r="G832">
            <v>20</v>
          </cell>
        </row>
        <row r="833">
          <cell r="A833">
            <v>832</v>
          </cell>
          <cell r="B833" t="str">
            <v>James Trafford</v>
          </cell>
          <cell r="C833" t="str">
            <v>Manchester City</v>
          </cell>
          <cell r="D833" t="str">
            <v>Inglaterra</v>
          </cell>
          <cell r="E833" t="str">
            <v>PO</v>
          </cell>
          <cell r="F833">
            <v>75</v>
          </cell>
          <cell r="G833">
            <v>23</v>
          </cell>
        </row>
        <row r="834">
          <cell r="A834">
            <v>833</v>
          </cell>
          <cell r="B834" t="str">
            <v>Jérémy Doku</v>
          </cell>
          <cell r="C834" t="str">
            <v>Manchester City</v>
          </cell>
          <cell r="D834" t="str">
            <v>Bélgica</v>
          </cell>
          <cell r="E834" t="str">
            <v>EI</v>
          </cell>
          <cell r="F834">
            <v>81</v>
          </cell>
          <cell r="G834">
            <v>23</v>
          </cell>
        </row>
        <row r="835">
          <cell r="A835">
            <v>834</v>
          </cell>
          <cell r="B835" t="str">
            <v>John Stones</v>
          </cell>
          <cell r="C835" t="str">
            <v>Manchester City</v>
          </cell>
          <cell r="D835" t="str">
            <v>Inglaterra</v>
          </cell>
          <cell r="E835" t="str">
            <v>CT</v>
          </cell>
          <cell r="F835">
            <v>84</v>
          </cell>
          <cell r="G835">
            <v>31</v>
          </cell>
        </row>
        <row r="836">
          <cell r="A836">
            <v>835</v>
          </cell>
          <cell r="B836" t="str">
            <v>Josko Gvardiol</v>
          </cell>
          <cell r="C836" t="str">
            <v>Manchester City</v>
          </cell>
          <cell r="D836" t="str">
            <v>Croacia</v>
          </cell>
          <cell r="E836" t="str">
            <v>CT</v>
          </cell>
          <cell r="F836">
            <v>84</v>
          </cell>
          <cell r="G836">
            <v>23</v>
          </cell>
        </row>
        <row r="837">
          <cell r="A837">
            <v>836</v>
          </cell>
          <cell r="B837" t="str">
            <v>Kalvin Phillips</v>
          </cell>
          <cell r="C837" t="str">
            <v>Manchester City</v>
          </cell>
          <cell r="D837" t="str">
            <v>Inglaterra</v>
          </cell>
          <cell r="E837" t="str">
            <v>MCD</v>
          </cell>
          <cell r="F837">
            <v>78</v>
          </cell>
          <cell r="G837">
            <v>30</v>
          </cell>
        </row>
        <row r="838">
          <cell r="A838">
            <v>837</v>
          </cell>
          <cell r="B838" t="str">
            <v>M. Susoho</v>
          </cell>
          <cell r="C838" t="str">
            <v>Manchester City</v>
          </cell>
          <cell r="D838" t="str">
            <v>España</v>
          </cell>
          <cell r="E838" t="str">
            <v>MCD</v>
          </cell>
          <cell r="F838">
            <v>62</v>
          </cell>
          <cell r="G838">
            <v>20</v>
          </cell>
        </row>
        <row r="839">
          <cell r="A839">
            <v>838</v>
          </cell>
          <cell r="B839" t="str">
            <v>Marcus Bettinelli</v>
          </cell>
          <cell r="C839" t="str">
            <v>Manchester City</v>
          </cell>
          <cell r="D839" t="str">
            <v>Inglaterra</v>
          </cell>
          <cell r="E839" t="str">
            <v>PO</v>
          </cell>
          <cell r="F839">
            <v>71</v>
          </cell>
          <cell r="G839">
            <v>33</v>
          </cell>
        </row>
        <row r="840">
          <cell r="A840">
            <v>839</v>
          </cell>
          <cell r="B840" t="str">
            <v>Mateo Kovacic</v>
          </cell>
          <cell r="C840" t="str">
            <v>Manchester City</v>
          </cell>
          <cell r="D840" t="str">
            <v>Croacia</v>
          </cell>
          <cell r="E840" t="str">
            <v>MC</v>
          </cell>
          <cell r="F840">
            <v>83</v>
          </cell>
          <cell r="G840">
            <v>31</v>
          </cell>
        </row>
        <row r="841">
          <cell r="A841">
            <v>840</v>
          </cell>
          <cell r="B841" t="str">
            <v>Matheus Nunes</v>
          </cell>
          <cell r="C841" t="str">
            <v>Manchester City</v>
          </cell>
          <cell r="D841" t="str">
            <v>Portugal</v>
          </cell>
          <cell r="E841" t="str">
            <v>LD</v>
          </cell>
          <cell r="F841">
            <v>78</v>
          </cell>
          <cell r="G841">
            <v>27</v>
          </cell>
        </row>
        <row r="842">
          <cell r="A842">
            <v>841</v>
          </cell>
          <cell r="B842" t="str">
            <v>Nathan Aké</v>
          </cell>
          <cell r="C842" t="str">
            <v>Manchester City</v>
          </cell>
          <cell r="D842" t="str">
            <v>Países Bajos</v>
          </cell>
          <cell r="E842" t="str">
            <v>CT</v>
          </cell>
          <cell r="F842">
            <v>84</v>
          </cell>
          <cell r="G842">
            <v>30</v>
          </cell>
        </row>
        <row r="843">
          <cell r="A843">
            <v>842</v>
          </cell>
          <cell r="B843" t="str">
            <v>Nico González I.</v>
          </cell>
          <cell r="C843" t="str">
            <v>Manchester City</v>
          </cell>
          <cell r="D843" t="str">
            <v>España</v>
          </cell>
          <cell r="E843" t="str">
            <v>MCD</v>
          </cell>
          <cell r="F843">
            <v>80</v>
          </cell>
          <cell r="G843">
            <v>23</v>
          </cell>
        </row>
        <row r="844">
          <cell r="A844">
            <v>843</v>
          </cell>
          <cell r="B844" t="str">
            <v>Nico O'Reilly</v>
          </cell>
          <cell r="C844" t="str">
            <v>Manchester City</v>
          </cell>
          <cell r="D844" t="str">
            <v>Inglaterra</v>
          </cell>
          <cell r="E844" t="str">
            <v>LI</v>
          </cell>
          <cell r="F844">
            <v>62</v>
          </cell>
          <cell r="G844">
            <v>20</v>
          </cell>
        </row>
        <row r="845">
          <cell r="A845">
            <v>844</v>
          </cell>
          <cell r="B845" t="str">
            <v>Omar Marmoush</v>
          </cell>
          <cell r="C845" t="str">
            <v>Manchester City</v>
          </cell>
          <cell r="D845" t="str">
            <v>Egipto</v>
          </cell>
          <cell r="E845" t="str">
            <v>DC</v>
          </cell>
          <cell r="F845">
            <v>84</v>
          </cell>
          <cell r="G845">
            <v>26</v>
          </cell>
        </row>
        <row r="846">
          <cell r="A846">
            <v>845</v>
          </cell>
          <cell r="B846" t="str">
            <v>Oscar Bobb</v>
          </cell>
          <cell r="C846" t="str">
            <v>Manchester City</v>
          </cell>
          <cell r="D846" t="str">
            <v>Noruega</v>
          </cell>
          <cell r="E846" t="str">
            <v>ED</v>
          </cell>
          <cell r="F846">
            <v>73</v>
          </cell>
          <cell r="G846">
            <v>22</v>
          </cell>
        </row>
        <row r="847">
          <cell r="A847">
            <v>846</v>
          </cell>
          <cell r="B847" t="str">
            <v>Phil Foden</v>
          </cell>
          <cell r="C847" t="str">
            <v>Manchester City</v>
          </cell>
          <cell r="D847" t="str">
            <v>Inglaterra</v>
          </cell>
          <cell r="E847" t="str">
            <v>MO</v>
          </cell>
          <cell r="F847">
            <v>86</v>
          </cell>
          <cell r="G847">
            <v>25</v>
          </cell>
        </row>
        <row r="848">
          <cell r="A848">
            <v>847</v>
          </cell>
          <cell r="B848" t="str">
            <v>Rayan Aït-Nouri</v>
          </cell>
          <cell r="C848" t="str">
            <v>Manchester City</v>
          </cell>
          <cell r="D848" t="str">
            <v>Argelia</v>
          </cell>
          <cell r="E848" t="str">
            <v>LI</v>
          </cell>
          <cell r="F848">
            <v>79</v>
          </cell>
          <cell r="G848">
            <v>24</v>
          </cell>
        </row>
        <row r="849">
          <cell r="A849">
            <v>848</v>
          </cell>
          <cell r="B849" t="str">
            <v>Rayan Cherki</v>
          </cell>
          <cell r="C849" t="str">
            <v>Manchester City</v>
          </cell>
          <cell r="D849" t="str">
            <v>Francia</v>
          </cell>
          <cell r="E849" t="str">
            <v>MO</v>
          </cell>
          <cell r="F849">
            <v>80</v>
          </cell>
          <cell r="G849">
            <v>22</v>
          </cell>
        </row>
        <row r="850">
          <cell r="A850">
            <v>849</v>
          </cell>
          <cell r="B850" t="str">
            <v>Rico Lewis</v>
          </cell>
          <cell r="C850" t="str">
            <v>Manchester City</v>
          </cell>
          <cell r="D850" t="str">
            <v>Inglaterra</v>
          </cell>
          <cell r="E850" t="str">
            <v>LD</v>
          </cell>
          <cell r="F850">
            <v>78</v>
          </cell>
          <cell r="G850">
            <v>21</v>
          </cell>
        </row>
        <row r="851">
          <cell r="A851">
            <v>850</v>
          </cell>
          <cell r="B851" t="str">
            <v>Rodri Hernández</v>
          </cell>
          <cell r="C851" t="str">
            <v>Manchester City</v>
          </cell>
          <cell r="D851" t="str">
            <v>España</v>
          </cell>
          <cell r="E851" t="str">
            <v>MCD</v>
          </cell>
          <cell r="F851">
            <v>91</v>
          </cell>
          <cell r="G851">
            <v>29</v>
          </cell>
        </row>
        <row r="852">
          <cell r="A852">
            <v>851</v>
          </cell>
          <cell r="B852" t="str">
            <v>Rúben Dias</v>
          </cell>
          <cell r="C852" t="str">
            <v>Manchester City</v>
          </cell>
          <cell r="D852" t="str">
            <v>Portugal</v>
          </cell>
          <cell r="E852" t="str">
            <v>CT</v>
          </cell>
          <cell r="F852">
            <v>87</v>
          </cell>
          <cell r="G852">
            <v>28</v>
          </cell>
        </row>
        <row r="853">
          <cell r="A853">
            <v>852</v>
          </cell>
          <cell r="B853" t="str">
            <v>Savinho</v>
          </cell>
          <cell r="C853" t="str">
            <v>Manchester City</v>
          </cell>
          <cell r="D853" t="str">
            <v>Brasil</v>
          </cell>
          <cell r="E853" t="str">
            <v>EI</v>
          </cell>
          <cell r="F853">
            <v>82</v>
          </cell>
          <cell r="G853">
            <v>21</v>
          </cell>
        </row>
        <row r="854">
          <cell r="A854">
            <v>853</v>
          </cell>
          <cell r="B854" t="str">
            <v>Stefan Ortega</v>
          </cell>
          <cell r="C854" t="str">
            <v>Manchester City</v>
          </cell>
          <cell r="D854" t="str">
            <v>Alemania</v>
          </cell>
          <cell r="E854" t="str">
            <v>PO</v>
          </cell>
          <cell r="F854">
            <v>81</v>
          </cell>
          <cell r="G854">
            <v>33</v>
          </cell>
        </row>
        <row r="855">
          <cell r="A855">
            <v>854</v>
          </cell>
          <cell r="B855" t="str">
            <v>Tijjani Reijnders</v>
          </cell>
          <cell r="C855" t="str">
            <v>Manchester City</v>
          </cell>
          <cell r="D855" t="str">
            <v>Países Bajos</v>
          </cell>
          <cell r="E855" t="str">
            <v>MC</v>
          </cell>
          <cell r="F855">
            <v>83</v>
          </cell>
          <cell r="G855">
            <v>27</v>
          </cell>
        </row>
        <row r="856">
          <cell r="A856">
            <v>855</v>
          </cell>
          <cell r="B856" t="str">
            <v>Altay Bayındır</v>
          </cell>
          <cell r="C856" t="str">
            <v>Manchester United</v>
          </cell>
          <cell r="D856" t="str">
            <v>Turquía</v>
          </cell>
          <cell r="E856" t="str">
            <v>PO</v>
          </cell>
          <cell r="F856">
            <v>77</v>
          </cell>
          <cell r="G856">
            <v>27</v>
          </cell>
        </row>
        <row r="857">
          <cell r="A857">
            <v>856</v>
          </cell>
          <cell r="B857" t="str">
            <v>Amad Diallo</v>
          </cell>
          <cell r="C857" t="str">
            <v>Manchester United</v>
          </cell>
          <cell r="D857" t="str">
            <v>Costa de Marfil</v>
          </cell>
          <cell r="E857" t="str">
            <v>ED</v>
          </cell>
          <cell r="F857">
            <v>78</v>
          </cell>
          <cell r="G857">
            <v>23</v>
          </cell>
        </row>
        <row r="858">
          <cell r="A858">
            <v>857</v>
          </cell>
          <cell r="B858" t="str">
            <v>Ayden Heaven</v>
          </cell>
          <cell r="C858" t="str">
            <v>Manchester United</v>
          </cell>
          <cell r="D858" t="str">
            <v>Inglaterra</v>
          </cell>
          <cell r="E858" t="str">
            <v>CT</v>
          </cell>
          <cell r="F858">
            <v>67</v>
          </cell>
          <cell r="G858">
            <v>19</v>
          </cell>
        </row>
        <row r="859">
          <cell r="A859">
            <v>858</v>
          </cell>
          <cell r="B859" t="str">
            <v>Benjamin Sesko</v>
          </cell>
          <cell r="C859" t="str">
            <v>Manchester United</v>
          </cell>
          <cell r="D859" t="str">
            <v>Eslovenia</v>
          </cell>
          <cell r="E859" t="str">
            <v>DC</v>
          </cell>
          <cell r="F859">
            <v>81</v>
          </cell>
          <cell r="G859">
            <v>22</v>
          </cell>
        </row>
        <row r="860">
          <cell r="A860">
            <v>859</v>
          </cell>
          <cell r="B860" t="str">
            <v>Bruno Fernandes</v>
          </cell>
          <cell r="C860" t="str">
            <v>Manchester United</v>
          </cell>
          <cell r="D860" t="str">
            <v>Portugal</v>
          </cell>
          <cell r="E860" t="str">
            <v>MO</v>
          </cell>
          <cell r="F860">
            <v>87</v>
          </cell>
          <cell r="G860">
            <v>31</v>
          </cell>
        </row>
        <row r="861">
          <cell r="A861">
            <v>860</v>
          </cell>
          <cell r="B861" t="str">
            <v>Bryan Mbeumo</v>
          </cell>
          <cell r="C861" t="str">
            <v>Manchester United</v>
          </cell>
          <cell r="D861" t="str">
            <v>Camerún</v>
          </cell>
          <cell r="E861" t="str">
            <v>ED</v>
          </cell>
          <cell r="F861">
            <v>82</v>
          </cell>
          <cell r="G861">
            <v>26</v>
          </cell>
        </row>
        <row r="862">
          <cell r="A862">
            <v>861</v>
          </cell>
          <cell r="B862" t="str">
            <v>Casemiro</v>
          </cell>
          <cell r="C862" t="str">
            <v>Manchester United</v>
          </cell>
          <cell r="D862" t="str">
            <v>Brasil</v>
          </cell>
          <cell r="E862" t="str">
            <v>MCD</v>
          </cell>
          <cell r="F862">
            <v>83</v>
          </cell>
          <cell r="G862">
            <v>33</v>
          </cell>
        </row>
        <row r="863">
          <cell r="A863">
            <v>862</v>
          </cell>
          <cell r="B863" t="str">
            <v>Chido Obi</v>
          </cell>
          <cell r="C863" t="str">
            <v>Manchester United</v>
          </cell>
          <cell r="D863" t="str">
            <v>Dinamarca</v>
          </cell>
          <cell r="E863" t="str">
            <v>DC</v>
          </cell>
          <cell r="F863">
            <v>67</v>
          </cell>
          <cell r="G863">
            <v>18</v>
          </cell>
        </row>
        <row r="864">
          <cell r="A864">
            <v>863</v>
          </cell>
          <cell r="B864" t="str">
            <v>Diego León</v>
          </cell>
          <cell r="C864" t="str">
            <v>Manchester United</v>
          </cell>
          <cell r="D864" t="str">
            <v>Paraguay</v>
          </cell>
          <cell r="E864" t="str">
            <v>LI</v>
          </cell>
          <cell r="F864">
            <v>65</v>
          </cell>
          <cell r="G864">
            <v>18</v>
          </cell>
        </row>
        <row r="865">
          <cell r="A865">
            <v>864</v>
          </cell>
          <cell r="B865" t="str">
            <v>Diogo Dalot</v>
          </cell>
          <cell r="C865" t="str">
            <v>Manchester United</v>
          </cell>
          <cell r="D865" t="str">
            <v>Portugal</v>
          </cell>
          <cell r="E865" t="str">
            <v>LD</v>
          </cell>
          <cell r="F865">
            <v>82</v>
          </cell>
          <cell r="G865">
            <v>26</v>
          </cell>
        </row>
        <row r="866">
          <cell r="A866">
            <v>865</v>
          </cell>
          <cell r="B866" t="str">
            <v>Ethan Wheatley</v>
          </cell>
          <cell r="C866" t="str">
            <v>Manchester United</v>
          </cell>
          <cell r="D866" t="str">
            <v>Inglaterra</v>
          </cell>
          <cell r="E866" t="str">
            <v>DC</v>
          </cell>
          <cell r="F866">
            <v>64</v>
          </cell>
          <cell r="G866">
            <v>19</v>
          </cell>
        </row>
        <row r="867">
          <cell r="A867">
            <v>866</v>
          </cell>
          <cell r="B867" t="str">
            <v>Harry Maguire</v>
          </cell>
          <cell r="C867" t="str">
            <v>Manchester United</v>
          </cell>
          <cell r="D867" t="str">
            <v>Inglaterra</v>
          </cell>
          <cell r="E867" t="str">
            <v>CT</v>
          </cell>
          <cell r="F867">
            <v>80</v>
          </cell>
          <cell r="G867">
            <v>32</v>
          </cell>
        </row>
        <row r="868">
          <cell r="A868">
            <v>867</v>
          </cell>
          <cell r="B868" t="str">
            <v>Joshua Zirkzee</v>
          </cell>
          <cell r="C868" t="str">
            <v>Manchester United</v>
          </cell>
          <cell r="D868" t="str">
            <v>Países Bajos</v>
          </cell>
          <cell r="E868" t="str">
            <v>DC</v>
          </cell>
          <cell r="F868">
            <v>79</v>
          </cell>
          <cell r="G868">
            <v>24</v>
          </cell>
        </row>
        <row r="869">
          <cell r="A869">
            <v>868</v>
          </cell>
          <cell r="B869" t="str">
            <v>Kobbie Mainoo</v>
          </cell>
          <cell r="C869" t="str">
            <v>Manchester United</v>
          </cell>
          <cell r="D869" t="str">
            <v>Inglaterra</v>
          </cell>
          <cell r="E869" t="str">
            <v>MC</v>
          </cell>
          <cell r="F869">
            <v>78</v>
          </cell>
          <cell r="G869">
            <v>20</v>
          </cell>
        </row>
        <row r="870">
          <cell r="A870">
            <v>869</v>
          </cell>
          <cell r="B870" t="str">
            <v>Leny Yoro</v>
          </cell>
          <cell r="C870" t="str">
            <v>Manchester United</v>
          </cell>
          <cell r="D870" t="str">
            <v>Francia</v>
          </cell>
          <cell r="E870" t="str">
            <v>CT</v>
          </cell>
          <cell r="F870">
            <v>79</v>
          </cell>
          <cell r="G870">
            <v>20</v>
          </cell>
        </row>
        <row r="871">
          <cell r="A871">
            <v>870</v>
          </cell>
          <cell r="B871" t="str">
            <v>Lisandro Martínez</v>
          </cell>
          <cell r="C871" t="str">
            <v>Manchester United</v>
          </cell>
          <cell r="D871" t="str">
            <v>Argentina</v>
          </cell>
          <cell r="E871" t="str">
            <v>CT</v>
          </cell>
          <cell r="F871">
            <v>84</v>
          </cell>
          <cell r="G871">
            <v>27</v>
          </cell>
        </row>
        <row r="872">
          <cell r="A872">
            <v>871</v>
          </cell>
          <cell r="B872" t="str">
            <v>Louis Jackson</v>
          </cell>
          <cell r="C872" t="str">
            <v>Manchester United</v>
          </cell>
          <cell r="D872" t="str">
            <v>Escocia</v>
          </cell>
          <cell r="E872" t="str">
            <v>CT</v>
          </cell>
          <cell r="F872">
            <v>59</v>
          </cell>
          <cell r="G872">
            <v>20</v>
          </cell>
        </row>
        <row r="873">
          <cell r="A873">
            <v>872</v>
          </cell>
          <cell r="B873" t="str">
            <v>Luke Shaw</v>
          </cell>
          <cell r="C873" t="str">
            <v>Manchester United</v>
          </cell>
          <cell r="D873" t="str">
            <v>Inglaterra</v>
          </cell>
          <cell r="E873" t="str">
            <v>LI</v>
          </cell>
          <cell r="F873">
            <v>82</v>
          </cell>
          <cell r="G873">
            <v>30</v>
          </cell>
        </row>
        <row r="874">
          <cell r="A874">
            <v>873</v>
          </cell>
          <cell r="B874" t="str">
            <v>Manuel Ugarte</v>
          </cell>
          <cell r="C874" t="str">
            <v>Manchester United</v>
          </cell>
          <cell r="D874" t="str">
            <v>Uruguay</v>
          </cell>
          <cell r="E874" t="str">
            <v>MCD</v>
          </cell>
          <cell r="F874">
            <v>82</v>
          </cell>
          <cell r="G874">
            <v>24</v>
          </cell>
        </row>
        <row r="875">
          <cell r="A875">
            <v>874</v>
          </cell>
          <cell r="B875" t="str">
            <v>Mason Mount</v>
          </cell>
          <cell r="C875" t="str">
            <v>Manchester United</v>
          </cell>
          <cell r="D875" t="str">
            <v>Inglaterra</v>
          </cell>
          <cell r="E875" t="str">
            <v>MO</v>
          </cell>
          <cell r="F875">
            <v>78</v>
          </cell>
          <cell r="G875">
            <v>26</v>
          </cell>
        </row>
        <row r="876">
          <cell r="A876">
            <v>875</v>
          </cell>
          <cell r="B876" t="str">
            <v>Matheus Cunha</v>
          </cell>
          <cell r="C876" t="str">
            <v>Manchester United</v>
          </cell>
          <cell r="D876" t="str">
            <v>Brasil</v>
          </cell>
          <cell r="E876" t="str">
            <v>DC</v>
          </cell>
          <cell r="F876">
            <v>83</v>
          </cell>
          <cell r="G876">
            <v>26</v>
          </cell>
        </row>
        <row r="877">
          <cell r="A877">
            <v>876</v>
          </cell>
          <cell r="B877" t="str">
            <v>Matthijs de Ligt</v>
          </cell>
          <cell r="C877" t="str">
            <v>Manchester United</v>
          </cell>
          <cell r="D877" t="str">
            <v>Países Bajos</v>
          </cell>
          <cell r="E877" t="str">
            <v>CT</v>
          </cell>
          <cell r="F877">
            <v>84</v>
          </cell>
          <cell r="G877">
            <v>26</v>
          </cell>
        </row>
        <row r="878">
          <cell r="A878">
            <v>877</v>
          </cell>
          <cell r="B878" t="str">
            <v>Noussair Mazraoui</v>
          </cell>
          <cell r="C878" t="str">
            <v>Manchester United</v>
          </cell>
          <cell r="D878" t="str">
            <v>Marruecos</v>
          </cell>
          <cell r="E878" t="str">
            <v>LD</v>
          </cell>
          <cell r="F878">
            <v>81</v>
          </cell>
          <cell r="G878">
            <v>28</v>
          </cell>
        </row>
        <row r="879">
          <cell r="A879">
            <v>878</v>
          </cell>
          <cell r="B879" t="str">
            <v>Patrick Dorgu</v>
          </cell>
          <cell r="C879" t="str">
            <v>Manchester United</v>
          </cell>
          <cell r="D879" t="str">
            <v>Dinamarca</v>
          </cell>
          <cell r="E879" t="str">
            <v>LI</v>
          </cell>
          <cell r="F879">
            <v>77</v>
          </cell>
          <cell r="G879">
            <v>21</v>
          </cell>
        </row>
        <row r="880">
          <cell r="A880">
            <v>879</v>
          </cell>
          <cell r="B880" t="str">
            <v>Senne Lammens</v>
          </cell>
          <cell r="C880" t="str">
            <v>Manchester United</v>
          </cell>
          <cell r="D880" t="str">
            <v>Bélgica</v>
          </cell>
          <cell r="E880" t="str">
            <v>PO</v>
          </cell>
          <cell r="F880">
            <v>76</v>
          </cell>
          <cell r="G880">
            <v>23</v>
          </cell>
        </row>
        <row r="881">
          <cell r="A881">
            <v>880</v>
          </cell>
          <cell r="B881" t="str">
            <v>Tom Heaton</v>
          </cell>
          <cell r="C881" t="str">
            <v>Manchester United</v>
          </cell>
          <cell r="D881" t="str">
            <v>Inglaterra</v>
          </cell>
          <cell r="E881" t="str">
            <v>PO</v>
          </cell>
          <cell r="F881">
            <v>71</v>
          </cell>
          <cell r="G881">
            <v>39</v>
          </cell>
        </row>
        <row r="882">
          <cell r="A882">
            <v>881</v>
          </cell>
          <cell r="B882" t="str">
            <v>Tyler Fredricson</v>
          </cell>
          <cell r="C882" t="str">
            <v>Manchester United</v>
          </cell>
          <cell r="D882" t="str">
            <v>Inglaterra</v>
          </cell>
          <cell r="E882" t="str">
            <v>CT</v>
          </cell>
          <cell r="F882">
            <v>58</v>
          </cell>
          <cell r="G882">
            <v>20</v>
          </cell>
        </row>
        <row r="883">
          <cell r="A883">
            <v>882</v>
          </cell>
          <cell r="B883" t="str">
            <v>Tyrell Malacia</v>
          </cell>
          <cell r="C883" t="str">
            <v>Manchester United</v>
          </cell>
          <cell r="D883" t="str">
            <v>Países Bajos</v>
          </cell>
          <cell r="E883" t="str">
            <v>LI</v>
          </cell>
          <cell r="F883">
            <v>76</v>
          </cell>
          <cell r="G883">
            <v>26</v>
          </cell>
        </row>
        <row r="884">
          <cell r="A884">
            <v>883</v>
          </cell>
          <cell r="B884" t="str">
            <v>Aaron Ramsdale</v>
          </cell>
          <cell r="C884" t="str">
            <v>Newclastle United</v>
          </cell>
          <cell r="D884" t="str">
            <v>Inglaterra</v>
          </cell>
          <cell r="E884" t="str">
            <v>PO</v>
          </cell>
          <cell r="F884">
            <v>81</v>
          </cell>
          <cell r="G884">
            <v>27</v>
          </cell>
        </row>
        <row r="885">
          <cell r="A885">
            <v>884</v>
          </cell>
          <cell r="B885" t="str">
            <v>Alex Murphy</v>
          </cell>
          <cell r="C885" t="str">
            <v>Newclastle United</v>
          </cell>
          <cell r="D885" t="str">
            <v>Irlanda</v>
          </cell>
          <cell r="E885" t="str">
            <v>LI</v>
          </cell>
          <cell r="F885">
            <v>64</v>
          </cell>
          <cell r="G885">
            <v>21</v>
          </cell>
        </row>
        <row r="886">
          <cell r="A886">
            <v>885</v>
          </cell>
          <cell r="B886" t="str">
            <v>Anthony Elanga</v>
          </cell>
          <cell r="C886" t="str">
            <v>Newclastle United</v>
          </cell>
          <cell r="D886" t="str">
            <v>Suecia</v>
          </cell>
          <cell r="E886" t="str">
            <v>ED</v>
          </cell>
          <cell r="F886">
            <v>80</v>
          </cell>
          <cell r="G886">
            <v>23</v>
          </cell>
        </row>
        <row r="887">
          <cell r="A887">
            <v>886</v>
          </cell>
          <cell r="B887" t="str">
            <v>Anthony Gordon</v>
          </cell>
          <cell r="C887" t="str">
            <v>Newclastle United</v>
          </cell>
          <cell r="D887" t="str">
            <v>Inglaterra</v>
          </cell>
          <cell r="E887" t="str">
            <v>EI</v>
          </cell>
          <cell r="F887">
            <v>83</v>
          </cell>
          <cell r="G887">
            <v>24</v>
          </cell>
        </row>
        <row r="888">
          <cell r="A888">
            <v>887</v>
          </cell>
          <cell r="B888" t="str">
            <v>Bruno Guimarães</v>
          </cell>
          <cell r="C888" t="str">
            <v>Newclastle United</v>
          </cell>
          <cell r="D888" t="str">
            <v>Brasil</v>
          </cell>
          <cell r="E888" t="str">
            <v>MC</v>
          </cell>
          <cell r="F888">
            <v>85</v>
          </cell>
          <cell r="G888">
            <v>28</v>
          </cell>
        </row>
        <row r="889">
          <cell r="A889">
            <v>888</v>
          </cell>
          <cell r="B889" t="str">
            <v>Dan Burn</v>
          </cell>
          <cell r="C889" t="str">
            <v>Newclastle United</v>
          </cell>
          <cell r="D889" t="str">
            <v>Inglaterra</v>
          </cell>
          <cell r="E889" t="str">
            <v>CT</v>
          </cell>
          <cell r="F889">
            <v>78</v>
          </cell>
          <cell r="G889">
            <v>33</v>
          </cell>
        </row>
        <row r="890">
          <cell r="A890">
            <v>889</v>
          </cell>
          <cell r="B890" t="str">
            <v>Emil Krafth</v>
          </cell>
          <cell r="C890" t="str">
            <v>Newclastle United</v>
          </cell>
          <cell r="D890" t="str">
            <v>Suecia</v>
          </cell>
          <cell r="E890" t="str">
            <v>LD</v>
          </cell>
          <cell r="F890">
            <v>74</v>
          </cell>
          <cell r="G890">
            <v>31</v>
          </cell>
        </row>
        <row r="891">
          <cell r="A891">
            <v>890</v>
          </cell>
          <cell r="B891" t="str">
            <v>Fabian Schär</v>
          </cell>
          <cell r="C891" t="str">
            <v>Newclastle United</v>
          </cell>
          <cell r="D891" t="str">
            <v>Suiza</v>
          </cell>
          <cell r="E891" t="str">
            <v>CT</v>
          </cell>
          <cell r="F891">
            <v>82</v>
          </cell>
          <cell r="G891">
            <v>34</v>
          </cell>
        </row>
        <row r="892">
          <cell r="A892">
            <v>891</v>
          </cell>
          <cell r="B892" t="str">
            <v>Harrison Ashby</v>
          </cell>
          <cell r="C892" t="str">
            <v>Newclastle United</v>
          </cell>
          <cell r="D892" t="str">
            <v>Escocia</v>
          </cell>
          <cell r="E892" t="str">
            <v>LD</v>
          </cell>
          <cell r="F892">
            <v>64</v>
          </cell>
          <cell r="G892">
            <v>24</v>
          </cell>
        </row>
        <row r="893">
          <cell r="A893">
            <v>892</v>
          </cell>
          <cell r="B893" t="str">
            <v>Harvey Barnes</v>
          </cell>
          <cell r="C893" t="str">
            <v>Newclastle United</v>
          </cell>
          <cell r="D893" t="str">
            <v>Inglaterra</v>
          </cell>
          <cell r="E893" t="str">
            <v>EI</v>
          </cell>
          <cell r="F893">
            <v>80</v>
          </cell>
          <cell r="G893">
            <v>28</v>
          </cell>
        </row>
        <row r="894">
          <cell r="A894">
            <v>893</v>
          </cell>
          <cell r="B894" t="str">
            <v>Jacob Murphy</v>
          </cell>
          <cell r="C894" t="str">
            <v>Newclastle United</v>
          </cell>
          <cell r="D894" t="str">
            <v>Inglaterra</v>
          </cell>
          <cell r="E894" t="str">
            <v>ED</v>
          </cell>
          <cell r="F894">
            <v>76</v>
          </cell>
          <cell r="G894">
            <v>30</v>
          </cell>
        </row>
        <row r="895">
          <cell r="A895">
            <v>894</v>
          </cell>
          <cell r="B895" t="str">
            <v>Jacob Ramsey</v>
          </cell>
          <cell r="C895" t="str">
            <v>Newclastle United</v>
          </cell>
          <cell r="D895" t="str">
            <v>Inglaterra</v>
          </cell>
          <cell r="E895" t="str">
            <v>MC</v>
          </cell>
          <cell r="F895">
            <v>78</v>
          </cell>
          <cell r="G895">
            <v>24</v>
          </cell>
        </row>
        <row r="896">
          <cell r="A896">
            <v>895</v>
          </cell>
          <cell r="B896" t="str">
            <v>Jamaal Lascelles</v>
          </cell>
          <cell r="C896" t="str">
            <v>Newclastle United</v>
          </cell>
          <cell r="D896" t="str">
            <v>Inglaterra</v>
          </cell>
          <cell r="E896" t="str">
            <v>CT</v>
          </cell>
          <cell r="F896">
            <v>75</v>
          </cell>
          <cell r="G896">
            <v>32</v>
          </cell>
        </row>
        <row r="897">
          <cell r="A897">
            <v>896</v>
          </cell>
          <cell r="B897" t="str">
            <v>Joe Willock</v>
          </cell>
          <cell r="C897" t="str">
            <v>Newclastle United</v>
          </cell>
          <cell r="D897" t="str">
            <v>Inglaterra</v>
          </cell>
          <cell r="E897" t="str">
            <v>MC</v>
          </cell>
          <cell r="F897">
            <v>78</v>
          </cell>
          <cell r="G897">
            <v>26</v>
          </cell>
        </row>
        <row r="898">
          <cell r="A898">
            <v>897</v>
          </cell>
          <cell r="B898" t="str">
            <v>Joelinton</v>
          </cell>
          <cell r="C898" t="str">
            <v>Newclastle United</v>
          </cell>
          <cell r="D898" t="str">
            <v>Brasil</v>
          </cell>
          <cell r="E898" t="str">
            <v>MC</v>
          </cell>
          <cell r="F898">
            <v>83</v>
          </cell>
          <cell r="G898">
            <v>29</v>
          </cell>
        </row>
        <row r="899">
          <cell r="A899">
            <v>898</v>
          </cell>
          <cell r="B899" t="str">
            <v>John Ruddy</v>
          </cell>
          <cell r="C899" t="str">
            <v>Newclastle United</v>
          </cell>
          <cell r="D899" t="str">
            <v>Inglaterra</v>
          </cell>
          <cell r="E899" t="str">
            <v>PO</v>
          </cell>
          <cell r="F899">
            <v>71</v>
          </cell>
          <cell r="G899">
            <v>39</v>
          </cell>
        </row>
        <row r="900">
          <cell r="A900">
            <v>899</v>
          </cell>
          <cell r="B900" t="str">
            <v>Kieran Trippier</v>
          </cell>
          <cell r="C900" t="str">
            <v>Newclastle United</v>
          </cell>
          <cell r="D900" t="str">
            <v>Inglaterra</v>
          </cell>
          <cell r="E900" t="str">
            <v>LD</v>
          </cell>
          <cell r="F900">
            <v>83</v>
          </cell>
          <cell r="G900">
            <v>35</v>
          </cell>
        </row>
        <row r="901">
          <cell r="A901">
            <v>900</v>
          </cell>
          <cell r="B901" t="str">
            <v>Lewis Hall</v>
          </cell>
          <cell r="C901" t="str">
            <v>Newclastle United</v>
          </cell>
          <cell r="D901" t="str">
            <v>Inglaterra</v>
          </cell>
          <cell r="E901" t="str">
            <v>LI</v>
          </cell>
          <cell r="F901">
            <v>78</v>
          </cell>
          <cell r="G901">
            <v>21</v>
          </cell>
        </row>
        <row r="902">
          <cell r="A902">
            <v>901</v>
          </cell>
          <cell r="B902" t="str">
            <v>Lewis Miley</v>
          </cell>
          <cell r="C902" t="str">
            <v>Newclastle United</v>
          </cell>
          <cell r="D902" t="str">
            <v>Inglaterra</v>
          </cell>
          <cell r="E902" t="str">
            <v>MC</v>
          </cell>
          <cell r="F902">
            <v>72</v>
          </cell>
          <cell r="G902">
            <v>19</v>
          </cell>
        </row>
        <row r="903">
          <cell r="A903">
            <v>902</v>
          </cell>
          <cell r="B903" t="str">
            <v>Malick Thiaw</v>
          </cell>
          <cell r="C903" t="str">
            <v>Newclastle United</v>
          </cell>
          <cell r="D903" t="str">
            <v>Alemania</v>
          </cell>
          <cell r="E903" t="str">
            <v>CT</v>
          </cell>
          <cell r="F903">
            <v>78</v>
          </cell>
          <cell r="G903">
            <v>24</v>
          </cell>
        </row>
        <row r="904">
          <cell r="A904">
            <v>903</v>
          </cell>
          <cell r="B904" t="str">
            <v>Mark Gillespie</v>
          </cell>
          <cell r="C904" t="str">
            <v>Newclastle United</v>
          </cell>
          <cell r="D904" t="str">
            <v>Inglaterra</v>
          </cell>
          <cell r="E904" t="str">
            <v>PO</v>
          </cell>
          <cell r="F904">
            <v>66</v>
          </cell>
          <cell r="G904">
            <v>33</v>
          </cell>
        </row>
        <row r="905">
          <cell r="A905">
            <v>904</v>
          </cell>
          <cell r="B905" t="str">
            <v>Nick Pope</v>
          </cell>
          <cell r="C905" t="str">
            <v>Newclastle United</v>
          </cell>
          <cell r="D905" t="str">
            <v>Inglaterra</v>
          </cell>
          <cell r="E905" t="str">
            <v>PO</v>
          </cell>
          <cell r="F905">
            <v>83</v>
          </cell>
          <cell r="G905">
            <v>33</v>
          </cell>
        </row>
        <row r="906">
          <cell r="A906">
            <v>905</v>
          </cell>
          <cell r="B906" t="str">
            <v>Nick Woltemade</v>
          </cell>
          <cell r="C906" t="str">
            <v>Newclastle United</v>
          </cell>
          <cell r="D906" t="str">
            <v>Alemania</v>
          </cell>
          <cell r="E906" t="str">
            <v>DC</v>
          </cell>
          <cell r="F906">
            <v>74</v>
          </cell>
          <cell r="G906">
            <v>23</v>
          </cell>
        </row>
        <row r="907">
          <cell r="A907">
            <v>906</v>
          </cell>
          <cell r="B907" t="str">
            <v>Sandro Tonali</v>
          </cell>
          <cell r="C907" t="str">
            <v>Newclastle United</v>
          </cell>
          <cell r="D907" t="str">
            <v>Italia</v>
          </cell>
          <cell r="E907" t="str">
            <v>MCD</v>
          </cell>
          <cell r="F907">
            <v>85</v>
          </cell>
          <cell r="G907">
            <v>25</v>
          </cell>
        </row>
        <row r="908">
          <cell r="A908">
            <v>907</v>
          </cell>
          <cell r="B908" t="str">
            <v>Sven Botman</v>
          </cell>
          <cell r="C908" t="str">
            <v>Newclastle United</v>
          </cell>
          <cell r="D908" t="str">
            <v>Países Bajos</v>
          </cell>
          <cell r="E908" t="str">
            <v>CT</v>
          </cell>
          <cell r="F908">
            <v>83</v>
          </cell>
          <cell r="G908">
            <v>25</v>
          </cell>
        </row>
        <row r="909">
          <cell r="A909">
            <v>908</v>
          </cell>
          <cell r="B909" t="str">
            <v>Tino Livramento</v>
          </cell>
          <cell r="C909" t="str">
            <v>Newclastle United</v>
          </cell>
          <cell r="D909" t="str">
            <v>Inglaterra</v>
          </cell>
          <cell r="E909" t="str">
            <v>LD</v>
          </cell>
          <cell r="F909">
            <v>78</v>
          </cell>
          <cell r="G909">
            <v>23</v>
          </cell>
        </row>
        <row r="910">
          <cell r="A910">
            <v>909</v>
          </cell>
          <cell r="B910" t="str">
            <v>William Osula</v>
          </cell>
          <cell r="C910" t="str">
            <v>Newclastle United</v>
          </cell>
          <cell r="D910" t="str">
            <v>Dinamarca</v>
          </cell>
          <cell r="E910" t="str">
            <v>DC</v>
          </cell>
          <cell r="F910">
            <v>69</v>
          </cell>
          <cell r="G910">
            <v>22</v>
          </cell>
        </row>
        <row r="911">
          <cell r="A911">
            <v>910</v>
          </cell>
          <cell r="B911" t="str">
            <v>Yoane Wissa</v>
          </cell>
          <cell r="C911" t="str">
            <v>Newclastle United</v>
          </cell>
          <cell r="D911" t="str">
            <v>RD del Congo</v>
          </cell>
          <cell r="E911" t="str">
            <v>DC</v>
          </cell>
          <cell r="F911">
            <v>80</v>
          </cell>
          <cell r="G911">
            <v>29</v>
          </cell>
        </row>
        <row r="912">
          <cell r="A912">
            <v>911</v>
          </cell>
          <cell r="B912" t="str">
            <v>A. Kalimuendo</v>
          </cell>
          <cell r="C912" t="str">
            <v>Nottingham Forest</v>
          </cell>
          <cell r="D912" t="str">
            <v>Francia</v>
          </cell>
          <cell r="E912" t="str">
            <v>DC</v>
          </cell>
          <cell r="F912">
            <v>77</v>
          </cell>
          <cell r="G912">
            <v>23</v>
          </cell>
        </row>
        <row r="913">
          <cell r="A913">
            <v>912</v>
          </cell>
          <cell r="B913" t="str">
            <v>Angus Gunn</v>
          </cell>
          <cell r="C913" t="str">
            <v>Nottingham Forest</v>
          </cell>
          <cell r="D913" t="str">
            <v>Escocia</v>
          </cell>
          <cell r="E913" t="str">
            <v>PO</v>
          </cell>
          <cell r="F913">
            <v>73</v>
          </cell>
          <cell r="G913">
            <v>29</v>
          </cell>
        </row>
        <row r="914">
          <cell r="A914">
            <v>913</v>
          </cell>
          <cell r="B914" t="str">
            <v>C. Hudson-Odoi</v>
          </cell>
          <cell r="C914" t="str">
            <v>Nottingham Forest</v>
          </cell>
          <cell r="D914" t="str">
            <v>Inglaterra</v>
          </cell>
          <cell r="E914" t="str">
            <v>EI</v>
          </cell>
          <cell r="F914">
            <v>79</v>
          </cell>
          <cell r="G914">
            <v>25</v>
          </cell>
        </row>
        <row r="915">
          <cell r="A915">
            <v>914</v>
          </cell>
          <cell r="B915" t="str">
            <v>Chris Wood</v>
          </cell>
          <cell r="C915" t="str">
            <v>Nottingham Forest</v>
          </cell>
          <cell r="D915" t="str">
            <v>Nueva Zelanda</v>
          </cell>
          <cell r="E915" t="str">
            <v>DC</v>
          </cell>
          <cell r="F915">
            <v>81</v>
          </cell>
          <cell r="G915">
            <v>34</v>
          </cell>
        </row>
        <row r="916">
          <cell r="A916">
            <v>915</v>
          </cell>
          <cell r="B916" t="str">
            <v>Dan Ndoye</v>
          </cell>
          <cell r="C916" t="str">
            <v>Nottingham Forest</v>
          </cell>
          <cell r="D916" t="str">
            <v>Suiza</v>
          </cell>
          <cell r="E916" t="str">
            <v>ED</v>
          </cell>
          <cell r="F916">
            <v>75</v>
          </cell>
          <cell r="G916">
            <v>25</v>
          </cell>
        </row>
        <row r="917">
          <cell r="A917">
            <v>916</v>
          </cell>
          <cell r="B917" t="str">
            <v>Dilane Bakwa</v>
          </cell>
          <cell r="C917" t="str">
            <v>Nottingham Forest</v>
          </cell>
          <cell r="D917" t="str">
            <v>Francia</v>
          </cell>
          <cell r="E917" t="str">
            <v>ED</v>
          </cell>
          <cell r="F917">
            <v>76</v>
          </cell>
          <cell r="G917">
            <v>23</v>
          </cell>
        </row>
        <row r="918">
          <cell r="A918">
            <v>917</v>
          </cell>
          <cell r="B918" t="str">
            <v>Douglas Luiz</v>
          </cell>
          <cell r="C918" t="str">
            <v>Nottingham Forest</v>
          </cell>
          <cell r="D918" t="str">
            <v>Brasil</v>
          </cell>
          <cell r="E918" t="str">
            <v>MC</v>
          </cell>
          <cell r="F918">
            <v>82</v>
          </cell>
          <cell r="G918">
            <v>27</v>
          </cell>
        </row>
        <row r="919">
          <cell r="A919">
            <v>918</v>
          </cell>
          <cell r="B919" t="str">
            <v>Elliot Anderson</v>
          </cell>
          <cell r="C919" t="str">
            <v>Nottingham Forest</v>
          </cell>
          <cell r="D919" t="str">
            <v>Inglaterra</v>
          </cell>
          <cell r="E919" t="str">
            <v>MC</v>
          </cell>
          <cell r="F919">
            <v>77</v>
          </cell>
          <cell r="G919">
            <v>23</v>
          </cell>
        </row>
        <row r="920">
          <cell r="A920">
            <v>919</v>
          </cell>
          <cell r="B920" t="str">
            <v>Eric da Silva</v>
          </cell>
          <cell r="C920" t="str">
            <v>Nottingham Forest</v>
          </cell>
          <cell r="D920" t="str">
            <v>Alemania</v>
          </cell>
          <cell r="E920" t="str">
            <v>LD</v>
          </cell>
          <cell r="F920">
            <v>67</v>
          </cell>
          <cell r="G920">
            <v>19</v>
          </cell>
        </row>
        <row r="921">
          <cell r="A921">
            <v>920</v>
          </cell>
          <cell r="B921" t="str">
            <v>Ibrahim Sangaré</v>
          </cell>
          <cell r="C921" t="str">
            <v>Nottingham Forest</v>
          </cell>
          <cell r="D921" t="str">
            <v>Costa de Marfil</v>
          </cell>
          <cell r="E921" t="str">
            <v>MCD</v>
          </cell>
          <cell r="F921">
            <v>77</v>
          </cell>
          <cell r="G921">
            <v>28</v>
          </cell>
        </row>
        <row r="922">
          <cell r="A922">
            <v>921</v>
          </cell>
          <cell r="B922" t="str">
            <v>Igor Jesus M.</v>
          </cell>
          <cell r="C922" t="str">
            <v>Nottingham Forest</v>
          </cell>
          <cell r="D922" t="str">
            <v>Brasil</v>
          </cell>
          <cell r="E922" t="str">
            <v>DC</v>
          </cell>
          <cell r="F922">
            <v>77</v>
          </cell>
          <cell r="G922">
            <v>24</v>
          </cell>
        </row>
        <row r="923">
          <cell r="A923">
            <v>922</v>
          </cell>
          <cell r="B923" t="str">
            <v>Jair Cunha</v>
          </cell>
          <cell r="C923" t="str">
            <v>Nottingham Forest</v>
          </cell>
          <cell r="D923" t="str">
            <v>Brasil</v>
          </cell>
          <cell r="E923" t="str">
            <v>CT</v>
          </cell>
          <cell r="F923">
            <v>73</v>
          </cell>
          <cell r="G923">
            <v>20</v>
          </cell>
        </row>
        <row r="924">
          <cell r="A924">
            <v>923</v>
          </cell>
          <cell r="B924" t="str">
            <v>James McAtee</v>
          </cell>
          <cell r="C924" t="str">
            <v>Nottingham Forest</v>
          </cell>
          <cell r="D924" t="str">
            <v>Inglaterra</v>
          </cell>
          <cell r="E924" t="str">
            <v>MO</v>
          </cell>
          <cell r="F924">
            <v>71</v>
          </cell>
          <cell r="G924">
            <v>23</v>
          </cell>
        </row>
        <row r="925">
          <cell r="A925">
            <v>924</v>
          </cell>
          <cell r="B925" t="str">
            <v>John Victor</v>
          </cell>
          <cell r="C925" t="str">
            <v>Nottingham Forest</v>
          </cell>
          <cell r="D925" t="str">
            <v>Brasil</v>
          </cell>
          <cell r="E925" t="str">
            <v>PO</v>
          </cell>
          <cell r="F925">
            <v>74</v>
          </cell>
          <cell r="G925">
            <v>29</v>
          </cell>
        </row>
        <row r="926">
          <cell r="A926">
            <v>925</v>
          </cell>
          <cell r="B926" t="str">
            <v>M. Gibbs-White</v>
          </cell>
          <cell r="C926" t="str">
            <v>Nottingham Forest</v>
          </cell>
          <cell r="D926" t="str">
            <v>Inglaterra</v>
          </cell>
          <cell r="E926" t="str">
            <v>MO</v>
          </cell>
          <cell r="F926">
            <v>81</v>
          </cell>
          <cell r="G926">
            <v>25</v>
          </cell>
        </row>
        <row r="927">
          <cell r="A927">
            <v>926</v>
          </cell>
          <cell r="B927" t="str">
            <v>Matz Sels</v>
          </cell>
          <cell r="C927" t="str">
            <v>Nottingham Forest</v>
          </cell>
          <cell r="D927" t="str">
            <v>Bélgica</v>
          </cell>
          <cell r="E927" t="str">
            <v>PO</v>
          </cell>
          <cell r="F927">
            <v>82</v>
          </cell>
          <cell r="G927">
            <v>33</v>
          </cell>
        </row>
        <row r="928">
          <cell r="A928">
            <v>927</v>
          </cell>
          <cell r="B928" t="str">
            <v>Morato Rodrigues</v>
          </cell>
          <cell r="C928" t="str">
            <v>Nottingham Forest</v>
          </cell>
          <cell r="D928" t="str">
            <v>Brasil</v>
          </cell>
          <cell r="E928" t="str">
            <v>CT</v>
          </cell>
          <cell r="F928">
            <v>76</v>
          </cell>
          <cell r="G928">
            <v>24</v>
          </cell>
        </row>
        <row r="929">
          <cell r="A929">
            <v>928</v>
          </cell>
          <cell r="B929" t="str">
            <v>Murillo Santiago</v>
          </cell>
          <cell r="C929" t="str">
            <v>Nottingham Forest</v>
          </cell>
          <cell r="D929" t="str">
            <v>Brasil</v>
          </cell>
          <cell r="E929" t="str">
            <v>CT</v>
          </cell>
          <cell r="F929">
            <v>81</v>
          </cell>
          <cell r="G929">
            <v>23</v>
          </cell>
        </row>
        <row r="930">
          <cell r="A930">
            <v>929</v>
          </cell>
          <cell r="B930" t="str">
            <v>N. Milenković</v>
          </cell>
          <cell r="C930" t="str">
            <v>Nottingham Forest</v>
          </cell>
          <cell r="D930" t="str">
            <v>Serbia</v>
          </cell>
          <cell r="E930" t="str">
            <v>CT</v>
          </cell>
          <cell r="F930">
            <v>81</v>
          </cell>
          <cell r="G930">
            <v>28</v>
          </cell>
        </row>
        <row r="931">
          <cell r="A931">
            <v>930</v>
          </cell>
          <cell r="B931" t="str">
            <v>Neco Williams</v>
          </cell>
          <cell r="C931" t="str">
            <v>Nottingham Forest</v>
          </cell>
          <cell r="D931" t="str">
            <v>Gales</v>
          </cell>
          <cell r="E931" t="str">
            <v>LI</v>
          </cell>
          <cell r="F931">
            <v>78</v>
          </cell>
          <cell r="G931">
            <v>24</v>
          </cell>
        </row>
        <row r="932">
          <cell r="A932">
            <v>931</v>
          </cell>
          <cell r="B932" t="str">
            <v>Nicolás Domínguez</v>
          </cell>
          <cell r="C932" t="str">
            <v>Nottingham Forest</v>
          </cell>
          <cell r="D932" t="str">
            <v>Argentina</v>
          </cell>
          <cell r="E932" t="str">
            <v>MC</v>
          </cell>
          <cell r="F932">
            <v>79</v>
          </cell>
          <cell r="G932">
            <v>27</v>
          </cell>
        </row>
        <row r="933">
          <cell r="A933">
            <v>932</v>
          </cell>
          <cell r="B933" t="str">
            <v>Nicolò Savona</v>
          </cell>
          <cell r="C933" t="str">
            <v>Nottingham Forest</v>
          </cell>
          <cell r="D933" t="str">
            <v>Italia</v>
          </cell>
          <cell r="E933" t="str">
            <v>LD</v>
          </cell>
          <cell r="F933">
            <v>69</v>
          </cell>
          <cell r="G933">
            <v>22</v>
          </cell>
        </row>
        <row r="934">
          <cell r="A934">
            <v>933</v>
          </cell>
          <cell r="B934" t="str">
            <v>O. Zinchenko</v>
          </cell>
          <cell r="C934" t="str">
            <v>Nottingham Forest</v>
          </cell>
          <cell r="D934" t="str">
            <v>Ucrania</v>
          </cell>
          <cell r="E934" t="str">
            <v>LI</v>
          </cell>
          <cell r="F934">
            <v>80</v>
          </cell>
          <cell r="G934">
            <v>29</v>
          </cell>
        </row>
        <row r="935">
          <cell r="A935">
            <v>934</v>
          </cell>
          <cell r="B935" t="str">
            <v>Ola Aina</v>
          </cell>
          <cell r="C935" t="str">
            <v>Nottingham Forest</v>
          </cell>
          <cell r="D935" t="str">
            <v>Nigeria</v>
          </cell>
          <cell r="E935" t="str">
            <v>LD</v>
          </cell>
          <cell r="F935">
            <v>80</v>
          </cell>
          <cell r="G935">
            <v>29</v>
          </cell>
        </row>
        <row r="936">
          <cell r="A936">
            <v>935</v>
          </cell>
          <cell r="B936" t="str">
            <v>Omari Hutchinson</v>
          </cell>
          <cell r="C936" t="str">
            <v>Nottingham Forest</v>
          </cell>
          <cell r="D936" t="str">
            <v>Inglaterra</v>
          </cell>
          <cell r="E936" t="str">
            <v>MO</v>
          </cell>
          <cell r="F936">
            <v>74</v>
          </cell>
          <cell r="G936">
            <v>22</v>
          </cell>
        </row>
        <row r="937">
          <cell r="A937">
            <v>936</v>
          </cell>
          <cell r="B937" t="str">
            <v>Ryan Yates</v>
          </cell>
          <cell r="C937" t="str">
            <v>Nottingham Forest</v>
          </cell>
          <cell r="D937" t="str">
            <v>Inglaterra</v>
          </cell>
          <cell r="E937" t="str">
            <v>MC</v>
          </cell>
          <cell r="F937">
            <v>75</v>
          </cell>
          <cell r="G937">
            <v>28</v>
          </cell>
        </row>
        <row r="938">
          <cell r="A938">
            <v>937</v>
          </cell>
          <cell r="B938" t="str">
            <v>Taiwo Awoniyi</v>
          </cell>
          <cell r="C938" t="str">
            <v>Nottingham Forest</v>
          </cell>
          <cell r="D938" t="str">
            <v>Nigeria</v>
          </cell>
          <cell r="E938" t="str">
            <v>DC</v>
          </cell>
          <cell r="F938">
            <v>76</v>
          </cell>
          <cell r="G938">
            <v>28</v>
          </cell>
        </row>
        <row r="939">
          <cell r="A939">
            <v>938</v>
          </cell>
          <cell r="B939" t="str">
            <v>Willy Boly</v>
          </cell>
          <cell r="C939" t="str">
            <v>Nottingham Forest</v>
          </cell>
          <cell r="D939" t="str">
            <v>Costa de Marfil</v>
          </cell>
          <cell r="E939" t="str">
            <v>CT</v>
          </cell>
          <cell r="F939">
            <v>77</v>
          </cell>
          <cell r="G939">
            <v>34</v>
          </cell>
        </row>
        <row r="940">
          <cell r="A940">
            <v>939</v>
          </cell>
          <cell r="B940" t="str">
            <v>Abdoullah Ba</v>
          </cell>
          <cell r="C940" t="str">
            <v>Sunderland AFC</v>
          </cell>
          <cell r="D940" t="str">
            <v>Francia</v>
          </cell>
          <cell r="E940" t="str">
            <v>ED</v>
          </cell>
          <cell r="F940">
            <v>68</v>
          </cell>
          <cell r="G940">
            <v>22</v>
          </cell>
        </row>
        <row r="941">
          <cell r="A941">
            <v>940</v>
          </cell>
          <cell r="B941" t="str">
            <v>Ahmed Abdullahi</v>
          </cell>
          <cell r="C941" t="str">
            <v>Sunderland AFC</v>
          </cell>
          <cell r="D941" t="str">
            <v>Nigeria</v>
          </cell>
          <cell r="E941" t="str">
            <v>DC</v>
          </cell>
          <cell r="F941">
            <v>58</v>
          </cell>
          <cell r="G941">
            <v>21</v>
          </cell>
        </row>
        <row r="942">
          <cell r="A942">
            <v>941</v>
          </cell>
          <cell r="B942" t="str">
            <v>Aji Alese</v>
          </cell>
          <cell r="C942" t="str">
            <v>Sunderland AFC</v>
          </cell>
          <cell r="D942" t="str">
            <v>Inglaterra</v>
          </cell>
          <cell r="E942" t="str">
            <v>CT</v>
          </cell>
          <cell r="F942">
            <v>67</v>
          </cell>
          <cell r="G942">
            <v>24</v>
          </cell>
        </row>
        <row r="943">
          <cell r="A943">
            <v>942</v>
          </cell>
          <cell r="B943" t="str">
            <v>Anthony Patterson</v>
          </cell>
          <cell r="C943" t="str">
            <v>Sunderland AFC</v>
          </cell>
          <cell r="D943" t="str">
            <v>Inglaterra</v>
          </cell>
          <cell r="E943" t="str">
            <v>PO</v>
          </cell>
          <cell r="F943">
            <v>72</v>
          </cell>
          <cell r="G943">
            <v>25</v>
          </cell>
        </row>
        <row r="944">
          <cell r="A944">
            <v>943</v>
          </cell>
          <cell r="B944" t="str">
            <v>Arthur Masuaku</v>
          </cell>
          <cell r="C944" t="str">
            <v>Sunderland AFC</v>
          </cell>
          <cell r="D944" t="str">
            <v>RD del Congo</v>
          </cell>
          <cell r="E944" t="str">
            <v>LI</v>
          </cell>
          <cell r="F944">
            <v>75</v>
          </cell>
          <cell r="G944">
            <v>32</v>
          </cell>
        </row>
        <row r="945">
          <cell r="A945">
            <v>944</v>
          </cell>
          <cell r="B945" t="str">
            <v>Bertrand Traoré</v>
          </cell>
          <cell r="C945" t="str">
            <v>Sunderland AFC</v>
          </cell>
          <cell r="D945" t="str">
            <v>Burkina Faso</v>
          </cell>
          <cell r="E945" t="str">
            <v>ED</v>
          </cell>
          <cell r="F945">
            <v>76</v>
          </cell>
          <cell r="G945">
            <v>30</v>
          </cell>
        </row>
        <row r="946">
          <cell r="A946">
            <v>945</v>
          </cell>
          <cell r="B946" t="str">
            <v>Brian Brobbey</v>
          </cell>
          <cell r="C946" t="str">
            <v>Sunderland AFC</v>
          </cell>
          <cell r="D946" t="str">
            <v>Países Bajos</v>
          </cell>
          <cell r="E946" t="str">
            <v>DC</v>
          </cell>
          <cell r="F946">
            <v>78</v>
          </cell>
          <cell r="G946">
            <v>23</v>
          </cell>
        </row>
        <row r="947">
          <cell r="A947">
            <v>946</v>
          </cell>
          <cell r="B947" t="str">
            <v>Chemsdine Talbi</v>
          </cell>
          <cell r="C947" t="str">
            <v>Sunderland AFC</v>
          </cell>
          <cell r="D947" t="str">
            <v>Marruecos</v>
          </cell>
          <cell r="E947" t="str">
            <v>ED</v>
          </cell>
          <cell r="F947">
            <v>70</v>
          </cell>
          <cell r="G947">
            <v>20</v>
          </cell>
        </row>
        <row r="948">
          <cell r="A948">
            <v>947</v>
          </cell>
          <cell r="B948" t="str">
            <v>Chris Rigg</v>
          </cell>
          <cell r="C948" t="str">
            <v>Sunderland AFC</v>
          </cell>
          <cell r="D948" t="str">
            <v>Inglaterra</v>
          </cell>
          <cell r="E948" t="str">
            <v>MO</v>
          </cell>
          <cell r="F948">
            <v>71</v>
          </cell>
          <cell r="G948">
            <v>18</v>
          </cell>
        </row>
        <row r="949">
          <cell r="A949">
            <v>948</v>
          </cell>
          <cell r="B949" t="str">
            <v>Dan Ballard</v>
          </cell>
          <cell r="C949" t="str">
            <v>Sunderland AFC</v>
          </cell>
          <cell r="D949" t="str">
            <v>Irlanda del Norte</v>
          </cell>
          <cell r="E949" t="str">
            <v>CT</v>
          </cell>
          <cell r="F949">
            <v>74</v>
          </cell>
          <cell r="G949">
            <v>26</v>
          </cell>
        </row>
        <row r="950">
          <cell r="A950">
            <v>949</v>
          </cell>
          <cell r="B950" t="str">
            <v>Dan Neil</v>
          </cell>
          <cell r="C950" t="str">
            <v>Sunderland AFC</v>
          </cell>
          <cell r="D950" t="str">
            <v>Inglaterra</v>
          </cell>
          <cell r="E950" t="str">
            <v>MC</v>
          </cell>
          <cell r="F950">
            <v>73</v>
          </cell>
          <cell r="G950">
            <v>24</v>
          </cell>
        </row>
        <row r="951">
          <cell r="A951">
            <v>950</v>
          </cell>
          <cell r="B951" t="str">
            <v>Dennis Cirkin</v>
          </cell>
          <cell r="C951" t="str">
            <v>Sunderland AFC</v>
          </cell>
          <cell r="D951" t="str">
            <v>Inglaterra</v>
          </cell>
          <cell r="E951" t="str">
            <v>LI</v>
          </cell>
          <cell r="F951">
            <v>72</v>
          </cell>
          <cell r="G951">
            <v>23</v>
          </cell>
        </row>
        <row r="952">
          <cell r="A952">
            <v>951</v>
          </cell>
          <cell r="B952" t="str">
            <v>Eliezer Mayenda</v>
          </cell>
          <cell r="C952" t="str">
            <v>Sunderland AFC</v>
          </cell>
          <cell r="D952" t="str">
            <v>España</v>
          </cell>
          <cell r="E952" t="str">
            <v>DC</v>
          </cell>
          <cell r="F952">
            <v>65</v>
          </cell>
          <cell r="G952">
            <v>20</v>
          </cell>
        </row>
        <row r="953">
          <cell r="A953">
            <v>952</v>
          </cell>
          <cell r="B953" t="str">
            <v>Enzo Le Fée</v>
          </cell>
          <cell r="C953" t="str">
            <v>Sunderland AFC</v>
          </cell>
          <cell r="D953" t="str">
            <v>Francia</v>
          </cell>
          <cell r="E953" t="str">
            <v>MC</v>
          </cell>
          <cell r="F953">
            <v>77</v>
          </cell>
          <cell r="G953">
            <v>25</v>
          </cell>
        </row>
        <row r="954">
          <cell r="A954">
            <v>953</v>
          </cell>
          <cell r="B954" t="str">
            <v>Granit Xhaka</v>
          </cell>
          <cell r="C954" t="str">
            <v>Sunderland AFC</v>
          </cell>
          <cell r="D954" t="str">
            <v>Suiza</v>
          </cell>
          <cell r="E954" t="str">
            <v>MCD</v>
          </cell>
          <cell r="F954">
            <v>85</v>
          </cell>
          <cell r="G954">
            <v>33</v>
          </cell>
        </row>
        <row r="955">
          <cell r="A955">
            <v>954</v>
          </cell>
          <cell r="B955" t="str">
            <v>Habib Diarra</v>
          </cell>
          <cell r="C955" t="str">
            <v>Sunderland AFC</v>
          </cell>
          <cell r="D955" t="str">
            <v>Senegal</v>
          </cell>
          <cell r="E955" t="str">
            <v>MC</v>
          </cell>
          <cell r="F955">
            <v>75</v>
          </cell>
          <cell r="G955">
            <v>21</v>
          </cell>
        </row>
        <row r="956">
          <cell r="A956">
            <v>955</v>
          </cell>
          <cell r="B956" t="str">
            <v>Ian Poveda</v>
          </cell>
          <cell r="C956" t="str">
            <v>Sunderland AFC</v>
          </cell>
          <cell r="D956" t="str">
            <v>Colombia</v>
          </cell>
          <cell r="E956" t="str">
            <v>ED</v>
          </cell>
          <cell r="F956">
            <v>70</v>
          </cell>
          <cell r="G956">
            <v>25</v>
          </cell>
        </row>
        <row r="957">
          <cell r="A957">
            <v>956</v>
          </cell>
          <cell r="B957" t="str">
            <v>Jay Matete</v>
          </cell>
          <cell r="C957" t="str">
            <v>Sunderland AFC</v>
          </cell>
          <cell r="D957" t="str">
            <v>Inglaterra</v>
          </cell>
          <cell r="E957" t="str">
            <v>MC</v>
          </cell>
          <cell r="F957">
            <v>67</v>
          </cell>
          <cell r="G957">
            <v>24</v>
          </cell>
        </row>
        <row r="958">
          <cell r="A958">
            <v>957</v>
          </cell>
          <cell r="B958" t="str">
            <v>Joe Anderson</v>
          </cell>
          <cell r="C958" t="str">
            <v>Sunderland AFC</v>
          </cell>
          <cell r="D958" t="str">
            <v>Inglaterra</v>
          </cell>
          <cell r="E958" t="str">
            <v>CT</v>
          </cell>
          <cell r="F958">
            <v>63</v>
          </cell>
          <cell r="G958">
            <v>24</v>
          </cell>
        </row>
        <row r="959">
          <cell r="A959">
            <v>958</v>
          </cell>
          <cell r="B959" t="str">
            <v>L. Geertruida</v>
          </cell>
          <cell r="C959" t="str">
            <v>Sunderland AFC</v>
          </cell>
          <cell r="D959" t="str">
            <v>Países Bajos</v>
          </cell>
          <cell r="E959" t="str">
            <v>LD</v>
          </cell>
          <cell r="F959">
            <v>80</v>
          </cell>
          <cell r="G959">
            <v>25</v>
          </cell>
        </row>
        <row r="960">
          <cell r="A960">
            <v>959</v>
          </cell>
          <cell r="B960" t="str">
            <v>Leo Hjelde</v>
          </cell>
          <cell r="C960" t="str">
            <v>Sunderland AFC</v>
          </cell>
          <cell r="D960" t="str">
            <v>Noruega</v>
          </cell>
          <cell r="E960" t="str">
            <v>LI</v>
          </cell>
          <cell r="F960">
            <v>65</v>
          </cell>
          <cell r="G960">
            <v>22</v>
          </cell>
        </row>
        <row r="961">
          <cell r="A961">
            <v>960</v>
          </cell>
          <cell r="B961" t="str">
            <v>Luke O'Nien</v>
          </cell>
          <cell r="C961" t="str">
            <v>Sunderland AFC</v>
          </cell>
          <cell r="D961" t="str">
            <v>Inglaterra</v>
          </cell>
          <cell r="E961" t="str">
            <v>CT</v>
          </cell>
          <cell r="F961">
            <v>72</v>
          </cell>
          <cell r="G961">
            <v>31</v>
          </cell>
        </row>
        <row r="962">
          <cell r="A962">
            <v>961</v>
          </cell>
          <cell r="B962" t="str">
            <v>Nna Noukeu</v>
          </cell>
          <cell r="C962" t="str">
            <v>Sunderland AFC</v>
          </cell>
          <cell r="D962" t="str">
            <v>Camerún</v>
          </cell>
          <cell r="E962" t="str">
            <v>PO</v>
          </cell>
          <cell r="F962">
            <v>64</v>
          </cell>
          <cell r="G962">
            <v>24</v>
          </cell>
        </row>
        <row r="963">
          <cell r="A963">
            <v>962</v>
          </cell>
          <cell r="B963" t="str">
            <v>Noah Sadiki</v>
          </cell>
          <cell r="C963" t="str">
            <v>Sunderland AFC</v>
          </cell>
          <cell r="D963" t="str">
            <v>RD del Congo</v>
          </cell>
          <cell r="E963" t="str">
            <v>MC</v>
          </cell>
          <cell r="F963">
            <v>66</v>
          </cell>
          <cell r="G963">
            <v>21</v>
          </cell>
        </row>
        <row r="964">
          <cell r="A964">
            <v>963</v>
          </cell>
          <cell r="B964" t="str">
            <v>Nordi Mukiele</v>
          </cell>
          <cell r="C964" t="str">
            <v>Sunderland AFC</v>
          </cell>
          <cell r="D964" t="str">
            <v>Francia</v>
          </cell>
          <cell r="E964" t="str">
            <v>LD</v>
          </cell>
          <cell r="F964">
            <v>80</v>
          </cell>
          <cell r="G964">
            <v>28</v>
          </cell>
        </row>
        <row r="965">
          <cell r="A965">
            <v>964</v>
          </cell>
          <cell r="B965" t="str">
            <v>Omar Alderete</v>
          </cell>
          <cell r="C965" t="str">
            <v>Sunderland AFC</v>
          </cell>
          <cell r="D965" t="str">
            <v>Paraguay</v>
          </cell>
          <cell r="E965" t="str">
            <v>CT</v>
          </cell>
          <cell r="F965">
            <v>77</v>
          </cell>
          <cell r="G965">
            <v>29</v>
          </cell>
        </row>
        <row r="966">
          <cell r="A966">
            <v>965</v>
          </cell>
          <cell r="B966" t="str">
            <v>Reinildo Mandava</v>
          </cell>
          <cell r="C966" t="str">
            <v>Sunderland AFC</v>
          </cell>
          <cell r="D966" t="str">
            <v>Mozambique</v>
          </cell>
          <cell r="E966" t="str">
            <v>LI</v>
          </cell>
          <cell r="F966">
            <v>80</v>
          </cell>
          <cell r="G966">
            <v>31</v>
          </cell>
        </row>
        <row r="967">
          <cell r="A967">
            <v>966</v>
          </cell>
          <cell r="B967" t="str">
            <v>Robin Roefs</v>
          </cell>
          <cell r="C967" t="str">
            <v>Sunderland AFC</v>
          </cell>
          <cell r="D967" t="str">
            <v>Países Bajos</v>
          </cell>
          <cell r="E967" t="str">
            <v>PO</v>
          </cell>
          <cell r="F967">
            <v>67</v>
          </cell>
          <cell r="G967">
            <v>22</v>
          </cell>
        </row>
        <row r="968">
          <cell r="A968">
            <v>967</v>
          </cell>
          <cell r="B968" t="str">
            <v>Romaine Mundle</v>
          </cell>
          <cell r="C968" t="str">
            <v>Sunderland AFC</v>
          </cell>
          <cell r="D968" t="str">
            <v>Inglaterra</v>
          </cell>
          <cell r="E968" t="str">
            <v>EI</v>
          </cell>
          <cell r="F968">
            <v>69</v>
          </cell>
          <cell r="G968">
            <v>22</v>
          </cell>
        </row>
        <row r="969">
          <cell r="A969">
            <v>968</v>
          </cell>
          <cell r="B969" t="str">
            <v>Simon Adingra</v>
          </cell>
          <cell r="C969" t="str">
            <v>Sunderland AFC</v>
          </cell>
          <cell r="D969" t="str">
            <v>Costa de Marfil</v>
          </cell>
          <cell r="E969" t="str">
            <v>EI</v>
          </cell>
          <cell r="F969">
            <v>76</v>
          </cell>
          <cell r="G969">
            <v>23</v>
          </cell>
        </row>
        <row r="970">
          <cell r="A970">
            <v>969</v>
          </cell>
          <cell r="B970" t="str">
            <v>Simon Moore</v>
          </cell>
          <cell r="C970" t="str">
            <v>Sunderland AFC</v>
          </cell>
          <cell r="D970" t="str">
            <v>Inglaterra</v>
          </cell>
          <cell r="E970" t="str">
            <v>PO</v>
          </cell>
          <cell r="F970">
            <v>66</v>
          </cell>
          <cell r="G970">
            <v>35</v>
          </cell>
        </row>
        <row r="971">
          <cell r="A971">
            <v>970</v>
          </cell>
          <cell r="B971" t="str">
            <v>T. Pembélé</v>
          </cell>
          <cell r="C971" t="str">
            <v>Sunderland AFC</v>
          </cell>
          <cell r="D971" t="str">
            <v>Francia</v>
          </cell>
          <cell r="E971" t="str">
            <v>LD</v>
          </cell>
          <cell r="F971">
            <v>69</v>
          </cell>
          <cell r="G971">
            <v>23</v>
          </cell>
        </row>
        <row r="972">
          <cell r="A972">
            <v>971</v>
          </cell>
          <cell r="B972" t="str">
            <v>Trai Hume</v>
          </cell>
          <cell r="C972" t="str">
            <v>Sunderland AFC</v>
          </cell>
          <cell r="D972" t="str">
            <v>Irlanda del Norte</v>
          </cell>
          <cell r="E972" t="str">
            <v>LD</v>
          </cell>
          <cell r="F972">
            <v>74</v>
          </cell>
          <cell r="G972">
            <v>23</v>
          </cell>
        </row>
        <row r="973">
          <cell r="A973">
            <v>972</v>
          </cell>
          <cell r="B973" t="str">
            <v>Wilson Isidor</v>
          </cell>
          <cell r="C973" t="str">
            <v>Sunderland AFC</v>
          </cell>
          <cell r="D973" t="str">
            <v>Francia</v>
          </cell>
          <cell r="E973" t="str">
            <v>DC</v>
          </cell>
          <cell r="F973">
            <v>70</v>
          </cell>
          <cell r="G973">
            <v>25</v>
          </cell>
        </row>
        <row r="974">
          <cell r="A974">
            <v>973</v>
          </cell>
          <cell r="B974" t="str">
            <v>Antonín Kinský</v>
          </cell>
          <cell r="C974" t="str">
            <v>Tottenham Hotspur</v>
          </cell>
          <cell r="D974" t="str">
            <v>República Checa</v>
          </cell>
          <cell r="E974" t="str">
            <v>PO</v>
          </cell>
          <cell r="F974">
            <v>74</v>
          </cell>
          <cell r="G974">
            <v>22</v>
          </cell>
        </row>
        <row r="975">
          <cell r="A975">
            <v>974</v>
          </cell>
          <cell r="B975" t="str">
            <v>Archie Gray</v>
          </cell>
          <cell r="C975" t="str">
            <v>Tottenham Hotspur</v>
          </cell>
          <cell r="D975" t="str">
            <v>Inglaterra</v>
          </cell>
          <cell r="E975" t="str">
            <v>MC</v>
          </cell>
          <cell r="F975">
            <v>74</v>
          </cell>
          <cell r="G975">
            <v>19</v>
          </cell>
        </row>
        <row r="976">
          <cell r="A976">
            <v>975</v>
          </cell>
          <cell r="B976" t="str">
            <v>Ben Davies</v>
          </cell>
          <cell r="C976" t="str">
            <v>Tottenham Hotspur</v>
          </cell>
          <cell r="D976" t="str">
            <v>Gales</v>
          </cell>
          <cell r="E976" t="str">
            <v>CT</v>
          </cell>
          <cell r="F976">
            <v>73</v>
          </cell>
          <cell r="G976">
            <v>32</v>
          </cell>
        </row>
        <row r="977">
          <cell r="A977">
            <v>976</v>
          </cell>
          <cell r="B977" t="str">
            <v>Brandon Austin</v>
          </cell>
          <cell r="C977" t="str">
            <v>Tottenham Hotspur</v>
          </cell>
          <cell r="D977" t="str">
            <v>Inglaterra</v>
          </cell>
          <cell r="E977" t="str">
            <v>PO</v>
          </cell>
          <cell r="F977">
            <v>65</v>
          </cell>
          <cell r="G977">
            <v>26</v>
          </cell>
        </row>
        <row r="978">
          <cell r="A978">
            <v>977</v>
          </cell>
          <cell r="B978" t="str">
            <v>Brennan Johnson</v>
          </cell>
          <cell r="C978" t="str">
            <v>Tottenham Hotspur</v>
          </cell>
          <cell r="D978" t="str">
            <v>Gales</v>
          </cell>
          <cell r="E978" t="str">
            <v>ED</v>
          </cell>
          <cell r="F978">
            <v>79</v>
          </cell>
          <cell r="G978">
            <v>24</v>
          </cell>
        </row>
        <row r="979">
          <cell r="A979">
            <v>978</v>
          </cell>
          <cell r="B979" t="str">
            <v>Callum Olusesi</v>
          </cell>
          <cell r="C979" t="str">
            <v>Tottenham Hotspur</v>
          </cell>
          <cell r="D979" t="str">
            <v>Inglaterra</v>
          </cell>
          <cell r="E979" t="str">
            <v>MC</v>
          </cell>
          <cell r="F979">
            <v>62</v>
          </cell>
          <cell r="G979">
            <v>18</v>
          </cell>
        </row>
        <row r="980">
          <cell r="A980">
            <v>979</v>
          </cell>
          <cell r="B980" t="str">
            <v>Cristian Romero</v>
          </cell>
          <cell r="C980" t="str">
            <v>Tottenham Hotspur</v>
          </cell>
          <cell r="D980" t="str">
            <v>Argentina</v>
          </cell>
          <cell r="E980" t="str">
            <v>CT</v>
          </cell>
          <cell r="F980">
            <v>84</v>
          </cell>
          <cell r="G980">
            <v>27</v>
          </cell>
        </row>
        <row r="981">
          <cell r="A981">
            <v>980</v>
          </cell>
          <cell r="B981" t="str">
            <v>Dane Scarlett</v>
          </cell>
          <cell r="C981" t="str">
            <v>Tottenham Hotspur</v>
          </cell>
          <cell r="D981" t="str">
            <v>Inglaterra</v>
          </cell>
          <cell r="E981" t="str">
            <v>DC</v>
          </cell>
          <cell r="F981">
            <v>67</v>
          </cell>
          <cell r="G981">
            <v>21</v>
          </cell>
        </row>
        <row r="982">
          <cell r="A982">
            <v>981</v>
          </cell>
          <cell r="B982" t="str">
            <v>Dejan Kulusevski</v>
          </cell>
          <cell r="C982" t="str">
            <v>Tottenham Hotspur</v>
          </cell>
          <cell r="D982" t="str">
            <v>Suecia</v>
          </cell>
          <cell r="E982" t="str">
            <v>MO</v>
          </cell>
          <cell r="F982">
            <v>81</v>
          </cell>
          <cell r="G982">
            <v>25</v>
          </cell>
        </row>
        <row r="983">
          <cell r="A983">
            <v>982</v>
          </cell>
          <cell r="B983" t="str">
            <v>Destiny Udogie</v>
          </cell>
          <cell r="C983" t="str">
            <v>Tottenham Hotspur</v>
          </cell>
          <cell r="D983" t="str">
            <v>Italia</v>
          </cell>
          <cell r="E983" t="str">
            <v>LI</v>
          </cell>
          <cell r="F983">
            <v>82</v>
          </cell>
          <cell r="G983">
            <v>23</v>
          </cell>
        </row>
        <row r="984">
          <cell r="A984">
            <v>983</v>
          </cell>
          <cell r="B984" t="str">
            <v>Djed Spence</v>
          </cell>
          <cell r="C984" t="str">
            <v>Tottenham Hotspur</v>
          </cell>
          <cell r="D984" t="str">
            <v>Inglaterra</v>
          </cell>
          <cell r="E984" t="str">
            <v>LI</v>
          </cell>
          <cell r="F984">
            <v>74</v>
          </cell>
          <cell r="G984">
            <v>25</v>
          </cell>
        </row>
        <row r="985">
          <cell r="A985">
            <v>984</v>
          </cell>
          <cell r="B985" t="str">
            <v>Dominic Solanke</v>
          </cell>
          <cell r="C985" t="str">
            <v>Tottenham Hotspur</v>
          </cell>
          <cell r="D985" t="str">
            <v>Inglaterra</v>
          </cell>
          <cell r="E985" t="str">
            <v>DC</v>
          </cell>
          <cell r="F985">
            <v>81</v>
          </cell>
          <cell r="G985">
            <v>28</v>
          </cell>
        </row>
        <row r="986">
          <cell r="A986">
            <v>985</v>
          </cell>
          <cell r="B986" t="str">
            <v>Guglielmo Vicario</v>
          </cell>
          <cell r="C986" t="str">
            <v>Tottenham Hotspur</v>
          </cell>
          <cell r="D986" t="str">
            <v>Italia</v>
          </cell>
          <cell r="E986" t="str">
            <v>PO</v>
          </cell>
          <cell r="F986">
            <v>84</v>
          </cell>
          <cell r="G986">
            <v>29</v>
          </cell>
        </row>
        <row r="987">
          <cell r="A987">
            <v>986</v>
          </cell>
          <cell r="B987" t="str">
            <v>James Maddison</v>
          </cell>
          <cell r="C987" t="str">
            <v>Tottenham Hotspur</v>
          </cell>
          <cell r="D987" t="str">
            <v>Inglaterra</v>
          </cell>
          <cell r="E987" t="str">
            <v>MO</v>
          </cell>
          <cell r="F987">
            <v>85</v>
          </cell>
          <cell r="G987">
            <v>29</v>
          </cell>
        </row>
        <row r="988">
          <cell r="A988">
            <v>987</v>
          </cell>
          <cell r="B988" t="str">
            <v>João Palhinha</v>
          </cell>
          <cell r="C988" t="str">
            <v>Tottenham Hotspur</v>
          </cell>
          <cell r="D988" t="str">
            <v>Portugal</v>
          </cell>
          <cell r="E988" t="str">
            <v>MCD</v>
          </cell>
          <cell r="F988">
            <v>85</v>
          </cell>
          <cell r="G988">
            <v>30</v>
          </cell>
        </row>
        <row r="989">
          <cell r="A989">
            <v>988</v>
          </cell>
          <cell r="B989" t="str">
            <v>Kevin Danso</v>
          </cell>
          <cell r="C989" t="str">
            <v>Tottenham Hotspur</v>
          </cell>
          <cell r="D989" t="str">
            <v>Austria</v>
          </cell>
          <cell r="E989" t="str">
            <v>CT</v>
          </cell>
          <cell r="F989">
            <v>80</v>
          </cell>
          <cell r="G989">
            <v>27</v>
          </cell>
        </row>
        <row r="990">
          <cell r="A990">
            <v>989</v>
          </cell>
          <cell r="B990" t="str">
            <v>Kolo Muani</v>
          </cell>
          <cell r="C990" t="str">
            <v>Tottenham Hotspur</v>
          </cell>
          <cell r="D990" t="str">
            <v>Francia</v>
          </cell>
          <cell r="E990" t="str">
            <v>DC</v>
          </cell>
          <cell r="F990">
            <v>82</v>
          </cell>
          <cell r="G990">
            <v>27</v>
          </cell>
        </row>
        <row r="991">
          <cell r="A991">
            <v>990</v>
          </cell>
          <cell r="B991" t="str">
            <v>Kota Takai</v>
          </cell>
          <cell r="C991" t="str">
            <v>Tottenham Hotspur</v>
          </cell>
          <cell r="D991" t="str">
            <v>Japón</v>
          </cell>
          <cell r="E991" t="str">
            <v>CT</v>
          </cell>
          <cell r="F991">
            <v>66</v>
          </cell>
          <cell r="G991">
            <v>21</v>
          </cell>
        </row>
        <row r="992">
          <cell r="A992">
            <v>991</v>
          </cell>
          <cell r="B992" t="str">
            <v>Lucas Bergvall</v>
          </cell>
          <cell r="C992" t="str">
            <v>Tottenham Hotspur</v>
          </cell>
          <cell r="D992" t="str">
            <v>Suecia</v>
          </cell>
          <cell r="E992" t="str">
            <v>MC</v>
          </cell>
          <cell r="F992">
            <v>75</v>
          </cell>
          <cell r="G992">
            <v>19</v>
          </cell>
        </row>
        <row r="993">
          <cell r="A993">
            <v>992</v>
          </cell>
          <cell r="B993" t="str">
            <v>Mathys Tel</v>
          </cell>
          <cell r="C993" t="str">
            <v>Tottenham Hotspur</v>
          </cell>
          <cell r="D993" t="str">
            <v>Francia</v>
          </cell>
          <cell r="E993" t="str">
            <v>DC</v>
          </cell>
          <cell r="F993">
            <v>77</v>
          </cell>
          <cell r="G993">
            <v>20</v>
          </cell>
        </row>
        <row r="994">
          <cell r="A994">
            <v>993</v>
          </cell>
          <cell r="B994" t="str">
            <v>Micky van de Ven</v>
          </cell>
          <cell r="C994" t="str">
            <v>Tottenham Hotspur</v>
          </cell>
          <cell r="D994" t="str">
            <v>Países Bajos</v>
          </cell>
          <cell r="E994" t="str">
            <v>CT</v>
          </cell>
          <cell r="F994">
            <v>83</v>
          </cell>
          <cell r="G994">
            <v>24</v>
          </cell>
        </row>
        <row r="995">
          <cell r="A995">
            <v>994</v>
          </cell>
          <cell r="B995" t="str">
            <v>Mohammed Kudus</v>
          </cell>
          <cell r="C995" t="str">
            <v>Tottenham Hotspur</v>
          </cell>
          <cell r="D995" t="str">
            <v>Ghana</v>
          </cell>
          <cell r="E995" t="str">
            <v>ED</v>
          </cell>
          <cell r="F995">
            <v>84</v>
          </cell>
          <cell r="G995">
            <v>25</v>
          </cell>
        </row>
        <row r="996">
          <cell r="A996">
            <v>995</v>
          </cell>
          <cell r="B996" t="str">
            <v>Pape Matar Sarr</v>
          </cell>
          <cell r="C996" t="str">
            <v>Tottenham Hotspur</v>
          </cell>
          <cell r="D996" t="str">
            <v>Senegal</v>
          </cell>
          <cell r="E996" t="str">
            <v>MC</v>
          </cell>
          <cell r="F996">
            <v>79</v>
          </cell>
          <cell r="G996">
            <v>23</v>
          </cell>
        </row>
        <row r="997">
          <cell r="A997">
            <v>996</v>
          </cell>
          <cell r="B997" t="str">
            <v>Pedro Porro</v>
          </cell>
          <cell r="C997" t="str">
            <v>Tottenham Hotspur</v>
          </cell>
          <cell r="D997" t="str">
            <v>España</v>
          </cell>
          <cell r="E997" t="str">
            <v>LD</v>
          </cell>
          <cell r="F997">
            <v>83</v>
          </cell>
          <cell r="G997">
            <v>26</v>
          </cell>
        </row>
        <row r="998">
          <cell r="A998">
            <v>997</v>
          </cell>
          <cell r="B998" t="str">
            <v>Radu Drăgușin</v>
          </cell>
          <cell r="C998" t="str">
            <v>Tottenham Hotspur</v>
          </cell>
          <cell r="D998" t="str">
            <v>Rumania</v>
          </cell>
          <cell r="E998" t="str">
            <v>CT</v>
          </cell>
          <cell r="F998">
            <v>76</v>
          </cell>
          <cell r="G998">
            <v>23</v>
          </cell>
        </row>
        <row r="999">
          <cell r="A999">
            <v>998</v>
          </cell>
          <cell r="B999" t="str">
            <v>Richarlison</v>
          </cell>
          <cell r="C999" t="str">
            <v>Tottenham Hotspur</v>
          </cell>
          <cell r="D999" t="str">
            <v>Brasil</v>
          </cell>
          <cell r="E999" t="str">
            <v>DC</v>
          </cell>
          <cell r="F999">
            <v>80</v>
          </cell>
          <cell r="G999">
            <v>28</v>
          </cell>
        </row>
        <row r="1000">
          <cell r="A1000">
            <v>999</v>
          </cell>
          <cell r="B1000" t="str">
            <v>Rodrigo Bentancur</v>
          </cell>
          <cell r="C1000" t="str">
            <v>Tottenham Hotspur</v>
          </cell>
          <cell r="D1000" t="str">
            <v>Uruguay</v>
          </cell>
          <cell r="E1000" t="str">
            <v>MCD</v>
          </cell>
          <cell r="F1000">
            <v>83</v>
          </cell>
          <cell r="G1000">
            <v>28</v>
          </cell>
        </row>
        <row r="1001">
          <cell r="A1001">
            <v>1000</v>
          </cell>
          <cell r="B1001" t="str">
            <v>Wilson Odobert</v>
          </cell>
          <cell r="C1001" t="str">
            <v>Tottenham Hotspur</v>
          </cell>
          <cell r="D1001" t="str">
            <v>Francia</v>
          </cell>
          <cell r="E1001" t="str">
            <v>EI</v>
          </cell>
          <cell r="F1001">
            <v>73</v>
          </cell>
          <cell r="G1001">
            <v>21</v>
          </cell>
        </row>
        <row r="1002">
          <cell r="A1002">
            <v>1001</v>
          </cell>
          <cell r="B1002" t="str">
            <v>Xavi Simons</v>
          </cell>
          <cell r="C1002" t="str">
            <v>Tottenham Hotspur</v>
          </cell>
          <cell r="D1002" t="str">
            <v>Países Bajos</v>
          </cell>
          <cell r="E1002" t="str">
            <v>MO</v>
          </cell>
          <cell r="F1002">
            <v>83</v>
          </cell>
          <cell r="G1002">
            <v>22</v>
          </cell>
        </row>
        <row r="1003">
          <cell r="A1003">
            <v>1002</v>
          </cell>
          <cell r="B1003" t="str">
            <v>Yves Bissouma</v>
          </cell>
          <cell r="C1003" t="str">
            <v>Tottenham Hotspur</v>
          </cell>
          <cell r="D1003" t="str">
            <v>Malí</v>
          </cell>
          <cell r="E1003" t="str">
            <v>MCD</v>
          </cell>
          <cell r="F1003">
            <v>82</v>
          </cell>
          <cell r="G1003">
            <v>29</v>
          </cell>
        </row>
        <row r="1004">
          <cell r="A1004">
            <v>1003</v>
          </cell>
          <cell r="B1004" t="str">
            <v>Aaron Cresswell</v>
          </cell>
          <cell r="C1004" t="str">
            <v>West Ham United</v>
          </cell>
          <cell r="D1004" t="str">
            <v>Inglaterra</v>
          </cell>
          <cell r="E1004" t="str">
            <v>LI</v>
          </cell>
          <cell r="F1004">
            <v>74</v>
          </cell>
          <cell r="G1004">
            <v>36</v>
          </cell>
        </row>
        <row r="1005">
          <cell r="A1005">
            <v>1004</v>
          </cell>
          <cell r="B1005" t="str">
            <v>Aaron Wan-Bissaka</v>
          </cell>
          <cell r="C1005" t="str">
            <v>West Ham United</v>
          </cell>
          <cell r="D1005" t="str">
            <v>RD del Congo</v>
          </cell>
          <cell r="E1005" t="str">
            <v>LD</v>
          </cell>
          <cell r="F1005">
            <v>79</v>
          </cell>
          <cell r="G1005">
            <v>28</v>
          </cell>
        </row>
        <row r="1006">
          <cell r="A1006">
            <v>1005</v>
          </cell>
          <cell r="B1006" t="str">
            <v>Alphonse Areola</v>
          </cell>
          <cell r="C1006" t="str">
            <v>West Ham United</v>
          </cell>
          <cell r="D1006" t="str">
            <v>Francia</v>
          </cell>
          <cell r="E1006" t="str">
            <v>PO</v>
          </cell>
          <cell r="F1006">
            <v>81</v>
          </cell>
          <cell r="G1006">
            <v>32</v>
          </cell>
        </row>
        <row r="1007">
          <cell r="A1007">
            <v>1006</v>
          </cell>
          <cell r="B1007" t="str">
            <v>Andrew Irving</v>
          </cell>
          <cell r="C1007" t="str">
            <v>West Ham United</v>
          </cell>
          <cell r="D1007" t="str">
            <v>Escocia</v>
          </cell>
          <cell r="E1007" t="str">
            <v>MC</v>
          </cell>
          <cell r="F1007">
            <v>71</v>
          </cell>
          <cell r="G1007">
            <v>25</v>
          </cell>
        </row>
        <row r="1008">
          <cell r="A1008">
            <v>1007</v>
          </cell>
          <cell r="B1008" t="str">
            <v>C. Summerville</v>
          </cell>
          <cell r="C1008" t="str">
            <v>West Ham United</v>
          </cell>
          <cell r="D1008" t="str">
            <v>Países Bajos</v>
          </cell>
          <cell r="E1008" t="str">
            <v>EI</v>
          </cell>
          <cell r="F1008">
            <v>77</v>
          </cell>
          <cell r="G1008">
            <v>24</v>
          </cell>
        </row>
        <row r="1009">
          <cell r="A1009">
            <v>1008</v>
          </cell>
          <cell r="B1009" t="str">
            <v>Callum Marshall</v>
          </cell>
          <cell r="C1009" t="str">
            <v>West Ham United</v>
          </cell>
          <cell r="D1009" t="str">
            <v>Irlanda del Norte</v>
          </cell>
          <cell r="E1009" t="str">
            <v>DC</v>
          </cell>
          <cell r="F1009">
            <v>64</v>
          </cell>
          <cell r="G1009">
            <v>21</v>
          </cell>
        </row>
        <row r="1010">
          <cell r="A1010">
            <v>1009</v>
          </cell>
          <cell r="B1010" t="str">
            <v>Callum Wilson</v>
          </cell>
          <cell r="C1010" t="str">
            <v>West Ham United</v>
          </cell>
          <cell r="D1010" t="str">
            <v>Inglaterra</v>
          </cell>
          <cell r="E1010" t="str">
            <v>DC</v>
          </cell>
          <cell r="F1010">
            <v>81</v>
          </cell>
          <cell r="G1010">
            <v>33</v>
          </cell>
        </row>
        <row r="1011">
          <cell r="A1011">
            <v>1010</v>
          </cell>
          <cell r="B1011" t="str">
            <v>El Hadji Diouf</v>
          </cell>
          <cell r="C1011" t="str">
            <v>West Ham United</v>
          </cell>
          <cell r="D1011" t="str">
            <v>Senegal</v>
          </cell>
          <cell r="E1011" t="str">
            <v>LI</v>
          </cell>
          <cell r="F1011">
            <v>77</v>
          </cell>
          <cell r="G1011">
            <v>21</v>
          </cell>
        </row>
        <row r="1012">
          <cell r="A1012">
            <v>1011</v>
          </cell>
          <cell r="B1012" t="str">
            <v>Freddie Potts</v>
          </cell>
          <cell r="C1012" t="str">
            <v>West Ham United</v>
          </cell>
          <cell r="D1012" t="str">
            <v>Inglaterra</v>
          </cell>
          <cell r="E1012" t="str">
            <v>MCD</v>
          </cell>
          <cell r="F1012">
            <v>69</v>
          </cell>
          <cell r="G1012">
            <v>22</v>
          </cell>
        </row>
        <row r="1013">
          <cell r="A1013">
            <v>1012</v>
          </cell>
          <cell r="B1013" t="str">
            <v>George Earthy</v>
          </cell>
          <cell r="C1013" t="str">
            <v>West Ham United</v>
          </cell>
          <cell r="D1013" t="str">
            <v>Inglaterra</v>
          </cell>
          <cell r="E1013" t="str">
            <v>MO</v>
          </cell>
          <cell r="F1013">
            <v>64</v>
          </cell>
          <cell r="G1013">
            <v>21</v>
          </cell>
        </row>
        <row r="1014">
          <cell r="A1014">
            <v>1013</v>
          </cell>
          <cell r="B1014" t="str">
            <v>Guido Rodríguez</v>
          </cell>
          <cell r="C1014" t="str">
            <v>West Ham United</v>
          </cell>
          <cell r="D1014" t="str">
            <v>Argentina</v>
          </cell>
          <cell r="E1014" t="str">
            <v>MCD</v>
          </cell>
          <cell r="F1014">
            <v>82</v>
          </cell>
          <cell r="G1014">
            <v>31</v>
          </cell>
        </row>
        <row r="1015">
          <cell r="A1015">
            <v>1014</v>
          </cell>
          <cell r="B1015" t="str">
            <v>Igor Julio</v>
          </cell>
          <cell r="C1015" t="str">
            <v>West Ham United</v>
          </cell>
          <cell r="D1015" t="str">
            <v>Brasil</v>
          </cell>
          <cell r="E1015" t="str">
            <v>CT</v>
          </cell>
          <cell r="F1015">
            <v>77</v>
          </cell>
          <cell r="G1015">
            <v>27</v>
          </cell>
        </row>
        <row r="1016">
          <cell r="A1016">
            <v>1015</v>
          </cell>
          <cell r="B1016" t="str">
            <v>James Ward-Prowse</v>
          </cell>
          <cell r="C1016" t="str">
            <v>West Ham United</v>
          </cell>
          <cell r="D1016" t="str">
            <v>Inglaterra</v>
          </cell>
          <cell r="E1016" t="str">
            <v>MC</v>
          </cell>
          <cell r="F1016">
            <v>79</v>
          </cell>
          <cell r="G1016">
            <v>31</v>
          </cell>
        </row>
        <row r="1017">
          <cell r="A1017">
            <v>1016</v>
          </cell>
          <cell r="B1017" t="str">
            <v>Jarrod Bowen</v>
          </cell>
          <cell r="C1017" t="str">
            <v>West Ham United</v>
          </cell>
          <cell r="D1017" t="str">
            <v>Inglaterra</v>
          </cell>
          <cell r="E1017" t="str">
            <v>ED</v>
          </cell>
          <cell r="F1017">
            <v>83</v>
          </cell>
          <cell r="G1017">
            <v>29</v>
          </cell>
        </row>
        <row r="1018">
          <cell r="A1018">
            <v>1017</v>
          </cell>
          <cell r="B1018" t="str">
            <v>Jean-Clair Todibo</v>
          </cell>
          <cell r="C1018" t="str">
            <v>West Ham United</v>
          </cell>
          <cell r="D1018" t="str">
            <v>Francia</v>
          </cell>
          <cell r="E1018" t="str">
            <v>CT</v>
          </cell>
          <cell r="F1018">
            <v>80</v>
          </cell>
          <cell r="G1018">
            <v>26</v>
          </cell>
        </row>
        <row r="1019">
          <cell r="A1019">
            <v>1018</v>
          </cell>
          <cell r="B1019" t="str">
            <v>K. Mavropanos</v>
          </cell>
          <cell r="C1019" t="str">
            <v>West Ham United</v>
          </cell>
          <cell r="D1019" t="str">
            <v>Grecia</v>
          </cell>
          <cell r="E1019" t="str">
            <v>CT</v>
          </cell>
          <cell r="F1019">
            <v>78</v>
          </cell>
          <cell r="G1019">
            <v>28</v>
          </cell>
        </row>
        <row r="1020">
          <cell r="A1020">
            <v>1019</v>
          </cell>
          <cell r="B1020" t="str">
            <v>Kyle Walker-Peters</v>
          </cell>
          <cell r="C1020" t="str">
            <v>West Ham United</v>
          </cell>
          <cell r="D1020" t="str">
            <v>Inglaterra</v>
          </cell>
          <cell r="E1020" t="str">
            <v>LD</v>
          </cell>
          <cell r="F1020">
            <v>77</v>
          </cell>
          <cell r="G1020">
            <v>28</v>
          </cell>
        </row>
        <row r="1021">
          <cell r="A1021">
            <v>1020</v>
          </cell>
          <cell r="B1021" t="str">
            <v>Lewis Orford</v>
          </cell>
          <cell r="C1021" t="str">
            <v>West Ham United</v>
          </cell>
          <cell r="D1021" t="str">
            <v>Inglaterra</v>
          </cell>
          <cell r="E1021" t="str">
            <v>MC</v>
          </cell>
          <cell r="F1021">
            <v>63</v>
          </cell>
          <cell r="G1021">
            <v>19</v>
          </cell>
        </row>
        <row r="1022">
          <cell r="A1022">
            <v>1021</v>
          </cell>
          <cell r="B1022" t="str">
            <v>Lucas Paquetá</v>
          </cell>
          <cell r="C1022" t="str">
            <v>West Ham United</v>
          </cell>
          <cell r="D1022" t="str">
            <v>Brasil</v>
          </cell>
          <cell r="E1022" t="str">
            <v>MO</v>
          </cell>
          <cell r="F1022">
            <v>82</v>
          </cell>
          <cell r="G1022">
            <v>28</v>
          </cell>
        </row>
        <row r="1023">
          <cell r="A1023">
            <v>1022</v>
          </cell>
          <cell r="B1023" t="str">
            <v>Luís Guilherme</v>
          </cell>
          <cell r="C1023" t="str">
            <v>West Ham United</v>
          </cell>
          <cell r="D1023" t="str">
            <v>Brasil</v>
          </cell>
          <cell r="E1023" t="str">
            <v>ED</v>
          </cell>
          <cell r="F1023">
            <v>71</v>
          </cell>
          <cell r="G1023">
            <v>19</v>
          </cell>
        </row>
        <row r="1024">
          <cell r="A1024">
            <v>1023</v>
          </cell>
          <cell r="B1024" t="str">
            <v>Luizão Oliveira</v>
          </cell>
          <cell r="C1024" t="str">
            <v>West Ham United</v>
          </cell>
          <cell r="D1024" t="str">
            <v>Brasil</v>
          </cell>
          <cell r="E1024" t="str">
            <v>CT</v>
          </cell>
          <cell r="F1024">
            <v>63</v>
          </cell>
          <cell r="G1024">
            <v>23</v>
          </cell>
        </row>
        <row r="1025">
          <cell r="A1025">
            <v>1024</v>
          </cell>
          <cell r="B1025" t="str">
            <v>Lukasz Fabianski</v>
          </cell>
          <cell r="C1025" t="str">
            <v>West Ham United</v>
          </cell>
          <cell r="D1025" t="str">
            <v>Polonia</v>
          </cell>
          <cell r="E1025" t="str">
            <v>PO</v>
          </cell>
          <cell r="F1025">
            <v>77</v>
          </cell>
          <cell r="G1025">
            <v>40</v>
          </cell>
        </row>
        <row r="1026">
          <cell r="A1026">
            <v>1025</v>
          </cell>
          <cell r="B1026" t="str">
            <v>Mads Hermansen</v>
          </cell>
          <cell r="C1026" t="str">
            <v>West Ham United</v>
          </cell>
          <cell r="D1026" t="str">
            <v>Dinamarca</v>
          </cell>
          <cell r="E1026" t="str">
            <v>PO</v>
          </cell>
          <cell r="F1026">
            <v>76</v>
          </cell>
          <cell r="G1026">
            <v>25</v>
          </cell>
        </row>
        <row r="1027">
          <cell r="A1027">
            <v>1026</v>
          </cell>
          <cell r="B1027" t="str">
            <v>Mateus Fernandes</v>
          </cell>
          <cell r="C1027" t="str">
            <v>West Ham United</v>
          </cell>
          <cell r="D1027" t="str">
            <v>Portugal</v>
          </cell>
          <cell r="E1027" t="str">
            <v>MC</v>
          </cell>
          <cell r="F1027">
            <v>74</v>
          </cell>
          <cell r="G1027">
            <v>21</v>
          </cell>
        </row>
        <row r="1028">
          <cell r="A1028">
            <v>1027</v>
          </cell>
          <cell r="B1028" t="str">
            <v>Maximilian Kilman</v>
          </cell>
          <cell r="C1028" t="str">
            <v>West Ham United</v>
          </cell>
          <cell r="D1028" t="str">
            <v>Inglaterra</v>
          </cell>
          <cell r="E1028" t="str">
            <v>CT</v>
          </cell>
          <cell r="F1028">
            <v>78</v>
          </cell>
          <cell r="G1028">
            <v>28</v>
          </cell>
        </row>
        <row r="1029">
          <cell r="A1029">
            <v>1028</v>
          </cell>
          <cell r="B1029" t="str">
            <v>Niclas Füllkrug</v>
          </cell>
          <cell r="C1029" t="str">
            <v>West Ham United</v>
          </cell>
          <cell r="D1029" t="str">
            <v>Alemania</v>
          </cell>
          <cell r="E1029" t="str">
            <v>DC</v>
          </cell>
          <cell r="F1029">
            <v>82</v>
          </cell>
          <cell r="G1029">
            <v>32</v>
          </cell>
        </row>
        <row r="1030">
          <cell r="A1030">
            <v>1029</v>
          </cell>
          <cell r="B1030" t="str">
            <v>Oliver Scarles</v>
          </cell>
          <cell r="C1030" t="str">
            <v>West Ham United</v>
          </cell>
          <cell r="D1030" t="str">
            <v>Inglaterra</v>
          </cell>
          <cell r="E1030" t="str">
            <v>LI</v>
          </cell>
          <cell r="F1030">
            <v>65</v>
          </cell>
          <cell r="G1030">
            <v>20</v>
          </cell>
        </row>
        <row r="1031">
          <cell r="A1031">
            <v>1030</v>
          </cell>
          <cell r="B1031" t="str">
            <v>Soungoutou Magassa</v>
          </cell>
          <cell r="C1031" t="str">
            <v>West Ham United</v>
          </cell>
          <cell r="D1031" t="str">
            <v>Francia</v>
          </cell>
          <cell r="E1031" t="str">
            <v>MCD</v>
          </cell>
          <cell r="F1031">
            <v>72</v>
          </cell>
          <cell r="G1031">
            <v>22</v>
          </cell>
        </row>
        <row r="1032">
          <cell r="A1032">
            <v>1031</v>
          </cell>
          <cell r="B1032" t="str">
            <v>Tomáš Souček</v>
          </cell>
          <cell r="C1032" t="str">
            <v>West Ham United</v>
          </cell>
          <cell r="D1032" t="str">
            <v>República Checa</v>
          </cell>
          <cell r="E1032" t="str">
            <v>MCD</v>
          </cell>
          <cell r="F1032">
            <v>79</v>
          </cell>
          <cell r="G1032">
            <v>30</v>
          </cell>
        </row>
        <row r="1033">
          <cell r="A1033">
            <v>1032</v>
          </cell>
          <cell r="B1033" t="str">
            <v>André da Costa</v>
          </cell>
          <cell r="C1033" t="str">
            <v>Wolverhampton W.</v>
          </cell>
          <cell r="D1033" t="str">
            <v>Brasil</v>
          </cell>
          <cell r="E1033" t="str">
            <v>MCD</v>
          </cell>
          <cell r="F1033">
            <v>76</v>
          </cell>
          <cell r="G1033">
            <v>24</v>
          </cell>
        </row>
        <row r="1034">
          <cell r="A1034">
            <v>1033</v>
          </cell>
          <cell r="B1034" t="str">
            <v>Daniel Bentley</v>
          </cell>
          <cell r="C1034" t="str">
            <v>Wolverhampton W.</v>
          </cell>
          <cell r="D1034" t="str">
            <v>Inglaterra</v>
          </cell>
          <cell r="E1034" t="str">
            <v>PO</v>
          </cell>
          <cell r="F1034">
            <v>72</v>
          </cell>
          <cell r="G1034">
            <v>32</v>
          </cell>
        </row>
        <row r="1035">
          <cell r="A1035">
            <v>1034</v>
          </cell>
          <cell r="B1035" t="str">
            <v>E. Agbadou</v>
          </cell>
          <cell r="C1035" t="str">
            <v>Wolverhampton W.</v>
          </cell>
          <cell r="D1035" t="str">
            <v>Costa de Marfil</v>
          </cell>
          <cell r="E1035" t="str">
            <v>CT</v>
          </cell>
          <cell r="F1035">
            <v>77</v>
          </cell>
          <cell r="G1035">
            <v>28</v>
          </cell>
        </row>
        <row r="1036">
          <cell r="A1036">
            <v>1035</v>
          </cell>
          <cell r="B1036" t="str">
            <v>Enso González</v>
          </cell>
          <cell r="C1036" t="str">
            <v>Wolverhampton W.</v>
          </cell>
          <cell r="D1036" t="str">
            <v>Paraguay</v>
          </cell>
          <cell r="E1036" t="str">
            <v>EI</v>
          </cell>
          <cell r="F1036">
            <v>64</v>
          </cell>
          <cell r="G1036">
            <v>20</v>
          </cell>
        </row>
        <row r="1037">
          <cell r="A1037">
            <v>1036</v>
          </cell>
          <cell r="B1037" t="str">
            <v>Fer López</v>
          </cell>
          <cell r="C1037" t="str">
            <v>Wolverhampton W.</v>
          </cell>
          <cell r="D1037" t="str">
            <v>España</v>
          </cell>
          <cell r="E1037" t="str">
            <v>MO</v>
          </cell>
          <cell r="F1037">
            <v>61</v>
          </cell>
          <cell r="G1037">
            <v>21</v>
          </cell>
        </row>
        <row r="1038">
          <cell r="A1038">
            <v>1037</v>
          </cell>
          <cell r="B1038" t="str">
            <v>Hee-chan Hwang</v>
          </cell>
          <cell r="C1038" t="str">
            <v>Wolverhampton W.</v>
          </cell>
          <cell r="D1038" t="str">
            <v>Corea del Sur</v>
          </cell>
          <cell r="E1038" t="str">
            <v>DC</v>
          </cell>
          <cell r="F1038">
            <v>78</v>
          </cell>
          <cell r="G1038">
            <v>29</v>
          </cell>
        </row>
        <row r="1039">
          <cell r="A1039">
            <v>1038</v>
          </cell>
          <cell r="B1039" t="str">
            <v>Hugo Bueno</v>
          </cell>
          <cell r="C1039" t="str">
            <v>Wolverhampton W.</v>
          </cell>
          <cell r="D1039" t="str">
            <v>España</v>
          </cell>
          <cell r="E1039" t="str">
            <v>LI</v>
          </cell>
          <cell r="F1039">
            <v>74</v>
          </cell>
          <cell r="G1039">
            <v>23</v>
          </cell>
        </row>
        <row r="1040">
          <cell r="A1040">
            <v>1039</v>
          </cell>
          <cell r="B1040" t="str">
            <v>J. Bellegarde</v>
          </cell>
          <cell r="C1040" t="str">
            <v>Wolverhampton W.</v>
          </cell>
          <cell r="D1040" t="str">
            <v>Haití</v>
          </cell>
          <cell r="E1040" t="str">
            <v>MC</v>
          </cell>
          <cell r="F1040">
            <v>76</v>
          </cell>
          <cell r="G1040">
            <v>27</v>
          </cell>
        </row>
        <row r="1041">
          <cell r="A1041">
            <v>1040</v>
          </cell>
          <cell r="B1041" t="str">
            <v>Jackson Tchatchoua</v>
          </cell>
          <cell r="C1041" t="str">
            <v>Wolverhampton W.</v>
          </cell>
          <cell r="D1041" t="str">
            <v>Camerún</v>
          </cell>
          <cell r="E1041" t="str">
            <v>LD</v>
          </cell>
          <cell r="F1041">
            <v>74</v>
          </cell>
          <cell r="G1041">
            <v>24</v>
          </cell>
        </row>
        <row r="1042">
          <cell r="A1042">
            <v>1041</v>
          </cell>
          <cell r="B1042" t="str">
            <v>Jhon Arias</v>
          </cell>
          <cell r="C1042" t="str">
            <v>Wolverhampton W.</v>
          </cell>
          <cell r="D1042" t="str">
            <v>Colombia</v>
          </cell>
          <cell r="E1042" t="str">
            <v>ED</v>
          </cell>
          <cell r="F1042">
            <v>78</v>
          </cell>
          <cell r="G1042">
            <v>28</v>
          </cell>
        </row>
        <row r="1043">
          <cell r="A1043">
            <v>1042</v>
          </cell>
          <cell r="B1043" t="str">
            <v>João Gomes</v>
          </cell>
          <cell r="C1043" t="str">
            <v>Wolverhampton W.</v>
          </cell>
          <cell r="D1043" t="str">
            <v>Brasil</v>
          </cell>
          <cell r="E1043" t="str">
            <v>MC</v>
          </cell>
          <cell r="F1043">
            <v>78</v>
          </cell>
          <cell r="G1043">
            <v>24</v>
          </cell>
        </row>
        <row r="1044">
          <cell r="A1044">
            <v>1043</v>
          </cell>
          <cell r="B1044" t="str">
            <v>José Sá</v>
          </cell>
          <cell r="C1044" t="str">
            <v>Wolverhampton W.</v>
          </cell>
          <cell r="D1044" t="str">
            <v>Portugal</v>
          </cell>
          <cell r="E1044" t="str">
            <v>PO</v>
          </cell>
          <cell r="F1044">
            <v>79</v>
          </cell>
          <cell r="G1044">
            <v>32</v>
          </cell>
        </row>
        <row r="1045">
          <cell r="A1045">
            <v>1044</v>
          </cell>
          <cell r="B1045" t="str">
            <v>Ki-Jana Hoever</v>
          </cell>
          <cell r="C1045" t="str">
            <v>Wolverhampton W.</v>
          </cell>
          <cell r="D1045" t="str">
            <v>Países Bajos</v>
          </cell>
          <cell r="E1045" t="str">
            <v>LD</v>
          </cell>
          <cell r="F1045">
            <v>73</v>
          </cell>
          <cell r="G1045">
            <v>23</v>
          </cell>
        </row>
        <row r="1046">
          <cell r="A1046">
            <v>1045</v>
          </cell>
          <cell r="B1046" t="str">
            <v>Ladislav Krejci</v>
          </cell>
          <cell r="C1046" t="str">
            <v>Wolverhampton W.</v>
          </cell>
          <cell r="D1046" t="str">
            <v>República Checa</v>
          </cell>
          <cell r="E1046" t="str">
            <v>CT</v>
          </cell>
          <cell r="F1046">
            <v>78</v>
          </cell>
          <cell r="G1046">
            <v>26</v>
          </cell>
        </row>
        <row r="1047">
          <cell r="A1047">
            <v>1046</v>
          </cell>
          <cell r="B1047" t="str">
            <v>Marshall Munetsi</v>
          </cell>
          <cell r="C1047" t="str">
            <v>Wolverhampton W.</v>
          </cell>
          <cell r="D1047" t="str">
            <v>Zimbabue</v>
          </cell>
          <cell r="E1047" t="str">
            <v>MC</v>
          </cell>
          <cell r="F1047">
            <v>75</v>
          </cell>
          <cell r="G1047">
            <v>29</v>
          </cell>
        </row>
        <row r="1048">
          <cell r="A1048">
            <v>1047</v>
          </cell>
          <cell r="B1048" t="str">
            <v>Matt Doherty</v>
          </cell>
          <cell r="C1048" t="str">
            <v>Wolverhampton W.</v>
          </cell>
          <cell r="D1048" t="str">
            <v>Irlanda</v>
          </cell>
          <cell r="E1048" t="str">
            <v>LD</v>
          </cell>
          <cell r="F1048">
            <v>74</v>
          </cell>
          <cell r="G1048">
            <v>33</v>
          </cell>
        </row>
        <row r="1049">
          <cell r="A1049">
            <v>1048</v>
          </cell>
          <cell r="B1049" t="str">
            <v>Møller Wolfe</v>
          </cell>
          <cell r="C1049" t="str">
            <v>Wolverhampton W.</v>
          </cell>
          <cell r="D1049" t="str">
            <v>Noruega</v>
          </cell>
          <cell r="E1049" t="str">
            <v>LI</v>
          </cell>
          <cell r="F1049">
            <v>69</v>
          </cell>
          <cell r="G1049">
            <v>23</v>
          </cell>
        </row>
        <row r="1050">
          <cell r="A1050">
            <v>1049</v>
          </cell>
          <cell r="B1050" t="str">
            <v>Nathan Fraser</v>
          </cell>
          <cell r="C1050" t="str">
            <v>Wolverhampton W.</v>
          </cell>
          <cell r="D1050" t="str">
            <v>Irlanda</v>
          </cell>
          <cell r="E1050" t="str">
            <v>DC</v>
          </cell>
          <cell r="F1050">
            <v>69</v>
          </cell>
          <cell r="G1050">
            <v>20</v>
          </cell>
        </row>
        <row r="1051">
          <cell r="A1051">
            <v>1050</v>
          </cell>
          <cell r="B1051" t="str">
            <v>Rodrigo Gomes</v>
          </cell>
          <cell r="C1051" t="str">
            <v>Wolverhampton W.</v>
          </cell>
          <cell r="D1051" t="str">
            <v>Portugal</v>
          </cell>
          <cell r="E1051" t="str">
            <v>EI</v>
          </cell>
          <cell r="F1051">
            <v>72</v>
          </cell>
          <cell r="G1051">
            <v>22</v>
          </cell>
        </row>
        <row r="1052">
          <cell r="A1052">
            <v>1051</v>
          </cell>
          <cell r="B1052" t="str">
            <v>Sam Johnstone</v>
          </cell>
          <cell r="C1052" t="str">
            <v>Wolverhampton W.</v>
          </cell>
          <cell r="D1052" t="str">
            <v>Inglaterra</v>
          </cell>
          <cell r="E1052" t="str">
            <v>PO</v>
          </cell>
          <cell r="F1052">
            <v>78</v>
          </cell>
          <cell r="G1052">
            <v>32</v>
          </cell>
        </row>
        <row r="1053">
          <cell r="A1053">
            <v>1052</v>
          </cell>
          <cell r="B1053" t="str">
            <v>Santiago Bueno</v>
          </cell>
          <cell r="C1053" t="str">
            <v>Wolverhampton W.</v>
          </cell>
          <cell r="D1053" t="str">
            <v>Uruguay</v>
          </cell>
          <cell r="E1053" t="str">
            <v>CT</v>
          </cell>
          <cell r="F1053">
            <v>77</v>
          </cell>
          <cell r="G1053">
            <v>27</v>
          </cell>
        </row>
        <row r="1054">
          <cell r="A1054">
            <v>1053</v>
          </cell>
          <cell r="B1054" t="str">
            <v>Strand Larsen</v>
          </cell>
          <cell r="C1054" t="str">
            <v>Wolverhampton W.</v>
          </cell>
          <cell r="D1054" t="str">
            <v>Noruega</v>
          </cell>
          <cell r="E1054" t="str">
            <v>DC</v>
          </cell>
          <cell r="F1054">
            <v>78</v>
          </cell>
          <cell r="G1054">
            <v>25</v>
          </cell>
        </row>
        <row r="1055">
          <cell r="A1055">
            <v>1054</v>
          </cell>
          <cell r="B1055" t="str">
            <v>Tawanda Chirewa</v>
          </cell>
          <cell r="C1055" t="str">
            <v>Wolverhampton W.</v>
          </cell>
          <cell r="D1055" t="str">
            <v>Zimbabue</v>
          </cell>
          <cell r="E1055" t="str">
            <v>MO</v>
          </cell>
          <cell r="F1055">
            <v>64</v>
          </cell>
          <cell r="G1055">
            <v>22</v>
          </cell>
        </row>
        <row r="1056">
          <cell r="A1056">
            <v>1055</v>
          </cell>
          <cell r="B1056" t="str">
            <v>Tolu Arokodare</v>
          </cell>
          <cell r="C1056" t="str">
            <v>Wolverhampton W.</v>
          </cell>
          <cell r="D1056" t="str">
            <v>Nigeria</v>
          </cell>
          <cell r="E1056" t="str">
            <v>DC</v>
          </cell>
          <cell r="F1056">
            <v>75</v>
          </cell>
          <cell r="G1056">
            <v>25</v>
          </cell>
        </row>
        <row r="1057">
          <cell r="A1057">
            <v>1056</v>
          </cell>
          <cell r="B1057" t="str">
            <v>Toti Gomes</v>
          </cell>
          <cell r="C1057" t="str">
            <v>Wolverhampton W.</v>
          </cell>
          <cell r="D1057" t="str">
            <v>Portugal</v>
          </cell>
          <cell r="E1057" t="str">
            <v>CT</v>
          </cell>
          <cell r="F1057">
            <v>77</v>
          </cell>
          <cell r="G1057">
            <v>26</v>
          </cell>
        </row>
        <row r="1058">
          <cell r="A1058">
            <v>1057</v>
          </cell>
          <cell r="B1058" t="str">
            <v>Yerson Mosquera</v>
          </cell>
          <cell r="C1058" t="str">
            <v>Wolverhampton W.</v>
          </cell>
          <cell r="D1058" t="str">
            <v>Colombia</v>
          </cell>
          <cell r="E1058" t="str">
            <v>CT</v>
          </cell>
          <cell r="F1058">
            <v>72</v>
          </cell>
          <cell r="G1058">
            <v>24</v>
          </cell>
        </row>
        <row r="1059">
          <cell r="A1059">
            <v>1058</v>
          </cell>
          <cell r="B1059" t="str">
            <v>Ademola Lookman</v>
          </cell>
          <cell r="C1059" t="str">
            <v>Atalanta BC</v>
          </cell>
          <cell r="D1059" t="str">
            <v>Nigeria</v>
          </cell>
          <cell r="E1059" t="str">
            <v>SD</v>
          </cell>
          <cell r="F1059">
            <v>81</v>
          </cell>
          <cell r="G1059">
            <v>28</v>
          </cell>
        </row>
        <row r="1060">
          <cell r="A1060">
            <v>1059</v>
          </cell>
          <cell r="B1060" t="str">
            <v>Berat Djimsiti</v>
          </cell>
          <cell r="C1060" t="str">
            <v>Atalanta BC</v>
          </cell>
          <cell r="D1060" t="str">
            <v>Albania</v>
          </cell>
          <cell r="E1060" t="str">
            <v>CT</v>
          </cell>
          <cell r="F1060">
            <v>77</v>
          </cell>
          <cell r="G1060">
            <v>32</v>
          </cell>
        </row>
        <row r="1061">
          <cell r="A1061">
            <v>1060</v>
          </cell>
          <cell r="B1061" t="str">
            <v>Charles De Ketelaere</v>
          </cell>
          <cell r="C1061" t="str">
            <v>Atalanta BC</v>
          </cell>
          <cell r="D1061" t="str">
            <v>Bélgica</v>
          </cell>
          <cell r="E1061" t="str">
            <v>MO</v>
          </cell>
          <cell r="F1061">
            <v>80</v>
          </cell>
          <cell r="G1061">
            <v>24</v>
          </cell>
        </row>
        <row r="1062">
          <cell r="A1062">
            <v>1061</v>
          </cell>
          <cell r="B1062" t="str">
            <v>Daniel Maldini</v>
          </cell>
          <cell r="C1062" t="str">
            <v>Atalanta BC</v>
          </cell>
          <cell r="D1062" t="str">
            <v>Italia</v>
          </cell>
          <cell r="E1062" t="str">
            <v>MO</v>
          </cell>
          <cell r="F1062">
            <v>74</v>
          </cell>
          <cell r="G1062">
            <v>24</v>
          </cell>
        </row>
        <row r="1063">
          <cell r="A1063">
            <v>1062</v>
          </cell>
          <cell r="B1063" t="str">
            <v>Davide Zappacosta</v>
          </cell>
          <cell r="C1063" t="str">
            <v>Atalanta BC</v>
          </cell>
          <cell r="D1063" t="str">
            <v>Italia</v>
          </cell>
          <cell r="E1063" t="str">
            <v>ED</v>
          </cell>
          <cell r="F1063">
            <v>79</v>
          </cell>
          <cell r="G1063">
            <v>33</v>
          </cell>
        </row>
        <row r="1064">
          <cell r="A1064">
            <v>1063</v>
          </cell>
          <cell r="B1064" t="str">
            <v>Éderson dos Santos</v>
          </cell>
          <cell r="C1064" t="str">
            <v>Atalanta BC</v>
          </cell>
          <cell r="D1064" t="str">
            <v>Brasil</v>
          </cell>
          <cell r="E1064" t="str">
            <v>MC</v>
          </cell>
          <cell r="F1064">
            <v>80</v>
          </cell>
          <cell r="G1064">
            <v>26</v>
          </cell>
        </row>
        <row r="1065">
          <cell r="A1065">
            <v>1064</v>
          </cell>
          <cell r="B1065" t="str">
            <v>Francesco Rossi</v>
          </cell>
          <cell r="C1065" t="str">
            <v>Atalanta BC</v>
          </cell>
          <cell r="D1065" t="str">
            <v>Italia</v>
          </cell>
          <cell r="E1065" t="str">
            <v>PO</v>
          </cell>
          <cell r="F1065">
            <v>71</v>
          </cell>
          <cell r="G1065">
            <v>34</v>
          </cell>
        </row>
        <row r="1066">
          <cell r="A1066">
            <v>1065</v>
          </cell>
          <cell r="B1066" t="str">
            <v>Gianluca Scamacca</v>
          </cell>
          <cell r="C1066" t="str">
            <v>Atalanta BC</v>
          </cell>
          <cell r="D1066" t="str">
            <v>Italia</v>
          </cell>
          <cell r="E1066" t="str">
            <v>DC</v>
          </cell>
          <cell r="F1066">
            <v>80</v>
          </cell>
          <cell r="G1066">
            <v>26</v>
          </cell>
        </row>
        <row r="1067">
          <cell r="A1067">
            <v>1066</v>
          </cell>
          <cell r="B1067" t="str">
            <v>Giorgio Scalvini</v>
          </cell>
          <cell r="C1067" t="str">
            <v>Atalanta BC</v>
          </cell>
          <cell r="D1067" t="str">
            <v>Italia</v>
          </cell>
          <cell r="E1067" t="str">
            <v>CT</v>
          </cell>
          <cell r="F1067">
            <v>78</v>
          </cell>
          <cell r="G1067">
            <v>22</v>
          </cell>
        </row>
        <row r="1068">
          <cell r="A1068">
            <v>1067</v>
          </cell>
          <cell r="B1068" t="str">
            <v>Honest Ahanor</v>
          </cell>
          <cell r="C1068" t="str">
            <v>Atalanta BC</v>
          </cell>
          <cell r="D1068" t="str">
            <v>Nigeria</v>
          </cell>
          <cell r="E1068" t="str">
            <v>CT</v>
          </cell>
          <cell r="F1068">
            <v>56</v>
          </cell>
          <cell r="G1068">
            <v>17</v>
          </cell>
        </row>
        <row r="1069">
          <cell r="A1069">
            <v>1068</v>
          </cell>
          <cell r="B1069" t="str">
            <v>Isak Hien</v>
          </cell>
          <cell r="C1069" t="str">
            <v>Atalanta BC</v>
          </cell>
          <cell r="D1069" t="str">
            <v>Suecia</v>
          </cell>
          <cell r="E1069" t="str">
            <v>CT</v>
          </cell>
          <cell r="F1069">
            <v>78</v>
          </cell>
          <cell r="G1069">
            <v>26</v>
          </cell>
        </row>
        <row r="1070">
          <cell r="A1070">
            <v>1069</v>
          </cell>
          <cell r="B1070" t="str">
            <v>K. Sulemana</v>
          </cell>
          <cell r="C1070" t="str">
            <v>Atalanta BC</v>
          </cell>
          <cell r="D1070" t="str">
            <v>Ghana</v>
          </cell>
          <cell r="E1070" t="str">
            <v>EI</v>
          </cell>
          <cell r="F1070">
            <v>71</v>
          </cell>
          <cell r="G1070">
            <v>23</v>
          </cell>
        </row>
        <row r="1071">
          <cell r="A1071">
            <v>1070</v>
          </cell>
          <cell r="B1071" t="str">
            <v>Lazar Samardžić</v>
          </cell>
          <cell r="C1071" t="str">
            <v>Atalanta BC</v>
          </cell>
          <cell r="D1071" t="str">
            <v>Serbia</v>
          </cell>
          <cell r="E1071" t="str">
            <v>MO</v>
          </cell>
          <cell r="F1071">
            <v>75</v>
          </cell>
          <cell r="G1071">
            <v>23</v>
          </cell>
        </row>
        <row r="1072">
          <cell r="A1072">
            <v>1071</v>
          </cell>
          <cell r="B1072" t="str">
            <v>Marco Brescianini</v>
          </cell>
          <cell r="C1072" t="str">
            <v>Atalanta BC</v>
          </cell>
          <cell r="D1072" t="str">
            <v>Italia</v>
          </cell>
          <cell r="E1072" t="str">
            <v>MC</v>
          </cell>
          <cell r="F1072">
            <v>72</v>
          </cell>
          <cell r="G1072">
            <v>25</v>
          </cell>
        </row>
        <row r="1073">
          <cell r="A1073">
            <v>1072</v>
          </cell>
          <cell r="B1073" t="str">
            <v>Marco Carnesecchi</v>
          </cell>
          <cell r="C1073" t="str">
            <v>Atalanta BC</v>
          </cell>
          <cell r="D1073" t="str">
            <v>Italia</v>
          </cell>
          <cell r="E1073" t="str">
            <v>PO</v>
          </cell>
          <cell r="F1073">
            <v>82</v>
          </cell>
          <cell r="G1073">
            <v>25</v>
          </cell>
        </row>
        <row r="1074">
          <cell r="A1074">
            <v>1073</v>
          </cell>
          <cell r="B1074" t="str">
            <v>Marco Sportiello</v>
          </cell>
          <cell r="C1074" t="str">
            <v>Atalanta BC</v>
          </cell>
          <cell r="D1074" t="str">
            <v>Italia</v>
          </cell>
          <cell r="E1074" t="str">
            <v>PO</v>
          </cell>
          <cell r="F1074">
            <v>77</v>
          </cell>
          <cell r="G1074">
            <v>33</v>
          </cell>
        </row>
        <row r="1075">
          <cell r="A1075">
            <v>1074</v>
          </cell>
          <cell r="B1075" t="str">
            <v>Mario Pašalić</v>
          </cell>
          <cell r="C1075" t="str">
            <v>Atalanta BC</v>
          </cell>
          <cell r="D1075" t="str">
            <v>Croacia</v>
          </cell>
          <cell r="E1075" t="str">
            <v>MC</v>
          </cell>
          <cell r="F1075">
            <v>80</v>
          </cell>
          <cell r="G1075">
            <v>30</v>
          </cell>
        </row>
        <row r="1076">
          <cell r="A1076">
            <v>1075</v>
          </cell>
          <cell r="B1076" t="str">
            <v>Marten de Roon</v>
          </cell>
          <cell r="C1076" t="str">
            <v>Atalanta BC</v>
          </cell>
          <cell r="D1076" t="str">
            <v>Países Bajos</v>
          </cell>
          <cell r="E1076" t="str">
            <v>MCD</v>
          </cell>
          <cell r="F1076">
            <v>80</v>
          </cell>
          <cell r="G1076">
            <v>34</v>
          </cell>
        </row>
        <row r="1077">
          <cell r="A1077">
            <v>1076</v>
          </cell>
          <cell r="B1077" t="str">
            <v>Mitchel Bakker</v>
          </cell>
          <cell r="C1077" t="str">
            <v>Atalanta BC</v>
          </cell>
          <cell r="D1077" t="str">
            <v>Países Bajos</v>
          </cell>
          <cell r="E1077" t="str">
            <v>EI</v>
          </cell>
          <cell r="F1077">
            <v>71</v>
          </cell>
          <cell r="G1077">
            <v>25</v>
          </cell>
        </row>
        <row r="1078">
          <cell r="A1078">
            <v>1077</v>
          </cell>
          <cell r="B1078" t="str">
            <v>Nicola Zalewski</v>
          </cell>
          <cell r="C1078" t="str">
            <v>Atalanta BC</v>
          </cell>
          <cell r="D1078" t="str">
            <v>Polonia</v>
          </cell>
          <cell r="E1078" t="str">
            <v>EI</v>
          </cell>
          <cell r="F1078">
            <v>77</v>
          </cell>
          <cell r="G1078">
            <v>23</v>
          </cell>
        </row>
        <row r="1079">
          <cell r="A1079">
            <v>1078</v>
          </cell>
          <cell r="B1079" t="str">
            <v>Nikola Krstović</v>
          </cell>
          <cell r="C1079" t="str">
            <v>Atalanta BC</v>
          </cell>
          <cell r="D1079" t="str">
            <v>Montenegro</v>
          </cell>
          <cell r="E1079" t="str">
            <v>DC</v>
          </cell>
          <cell r="F1079">
            <v>75</v>
          </cell>
          <cell r="G1079">
            <v>25</v>
          </cell>
        </row>
        <row r="1080">
          <cell r="A1080">
            <v>1079</v>
          </cell>
          <cell r="B1080" t="str">
            <v>Odilon Kossounou</v>
          </cell>
          <cell r="C1080" t="str">
            <v>Atalanta BC</v>
          </cell>
          <cell r="D1080" t="str">
            <v>Costa de Marfil</v>
          </cell>
          <cell r="E1080" t="str">
            <v>CT</v>
          </cell>
          <cell r="F1080">
            <v>81</v>
          </cell>
          <cell r="G1080">
            <v>24</v>
          </cell>
        </row>
        <row r="1081">
          <cell r="A1081">
            <v>1080</v>
          </cell>
          <cell r="B1081" t="str">
            <v>Raoul Bellanova</v>
          </cell>
          <cell r="C1081" t="str">
            <v>Atalanta BC</v>
          </cell>
          <cell r="D1081" t="str">
            <v>Italia</v>
          </cell>
          <cell r="E1081" t="str">
            <v>ED</v>
          </cell>
          <cell r="F1081">
            <v>73</v>
          </cell>
          <cell r="G1081">
            <v>25</v>
          </cell>
        </row>
        <row r="1082">
          <cell r="A1082">
            <v>1081</v>
          </cell>
          <cell r="B1082" t="str">
            <v>Sead Kolasinac</v>
          </cell>
          <cell r="C1082" t="str">
            <v>Atalanta BC</v>
          </cell>
          <cell r="D1082" t="str">
            <v>Bosnia y Herzegovina</v>
          </cell>
          <cell r="E1082" t="str">
            <v>CT</v>
          </cell>
          <cell r="F1082">
            <v>78</v>
          </cell>
          <cell r="G1082">
            <v>32</v>
          </cell>
        </row>
        <row r="1083">
          <cell r="A1083">
            <v>1082</v>
          </cell>
          <cell r="B1083" t="str">
            <v>Yunus Musah</v>
          </cell>
          <cell r="C1083" t="str">
            <v>Atalanta BC</v>
          </cell>
          <cell r="D1083" t="str">
            <v>Estados Unidos</v>
          </cell>
          <cell r="E1083" t="str">
            <v>MC</v>
          </cell>
          <cell r="F1083">
            <v>75</v>
          </cell>
          <cell r="G1083">
            <v>23</v>
          </cell>
        </row>
        <row r="1084">
          <cell r="A1084">
            <v>1083</v>
          </cell>
          <cell r="B1084" t="str">
            <v>Lukasz Skorupski</v>
          </cell>
          <cell r="C1084" t="str">
            <v>Bolonia</v>
          </cell>
          <cell r="D1084" t="str">
            <v>Polonia</v>
          </cell>
          <cell r="E1084" t="str">
            <v>PO</v>
          </cell>
          <cell r="F1084">
            <v>79</v>
          </cell>
          <cell r="G1084">
            <v>34</v>
          </cell>
        </row>
        <row r="1085">
          <cell r="A1085">
            <v>1084</v>
          </cell>
          <cell r="B1085" t="str">
            <v>Federico Ravaglia</v>
          </cell>
          <cell r="C1085" t="str">
            <v>Bolonia</v>
          </cell>
          <cell r="D1085" t="str">
            <v>Italia</v>
          </cell>
          <cell r="E1085" t="str">
            <v>PO</v>
          </cell>
          <cell r="F1085">
            <v>70</v>
          </cell>
          <cell r="G1085">
            <v>26</v>
          </cell>
        </row>
        <row r="1086">
          <cell r="A1086">
            <v>1085</v>
          </cell>
          <cell r="B1086" t="str">
            <v>Jhon Lucumí</v>
          </cell>
          <cell r="C1086" t="str">
            <v>Bolonia</v>
          </cell>
          <cell r="D1086" t="str">
            <v>Colombia</v>
          </cell>
          <cell r="E1086" t="str">
            <v>CT</v>
          </cell>
          <cell r="F1086">
            <v>78</v>
          </cell>
          <cell r="G1086">
            <v>27</v>
          </cell>
        </row>
        <row r="1087">
          <cell r="A1087">
            <v>1086</v>
          </cell>
          <cell r="B1087" t="str">
            <v>Martin Vitík</v>
          </cell>
          <cell r="C1087" t="str">
            <v>Bolonia</v>
          </cell>
          <cell r="D1087" t="str">
            <v>República Checa</v>
          </cell>
          <cell r="E1087" t="str">
            <v>CT</v>
          </cell>
          <cell r="F1087">
            <v>74</v>
          </cell>
          <cell r="G1087">
            <v>22</v>
          </cell>
        </row>
        <row r="1088">
          <cell r="A1088">
            <v>1087</v>
          </cell>
          <cell r="B1088" t="str">
            <v>Torbjørn Heggem</v>
          </cell>
          <cell r="C1088" t="str">
            <v>Bolonia</v>
          </cell>
          <cell r="D1088" t="str">
            <v>Noruega</v>
          </cell>
          <cell r="E1088" t="str">
            <v>CT</v>
          </cell>
          <cell r="F1088">
            <v>69</v>
          </cell>
          <cell r="G1088">
            <v>26</v>
          </cell>
        </row>
        <row r="1089">
          <cell r="A1089">
            <v>1088</v>
          </cell>
          <cell r="B1089" t="str">
            <v>Nicolò Casale</v>
          </cell>
          <cell r="C1089" t="str">
            <v>Bolonia</v>
          </cell>
          <cell r="D1089" t="str">
            <v>Italia</v>
          </cell>
          <cell r="E1089" t="str">
            <v>CT</v>
          </cell>
          <cell r="F1089">
            <v>76</v>
          </cell>
          <cell r="G1089">
            <v>27</v>
          </cell>
        </row>
        <row r="1090">
          <cell r="A1090">
            <v>1089</v>
          </cell>
          <cell r="B1090" t="str">
            <v>Kevin Bonifazi</v>
          </cell>
          <cell r="C1090" t="str">
            <v>Bolonia</v>
          </cell>
          <cell r="D1090" t="str">
            <v>Italia</v>
          </cell>
          <cell r="E1090" t="str">
            <v>CT</v>
          </cell>
          <cell r="F1090">
            <v>69</v>
          </cell>
          <cell r="G1090">
            <v>29</v>
          </cell>
        </row>
        <row r="1091">
          <cell r="A1091">
            <v>1090</v>
          </cell>
          <cell r="B1091" t="str">
            <v>Juan Miranda</v>
          </cell>
          <cell r="C1091" t="str">
            <v>Bolonia</v>
          </cell>
          <cell r="D1091" t="str">
            <v>España</v>
          </cell>
          <cell r="E1091" t="str">
            <v>LI</v>
          </cell>
          <cell r="F1091">
            <v>76</v>
          </cell>
          <cell r="G1091">
            <v>25</v>
          </cell>
        </row>
        <row r="1092">
          <cell r="A1092">
            <v>1091</v>
          </cell>
          <cell r="B1092" t="str">
            <v>C. Lykogiannis</v>
          </cell>
          <cell r="C1092" t="str">
            <v>Bolonia</v>
          </cell>
          <cell r="D1092" t="str">
            <v>Grecia</v>
          </cell>
          <cell r="E1092" t="str">
            <v>LI</v>
          </cell>
          <cell r="F1092">
            <v>74</v>
          </cell>
          <cell r="G1092">
            <v>32</v>
          </cell>
        </row>
        <row r="1093">
          <cell r="A1093">
            <v>1092</v>
          </cell>
          <cell r="B1093" t="str">
            <v>Emil Holm</v>
          </cell>
          <cell r="C1093" t="str">
            <v>Bolonia</v>
          </cell>
          <cell r="D1093" t="str">
            <v>Suecia</v>
          </cell>
          <cell r="E1093" t="str">
            <v>LD</v>
          </cell>
          <cell r="F1093">
            <v>74</v>
          </cell>
          <cell r="G1093">
            <v>25</v>
          </cell>
        </row>
        <row r="1094">
          <cell r="A1094">
            <v>1093</v>
          </cell>
          <cell r="B1094" t="str">
            <v>Nadir Zortea</v>
          </cell>
          <cell r="C1094" t="str">
            <v>Bolonia</v>
          </cell>
          <cell r="D1094" t="str">
            <v>Italia</v>
          </cell>
          <cell r="E1094" t="str">
            <v>LD</v>
          </cell>
          <cell r="F1094">
            <v>73</v>
          </cell>
          <cell r="G1094">
            <v>26</v>
          </cell>
        </row>
        <row r="1095">
          <cell r="A1095">
            <v>1094</v>
          </cell>
          <cell r="B1095" t="str">
            <v>Lorenzo De Silvestri</v>
          </cell>
          <cell r="C1095" t="str">
            <v>Bolonia</v>
          </cell>
          <cell r="D1095" t="str">
            <v>Italia</v>
          </cell>
          <cell r="E1095" t="str">
            <v>LD</v>
          </cell>
          <cell r="F1095">
            <v>72</v>
          </cell>
          <cell r="G1095">
            <v>37</v>
          </cell>
        </row>
        <row r="1096">
          <cell r="A1096">
            <v>1095</v>
          </cell>
          <cell r="B1096" t="str">
            <v>Ibrahim Sulemana</v>
          </cell>
          <cell r="C1096" t="str">
            <v>Bolonia</v>
          </cell>
          <cell r="D1096" t="str">
            <v>Ghana</v>
          </cell>
          <cell r="E1096" t="str">
            <v>MCD</v>
          </cell>
          <cell r="F1096">
            <v>72</v>
          </cell>
          <cell r="G1096">
            <v>22</v>
          </cell>
        </row>
        <row r="1097">
          <cell r="A1097">
            <v>1096</v>
          </cell>
          <cell r="B1097" t="str">
            <v>Nikola Moro</v>
          </cell>
          <cell r="C1097" t="str">
            <v>Bolonia</v>
          </cell>
          <cell r="D1097" t="str">
            <v>Croacia</v>
          </cell>
          <cell r="E1097" t="str">
            <v>MCD</v>
          </cell>
          <cell r="F1097">
            <v>76</v>
          </cell>
          <cell r="G1097">
            <v>27</v>
          </cell>
        </row>
        <row r="1098">
          <cell r="A1098">
            <v>1097</v>
          </cell>
          <cell r="B1098" t="str">
            <v>Lewis Ferguson</v>
          </cell>
          <cell r="C1098" t="str">
            <v>Bolonia</v>
          </cell>
          <cell r="D1098" t="str">
            <v>Escocia</v>
          </cell>
          <cell r="E1098" t="str">
            <v>MC</v>
          </cell>
          <cell r="F1098">
            <v>79</v>
          </cell>
          <cell r="G1098">
            <v>26</v>
          </cell>
        </row>
        <row r="1099">
          <cell r="A1099">
            <v>1098</v>
          </cell>
          <cell r="B1099" t="str">
            <v>Tommaso Pobega</v>
          </cell>
          <cell r="C1099" t="str">
            <v>Bolonia</v>
          </cell>
          <cell r="D1099" t="str">
            <v>Italia</v>
          </cell>
          <cell r="E1099" t="str">
            <v>MC</v>
          </cell>
          <cell r="F1099">
            <v>75</v>
          </cell>
          <cell r="G1099">
            <v>26</v>
          </cell>
        </row>
        <row r="1100">
          <cell r="A1100">
            <v>1099</v>
          </cell>
          <cell r="B1100" t="str">
            <v>Remo Freuler</v>
          </cell>
          <cell r="C1100" t="str">
            <v>Bolonia</v>
          </cell>
          <cell r="D1100" t="str">
            <v>Suiza</v>
          </cell>
          <cell r="E1100" t="str">
            <v>MC</v>
          </cell>
          <cell r="F1100">
            <v>79</v>
          </cell>
          <cell r="G1100">
            <v>33</v>
          </cell>
        </row>
        <row r="1101">
          <cell r="A1101">
            <v>1100</v>
          </cell>
          <cell r="B1101" t="str">
            <v>Jens Odgaard</v>
          </cell>
          <cell r="C1101" t="str">
            <v>Bolonia</v>
          </cell>
          <cell r="D1101" t="str">
            <v>Dinamarca</v>
          </cell>
          <cell r="E1101" t="str">
            <v>MO</v>
          </cell>
          <cell r="F1101">
            <v>71</v>
          </cell>
          <cell r="G1101">
            <v>26</v>
          </cell>
        </row>
        <row r="1102">
          <cell r="A1102">
            <v>1101</v>
          </cell>
          <cell r="B1102" t="str">
            <v>Giovanni Fabbian</v>
          </cell>
          <cell r="C1102" t="str">
            <v>Bolonia</v>
          </cell>
          <cell r="D1102" t="str">
            <v>Italia</v>
          </cell>
          <cell r="E1102" t="str">
            <v>MO</v>
          </cell>
          <cell r="F1102">
            <v>74</v>
          </cell>
          <cell r="G1102">
            <v>22</v>
          </cell>
        </row>
        <row r="1103">
          <cell r="A1103">
            <v>1102</v>
          </cell>
          <cell r="B1103" t="str">
            <v>Jonathan Rowe</v>
          </cell>
          <cell r="C1103" t="str">
            <v>Bolonia</v>
          </cell>
          <cell r="D1103" t="str">
            <v>Inglaterra</v>
          </cell>
          <cell r="E1103" t="str">
            <v>EI</v>
          </cell>
          <cell r="F1103">
            <v>74</v>
          </cell>
          <cell r="G1103">
            <v>22</v>
          </cell>
        </row>
        <row r="1104">
          <cell r="A1104">
            <v>1103</v>
          </cell>
          <cell r="B1104" t="str">
            <v>Benja Domínguez</v>
          </cell>
          <cell r="C1104" t="str">
            <v>Bolonia</v>
          </cell>
          <cell r="D1104" t="str">
            <v>Argentina</v>
          </cell>
          <cell r="E1104" t="str">
            <v>EI</v>
          </cell>
          <cell r="F1104">
            <v>74</v>
          </cell>
          <cell r="G1104">
            <v>22</v>
          </cell>
        </row>
        <row r="1105">
          <cell r="A1105">
            <v>1104</v>
          </cell>
          <cell r="B1105" t="str">
            <v>Nicolò Cambiaghi</v>
          </cell>
          <cell r="C1105" t="str">
            <v>Bolonia</v>
          </cell>
          <cell r="D1105" t="str">
            <v>Italia</v>
          </cell>
          <cell r="E1105" t="str">
            <v>EI</v>
          </cell>
          <cell r="F1105">
            <v>74</v>
          </cell>
          <cell r="G1105">
            <v>25</v>
          </cell>
        </row>
        <row r="1106">
          <cell r="A1106">
            <v>1105</v>
          </cell>
          <cell r="B1106" t="str">
            <v>Riccardo Orsolini</v>
          </cell>
          <cell r="C1106" t="str">
            <v>Bolonia</v>
          </cell>
          <cell r="D1106" t="str">
            <v>Italia</v>
          </cell>
          <cell r="E1106" t="str">
            <v>ED</v>
          </cell>
          <cell r="F1106">
            <v>81</v>
          </cell>
          <cell r="G1106">
            <v>28</v>
          </cell>
        </row>
        <row r="1107">
          <cell r="A1107">
            <v>1106</v>
          </cell>
          <cell r="B1107" t="str">
            <v>F. Bernardeschi</v>
          </cell>
          <cell r="C1107" t="str">
            <v>Bolonia</v>
          </cell>
          <cell r="D1107" t="str">
            <v>Italia</v>
          </cell>
          <cell r="E1107" t="str">
            <v>ED</v>
          </cell>
          <cell r="F1107">
            <v>78</v>
          </cell>
          <cell r="G1107">
            <v>31</v>
          </cell>
        </row>
        <row r="1108">
          <cell r="A1108">
            <v>1107</v>
          </cell>
          <cell r="B1108" t="str">
            <v>Santiago Castro</v>
          </cell>
          <cell r="C1108" t="str">
            <v>Bolonia</v>
          </cell>
          <cell r="D1108" t="str">
            <v>Argentina</v>
          </cell>
          <cell r="E1108" t="str">
            <v>DC</v>
          </cell>
          <cell r="F1108">
            <v>76</v>
          </cell>
          <cell r="G1108">
            <v>21</v>
          </cell>
        </row>
        <row r="1109">
          <cell r="A1109">
            <v>1108</v>
          </cell>
          <cell r="B1109" t="str">
            <v>Thijs Dallinga</v>
          </cell>
          <cell r="C1109" t="str">
            <v>Bolonia</v>
          </cell>
          <cell r="D1109" t="str">
            <v>Países Bajos</v>
          </cell>
          <cell r="E1109" t="str">
            <v>DC</v>
          </cell>
          <cell r="F1109">
            <v>77</v>
          </cell>
          <cell r="G1109">
            <v>25</v>
          </cell>
        </row>
        <row r="1110">
          <cell r="A1110">
            <v>1109</v>
          </cell>
          <cell r="B1110" t="str">
            <v>Ciro Immobile</v>
          </cell>
          <cell r="C1110" t="str">
            <v>Bolonia</v>
          </cell>
          <cell r="D1110" t="str">
            <v>Italia</v>
          </cell>
          <cell r="E1110" t="str">
            <v>DC</v>
          </cell>
          <cell r="F1110">
            <v>82</v>
          </cell>
          <cell r="G1110">
            <v>35</v>
          </cell>
        </row>
        <row r="1111">
          <cell r="A1111">
            <v>1110</v>
          </cell>
          <cell r="B1111" t="str">
            <v>Elia Caprile</v>
          </cell>
          <cell r="C1111" t="str">
            <v>Cagliari</v>
          </cell>
          <cell r="D1111" t="str">
            <v>Italia</v>
          </cell>
          <cell r="E1111" t="str">
            <v>PO</v>
          </cell>
          <cell r="F1111">
            <v>75</v>
          </cell>
          <cell r="G1111">
            <v>24</v>
          </cell>
        </row>
        <row r="1112">
          <cell r="A1112">
            <v>1111</v>
          </cell>
          <cell r="B1112" t="str">
            <v>Boris Radunović</v>
          </cell>
          <cell r="C1112" t="str">
            <v>Cagliari</v>
          </cell>
          <cell r="D1112" t="str">
            <v>Serbia</v>
          </cell>
          <cell r="E1112" t="str">
            <v>PO</v>
          </cell>
          <cell r="F1112">
            <v>71</v>
          </cell>
          <cell r="G1112">
            <v>29</v>
          </cell>
        </row>
        <row r="1113">
          <cell r="A1113">
            <v>1112</v>
          </cell>
          <cell r="B1113" t="str">
            <v>Giuseppe Ciocci</v>
          </cell>
          <cell r="C1113" t="str">
            <v>Cagliari</v>
          </cell>
          <cell r="D1113" t="str">
            <v>Italia</v>
          </cell>
          <cell r="E1113" t="str">
            <v>PO</v>
          </cell>
          <cell r="F1113">
            <v>60</v>
          </cell>
          <cell r="G1113">
            <v>23</v>
          </cell>
        </row>
        <row r="1114">
          <cell r="A1114">
            <v>1113</v>
          </cell>
          <cell r="B1114" t="str">
            <v>Sebastiano Luperto</v>
          </cell>
          <cell r="C1114" t="str">
            <v>Cagliari</v>
          </cell>
          <cell r="D1114" t="str">
            <v>Italia</v>
          </cell>
          <cell r="E1114" t="str">
            <v>CT</v>
          </cell>
          <cell r="F1114">
            <v>76</v>
          </cell>
          <cell r="G1114">
            <v>29</v>
          </cell>
        </row>
        <row r="1115">
          <cell r="A1115">
            <v>1114</v>
          </cell>
          <cell r="B1115" t="str">
            <v>Yerry Mina</v>
          </cell>
          <cell r="C1115" t="str">
            <v>Cagliari</v>
          </cell>
          <cell r="D1115" t="str">
            <v>Colombia</v>
          </cell>
          <cell r="E1115" t="str">
            <v>CT</v>
          </cell>
          <cell r="F1115">
            <v>76</v>
          </cell>
          <cell r="G1115">
            <v>31</v>
          </cell>
        </row>
        <row r="1116">
          <cell r="A1116">
            <v>1115</v>
          </cell>
          <cell r="B1116" t="str">
            <v>Zé Pedro da Silva</v>
          </cell>
          <cell r="C1116" t="str">
            <v>Cagliari</v>
          </cell>
          <cell r="D1116" t="str">
            <v>Portugal</v>
          </cell>
          <cell r="E1116" t="str">
            <v>CT</v>
          </cell>
          <cell r="F1116">
            <v>74</v>
          </cell>
          <cell r="G1116">
            <v>28</v>
          </cell>
        </row>
        <row r="1117">
          <cell r="A1117">
            <v>1116</v>
          </cell>
          <cell r="B1117" t="str">
            <v>Adam Obert</v>
          </cell>
          <cell r="C1117" t="str">
            <v>Cagliari</v>
          </cell>
          <cell r="D1117" t="str">
            <v>Eslovaquia</v>
          </cell>
          <cell r="E1117" t="str">
            <v>CT</v>
          </cell>
          <cell r="F1117">
            <v>70</v>
          </cell>
          <cell r="G1117">
            <v>23</v>
          </cell>
        </row>
        <row r="1118">
          <cell r="A1118">
            <v>1117</v>
          </cell>
          <cell r="B1118" t="str">
            <v>Riyad Idrissi</v>
          </cell>
          <cell r="C1118" t="str">
            <v>Cagliari</v>
          </cell>
          <cell r="D1118" t="str">
            <v>Italia</v>
          </cell>
          <cell r="E1118" t="str">
            <v>LI</v>
          </cell>
          <cell r="F1118">
            <v>63</v>
          </cell>
          <cell r="G1118">
            <v>20</v>
          </cell>
        </row>
        <row r="1119">
          <cell r="A1119">
            <v>1118</v>
          </cell>
          <cell r="B1119" t="str">
            <v>Marco Palestra</v>
          </cell>
          <cell r="C1119" t="str">
            <v>Cagliari</v>
          </cell>
          <cell r="D1119" t="str">
            <v>Italia</v>
          </cell>
          <cell r="E1119" t="str">
            <v>LD</v>
          </cell>
          <cell r="F1119">
            <v>69</v>
          </cell>
          <cell r="G1119">
            <v>20</v>
          </cell>
        </row>
        <row r="1120">
          <cell r="A1120">
            <v>1119</v>
          </cell>
          <cell r="B1120" t="str">
            <v>Gabriele Zappa</v>
          </cell>
          <cell r="C1120" t="str">
            <v>Cagliari</v>
          </cell>
          <cell r="D1120" t="str">
            <v>Italia</v>
          </cell>
          <cell r="E1120" t="str">
            <v>LD</v>
          </cell>
          <cell r="F1120">
            <v>71</v>
          </cell>
          <cell r="G1120">
            <v>26</v>
          </cell>
        </row>
        <row r="1121">
          <cell r="A1121">
            <v>1120</v>
          </cell>
          <cell r="B1121" t="str">
            <v>Alessandro Di Pardo</v>
          </cell>
          <cell r="C1121" t="str">
            <v>Cagliari</v>
          </cell>
          <cell r="D1121" t="str">
            <v>Italia</v>
          </cell>
          <cell r="E1121" t="str">
            <v>LD</v>
          </cell>
          <cell r="F1121">
            <v>67</v>
          </cell>
          <cell r="G1121">
            <v>26</v>
          </cell>
        </row>
        <row r="1122">
          <cell r="A1122">
            <v>1121</v>
          </cell>
          <cell r="B1122" t="str">
            <v>Matteo Prati</v>
          </cell>
          <cell r="C1122" t="str">
            <v>Cagliari</v>
          </cell>
          <cell r="D1122" t="str">
            <v>Italia</v>
          </cell>
          <cell r="E1122" t="str">
            <v>MCD</v>
          </cell>
          <cell r="F1122">
            <v>74</v>
          </cell>
          <cell r="G1122">
            <v>22</v>
          </cell>
        </row>
        <row r="1123">
          <cell r="A1123">
            <v>1122</v>
          </cell>
          <cell r="B1123" t="str">
            <v>Michel Adopo</v>
          </cell>
          <cell r="C1123" t="str">
            <v>Cagliari</v>
          </cell>
          <cell r="D1123" t="str">
            <v>Francia</v>
          </cell>
          <cell r="E1123" t="str">
            <v>MC</v>
          </cell>
          <cell r="F1123">
            <v>69</v>
          </cell>
          <cell r="G1123">
            <v>25</v>
          </cell>
        </row>
        <row r="1124">
          <cell r="A1124">
            <v>1123</v>
          </cell>
          <cell r="B1124" t="str">
            <v>Michael Folorunsho</v>
          </cell>
          <cell r="C1124" t="str">
            <v>Cagliari</v>
          </cell>
          <cell r="D1124" t="str">
            <v>Italia</v>
          </cell>
          <cell r="E1124" t="str">
            <v>MC</v>
          </cell>
          <cell r="F1124">
            <v>77</v>
          </cell>
          <cell r="G1124">
            <v>27</v>
          </cell>
        </row>
        <row r="1125">
          <cell r="A1125">
            <v>1124</v>
          </cell>
          <cell r="B1125" t="str">
            <v>Alessandro Deiola</v>
          </cell>
          <cell r="C1125" t="str">
            <v>Cagliari</v>
          </cell>
          <cell r="D1125" t="str">
            <v>Italia</v>
          </cell>
          <cell r="E1125" t="str">
            <v>MC</v>
          </cell>
          <cell r="F1125">
            <v>69</v>
          </cell>
          <cell r="G1125">
            <v>30</v>
          </cell>
        </row>
        <row r="1126">
          <cell r="A1126">
            <v>1125</v>
          </cell>
          <cell r="B1126" t="str">
            <v>Luca Mazzitelli</v>
          </cell>
          <cell r="C1126" t="str">
            <v>Cagliari</v>
          </cell>
          <cell r="D1126" t="str">
            <v>Italia</v>
          </cell>
          <cell r="E1126" t="str">
            <v>MC</v>
          </cell>
          <cell r="F1126">
            <v>74</v>
          </cell>
          <cell r="G1126">
            <v>30</v>
          </cell>
        </row>
        <row r="1127">
          <cell r="A1127">
            <v>1126</v>
          </cell>
          <cell r="B1127" t="str">
            <v>Marko Rog</v>
          </cell>
          <cell r="C1127" t="str">
            <v>Cagliari</v>
          </cell>
          <cell r="D1127" t="str">
            <v>Croacia</v>
          </cell>
          <cell r="E1127" t="str">
            <v>MC</v>
          </cell>
          <cell r="F1127">
            <v>69</v>
          </cell>
          <cell r="G1127">
            <v>30</v>
          </cell>
        </row>
        <row r="1128">
          <cell r="A1128">
            <v>1127</v>
          </cell>
          <cell r="B1128" t="str">
            <v>Gianluca Gaetano</v>
          </cell>
          <cell r="C1128" t="str">
            <v>Cagliari</v>
          </cell>
          <cell r="D1128" t="str">
            <v>Italia</v>
          </cell>
          <cell r="E1128" t="str">
            <v>MO</v>
          </cell>
          <cell r="F1128">
            <v>75</v>
          </cell>
          <cell r="G1128">
            <v>25</v>
          </cell>
        </row>
        <row r="1129">
          <cell r="A1129">
            <v>1128</v>
          </cell>
          <cell r="B1129" t="str">
            <v>Nicolò Cavuoti</v>
          </cell>
          <cell r="C1129" t="str">
            <v>Cagliari</v>
          </cell>
          <cell r="D1129" t="str">
            <v>Italia</v>
          </cell>
          <cell r="E1129" t="str">
            <v>MO</v>
          </cell>
          <cell r="F1129">
            <v>62</v>
          </cell>
          <cell r="G1129">
            <v>22</v>
          </cell>
        </row>
        <row r="1130">
          <cell r="A1130">
            <v>1129</v>
          </cell>
          <cell r="B1130" t="str">
            <v>Mattia Felici</v>
          </cell>
          <cell r="C1130" t="str">
            <v>Cagliari</v>
          </cell>
          <cell r="D1130" t="str">
            <v>Italia</v>
          </cell>
          <cell r="E1130" t="str">
            <v>EI</v>
          </cell>
          <cell r="F1130">
            <v>69</v>
          </cell>
          <cell r="G1130">
            <v>24</v>
          </cell>
        </row>
        <row r="1131">
          <cell r="A1131">
            <v>1130</v>
          </cell>
          <cell r="B1131" t="str">
            <v>Sebastiano E.</v>
          </cell>
          <cell r="C1131" t="str">
            <v>Cagliari</v>
          </cell>
          <cell r="D1131" t="str">
            <v>Italia</v>
          </cell>
          <cell r="E1131" t="str">
            <v>SD</v>
          </cell>
          <cell r="F1131">
            <v>73</v>
          </cell>
          <cell r="G1131">
            <v>23</v>
          </cell>
        </row>
        <row r="1132">
          <cell r="A1132">
            <v>1131</v>
          </cell>
          <cell r="B1132" t="str">
            <v>Semih Kılıçsoy</v>
          </cell>
          <cell r="C1132" t="str">
            <v>Cagliari</v>
          </cell>
          <cell r="D1132" t="str">
            <v>Turquía</v>
          </cell>
          <cell r="E1132" t="str">
            <v>DC</v>
          </cell>
          <cell r="F1132">
            <v>73</v>
          </cell>
          <cell r="G1132">
            <v>20</v>
          </cell>
        </row>
        <row r="1133">
          <cell r="A1133">
            <v>1132</v>
          </cell>
          <cell r="B1133" t="str">
            <v>Zito Luvumbo</v>
          </cell>
          <cell r="C1133" t="str">
            <v>Cagliari</v>
          </cell>
          <cell r="D1133" t="str">
            <v>Angola</v>
          </cell>
          <cell r="E1133" t="str">
            <v>DC</v>
          </cell>
          <cell r="F1133">
            <v>69</v>
          </cell>
          <cell r="G1133">
            <v>23</v>
          </cell>
        </row>
        <row r="1134">
          <cell r="A1134">
            <v>1133</v>
          </cell>
          <cell r="B1134" t="str">
            <v>Andrea Belotti</v>
          </cell>
          <cell r="C1134" t="str">
            <v>Cagliari</v>
          </cell>
          <cell r="D1134" t="str">
            <v>Italia</v>
          </cell>
          <cell r="E1134" t="str">
            <v>DC</v>
          </cell>
          <cell r="F1134">
            <v>77</v>
          </cell>
          <cell r="G1134">
            <v>32</v>
          </cell>
        </row>
        <row r="1135">
          <cell r="A1135">
            <v>1134</v>
          </cell>
          <cell r="B1135" t="str">
            <v>Leonardo Pavoletti</v>
          </cell>
          <cell r="C1135" t="str">
            <v>Cagliari</v>
          </cell>
          <cell r="D1135" t="str">
            <v>Italia</v>
          </cell>
          <cell r="E1135" t="str">
            <v>DC</v>
          </cell>
          <cell r="F1135">
            <v>71</v>
          </cell>
          <cell r="G1135">
            <v>37</v>
          </cell>
        </row>
        <row r="1136">
          <cell r="A1136">
            <v>1135</v>
          </cell>
          <cell r="B1136" t="str">
            <v>Jean Butez</v>
          </cell>
          <cell r="C1136" t="str">
            <v>Como 1907</v>
          </cell>
          <cell r="D1136" t="str">
            <v>Francia</v>
          </cell>
          <cell r="E1136" t="str">
            <v>PO</v>
          </cell>
          <cell r="F1136">
            <v>77</v>
          </cell>
          <cell r="G1136">
            <v>30</v>
          </cell>
        </row>
        <row r="1137">
          <cell r="A1137">
            <v>1136</v>
          </cell>
          <cell r="B1137" t="str">
            <v>Nikola Cavlina</v>
          </cell>
          <cell r="C1137" t="str">
            <v>Como 1907</v>
          </cell>
          <cell r="D1137" t="str">
            <v>Croacia</v>
          </cell>
          <cell r="E1137" t="str">
            <v>PO</v>
          </cell>
          <cell r="F1137">
            <v>67</v>
          </cell>
          <cell r="G1137">
            <v>23</v>
          </cell>
        </row>
        <row r="1138">
          <cell r="A1138">
            <v>1137</v>
          </cell>
          <cell r="B1138" t="str">
            <v>Mauro Vigorito</v>
          </cell>
          <cell r="C1138" t="str">
            <v>Como 1907</v>
          </cell>
          <cell r="D1138" t="str">
            <v>Italia</v>
          </cell>
          <cell r="E1138" t="str">
            <v>PO</v>
          </cell>
          <cell r="F1138">
            <v>64</v>
          </cell>
          <cell r="G1138">
            <v>35</v>
          </cell>
        </row>
        <row r="1139">
          <cell r="A1139">
            <v>1138</v>
          </cell>
          <cell r="B1139" t="str">
            <v>Diego Carlos</v>
          </cell>
          <cell r="C1139" t="str">
            <v>Como 1907</v>
          </cell>
          <cell r="D1139" t="str">
            <v>Brasil</v>
          </cell>
          <cell r="E1139" t="str">
            <v>CT</v>
          </cell>
          <cell r="F1139">
            <v>79</v>
          </cell>
          <cell r="G1139">
            <v>32</v>
          </cell>
        </row>
        <row r="1140">
          <cell r="A1140">
            <v>1139</v>
          </cell>
          <cell r="B1140" t="str">
            <v>Alberto Dossena</v>
          </cell>
          <cell r="C1140" t="str">
            <v>Como 1907</v>
          </cell>
          <cell r="D1140" t="str">
            <v>Italia</v>
          </cell>
          <cell r="E1140" t="str">
            <v>CT</v>
          </cell>
          <cell r="F1140">
            <v>75</v>
          </cell>
          <cell r="G1140">
            <v>27</v>
          </cell>
        </row>
        <row r="1141">
          <cell r="A1141">
            <v>1140</v>
          </cell>
          <cell r="B1141" t="str">
            <v>Stefan Posch</v>
          </cell>
          <cell r="C1141" t="str">
            <v>Como 1907</v>
          </cell>
          <cell r="D1141" t="str">
            <v>Austria</v>
          </cell>
          <cell r="E1141" t="str">
            <v>CT</v>
          </cell>
          <cell r="F1141">
            <v>78</v>
          </cell>
          <cell r="G1141">
            <v>28</v>
          </cell>
        </row>
        <row r="1142">
          <cell r="A1142">
            <v>1141</v>
          </cell>
          <cell r="B1142" t="str">
            <v>Jacobo Ramón</v>
          </cell>
          <cell r="C1142" t="str">
            <v>Como 1907</v>
          </cell>
          <cell r="D1142" t="str">
            <v>España</v>
          </cell>
          <cell r="E1142" t="str">
            <v>CT</v>
          </cell>
          <cell r="F1142">
            <v>64</v>
          </cell>
          <cell r="G1142">
            <v>20</v>
          </cell>
        </row>
        <row r="1143">
          <cell r="A1143">
            <v>1142</v>
          </cell>
          <cell r="B1143" t="str">
            <v>Oliver Kempf</v>
          </cell>
          <cell r="C1143" t="str">
            <v>Como 1907</v>
          </cell>
          <cell r="D1143" t="str">
            <v>Alemania</v>
          </cell>
          <cell r="E1143" t="str">
            <v>CT</v>
          </cell>
          <cell r="F1143">
            <v>74</v>
          </cell>
          <cell r="G1143">
            <v>30</v>
          </cell>
        </row>
        <row r="1144">
          <cell r="A1144">
            <v>1143</v>
          </cell>
          <cell r="B1144" t="str">
            <v>Edoardo Goldaniga</v>
          </cell>
          <cell r="C1144" t="str">
            <v>Como 1907</v>
          </cell>
          <cell r="D1144" t="str">
            <v>Italia</v>
          </cell>
          <cell r="E1144" t="str">
            <v>CT</v>
          </cell>
          <cell r="F1144">
            <v>73</v>
          </cell>
          <cell r="G1144">
            <v>32</v>
          </cell>
        </row>
        <row r="1145">
          <cell r="A1145">
            <v>1144</v>
          </cell>
          <cell r="B1145" t="str">
            <v>Álex Valle</v>
          </cell>
          <cell r="C1145" t="str">
            <v>Como 1907</v>
          </cell>
          <cell r="D1145" t="str">
            <v>España</v>
          </cell>
          <cell r="E1145" t="str">
            <v>LI</v>
          </cell>
          <cell r="F1145">
            <v>71</v>
          </cell>
          <cell r="G1145">
            <v>21</v>
          </cell>
        </row>
        <row r="1146">
          <cell r="A1146">
            <v>1145</v>
          </cell>
          <cell r="B1146" t="str">
            <v>Alberto Moreno</v>
          </cell>
          <cell r="C1146" t="str">
            <v>Como 1907</v>
          </cell>
          <cell r="D1146" t="str">
            <v>España</v>
          </cell>
          <cell r="E1146" t="str">
            <v>LI</v>
          </cell>
          <cell r="F1146">
            <v>76</v>
          </cell>
          <cell r="G1146">
            <v>33</v>
          </cell>
        </row>
        <row r="1147">
          <cell r="A1147">
            <v>1146</v>
          </cell>
          <cell r="B1147" t="str">
            <v>Marco Sala</v>
          </cell>
          <cell r="C1147" t="str">
            <v>Como 1907</v>
          </cell>
          <cell r="D1147" t="str">
            <v>Italia</v>
          </cell>
          <cell r="E1147" t="str">
            <v>LI</v>
          </cell>
          <cell r="F1147">
            <v>71</v>
          </cell>
          <cell r="G1147">
            <v>26</v>
          </cell>
        </row>
        <row r="1148">
          <cell r="A1148">
            <v>1147</v>
          </cell>
          <cell r="B1148" t="str">
            <v>I. Van der Brempt</v>
          </cell>
          <cell r="C1148" t="str">
            <v>Como 1907</v>
          </cell>
          <cell r="D1148" t="str">
            <v>Bélgica</v>
          </cell>
          <cell r="E1148" t="str">
            <v>LD</v>
          </cell>
          <cell r="F1148">
            <v>70</v>
          </cell>
          <cell r="G1148">
            <v>23</v>
          </cell>
        </row>
        <row r="1149">
          <cell r="A1149">
            <v>1148</v>
          </cell>
          <cell r="B1149" t="str">
            <v>Mërgim Vojvoda</v>
          </cell>
          <cell r="C1149" t="str">
            <v>Como 1907</v>
          </cell>
          <cell r="D1149" t="str">
            <v>Kosovo</v>
          </cell>
          <cell r="E1149" t="str">
            <v>LD</v>
          </cell>
          <cell r="F1149">
            <v>74</v>
          </cell>
          <cell r="G1149">
            <v>30</v>
          </cell>
        </row>
        <row r="1150">
          <cell r="A1150">
            <v>1149</v>
          </cell>
          <cell r="B1150" t="str">
            <v>Ivan Smolcic</v>
          </cell>
          <cell r="C1150" t="str">
            <v>Como 1907</v>
          </cell>
          <cell r="D1150" t="str">
            <v>Croacia</v>
          </cell>
          <cell r="E1150" t="str">
            <v>LD</v>
          </cell>
          <cell r="F1150">
            <v>73</v>
          </cell>
          <cell r="G1150">
            <v>25</v>
          </cell>
        </row>
        <row r="1151">
          <cell r="A1151">
            <v>1150</v>
          </cell>
          <cell r="B1151" t="str">
            <v>Máximo Perrone</v>
          </cell>
          <cell r="C1151" t="str">
            <v>Como 1907</v>
          </cell>
          <cell r="D1151" t="str">
            <v>Argentina</v>
          </cell>
          <cell r="E1151" t="str">
            <v>MCD</v>
          </cell>
          <cell r="F1151">
            <v>72</v>
          </cell>
          <cell r="G1151">
            <v>22</v>
          </cell>
        </row>
        <row r="1152">
          <cell r="A1152">
            <v>1151</v>
          </cell>
          <cell r="B1152" t="str">
            <v>Maxence Caqueret</v>
          </cell>
          <cell r="C1152" t="str">
            <v>Como 1907</v>
          </cell>
          <cell r="D1152" t="str">
            <v>Francia</v>
          </cell>
          <cell r="E1152" t="str">
            <v>MC</v>
          </cell>
          <cell r="F1152">
            <v>77</v>
          </cell>
          <cell r="G1152">
            <v>25</v>
          </cell>
        </row>
        <row r="1153">
          <cell r="A1153">
            <v>1152</v>
          </cell>
          <cell r="B1153" t="str">
            <v>Lucas Da Cunha</v>
          </cell>
          <cell r="C1153" t="str">
            <v>Como 1907</v>
          </cell>
          <cell r="D1153" t="str">
            <v>Francia</v>
          </cell>
          <cell r="E1153" t="str">
            <v>MC</v>
          </cell>
          <cell r="F1153">
            <v>72</v>
          </cell>
          <cell r="G1153">
            <v>24</v>
          </cell>
        </row>
        <row r="1154">
          <cell r="A1154">
            <v>1153</v>
          </cell>
          <cell r="B1154" t="str">
            <v>Sergi Roberto</v>
          </cell>
          <cell r="C1154" t="str">
            <v>Como 1907</v>
          </cell>
          <cell r="D1154" t="str">
            <v>España</v>
          </cell>
          <cell r="E1154" t="str">
            <v>MC</v>
          </cell>
          <cell r="F1154">
            <v>78</v>
          </cell>
          <cell r="G1154">
            <v>33</v>
          </cell>
        </row>
        <row r="1155">
          <cell r="A1155">
            <v>1154</v>
          </cell>
          <cell r="B1155" t="str">
            <v>Nico Paz</v>
          </cell>
          <cell r="C1155" t="str">
            <v>Como 1907</v>
          </cell>
          <cell r="D1155" t="str">
            <v>Argentina</v>
          </cell>
          <cell r="E1155" t="str">
            <v>MO</v>
          </cell>
          <cell r="F1155">
            <v>78</v>
          </cell>
          <cell r="G1155">
            <v>21</v>
          </cell>
        </row>
        <row r="1156">
          <cell r="A1156">
            <v>1155</v>
          </cell>
          <cell r="B1156" t="str">
            <v>Martin Baturina</v>
          </cell>
          <cell r="C1156" t="str">
            <v>Como 1907</v>
          </cell>
          <cell r="D1156" t="str">
            <v>Croacia</v>
          </cell>
          <cell r="E1156" t="str">
            <v>MO</v>
          </cell>
          <cell r="F1156">
            <v>78</v>
          </cell>
          <cell r="G1156">
            <v>22</v>
          </cell>
        </row>
        <row r="1157">
          <cell r="A1157">
            <v>1156</v>
          </cell>
          <cell r="B1157" t="str">
            <v>Simone Verdi</v>
          </cell>
          <cell r="C1157" t="str">
            <v>Como 1907</v>
          </cell>
          <cell r="D1157" t="str">
            <v>Italia</v>
          </cell>
          <cell r="E1157" t="str">
            <v>MO</v>
          </cell>
          <cell r="F1157">
            <v>74</v>
          </cell>
          <cell r="G1157">
            <v>33</v>
          </cell>
        </row>
        <row r="1158">
          <cell r="A1158">
            <v>1157</v>
          </cell>
          <cell r="B1158" t="str">
            <v>Jesús Rodríguez C.</v>
          </cell>
          <cell r="C1158" t="str">
            <v>Como 1907</v>
          </cell>
          <cell r="D1158" t="str">
            <v>España</v>
          </cell>
          <cell r="E1158" t="str">
            <v>EI</v>
          </cell>
          <cell r="F1158">
            <v>72</v>
          </cell>
          <cell r="G1158">
            <v>20</v>
          </cell>
        </row>
        <row r="1159">
          <cell r="A1159">
            <v>1158</v>
          </cell>
          <cell r="B1159" t="str">
            <v>Assane Diao</v>
          </cell>
          <cell r="C1159" t="str">
            <v>Como 1907</v>
          </cell>
          <cell r="D1159" t="str">
            <v>Senegal</v>
          </cell>
          <cell r="E1159" t="str">
            <v>EI</v>
          </cell>
          <cell r="F1159">
            <v>73</v>
          </cell>
          <cell r="G1159">
            <v>20</v>
          </cell>
        </row>
        <row r="1160">
          <cell r="A1160">
            <v>1159</v>
          </cell>
          <cell r="B1160" t="str">
            <v>Nicolas Kühn</v>
          </cell>
          <cell r="C1160" t="str">
            <v>Como 1907</v>
          </cell>
          <cell r="D1160" t="str">
            <v>Alemania</v>
          </cell>
          <cell r="E1160" t="str">
            <v>ED</v>
          </cell>
          <cell r="F1160">
            <v>79</v>
          </cell>
          <cell r="G1160">
            <v>25</v>
          </cell>
        </row>
        <row r="1161">
          <cell r="A1161">
            <v>1160</v>
          </cell>
          <cell r="B1161" t="str">
            <v>Jayden Addai</v>
          </cell>
          <cell r="C1161" t="str">
            <v>Como 1907</v>
          </cell>
          <cell r="D1161" t="str">
            <v>Países Bajos</v>
          </cell>
          <cell r="E1161" t="str">
            <v>ED</v>
          </cell>
          <cell r="F1161">
            <v>66</v>
          </cell>
          <cell r="G1161">
            <v>20</v>
          </cell>
        </row>
        <row r="1162">
          <cell r="A1162">
            <v>1161</v>
          </cell>
          <cell r="B1162" t="str">
            <v>Álvaro Morata</v>
          </cell>
          <cell r="C1162" t="str">
            <v>Como 1907</v>
          </cell>
          <cell r="D1162" t="str">
            <v>España</v>
          </cell>
          <cell r="E1162" t="str">
            <v>DC</v>
          </cell>
          <cell r="F1162">
            <v>83</v>
          </cell>
          <cell r="G1162">
            <v>33</v>
          </cell>
        </row>
        <row r="1163">
          <cell r="A1163">
            <v>1162</v>
          </cell>
          <cell r="B1163" t="str">
            <v>A. Douvikas</v>
          </cell>
          <cell r="C1163" t="str">
            <v>Como 1907</v>
          </cell>
          <cell r="D1163" t="str">
            <v>Grecia</v>
          </cell>
          <cell r="E1163" t="str">
            <v>DC</v>
          </cell>
          <cell r="F1163">
            <v>75</v>
          </cell>
          <cell r="G1163">
            <v>26</v>
          </cell>
        </row>
        <row r="1164">
          <cell r="A1164">
            <v>1163</v>
          </cell>
          <cell r="B1164" t="str">
            <v>Alberto Cerri</v>
          </cell>
          <cell r="C1164" t="str">
            <v>Como 1907</v>
          </cell>
          <cell r="D1164" t="str">
            <v>Italia</v>
          </cell>
          <cell r="E1164" t="str">
            <v>DC</v>
          </cell>
          <cell r="F1164">
            <v>67</v>
          </cell>
          <cell r="G1164">
            <v>29</v>
          </cell>
        </row>
        <row r="1165">
          <cell r="A1165">
            <v>1164</v>
          </cell>
          <cell r="B1165" t="str">
            <v>Emil Audero</v>
          </cell>
          <cell r="C1165" t="str">
            <v>US Cremonese</v>
          </cell>
          <cell r="D1165" t="str">
            <v>Indonesia</v>
          </cell>
          <cell r="E1165" t="str">
            <v>PO</v>
          </cell>
          <cell r="F1165">
            <v>78</v>
          </cell>
          <cell r="G1165">
            <v>28</v>
          </cell>
        </row>
        <row r="1166">
          <cell r="A1166">
            <v>1165</v>
          </cell>
          <cell r="B1166" t="str">
            <v>Marco Silvestri</v>
          </cell>
          <cell r="C1166" t="str">
            <v>US Cremonese</v>
          </cell>
          <cell r="D1166" t="str">
            <v>Italia</v>
          </cell>
          <cell r="E1166" t="str">
            <v>PO</v>
          </cell>
          <cell r="F1166">
            <v>75</v>
          </cell>
          <cell r="G1166">
            <v>34</v>
          </cell>
        </row>
        <row r="1167">
          <cell r="A1167">
            <v>1166</v>
          </cell>
          <cell r="B1167" t="str">
            <v>Lapo Nava</v>
          </cell>
          <cell r="C1167" t="str">
            <v>US Cremonese</v>
          </cell>
          <cell r="D1167" t="str">
            <v>Italia</v>
          </cell>
          <cell r="E1167" t="str">
            <v>PO</v>
          </cell>
          <cell r="F1167">
            <v>66</v>
          </cell>
          <cell r="G1167">
            <v>21</v>
          </cell>
        </row>
        <row r="1168">
          <cell r="A1168">
            <v>1167</v>
          </cell>
          <cell r="B1168" t="str">
            <v>Mikayil Faye</v>
          </cell>
          <cell r="C1168" t="str">
            <v>US Cremonese</v>
          </cell>
          <cell r="D1168" t="str">
            <v>Senegal</v>
          </cell>
          <cell r="E1168" t="str">
            <v>CT</v>
          </cell>
          <cell r="F1168">
            <v>69</v>
          </cell>
          <cell r="G1168">
            <v>21</v>
          </cell>
        </row>
        <row r="1169">
          <cell r="A1169">
            <v>1168</v>
          </cell>
          <cell r="B1169" t="str">
            <v>Federico Baschirotto</v>
          </cell>
          <cell r="C1169" t="str">
            <v>US Cremonese</v>
          </cell>
          <cell r="D1169" t="str">
            <v>Italia</v>
          </cell>
          <cell r="E1169" t="str">
            <v>CT</v>
          </cell>
          <cell r="F1169">
            <v>76</v>
          </cell>
          <cell r="G1169">
            <v>29</v>
          </cell>
        </row>
        <row r="1170">
          <cell r="A1170">
            <v>1169</v>
          </cell>
          <cell r="B1170" t="str">
            <v>Matteo Bianchetti</v>
          </cell>
          <cell r="C1170" t="str">
            <v>US Cremonese</v>
          </cell>
          <cell r="D1170" t="str">
            <v>Italia</v>
          </cell>
          <cell r="E1170" t="str">
            <v>CT</v>
          </cell>
          <cell r="F1170">
            <v>71</v>
          </cell>
          <cell r="G1170">
            <v>32</v>
          </cell>
        </row>
        <row r="1171">
          <cell r="A1171">
            <v>1170</v>
          </cell>
          <cell r="B1171" t="str">
            <v>Francesco Folino</v>
          </cell>
          <cell r="C1171" t="str">
            <v>US Cremonese</v>
          </cell>
          <cell r="D1171" t="str">
            <v>Italia</v>
          </cell>
          <cell r="E1171" t="str">
            <v>CT</v>
          </cell>
          <cell r="F1171">
            <v>63</v>
          </cell>
          <cell r="G1171">
            <v>23</v>
          </cell>
        </row>
        <row r="1172">
          <cell r="A1172">
            <v>1171</v>
          </cell>
          <cell r="B1172" t="str">
            <v>Federico Ceccherini</v>
          </cell>
          <cell r="C1172" t="str">
            <v>US Cremonese</v>
          </cell>
          <cell r="D1172" t="str">
            <v>Italia</v>
          </cell>
          <cell r="E1172" t="str">
            <v>CT</v>
          </cell>
          <cell r="F1172">
            <v>73</v>
          </cell>
          <cell r="G1172">
            <v>33</v>
          </cell>
        </row>
        <row r="1173">
          <cell r="A1173">
            <v>1172</v>
          </cell>
          <cell r="B1173" t="str">
            <v>Giuseppe Pezzella</v>
          </cell>
          <cell r="C1173" t="str">
            <v>US Cremonese</v>
          </cell>
          <cell r="D1173" t="str">
            <v>Italia</v>
          </cell>
          <cell r="E1173" t="str">
            <v>LI</v>
          </cell>
          <cell r="F1173">
            <v>72</v>
          </cell>
          <cell r="G1173">
            <v>28</v>
          </cell>
        </row>
        <row r="1174">
          <cell r="A1174">
            <v>1173</v>
          </cell>
          <cell r="B1174" t="str">
            <v>Leonardo Sernicola</v>
          </cell>
          <cell r="C1174" t="str">
            <v>US Cremonese</v>
          </cell>
          <cell r="D1174" t="str">
            <v>Italia</v>
          </cell>
          <cell r="E1174" t="str">
            <v>LI</v>
          </cell>
          <cell r="F1174">
            <v>73</v>
          </cell>
          <cell r="G1174">
            <v>28</v>
          </cell>
        </row>
        <row r="1175">
          <cell r="A1175">
            <v>1174</v>
          </cell>
          <cell r="B1175" t="str">
            <v>Filippo Terracciano</v>
          </cell>
          <cell r="C1175" t="str">
            <v>US Cremonese</v>
          </cell>
          <cell r="D1175" t="str">
            <v>Italia</v>
          </cell>
          <cell r="E1175" t="str">
            <v>CT</v>
          </cell>
          <cell r="F1175">
            <v>70</v>
          </cell>
          <cell r="G1175">
            <v>22</v>
          </cell>
        </row>
        <row r="1176">
          <cell r="A1176">
            <v>1175</v>
          </cell>
          <cell r="B1176" t="str">
            <v>Tommaso Barbieri</v>
          </cell>
          <cell r="C1176" t="str">
            <v>US Cremonese</v>
          </cell>
          <cell r="D1176" t="str">
            <v>Italia</v>
          </cell>
          <cell r="E1176" t="str">
            <v>LD</v>
          </cell>
          <cell r="F1176">
            <v>66</v>
          </cell>
          <cell r="G1176">
            <v>23</v>
          </cell>
        </row>
        <row r="1177">
          <cell r="A1177">
            <v>1176</v>
          </cell>
          <cell r="B1177" t="str">
            <v>Romano Floriani</v>
          </cell>
          <cell r="C1177" t="str">
            <v>US Cremonese</v>
          </cell>
          <cell r="D1177" t="str">
            <v>Italia</v>
          </cell>
          <cell r="E1177" t="str">
            <v>LD</v>
          </cell>
          <cell r="F1177">
            <v>66</v>
          </cell>
          <cell r="G1177">
            <v>22</v>
          </cell>
        </row>
        <row r="1178">
          <cell r="A1178">
            <v>1177</v>
          </cell>
          <cell r="B1178" t="str">
            <v>Alberto Grassi</v>
          </cell>
          <cell r="C1178" t="str">
            <v>US Cremonese</v>
          </cell>
          <cell r="D1178" t="str">
            <v>Italia</v>
          </cell>
          <cell r="E1178" t="str">
            <v>MCD</v>
          </cell>
          <cell r="F1178">
            <v>72</v>
          </cell>
          <cell r="G1178">
            <v>30</v>
          </cell>
        </row>
        <row r="1179">
          <cell r="A1179">
            <v>1178</v>
          </cell>
          <cell r="B1179" t="str">
            <v>Warren Bondo</v>
          </cell>
          <cell r="C1179" t="str">
            <v>US Cremonese</v>
          </cell>
          <cell r="D1179" t="str">
            <v>Francia</v>
          </cell>
          <cell r="E1179" t="str">
            <v>MC</v>
          </cell>
          <cell r="F1179">
            <v>72</v>
          </cell>
          <cell r="G1179">
            <v>22</v>
          </cell>
        </row>
        <row r="1180">
          <cell r="A1180">
            <v>1179</v>
          </cell>
          <cell r="B1180" t="str">
            <v>Martín Payero</v>
          </cell>
          <cell r="C1180" t="str">
            <v>US Cremonese</v>
          </cell>
          <cell r="D1180" t="str">
            <v>Argentina</v>
          </cell>
          <cell r="E1180" t="str">
            <v>MC</v>
          </cell>
          <cell r="F1180">
            <v>73</v>
          </cell>
          <cell r="G1180">
            <v>27</v>
          </cell>
        </row>
        <row r="1181">
          <cell r="A1181">
            <v>1180</v>
          </cell>
          <cell r="B1181" t="str">
            <v>Jari Vandeputte</v>
          </cell>
          <cell r="C1181" t="str">
            <v>US Cremonese</v>
          </cell>
          <cell r="D1181" t="str">
            <v>Bélgica</v>
          </cell>
          <cell r="E1181" t="str">
            <v>MC</v>
          </cell>
          <cell r="F1181">
            <v>69</v>
          </cell>
          <cell r="G1181">
            <v>29</v>
          </cell>
        </row>
        <row r="1182">
          <cell r="A1182">
            <v>1181</v>
          </cell>
          <cell r="B1182" t="str">
            <v>Michele Collocolo</v>
          </cell>
          <cell r="C1182" t="str">
            <v>US Cremonese</v>
          </cell>
          <cell r="D1182" t="str">
            <v>Italia</v>
          </cell>
          <cell r="E1182" t="str">
            <v>MC</v>
          </cell>
          <cell r="F1182">
            <v>69</v>
          </cell>
          <cell r="G1182">
            <v>26</v>
          </cell>
        </row>
        <row r="1183">
          <cell r="A1183">
            <v>1182</v>
          </cell>
          <cell r="B1183" t="str">
            <v>Mattia Valoti</v>
          </cell>
          <cell r="C1183" t="str">
            <v>US Cremonese</v>
          </cell>
          <cell r="D1183" t="str">
            <v>Italia</v>
          </cell>
          <cell r="E1183" t="str">
            <v>MC</v>
          </cell>
          <cell r="F1183">
            <v>71</v>
          </cell>
          <cell r="G1183">
            <v>32</v>
          </cell>
        </row>
        <row r="1184">
          <cell r="A1184">
            <v>1183</v>
          </cell>
          <cell r="B1184" t="str">
            <v>D. Lordkipanidze</v>
          </cell>
          <cell r="C1184" t="str">
            <v>US Cremonese</v>
          </cell>
          <cell r="D1184" t="str">
            <v>Georgia</v>
          </cell>
          <cell r="E1184" t="str">
            <v>MC</v>
          </cell>
          <cell r="F1184">
            <v>56</v>
          </cell>
          <cell r="G1184">
            <v>20</v>
          </cell>
        </row>
        <row r="1185">
          <cell r="A1185">
            <v>1184</v>
          </cell>
          <cell r="B1185" t="str">
            <v>Alessio Zerbin</v>
          </cell>
          <cell r="C1185" t="str">
            <v>US Cremonese</v>
          </cell>
          <cell r="D1185" t="str">
            <v>Italia</v>
          </cell>
          <cell r="E1185" t="str">
            <v>ED</v>
          </cell>
          <cell r="F1185">
            <v>72</v>
          </cell>
          <cell r="G1185">
            <v>26</v>
          </cell>
        </row>
        <row r="1186">
          <cell r="A1186">
            <v>1185</v>
          </cell>
          <cell r="B1186" t="str">
            <v>Franco Vázquez</v>
          </cell>
          <cell r="C1186" t="str">
            <v>US Cremonese</v>
          </cell>
          <cell r="D1186" t="str">
            <v>Argentina</v>
          </cell>
          <cell r="E1186" t="str">
            <v>MO</v>
          </cell>
          <cell r="F1186">
            <v>76</v>
          </cell>
          <cell r="G1186">
            <v>36</v>
          </cell>
        </row>
        <row r="1187">
          <cell r="A1187">
            <v>1186</v>
          </cell>
          <cell r="B1187" t="str">
            <v>Jeremy Sarmiento</v>
          </cell>
          <cell r="C1187" t="str">
            <v>US Cremonese</v>
          </cell>
          <cell r="D1187" t="str">
            <v>Ecuador</v>
          </cell>
          <cell r="E1187" t="str">
            <v>EI</v>
          </cell>
          <cell r="F1187">
            <v>72</v>
          </cell>
          <cell r="G1187">
            <v>23</v>
          </cell>
        </row>
        <row r="1188">
          <cell r="A1188">
            <v>1187</v>
          </cell>
          <cell r="B1188" t="str">
            <v>Dennis Johnsen</v>
          </cell>
          <cell r="C1188" t="str">
            <v>US Cremonese</v>
          </cell>
          <cell r="D1188" t="str">
            <v>Noruega</v>
          </cell>
          <cell r="E1188" t="str">
            <v>EI</v>
          </cell>
          <cell r="F1188">
            <v>72</v>
          </cell>
          <cell r="G1188">
            <v>27</v>
          </cell>
        </row>
        <row r="1189">
          <cell r="A1189">
            <v>1188</v>
          </cell>
          <cell r="B1189" t="str">
            <v>Faris Moumbagna</v>
          </cell>
          <cell r="C1189" t="str">
            <v>US Cremonese</v>
          </cell>
          <cell r="D1189" t="str">
            <v>Camerún</v>
          </cell>
          <cell r="E1189" t="str">
            <v>DC</v>
          </cell>
          <cell r="F1189">
            <v>74</v>
          </cell>
          <cell r="G1189">
            <v>25</v>
          </cell>
        </row>
        <row r="1190">
          <cell r="A1190">
            <v>1189</v>
          </cell>
          <cell r="B1190" t="str">
            <v>Antonio Sanabria</v>
          </cell>
          <cell r="C1190" t="str">
            <v>US Cremonese</v>
          </cell>
          <cell r="D1190" t="str">
            <v>Paraguay</v>
          </cell>
          <cell r="E1190" t="str">
            <v>DC</v>
          </cell>
          <cell r="F1190">
            <v>77</v>
          </cell>
          <cell r="G1190">
            <v>29</v>
          </cell>
        </row>
        <row r="1191">
          <cell r="A1191">
            <v>1190</v>
          </cell>
          <cell r="B1191" t="str">
            <v>Manuel De Luca</v>
          </cell>
          <cell r="C1191" t="str">
            <v>US Cremonese</v>
          </cell>
          <cell r="D1191" t="str">
            <v>Italia</v>
          </cell>
          <cell r="E1191" t="str">
            <v>DC</v>
          </cell>
          <cell r="F1191">
            <v>70</v>
          </cell>
          <cell r="G1191">
            <v>27</v>
          </cell>
        </row>
        <row r="1192">
          <cell r="A1192">
            <v>1191</v>
          </cell>
          <cell r="B1192" t="str">
            <v>David Okereke</v>
          </cell>
          <cell r="C1192" t="str">
            <v>US Cremonese</v>
          </cell>
          <cell r="D1192" t="str">
            <v>Nigeria</v>
          </cell>
          <cell r="E1192" t="str">
            <v>DC</v>
          </cell>
          <cell r="F1192">
            <v>74</v>
          </cell>
          <cell r="G1192">
            <v>28</v>
          </cell>
        </row>
        <row r="1193">
          <cell r="A1193">
            <v>1192</v>
          </cell>
          <cell r="B1193" t="str">
            <v>Jamie Vardy</v>
          </cell>
          <cell r="C1193" t="str">
            <v>US Cremonese</v>
          </cell>
          <cell r="D1193" t="str">
            <v>Inglaterra</v>
          </cell>
          <cell r="E1193" t="str">
            <v>DC</v>
          </cell>
          <cell r="F1193">
            <v>77</v>
          </cell>
          <cell r="G1193">
            <v>38</v>
          </cell>
        </row>
        <row r="1194">
          <cell r="A1194">
            <v>1193</v>
          </cell>
          <cell r="B1194" t="str">
            <v>Federico Bonazzoli</v>
          </cell>
          <cell r="C1194" t="str">
            <v>US Cremonese</v>
          </cell>
          <cell r="D1194" t="str">
            <v>Italia</v>
          </cell>
          <cell r="E1194" t="str">
            <v>DC</v>
          </cell>
          <cell r="F1194">
            <v>71</v>
          </cell>
          <cell r="G1194">
            <v>28</v>
          </cell>
        </row>
        <row r="1195">
          <cell r="A1195">
            <v>1194</v>
          </cell>
          <cell r="B1195" t="str">
            <v>David de Gea</v>
          </cell>
          <cell r="C1195" t="str">
            <v>Fiorentina</v>
          </cell>
          <cell r="D1195" t="str">
            <v>España</v>
          </cell>
          <cell r="E1195" t="str">
            <v>PO</v>
          </cell>
          <cell r="F1195">
            <v>83</v>
          </cell>
          <cell r="G1195">
            <v>35</v>
          </cell>
        </row>
        <row r="1196">
          <cell r="A1196">
            <v>1195</v>
          </cell>
          <cell r="B1196" t="str">
            <v>T. Martinelli</v>
          </cell>
          <cell r="C1196" t="str">
            <v>Fiorentina</v>
          </cell>
          <cell r="D1196" t="str">
            <v>Italia</v>
          </cell>
          <cell r="E1196" t="str">
            <v>PO</v>
          </cell>
          <cell r="F1196">
            <v>63</v>
          </cell>
          <cell r="G1196">
            <v>19</v>
          </cell>
        </row>
        <row r="1197">
          <cell r="A1197">
            <v>1196</v>
          </cell>
          <cell r="B1197" t="str">
            <v>Luca Lezzerini</v>
          </cell>
          <cell r="C1197" t="str">
            <v>Fiorentina</v>
          </cell>
          <cell r="D1197" t="str">
            <v>Italia</v>
          </cell>
          <cell r="E1197" t="str">
            <v>PO</v>
          </cell>
          <cell r="F1197">
            <v>69</v>
          </cell>
          <cell r="G1197">
            <v>30</v>
          </cell>
        </row>
        <row r="1198">
          <cell r="A1198">
            <v>1197</v>
          </cell>
          <cell r="B1198" t="str">
            <v>Pietro Comuzzo</v>
          </cell>
          <cell r="C1198" t="str">
            <v>Fiorentina</v>
          </cell>
          <cell r="D1198" t="str">
            <v>Italia</v>
          </cell>
          <cell r="E1198" t="str">
            <v>CT</v>
          </cell>
          <cell r="F1198">
            <v>71</v>
          </cell>
          <cell r="G1198">
            <v>20</v>
          </cell>
        </row>
        <row r="1199">
          <cell r="A1199">
            <v>1198</v>
          </cell>
          <cell r="B1199" t="str">
            <v>Luca Ranieri</v>
          </cell>
          <cell r="C1199" t="str">
            <v>Fiorentina</v>
          </cell>
          <cell r="D1199" t="str">
            <v>Italia</v>
          </cell>
          <cell r="E1199" t="str">
            <v>CT</v>
          </cell>
          <cell r="F1199">
            <v>74</v>
          </cell>
          <cell r="G1199">
            <v>26</v>
          </cell>
        </row>
        <row r="1200">
          <cell r="A1200">
            <v>1199</v>
          </cell>
          <cell r="B1200" t="str">
            <v>Marin Pongracic</v>
          </cell>
          <cell r="C1200" t="str">
            <v>Fiorentina</v>
          </cell>
          <cell r="D1200" t="str">
            <v>Croacia</v>
          </cell>
          <cell r="E1200" t="str">
            <v>CT</v>
          </cell>
          <cell r="F1200">
            <v>75</v>
          </cell>
          <cell r="G1200">
            <v>28</v>
          </cell>
        </row>
        <row r="1201">
          <cell r="A1201">
            <v>1200</v>
          </cell>
          <cell r="B1201" t="str">
            <v>Mattia Viti</v>
          </cell>
          <cell r="C1201" t="str">
            <v>Fiorentina</v>
          </cell>
          <cell r="D1201" t="str">
            <v>Italia</v>
          </cell>
          <cell r="E1201" t="str">
            <v>CT</v>
          </cell>
          <cell r="F1201">
            <v>72</v>
          </cell>
          <cell r="G1201">
            <v>23</v>
          </cell>
        </row>
        <row r="1202">
          <cell r="A1202">
            <v>1201</v>
          </cell>
          <cell r="B1202" t="str">
            <v>Pablo Marí</v>
          </cell>
          <cell r="C1202" t="str">
            <v>Fiorentina</v>
          </cell>
          <cell r="D1202" t="str">
            <v>España</v>
          </cell>
          <cell r="E1202" t="str">
            <v>CT</v>
          </cell>
          <cell r="F1202">
            <v>75</v>
          </cell>
          <cell r="G1202">
            <v>32</v>
          </cell>
        </row>
        <row r="1203">
          <cell r="A1203">
            <v>1202</v>
          </cell>
          <cell r="B1203" t="str">
            <v>Niccolò Fortini</v>
          </cell>
          <cell r="C1203" t="str">
            <v>Fiorentina</v>
          </cell>
          <cell r="D1203" t="str">
            <v>Italia</v>
          </cell>
          <cell r="E1203" t="str">
            <v>LI</v>
          </cell>
          <cell r="F1203">
            <v>63</v>
          </cell>
          <cell r="G1203">
            <v>19</v>
          </cell>
        </row>
        <row r="1204">
          <cell r="A1204">
            <v>1203</v>
          </cell>
          <cell r="B1204" t="str">
            <v>Robin Gosens</v>
          </cell>
          <cell r="C1204" t="str">
            <v>Fiorentina</v>
          </cell>
          <cell r="D1204" t="str">
            <v>Alemania</v>
          </cell>
          <cell r="E1204" t="str">
            <v>LI</v>
          </cell>
          <cell r="F1204">
            <v>82</v>
          </cell>
          <cell r="G1204">
            <v>31</v>
          </cell>
        </row>
        <row r="1205">
          <cell r="A1205">
            <v>1204</v>
          </cell>
          <cell r="B1205" t="str">
            <v>Fabiano Parisi</v>
          </cell>
          <cell r="C1205" t="str">
            <v>Fiorentina</v>
          </cell>
          <cell r="D1205" t="str">
            <v>Italia</v>
          </cell>
          <cell r="E1205" t="str">
            <v>LI</v>
          </cell>
          <cell r="F1205">
            <v>77</v>
          </cell>
          <cell r="G1205">
            <v>25</v>
          </cell>
        </row>
        <row r="1206">
          <cell r="A1206">
            <v>1205</v>
          </cell>
          <cell r="B1206" t="str">
            <v>Dodô Cordeiro</v>
          </cell>
          <cell r="C1206" t="str">
            <v>Fiorentina</v>
          </cell>
          <cell r="D1206" t="str">
            <v>Brasil</v>
          </cell>
          <cell r="E1206" t="str">
            <v>LD</v>
          </cell>
          <cell r="F1206">
            <v>77</v>
          </cell>
          <cell r="G1206">
            <v>27</v>
          </cell>
        </row>
        <row r="1207">
          <cell r="A1207">
            <v>1206</v>
          </cell>
          <cell r="B1207" t="str">
            <v>Tariq Lamptey</v>
          </cell>
          <cell r="C1207" t="str">
            <v>Fiorentina</v>
          </cell>
          <cell r="D1207" t="str">
            <v>Ghana</v>
          </cell>
          <cell r="E1207" t="str">
            <v>LD</v>
          </cell>
          <cell r="F1207">
            <v>74</v>
          </cell>
          <cell r="G1207">
            <v>25</v>
          </cell>
        </row>
        <row r="1208">
          <cell r="A1208">
            <v>1207</v>
          </cell>
          <cell r="B1208" t="str">
            <v>R. Mandragora</v>
          </cell>
          <cell r="C1208" t="str">
            <v>Fiorentina</v>
          </cell>
          <cell r="D1208" t="str">
            <v>Italia</v>
          </cell>
          <cell r="E1208" t="str">
            <v>MCD</v>
          </cell>
          <cell r="F1208">
            <v>78</v>
          </cell>
          <cell r="G1208">
            <v>28</v>
          </cell>
        </row>
        <row r="1209">
          <cell r="A1209">
            <v>1208</v>
          </cell>
          <cell r="B1209" t="str">
            <v>Nicolò Fagioli</v>
          </cell>
          <cell r="C1209" t="str">
            <v>Fiorentina</v>
          </cell>
          <cell r="D1209" t="str">
            <v>Italia</v>
          </cell>
          <cell r="E1209" t="str">
            <v>MC</v>
          </cell>
          <cell r="F1209">
            <v>77</v>
          </cell>
          <cell r="G1209">
            <v>24</v>
          </cell>
        </row>
        <row r="1210">
          <cell r="A1210">
            <v>1209</v>
          </cell>
          <cell r="B1210" t="str">
            <v>Simon Sohm</v>
          </cell>
          <cell r="C1210" t="str">
            <v>Fiorentina</v>
          </cell>
          <cell r="D1210" t="str">
            <v>Suiza</v>
          </cell>
          <cell r="E1210" t="str">
            <v>MC</v>
          </cell>
          <cell r="F1210">
            <v>69</v>
          </cell>
          <cell r="G1210">
            <v>24</v>
          </cell>
        </row>
        <row r="1211">
          <cell r="A1211">
            <v>1210</v>
          </cell>
          <cell r="B1211" t="str">
            <v>Jacopo Fazzini</v>
          </cell>
          <cell r="C1211" t="str">
            <v>Fiorentina</v>
          </cell>
          <cell r="D1211" t="str">
            <v>Italia</v>
          </cell>
          <cell r="E1211" t="str">
            <v>MC</v>
          </cell>
          <cell r="F1211">
            <v>70</v>
          </cell>
          <cell r="G1211">
            <v>22</v>
          </cell>
        </row>
        <row r="1212">
          <cell r="A1212">
            <v>1211</v>
          </cell>
          <cell r="B1212" t="str">
            <v>Hans Nicolussi</v>
          </cell>
          <cell r="C1212" t="str">
            <v>Fiorentina</v>
          </cell>
          <cell r="D1212" t="str">
            <v>Italia</v>
          </cell>
          <cell r="E1212" t="str">
            <v>MC</v>
          </cell>
          <cell r="F1212">
            <v>68</v>
          </cell>
          <cell r="G1212">
            <v>25</v>
          </cell>
        </row>
        <row r="1213">
          <cell r="A1213">
            <v>1212</v>
          </cell>
          <cell r="B1213" t="str">
            <v>Amir Richardson</v>
          </cell>
          <cell r="C1213" t="str">
            <v>Fiorentina</v>
          </cell>
          <cell r="D1213" t="str">
            <v>Marruecos</v>
          </cell>
          <cell r="E1213" t="str">
            <v>MC</v>
          </cell>
          <cell r="F1213">
            <v>71</v>
          </cell>
          <cell r="G1213">
            <v>23</v>
          </cell>
        </row>
        <row r="1214">
          <cell r="A1214">
            <v>1213</v>
          </cell>
          <cell r="B1214" t="str">
            <v>Cher Ndour</v>
          </cell>
          <cell r="C1214" t="str">
            <v>Fiorentina</v>
          </cell>
          <cell r="D1214" t="str">
            <v>Italia</v>
          </cell>
          <cell r="E1214" t="str">
            <v>MC</v>
          </cell>
          <cell r="F1214">
            <v>71</v>
          </cell>
          <cell r="G1214">
            <v>21</v>
          </cell>
        </row>
        <row r="1215">
          <cell r="A1215">
            <v>1214</v>
          </cell>
          <cell r="B1215" t="str">
            <v>Gino Infantino</v>
          </cell>
          <cell r="C1215" t="str">
            <v>Fiorentina</v>
          </cell>
          <cell r="D1215" t="str">
            <v>Argentina</v>
          </cell>
          <cell r="E1215" t="str">
            <v>MC</v>
          </cell>
          <cell r="F1215">
            <v>74</v>
          </cell>
          <cell r="G1215">
            <v>22</v>
          </cell>
        </row>
        <row r="1216">
          <cell r="A1216">
            <v>1215</v>
          </cell>
          <cell r="B1216" t="str">
            <v>Abdelhamid Sabiri</v>
          </cell>
          <cell r="C1216" t="str">
            <v>Fiorentina</v>
          </cell>
          <cell r="D1216" t="str">
            <v>Marruecos</v>
          </cell>
          <cell r="E1216" t="str">
            <v>MO</v>
          </cell>
          <cell r="F1216">
            <v>73</v>
          </cell>
          <cell r="G1216">
            <v>29</v>
          </cell>
        </row>
        <row r="1217">
          <cell r="A1217">
            <v>1216</v>
          </cell>
          <cell r="B1217" t="str">
            <v>A. Gudmundsson</v>
          </cell>
          <cell r="C1217" t="str">
            <v>Fiorentina</v>
          </cell>
          <cell r="D1217" t="str">
            <v>Islandia</v>
          </cell>
          <cell r="E1217" t="str">
            <v>SD</v>
          </cell>
          <cell r="F1217">
            <v>80</v>
          </cell>
          <cell r="G1217">
            <v>28</v>
          </cell>
        </row>
        <row r="1218">
          <cell r="A1218">
            <v>1217</v>
          </cell>
          <cell r="B1218" t="str">
            <v>Moise Kean</v>
          </cell>
          <cell r="C1218" t="str">
            <v>Fiorentina</v>
          </cell>
          <cell r="D1218" t="str">
            <v>Italia</v>
          </cell>
          <cell r="E1218" t="str">
            <v>DC</v>
          </cell>
          <cell r="F1218">
            <v>80</v>
          </cell>
          <cell r="G1218">
            <v>25</v>
          </cell>
        </row>
        <row r="1219">
          <cell r="A1219">
            <v>1218</v>
          </cell>
          <cell r="B1219" t="str">
            <v>Roberto Piccoli</v>
          </cell>
          <cell r="C1219" t="str">
            <v>Fiorentina</v>
          </cell>
          <cell r="D1219" t="str">
            <v>Italia</v>
          </cell>
          <cell r="E1219" t="str">
            <v>DC</v>
          </cell>
          <cell r="F1219">
            <v>72</v>
          </cell>
          <cell r="G1219">
            <v>24</v>
          </cell>
        </row>
        <row r="1220">
          <cell r="A1220">
            <v>1219</v>
          </cell>
          <cell r="B1220" t="str">
            <v>Christian Kouamé</v>
          </cell>
          <cell r="C1220" t="str">
            <v>Fiorentina</v>
          </cell>
          <cell r="D1220" t="str">
            <v>Costa de Marfil</v>
          </cell>
          <cell r="E1220" t="str">
            <v>DC</v>
          </cell>
          <cell r="F1220">
            <v>76</v>
          </cell>
          <cell r="G1220">
            <v>28</v>
          </cell>
        </row>
        <row r="1221">
          <cell r="A1221">
            <v>1220</v>
          </cell>
          <cell r="B1221" t="str">
            <v>Edin Džeko</v>
          </cell>
          <cell r="C1221" t="str">
            <v>Fiorentina</v>
          </cell>
          <cell r="D1221" t="str">
            <v>Bosnia y Herzegovina</v>
          </cell>
          <cell r="E1221" t="str">
            <v>DC</v>
          </cell>
          <cell r="F1221">
            <v>82</v>
          </cell>
          <cell r="G1221">
            <v>39</v>
          </cell>
        </row>
        <row r="1222">
          <cell r="A1222">
            <v>1221</v>
          </cell>
          <cell r="B1222" t="str">
            <v>Nicola Leali</v>
          </cell>
          <cell r="C1222" t="str">
            <v>Génova</v>
          </cell>
          <cell r="D1222" t="str">
            <v>Italia</v>
          </cell>
          <cell r="E1222" t="str">
            <v>PO</v>
          </cell>
          <cell r="F1222">
            <v>70</v>
          </cell>
          <cell r="G1222">
            <v>32</v>
          </cell>
        </row>
        <row r="1223">
          <cell r="A1223">
            <v>1222</v>
          </cell>
          <cell r="B1223" t="str">
            <v>Benjamin Siegrist</v>
          </cell>
          <cell r="C1223" t="str">
            <v>Génova</v>
          </cell>
          <cell r="D1223" t="str">
            <v>Suiza</v>
          </cell>
          <cell r="E1223" t="str">
            <v>PO</v>
          </cell>
          <cell r="F1223">
            <v>70</v>
          </cell>
          <cell r="G1223">
            <v>33</v>
          </cell>
        </row>
        <row r="1224">
          <cell r="A1224">
            <v>1223</v>
          </cell>
          <cell r="B1224" t="str">
            <v>Daniele Sommariva</v>
          </cell>
          <cell r="C1224" t="str">
            <v>Génova</v>
          </cell>
          <cell r="D1224" t="str">
            <v>Italia</v>
          </cell>
          <cell r="E1224" t="str">
            <v>PO</v>
          </cell>
          <cell r="F1224">
            <v>65</v>
          </cell>
          <cell r="G1224">
            <v>28</v>
          </cell>
        </row>
        <row r="1225">
          <cell r="A1225">
            <v>1224</v>
          </cell>
          <cell r="B1225" t="str">
            <v>Johan Vásquez</v>
          </cell>
          <cell r="C1225" t="str">
            <v>Génova</v>
          </cell>
          <cell r="D1225" t="str">
            <v>México</v>
          </cell>
          <cell r="E1225" t="str">
            <v>CT</v>
          </cell>
          <cell r="F1225">
            <v>75</v>
          </cell>
          <cell r="G1225">
            <v>27</v>
          </cell>
        </row>
        <row r="1226">
          <cell r="A1226">
            <v>1225</v>
          </cell>
          <cell r="B1226" t="str">
            <v>Leo Ostigard</v>
          </cell>
          <cell r="C1226" t="str">
            <v>Génova</v>
          </cell>
          <cell r="D1226" t="str">
            <v>Noruega</v>
          </cell>
          <cell r="E1226" t="str">
            <v>CT</v>
          </cell>
          <cell r="F1226">
            <v>74</v>
          </cell>
          <cell r="G1226">
            <v>26</v>
          </cell>
        </row>
        <row r="1227">
          <cell r="A1227">
            <v>1226</v>
          </cell>
          <cell r="B1227" t="str">
            <v>A. Marcandalli</v>
          </cell>
          <cell r="C1227" t="str">
            <v>Génova</v>
          </cell>
          <cell r="D1227" t="str">
            <v>Italia</v>
          </cell>
          <cell r="E1227" t="str">
            <v>CT</v>
          </cell>
          <cell r="F1227">
            <v>66</v>
          </cell>
          <cell r="G1227">
            <v>23</v>
          </cell>
        </row>
        <row r="1228">
          <cell r="A1228">
            <v>1227</v>
          </cell>
          <cell r="B1228" t="str">
            <v>Sebastian Otoa</v>
          </cell>
          <cell r="C1228" t="str">
            <v>Génova</v>
          </cell>
          <cell r="D1228" t="str">
            <v>Dinamarca</v>
          </cell>
          <cell r="E1228" t="str">
            <v>CT</v>
          </cell>
          <cell r="F1228">
            <v>63</v>
          </cell>
          <cell r="G1228">
            <v>21</v>
          </cell>
        </row>
        <row r="1229">
          <cell r="A1229">
            <v>1228</v>
          </cell>
          <cell r="B1229" t="str">
            <v>Aarón Martín</v>
          </cell>
          <cell r="C1229" t="str">
            <v>Génova</v>
          </cell>
          <cell r="D1229" t="str">
            <v>España</v>
          </cell>
          <cell r="E1229" t="str">
            <v>LI</v>
          </cell>
          <cell r="F1229">
            <v>72</v>
          </cell>
          <cell r="G1229">
            <v>28</v>
          </cell>
        </row>
        <row r="1230">
          <cell r="A1230">
            <v>1229</v>
          </cell>
          <cell r="B1230" t="str">
            <v>Brooke Norton-Cuffy</v>
          </cell>
          <cell r="C1230" t="str">
            <v>Génova</v>
          </cell>
          <cell r="D1230" t="str">
            <v>Inglaterra</v>
          </cell>
          <cell r="E1230" t="str">
            <v>LD</v>
          </cell>
          <cell r="F1230">
            <v>67</v>
          </cell>
          <cell r="G1230">
            <v>21</v>
          </cell>
        </row>
        <row r="1231">
          <cell r="A1231">
            <v>1230</v>
          </cell>
          <cell r="B1231" t="str">
            <v>Stefano Sabelli</v>
          </cell>
          <cell r="C1231" t="str">
            <v>Génova</v>
          </cell>
          <cell r="D1231" t="str">
            <v>Italia</v>
          </cell>
          <cell r="E1231" t="str">
            <v>LD</v>
          </cell>
          <cell r="F1231">
            <v>70</v>
          </cell>
          <cell r="G1231">
            <v>32</v>
          </cell>
        </row>
        <row r="1232">
          <cell r="A1232">
            <v>1231</v>
          </cell>
          <cell r="B1232" t="str">
            <v>Jean Onana</v>
          </cell>
          <cell r="C1232" t="str">
            <v>Génova</v>
          </cell>
          <cell r="D1232" t="str">
            <v>Camerún</v>
          </cell>
          <cell r="E1232" t="str">
            <v>MCD</v>
          </cell>
          <cell r="F1232">
            <v>73</v>
          </cell>
          <cell r="G1232">
            <v>25</v>
          </cell>
        </row>
        <row r="1233">
          <cell r="A1233">
            <v>1232</v>
          </cell>
          <cell r="B1233" t="str">
            <v>Morten Frendrup</v>
          </cell>
          <cell r="C1233" t="str">
            <v>Génova</v>
          </cell>
          <cell r="D1233" t="str">
            <v>Dinamarca</v>
          </cell>
          <cell r="E1233" t="str">
            <v>MCD</v>
          </cell>
          <cell r="F1233">
            <v>76</v>
          </cell>
          <cell r="G1233">
            <v>24</v>
          </cell>
        </row>
        <row r="1234">
          <cell r="A1234">
            <v>1233</v>
          </cell>
          <cell r="B1234" t="str">
            <v>Patrizio Masini</v>
          </cell>
          <cell r="C1234" t="str">
            <v>Génova</v>
          </cell>
          <cell r="D1234" t="str">
            <v>Italia</v>
          </cell>
          <cell r="E1234" t="str">
            <v>MC</v>
          </cell>
          <cell r="F1234">
            <v>59</v>
          </cell>
          <cell r="G1234">
            <v>24</v>
          </cell>
        </row>
        <row r="1235">
          <cell r="A1235">
            <v>1234</v>
          </cell>
          <cell r="B1235" t="str">
            <v>Mikael Ellertsson</v>
          </cell>
          <cell r="C1235" t="str">
            <v>Génova</v>
          </cell>
          <cell r="D1235" t="str">
            <v>Islandia</v>
          </cell>
          <cell r="E1235" t="str">
            <v>MC</v>
          </cell>
          <cell r="F1235">
            <v>66</v>
          </cell>
          <cell r="G1235">
            <v>23</v>
          </cell>
        </row>
        <row r="1236">
          <cell r="A1236">
            <v>1235</v>
          </cell>
          <cell r="B1236" t="str">
            <v>Morten Thorsby</v>
          </cell>
          <cell r="C1236" t="str">
            <v>Génova</v>
          </cell>
          <cell r="D1236" t="str">
            <v>Noruega</v>
          </cell>
          <cell r="E1236" t="str">
            <v>MC</v>
          </cell>
          <cell r="F1236">
            <v>74</v>
          </cell>
          <cell r="G1236">
            <v>29</v>
          </cell>
        </row>
        <row r="1237">
          <cell r="A1237">
            <v>1236</v>
          </cell>
          <cell r="B1237" t="str">
            <v>Valentín Carboni</v>
          </cell>
          <cell r="C1237" t="str">
            <v>Génova</v>
          </cell>
          <cell r="D1237" t="str">
            <v>Argentina</v>
          </cell>
          <cell r="E1237" t="str">
            <v>MO</v>
          </cell>
          <cell r="F1237">
            <v>73</v>
          </cell>
          <cell r="G1237">
            <v>20</v>
          </cell>
        </row>
        <row r="1238">
          <cell r="A1238">
            <v>1237</v>
          </cell>
          <cell r="B1238" t="str">
            <v>Albert Gronbaek</v>
          </cell>
          <cell r="C1238" t="str">
            <v>Génova</v>
          </cell>
          <cell r="D1238" t="str">
            <v>Dinamarca</v>
          </cell>
          <cell r="E1238" t="str">
            <v>MO</v>
          </cell>
          <cell r="F1238">
            <v>75</v>
          </cell>
          <cell r="G1238">
            <v>24</v>
          </cell>
        </row>
        <row r="1239">
          <cell r="A1239">
            <v>1238</v>
          </cell>
          <cell r="B1239" t="str">
            <v>Nicolae Stanciu</v>
          </cell>
          <cell r="C1239" t="str">
            <v>Génova</v>
          </cell>
          <cell r="D1239" t="str">
            <v>Rumania</v>
          </cell>
          <cell r="E1239" t="str">
            <v>MO</v>
          </cell>
          <cell r="F1239">
            <v>76</v>
          </cell>
          <cell r="G1239">
            <v>32</v>
          </cell>
        </row>
        <row r="1240">
          <cell r="A1240">
            <v>1239</v>
          </cell>
          <cell r="B1240" t="str">
            <v>Ruslan Malinovskyi</v>
          </cell>
          <cell r="C1240" t="str">
            <v>Génova</v>
          </cell>
          <cell r="D1240" t="str">
            <v>Ucrania</v>
          </cell>
          <cell r="E1240" t="str">
            <v>MC</v>
          </cell>
          <cell r="F1240">
            <v>77</v>
          </cell>
          <cell r="G1240">
            <v>32</v>
          </cell>
        </row>
        <row r="1241">
          <cell r="A1241">
            <v>1240</v>
          </cell>
          <cell r="B1241" t="str">
            <v>Hugo Cuenca</v>
          </cell>
          <cell r="C1241" t="str">
            <v>Génova</v>
          </cell>
          <cell r="D1241" t="str">
            <v>Paraguay</v>
          </cell>
          <cell r="E1241" t="str">
            <v>MO</v>
          </cell>
          <cell r="F1241">
            <v>62</v>
          </cell>
          <cell r="G1241">
            <v>20</v>
          </cell>
        </row>
        <row r="1242">
          <cell r="A1242">
            <v>1241</v>
          </cell>
          <cell r="B1242" t="str">
            <v>Maxwel Cornet</v>
          </cell>
          <cell r="C1242" t="str">
            <v>Génova</v>
          </cell>
          <cell r="D1242" t="str">
            <v>Costa de Marfil</v>
          </cell>
          <cell r="E1242" t="str">
            <v>EI</v>
          </cell>
          <cell r="F1242">
            <v>75</v>
          </cell>
          <cell r="G1242">
            <v>29</v>
          </cell>
        </row>
        <row r="1243">
          <cell r="A1243">
            <v>1242</v>
          </cell>
          <cell r="B1243" t="str">
            <v>Junior Messias</v>
          </cell>
          <cell r="C1243" t="str">
            <v>Génova</v>
          </cell>
          <cell r="D1243" t="str">
            <v>Brasil</v>
          </cell>
          <cell r="E1243" t="str">
            <v>ED</v>
          </cell>
          <cell r="F1243">
            <v>75</v>
          </cell>
          <cell r="G1243">
            <v>34</v>
          </cell>
        </row>
        <row r="1244">
          <cell r="A1244">
            <v>1243</v>
          </cell>
          <cell r="B1244" t="str">
            <v>Lorenzo Venturino</v>
          </cell>
          <cell r="C1244" t="str">
            <v>Génova</v>
          </cell>
          <cell r="D1244" t="str">
            <v>Italia</v>
          </cell>
          <cell r="E1244" t="str">
            <v>ED</v>
          </cell>
          <cell r="F1244">
            <v>60</v>
          </cell>
          <cell r="G1244">
            <v>19</v>
          </cell>
        </row>
        <row r="1245">
          <cell r="A1245">
            <v>1244</v>
          </cell>
          <cell r="B1245" t="str">
            <v>Seydou Fini</v>
          </cell>
          <cell r="C1245" t="str">
            <v>Génova</v>
          </cell>
          <cell r="D1245" t="str">
            <v>Italia</v>
          </cell>
          <cell r="E1245" t="str">
            <v>ED</v>
          </cell>
          <cell r="F1245">
            <v>65</v>
          </cell>
          <cell r="G1245">
            <v>19</v>
          </cell>
        </row>
        <row r="1246">
          <cell r="A1246">
            <v>1245</v>
          </cell>
          <cell r="B1246" t="str">
            <v>Vitinha Carvalho</v>
          </cell>
          <cell r="C1246" t="str">
            <v>Génova</v>
          </cell>
          <cell r="D1246" t="str">
            <v>Portugal</v>
          </cell>
          <cell r="E1246" t="str">
            <v>DC</v>
          </cell>
          <cell r="F1246">
            <v>76</v>
          </cell>
          <cell r="G1246">
            <v>25</v>
          </cell>
        </row>
        <row r="1247">
          <cell r="A1247">
            <v>1246</v>
          </cell>
          <cell r="B1247" t="str">
            <v>Jeff Ekhator</v>
          </cell>
          <cell r="C1247" t="str">
            <v>Génova</v>
          </cell>
          <cell r="D1247" t="str">
            <v>Italia</v>
          </cell>
          <cell r="E1247" t="str">
            <v>DC</v>
          </cell>
          <cell r="F1247">
            <v>58</v>
          </cell>
          <cell r="G1247">
            <v>19</v>
          </cell>
        </row>
        <row r="1248">
          <cell r="A1248">
            <v>1247</v>
          </cell>
          <cell r="B1248" t="str">
            <v>Caleb Ekuban</v>
          </cell>
          <cell r="C1248" t="str">
            <v>Génova</v>
          </cell>
          <cell r="D1248" t="str">
            <v>Ghana</v>
          </cell>
          <cell r="E1248" t="str">
            <v>DC</v>
          </cell>
          <cell r="F1248">
            <v>71</v>
          </cell>
          <cell r="G1248">
            <v>31</v>
          </cell>
        </row>
        <row r="1249">
          <cell r="A1249">
            <v>1248</v>
          </cell>
          <cell r="B1249" t="str">
            <v>Lorenzo Montipò</v>
          </cell>
          <cell r="C1249" t="str">
            <v>Hellas Verona</v>
          </cell>
          <cell r="D1249" t="str">
            <v>Italia</v>
          </cell>
          <cell r="E1249" t="str">
            <v>PO</v>
          </cell>
          <cell r="F1249">
            <v>77</v>
          </cell>
          <cell r="G1249">
            <v>29</v>
          </cell>
        </row>
        <row r="1250">
          <cell r="A1250">
            <v>1249</v>
          </cell>
          <cell r="B1250" t="str">
            <v>Simone Perilli</v>
          </cell>
          <cell r="C1250" t="str">
            <v>Hellas Verona</v>
          </cell>
          <cell r="D1250" t="str">
            <v>Italia</v>
          </cell>
          <cell r="E1250" t="str">
            <v>PO</v>
          </cell>
          <cell r="F1250">
            <v>67</v>
          </cell>
          <cell r="G1250">
            <v>30</v>
          </cell>
        </row>
        <row r="1251">
          <cell r="A1251">
            <v>1250</v>
          </cell>
          <cell r="B1251" t="str">
            <v>Mattia Chiesa</v>
          </cell>
          <cell r="C1251" t="str">
            <v>Hellas Verona</v>
          </cell>
          <cell r="D1251" t="str">
            <v>Italia</v>
          </cell>
          <cell r="E1251" t="str">
            <v>PO</v>
          </cell>
          <cell r="F1251">
            <v>66</v>
          </cell>
          <cell r="G1251">
            <v>25</v>
          </cell>
        </row>
        <row r="1252">
          <cell r="A1252">
            <v>1251</v>
          </cell>
          <cell r="B1252" t="str">
            <v>Victor Nelsson</v>
          </cell>
          <cell r="C1252" t="str">
            <v>Hellas Verona</v>
          </cell>
          <cell r="D1252" t="str">
            <v>Dinamarca</v>
          </cell>
          <cell r="E1252" t="str">
            <v>CT</v>
          </cell>
          <cell r="F1252">
            <v>77</v>
          </cell>
          <cell r="G1252">
            <v>27</v>
          </cell>
        </row>
        <row r="1253">
          <cell r="A1253">
            <v>1252</v>
          </cell>
          <cell r="B1253" t="str">
            <v>Armel Bella-Kotchap</v>
          </cell>
          <cell r="C1253" t="str">
            <v>Hellas Verona</v>
          </cell>
          <cell r="D1253" t="str">
            <v>Alemania</v>
          </cell>
          <cell r="E1253" t="str">
            <v>CT</v>
          </cell>
          <cell r="F1253">
            <v>74</v>
          </cell>
          <cell r="G1253">
            <v>24</v>
          </cell>
        </row>
        <row r="1254">
          <cell r="A1254">
            <v>1253</v>
          </cell>
          <cell r="B1254" t="str">
            <v>Nicolás Valentini</v>
          </cell>
          <cell r="C1254" t="str">
            <v>Hellas Verona</v>
          </cell>
          <cell r="D1254" t="str">
            <v>Argentina</v>
          </cell>
          <cell r="E1254" t="str">
            <v>CT</v>
          </cell>
          <cell r="F1254">
            <v>72</v>
          </cell>
          <cell r="G1254">
            <v>24</v>
          </cell>
        </row>
        <row r="1255">
          <cell r="A1255">
            <v>1254</v>
          </cell>
          <cell r="B1255" t="str">
            <v>Unai Núñez</v>
          </cell>
          <cell r="C1255" t="str">
            <v>Hellas Verona</v>
          </cell>
          <cell r="D1255" t="str">
            <v>España</v>
          </cell>
          <cell r="E1255" t="str">
            <v>CT</v>
          </cell>
          <cell r="F1255">
            <v>77</v>
          </cell>
          <cell r="G1255">
            <v>28</v>
          </cell>
        </row>
        <row r="1256">
          <cell r="A1256">
            <v>1255</v>
          </cell>
          <cell r="B1256" t="str">
            <v>Tobias Slotsager</v>
          </cell>
          <cell r="C1256" t="str">
            <v>Hellas Verona</v>
          </cell>
          <cell r="D1256" t="str">
            <v>Dinamarca</v>
          </cell>
          <cell r="E1256" t="str">
            <v>CT</v>
          </cell>
          <cell r="F1256">
            <v>69</v>
          </cell>
          <cell r="G1256">
            <v>19</v>
          </cell>
        </row>
        <row r="1257">
          <cell r="A1257">
            <v>1256</v>
          </cell>
          <cell r="B1257" t="str">
            <v>Enzo Ebosse</v>
          </cell>
          <cell r="C1257" t="str">
            <v>Hellas Verona</v>
          </cell>
          <cell r="D1257" t="str">
            <v>Camerún</v>
          </cell>
          <cell r="E1257" t="str">
            <v>CT</v>
          </cell>
          <cell r="F1257">
            <v>71</v>
          </cell>
          <cell r="G1257">
            <v>26</v>
          </cell>
        </row>
        <row r="1258">
          <cell r="A1258">
            <v>1257</v>
          </cell>
          <cell r="B1258" t="str">
            <v>Domagoj Bradarić</v>
          </cell>
          <cell r="C1258" t="str">
            <v>Hellas Verona</v>
          </cell>
          <cell r="D1258" t="str">
            <v>Croacia</v>
          </cell>
          <cell r="E1258" t="str">
            <v>LI</v>
          </cell>
          <cell r="F1258">
            <v>70</v>
          </cell>
          <cell r="G1258">
            <v>26</v>
          </cell>
        </row>
        <row r="1259">
          <cell r="A1259">
            <v>1258</v>
          </cell>
          <cell r="B1259" t="str">
            <v>Martin Frese</v>
          </cell>
          <cell r="C1259" t="str">
            <v>Hellas Verona</v>
          </cell>
          <cell r="D1259" t="str">
            <v>Dinamarca</v>
          </cell>
          <cell r="E1259" t="str">
            <v>LI</v>
          </cell>
          <cell r="F1259">
            <v>72</v>
          </cell>
          <cell r="G1259">
            <v>27</v>
          </cell>
        </row>
        <row r="1260">
          <cell r="A1260">
            <v>1259</v>
          </cell>
          <cell r="B1260" t="str">
            <v>Rafik Belghali</v>
          </cell>
          <cell r="C1260" t="str">
            <v>Hellas Verona</v>
          </cell>
          <cell r="D1260" t="str">
            <v>Argelia</v>
          </cell>
          <cell r="E1260" t="str">
            <v>LD</v>
          </cell>
          <cell r="F1260">
            <v>66</v>
          </cell>
          <cell r="G1260">
            <v>23</v>
          </cell>
        </row>
        <row r="1261">
          <cell r="A1261">
            <v>1260</v>
          </cell>
          <cell r="B1261" t="str">
            <v>Daniel Oyegoke</v>
          </cell>
          <cell r="C1261" t="str">
            <v>Hellas Verona</v>
          </cell>
          <cell r="D1261" t="str">
            <v>Inglaterra</v>
          </cell>
          <cell r="E1261" t="str">
            <v>LD</v>
          </cell>
          <cell r="F1261">
            <v>64</v>
          </cell>
          <cell r="G1261">
            <v>22</v>
          </cell>
        </row>
        <row r="1262">
          <cell r="A1262">
            <v>1261</v>
          </cell>
          <cell r="B1262" t="str">
            <v>M. Al-Musrati</v>
          </cell>
          <cell r="C1262" t="str">
            <v>Hellas Verona</v>
          </cell>
          <cell r="D1262" t="str">
            <v>Libia</v>
          </cell>
          <cell r="E1262" t="str">
            <v>MCD</v>
          </cell>
          <cell r="F1262">
            <v>81</v>
          </cell>
          <cell r="G1262">
            <v>29</v>
          </cell>
        </row>
        <row r="1263">
          <cell r="A1263">
            <v>1262</v>
          </cell>
          <cell r="B1263" t="str">
            <v>Cheikh Niasse</v>
          </cell>
          <cell r="C1263" t="str">
            <v>Hellas Verona</v>
          </cell>
          <cell r="D1263" t="str">
            <v>Senegal</v>
          </cell>
          <cell r="E1263" t="str">
            <v>MCD</v>
          </cell>
          <cell r="F1263">
            <v>72</v>
          </cell>
          <cell r="G1263">
            <v>25</v>
          </cell>
        </row>
        <row r="1264">
          <cell r="A1264">
            <v>1263</v>
          </cell>
          <cell r="B1264" t="str">
            <v>Suat Serdar</v>
          </cell>
          <cell r="C1264" t="str">
            <v>Hellas Verona</v>
          </cell>
          <cell r="D1264" t="str">
            <v>Alemania</v>
          </cell>
          <cell r="E1264" t="str">
            <v>MC</v>
          </cell>
          <cell r="F1264">
            <v>77</v>
          </cell>
          <cell r="G1264">
            <v>28</v>
          </cell>
        </row>
        <row r="1265">
          <cell r="A1265">
            <v>1264</v>
          </cell>
          <cell r="B1265" t="str">
            <v>Antoine Bernede</v>
          </cell>
          <cell r="C1265" t="str">
            <v>Hellas Verona</v>
          </cell>
          <cell r="D1265" t="str">
            <v>Francia</v>
          </cell>
          <cell r="E1265" t="str">
            <v>MC</v>
          </cell>
          <cell r="F1265">
            <v>72</v>
          </cell>
          <cell r="G1265">
            <v>26</v>
          </cell>
        </row>
        <row r="1266">
          <cell r="A1266">
            <v>1265</v>
          </cell>
          <cell r="B1266" t="str">
            <v>Abdou Harroui</v>
          </cell>
          <cell r="C1266" t="str">
            <v>Hellas Verona</v>
          </cell>
          <cell r="D1266" t="str">
            <v>Marruecos</v>
          </cell>
          <cell r="E1266" t="str">
            <v>MC</v>
          </cell>
          <cell r="F1266">
            <v>74</v>
          </cell>
          <cell r="G1266">
            <v>27</v>
          </cell>
        </row>
        <row r="1267">
          <cell r="A1267">
            <v>1266</v>
          </cell>
          <cell r="B1267" t="str">
            <v>Roberto Gagliardini</v>
          </cell>
          <cell r="C1267" t="str">
            <v>Hellas Verona</v>
          </cell>
          <cell r="D1267" t="str">
            <v>Italia</v>
          </cell>
          <cell r="E1267" t="str">
            <v>MC</v>
          </cell>
          <cell r="F1267">
            <v>71</v>
          </cell>
          <cell r="G1267">
            <v>31</v>
          </cell>
        </row>
        <row r="1268">
          <cell r="A1268">
            <v>1267</v>
          </cell>
          <cell r="B1268" t="str">
            <v>Akpa Akpro</v>
          </cell>
          <cell r="C1268" t="str">
            <v>Hellas Verona</v>
          </cell>
          <cell r="D1268" t="str">
            <v>Costa de Marfil</v>
          </cell>
          <cell r="E1268" t="str">
            <v>MC</v>
          </cell>
          <cell r="F1268">
            <v>73</v>
          </cell>
          <cell r="G1268">
            <v>33</v>
          </cell>
        </row>
        <row r="1269">
          <cell r="A1269">
            <v>1268</v>
          </cell>
          <cell r="B1269" t="str">
            <v>Tomas Suslov</v>
          </cell>
          <cell r="C1269" t="str">
            <v>Hellas Verona</v>
          </cell>
          <cell r="D1269" t="str">
            <v>Eslovaquia</v>
          </cell>
          <cell r="E1269" t="str">
            <v>MO</v>
          </cell>
          <cell r="F1269">
            <v>73</v>
          </cell>
          <cell r="G1269">
            <v>23</v>
          </cell>
        </row>
        <row r="1270">
          <cell r="A1270">
            <v>1269</v>
          </cell>
          <cell r="B1270" t="str">
            <v>Grigoris Kastanos</v>
          </cell>
          <cell r="C1270" t="str">
            <v>Hellas Verona</v>
          </cell>
          <cell r="D1270" t="str">
            <v>Chipre</v>
          </cell>
          <cell r="E1270" t="str">
            <v>MC</v>
          </cell>
          <cell r="F1270">
            <v>74</v>
          </cell>
          <cell r="G1270">
            <v>27</v>
          </cell>
        </row>
        <row r="1271">
          <cell r="A1271">
            <v>1270</v>
          </cell>
          <cell r="B1271" t="str">
            <v>Gift Orban</v>
          </cell>
          <cell r="C1271" t="str">
            <v>Hellas Verona</v>
          </cell>
          <cell r="D1271" t="str">
            <v>Nigeria</v>
          </cell>
          <cell r="E1271" t="str">
            <v>DC</v>
          </cell>
          <cell r="F1271">
            <v>75</v>
          </cell>
          <cell r="G1271">
            <v>23</v>
          </cell>
        </row>
        <row r="1272">
          <cell r="A1272">
            <v>1271</v>
          </cell>
          <cell r="B1272" t="str">
            <v>Giovane Santana</v>
          </cell>
          <cell r="C1272" t="str">
            <v>Hellas Verona</v>
          </cell>
          <cell r="D1272" t="str">
            <v>Brasil</v>
          </cell>
          <cell r="E1272" t="str">
            <v>DC</v>
          </cell>
          <cell r="F1272">
            <v>67</v>
          </cell>
          <cell r="G1272">
            <v>22</v>
          </cell>
        </row>
        <row r="1273">
          <cell r="A1273">
            <v>1272</v>
          </cell>
          <cell r="B1273" t="str">
            <v>Amin Sarr</v>
          </cell>
          <cell r="C1273" t="str">
            <v>Hellas Verona</v>
          </cell>
          <cell r="D1273" t="str">
            <v>Suecia</v>
          </cell>
          <cell r="E1273" t="str">
            <v>DC</v>
          </cell>
          <cell r="F1273">
            <v>67</v>
          </cell>
          <cell r="G1273">
            <v>24</v>
          </cell>
        </row>
        <row r="1274">
          <cell r="A1274">
            <v>1273</v>
          </cell>
          <cell r="B1274" t="str">
            <v>Daniel Mosquera</v>
          </cell>
          <cell r="C1274" t="str">
            <v>Hellas Verona</v>
          </cell>
          <cell r="D1274" t="str">
            <v>Colombia</v>
          </cell>
          <cell r="E1274" t="str">
            <v>DC</v>
          </cell>
          <cell r="F1274">
            <v>71</v>
          </cell>
          <cell r="G1274">
            <v>26</v>
          </cell>
        </row>
        <row r="1275">
          <cell r="A1275">
            <v>1274</v>
          </cell>
          <cell r="B1275" t="str">
            <v>Junior Ajayi</v>
          </cell>
          <cell r="C1275" t="str">
            <v>Hellas Verona</v>
          </cell>
          <cell r="D1275" t="str">
            <v>Costa de Marfil</v>
          </cell>
          <cell r="E1275" t="str">
            <v>DC</v>
          </cell>
          <cell r="F1275">
            <v>59</v>
          </cell>
          <cell r="G1275">
            <v>21</v>
          </cell>
        </row>
        <row r="1276">
          <cell r="A1276">
            <v>1275</v>
          </cell>
          <cell r="B1276" t="str">
            <v>Luca Monticelli</v>
          </cell>
          <cell r="C1276" t="str">
            <v>Hellas Verona</v>
          </cell>
          <cell r="D1276" t="str">
            <v>Bélgica</v>
          </cell>
          <cell r="E1276" t="str">
            <v>MC</v>
          </cell>
          <cell r="F1276">
            <v>53</v>
          </cell>
          <cell r="G1276">
            <v>20</v>
          </cell>
        </row>
        <row r="1277">
          <cell r="A1277">
            <v>1276</v>
          </cell>
          <cell r="B1277" t="str">
            <v>Josep Martínez</v>
          </cell>
          <cell r="C1277" t="str">
            <v>Inter de Milán</v>
          </cell>
          <cell r="D1277" t="str">
            <v>España</v>
          </cell>
          <cell r="E1277" t="str">
            <v>PO</v>
          </cell>
          <cell r="F1277">
            <v>75</v>
          </cell>
          <cell r="G1277">
            <v>27</v>
          </cell>
        </row>
        <row r="1278">
          <cell r="A1278">
            <v>1277</v>
          </cell>
          <cell r="B1278" t="str">
            <v>Yann Sommer</v>
          </cell>
          <cell r="C1278" t="str">
            <v>Inter de Milán</v>
          </cell>
          <cell r="D1278" t="str">
            <v>Suiza</v>
          </cell>
          <cell r="E1278" t="str">
            <v>PO</v>
          </cell>
          <cell r="F1278">
            <v>87</v>
          </cell>
          <cell r="G1278">
            <v>37</v>
          </cell>
        </row>
        <row r="1279">
          <cell r="A1279">
            <v>1278</v>
          </cell>
          <cell r="B1279" t="str">
            <v>R. Di Gennaro</v>
          </cell>
          <cell r="C1279" t="str">
            <v>Inter de Milán</v>
          </cell>
          <cell r="D1279" t="str">
            <v>Italia</v>
          </cell>
          <cell r="E1279" t="str">
            <v>PO</v>
          </cell>
          <cell r="F1279">
            <v>70</v>
          </cell>
          <cell r="G1279">
            <v>32</v>
          </cell>
        </row>
        <row r="1280">
          <cell r="A1280">
            <v>1279</v>
          </cell>
          <cell r="B1280" t="str">
            <v>Alessandro Bastoni</v>
          </cell>
          <cell r="C1280" t="str">
            <v>Inter de Milán</v>
          </cell>
          <cell r="D1280" t="str">
            <v>Italia</v>
          </cell>
          <cell r="E1280" t="str">
            <v>CT</v>
          </cell>
          <cell r="F1280">
            <v>87</v>
          </cell>
          <cell r="G1280">
            <v>26</v>
          </cell>
        </row>
        <row r="1281">
          <cell r="A1281">
            <v>1280</v>
          </cell>
          <cell r="B1281" t="str">
            <v>Yann Bisseck</v>
          </cell>
          <cell r="C1281" t="str">
            <v>Inter de Milán</v>
          </cell>
          <cell r="D1281" t="str">
            <v>Alemania</v>
          </cell>
          <cell r="E1281" t="str">
            <v>CT</v>
          </cell>
          <cell r="F1281">
            <v>77</v>
          </cell>
          <cell r="G1281">
            <v>25</v>
          </cell>
        </row>
        <row r="1282">
          <cell r="A1282">
            <v>1281</v>
          </cell>
          <cell r="B1282" t="str">
            <v>Manuel Akanji</v>
          </cell>
          <cell r="C1282" t="str">
            <v>Inter de Milán</v>
          </cell>
          <cell r="D1282" t="str">
            <v>Suiza</v>
          </cell>
          <cell r="E1282" t="str">
            <v>CT</v>
          </cell>
          <cell r="F1282">
            <v>83</v>
          </cell>
          <cell r="G1282">
            <v>30</v>
          </cell>
        </row>
        <row r="1283">
          <cell r="A1283">
            <v>1282</v>
          </cell>
          <cell r="B1283" t="str">
            <v>Stefan de Vrij</v>
          </cell>
          <cell r="C1283" t="str">
            <v>Inter de Milán</v>
          </cell>
          <cell r="D1283" t="str">
            <v>Países Bajos</v>
          </cell>
          <cell r="E1283" t="str">
            <v>CT</v>
          </cell>
          <cell r="F1283">
            <v>83</v>
          </cell>
          <cell r="G1283">
            <v>33</v>
          </cell>
        </row>
        <row r="1284">
          <cell r="A1284">
            <v>1283</v>
          </cell>
          <cell r="B1284" t="str">
            <v>Tomás Palacios</v>
          </cell>
          <cell r="C1284" t="str">
            <v>Inter de Milán</v>
          </cell>
          <cell r="D1284" t="str">
            <v>Argentina</v>
          </cell>
          <cell r="E1284" t="str">
            <v>CT</v>
          </cell>
          <cell r="F1284">
            <v>69</v>
          </cell>
          <cell r="G1284">
            <v>22</v>
          </cell>
        </row>
        <row r="1285">
          <cell r="A1285">
            <v>1284</v>
          </cell>
          <cell r="B1285" t="str">
            <v>Francesco Acerbi</v>
          </cell>
          <cell r="C1285" t="str">
            <v>Inter de Milán</v>
          </cell>
          <cell r="D1285" t="str">
            <v>Italia</v>
          </cell>
          <cell r="E1285" t="str">
            <v>CT</v>
          </cell>
          <cell r="F1285">
            <v>84</v>
          </cell>
          <cell r="G1285">
            <v>37</v>
          </cell>
        </row>
        <row r="1286">
          <cell r="A1286">
            <v>1285</v>
          </cell>
          <cell r="B1286" t="str">
            <v>Federico Dimarco</v>
          </cell>
          <cell r="C1286" t="str">
            <v>Inter de Milán</v>
          </cell>
          <cell r="D1286" t="str">
            <v>Italia</v>
          </cell>
          <cell r="E1286" t="str">
            <v>LI</v>
          </cell>
          <cell r="F1286">
            <v>84</v>
          </cell>
          <cell r="G1286">
            <v>28</v>
          </cell>
        </row>
        <row r="1287">
          <cell r="A1287">
            <v>1286</v>
          </cell>
          <cell r="B1287" t="str">
            <v>Carlos Augusto</v>
          </cell>
          <cell r="C1287" t="str">
            <v>Inter de Milán</v>
          </cell>
          <cell r="D1287" t="str">
            <v>Brasil</v>
          </cell>
          <cell r="E1287" t="str">
            <v>LI</v>
          </cell>
          <cell r="F1287">
            <v>79</v>
          </cell>
          <cell r="G1287">
            <v>26</v>
          </cell>
        </row>
        <row r="1288">
          <cell r="A1288">
            <v>1287</v>
          </cell>
          <cell r="B1288" t="str">
            <v>Denzel Dumfries</v>
          </cell>
          <cell r="C1288" t="str">
            <v>Inter de Milán</v>
          </cell>
          <cell r="D1288" t="str">
            <v>Países Bajos</v>
          </cell>
          <cell r="E1288" t="str">
            <v>LD</v>
          </cell>
          <cell r="F1288">
            <v>82</v>
          </cell>
          <cell r="G1288">
            <v>29</v>
          </cell>
        </row>
        <row r="1289">
          <cell r="A1289">
            <v>1288</v>
          </cell>
          <cell r="B1289" t="str">
            <v>Matteo Darmian</v>
          </cell>
          <cell r="C1289" t="str">
            <v>Inter de Milán</v>
          </cell>
          <cell r="D1289" t="str">
            <v>Italia</v>
          </cell>
          <cell r="E1289" t="str">
            <v>LD</v>
          </cell>
          <cell r="F1289">
            <v>81</v>
          </cell>
          <cell r="G1289">
            <v>36</v>
          </cell>
        </row>
        <row r="1290">
          <cell r="A1290">
            <v>1289</v>
          </cell>
          <cell r="B1290" t="str">
            <v>Hakan Çalhanoğlu</v>
          </cell>
          <cell r="C1290" t="str">
            <v>Inter de Milán</v>
          </cell>
          <cell r="D1290" t="str">
            <v>Turquía</v>
          </cell>
          <cell r="E1290" t="str">
            <v>MCD</v>
          </cell>
          <cell r="F1290">
            <v>86</v>
          </cell>
          <cell r="G1290">
            <v>31</v>
          </cell>
        </row>
        <row r="1291">
          <cell r="A1291">
            <v>1290</v>
          </cell>
          <cell r="B1291" t="str">
            <v>Nicolò Barella</v>
          </cell>
          <cell r="C1291" t="str">
            <v>Inter de Milán</v>
          </cell>
          <cell r="D1291" t="str">
            <v>Italia</v>
          </cell>
          <cell r="E1291" t="str">
            <v>MC</v>
          </cell>
          <cell r="F1291">
            <v>87</v>
          </cell>
          <cell r="G1291">
            <v>28</v>
          </cell>
        </row>
        <row r="1292">
          <cell r="A1292">
            <v>1291</v>
          </cell>
          <cell r="B1292" t="str">
            <v>Davide Frattesi</v>
          </cell>
          <cell r="C1292" t="str">
            <v>Inter de Milán</v>
          </cell>
          <cell r="D1292" t="str">
            <v>Italia</v>
          </cell>
          <cell r="E1292" t="str">
            <v>MC</v>
          </cell>
          <cell r="F1292">
            <v>81</v>
          </cell>
          <cell r="G1292">
            <v>26</v>
          </cell>
        </row>
        <row r="1293">
          <cell r="A1293">
            <v>1292</v>
          </cell>
          <cell r="B1293" t="str">
            <v>Petar Sučić</v>
          </cell>
          <cell r="C1293" t="str">
            <v>Inter de Milán</v>
          </cell>
          <cell r="D1293" t="str">
            <v>Croacia</v>
          </cell>
          <cell r="E1293" t="str">
            <v>MC</v>
          </cell>
          <cell r="F1293">
            <v>74</v>
          </cell>
          <cell r="G1293">
            <v>22</v>
          </cell>
        </row>
        <row r="1294">
          <cell r="A1294">
            <v>1293</v>
          </cell>
          <cell r="B1294" t="str">
            <v>Andy Diouf</v>
          </cell>
          <cell r="C1294" t="str">
            <v>Inter de Milán</v>
          </cell>
          <cell r="D1294" t="str">
            <v>Francia</v>
          </cell>
          <cell r="E1294" t="str">
            <v>MC</v>
          </cell>
          <cell r="F1294">
            <v>74</v>
          </cell>
          <cell r="G1294">
            <v>22</v>
          </cell>
        </row>
        <row r="1295">
          <cell r="A1295">
            <v>1294</v>
          </cell>
          <cell r="B1295" t="str">
            <v>Piotr Zieliński</v>
          </cell>
          <cell r="C1295" t="str">
            <v>Inter de Milán</v>
          </cell>
          <cell r="D1295" t="str">
            <v>Polonia</v>
          </cell>
          <cell r="E1295" t="str">
            <v>MC</v>
          </cell>
          <cell r="F1295">
            <v>82</v>
          </cell>
          <cell r="G1295">
            <v>31</v>
          </cell>
        </row>
        <row r="1296">
          <cell r="A1296">
            <v>1295</v>
          </cell>
          <cell r="B1296" t="str">
            <v>H. Mkhitaryan</v>
          </cell>
          <cell r="C1296" t="str">
            <v>Inter de Milán</v>
          </cell>
          <cell r="D1296" t="str">
            <v>Armenia</v>
          </cell>
          <cell r="E1296" t="str">
            <v>MC</v>
          </cell>
          <cell r="F1296">
            <v>81</v>
          </cell>
          <cell r="G1296">
            <v>36</v>
          </cell>
        </row>
        <row r="1297">
          <cell r="A1297">
            <v>1296</v>
          </cell>
          <cell r="B1297" t="str">
            <v>Luis Henrique T.</v>
          </cell>
          <cell r="C1297" t="str">
            <v>Inter de Milán</v>
          </cell>
          <cell r="D1297" t="str">
            <v>Brasil</v>
          </cell>
          <cell r="E1297" t="str">
            <v>ED</v>
          </cell>
          <cell r="F1297">
            <v>75</v>
          </cell>
          <cell r="G1297">
            <v>24</v>
          </cell>
        </row>
        <row r="1298">
          <cell r="A1298">
            <v>1297</v>
          </cell>
          <cell r="B1298" t="str">
            <v>Lautaro Martínez</v>
          </cell>
          <cell r="C1298" t="str">
            <v>Inter de Milán</v>
          </cell>
          <cell r="D1298" t="str">
            <v>Argentina</v>
          </cell>
          <cell r="E1298" t="str">
            <v>DC</v>
          </cell>
          <cell r="F1298">
            <v>89</v>
          </cell>
          <cell r="G1298">
            <v>28</v>
          </cell>
        </row>
        <row r="1299">
          <cell r="A1299">
            <v>1298</v>
          </cell>
          <cell r="B1299" t="str">
            <v>Marcus Thuram</v>
          </cell>
          <cell r="C1299" t="str">
            <v>Inter de Milán</v>
          </cell>
          <cell r="D1299" t="str">
            <v>Francia</v>
          </cell>
          <cell r="E1299" t="str">
            <v>DC</v>
          </cell>
          <cell r="F1299">
            <v>84</v>
          </cell>
          <cell r="G1299">
            <v>28</v>
          </cell>
        </row>
        <row r="1300">
          <cell r="A1300">
            <v>1299</v>
          </cell>
          <cell r="B1300" t="str">
            <v>Pio Esposito</v>
          </cell>
          <cell r="C1300" t="str">
            <v>Inter de Milán</v>
          </cell>
          <cell r="D1300" t="str">
            <v>Italia</v>
          </cell>
          <cell r="E1300" t="str">
            <v>DC</v>
          </cell>
          <cell r="F1300">
            <v>70</v>
          </cell>
          <cell r="G1300">
            <v>20</v>
          </cell>
        </row>
        <row r="1301">
          <cell r="A1301">
            <v>1300</v>
          </cell>
          <cell r="B1301" t="str">
            <v>Ange-Yoan Bonny</v>
          </cell>
          <cell r="C1301" t="str">
            <v>Inter de Milán</v>
          </cell>
          <cell r="D1301" t="str">
            <v>Francia</v>
          </cell>
          <cell r="E1301" t="str">
            <v>DC</v>
          </cell>
          <cell r="F1301">
            <v>75</v>
          </cell>
          <cell r="G1301">
            <v>22</v>
          </cell>
        </row>
        <row r="1302">
          <cell r="A1302">
            <v>1301</v>
          </cell>
          <cell r="B1302" t="str">
            <v>A. Calligaris</v>
          </cell>
          <cell r="C1302" t="str">
            <v>Inter de Milán</v>
          </cell>
          <cell r="D1302" t="str">
            <v>Italia</v>
          </cell>
          <cell r="E1302" t="str">
            <v>PO</v>
          </cell>
          <cell r="F1302">
            <v>71</v>
          </cell>
          <cell r="G1302">
            <v>20</v>
          </cell>
        </row>
        <row r="1303">
          <cell r="A1303">
            <v>1302</v>
          </cell>
          <cell r="B1303" t="str">
            <v>Mike Aidoo</v>
          </cell>
          <cell r="C1303" t="str">
            <v>Inter de Milán</v>
          </cell>
          <cell r="D1303" t="str">
            <v>Italia</v>
          </cell>
          <cell r="E1303" t="str">
            <v>LD</v>
          </cell>
          <cell r="F1303">
            <v>62</v>
          </cell>
          <cell r="G1303">
            <v>20</v>
          </cell>
        </row>
        <row r="1304">
          <cell r="A1304">
            <v>1303</v>
          </cell>
          <cell r="B1304" t="str">
            <v>T. Berenbruch</v>
          </cell>
          <cell r="C1304" t="str">
            <v>Inter de Milán</v>
          </cell>
          <cell r="D1304" t="str">
            <v>Italia</v>
          </cell>
          <cell r="E1304" t="str">
            <v>MC</v>
          </cell>
          <cell r="F1304">
            <v>61</v>
          </cell>
          <cell r="G1304">
            <v>20</v>
          </cell>
        </row>
        <row r="1305">
          <cell r="A1305">
            <v>1304</v>
          </cell>
          <cell r="B1305" t="str">
            <v>Michele Di Gregorio</v>
          </cell>
          <cell r="C1305" t="str">
            <v>Juventus de Turín</v>
          </cell>
          <cell r="D1305" t="str">
            <v>Italia</v>
          </cell>
          <cell r="E1305" t="str">
            <v>PO</v>
          </cell>
          <cell r="F1305">
            <v>82</v>
          </cell>
          <cell r="G1305">
            <v>28</v>
          </cell>
        </row>
        <row r="1306">
          <cell r="A1306">
            <v>1305</v>
          </cell>
          <cell r="B1306" t="str">
            <v>Mattia Perin</v>
          </cell>
          <cell r="C1306" t="str">
            <v>Juventus de Turín</v>
          </cell>
          <cell r="D1306" t="str">
            <v>Italia</v>
          </cell>
          <cell r="E1306" t="str">
            <v>PO</v>
          </cell>
          <cell r="F1306">
            <v>79</v>
          </cell>
          <cell r="G1306">
            <v>33</v>
          </cell>
        </row>
        <row r="1307">
          <cell r="A1307">
            <v>1306</v>
          </cell>
          <cell r="B1307" t="str">
            <v>Carlo Pinsoglio</v>
          </cell>
          <cell r="C1307" t="str">
            <v>Juventus de Turín</v>
          </cell>
          <cell r="D1307" t="str">
            <v>Italia</v>
          </cell>
          <cell r="E1307" t="str">
            <v>PO</v>
          </cell>
          <cell r="F1307">
            <v>70</v>
          </cell>
          <cell r="G1307">
            <v>35</v>
          </cell>
        </row>
        <row r="1308">
          <cell r="A1308">
            <v>1307</v>
          </cell>
          <cell r="B1308" t="str">
            <v>Bremer</v>
          </cell>
          <cell r="C1308" t="str">
            <v>Juventus de Turín</v>
          </cell>
          <cell r="D1308" t="str">
            <v>Brasil</v>
          </cell>
          <cell r="E1308" t="str">
            <v>CT</v>
          </cell>
          <cell r="F1308">
            <v>86</v>
          </cell>
          <cell r="G1308">
            <v>28</v>
          </cell>
        </row>
        <row r="1309">
          <cell r="A1309">
            <v>1308</v>
          </cell>
          <cell r="B1309" t="str">
            <v>Pierre Kalulu</v>
          </cell>
          <cell r="C1309" t="str">
            <v>Juventus de Turín</v>
          </cell>
          <cell r="D1309" t="str">
            <v>Francia</v>
          </cell>
          <cell r="E1309" t="str">
            <v>CT</v>
          </cell>
          <cell r="F1309">
            <v>78</v>
          </cell>
          <cell r="G1309">
            <v>25</v>
          </cell>
        </row>
        <row r="1310">
          <cell r="A1310">
            <v>1309</v>
          </cell>
          <cell r="B1310" t="str">
            <v>Federico Gatti</v>
          </cell>
          <cell r="C1310" t="str">
            <v>Juventus de Turín</v>
          </cell>
          <cell r="D1310" t="str">
            <v>Italia</v>
          </cell>
          <cell r="E1310" t="str">
            <v>CT</v>
          </cell>
          <cell r="F1310">
            <v>78</v>
          </cell>
          <cell r="G1310">
            <v>27</v>
          </cell>
        </row>
        <row r="1311">
          <cell r="A1311">
            <v>1310</v>
          </cell>
          <cell r="B1311" t="str">
            <v>Lloyd Kelly</v>
          </cell>
          <cell r="C1311" t="str">
            <v>Juventus de Turín</v>
          </cell>
          <cell r="D1311" t="str">
            <v>Inglaterra</v>
          </cell>
          <cell r="E1311" t="str">
            <v>CT</v>
          </cell>
          <cell r="F1311">
            <v>71</v>
          </cell>
          <cell r="G1311">
            <v>27</v>
          </cell>
        </row>
        <row r="1312">
          <cell r="A1312">
            <v>1311</v>
          </cell>
          <cell r="B1312" t="str">
            <v>Daniele Rugani</v>
          </cell>
          <cell r="C1312" t="str">
            <v>Juventus de Turín</v>
          </cell>
          <cell r="D1312" t="str">
            <v>Italia</v>
          </cell>
          <cell r="E1312" t="str">
            <v>CT</v>
          </cell>
          <cell r="F1312">
            <v>77</v>
          </cell>
          <cell r="G1312">
            <v>31</v>
          </cell>
        </row>
        <row r="1313">
          <cell r="A1313">
            <v>1312</v>
          </cell>
          <cell r="B1313" t="str">
            <v>Juan Cabal</v>
          </cell>
          <cell r="C1313" t="str">
            <v>Juventus de Turín</v>
          </cell>
          <cell r="D1313" t="str">
            <v>Colombia</v>
          </cell>
          <cell r="E1313" t="str">
            <v>LI</v>
          </cell>
          <cell r="F1313">
            <v>75</v>
          </cell>
          <cell r="G1313">
            <v>24</v>
          </cell>
        </row>
        <row r="1314">
          <cell r="A1314">
            <v>1313</v>
          </cell>
          <cell r="B1314" t="str">
            <v>Jonas Rouhi</v>
          </cell>
          <cell r="C1314" t="str">
            <v>Juventus de Turín</v>
          </cell>
          <cell r="D1314" t="str">
            <v>Suecia</v>
          </cell>
          <cell r="E1314" t="str">
            <v>LI</v>
          </cell>
          <cell r="F1314">
            <v>63</v>
          </cell>
          <cell r="G1314">
            <v>21</v>
          </cell>
        </row>
        <row r="1315">
          <cell r="A1315">
            <v>1314</v>
          </cell>
          <cell r="B1315" t="str">
            <v>Manuel Locatelli</v>
          </cell>
          <cell r="C1315" t="str">
            <v>Juventus de Turín</v>
          </cell>
          <cell r="D1315" t="str">
            <v>Italia</v>
          </cell>
          <cell r="E1315" t="str">
            <v>MCD</v>
          </cell>
          <cell r="F1315">
            <v>83</v>
          </cell>
          <cell r="G1315">
            <v>27</v>
          </cell>
        </row>
        <row r="1316">
          <cell r="A1316">
            <v>1315</v>
          </cell>
          <cell r="B1316" t="str">
            <v>Khéphren Thuram</v>
          </cell>
          <cell r="C1316" t="str">
            <v>Juventus de Turín</v>
          </cell>
          <cell r="D1316" t="str">
            <v>Francia</v>
          </cell>
          <cell r="E1316" t="str">
            <v>MC</v>
          </cell>
          <cell r="F1316">
            <v>80</v>
          </cell>
          <cell r="G1316">
            <v>24</v>
          </cell>
        </row>
        <row r="1317">
          <cell r="A1317">
            <v>1316</v>
          </cell>
          <cell r="B1317" t="str">
            <v>Weston McKennie</v>
          </cell>
          <cell r="C1317" t="str">
            <v>Juventus de Turín</v>
          </cell>
          <cell r="D1317" t="str">
            <v>Estados Unidos</v>
          </cell>
          <cell r="E1317" t="str">
            <v>MC</v>
          </cell>
          <cell r="F1317">
            <v>79</v>
          </cell>
          <cell r="G1317">
            <v>27</v>
          </cell>
        </row>
        <row r="1318">
          <cell r="A1318">
            <v>1317</v>
          </cell>
          <cell r="B1318" t="str">
            <v>Fabio Miretti</v>
          </cell>
          <cell r="C1318" t="str">
            <v>Juventus de Turín</v>
          </cell>
          <cell r="D1318" t="str">
            <v>Italia</v>
          </cell>
          <cell r="E1318" t="str">
            <v>MC</v>
          </cell>
          <cell r="F1318">
            <v>74</v>
          </cell>
          <cell r="G1318">
            <v>22</v>
          </cell>
        </row>
        <row r="1319">
          <cell r="A1319">
            <v>1318</v>
          </cell>
          <cell r="B1319" t="str">
            <v>João Mário N.</v>
          </cell>
          <cell r="C1319" t="str">
            <v>Juventus de Turín</v>
          </cell>
          <cell r="D1319" t="str">
            <v>Portugal</v>
          </cell>
          <cell r="E1319" t="str">
            <v>ED</v>
          </cell>
          <cell r="F1319">
            <v>75</v>
          </cell>
          <cell r="G1319">
            <v>25</v>
          </cell>
        </row>
        <row r="1320">
          <cell r="A1320">
            <v>1319</v>
          </cell>
          <cell r="B1320" t="str">
            <v>Andrea Cambiaso</v>
          </cell>
          <cell r="C1320" t="str">
            <v>Juventus de Turín</v>
          </cell>
          <cell r="D1320" t="str">
            <v>Italia</v>
          </cell>
          <cell r="E1320" t="str">
            <v>EI</v>
          </cell>
          <cell r="F1320">
            <v>76</v>
          </cell>
          <cell r="G1320">
            <v>25</v>
          </cell>
        </row>
        <row r="1321">
          <cell r="A1321">
            <v>1320</v>
          </cell>
          <cell r="B1321" t="str">
            <v>Filip Kostić</v>
          </cell>
          <cell r="C1321" t="str">
            <v>Juventus de Turín</v>
          </cell>
          <cell r="D1321" t="str">
            <v>Serbia</v>
          </cell>
          <cell r="E1321" t="str">
            <v>EI</v>
          </cell>
          <cell r="F1321">
            <v>80</v>
          </cell>
          <cell r="G1321">
            <v>33</v>
          </cell>
        </row>
        <row r="1322">
          <cell r="A1322">
            <v>1321</v>
          </cell>
          <cell r="B1322" t="str">
            <v>Teun Koopmeiners</v>
          </cell>
          <cell r="C1322" t="str">
            <v>Juventus de Turín</v>
          </cell>
          <cell r="D1322" t="str">
            <v>Países Bajos</v>
          </cell>
          <cell r="E1322" t="str">
            <v>MO</v>
          </cell>
          <cell r="F1322">
            <v>82</v>
          </cell>
          <cell r="G1322">
            <v>27</v>
          </cell>
        </row>
        <row r="1323">
          <cell r="A1323">
            <v>1322</v>
          </cell>
          <cell r="B1323" t="str">
            <v>Vasilije Adžić</v>
          </cell>
          <cell r="C1323" t="str">
            <v>Juventus de Turín</v>
          </cell>
          <cell r="D1323" t="str">
            <v>Montenegro</v>
          </cell>
          <cell r="E1323" t="str">
            <v>MO</v>
          </cell>
          <cell r="F1323">
            <v>61</v>
          </cell>
          <cell r="G1323">
            <v>19</v>
          </cell>
        </row>
        <row r="1324">
          <cell r="A1324">
            <v>1323</v>
          </cell>
          <cell r="B1324" t="str">
            <v>Kenan Yıldız</v>
          </cell>
          <cell r="C1324" t="str">
            <v>Juventus de Turín</v>
          </cell>
          <cell r="D1324" t="str">
            <v>Turquía</v>
          </cell>
          <cell r="E1324" t="str">
            <v>EI</v>
          </cell>
          <cell r="F1324">
            <v>77</v>
          </cell>
          <cell r="G1324">
            <v>20</v>
          </cell>
        </row>
        <row r="1325">
          <cell r="A1325">
            <v>1324</v>
          </cell>
          <cell r="B1325" t="str">
            <v>Francisco Conceição</v>
          </cell>
          <cell r="C1325" t="str">
            <v>Juventus de Turín</v>
          </cell>
          <cell r="D1325" t="str">
            <v>Portugal</v>
          </cell>
          <cell r="E1325" t="str">
            <v>ED</v>
          </cell>
          <cell r="F1325">
            <v>79</v>
          </cell>
          <cell r="G1325">
            <v>23</v>
          </cell>
        </row>
        <row r="1326">
          <cell r="A1326">
            <v>1325</v>
          </cell>
          <cell r="B1326" t="str">
            <v>Edon Zhegrova</v>
          </cell>
          <cell r="C1326" t="str">
            <v>Juventus de Turín</v>
          </cell>
          <cell r="D1326" t="str">
            <v>Kosovo</v>
          </cell>
          <cell r="E1326" t="str">
            <v>ED</v>
          </cell>
          <cell r="F1326">
            <v>80</v>
          </cell>
          <cell r="G1326">
            <v>26</v>
          </cell>
        </row>
        <row r="1327">
          <cell r="A1327">
            <v>1326</v>
          </cell>
          <cell r="B1327" t="str">
            <v>Loïs Openda</v>
          </cell>
          <cell r="C1327" t="str">
            <v>Juventus de Turín</v>
          </cell>
          <cell r="D1327" t="str">
            <v>Bélgica</v>
          </cell>
          <cell r="E1327" t="str">
            <v>DC</v>
          </cell>
          <cell r="F1327">
            <v>84</v>
          </cell>
          <cell r="G1327">
            <v>25</v>
          </cell>
        </row>
        <row r="1328">
          <cell r="A1328">
            <v>1327</v>
          </cell>
          <cell r="B1328" t="str">
            <v>Jonathan David</v>
          </cell>
          <cell r="C1328" t="str">
            <v>Juventus de Turín</v>
          </cell>
          <cell r="D1328" t="str">
            <v>Canadá</v>
          </cell>
          <cell r="E1328" t="str">
            <v>DC</v>
          </cell>
          <cell r="F1328">
            <v>82</v>
          </cell>
          <cell r="G1328">
            <v>25</v>
          </cell>
        </row>
        <row r="1329">
          <cell r="A1329">
            <v>1328</v>
          </cell>
          <cell r="B1329" t="str">
            <v>Dušan Vlahović</v>
          </cell>
          <cell r="C1329" t="str">
            <v>Juventus de Turín</v>
          </cell>
          <cell r="D1329" t="str">
            <v>Serbia</v>
          </cell>
          <cell r="E1329" t="str">
            <v>DC</v>
          </cell>
          <cell r="F1329">
            <v>84</v>
          </cell>
          <cell r="G1329">
            <v>25</v>
          </cell>
        </row>
        <row r="1330">
          <cell r="A1330">
            <v>1329</v>
          </cell>
          <cell r="B1330" t="str">
            <v>Arkadiusz Milik</v>
          </cell>
          <cell r="C1330" t="str">
            <v>Juventus de Turín</v>
          </cell>
          <cell r="D1330" t="str">
            <v>Polonia</v>
          </cell>
          <cell r="E1330" t="str">
            <v>DC</v>
          </cell>
          <cell r="F1330">
            <v>81</v>
          </cell>
          <cell r="G1330">
            <v>31</v>
          </cell>
        </row>
        <row r="1331">
          <cell r="A1331">
            <v>1330</v>
          </cell>
          <cell r="B1331" t="str">
            <v>Javier Gil</v>
          </cell>
          <cell r="C1331" t="str">
            <v>Juventus de Turín</v>
          </cell>
          <cell r="D1331" t="str">
            <v>España</v>
          </cell>
          <cell r="E1331" t="str">
            <v>CT</v>
          </cell>
          <cell r="F1331">
            <v>57</v>
          </cell>
          <cell r="G1331">
            <v>19</v>
          </cell>
        </row>
        <row r="1332">
          <cell r="A1332">
            <v>1331</v>
          </cell>
          <cell r="B1332" t="str">
            <v>Christos Mandas</v>
          </cell>
          <cell r="C1332" t="str">
            <v>SS Lazio</v>
          </cell>
          <cell r="D1332" t="str">
            <v>Grecia</v>
          </cell>
          <cell r="E1332" t="str">
            <v>PO</v>
          </cell>
          <cell r="F1332">
            <v>72</v>
          </cell>
          <cell r="G1332">
            <v>24</v>
          </cell>
        </row>
        <row r="1333">
          <cell r="A1333">
            <v>1332</v>
          </cell>
          <cell r="B1333" t="str">
            <v>Ivan Provedel</v>
          </cell>
          <cell r="C1333" t="str">
            <v>SS Lazio</v>
          </cell>
          <cell r="D1333" t="str">
            <v>Italia</v>
          </cell>
          <cell r="E1333" t="str">
            <v>PO</v>
          </cell>
          <cell r="F1333">
            <v>83</v>
          </cell>
          <cell r="G1333">
            <v>31</v>
          </cell>
        </row>
        <row r="1334">
          <cell r="A1334">
            <v>1333</v>
          </cell>
          <cell r="B1334" t="str">
            <v>Alessio Furlanetto</v>
          </cell>
          <cell r="C1334" t="str">
            <v>SS Lazio</v>
          </cell>
          <cell r="D1334" t="str">
            <v>Italia</v>
          </cell>
          <cell r="E1334" t="str">
            <v>PO</v>
          </cell>
          <cell r="F1334">
            <v>61</v>
          </cell>
          <cell r="G1334">
            <v>23</v>
          </cell>
        </row>
        <row r="1335">
          <cell r="A1335">
            <v>1334</v>
          </cell>
          <cell r="B1335" t="str">
            <v>Mario Gila</v>
          </cell>
          <cell r="C1335" t="str">
            <v>SS Lazio</v>
          </cell>
          <cell r="D1335" t="str">
            <v>España</v>
          </cell>
          <cell r="E1335" t="str">
            <v>CT</v>
          </cell>
          <cell r="F1335">
            <v>77</v>
          </cell>
          <cell r="G1335">
            <v>25</v>
          </cell>
        </row>
        <row r="1336">
          <cell r="A1336">
            <v>1335</v>
          </cell>
          <cell r="B1336" t="str">
            <v>Alessio Romagnoli</v>
          </cell>
          <cell r="C1336" t="str">
            <v>SS Lazio</v>
          </cell>
          <cell r="D1336" t="str">
            <v>Italia</v>
          </cell>
          <cell r="E1336" t="str">
            <v>CT</v>
          </cell>
          <cell r="F1336">
            <v>83</v>
          </cell>
          <cell r="G1336">
            <v>30</v>
          </cell>
        </row>
        <row r="1337">
          <cell r="A1337">
            <v>1336</v>
          </cell>
          <cell r="B1337" t="str">
            <v>Oliver Provstgaard</v>
          </cell>
          <cell r="C1337" t="str">
            <v>SS Lazio</v>
          </cell>
          <cell r="D1337" t="str">
            <v>Dinamarca</v>
          </cell>
          <cell r="E1337" t="str">
            <v>CT</v>
          </cell>
          <cell r="F1337">
            <v>68</v>
          </cell>
          <cell r="G1337">
            <v>22</v>
          </cell>
        </row>
        <row r="1338">
          <cell r="A1338">
            <v>1337</v>
          </cell>
          <cell r="B1338" t="str">
            <v>Patric Gabarrón</v>
          </cell>
          <cell r="C1338" t="str">
            <v>SS Lazio</v>
          </cell>
          <cell r="D1338" t="str">
            <v>España</v>
          </cell>
          <cell r="E1338" t="str">
            <v>CT</v>
          </cell>
          <cell r="F1338">
            <v>77</v>
          </cell>
          <cell r="G1338">
            <v>32</v>
          </cell>
        </row>
        <row r="1339">
          <cell r="A1339">
            <v>1338</v>
          </cell>
          <cell r="B1339" t="str">
            <v>Samuel Gigot</v>
          </cell>
          <cell r="C1339" t="str">
            <v>SS Lazio</v>
          </cell>
          <cell r="D1339" t="str">
            <v>Francia</v>
          </cell>
          <cell r="E1339" t="str">
            <v>CT</v>
          </cell>
          <cell r="F1339">
            <v>77</v>
          </cell>
          <cell r="G1339">
            <v>32</v>
          </cell>
        </row>
        <row r="1340">
          <cell r="A1340">
            <v>1339</v>
          </cell>
          <cell r="B1340" t="str">
            <v>Nuno Tavares</v>
          </cell>
          <cell r="C1340" t="str">
            <v>SS Lazio</v>
          </cell>
          <cell r="D1340" t="str">
            <v>Portugal</v>
          </cell>
          <cell r="E1340" t="str">
            <v>LI</v>
          </cell>
          <cell r="F1340">
            <v>76</v>
          </cell>
          <cell r="G1340">
            <v>25</v>
          </cell>
        </row>
        <row r="1341">
          <cell r="A1341">
            <v>1340</v>
          </cell>
          <cell r="B1341" t="str">
            <v>Luca Pellegrini</v>
          </cell>
          <cell r="C1341" t="str">
            <v>SS Lazio</v>
          </cell>
          <cell r="D1341" t="str">
            <v>Italia</v>
          </cell>
          <cell r="E1341" t="str">
            <v>LI</v>
          </cell>
          <cell r="F1341">
            <v>75</v>
          </cell>
          <cell r="G1341">
            <v>26</v>
          </cell>
        </row>
        <row r="1342">
          <cell r="A1342">
            <v>1341</v>
          </cell>
          <cell r="B1342" t="str">
            <v>Dimitrije Kamenovic</v>
          </cell>
          <cell r="C1342" t="str">
            <v>SS Lazio</v>
          </cell>
          <cell r="D1342" t="str">
            <v>Serbia</v>
          </cell>
          <cell r="E1342" t="str">
            <v>LI</v>
          </cell>
          <cell r="F1342">
            <v>69</v>
          </cell>
          <cell r="G1342">
            <v>25</v>
          </cell>
        </row>
        <row r="1343">
          <cell r="A1343">
            <v>1342</v>
          </cell>
          <cell r="B1343" t="str">
            <v>Manuel Lazzari</v>
          </cell>
          <cell r="C1343" t="str">
            <v>SS Lazio</v>
          </cell>
          <cell r="D1343" t="str">
            <v>Italia</v>
          </cell>
          <cell r="E1343" t="str">
            <v>LD</v>
          </cell>
          <cell r="F1343">
            <v>79</v>
          </cell>
          <cell r="G1343">
            <v>32</v>
          </cell>
        </row>
        <row r="1344">
          <cell r="A1344">
            <v>1343</v>
          </cell>
          <cell r="B1344" t="str">
            <v>Adam Marusic</v>
          </cell>
          <cell r="C1344" t="str">
            <v>SS Lazio</v>
          </cell>
          <cell r="D1344" t="str">
            <v>Montenegro</v>
          </cell>
          <cell r="E1344" t="str">
            <v>LD</v>
          </cell>
          <cell r="F1344">
            <v>79</v>
          </cell>
          <cell r="G1344">
            <v>33</v>
          </cell>
        </row>
        <row r="1345">
          <cell r="A1345">
            <v>1344</v>
          </cell>
          <cell r="B1345" t="str">
            <v>Elseid Hysaj</v>
          </cell>
          <cell r="C1345" t="str">
            <v>SS Lazio</v>
          </cell>
          <cell r="D1345" t="str">
            <v>Albania</v>
          </cell>
          <cell r="E1345" t="str">
            <v>LD</v>
          </cell>
          <cell r="F1345">
            <v>74</v>
          </cell>
          <cell r="G1345">
            <v>31</v>
          </cell>
        </row>
        <row r="1346">
          <cell r="A1346">
            <v>1345</v>
          </cell>
          <cell r="B1346" t="str">
            <v>Nicolò Rovella</v>
          </cell>
          <cell r="C1346" t="str">
            <v>SS Lazio</v>
          </cell>
          <cell r="D1346" t="str">
            <v>Italia</v>
          </cell>
          <cell r="E1346" t="str">
            <v>MCD</v>
          </cell>
          <cell r="F1346">
            <v>78</v>
          </cell>
          <cell r="G1346">
            <v>24</v>
          </cell>
        </row>
        <row r="1347">
          <cell r="A1347">
            <v>1346</v>
          </cell>
          <cell r="B1347" t="str">
            <v>Reda Belahyane</v>
          </cell>
          <cell r="C1347" t="str">
            <v>SS Lazio</v>
          </cell>
          <cell r="D1347" t="str">
            <v>Marruecos</v>
          </cell>
          <cell r="E1347" t="str">
            <v>MCD</v>
          </cell>
          <cell r="F1347">
            <v>69</v>
          </cell>
          <cell r="G1347">
            <v>21</v>
          </cell>
        </row>
        <row r="1348">
          <cell r="A1348">
            <v>1347</v>
          </cell>
          <cell r="B1348" t="str">
            <v>Danilo Cataldi</v>
          </cell>
          <cell r="C1348" t="str">
            <v>SS Lazio</v>
          </cell>
          <cell r="D1348" t="str">
            <v>Italia</v>
          </cell>
          <cell r="E1348" t="str">
            <v>MCD</v>
          </cell>
          <cell r="F1348">
            <v>78</v>
          </cell>
          <cell r="G1348">
            <v>31</v>
          </cell>
        </row>
        <row r="1349">
          <cell r="A1349">
            <v>1348</v>
          </cell>
          <cell r="B1349" t="str">
            <v>Mattéo Guendouzi</v>
          </cell>
          <cell r="C1349" t="str">
            <v>SS Lazio</v>
          </cell>
          <cell r="D1349" t="str">
            <v>Francia</v>
          </cell>
          <cell r="E1349" t="str">
            <v>MC</v>
          </cell>
          <cell r="F1349">
            <v>80</v>
          </cell>
          <cell r="G1349">
            <v>26</v>
          </cell>
        </row>
        <row r="1350">
          <cell r="A1350">
            <v>1349</v>
          </cell>
          <cell r="B1350" t="str">
            <v>Matías Vecino</v>
          </cell>
          <cell r="C1350" t="str">
            <v>SS Lazio</v>
          </cell>
          <cell r="D1350" t="str">
            <v>Uruguay</v>
          </cell>
          <cell r="E1350" t="str">
            <v>MC</v>
          </cell>
          <cell r="F1350">
            <v>79</v>
          </cell>
          <cell r="G1350">
            <v>34</v>
          </cell>
        </row>
        <row r="1351">
          <cell r="A1351">
            <v>1350</v>
          </cell>
          <cell r="B1351" t="str">
            <v>Toma Bašić</v>
          </cell>
          <cell r="C1351" t="str">
            <v>SS Lazio</v>
          </cell>
          <cell r="D1351" t="str">
            <v>Croacia</v>
          </cell>
          <cell r="E1351" t="str">
            <v>MC</v>
          </cell>
          <cell r="F1351">
            <v>72</v>
          </cell>
          <cell r="G1351">
            <v>29</v>
          </cell>
        </row>
        <row r="1352">
          <cell r="A1352">
            <v>1351</v>
          </cell>
          <cell r="B1352" t="str">
            <v>Fisayo Dele-Bashiru</v>
          </cell>
          <cell r="C1352" t="str">
            <v>SS Lazio</v>
          </cell>
          <cell r="D1352" t="str">
            <v>Nigeria</v>
          </cell>
          <cell r="E1352" t="str">
            <v>MO</v>
          </cell>
          <cell r="F1352">
            <v>69</v>
          </cell>
          <cell r="G1352">
            <v>24</v>
          </cell>
        </row>
        <row r="1353">
          <cell r="A1353">
            <v>1352</v>
          </cell>
          <cell r="B1353" t="str">
            <v>Mattia Zaccagni</v>
          </cell>
          <cell r="C1353" t="str">
            <v>SS Lazio</v>
          </cell>
          <cell r="D1353" t="str">
            <v>Italia</v>
          </cell>
          <cell r="E1353" t="str">
            <v>EI</v>
          </cell>
          <cell r="F1353">
            <v>83</v>
          </cell>
          <cell r="G1353">
            <v>30</v>
          </cell>
        </row>
        <row r="1354">
          <cell r="A1354">
            <v>1353</v>
          </cell>
          <cell r="B1354" t="str">
            <v>Gustav Isaksen</v>
          </cell>
          <cell r="C1354" t="str">
            <v>SS Lazio</v>
          </cell>
          <cell r="D1354" t="str">
            <v>Dinamarca</v>
          </cell>
          <cell r="E1354" t="str">
            <v>ED</v>
          </cell>
          <cell r="F1354">
            <v>76</v>
          </cell>
          <cell r="G1354">
            <v>24</v>
          </cell>
        </row>
        <row r="1355">
          <cell r="A1355">
            <v>1354</v>
          </cell>
          <cell r="B1355" t="str">
            <v>Tijjani Noslin</v>
          </cell>
          <cell r="C1355" t="str">
            <v>SS Lazio</v>
          </cell>
          <cell r="D1355" t="str">
            <v>Países Bajos</v>
          </cell>
          <cell r="E1355" t="str">
            <v>ED</v>
          </cell>
          <cell r="F1355">
            <v>75</v>
          </cell>
          <cell r="G1355">
            <v>26</v>
          </cell>
        </row>
        <row r="1356">
          <cell r="A1356">
            <v>1355</v>
          </cell>
          <cell r="B1356" t="str">
            <v>Matteo Cancellieri</v>
          </cell>
          <cell r="C1356" t="str">
            <v>SS Lazio</v>
          </cell>
          <cell r="D1356" t="str">
            <v>Italia</v>
          </cell>
          <cell r="E1356" t="str">
            <v>ED</v>
          </cell>
          <cell r="F1356">
            <v>73</v>
          </cell>
          <cell r="G1356">
            <v>23</v>
          </cell>
        </row>
        <row r="1357">
          <cell r="A1357">
            <v>1356</v>
          </cell>
          <cell r="B1357" t="str">
            <v>Pedro Rodríguez</v>
          </cell>
          <cell r="C1357" t="str">
            <v>SS Lazio</v>
          </cell>
          <cell r="D1357" t="str">
            <v>España</v>
          </cell>
          <cell r="E1357" t="str">
            <v>ED</v>
          </cell>
          <cell r="F1357">
            <v>77</v>
          </cell>
          <cell r="G1357">
            <v>38</v>
          </cell>
        </row>
        <row r="1358">
          <cell r="A1358">
            <v>1357</v>
          </cell>
          <cell r="B1358" t="str">
            <v>Taty Castellanos</v>
          </cell>
          <cell r="C1358" t="str">
            <v>SS Lazio</v>
          </cell>
          <cell r="D1358" t="str">
            <v>Argentina</v>
          </cell>
          <cell r="E1358" t="str">
            <v>DC</v>
          </cell>
          <cell r="F1358">
            <v>80</v>
          </cell>
          <cell r="G1358">
            <v>27</v>
          </cell>
        </row>
        <row r="1359">
          <cell r="A1359">
            <v>1358</v>
          </cell>
          <cell r="B1359" t="str">
            <v>Boulaye Dia</v>
          </cell>
          <cell r="C1359" t="str">
            <v>SS Lazio</v>
          </cell>
          <cell r="D1359" t="str">
            <v>Senegal</v>
          </cell>
          <cell r="E1359" t="str">
            <v>DC</v>
          </cell>
          <cell r="F1359">
            <v>78</v>
          </cell>
          <cell r="G1359">
            <v>29</v>
          </cell>
        </row>
        <row r="1360">
          <cell r="A1360">
            <v>1359</v>
          </cell>
          <cell r="B1360" t="str">
            <v>Wladimiro Falcone</v>
          </cell>
          <cell r="C1360" t="str">
            <v>US Lecce</v>
          </cell>
          <cell r="D1360" t="str">
            <v>Italia</v>
          </cell>
          <cell r="E1360" t="str">
            <v>PO</v>
          </cell>
          <cell r="F1360">
            <v>80</v>
          </cell>
          <cell r="G1360">
            <v>30</v>
          </cell>
        </row>
        <row r="1361">
          <cell r="A1361">
            <v>1360</v>
          </cell>
          <cell r="B1361" t="str">
            <v>Christian Früchtl</v>
          </cell>
          <cell r="C1361" t="str">
            <v>US Lecce</v>
          </cell>
          <cell r="D1361" t="str">
            <v>Alemania</v>
          </cell>
          <cell r="E1361" t="str">
            <v>PO</v>
          </cell>
          <cell r="F1361">
            <v>70</v>
          </cell>
          <cell r="G1361">
            <v>25</v>
          </cell>
        </row>
        <row r="1362">
          <cell r="A1362">
            <v>1361</v>
          </cell>
          <cell r="B1362" t="str">
            <v>Jasper Samooja</v>
          </cell>
          <cell r="C1362" t="str">
            <v>US Lecce</v>
          </cell>
          <cell r="D1362" t="str">
            <v>Finlandia</v>
          </cell>
          <cell r="E1362" t="str">
            <v>PO</v>
          </cell>
          <cell r="F1362">
            <v>65</v>
          </cell>
          <cell r="G1362">
            <v>22</v>
          </cell>
        </row>
        <row r="1363">
          <cell r="A1363">
            <v>1362</v>
          </cell>
          <cell r="B1363" t="str">
            <v>Kialonda Gaspar</v>
          </cell>
          <cell r="C1363" t="str">
            <v>US Lecce</v>
          </cell>
          <cell r="D1363" t="str">
            <v>Angola</v>
          </cell>
          <cell r="E1363" t="str">
            <v>CT</v>
          </cell>
          <cell r="F1363">
            <v>72</v>
          </cell>
          <cell r="G1363">
            <v>28</v>
          </cell>
        </row>
        <row r="1364">
          <cell r="A1364">
            <v>1363</v>
          </cell>
          <cell r="B1364" t="str">
            <v>Tiago Gabriel</v>
          </cell>
          <cell r="C1364" t="str">
            <v>US Lecce</v>
          </cell>
          <cell r="D1364" t="str">
            <v>Portugal</v>
          </cell>
          <cell r="E1364" t="str">
            <v>CT</v>
          </cell>
          <cell r="F1364">
            <v>66</v>
          </cell>
          <cell r="G1364">
            <v>21</v>
          </cell>
        </row>
        <row r="1365">
          <cell r="A1365">
            <v>1364</v>
          </cell>
          <cell r="B1365" t="str">
            <v>Gaby Jean</v>
          </cell>
          <cell r="C1365" t="str">
            <v>US Lecce</v>
          </cell>
          <cell r="D1365" t="str">
            <v>Francia</v>
          </cell>
          <cell r="E1365" t="str">
            <v>CT</v>
          </cell>
          <cell r="F1365">
            <v>70</v>
          </cell>
          <cell r="G1365">
            <v>25</v>
          </cell>
        </row>
        <row r="1366">
          <cell r="A1366">
            <v>1365</v>
          </cell>
          <cell r="B1366" t="str">
            <v>Antonino Gallo</v>
          </cell>
          <cell r="C1366" t="str">
            <v>US Lecce</v>
          </cell>
          <cell r="D1366" t="str">
            <v>Italia</v>
          </cell>
          <cell r="E1366" t="str">
            <v>LI</v>
          </cell>
          <cell r="F1366">
            <v>74</v>
          </cell>
          <cell r="G1366">
            <v>25</v>
          </cell>
        </row>
        <row r="1367">
          <cell r="A1367">
            <v>1366</v>
          </cell>
          <cell r="B1367" t="str">
            <v>Corrie Ndaba</v>
          </cell>
          <cell r="C1367" t="str">
            <v>US Lecce</v>
          </cell>
          <cell r="D1367" t="str">
            <v>Irlanda</v>
          </cell>
          <cell r="E1367" t="str">
            <v>LI</v>
          </cell>
          <cell r="F1367">
            <v>69</v>
          </cell>
          <cell r="G1367">
            <v>26</v>
          </cell>
        </row>
        <row r="1368">
          <cell r="A1368">
            <v>1367</v>
          </cell>
          <cell r="B1368" t="str">
            <v>Christ-Owen Kouassi</v>
          </cell>
          <cell r="C1368" t="str">
            <v>US Lecce</v>
          </cell>
          <cell r="D1368" t="str">
            <v>Costa de Marfil</v>
          </cell>
          <cell r="E1368" t="str">
            <v>LD</v>
          </cell>
          <cell r="F1368">
            <v>66</v>
          </cell>
          <cell r="G1368">
            <v>22</v>
          </cell>
        </row>
        <row r="1369">
          <cell r="A1369">
            <v>1368</v>
          </cell>
          <cell r="B1369" t="str">
            <v>Frédéric Guilbert</v>
          </cell>
          <cell r="C1369" t="str">
            <v>US Lecce</v>
          </cell>
          <cell r="D1369" t="str">
            <v>Francia</v>
          </cell>
          <cell r="E1369" t="str">
            <v>LD</v>
          </cell>
          <cell r="F1369">
            <v>76</v>
          </cell>
          <cell r="G1369">
            <v>31</v>
          </cell>
        </row>
        <row r="1370">
          <cell r="A1370">
            <v>1369</v>
          </cell>
          <cell r="B1370" t="str">
            <v>Danilo Veiga</v>
          </cell>
          <cell r="C1370" t="str">
            <v>US Lecce</v>
          </cell>
          <cell r="D1370" t="str">
            <v>Portugal</v>
          </cell>
          <cell r="E1370" t="str">
            <v>LD</v>
          </cell>
          <cell r="F1370">
            <v>69</v>
          </cell>
          <cell r="G1370">
            <v>23</v>
          </cell>
        </row>
        <row r="1371">
          <cell r="A1371">
            <v>1370</v>
          </cell>
          <cell r="B1371" t="str">
            <v>Ylber Ramadani</v>
          </cell>
          <cell r="C1371" t="str">
            <v>US Lecce</v>
          </cell>
          <cell r="D1371" t="str">
            <v>Albania</v>
          </cell>
          <cell r="E1371" t="str">
            <v>MCD</v>
          </cell>
          <cell r="F1371">
            <v>71</v>
          </cell>
          <cell r="G1371">
            <v>29</v>
          </cell>
        </row>
        <row r="1372">
          <cell r="A1372">
            <v>1371</v>
          </cell>
          <cell r="B1372" t="str">
            <v>Balthazar Pierret</v>
          </cell>
          <cell r="C1372" t="str">
            <v>US Lecce</v>
          </cell>
          <cell r="D1372" t="str">
            <v>Francia</v>
          </cell>
          <cell r="E1372" t="str">
            <v>MCD</v>
          </cell>
          <cell r="F1372">
            <v>68</v>
          </cell>
          <cell r="G1372">
            <v>25</v>
          </cell>
        </row>
        <row r="1373">
          <cell r="A1373">
            <v>1372</v>
          </cell>
          <cell r="B1373" t="str">
            <v>Thórir Helgason</v>
          </cell>
          <cell r="C1373" t="str">
            <v>US Lecce</v>
          </cell>
          <cell r="D1373" t="str">
            <v>Islandia</v>
          </cell>
          <cell r="E1373" t="str">
            <v>MC</v>
          </cell>
          <cell r="F1373">
            <v>69</v>
          </cell>
          <cell r="G1373">
            <v>25</v>
          </cell>
        </row>
        <row r="1374">
          <cell r="A1374">
            <v>1373</v>
          </cell>
          <cell r="B1374" t="str">
            <v>Lassana Coulibaly</v>
          </cell>
          <cell r="C1374" t="str">
            <v>US Lecce</v>
          </cell>
          <cell r="D1374" t="str">
            <v>Malí</v>
          </cell>
          <cell r="E1374" t="str">
            <v>MC</v>
          </cell>
          <cell r="F1374">
            <v>75</v>
          </cell>
          <cell r="G1374">
            <v>29</v>
          </cell>
        </row>
        <row r="1375">
          <cell r="A1375">
            <v>1374</v>
          </cell>
          <cell r="B1375" t="str">
            <v>Mohamed Kaba</v>
          </cell>
          <cell r="C1375" t="str">
            <v>US Lecce</v>
          </cell>
          <cell r="D1375" t="str">
            <v>Francia</v>
          </cell>
          <cell r="E1375" t="str">
            <v>MC</v>
          </cell>
          <cell r="F1375">
            <v>69</v>
          </cell>
          <cell r="G1375">
            <v>24</v>
          </cell>
        </row>
        <row r="1376">
          <cell r="A1376">
            <v>1375</v>
          </cell>
          <cell r="B1376" t="str">
            <v>Álex Sala</v>
          </cell>
          <cell r="C1376" t="str">
            <v>US Lecce</v>
          </cell>
          <cell r="D1376" t="str">
            <v>España</v>
          </cell>
          <cell r="E1376" t="str">
            <v>MC</v>
          </cell>
          <cell r="F1376">
            <v>66</v>
          </cell>
          <cell r="G1376">
            <v>24</v>
          </cell>
        </row>
        <row r="1377">
          <cell r="A1377">
            <v>1376</v>
          </cell>
          <cell r="B1377" t="str">
            <v>Medon Berisha</v>
          </cell>
          <cell r="C1377" t="str">
            <v>US Lecce</v>
          </cell>
          <cell r="D1377" t="str">
            <v>Albania</v>
          </cell>
          <cell r="E1377" t="str">
            <v>MC</v>
          </cell>
          <cell r="F1377">
            <v>66</v>
          </cell>
          <cell r="G1377">
            <v>22</v>
          </cell>
        </row>
        <row r="1378">
          <cell r="A1378">
            <v>1377</v>
          </cell>
          <cell r="B1378" t="str">
            <v>Youssef Maleh</v>
          </cell>
          <cell r="C1378" t="str">
            <v>US Lecce</v>
          </cell>
          <cell r="D1378" t="str">
            <v>Marruecos</v>
          </cell>
          <cell r="E1378" t="str">
            <v>MC</v>
          </cell>
          <cell r="F1378">
            <v>72</v>
          </cell>
          <cell r="G1378">
            <v>27</v>
          </cell>
        </row>
        <row r="1379">
          <cell r="A1379">
            <v>1378</v>
          </cell>
          <cell r="B1379" t="str">
            <v>Hamza Rafia</v>
          </cell>
          <cell r="C1379" t="str">
            <v>US Lecce</v>
          </cell>
          <cell r="D1379" t="str">
            <v>Túnez</v>
          </cell>
          <cell r="E1379" t="str">
            <v>MC</v>
          </cell>
          <cell r="F1379">
            <v>69</v>
          </cell>
          <cell r="G1379">
            <v>26</v>
          </cell>
        </row>
        <row r="1380">
          <cell r="A1380">
            <v>1379</v>
          </cell>
          <cell r="B1380" t="str">
            <v>Filip Marchwinski</v>
          </cell>
          <cell r="C1380" t="str">
            <v>US Lecce</v>
          </cell>
          <cell r="D1380" t="str">
            <v>Polonia</v>
          </cell>
          <cell r="E1380" t="str">
            <v>MO</v>
          </cell>
          <cell r="F1380">
            <v>67</v>
          </cell>
          <cell r="G1380">
            <v>23</v>
          </cell>
        </row>
        <row r="1381">
          <cell r="A1381">
            <v>1380</v>
          </cell>
          <cell r="B1381" t="str">
            <v>Riccardo Sottil</v>
          </cell>
          <cell r="C1381" t="str">
            <v>US Lecce</v>
          </cell>
          <cell r="D1381" t="str">
            <v>Italia</v>
          </cell>
          <cell r="E1381" t="str">
            <v>EI</v>
          </cell>
          <cell r="F1381">
            <v>76</v>
          </cell>
          <cell r="G1381">
            <v>26</v>
          </cell>
        </row>
        <row r="1382">
          <cell r="A1382">
            <v>1381</v>
          </cell>
          <cell r="B1382" t="str">
            <v>Lameck Banda</v>
          </cell>
          <cell r="C1382" t="str">
            <v>US Lecce</v>
          </cell>
          <cell r="D1382" t="str">
            <v>Zambia</v>
          </cell>
          <cell r="E1382" t="str">
            <v>EI</v>
          </cell>
          <cell r="F1382">
            <v>72</v>
          </cell>
          <cell r="G1382">
            <v>24</v>
          </cell>
        </row>
        <row r="1383">
          <cell r="A1383">
            <v>1382</v>
          </cell>
          <cell r="B1383" t="str">
            <v>Tete Morente</v>
          </cell>
          <cell r="C1383" t="str">
            <v>US Lecce</v>
          </cell>
          <cell r="D1383" t="str">
            <v>España</v>
          </cell>
          <cell r="E1383" t="str">
            <v>EI</v>
          </cell>
          <cell r="F1383">
            <v>74</v>
          </cell>
          <cell r="G1383">
            <v>29</v>
          </cell>
        </row>
        <row r="1384">
          <cell r="A1384">
            <v>1383</v>
          </cell>
          <cell r="B1384" t="str">
            <v>Santiago Pierotti</v>
          </cell>
          <cell r="C1384" t="str">
            <v>US Lecce</v>
          </cell>
          <cell r="D1384" t="str">
            <v>Argentina</v>
          </cell>
          <cell r="E1384" t="str">
            <v>ED</v>
          </cell>
          <cell r="F1384">
            <v>69</v>
          </cell>
          <cell r="G1384">
            <v>24</v>
          </cell>
        </row>
        <row r="1385">
          <cell r="A1385">
            <v>1384</v>
          </cell>
          <cell r="B1385" t="str">
            <v>Konan N’Dri</v>
          </cell>
          <cell r="C1385" t="str">
            <v>US Lecce</v>
          </cell>
          <cell r="D1385" t="str">
            <v>Costa de Marfil</v>
          </cell>
          <cell r="E1385" t="str">
            <v>ED</v>
          </cell>
          <cell r="F1385">
            <v>68</v>
          </cell>
          <cell r="G1385">
            <v>25</v>
          </cell>
        </row>
        <row r="1386">
          <cell r="A1386">
            <v>1385</v>
          </cell>
          <cell r="B1386" t="str">
            <v>Francesco Camarda</v>
          </cell>
          <cell r="C1386" t="str">
            <v>US Lecce</v>
          </cell>
          <cell r="D1386" t="str">
            <v>Italia</v>
          </cell>
          <cell r="E1386" t="str">
            <v>DC</v>
          </cell>
          <cell r="F1386">
            <v>59</v>
          </cell>
          <cell r="G1386">
            <v>17</v>
          </cell>
        </row>
        <row r="1387">
          <cell r="A1387">
            <v>1386</v>
          </cell>
          <cell r="B1387" t="str">
            <v>Nikola Stulic</v>
          </cell>
          <cell r="C1387" t="str">
            <v>US Lecce</v>
          </cell>
          <cell r="D1387" t="str">
            <v>Serbia</v>
          </cell>
          <cell r="E1387" t="str">
            <v>DC</v>
          </cell>
          <cell r="F1387">
            <v>64</v>
          </cell>
          <cell r="G1387">
            <v>24</v>
          </cell>
        </row>
        <row r="1388">
          <cell r="A1388">
            <v>1387</v>
          </cell>
          <cell r="B1388" t="str">
            <v>Elijah Scott</v>
          </cell>
          <cell r="C1388" t="str">
            <v>US Lecce</v>
          </cell>
          <cell r="D1388" t="str">
            <v>Alemania</v>
          </cell>
          <cell r="E1388" t="str">
            <v>CT</v>
          </cell>
          <cell r="F1388">
            <v>58</v>
          </cell>
          <cell r="G1388">
            <v>19</v>
          </cell>
        </row>
        <row r="1389">
          <cell r="A1389">
            <v>1388</v>
          </cell>
          <cell r="B1389" t="str">
            <v>Mike Maignan</v>
          </cell>
          <cell r="C1389" t="str">
            <v>AC Milan</v>
          </cell>
          <cell r="D1389" t="str">
            <v>Francia</v>
          </cell>
          <cell r="E1389" t="str">
            <v>PO</v>
          </cell>
          <cell r="F1389">
            <v>87</v>
          </cell>
          <cell r="G1389">
            <v>30</v>
          </cell>
        </row>
        <row r="1390">
          <cell r="A1390">
            <v>1389</v>
          </cell>
          <cell r="B1390" t="str">
            <v>Pietro Terracciano</v>
          </cell>
          <cell r="C1390" t="str">
            <v>AC Milan</v>
          </cell>
          <cell r="D1390" t="str">
            <v>Italia</v>
          </cell>
          <cell r="E1390" t="str">
            <v>PO</v>
          </cell>
          <cell r="F1390">
            <v>79</v>
          </cell>
          <cell r="G1390">
            <v>35</v>
          </cell>
        </row>
        <row r="1391">
          <cell r="A1391">
            <v>1390</v>
          </cell>
          <cell r="B1391" t="str">
            <v>Lorenzo Torriani</v>
          </cell>
          <cell r="C1391" t="str">
            <v>AC Milan</v>
          </cell>
          <cell r="D1391" t="str">
            <v>Italia</v>
          </cell>
          <cell r="E1391" t="str">
            <v>PO</v>
          </cell>
          <cell r="F1391">
            <v>57</v>
          </cell>
          <cell r="G1391">
            <v>20</v>
          </cell>
        </row>
        <row r="1392">
          <cell r="A1392">
            <v>1391</v>
          </cell>
          <cell r="B1392" t="str">
            <v>Koni De Winter</v>
          </cell>
          <cell r="C1392" t="str">
            <v>AC Milan</v>
          </cell>
          <cell r="D1392" t="str">
            <v>Bélgica</v>
          </cell>
          <cell r="E1392" t="str">
            <v>CT</v>
          </cell>
          <cell r="F1392">
            <v>72</v>
          </cell>
          <cell r="G1392">
            <v>23</v>
          </cell>
        </row>
        <row r="1393">
          <cell r="A1393">
            <v>1392</v>
          </cell>
          <cell r="B1393" t="str">
            <v>Fikayo Tomori</v>
          </cell>
          <cell r="C1393" t="str">
            <v>AC Milan</v>
          </cell>
          <cell r="D1393" t="str">
            <v>Inglaterra</v>
          </cell>
          <cell r="E1393" t="str">
            <v>CT</v>
          </cell>
          <cell r="F1393">
            <v>83</v>
          </cell>
          <cell r="G1393">
            <v>28</v>
          </cell>
        </row>
        <row r="1394">
          <cell r="A1394">
            <v>1393</v>
          </cell>
          <cell r="B1394" t="str">
            <v>Strahinja Pavlović</v>
          </cell>
          <cell r="C1394" t="str">
            <v>AC Milan</v>
          </cell>
          <cell r="D1394" t="str">
            <v>Serbia</v>
          </cell>
          <cell r="E1394" t="str">
            <v>CT</v>
          </cell>
          <cell r="F1394">
            <v>77</v>
          </cell>
          <cell r="G1394">
            <v>24</v>
          </cell>
        </row>
        <row r="1395">
          <cell r="A1395">
            <v>1394</v>
          </cell>
          <cell r="B1395" t="str">
            <v>Matteo Gabbia</v>
          </cell>
          <cell r="C1395" t="str">
            <v>AC Milan</v>
          </cell>
          <cell r="D1395" t="str">
            <v>Italia</v>
          </cell>
          <cell r="E1395" t="str">
            <v>CT</v>
          </cell>
          <cell r="F1395">
            <v>78</v>
          </cell>
          <cell r="G1395">
            <v>26</v>
          </cell>
        </row>
        <row r="1396">
          <cell r="A1396">
            <v>1395</v>
          </cell>
          <cell r="B1396" t="str">
            <v>David Odogu</v>
          </cell>
          <cell r="C1396" t="str">
            <v>AC Milan</v>
          </cell>
          <cell r="D1396" t="str">
            <v>Alemania</v>
          </cell>
          <cell r="E1396" t="str">
            <v>CT</v>
          </cell>
          <cell r="F1396">
            <v>63</v>
          </cell>
          <cell r="G1396">
            <v>19</v>
          </cell>
        </row>
        <row r="1397">
          <cell r="A1397">
            <v>1396</v>
          </cell>
          <cell r="B1397" t="str">
            <v>Pervis Estupiñán</v>
          </cell>
          <cell r="C1397" t="str">
            <v>AC Milan</v>
          </cell>
          <cell r="D1397" t="str">
            <v>Ecuador</v>
          </cell>
          <cell r="E1397" t="str">
            <v>LI</v>
          </cell>
          <cell r="F1397">
            <v>80</v>
          </cell>
          <cell r="G1397">
            <v>27</v>
          </cell>
        </row>
        <row r="1398">
          <cell r="A1398">
            <v>1397</v>
          </cell>
          <cell r="B1398" t="str">
            <v>Davide Bartesaghi</v>
          </cell>
          <cell r="C1398" t="str">
            <v>AC Milan</v>
          </cell>
          <cell r="D1398" t="str">
            <v>Italia</v>
          </cell>
          <cell r="E1398" t="str">
            <v>LI</v>
          </cell>
          <cell r="F1398">
            <v>67</v>
          </cell>
          <cell r="G1398">
            <v>20</v>
          </cell>
        </row>
        <row r="1399">
          <cell r="A1399">
            <v>1398</v>
          </cell>
          <cell r="B1399" t="str">
            <v>Zachary Athekame</v>
          </cell>
          <cell r="C1399" t="str">
            <v>AC Milan</v>
          </cell>
          <cell r="D1399" t="str">
            <v>Suiza</v>
          </cell>
          <cell r="E1399" t="str">
            <v>LD</v>
          </cell>
          <cell r="F1399">
            <v>65</v>
          </cell>
          <cell r="G1399">
            <v>21</v>
          </cell>
        </row>
        <row r="1400">
          <cell r="A1400">
            <v>1399</v>
          </cell>
          <cell r="B1400" t="str">
            <v>Ardon Jashari</v>
          </cell>
          <cell r="C1400" t="str">
            <v>AC Milan</v>
          </cell>
          <cell r="D1400" t="str">
            <v>Suiza</v>
          </cell>
          <cell r="E1400" t="str">
            <v>MCD</v>
          </cell>
          <cell r="F1400">
            <v>77</v>
          </cell>
          <cell r="G1400">
            <v>23</v>
          </cell>
        </row>
        <row r="1401">
          <cell r="A1401">
            <v>1400</v>
          </cell>
          <cell r="B1401" t="str">
            <v>Youssouf Fofana</v>
          </cell>
          <cell r="C1401" t="str">
            <v>AC Milan</v>
          </cell>
          <cell r="D1401" t="str">
            <v>Francia</v>
          </cell>
          <cell r="E1401" t="str">
            <v>MCD</v>
          </cell>
          <cell r="F1401">
            <v>82</v>
          </cell>
          <cell r="G1401">
            <v>26</v>
          </cell>
        </row>
        <row r="1402">
          <cell r="A1402">
            <v>1401</v>
          </cell>
          <cell r="B1402" t="str">
            <v>Samuele Ricci</v>
          </cell>
          <cell r="C1402" t="str">
            <v>AC Milan</v>
          </cell>
          <cell r="D1402" t="str">
            <v>Italia</v>
          </cell>
          <cell r="E1402" t="str">
            <v>MCD</v>
          </cell>
          <cell r="F1402">
            <v>80</v>
          </cell>
          <cell r="G1402">
            <v>24</v>
          </cell>
        </row>
        <row r="1403">
          <cell r="A1403">
            <v>1402</v>
          </cell>
          <cell r="B1403" t="str">
            <v>Adrien Rabiot</v>
          </cell>
          <cell r="C1403" t="str">
            <v>AC Milan</v>
          </cell>
          <cell r="D1403" t="str">
            <v>Francia</v>
          </cell>
          <cell r="E1403" t="str">
            <v>MC</v>
          </cell>
          <cell r="F1403">
            <v>83</v>
          </cell>
          <cell r="G1403">
            <v>30</v>
          </cell>
        </row>
        <row r="1404">
          <cell r="A1404">
            <v>1403</v>
          </cell>
          <cell r="B1404" t="str">
            <v>Loftus-Cheek</v>
          </cell>
          <cell r="C1404" t="str">
            <v>AC Milan</v>
          </cell>
          <cell r="D1404" t="str">
            <v>Inglaterra</v>
          </cell>
          <cell r="E1404" t="str">
            <v>MC</v>
          </cell>
          <cell r="F1404">
            <v>81</v>
          </cell>
          <cell r="G1404">
            <v>29</v>
          </cell>
        </row>
        <row r="1405">
          <cell r="A1405">
            <v>1404</v>
          </cell>
          <cell r="B1405" t="str">
            <v>Luka Modrić</v>
          </cell>
          <cell r="C1405" t="str">
            <v>AC Milan</v>
          </cell>
          <cell r="D1405" t="str">
            <v>Croacia</v>
          </cell>
          <cell r="E1405" t="str">
            <v>MC</v>
          </cell>
          <cell r="F1405">
            <v>85</v>
          </cell>
          <cell r="G1405">
            <v>40</v>
          </cell>
        </row>
        <row r="1406">
          <cell r="A1406">
            <v>1405</v>
          </cell>
          <cell r="B1406" t="str">
            <v>A. Saelemaekers</v>
          </cell>
          <cell r="C1406" t="str">
            <v>AC Milan</v>
          </cell>
          <cell r="D1406" t="str">
            <v>Bélgica</v>
          </cell>
          <cell r="E1406" t="str">
            <v>ED</v>
          </cell>
          <cell r="F1406">
            <v>79</v>
          </cell>
          <cell r="G1406">
            <v>26</v>
          </cell>
        </row>
        <row r="1407">
          <cell r="A1407">
            <v>1406</v>
          </cell>
          <cell r="B1407" t="str">
            <v>Rafael Leão</v>
          </cell>
          <cell r="C1407" t="str">
            <v>AC Milan</v>
          </cell>
          <cell r="D1407" t="str">
            <v>Portugal</v>
          </cell>
          <cell r="E1407" t="str">
            <v>EI</v>
          </cell>
          <cell r="F1407">
            <v>85</v>
          </cell>
          <cell r="G1407">
            <v>26</v>
          </cell>
        </row>
        <row r="1408">
          <cell r="A1408">
            <v>1407</v>
          </cell>
          <cell r="B1408" t="str">
            <v>Christian Pulisic</v>
          </cell>
          <cell r="C1408" t="str">
            <v>AC Milan</v>
          </cell>
          <cell r="D1408" t="str">
            <v>Estados Unidos</v>
          </cell>
          <cell r="E1408" t="str">
            <v>ED</v>
          </cell>
          <cell r="F1408">
            <v>83</v>
          </cell>
          <cell r="G1408">
            <v>27</v>
          </cell>
        </row>
        <row r="1409">
          <cell r="A1409">
            <v>1408</v>
          </cell>
          <cell r="B1409" t="str">
            <v>Christopher Nkunku</v>
          </cell>
          <cell r="C1409" t="str">
            <v>AC Milan</v>
          </cell>
          <cell r="D1409" t="str">
            <v>Francia</v>
          </cell>
          <cell r="E1409" t="str">
            <v>DC</v>
          </cell>
          <cell r="F1409">
            <v>81</v>
          </cell>
          <cell r="G1409">
            <v>28</v>
          </cell>
        </row>
        <row r="1410">
          <cell r="A1410">
            <v>1409</v>
          </cell>
          <cell r="B1410" t="str">
            <v>Santiago Gimenez</v>
          </cell>
          <cell r="C1410" t="str">
            <v>AC Milan</v>
          </cell>
          <cell r="D1410" t="str">
            <v>México</v>
          </cell>
          <cell r="E1410" t="str">
            <v>DC</v>
          </cell>
          <cell r="F1410">
            <v>80</v>
          </cell>
          <cell r="G1410">
            <v>24</v>
          </cell>
        </row>
        <row r="1411">
          <cell r="A1411">
            <v>1410</v>
          </cell>
          <cell r="B1411" t="str">
            <v>Silvano Vos</v>
          </cell>
          <cell r="C1411" t="str">
            <v>AC Milan</v>
          </cell>
          <cell r="D1411" t="str">
            <v>Países Bajos</v>
          </cell>
          <cell r="E1411" t="str">
            <v>MCD</v>
          </cell>
          <cell r="F1411">
            <v>66</v>
          </cell>
          <cell r="G1411">
            <v>20</v>
          </cell>
        </row>
        <row r="1412">
          <cell r="A1412">
            <v>1411</v>
          </cell>
          <cell r="B1412" t="str">
            <v>Chaka Traorè</v>
          </cell>
          <cell r="C1412" t="str">
            <v>AC Milan</v>
          </cell>
          <cell r="D1412" t="str">
            <v>Costa de Marfil</v>
          </cell>
          <cell r="E1412" t="str">
            <v>EI</v>
          </cell>
          <cell r="F1412">
            <v>67</v>
          </cell>
          <cell r="G1412">
            <v>21</v>
          </cell>
        </row>
        <row r="1413">
          <cell r="A1413">
            <v>1412</v>
          </cell>
          <cell r="B1413" t="str">
            <v>Alex Meret</v>
          </cell>
          <cell r="C1413" t="str">
            <v>SSC Nápoles</v>
          </cell>
          <cell r="D1413" t="str">
            <v>Italia</v>
          </cell>
          <cell r="E1413" t="str">
            <v>PO</v>
          </cell>
          <cell r="F1413">
            <v>82</v>
          </cell>
          <cell r="G1413">
            <v>28</v>
          </cell>
        </row>
        <row r="1414">
          <cell r="A1414">
            <v>1413</v>
          </cell>
          <cell r="B1414" t="str">
            <v>V. Milinković-Savić</v>
          </cell>
          <cell r="C1414" t="str">
            <v>SSC Nápoles</v>
          </cell>
          <cell r="D1414" t="str">
            <v>Serbia</v>
          </cell>
          <cell r="E1414" t="str">
            <v>PO</v>
          </cell>
          <cell r="F1414">
            <v>77</v>
          </cell>
          <cell r="G1414">
            <v>28</v>
          </cell>
        </row>
        <row r="1415">
          <cell r="A1415">
            <v>1414</v>
          </cell>
          <cell r="B1415" t="str">
            <v>Nikita Contini</v>
          </cell>
          <cell r="C1415" t="str">
            <v>SSC Nápoles</v>
          </cell>
          <cell r="D1415" t="str">
            <v>Italia</v>
          </cell>
          <cell r="E1415" t="str">
            <v>PO</v>
          </cell>
          <cell r="F1415">
            <v>68</v>
          </cell>
          <cell r="G1415">
            <v>29</v>
          </cell>
        </row>
        <row r="1416">
          <cell r="A1416">
            <v>1415</v>
          </cell>
          <cell r="B1416" t="str">
            <v>A. Buongiorno</v>
          </cell>
          <cell r="C1416" t="str">
            <v>SSC Nápoles</v>
          </cell>
          <cell r="D1416" t="str">
            <v>Italia</v>
          </cell>
          <cell r="E1416" t="str">
            <v>CT</v>
          </cell>
          <cell r="F1416">
            <v>80</v>
          </cell>
          <cell r="G1416">
            <v>26</v>
          </cell>
        </row>
        <row r="1417">
          <cell r="A1417">
            <v>1416</v>
          </cell>
          <cell r="B1417" t="str">
            <v>Sam Beukema</v>
          </cell>
          <cell r="C1417" t="str">
            <v>SSC Nápoles</v>
          </cell>
          <cell r="D1417" t="str">
            <v>Países Bajos</v>
          </cell>
          <cell r="E1417" t="str">
            <v>CT</v>
          </cell>
          <cell r="F1417">
            <v>77</v>
          </cell>
          <cell r="G1417">
            <v>27</v>
          </cell>
        </row>
        <row r="1418">
          <cell r="A1418">
            <v>1417</v>
          </cell>
          <cell r="B1418" t="str">
            <v>Amir Rrahmani</v>
          </cell>
          <cell r="C1418" t="str">
            <v>SSC Nápoles</v>
          </cell>
          <cell r="D1418" t="str">
            <v>Kosovo</v>
          </cell>
          <cell r="E1418" t="str">
            <v>CT</v>
          </cell>
          <cell r="F1418">
            <v>80</v>
          </cell>
          <cell r="G1418">
            <v>31</v>
          </cell>
        </row>
        <row r="1419">
          <cell r="A1419">
            <v>1418</v>
          </cell>
          <cell r="B1419" t="str">
            <v>Luca Marianucci</v>
          </cell>
          <cell r="C1419" t="str">
            <v>SSC Nápoles</v>
          </cell>
          <cell r="D1419" t="str">
            <v>Italia</v>
          </cell>
          <cell r="E1419" t="str">
            <v>CT</v>
          </cell>
          <cell r="F1419">
            <v>60</v>
          </cell>
          <cell r="G1419">
            <v>21</v>
          </cell>
        </row>
        <row r="1420">
          <cell r="A1420">
            <v>1419</v>
          </cell>
          <cell r="B1420" t="str">
            <v>Juan Jesus</v>
          </cell>
          <cell r="C1420" t="str">
            <v>SSC Nápoles</v>
          </cell>
          <cell r="D1420" t="str">
            <v>Brasil</v>
          </cell>
          <cell r="E1420" t="str">
            <v>CT</v>
          </cell>
          <cell r="F1420">
            <v>75</v>
          </cell>
          <cell r="G1420">
            <v>34</v>
          </cell>
        </row>
        <row r="1421">
          <cell r="A1421">
            <v>1420</v>
          </cell>
          <cell r="B1421" t="str">
            <v>Miguel Gutiérrez</v>
          </cell>
          <cell r="C1421" t="str">
            <v>SSC Nápoles</v>
          </cell>
          <cell r="D1421" t="str">
            <v>España</v>
          </cell>
          <cell r="E1421" t="str">
            <v>LI</v>
          </cell>
          <cell r="F1421">
            <v>80</v>
          </cell>
          <cell r="G1421">
            <v>24</v>
          </cell>
        </row>
        <row r="1422">
          <cell r="A1422">
            <v>1421</v>
          </cell>
          <cell r="B1422" t="str">
            <v>Mathías Olivera</v>
          </cell>
          <cell r="C1422" t="str">
            <v>SSC Nápoles</v>
          </cell>
          <cell r="D1422" t="str">
            <v>Uruguay</v>
          </cell>
          <cell r="E1422" t="str">
            <v>LI</v>
          </cell>
          <cell r="F1422">
            <v>77</v>
          </cell>
          <cell r="G1422">
            <v>28</v>
          </cell>
        </row>
        <row r="1423">
          <cell r="A1423">
            <v>1422</v>
          </cell>
          <cell r="B1423" t="str">
            <v>Leonardo Spinazzola</v>
          </cell>
          <cell r="C1423" t="str">
            <v>SSC Nápoles</v>
          </cell>
          <cell r="D1423" t="str">
            <v>Italia</v>
          </cell>
          <cell r="E1423" t="str">
            <v>LI</v>
          </cell>
          <cell r="F1423">
            <v>80</v>
          </cell>
          <cell r="G1423">
            <v>32</v>
          </cell>
        </row>
        <row r="1424">
          <cell r="A1424">
            <v>1423</v>
          </cell>
          <cell r="B1424" t="str">
            <v>Giovanni Di Lorenzo</v>
          </cell>
          <cell r="C1424" t="str">
            <v>SSC Nápoles</v>
          </cell>
          <cell r="D1424" t="str">
            <v>Italia</v>
          </cell>
          <cell r="E1424" t="str">
            <v>LD</v>
          </cell>
          <cell r="F1424">
            <v>83</v>
          </cell>
          <cell r="G1424">
            <v>32</v>
          </cell>
        </row>
        <row r="1425">
          <cell r="A1425">
            <v>1424</v>
          </cell>
          <cell r="B1425" t="str">
            <v>Pasquale Mazzocchi</v>
          </cell>
          <cell r="C1425" t="str">
            <v>SSC Nápoles</v>
          </cell>
          <cell r="D1425" t="str">
            <v>Italia</v>
          </cell>
          <cell r="E1425" t="str">
            <v>LD</v>
          </cell>
          <cell r="F1425">
            <v>74</v>
          </cell>
          <cell r="G1425">
            <v>30</v>
          </cell>
        </row>
        <row r="1426">
          <cell r="A1426">
            <v>1425</v>
          </cell>
          <cell r="B1426" t="str">
            <v>Stanislav Lobotka</v>
          </cell>
          <cell r="C1426" t="str">
            <v>SSC Nápoles</v>
          </cell>
          <cell r="D1426" t="str">
            <v>Eslovaquia</v>
          </cell>
          <cell r="E1426" t="str">
            <v>MCD</v>
          </cell>
          <cell r="F1426">
            <v>82</v>
          </cell>
          <cell r="G1426">
            <v>31</v>
          </cell>
        </row>
        <row r="1427">
          <cell r="A1427">
            <v>1426</v>
          </cell>
          <cell r="B1427" t="str">
            <v>Billy Gilmour</v>
          </cell>
          <cell r="C1427" t="str">
            <v>SSC Nápoles</v>
          </cell>
          <cell r="D1427" t="str">
            <v>Escocia</v>
          </cell>
          <cell r="E1427" t="str">
            <v>MCD</v>
          </cell>
          <cell r="F1427">
            <v>75</v>
          </cell>
          <cell r="G1427">
            <v>24</v>
          </cell>
        </row>
        <row r="1428">
          <cell r="A1428">
            <v>1427</v>
          </cell>
          <cell r="B1428" t="str">
            <v>Scott McTominay</v>
          </cell>
          <cell r="C1428" t="str">
            <v>SSC Nápoles</v>
          </cell>
          <cell r="D1428" t="str">
            <v>Escocia</v>
          </cell>
          <cell r="E1428" t="str">
            <v>MC</v>
          </cell>
          <cell r="F1428">
            <v>77</v>
          </cell>
          <cell r="G1428">
            <v>29</v>
          </cell>
        </row>
        <row r="1429">
          <cell r="A1429">
            <v>1428</v>
          </cell>
          <cell r="B1429" t="str">
            <v>Frank Anguissa</v>
          </cell>
          <cell r="C1429" t="str">
            <v>SSC Nápoles</v>
          </cell>
          <cell r="D1429" t="str">
            <v>Camerún</v>
          </cell>
          <cell r="E1429" t="str">
            <v>MC</v>
          </cell>
          <cell r="F1429">
            <v>78</v>
          </cell>
          <cell r="G1429">
            <v>30</v>
          </cell>
        </row>
        <row r="1430">
          <cell r="A1430">
            <v>1429</v>
          </cell>
          <cell r="B1430" t="str">
            <v>Kevin De Bruyne</v>
          </cell>
          <cell r="C1430" t="str">
            <v>SSC Nápoles</v>
          </cell>
          <cell r="D1430" t="str">
            <v>Bélgica</v>
          </cell>
          <cell r="E1430" t="str">
            <v>MO</v>
          </cell>
          <cell r="F1430">
            <v>88</v>
          </cell>
          <cell r="G1430">
            <v>34</v>
          </cell>
        </row>
        <row r="1431">
          <cell r="A1431">
            <v>1430</v>
          </cell>
          <cell r="B1431" t="str">
            <v>Eljif Elmas</v>
          </cell>
          <cell r="C1431" t="str">
            <v>SSC Nápoles</v>
          </cell>
          <cell r="D1431" t="str">
            <v>Macedonia del Norte</v>
          </cell>
          <cell r="E1431" t="str">
            <v>MO</v>
          </cell>
          <cell r="F1431">
            <v>78</v>
          </cell>
          <cell r="G1431">
            <v>26</v>
          </cell>
        </row>
        <row r="1432">
          <cell r="A1432">
            <v>1431</v>
          </cell>
          <cell r="B1432" t="str">
            <v>Antonio Vergara</v>
          </cell>
          <cell r="C1432" t="str">
            <v>SSC Nápoles</v>
          </cell>
          <cell r="D1432" t="str">
            <v>Italia</v>
          </cell>
          <cell r="E1432" t="str">
            <v>MO</v>
          </cell>
          <cell r="F1432">
            <v>64</v>
          </cell>
          <cell r="G1432">
            <v>22</v>
          </cell>
        </row>
        <row r="1433">
          <cell r="A1433">
            <v>1432</v>
          </cell>
          <cell r="B1433" t="str">
            <v>Noa Lang</v>
          </cell>
          <cell r="C1433" t="str">
            <v>SSC Nápoles</v>
          </cell>
          <cell r="D1433" t="str">
            <v>Países Bajos</v>
          </cell>
          <cell r="E1433" t="str">
            <v>EI</v>
          </cell>
          <cell r="F1433">
            <v>79</v>
          </cell>
          <cell r="G1433">
            <v>26</v>
          </cell>
        </row>
        <row r="1434">
          <cell r="A1434">
            <v>1433</v>
          </cell>
          <cell r="B1434" t="str">
            <v>David Neres</v>
          </cell>
          <cell r="C1434" t="str">
            <v>SSC Nápoles</v>
          </cell>
          <cell r="D1434" t="str">
            <v>Brasil</v>
          </cell>
          <cell r="E1434" t="str">
            <v>ED</v>
          </cell>
          <cell r="F1434">
            <v>80</v>
          </cell>
          <cell r="G1434">
            <v>28</v>
          </cell>
        </row>
        <row r="1435">
          <cell r="A1435">
            <v>1434</v>
          </cell>
          <cell r="B1435" t="str">
            <v>Matteo Politano</v>
          </cell>
          <cell r="C1435" t="str">
            <v>SSC Nápoles</v>
          </cell>
          <cell r="D1435" t="str">
            <v>Italia</v>
          </cell>
          <cell r="E1435" t="str">
            <v>ED</v>
          </cell>
          <cell r="F1435">
            <v>81</v>
          </cell>
          <cell r="G1435">
            <v>32</v>
          </cell>
        </row>
        <row r="1436">
          <cell r="A1436">
            <v>1435</v>
          </cell>
          <cell r="B1436" t="str">
            <v>Rasmus Højlund</v>
          </cell>
          <cell r="C1436" t="str">
            <v>SSC Nápoles</v>
          </cell>
          <cell r="D1436" t="str">
            <v>Dinamarca</v>
          </cell>
          <cell r="E1436" t="str">
            <v>DC</v>
          </cell>
          <cell r="F1436">
            <v>78</v>
          </cell>
          <cell r="G1436">
            <v>22</v>
          </cell>
        </row>
        <row r="1437">
          <cell r="A1437">
            <v>1436</v>
          </cell>
          <cell r="B1437" t="str">
            <v>Lorenzo Lucca</v>
          </cell>
          <cell r="C1437" t="str">
            <v>SSC Nápoles</v>
          </cell>
          <cell r="D1437" t="str">
            <v>Italia</v>
          </cell>
          <cell r="E1437" t="str">
            <v>DC</v>
          </cell>
          <cell r="F1437">
            <v>74</v>
          </cell>
          <cell r="G1437">
            <v>25</v>
          </cell>
        </row>
        <row r="1438">
          <cell r="A1438">
            <v>1437</v>
          </cell>
          <cell r="B1438" t="str">
            <v>Romelu Lukaku</v>
          </cell>
          <cell r="C1438" t="str">
            <v>SSC Nápoles</v>
          </cell>
          <cell r="D1438" t="str">
            <v>Bélgica</v>
          </cell>
          <cell r="E1438" t="str">
            <v>DC</v>
          </cell>
          <cell r="F1438">
            <v>83</v>
          </cell>
          <cell r="G1438">
            <v>32</v>
          </cell>
        </row>
        <row r="1439">
          <cell r="A1439">
            <v>1438</v>
          </cell>
          <cell r="B1439" t="str">
            <v>Giuseppe Ambrosino</v>
          </cell>
          <cell r="C1439" t="str">
            <v>SSC Nápoles</v>
          </cell>
          <cell r="D1439" t="str">
            <v>Italia</v>
          </cell>
          <cell r="E1439" t="str">
            <v>DC</v>
          </cell>
          <cell r="F1439">
            <v>66</v>
          </cell>
          <cell r="G1439">
            <v>22</v>
          </cell>
        </row>
        <row r="1440">
          <cell r="A1440">
            <v>1439</v>
          </cell>
          <cell r="B1440" t="str">
            <v>Francesco Bardi</v>
          </cell>
          <cell r="C1440" t="str">
            <v>Palermo</v>
          </cell>
          <cell r="D1440" t="str">
            <v>Italia</v>
          </cell>
          <cell r="E1440" t="str">
            <v>PO</v>
          </cell>
          <cell r="F1440">
            <v>74</v>
          </cell>
          <cell r="G1440">
            <v>33</v>
          </cell>
        </row>
        <row r="1441">
          <cell r="A1441">
            <v>1440</v>
          </cell>
          <cell r="B1441" t="str">
            <v>Jesse Joronen</v>
          </cell>
          <cell r="C1441" t="str">
            <v>Palermo</v>
          </cell>
          <cell r="D1441" t="str">
            <v>Finlandia</v>
          </cell>
          <cell r="E1441" t="str">
            <v>PO</v>
          </cell>
          <cell r="F1441">
            <v>74</v>
          </cell>
          <cell r="G1441">
            <v>32</v>
          </cell>
        </row>
        <row r="1442">
          <cell r="A1442">
            <v>1441</v>
          </cell>
          <cell r="B1442" t="str">
            <v>Alfred Gomis</v>
          </cell>
          <cell r="C1442" t="str">
            <v>Palermo</v>
          </cell>
          <cell r="D1442" t="str">
            <v>Senegal</v>
          </cell>
          <cell r="E1442" t="str">
            <v>PO</v>
          </cell>
          <cell r="F1442">
            <v>70</v>
          </cell>
          <cell r="G1442">
            <v>32</v>
          </cell>
        </row>
        <row r="1443">
          <cell r="A1443">
            <v>1442</v>
          </cell>
          <cell r="B1443" t="str">
            <v>Michele Avella</v>
          </cell>
          <cell r="C1443" t="str">
            <v>Palermo</v>
          </cell>
          <cell r="D1443" t="str">
            <v>Italia</v>
          </cell>
          <cell r="E1443" t="str">
            <v>PO</v>
          </cell>
          <cell r="F1443">
            <v>59</v>
          </cell>
          <cell r="G1443">
            <v>25</v>
          </cell>
        </row>
        <row r="1444">
          <cell r="A1444">
            <v>1443</v>
          </cell>
          <cell r="B1444" t="str">
            <v>Mattia Bani</v>
          </cell>
          <cell r="C1444" t="str">
            <v>Palermo</v>
          </cell>
          <cell r="D1444" t="str">
            <v>Italia</v>
          </cell>
          <cell r="E1444" t="str">
            <v>CT</v>
          </cell>
          <cell r="F1444">
            <v>70</v>
          </cell>
          <cell r="G1444">
            <v>32</v>
          </cell>
        </row>
        <row r="1445">
          <cell r="A1445">
            <v>1444</v>
          </cell>
          <cell r="B1445" t="str">
            <v>Pietro Ceccaroni</v>
          </cell>
          <cell r="C1445" t="str">
            <v>Palermo</v>
          </cell>
          <cell r="D1445" t="str">
            <v>Italia</v>
          </cell>
          <cell r="E1445" t="str">
            <v>CT</v>
          </cell>
          <cell r="F1445">
            <v>71</v>
          </cell>
          <cell r="G1445">
            <v>30</v>
          </cell>
        </row>
        <row r="1446">
          <cell r="A1446">
            <v>1445</v>
          </cell>
          <cell r="B1446" t="str">
            <v>Salim Diakité</v>
          </cell>
          <cell r="C1446" t="str">
            <v>Palermo</v>
          </cell>
          <cell r="D1446" t="str">
            <v>Malí</v>
          </cell>
          <cell r="E1446" t="str">
            <v>LD</v>
          </cell>
          <cell r="F1446">
            <v>69</v>
          </cell>
          <cell r="G1446">
            <v>25</v>
          </cell>
        </row>
        <row r="1447">
          <cell r="A1447">
            <v>1446</v>
          </cell>
          <cell r="B1447" t="str">
            <v>Patryk Peda</v>
          </cell>
          <cell r="C1447" t="str">
            <v>Palermo</v>
          </cell>
          <cell r="D1447" t="str">
            <v>Polonia</v>
          </cell>
          <cell r="E1447" t="str">
            <v>CT</v>
          </cell>
          <cell r="F1447">
            <v>66</v>
          </cell>
          <cell r="G1447">
            <v>23</v>
          </cell>
        </row>
        <row r="1448">
          <cell r="A1448">
            <v>1447</v>
          </cell>
          <cell r="B1448" t="str">
            <v>Davide Veroli</v>
          </cell>
          <cell r="C1448" t="str">
            <v>Palermo</v>
          </cell>
          <cell r="D1448" t="str">
            <v>Italia</v>
          </cell>
          <cell r="E1448" t="str">
            <v>CT</v>
          </cell>
          <cell r="F1448">
            <v>68</v>
          </cell>
          <cell r="G1448">
            <v>22</v>
          </cell>
        </row>
        <row r="1449">
          <cell r="A1449">
            <v>1448</v>
          </cell>
          <cell r="B1449" t="str">
            <v>Tommaso Augello</v>
          </cell>
          <cell r="C1449" t="str">
            <v>Palermo</v>
          </cell>
          <cell r="D1449" t="str">
            <v>Italia</v>
          </cell>
          <cell r="E1449" t="str">
            <v>LI</v>
          </cell>
          <cell r="F1449">
            <v>73</v>
          </cell>
          <cell r="G1449">
            <v>31</v>
          </cell>
        </row>
        <row r="1450">
          <cell r="A1450">
            <v>1449</v>
          </cell>
          <cell r="B1450" t="str">
            <v>Niccolò Pierozzi</v>
          </cell>
          <cell r="C1450" t="str">
            <v>Palermo</v>
          </cell>
          <cell r="D1450" t="str">
            <v>Italia</v>
          </cell>
          <cell r="E1450" t="str">
            <v>LD</v>
          </cell>
          <cell r="F1450">
            <v>69</v>
          </cell>
          <cell r="G1450">
            <v>24</v>
          </cell>
        </row>
        <row r="1451">
          <cell r="A1451">
            <v>1450</v>
          </cell>
          <cell r="B1451" t="str">
            <v>B. Bereszyński</v>
          </cell>
          <cell r="C1451" t="str">
            <v>Palermo</v>
          </cell>
          <cell r="D1451" t="str">
            <v>Polonia</v>
          </cell>
          <cell r="E1451" t="str">
            <v>LD</v>
          </cell>
          <cell r="F1451">
            <v>72</v>
          </cell>
          <cell r="G1451">
            <v>33</v>
          </cell>
        </row>
        <row r="1452">
          <cell r="A1452">
            <v>1451</v>
          </cell>
          <cell r="B1452" t="str">
            <v>Claudio Gomes</v>
          </cell>
          <cell r="C1452" t="str">
            <v>Palermo</v>
          </cell>
          <cell r="D1452" t="str">
            <v>Francia</v>
          </cell>
          <cell r="E1452" t="str">
            <v>MCD</v>
          </cell>
          <cell r="F1452">
            <v>72</v>
          </cell>
          <cell r="G1452">
            <v>25</v>
          </cell>
        </row>
        <row r="1453">
          <cell r="A1453">
            <v>1452</v>
          </cell>
          <cell r="B1453" t="str">
            <v>Alexis Blin</v>
          </cell>
          <cell r="C1453" t="str">
            <v>Palermo</v>
          </cell>
          <cell r="D1453" t="str">
            <v>Francia</v>
          </cell>
          <cell r="E1453" t="str">
            <v>MCD</v>
          </cell>
          <cell r="F1453">
            <v>72</v>
          </cell>
          <cell r="G1453">
            <v>29</v>
          </cell>
        </row>
        <row r="1454">
          <cell r="A1454">
            <v>1453</v>
          </cell>
          <cell r="B1454" t="str">
            <v>Filippo Ranocchia</v>
          </cell>
          <cell r="C1454" t="str">
            <v>Palermo</v>
          </cell>
          <cell r="D1454" t="str">
            <v>Italia</v>
          </cell>
          <cell r="E1454" t="str">
            <v>MC</v>
          </cell>
          <cell r="F1454">
            <v>69</v>
          </cell>
          <cell r="G1454">
            <v>24</v>
          </cell>
        </row>
        <row r="1455">
          <cell r="A1455">
            <v>1454</v>
          </cell>
          <cell r="B1455" t="str">
            <v>Antonio Palumbo</v>
          </cell>
          <cell r="C1455" t="str">
            <v>Palermo</v>
          </cell>
          <cell r="D1455" t="str">
            <v>Italia</v>
          </cell>
          <cell r="E1455" t="str">
            <v>MC</v>
          </cell>
          <cell r="F1455">
            <v>73</v>
          </cell>
          <cell r="G1455">
            <v>29</v>
          </cell>
        </row>
        <row r="1456">
          <cell r="A1456">
            <v>1455</v>
          </cell>
          <cell r="B1456" t="str">
            <v>Jacopo Segre</v>
          </cell>
          <cell r="C1456" t="str">
            <v>Palermo</v>
          </cell>
          <cell r="D1456" t="str">
            <v>Italia</v>
          </cell>
          <cell r="E1456" t="str">
            <v>MC</v>
          </cell>
          <cell r="F1456">
            <v>69</v>
          </cell>
          <cell r="G1456">
            <v>28</v>
          </cell>
        </row>
        <row r="1457">
          <cell r="A1457">
            <v>1456</v>
          </cell>
          <cell r="B1457" t="str">
            <v>Samuel Giovane</v>
          </cell>
          <cell r="C1457" t="str">
            <v>Palermo</v>
          </cell>
          <cell r="D1457" t="str">
            <v>Italia</v>
          </cell>
          <cell r="E1457" t="str">
            <v>MC</v>
          </cell>
          <cell r="F1457">
            <v>64</v>
          </cell>
          <cell r="G1457">
            <v>22</v>
          </cell>
        </row>
        <row r="1458">
          <cell r="A1458">
            <v>1457</v>
          </cell>
          <cell r="B1458" t="str">
            <v>Aljosa Vasic</v>
          </cell>
          <cell r="C1458" t="str">
            <v>Palermo</v>
          </cell>
          <cell r="D1458" t="str">
            <v>Serbia</v>
          </cell>
          <cell r="E1458" t="str">
            <v>MC</v>
          </cell>
          <cell r="F1458">
            <v>67</v>
          </cell>
          <cell r="G1458">
            <v>23</v>
          </cell>
        </row>
        <row r="1459">
          <cell r="A1459">
            <v>1458</v>
          </cell>
          <cell r="B1459" t="str">
            <v>Emmanuel Gyasi</v>
          </cell>
          <cell r="C1459" t="str">
            <v>Palermo</v>
          </cell>
          <cell r="D1459" t="str">
            <v>Ghana</v>
          </cell>
          <cell r="E1459" t="str">
            <v>ED</v>
          </cell>
          <cell r="F1459">
            <v>75</v>
          </cell>
          <cell r="G1459">
            <v>31</v>
          </cell>
        </row>
        <row r="1460">
          <cell r="A1460">
            <v>1459</v>
          </cell>
          <cell r="B1460" t="str">
            <v>Matteo Brunori</v>
          </cell>
          <cell r="C1460" t="str">
            <v>Palermo</v>
          </cell>
          <cell r="D1460" t="str">
            <v>Italia</v>
          </cell>
          <cell r="E1460" t="str">
            <v>DC</v>
          </cell>
          <cell r="F1460">
            <v>74</v>
          </cell>
          <cell r="G1460">
            <v>31</v>
          </cell>
        </row>
        <row r="1461">
          <cell r="A1461">
            <v>1460</v>
          </cell>
          <cell r="B1461" t="str">
            <v>Joel Pohjanpalo</v>
          </cell>
          <cell r="C1461" t="str">
            <v>Palermo</v>
          </cell>
          <cell r="D1461" t="str">
            <v>Finlandia</v>
          </cell>
          <cell r="E1461" t="str">
            <v>DC</v>
          </cell>
          <cell r="F1461">
            <v>75</v>
          </cell>
          <cell r="G1461">
            <v>31</v>
          </cell>
        </row>
        <row r="1462">
          <cell r="A1462">
            <v>1461</v>
          </cell>
          <cell r="B1462" t="str">
            <v>Jérémy Le Douaron</v>
          </cell>
          <cell r="C1462" t="str">
            <v>Palermo</v>
          </cell>
          <cell r="D1462" t="str">
            <v>Francia</v>
          </cell>
          <cell r="E1462" t="str">
            <v>DC</v>
          </cell>
          <cell r="F1462">
            <v>74</v>
          </cell>
          <cell r="G1462">
            <v>27</v>
          </cell>
        </row>
        <row r="1463">
          <cell r="A1463">
            <v>1462</v>
          </cell>
          <cell r="B1463" t="str">
            <v>Giacomo Corona</v>
          </cell>
          <cell r="C1463" t="str">
            <v>Palermo</v>
          </cell>
          <cell r="D1463" t="str">
            <v>Italia</v>
          </cell>
          <cell r="E1463" t="str">
            <v>DC</v>
          </cell>
          <cell r="F1463">
            <v>54</v>
          </cell>
          <cell r="G1463">
            <v>21</v>
          </cell>
        </row>
        <row r="1464">
          <cell r="A1464">
            <v>1463</v>
          </cell>
          <cell r="B1464" t="str">
            <v>Valerio Verre</v>
          </cell>
          <cell r="C1464" t="str">
            <v>Palermo</v>
          </cell>
          <cell r="D1464" t="str">
            <v>Italia</v>
          </cell>
          <cell r="E1464" t="str">
            <v>MC</v>
          </cell>
          <cell r="F1464">
            <v>73</v>
          </cell>
          <cell r="G1464">
            <v>31</v>
          </cell>
        </row>
        <row r="1465">
          <cell r="A1465">
            <v>1464</v>
          </cell>
          <cell r="B1465" t="str">
            <v>Zion Suzuki</v>
          </cell>
          <cell r="C1465" t="str">
            <v>Parma</v>
          </cell>
          <cell r="D1465" t="str">
            <v>Japón</v>
          </cell>
          <cell r="E1465" t="str">
            <v>PO</v>
          </cell>
          <cell r="F1465">
            <v>73</v>
          </cell>
          <cell r="G1465">
            <v>23</v>
          </cell>
        </row>
        <row r="1466">
          <cell r="A1466">
            <v>1465</v>
          </cell>
          <cell r="B1466" t="str">
            <v>Vicente Guaita</v>
          </cell>
          <cell r="C1466" t="str">
            <v>Parma</v>
          </cell>
          <cell r="D1466" t="str">
            <v>España</v>
          </cell>
          <cell r="E1466" t="str">
            <v>PO</v>
          </cell>
          <cell r="F1466">
            <v>78</v>
          </cell>
          <cell r="G1466">
            <v>38</v>
          </cell>
        </row>
        <row r="1467">
          <cell r="A1467">
            <v>1466</v>
          </cell>
          <cell r="B1467" t="str">
            <v>Edoardo Corvi</v>
          </cell>
          <cell r="C1467" t="str">
            <v>Parma</v>
          </cell>
          <cell r="D1467" t="str">
            <v>Italia</v>
          </cell>
          <cell r="E1467" t="str">
            <v>PO</v>
          </cell>
          <cell r="F1467">
            <v>68</v>
          </cell>
          <cell r="G1467">
            <v>24</v>
          </cell>
        </row>
        <row r="1468">
          <cell r="A1468">
            <v>1467</v>
          </cell>
          <cell r="B1468" t="str">
            <v>Alessandro Circati</v>
          </cell>
          <cell r="C1468" t="str">
            <v>Parma</v>
          </cell>
          <cell r="D1468" t="str">
            <v>Australia</v>
          </cell>
          <cell r="E1468" t="str">
            <v>CT</v>
          </cell>
          <cell r="F1468">
            <v>73</v>
          </cell>
          <cell r="G1468">
            <v>22</v>
          </cell>
        </row>
        <row r="1469">
          <cell r="A1469">
            <v>1468</v>
          </cell>
          <cell r="B1469" t="str">
            <v>Abdoulaye Ndiaye</v>
          </cell>
          <cell r="C1469" t="str">
            <v>Parma</v>
          </cell>
          <cell r="D1469" t="str">
            <v>Senegal</v>
          </cell>
          <cell r="E1469" t="str">
            <v>CT</v>
          </cell>
          <cell r="F1469">
            <v>72</v>
          </cell>
          <cell r="G1469">
            <v>23</v>
          </cell>
        </row>
        <row r="1470">
          <cell r="A1470">
            <v>1469</v>
          </cell>
          <cell r="B1470" t="str">
            <v>Mariano Troilo</v>
          </cell>
          <cell r="C1470" t="str">
            <v>Parma</v>
          </cell>
          <cell r="D1470" t="str">
            <v>Argentina</v>
          </cell>
          <cell r="E1470" t="str">
            <v>CT</v>
          </cell>
          <cell r="F1470">
            <v>67</v>
          </cell>
          <cell r="G1470">
            <v>22</v>
          </cell>
        </row>
        <row r="1471">
          <cell r="A1471">
            <v>1470</v>
          </cell>
          <cell r="B1471" t="str">
            <v>Lautaro Valenti</v>
          </cell>
          <cell r="C1471" t="str">
            <v>Parma</v>
          </cell>
          <cell r="D1471" t="str">
            <v>Argentina</v>
          </cell>
          <cell r="E1471" t="str">
            <v>CT</v>
          </cell>
          <cell r="F1471">
            <v>70</v>
          </cell>
          <cell r="G1471">
            <v>26</v>
          </cell>
        </row>
        <row r="1472">
          <cell r="A1472">
            <v>1471</v>
          </cell>
          <cell r="B1472" t="str">
            <v>Mathias Løvik</v>
          </cell>
          <cell r="C1472" t="str">
            <v>Parma</v>
          </cell>
          <cell r="D1472" t="str">
            <v>Noruega</v>
          </cell>
          <cell r="E1472" t="str">
            <v>LI</v>
          </cell>
          <cell r="F1472">
            <v>67</v>
          </cell>
          <cell r="G1472">
            <v>22</v>
          </cell>
        </row>
        <row r="1473">
          <cell r="A1473">
            <v>1472</v>
          </cell>
          <cell r="B1473" t="str">
            <v>Emanuele Valeri</v>
          </cell>
          <cell r="C1473" t="str">
            <v>Parma</v>
          </cell>
          <cell r="D1473" t="str">
            <v>Italia</v>
          </cell>
          <cell r="E1473" t="str">
            <v>LI</v>
          </cell>
          <cell r="F1473">
            <v>73</v>
          </cell>
          <cell r="G1473">
            <v>27</v>
          </cell>
        </row>
        <row r="1474">
          <cell r="A1474">
            <v>1473</v>
          </cell>
          <cell r="B1474" t="str">
            <v>Enrico Del Prato</v>
          </cell>
          <cell r="C1474" t="str">
            <v>Parma</v>
          </cell>
          <cell r="D1474" t="str">
            <v>Italia</v>
          </cell>
          <cell r="E1474" t="str">
            <v>LD</v>
          </cell>
          <cell r="F1474">
            <v>75</v>
          </cell>
          <cell r="G1474">
            <v>26</v>
          </cell>
        </row>
        <row r="1475">
          <cell r="A1475">
            <v>1474</v>
          </cell>
          <cell r="B1475" t="str">
            <v>Mandela Keita</v>
          </cell>
          <cell r="C1475" t="str">
            <v>Parma</v>
          </cell>
          <cell r="D1475" t="str">
            <v>Bélgica</v>
          </cell>
          <cell r="E1475" t="str">
            <v>MCD</v>
          </cell>
          <cell r="F1475">
            <v>76</v>
          </cell>
          <cell r="G1475">
            <v>23</v>
          </cell>
        </row>
        <row r="1476">
          <cell r="A1476">
            <v>1475</v>
          </cell>
          <cell r="B1476" t="str">
            <v>Nahuel Estévez</v>
          </cell>
          <cell r="C1476" t="str">
            <v>Parma</v>
          </cell>
          <cell r="D1476" t="str">
            <v>Argentina</v>
          </cell>
          <cell r="E1476" t="str">
            <v>MCD</v>
          </cell>
          <cell r="F1476">
            <v>74</v>
          </cell>
          <cell r="G1476">
            <v>30</v>
          </cell>
        </row>
        <row r="1477">
          <cell r="A1477">
            <v>1476</v>
          </cell>
          <cell r="B1477" t="str">
            <v>Adrián Bernabé</v>
          </cell>
          <cell r="C1477" t="str">
            <v>Parma</v>
          </cell>
          <cell r="D1477" t="str">
            <v>España</v>
          </cell>
          <cell r="E1477" t="str">
            <v>MC</v>
          </cell>
          <cell r="F1477">
            <v>75</v>
          </cell>
          <cell r="G1477">
            <v>24</v>
          </cell>
        </row>
        <row r="1478">
          <cell r="A1478">
            <v>1477</v>
          </cell>
          <cell r="B1478" t="str">
            <v>Oliver Sørensen</v>
          </cell>
          <cell r="C1478" t="str">
            <v>Parma</v>
          </cell>
          <cell r="D1478" t="str">
            <v>Dinamarca</v>
          </cell>
          <cell r="E1478" t="str">
            <v>MC</v>
          </cell>
          <cell r="F1478">
            <v>73</v>
          </cell>
          <cell r="G1478">
            <v>23</v>
          </cell>
        </row>
        <row r="1479">
          <cell r="A1479">
            <v>1478</v>
          </cell>
          <cell r="B1479" t="str">
            <v>Christian Ordóñez</v>
          </cell>
          <cell r="C1479" t="str">
            <v>Parma</v>
          </cell>
          <cell r="D1479" t="str">
            <v>Argentina</v>
          </cell>
          <cell r="E1479" t="str">
            <v>MC</v>
          </cell>
          <cell r="F1479">
            <v>74</v>
          </cell>
          <cell r="G1479">
            <v>21</v>
          </cell>
        </row>
        <row r="1480">
          <cell r="A1480">
            <v>1479</v>
          </cell>
          <cell r="B1480" t="str">
            <v>Benja Cremaschi</v>
          </cell>
          <cell r="C1480" t="str">
            <v>Parma</v>
          </cell>
          <cell r="D1480" t="str">
            <v>Estados Unidos</v>
          </cell>
          <cell r="E1480" t="str">
            <v>MC</v>
          </cell>
          <cell r="F1480">
            <v>69</v>
          </cell>
          <cell r="G1480">
            <v>20</v>
          </cell>
        </row>
        <row r="1481">
          <cell r="A1481">
            <v>1480</v>
          </cell>
          <cell r="B1481" t="str">
            <v>Hernani Azevedo</v>
          </cell>
          <cell r="C1481" t="str">
            <v>Parma</v>
          </cell>
          <cell r="D1481" t="str">
            <v>Brasil</v>
          </cell>
          <cell r="E1481" t="str">
            <v>MC</v>
          </cell>
          <cell r="F1481">
            <v>74</v>
          </cell>
          <cell r="G1481">
            <v>31</v>
          </cell>
        </row>
        <row r="1482">
          <cell r="A1482">
            <v>1481</v>
          </cell>
          <cell r="B1482" t="str">
            <v>Gaetano Oristanio</v>
          </cell>
          <cell r="C1482" t="str">
            <v>Parma</v>
          </cell>
          <cell r="D1482" t="str">
            <v>Italia</v>
          </cell>
          <cell r="E1482" t="str">
            <v>MO</v>
          </cell>
          <cell r="F1482">
            <v>71</v>
          </cell>
          <cell r="G1482">
            <v>23</v>
          </cell>
        </row>
        <row r="1483">
          <cell r="A1483">
            <v>1482</v>
          </cell>
          <cell r="B1483" t="str">
            <v>Jacob Ondrejka</v>
          </cell>
          <cell r="C1483" t="str">
            <v>Parma</v>
          </cell>
          <cell r="D1483" t="str">
            <v>Suecia</v>
          </cell>
          <cell r="E1483" t="str">
            <v>EI</v>
          </cell>
          <cell r="F1483">
            <v>74</v>
          </cell>
          <cell r="G1483">
            <v>23</v>
          </cell>
        </row>
        <row r="1484">
          <cell r="A1484">
            <v>1483</v>
          </cell>
          <cell r="B1484" t="str">
            <v>Adrian Benedyczak</v>
          </cell>
          <cell r="C1484" t="str">
            <v>Parma</v>
          </cell>
          <cell r="D1484" t="str">
            <v>Polonia</v>
          </cell>
          <cell r="E1484" t="str">
            <v>EI</v>
          </cell>
          <cell r="F1484">
            <v>72</v>
          </cell>
          <cell r="G1484">
            <v>25</v>
          </cell>
        </row>
        <row r="1485">
          <cell r="A1485">
            <v>1484</v>
          </cell>
          <cell r="B1485" t="str">
            <v>Tjas Begic</v>
          </cell>
          <cell r="C1485" t="str">
            <v>Parma</v>
          </cell>
          <cell r="D1485" t="str">
            <v>Eslovenia</v>
          </cell>
          <cell r="E1485" t="str">
            <v>EI</v>
          </cell>
          <cell r="F1485">
            <v>64</v>
          </cell>
          <cell r="G1485">
            <v>22</v>
          </cell>
        </row>
        <row r="1486">
          <cell r="A1486">
            <v>1485</v>
          </cell>
          <cell r="B1486" t="str">
            <v>Pontus Almqvist</v>
          </cell>
          <cell r="C1486" t="str">
            <v>Parma</v>
          </cell>
          <cell r="D1486" t="str">
            <v>Suecia</v>
          </cell>
          <cell r="E1486" t="str">
            <v>ED</v>
          </cell>
          <cell r="F1486">
            <v>74</v>
          </cell>
          <cell r="G1486">
            <v>26</v>
          </cell>
        </row>
        <row r="1487">
          <cell r="A1487">
            <v>1486</v>
          </cell>
          <cell r="B1487" t="str">
            <v>Matija Frigan</v>
          </cell>
          <cell r="C1487" t="str">
            <v>Parma</v>
          </cell>
          <cell r="D1487" t="str">
            <v>Croacia</v>
          </cell>
          <cell r="E1487" t="str">
            <v>DC</v>
          </cell>
          <cell r="F1487">
            <v>70</v>
          </cell>
          <cell r="G1487">
            <v>22</v>
          </cell>
        </row>
        <row r="1488">
          <cell r="A1488">
            <v>1487</v>
          </cell>
          <cell r="B1488" t="str">
            <v>Mateo Pellegrino</v>
          </cell>
          <cell r="C1488" t="str">
            <v>Parma</v>
          </cell>
          <cell r="D1488" t="str">
            <v>Argentina</v>
          </cell>
          <cell r="E1488" t="str">
            <v>DC</v>
          </cell>
          <cell r="F1488">
            <v>67</v>
          </cell>
          <cell r="G1488">
            <v>24</v>
          </cell>
        </row>
        <row r="1489">
          <cell r="A1489">
            <v>1488</v>
          </cell>
          <cell r="B1489" t="str">
            <v>Patrick Cutrone</v>
          </cell>
          <cell r="C1489" t="str">
            <v>Parma</v>
          </cell>
          <cell r="D1489" t="str">
            <v>Italia</v>
          </cell>
          <cell r="E1489" t="str">
            <v>DC</v>
          </cell>
          <cell r="F1489">
            <v>75</v>
          </cell>
          <cell r="G1489">
            <v>27</v>
          </cell>
        </row>
        <row r="1490">
          <cell r="A1490">
            <v>1489</v>
          </cell>
          <cell r="B1490" t="str">
            <v>Milan Djuric</v>
          </cell>
          <cell r="C1490" t="str">
            <v>Parma</v>
          </cell>
          <cell r="D1490" t="str">
            <v>Bosnia y Herzegovina</v>
          </cell>
          <cell r="E1490" t="str">
            <v>DC</v>
          </cell>
          <cell r="F1490">
            <v>72</v>
          </cell>
          <cell r="G1490">
            <v>35</v>
          </cell>
        </row>
        <row r="1491">
          <cell r="A1491">
            <v>1490</v>
          </cell>
          <cell r="B1491" t="str">
            <v>Mile Svilar</v>
          </cell>
          <cell r="C1491" t="str">
            <v>AS Roma</v>
          </cell>
          <cell r="D1491" t="str">
            <v>Serbia</v>
          </cell>
          <cell r="E1491" t="str">
            <v>PO</v>
          </cell>
          <cell r="F1491">
            <v>80</v>
          </cell>
          <cell r="G1491">
            <v>26</v>
          </cell>
        </row>
        <row r="1492">
          <cell r="A1492">
            <v>1491</v>
          </cell>
          <cell r="B1492" t="str">
            <v>Devis Vásquez</v>
          </cell>
          <cell r="C1492" t="str">
            <v>AS Roma</v>
          </cell>
          <cell r="D1492" t="str">
            <v>Colombia</v>
          </cell>
          <cell r="E1492" t="str">
            <v>PO</v>
          </cell>
          <cell r="F1492">
            <v>73</v>
          </cell>
          <cell r="G1492">
            <v>27</v>
          </cell>
        </row>
        <row r="1493">
          <cell r="A1493">
            <v>1492</v>
          </cell>
          <cell r="B1493" t="str">
            <v>Pierluigi Gollini</v>
          </cell>
          <cell r="C1493" t="str">
            <v>AS Roma</v>
          </cell>
          <cell r="D1493" t="str">
            <v>Italia</v>
          </cell>
          <cell r="E1493" t="str">
            <v>PO</v>
          </cell>
          <cell r="F1493">
            <v>75</v>
          </cell>
          <cell r="G1493">
            <v>30</v>
          </cell>
        </row>
        <row r="1494">
          <cell r="A1494">
            <v>1493</v>
          </cell>
          <cell r="B1494" t="str">
            <v>Evan Ndicka</v>
          </cell>
          <cell r="C1494" t="str">
            <v>AS Roma</v>
          </cell>
          <cell r="D1494" t="str">
            <v>Costa de Marfil</v>
          </cell>
          <cell r="E1494" t="str">
            <v>CT</v>
          </cell>
          <cell r="F1494">
            <v>80</v>
          </cell>
          <cell r="G1494">
            <v>26</v>
          </cell>
        </row>
        <row r="1495">
          <cell r="A1495">
            <v>1494</v>
          </cell>
          <cell r="B1495" t="str">
            <v>Gianluca Mancini</v>
          </cell>
          <cell r="C1495" t="str">
            <v>AS Roma</v>
          </cell>
          <cell r="D1495" t="str">
            <v>Italia</v>
          </cell>
          <cell r="E1495" t="str">
            <v>CT</v>
          </cell>
          <cell r="F1495">
            <v>83</v>
          </cell>
          <cell r="G1495">
            <v>29</v>
          </cell>
        </row>
        <row r="1496">
          <cell r="A1496">
            <v>1495</v>
          </cell>
          <cell r="B1496" t="str">
            <v>Daniele Ghilardi</v>
          </cell>
          <cell r="C1496" t="str">
            <v>AS Roma</v>
          </cell>
          <cell r="D1496" t="str">
            <v>Italia</v>
          </cell>
          <cell r="E1496" t="str">
            <v>CT</v>
          </cell>
          <cell r="F1496">
            <v>69</v>
          </cell>
          <cell r="G1496">
            <v>22</v>
          </cell>
        </row>
        <row r="1497">
          <cell r="A1497">
            <v>1496</v>
          </cell>
          <cell r="B1497" t="str">
            <v>Mario Hermoso</v>
          </cell>
          <cell r="C1497" t="str">
            <v>AS Roma</v>
          </cell>
          <cell r="D1497" t="str">
            <v>España</v>
          </cell>
          <cell r="E1497" t="str">
            <v>CT</v>
          </cell>
          <cell r="F1497">
            <v>81</v>
          </cell>
          <cell r="G1497">
            <v>30</v>
          </cell>
        </row>
        <row r="1498">
          <cell r="A1498">
            <v>1497</v>
          </cell>
          <cell r="B1498" t="str">
            <v>Jan Ziolkowski</v>
          </cell>
          <cell r="C1498" t="str">
            <v>AS Roma</v>
          </cell>
          <cell r="D1498" t="str">
            <v>Polonia</v>
          </cell>
          <cell r="E1498" t="str">
            <v>CT</v>
          </cell>
          <cell r="F1498">
            <v>59</v>
          </cell>
          <cell r="G1498">
            <v>20</v>
          </cell>
        </row>
        <row r="1499">
          <cell r="A1499">
            <v>1498</v>
          </cell>
          <cell r="B1499" t="str">
            <v>Angeliño</v>
          </cell>
          <cell r="C1499" t="str">
            <v>AS Roma</v>
          </cell>
          <cell r="D1499" t="str">
            <v>España</v>
          </cell>
          <cell r="E1499" t="str">
            <v>LI</v>
          </cell>
          <cell r="F1499">
            <v>77</v>
          </cell>
          <cell r="G1499">
            <v>28</v>
          </cell>
        </row>
        <row r="1500">
          <cell r="A1500">
            <v>1499</v>
          </cell>
          <cell r="B1500" t="str">
            <v>K. Tsimikas</v>
          </cell>
          <cell r="C1500" t="str">
            <v>AS Roma</v>
          </cell>
          <cell r="D1500" t="str">
            <v>Grecia</v>
          </cell>
          <cell r="E1500" t="str">
            <v>LI</v>
          </cell>
          <cell r="F1500">
            <v>77</v>
          </cell>
          <cell r="G1500">
            <v>29</v>
          </cell>
        </row>
        <row r="1501">
          <cell r="A1501">
            <v>1500</v>
          </cell>
          <cell r="B1501" t="str">
            <v>Wesley França</v>
          </cell>
          <cell r="C1501" t="str">
            <v>AS Roma</v>
          </cell>
          <cell r="D1501" t="str">
            <v>Brasil</v>
          </cell>
          <cell r="E1501" t="str">
            <v>LD</v>
          </cell>
          <cell r="F1501">
            <v>77</v>
          </cell>
          <cell r="G1501">
            <v>22</v>
          </cell>
        </row>
        <row r="1502">
          <cell r="A1502">
            <v>1501</v>
          </cell>
          <cell r="B1502" t="str">
            <v>Devyne Rensch</v>
          </cell>
          <cell r="C1502" t="str">
            <v>AS Roma</v>
          </cell>
          <cell r="D1502" t="str">
            <v>Países Bajos</v>
          </cell>
          <cell r="E1502" t="str">
            <v>LD</v>
          </cell>
          <cell r="F1502">
            <v>75</v>
          </cell>
          <cell r="G1502">
            <v>22</v>
          </cell>
        </row>
        <row r="1503">
          <cell r="A1503">
            <v>1502</v>
          </cell>
          <cell r="B1503" t="str">
            <v>Zeki Çelik</v>
          </cell>
          <cell r="C1503" t="str">
            <v>AS Roma</v>
          </cell>
          <cell r="D1503" t="str">
            <v>Turquía</v>
          </cell>
          <cell r="E1503" t="str">
            <v>LD</v>
          </cell>
          <cell r="F1503">
            <v>76</v>
          </cell>
          <cell r="G1503">
            <v>28</v>
          </cell>
        </row>
        <row r="1504">
          <cell r="A1504">
            <v>1503</v>
          </cell>
          <cell r="B1504" t="str">
            <v>Buba Sangaré</v>
          </cell>
          <cell r="C1504" t="str">
            <v>AS Roma</v>
          </cell>
          <cell r="D1504" t="str">
            <v>España</v>
          </cell>
          <cell r="E1504" t="str">
            <v>LD</v>
          </cell>
          <cell r="F1504">
            <v>64</v>
          </cell>
          <cell r="G1504">
            <v>18</v>
          </cell>
        </row>
        <row r="1505">
          <cell r="A1505">
            <v>1504</v>
          </cell>
          <cell r="B1505" t="str">
            <v>Bryan Cristante</v>
          </cell>
          <cell r="C1505" t="str">
            <v>AS Roma</v>
          </cell>
          <cell r="D1505" t="str">
            <v>Italia</v>
          </cell>
          <cell r="E1505" t="str">
            <v>MCD</v>
          </cell>
          <cell r="F1505">
            <v>80</v>
          </cell>
          <cell r="G1505">
            <v>30</v>
          </cell>
        </row>
        <row r="1506">
          <cell r="A1506">
            <v>1505</v>
          </cell>
          <cell r="B1506" t="str">
            <v>Manu Koné</v>
          </cell>
          <cell r="C1506" t="str">
            <v>AS Roma</v>
          </cell>
          <cell r="D1506" t="str">
            <v>Francia</v>
          </cell>
          <cell r="E1506" t="str">
            <v>MC</v>
          </cell>
          <cell r="F1506">
            <v>78</v>
          </cell>
          <cell r="G1506">
            <v>24</v>
          </cell>
        </row>
        <row r="1507">
          <cell r="A1507">
            <v>1506</v>
          </cell>
          <cell r="B1507" t="str">
            <v>Neil El Aynaoui</v>
          </cell>
          <cell r="C1507" t="str">
            <v>AS Roma</v>
          </cell>
          <cell r="D1507" t="str">
            <v>Marruecos</v>
          </cell>
          <cell r="E1507" t="str">
            <v>MC</v>
          </cell>
          <cell r="F1507">
            <v>76</v>
          </cell>
          <cell r="G1507">
            <v>24</v>
          </cell>
        </row>
        <row r="1508">
          <cell r="A1508">
            <v>1507</v>
          </cell>
          <cell r="B1508" t="str">
            <v>Niccolò Pisilli</v>
          </cell>
          <cell r="C1508" t="str">
            <v>AS Roma</v>
          </cell>
          <cell r="D1508" t="str">
            <v>Italia</v>
          </cell>
          <cell r="E1508" t="str">
            <v>MC</v>
          </cell>
          <cell r="F1508">
            <v>69</v>
          </cell>
          <cell r="G1508">
            <v>21</v>
          </cell>
        </row>
        <row r="1509">
          <cell r="A1509">
            <v>1508</v>
          </cell>
          <cell r="B1509" t="str">
            <v>Edoardo Bove</v>
          </cell>
          <cell r="C1509" t="str">
            <v>AS Roma</v>
          </cell>
          <cell r="D1509" t="str">
            <v>Italia</v>
          </cell>
          <cell r="E1509" t="str">
            <v>MC</v>
          </cell>
          <cell r="F1509">
            <v>75</v>
          </cell>
          <cell r="G1509">
            <v>23</v>
          </cell>
        </row>
        <row r="1510">
          <cell r="A1510">
            <v>1509</v>
          </cell>
          <cell r="B1510" t="str">
            <v>Tommaso Baldanzi</v>
          </cell>
          <cell r="C1510" t="str">
            <v>AS Roma</v>
          </cell>
          <cell r="D1510" t="str">
            <v>Italia</v>
          </cell>
          <cell r="E1510" t="str">
            <v>MO</v>
          </cell>
          <cell r="F1510">
            <v>76</v>
          </cell>
          <cell r="G1510">
            <v>22</v>
          </cell>
        </row>
        <row r="1511">
          <cell r="A1511">
            <v>1510</v>
          </cell>
          <cell r="B1511" t="str">
            <v>Lorenzo Pellegrini</v>
          </cell>
          <cell r="C1511" t="str">
            <v>AS Roma</v>
          </cell>
          <cell r="D1511" t="str">
            <v>Italia</v>
          </cell>
          <cell r="E1511" t="str">
            <v>MO</v>
          </cell>
          <cell r="F1511">
            <v>81</v>
          </cell>
          <cell r="G1511">
            <v>29</v>
          </cell>
        </row>
        <row r="1512">
          <cell r="A1512">
            <v>1511</v>
          </cell>
          <cell r="B1512" t="str">
            <v>El Shaarawy</v>
          </cell>
          <cell r="C1512" t="str">
            <v>AS Roma</v>
          </cell>
          <cell r="D1512" t="str">
            <v>Italia</v>
          </cell>
          <cell r="E1512" t="str">
            <v>EI</v>
          </cell>
          <cell r="F1512">
            <v>79</v>
          </cell>
          <cell r="G1512">
            <v>33</v>
          </cell>
        </row>
        <row r="1513">
          <cell r="A1513">
            <v>1512</v>
          </cell>
          <cell r="B1513" t="str">
            <v>Matías Soulé</v>
          </cell>
          <cell r="C1513" t="str">
            <v>AS Roma</v>
          </cell>
          <cell r="D1513" t="str">
            <v>Argentina</v>
          </cell>
          <cell r="E1513" t="str">
            <v>ED</v>
          </cell>
          <cell r="F1513">
            <v>78</v>
          </cell>
          <cell r="G1513">
            <v>22</v>
          </cell>
        </row>
        <row r="1514">
          <cell r="A1514">
            <v>1513</v>
          </cell>
          <cell r="B1514" t="str">
            <v>Leon Bailey</v>
          </cell>
          <cell r="C1514" t="str">
            <v>AS Roma</v>
          </cell>
          <cell r="D1514" t="str">
            <v>Jamaica</v>
          </cell>
          <cell r="E1514" t="str">
            <v>ED</v>
          </cell>
          <cell r="F1514">
            <v>81</v>
          </cell>
          <cell r="G1514">
            <v>28</v>
          </cell>
        </row>
        <row r="1515">
          <cell r="A1515">
            <v>1514</v>
          </cell>
          <cell r="B1515" t="str">
            <v>Paulo Dybala</v>
          </cell>
          <cell r="C1515" t="str">
            <v>AS Roma</v>
          </cell>
          <cell r="D1515" t="str">
            <v>Argentina</v>
          </cell>
          <cell r="E1515" t="str">
            <v>SD</v>
          </cell>
          <cell r="F1515">
            <v>87</v>
          </cell>
          <cell r="G1515">
            <v>32</v>
          </cell>
        </row>
        <row r="1516">
          <cell r="A1516">
            <v>1515</v>
          </cell>
          <cell r="B1516" t="str">
            <v>Artem Dovbyk</v>
          </cell>
          <cell r="C1516" t="str">
            <v>AS Roma</v>
          </cell>
          <cell r="D1516" t="str">
            <v>Ucrania</v>
          </cell>
          <cell r="E1516" t="str">
            <v>DC</v>
          </cell>
          <cell r="F1516">
            <v>83</v>
          </cell>
          <cell r="G1516">
            <v>28</v>
          </cell>
        </row>
        <row r="1517">
          <cell r="A1517">
            <v>1516</v>
          </cell>
          <cell r="B1517" t="str">
            <v>Evan Ferguson</v>
          </cell>
          <cell r="C1517" t="str">
            <v>AS Roma</v>
          </cell>
          <cell r="D1517" t="str">
            <v>Irlanda</v>
          </cell>
          <cell r="E1517" t="str">
            <v>DC</v>
          </cell>
          <cell r="F1517">
            <v>75</v>
          </cell>
          <cell r="G1517">
            <v>21</v>
          </cell>
        </row>
        <row r="1518">
          <cell r="A1518">
            <v>1517</v>
          </cell>
          <cell r="B1518" t="str">
            <v>Federico Nardin</v>
          </cell>
          <cell r="C1518" t="str">
            <v>AS Roma</v>
          </cell>
          <cell r="D1518" t="str">
            <v>Italia</v>
          </cell>
          <cell r="E1518" t="str">
            <v>CT</v>
          </cell>
          <cell r="F1518">
            <v>56</v>
          </cell>
          <cell r="G1518">
            <v>18</v>
          </cell>
        </row>
        <row r="1519">
          <cell r="A1519">
            <v>1518</v>
          </cell>
          <cell r="B1519" t="str">
            <v>Arijanet Murić</v>
          </cell>
          <cell r="C1519" t="str">
            <v>US Sassuolo</v>
          </cell>
          <cell r="D1519" t="str">
            <v>Kosovo</v>
          </cell>
          <cell r="E1519" t="str">
            <v>PO</v>
          </cell>
          <cell r="F1519">
            <v>75</v>
          </cell>
          <cell r="G1519">
            <v>27</v>
          </cell>
        </row>
        <row r="1520">
          <cell r="A1520">
            <v>1519</v>
          </cell>
          <cell r="B1520" t="str">
            <v>Stefano Turati</v>
          </cell>
          <cell r="C1520" t="str">
            <v>US Sassuolo</v>
          </cell>
          <cell r="D1520" t="str">
            <v>Italia</v>
          </cell>
          <cell r="E1520" t="str">
            <v>PO</v>
          </cell>
          <cell r="F1520">
            <v>75</v>
          </cell>
          <cell r="G1520">
            <v>24</v>
          </cell>
        </row>
        <row r="1521">
          <cell r="A1521">
            <v>1520</v>
          </cell>
          <cell r="B1521" t="str">
            <v>Gioele Zacchi</v>
          </cell>
          <cell r="C1521" t="str">
            <v>US Sassuolo</v>
          </cell>
          <cell r="D1521" t="str">
            <v>Italia</v>
          </cell>
          <cell r="E1521" t="str">
            <v>PO</v>
          </cell>
          <cell r="F1521">
            <v>61</v>
          </cell>
          <cell r="G1521">
            <v>22</v>
          </cell>
        </row>
        <row r="1522">
          <cell r="A1522">
            <v>1521</v>
          </cell>
          <cell r="B1522" t="str">
            <v>Giacomo Satalino</v>
          </cell>
          <cell r="C1522" t="str">
            <v>US Sassuolo</v>
          </cell>
          <cell r="D1522" t="str">
            <v>Italia</v>
          </cell>
          <cell r="E1522" t="str">
            <v>PO</v>
          </cell>
          <cell r="F1522">
            <v>66</v>
          </cell>
          <cell r="G1522">
            <v>26</v>
          </cell>
        </row>
        <row r="1523">
          <cell r="A1523">
            <v>1522</v>
          </cell>
          <cell r="B1523" t="str">
            <v>Tarik Muharemović</v>
          </cell>
          <cell r="C1523" t="str">
            <v>US Sassuolo</v>
          </cell>
          <cell r="D1523" t="str">
            <v>Bosnia y Herzegovina</v>
          </cell>
          <cell r="E1523" t="str">
            <v>CT</v>
          </cell>
          <cell r="F1523">
            <v>68</v>
          </cell>
          <cell r="G1523">
            <v>22</v>
          </cell>
        </row>
        <row r="1524">
          <cell r="A1524">
            <v>1523</v>
          </cell>
          <cell r="B1524" t="str">
            <v>Fali Candé</v>
          </cell>
          <cell r="C1524" t="str">
            <v>US Sassuolo</v>
          </cell>
          <cell r="D1524" t="str">
            <v>Guinea-Bissau</v>
          </cell>
          <cell r="E1524" t="str">
            <v>CT</v>
          </cell>
          <cell r="F1524">
            <v>70</v>
          </cell>
          <cell r="G1524">
            <v>27</v>
          </cell>
        </row>
        <row r="1525">
          <cell r="A1525">
            <v>1524</v>
          </cell>
          <cell r="B1525" t="str">
            <v>Cas Odenthal</v>
          </cell>
          <cell r="C1525" t="str">
            <v>US Sassuolo</v>
          </cell>
          <cell r="D1525" t="str">
            <v>Países Bajos</v>
          </cell>
          <cell r="E1525" t="str">
            <v>CT</v>
          </cell>
          <cell r="F1525">
            <v>71</v>
          </cell>
          <cell r="G1525">
            <v>25</v>
          </cell>
        </row>
        <row r="1526">
          <cell r="A1526">
            <v>1525</v>
          </cell>
          <cell r="B1526" t="str">
            <v>Filippo Romagna</v>
          </cell>
          <cell r="C1526" t="str">
            <v>US Sassuolo</v>
          </cell>
          <cell r="D1526" t="str">
            <v>Italia</v>
          </cell>
          <cell r="E1526" t="str">
            <v>CT</v>
          </cell>
          <cell r="F1526">
            <v>70</v>
          </cell>
          <cell r="G1526">
            <v>28</v>
          </cell>
        </row>
        <row r="1527">
          <cell r="A1527">
            <v>1526</v>
          </cell>
          <cell r="B1527" t="str">
            <v>Josh Doig</v>
          </cell>
          <cell r="C1527" t="str">
            <v>US Sassuolo</v>
          </cell>
          <cell r="D1527" t="str">
            <v>Escocia</v>
          </cell>
          <cell r="E1527" t="str">
            <v>LI</v>
          </cell>
          <cell r="F1527">
            <v>73</v>
          </cell>
          <cell r="G1527">
            <v>23</v>
          </cell>
        </row>
        <row r="1528">
          <cell r="A1528">
            <v>1527</v>
          </cell>
          <cell r="B1528" t="str">
            <v>Edoardo Pieragnolo</v>
          </cell>
          <cell r="C1528" t="str">
            <v>US Sassuolo</v>
          </cell>
          <cell r="D1528" t="str">
            <v>Italia</v>
          </cell>
          <cell r="E1528" t="str">
            <v>LI</v>
          </cell>
          <cell r="F1528">
            <v>66</v>
          </cell>
          <cell r="G1528">
            <v>22</v>
          </cell>
        </row>
        <row r="1529">
          <cell r="A1529">
            <v>1528</v>
          </cell>
          <cell r="B1529" t="str">
            <v>S. Walukiewicz</v>
          </cell>
          <cell r="C1529" t="str">
            <v>US Sassuolo</v>
          </cell>
          <cell r="D1529" t="str">
            <v>Polonia</v>
          </cell>
          <cell r="E1529" t="str">
            <v>LD</v>
          </cell>
          <cell r="F1529">
            <v>70</v>
          </cell>
          <cell r="G1529">
            <v>25</v>
          </cell>
        </row>
        <row r="1530">
          <cell r="A1530">
            <v>1529</v>
          </cell>
          <cell r="B1530" t="str">
            <v>Woyo Coulibaly</v>
          </cell>
          <cell r="C1530" t="str">
            <v>US Sassuolo</v>
          </cell>
          <cell r="D1530" t="str">
            <v>Malí</v>
          </cell>
          <cell r="E1530" t="str">
            <v>LD</v>
          </cell>
          <cell r="F1530">
            <v>73</v>
          </cell>
          <cell r="G1530">
            <v>26</v>
          </cell>
        </row>
        <row r="1531">
          <cell r="A1531">
            <v>1530</v>
          </cell>
          <cell r="B1531" t="str">
            <v>Yeferson Paz</v>
          </cell>
          <cell r="C1531" t="str">
            <v>US Sassuolo</v>
          </cell>
          <cell r="D1531" t="str">
            <v>Colombia</v>
          </cell>
          <cell r="E1531" t="str">
            <v>LD</v>
          </cell>
          <cell r="F1531">
            <v>67</v>
          </cell>
          <cell r="G1531">
            <v>23</v>
          </cell>
        </row>
        <row r="1532">
          <cell r="A1532">
            <v>1531</v>
          </cell>
          <cell r="B1532" t="str">
            <v>Daniel Boloca</v>
          </cell>
          <cell r="C1532" t="str">
            <v>US Sassuolo</v>
          </cell>
          <cell r="D1532" t="str">
            <v>Italia</v>
          </cell>
          <cell r="E1532" t="str">
            <v>MCD</v>
          </cell>
          <cell r="F1532">
            <v>74</v>
          </cell>
          <cell r="G1532">
            <v>27</v>
          </cell>
        </row>
        <row r="1533">
          <cell r="A1533">
            <v>1532</v>
          </cell>
          <cell r="B1533" t="str">
            <v>Luca Lipani</v>
          </cell>
          <cell r="C1533" t="str">
            <v>US Sassuolo</v>
          </cell>
          <cell r="D1533" t="str">
            <v>Italia</v>
          </cell>
          <cell r="E1533" t="str">
            <v>MCD</v>
          </cell>
          <cell r="F1533">
            <v>65</v>
          </cell>
          <cell r="G1533">
            <v>20</v>
          </cell>
        </row>
        <row r="1534">
          <cell r="A1534">
            <v>1533</v>
          </cell>
          <cell r="B1534" t="str">
            <v>Nemanja Matić</v>
          </cell>
          <cell r="C1534" t="str">
            <v>US Sassuolo</v>
          </cell>
          <cell r="D1534" t="str">
            <v>Serbia</v>
          </cell>
          <cell r="E1534" t="str">
            <v>MCD</v>
          </cell>
          <cell r="F1534">
            <v>79</v>
          </cell>
          <cell r="G1534">
            <v>37</v>
          </cell>
        </row>
        <row r="1535">
          <cell r="A1535">
            <v>1534</v>
          </cell>
          <cell r="B1535" t="str">
            <v>Ismaël Koné</v>
          </cell>
          <cell r="C1535" t="str">
            <v>US Sassuolo</v>
          </cell>
          <cell r="D1535" t="str">
            <v>Canadá</v>
          </cell>
          <cell r="E1535" t="str">
            <v>MC</v>
          </cell>
          <cell r="F1535">
            <v>73</v>
          </cell>
          <cell r="G1535">
            <v>23</v>
          </cell>
        </row>
        <row r="1536">
          <cell r="A1536">
            <v>1535</v>
          </cell>
          <cell r="B1536" t="str">
            <v>Kristian Thorstvedt</v>
          </cell>
          <cell r="C1536" t="str">
            <v>US Sassuolo</v>
          </cell>
          <cell r="D1536" t="str">
            <v>Noruega</v>
          </cell>
          <cell r="E1536" t="str">
            <v>MC</v>
          </cell>
          <cell r="F1536">
            <v>74</v>
          </cell>
          <cell r="G1536">
            <v>26</v>
          </cell>
        </row>
        <row r="1537">
          <cell r="A1537">
            <v>1536</v>
          </cell>
          <cell r="B1537" t="str">
            <v>Aster Vranckx</v>
          </cell>
          <cell r="C1537" t="str">
            <v>US Sassuolo</v>
          </cell>
          <cell r="D1537" t="str">
            <v>Bélgica</v>
          </cell>
          <cell r="E1537" t="str">
            <v>MC</v>
          </cell>
          <cell r="F1537">
            <v>74</v>
          </cell>
          <cell r="G1537">
            <v>23</v>
          </cell>
        </row>
        <row r="1538">
          <cell r="A1538">
            <v>1537</v>
          </cell>
          <cell r="B1538" t="str">
            <v>Edoardo Iannoni</v>
          </cell>
          <cell r="C1538" t="str">
            <v>US Sassuolo</v>
          </cell>
          <cell r="D1538" t="str">
            <v>Italia</v>
          </cell>
          <cell r="E1538" t="str">
            <v>MC</v>
          </cell>
          <cell r="F1538">
            <v>67</v>
          </cell>
          <cell r="G1538">
            <v>24</v>
          </cell>
        </row>
        <row r="1539">
          <cell r="A1539">
            <v>1538</v>
          </cell>
          <cell r="B1539" t="str">
            <v>Cristian Volpato</v>
          </cell>
          <cell r="C1539" t="str">
            <v>US Sassuolo</v>
          </cell>
          <cell r="D1539" t="str">
            <v>Italia</v>
          </cell>
          <cell r="E1539" t="str">
            <v>MO</v>
          </cell>
          <cell r="F1539">
            <v>68</v>
          </cell>
          <cell r="G1539">
            <v>22</v>
          </cell>
        </row>
        <row r="1540">
          <cell r="A1540">
            <v>1539</v>
          </cell>
          <cell r="B1540" t="str">
            <v>Armand Laurienté</v>
          </cell>
          <cell r="C1540" t="str">
            <v>US Sassuolo</v>
          </cell>
          <cell r="D1540" t="str">
            <v>Francia</v>
          </cell>
          <cell r="E1540" t="str">
            <v>EI</v>
          </cell>
          <cell r="F1540">
            <v>80</v>
          </cell>
          <cell r="G1540">
            <v>27</v>
          </cell>
        </row>
        <row r="1541">
          <cell r="A1541">
            <v>1540</v>
          </cell>
          <cell r="B1541" t="str">
            <v>Alieu Fadera</v>
          </cell>
          <cell r="C1541" t="str">
            <v>US Sassuolo</v>
          </cell>
          <cell r="D1541" t="str">
            <v>Gambia</v>
          </cell>
          <cell r="E1541" t="str">
            <v>EI</v>
          </cell>
          <cell r="F1541">
            <v>71</v>
          </cell>
          <cell r="G1541">
            <v>24</v>
          </cell>
        </row>
        <row r="1542">
          <cell r="A1542">
            <v>1541</v>
          </cell>
          <cell r="B1542" t="str">
            <v>Domenico Berardi</v>
          </cell>
          <cell r="C1542" t="str">
            <v>US Sassuolo</v>
          </cell>
          <cell r="D1542" t="str">
            <v>Italia</v>
          </cell>
          <cell r="E1542" t="str">
            <v>ED</v>
          </cell>
          <cell r="F1542">
            <v>82</v>
          </cell>
          <cell r="G1542">
            <v>31</v>
          </cell>
        </row>
        <row r="1543">
          <cell r="A1543">
            <v>1542</v>
          </cell>
          <cell r="B1543" t="str">
            <v>Nicholas Pierini</v>
          </cell>
          <cell r="C1543" t="str">
            <v>US Sassuolo</v>
          </cell>
          <cell r="D1543" t="str">
            <v>Italia</v>
          </cell>
          <cell r="E1543" t="str">
            <v>ED</v>
          </cell>
          <cell r="F1543">
            <v>69</v>
          </cell>
          <cell r="G1543">
            <v>27</v>
          </cell>
        </row>
        <row r="1544">
          <cell r="A1544">
            <v>1543</v>
          </cell>
          <cell r="B1544" t="str">
            <v>Andrea Pinamonti</v>
          </cell>
          <cell r="C1544" t="str">
            <v>US Sassuolo</v>
          </cell>
          <cell r="D1544" t="str">
            <v>Italia</v>
          </cell>
          <cell r="E1544" t="str">
            <v>DC</v>
          </cell>
          <cell r="F1544">
            <v>75</v>
          </cell>
          <cell r="G1544">
            <v>26</v>
          </cell>
        </row>
        <row r="1545">
          <cell r="A1545">
            <v>1544</v>
          </cell>
          <cell r="B1545" t="str">
            <v>Laurs Skjellerup</v>
          </cell>
          <cell r="C1545" t="str">
            <v>US Sassuolo</v>
          </cell>
          <cell r="D1545" t="str">
            <v>Dinamarca</v>
          </cell>
          <cell r="E1545" t="str">
            <v>DC</v>
          </cell>
          <cell r="F1545">
            <v>64</v>
          </cell>
          <cell r="G1545">
            <v>23</v>
          </cell>
        </row>
        <row r="1546">
          <cell r="A1546">
            <v>1545</v>
          </cell>
          <cell r="B1546" t="str">
            <v>Walid Cheddira</v>
          </cell>
          <cell r="C1546" t="str">
            <v>US Sassuolo</v>
          </cell>
          <cell r="D1546" t="str">
            <v>Marruecos</v>
          </cell>
          <cell r="E1546" t="str">
            <v>DC</v>
          </cell>
          <cell r="F1546">
            <v>75</v>
          </cell>
          <cell r="G1546">
            <v>27</v>
          </cell>
        </row>
        <row r="1547">
          <cell r="A1547">
            <v>1546</v>
          </cell>
          <cell r="B1547" t="str">
            <v>Luca Moro</v>
          </cell>
          <cell r="C1547" t="str">
            <v>US Sassuolo</v>
          </cell>
          <cell r="D1547" t="str">
            <v>Italia</v>
          </cell>
          <cell r="E1547" t="str">
            <v>DC</v>
          </cell>
          <cell r="F1547">
            <v>66</v>
          </cell>
          <cell r="G1547">
            <v>24</v>
          </cell>
        </row>
        <row r="1548">
          <cell r="A1548">
            <v>1547</v>
          </cell>
          <cell r="B1548" t="str">
            <v>Franco Israel</v>
          </cell>
          <cell r="C1548" t="str">
            <v>Torino FC</v>
          </cell>
          <cell r="D1548" t="str">
            <v>Uruguay</v>
          </cell>
          <cell r="E1548" t="str">
            <v>PO</v>
          </cell>
          <cell r="F1548">
            <v>75</v>
          </cell>
          <cell r="G1548">
            <v>25</v>
          </cell>
        </row>
        <row r="1549">
          <cell r="A1549">
            <v>1548</v>
          </cell>
          <cell r="B1549" t="str">
            <v>Mihai Popa</v>
          </cell>
          <cell r="C1549" t="str">
            <v>Torino FC</v>
          </cell>
          <cell r="D1549" t="str">
            <v>Rumania</v>
          </cell>
          <cell r="E1549" t="str">
            <v>PO</v>
          </cell>
          <cell r="F1549">
            <v>72</v>
          </cell>
          <cell r="G1549">
            <v>25</v>
          </cell>
        </row>
        <row r="1550">
          <cell r="A1550">
            <v>1549</v>
          </cell>
          <cell r="B1550" t="str">
            <v>Alberto Paleari</v>
          </cell>
          <cell r="C1550" t="str">
            <v>Torino FC</v>
          </cell>
          <cell r="D1550" t="str">
            <v>Italia</v>
          </cell>
          <cell r="E1550" t="str">
            <v>PO</v>
          </cell>
          <cell r="F1550">
            <v>71</v>
          </cell>
          <cell r="G1550">
            <v>33</v>
          </cell>
        </row>
        <row r="1551">
          <cell r="A1551">
            <v>1550</v>
          </cell>
          <cell r="B1551" t="str">
            <v>Saúl Coco</v>
          </cell>
          <cell r="C1551" t="str">
            <v>Torino FC</v>
          </cell>
          <cell r="D1551" t="str">
            <v>Guinea Ecuatorial</v>
          </cell>
          <cell r="E1551" t="str">
            <v>CT</v>
          </cell>
          <cell r="F1551">
            <v>75</v>
          </cell>
          <cell r="G1551">
            <v>26</v>
          </cell>
        </row>
        <row r="1552">
          <cell r="A1552">
            <v>1551</v>
          </cell>
          <cell r="B1552" t="str">
            <v>Ardian Ismajli</v>
          </cell>
          <cell r="C1552" t="str">
            <v>Torino FC</v>
          </cell>
          <cell r="D1552" t="str">
            <v>Albania</v>
          </cell>
          <cell r="E1552" t="str">
            <v>CT</v>
          </cell>
          <cell r="F1552">
            <v>73</v>
          </cell>
          <cell r="G1552">
            <v>29</v>
          </cell>
        </row>
        <row r="1553">
          <cell r="A1553">
            <v>1552</v>
          </cell>
          <cell r="B1553" t="str">
            <v>Guillermo Maripán</v>
          </cell>
          <cell r="C1553" t="str">
            <v>Torino FC</v>
          </cell>
          <cell r="D1553" t="str">
            <v>Chile</v>
          </cell>
          <cell r="E1553" t="str">
            <v>CT</v>
          </cell>
          <cell r="F1553">
            <v>77</v>
          </cell>
          <cell r="G1553">
            <v>31</v>
          </cell>
        </row>
        <row r="1554">
          <cell r="A1554">
            <v>1553</v>
          </cell>
          <cell r="B1554" t="str">
            <v>Perr Schuurs</v>
          </cell>
          <cell r="C1554" t="str">
            <v>Torino FC</v>
          </cell>
          <cell r="D1554" t="str">
            <v>Países Bajos</v>
          </cell>
          <cell r="E1554" t="str">
            <v>CT</v>
          </cell>
          <cell r="F1554">
            <v>79</v>
          </cell>
          <cell r="G1554">
            <v>26</v>
          </cell>
        </row>
        <row r="1555">
          <cell r="A1555">
            <v>1554</v>
          </cell>
          <cell r="B1555" t="str">
            <v>Adam Masina</v>
          </cell>
          <cell r="C1555" t="str">
            <v>Torino FC</v>
          </cell>
          <cell r="D1555" t="str">
            <v>Marruecos</v>
          </cell>
          <cell r="E1555" t="str">
            <v>CT</v>
          </cell>
          <cell r="F1555">
            <v>69</v>
          </cell>
          <cell r="G1555">
            <v>31</v>
          </cell>
        </row>
        <row r="1556">
          <cell r="A1556">
            <v>1555</v>
          </cell>
          <cell r="B1556" t="str">
            <v>Saba Sazonov</v>
          </cell>
          <cell r="C1556" t="str">
            <v>Torino FC</v>
          </cell>
          <cell r="D1556" t="str">
            <v>Georgia</v>
          </cell>
          <cell r="E1556" t="str">
            <v>CT</v>
          </cell>
          <cell r="F1556">
            <v>75</v>
          </cell>
          <cell r="G1556">
            <v>23</v>
          </cell>
        </row>
        <row r="1557">
          <cell r="A1557">
            <v>1556</v>
          </cell>
          <cell r="B1557" t="str">
            <v>Niels Nkounkou</v>
          </cell>
          <cell r="C1557" t="str">
            <v>Torino FC</v>
          </cell>
          <cell r="D1557" t="str">
            <v>Francia</v>
          </cell>
          <cell r="E1557" t="str">
            <v>LI</v>
          </cell>
          <cell r="F1557">
            <v>72</v>
          </cell>
          <cell r="G1557">
            <v>25</v>
          </cell>
        </row>
        <row r="1558">
          <cell r="A1558">
            <v>1557</v>
          </cell>
          <cell r="B1558" t="str">
            <v>Cristiano Biraghi</v>
          </cell>
          <cell r="C1558" t="str">
            <v>Torino FC</v>
          </cell>
          <cell r="D1558" t="str">
            <v>Italia</v>
          </cell>
          <cell r="E1558" t="str">
            <v>LI</v>
          </cell>
          <cell r="F1558">
            <v>79</v>
          </cell>
          <cell r="G1558">
            <v>33</v>
          </cell>
        </row>
        <row r="1559">
          <cell r="A1559">
            <v>1558</v>
          </cell>
          <cell r="B1559" t="str">
            <v>Valentino Lazaro</v>
          </cell>
          <cell r="C1559" t="str">
            <v>Torino FC</v>
          </cell>
          <cell r="D1559" t="str">
            <v>Austria</v>
          </cell>
          <cell r="E1559" t="str">
            <v>ED</v>
          </cell>
          <cell r="F1559">
            <v>74</v>
          </cell>
          <cell r="G1559">
            <v>29</v>
          </cell>
        </row>
        <row r="1560">
          <cell r="A1560">
            <v>1559</v>
          </cell>
          <cell r="B1560" t="str">
            <v>Marcus Pedersen</v>
          </cell>
          <cell r="C1560" t="str">
            <v>Torino FC</v>
          </cell>
          <cell r="D1560" t="str">
            <v>Noruega</v>
          </cell>
          <cell r="E1560" t="str">
            <v>LD</v>
          </cell>
          <cell r="F1560">
            <v>74</v>
          </cell>
          <cell r="G1560">
            <v>25</v>
          </cell>
        </row>
        <row r="1561">
          <cell r="A1561">
            <v>1560</v>
          </cell>
          <cell r="B1561" t="str">
            <v>Ali Dembélé</v>
          </cell>
          <cell r="C1561" t="str">
            <v>Torino FC</v>
          </cell>
          <cell r="D1561" t="str">
            <v>Francia</v>
          </cell>
          <cell r="E1561" t="str">
            <v>LD</v>
          </cell>
          <cell r="F1561">
            <v>62</v>
          </cell>
          <cell r="G1561">
            <v>21</v>
          </cell>
        </row>
        <row r="1562">
          <cell r="A1562">
            <v>1561</v>
          </cell>
          <cell r="B1562" t="str">
            <v>Kristjan Asllani</v>
          </cell>
          <cell r="C1562" t="str">
            <v>Torino FC</v>
          </cell>
          <cell r="D1562" t="str">
            <v>Albania</v>
          </cell>
          <cell r="E1562" t="str">
            <v>MCD</v>
          </cell>
          <cell r="F1562">
            <v>76</v>
          </cell>
          <cell r="G1562">
            <v>23</v>
          </cell>
        </row>
        <row r="1563">
          <cell r="A1563">
            <v>1562</v>
          </cell>
          <cell r="B1563" t="str">
            <v>Adrien Tamèze</v>
          </cell>
          <cell r="C1563" t="str">
            <v>Torino FC</v>
          </cell>
          <cell r="D1563" t="str">
            <v>Francia</v>
          </cell>
          <cell r="E1563" t="str">
            <v>MCD</v>
          </cell>
          <cell r="F1563">
            <v>76</v>
          </cell>
          <cell r="G1563">
            <v>31</v>
          </cell>
        </row>
        <row r="1564">
          <cell r="A1564">
            <v>1563</v>
          </cell>
          <cell r="B1564" t="str">
            <v>Cesare Casadei</v>
          </cell>
          <cell r="C1564" t="str">
            <v>Torino FC</v>
          </cell>
          <cell r="D1564" t="str">
            <v>Italia</v>
          </cell>
          <cell r="E1564" t="str">
            <v>MC</v>
          </cell>
          <cell r="F1564">
            <v>73</v>
          </cell>
          <cell r="G1564">
            <v>22</v>
          </cell>
        </row>
        <row r="1565">
          <cell r="A1565">
            <v>1564</v>
          </cell>
          <cell r="B1565" t="str">
            <v>Ivan Ilić</v>
          </cell>
          <cell r="C1565" t="str">
            <v>Torino FC</v>
          </cell>
          <cell r="D1565" t="str">
            <v>Serbia</v>
          </cell>
          <cell r="E1565" t="str">
            <v>MC</v>
          </cell>
          <cell r="F1565">
            <v>77</v>
          </cell>
          <cell r="G1565">
            <v>24</v>
          </cell>
        </row>
        <row r="1566">
          <cell r="A1566">
            <v>1565</v>
          </cell>
          <cell r="B1566" t="str">
            <v>Gvidas Gineitis</v>
          </cell>
          <cell r="C1566" t="str">
            <v>Torino FC</v>
          </cell>
          <cell r="D1566" t="str">
            <v>Lituania</v>
          </cell>
          <cell r="E1566" t="str">
            <v>MC</v>
          </cell>
          <cell r="F1566">
            <v>67</v>
          </cell>
          <cell r="G1566">
            <v>21</v>
          </cell>
        </row>
        <row r="1567">
          <cell r="A1567">
            <v>1566</v>
          </cell>
          <cell r="B1567" t="str">
            <v>Emirhan İlkhan</v>
          </cell>
          <cell r="C1567" t="str">
            <v>Torino FC</v>
          </cell>
          <cell r="D1567" t="str">
            <v>Turquía</v>
          </cell>
          <cell r="E1567" t="str">
            <v>MC</v>
          </cell>
          <cell r="F1567">
            <v>64</v>
          </cell>
          <cell r="G1567">
            <v>21</v>
          </cell>
        </row>
        <row r="1568">
          <cell r="A1568">
            <v>1567</v>
          </cell>
          <cell r="B1568" t="str">
            <v>Nikola Vlašić</v>
          </cell>
          <cell r="C1568" t="str">
            <v>Torino FC</v>
          </cell>
          <cell r="D1568" t="str">
            <v>Croacia</v>
          </cell>
          <cell r="E1568" t="str">
            <v>MO</v>
          </cell>
          <cell r="F1568">
            <v>78</v>
          </cell>
          <cell r="G1568">
            <v>28</v>
          </cell>
        </row>
        <row r="1569">
          <cell r="A1569">
            <v>1568</v>
          </cell>
          <cell r="B1569" t="str">
            <v>Tino Anjorin</v>
          </cell>
          <cell r="C1569" t="str">
            <v>Torino FC</v>
          </cell>
          <cell r="D1569" t="str">
            <v>Inglaterra</v>
          </cell>
          <cell r="E1569" t="str">
            <v>MO</v>
          </cell>
          <cell r="F1569">
            <v>69</v>
          </cell>
          <cell r="G1569">
            <v>24</v>
          </cell>
        </row>
        <row r="1570">
          <cell r="A1570">
            <v>1569</v>
          </cell>
          <cell r="B1570" t="str">
            <v>Alieu Njie</v>
          </cell>
          <cell r="C1570" t="str">
            <v>Torino FC</v>
          </cell>
          <cell r="D1570" t="str">
            <v>Suecia</v>
          </cell>
          <cell r="E1570" t="str">
            <v>EI</v>
          </cell>
          <cell r="F1570">
            <v>64</v>
          </cell>
          <cell r="G1570">
            <v>20</v>
          </cell>
        </row>
        <row r="1571">
          <cell r="A1571">
            <v>1570</v>
          </cell>
          <cell r="B1571" t="str">
            <v>Zakaria Aboukhlal</v>
          </cell>
          <cell r="C1571" t="str">
            <v>Torino FC</v>
          </cell>
          <cell r="D1571" t="str">
            <v>Marruecos</v>
          </cell>
          <cell r="E1571" t="str">
            <v>ED</v>
          </cell>
          <cell r="F1571">
            <v>75</v>
          </cell>
          <cell r="G1571">
            <v>25</v>
          </cell>
        </row>
        <row r="1572">
          <cell r="A1572">
            <v>1571</v>
          </cell>
          <cell r="B1572" t="str">
            <v>Cyril Ngonge</v>
          </cell>
          <cell r="C1572" t="str">
            <v>Torino FC</v>
          </cell>
          <cell r="D1572" t="str">
            <v>Bélgica</v>
          </cell>
          <cell r="E1572" t="str">
            <v>ED</v>
          </cell>
          <cell r="F1572">
            <v>74</v>
          </cell>
          <cell r="G1572">
            <v>25</v>
          </cell>
        </row>
        <row r="1573">
          <cell r="A1573">
            <v>1572</v>
          </cell>
          <cell r="B1573" t="str">
            <v>Zanos Savva</v>
          </cell>
          <cell r="C1573" t="str">
            <v>Torino FC</v>
          </cell>
          <cell r="D1573" t="str">
            <v>Chipre</v>
          </cell>
          <cell r="E1573" t="str">
            <v>ED</v>
          </cell>
          <cell r="F1573">
            <v>67</v>
          </cell>
          <cell r="G1573">
            <v>20</v>
          </cell>
        </row>
        <row r="1574">
          <cell r="A1574">
            <v>1573</v>
          </cell>
          <cell r="B1574" t="str">
            <v>Ché Adams</v>
          </cell>
          <cell r="C1574" t="str">
            <v>Torino FC</v>
          </cell>
          <cell r="D1574" t="str">
            <v>Escocia</v>
          </cell>
          <cell r="E1574" t="str">
            <v>DC</v>
          </cell>
          <cell r="F1574">
            <v>76</v>
          </cell>
          <cell r="G1574">
            <v>29</v>
          </cell>
        </row>
        <row r="1575">
          <cell r="A1575">
            <v>1574</v>
          </cell>
          <cell r="B1575" t="str">
            <v>Giovanni Simeone</v>
          </cell>
          <cell r="C1575" t="str">
            <v>Torino FC</v>
          </cell>
          <cell r="D1575" t="str">
            <v>Argentina</v>
          </cell>
          <cell r="E1575" t="str">
            <v>DC</v>
          </cell>
          <cell r="F1575">
            <v>78</v>
          </cell>
          <cell r="G1575">
            <v>30</v>
          </cell>
        </row>
        <row r="1576">
          <cell r="A1576">
            <v>1575</v>
          </cell>
          <cell r="B1576" t="str">
            <v>Duván Zapata</v>
          </cell>
          <cell r="C1576" t="str">
            <v>Torino FC</v>
          </cell>
          <cell r="D1576" t="str">
            <v>Colombia</v>
          </cell>
          <cell r="E1576" t="str">
            <v>DC</v>
          </cell>
          <cell r="F1576">
            <v>83</v>
          </cell>
          <cell r="G1576">
            <v>34</v>
          </cell>
        </row>
        <row r="1577">
          <cell r="A1577">
            <v>1576</v>
          </cell>
          <cell r="B1577" t="str">
            <v>Maduka Okoye</v>
          </cell>
          <cell r="C1577" t="str">
            <v>Udinese</v>
          </cell>
          <cell r="D1577" t="str">
            <v>Nigeria</v>
          </cell>
          <cell r="E1577" t="str">
            <v>PO</v>
          </cell>
          <cell r="F1577">
            <v>75</v>
          </cell>
          <cell r="G1577">
            <v>26</v>
          </cell>
        </row>
        <row r="1578">
          <cell r="A1578">
            <v>1577</v>
          </cell>
          <cell r="B1578" t="str">
            <v>Răzvan Sava</v>
          </cell>
          <cell r="C1578" t="str">
            <v>Udinese</v>
          </cell>
          <cell r="D1578" t="str">
            <v>Rumania</v>
          </cell>
          <cell r="E1578" t="str">
            <v>PO</v>
          </cell>
          <cell r="F1578">
            <v>69</v>
          </cell>
          <cell r="G1578">
            <v>23</v>
          </cell>
        </row>
        <row r="1579">
          <cell r="A1579">
            <v>1578</v>
          </cell>
          <cell r="B1579" t="str">
            <v>Daniele Padelli</v>
          </cell>
          <cell r="C1579" t="str">
            <v>Udinese</v>
          </cell>
          <cell r="D1579" t="str">
            <v>Italia</v>
          </cell>
          <cell r="E1579" t="str">
            <v>PO</v>
          </cell>
          <cell r="F1579">
            <v>68</v>
          </cell>
          <cell r="G1579">
            <v>40</v>
          </cell>
        </row>
        <row r="1580">
          <cell r="A1580">
            <v>1579</v>
          </cell>
          <cell r="B1580" t="str">
            <v>Oumar Solet</v>
          </cell>
          <cell r="C1580" t="str">
            <v>Udinese</v>
          </cell>
          <cell r="D1580" t="str">
            <v>Francia</v>
          </cell>
          <cell r="E1580" t="str">
            <v>CT</v>
          </cell>
          <cell r="F1580">
            <v>72</v>
          </cell>
          <cell r="G1580">
            <v>25</v>
          </cell>
        </row>
        <row r="1581">
          <cell r="A1581">
            <v>1580</v>
          </cell>
          <cell r="B1581" t="str">
            <v>Thomas Kristensen</v>
          </cell>
          <cell r="C1581" t="str">
            <v>Udinese</v>
          </cell>
          <cell r="D1581" t="str">
            <v>Dinamarca</v>
          </cell>
          <cell r="E1581" t="str">
            <v>CT</v>
          </cell>
          <cell r="F1581">
            <v>72</v>
          </cell>
          <cell r="G1581">
            <v>23</v>
          </cell>
        </row>
        <row r="1582">
          <cell r="A1582">
            <v>1581</v>
          </cell>
          <cell r="B1582" t="str">
            <v>Saba Goglichidze</v>
          </cell>
          <cell r="C1582" t="str">
            <v>Udinese</v>
          </cell>
          <cell r="D1582" t="str">
            <v>Georgia</v>
          </cell>
          <cell r="E1582" t="str">
            <v>CT</v>
          </cell>
          <cell r="F1582">
            <v>63</v>
          </cell>
          <cell r="G1582">
            <v>21</v>
          </cell>
        </row>
        <row r="1583">
          <cell r="A1583">
            <v>1582</v>
          </cell>
          <cell r="B1583" t="str">
            <v>Nicolò Bertola</v>
          </cell>
          <cell r="C1583" t="str">
            <v>Udinese</v>
          </cell>
          <cell r="D1583" t="str">
            <v>Italia</v>
          </cell>
          <cell r="E1583" t="str">
            <v>CT</v>
          </cell>
          <cell r="F1583">
            <v>68</v>
          </cell>
          <cell r="G1583">
            <v>22</v>
          </cell>
        </row>
        <row r="1584">
          <cell r="A1584">
            <v>1583</v>
          </cell>
          <cell r="B1584" t="str">
            <v>Matteo Palma</v>
          </cell>
          <cell r="C1584" t="str">
            <v>Udinese</v>
          </cell>
          <cell r="D1584" t="str">
            <v>Alemania</v>
          </cell>
          <cell r="E1584" t="str">
            <v>CT</v>
          </cell>
          <cell r="F1584">
            <v>58</v>
          </cell>
          <cell r="G1584">
            <v>17</v>
          </cell>
        </row>
        <row r="1585">
          <cell r="A1585">
            <v>1584</v>
          </cell>
          <cell r="B1585" t="str">
            <v>Christian Kabasele</v>
          </cell>
          <cell r="C1585" t="str">
            <v>Udinese</v>
          </cell>
          <cell r="D1585" t="str">
            <v>Bélgica</v>
          </cell>
          <cell r="E1585" t="str">
            <v>CT</v>
          </cell>
          <cell r="F1585">
            <v>73</v>
          </cell>
          <cell r="G1585">
            <v>34</v>
          </cell>
        </row>
        <row r="1586">
          <cell r="A1586">
            <v>1585</v>
          </cell>
          <cell r="B1586" t="str">
            <v>Jordan Zemura</v>
          </cell>
          <cell r="C1586" t="str">
            <v>Udinese</v>
          </cell>
          <cell r="D1586" t="str">
            <v>Zimbabue</v>
          </cell>
          <cell r="E1586" t="str">
            <v>LI</v>
          </cell>
          <cell r="F1586">
            <v>69</v>
          </cell>
          <cell r="G1586">
            <v>26</v>
          </cell>
        </row>
        <row r="1587">
          <cell r="A1587">
            <v>1586</v>
          </cell>
          <cell r="B1587" t="str">
            <v>Hassane Kamara</v>
          </cell>
          <cell r="C1587" t="str">
            <v>Udinese</v>
          </cell>
          <cell r="D1587" t="str">
            <v>Costa de Marfil</v>
          </cell>
          <cell r="E1587" t="str">
            <v>LI</v>
          </cell>
          <cell r="F1587">
            <v>74</v>
          </cell>
          <cell r="G1587">
            <v>31</v>
          </cell>
        </row>
        <row r="1588">
          <cell r="A1588">
            <v>1587</v>
          </cell>
          <cell r="B1588" t="str">
            <v>Alessandro Zanoli</v>
          </cell>
          <cell r="C1588" t="str">
            <v>Udinese</v>
          </cell>
          <cell r="D1588" t="str">
            <v>Italia</v>
          </cell>
          <cell r="E1588" t="str">
            <v>LD</v>
          </cell>
          <cell r="F1588">
            <v>73</v>
          </cell>
          <cell r="G1588">
            <v>25</v>
          </cell>
        </row>
        <row r="1589">
          <cell r="A1589">
            <v>1588</v>
          </cell>
          <cell r="B1589" t="str">
            <v>Kingsley Ehizibue</v>
          </cell>
          <cell r="C1589" t="str">
            <v>Udinese</v>
          </cell>
          <cell r="D1589" t="str">
            <v>Países Bajos</v>
          </cell>
          <cell r="E1589" t="str">
            <v>LD</v>
          </cell>
          <cell r="F1589">
            <v>72</v>
          </cell>
          <cell r="G1589">
            <v>30</v>
          </cell>
        </row>
        <row r="1590">
          <cell r="A1590">
            <v>1589</v>
          </cell>
          <cell r="B1590" t="str">
            <v>Rui Modesto</v>
          </cell>
          <cell r="C1590" t="str">
            <v>Udinese</v>
          </cell>
          <cell r="D1590" t="str">
            <v>Angola</v>
          </cell>
          <cell r="E1590" t="str">
            <v>LD</v>
          </cell>
          <cell r="F1590">
            <v>69</v>
          </cell>
          <cell r="G1590">
            <v>26</v>
          </cell>
        </row>
        <row r="1591">
          <cell r="A1591">
            <v>1590</v>
          </cell>
          <cell r="B1591" t="str">
            <v>Jesper Karlström</v>
          </cell>
          <cell r="C1591" t="str">
            <v>Udinese</v>
          </cell>
          <cell r="D1591" t="str">
            <v>Suecia</v>
          </cell>
          <cell r="E1591" t="str">
            <v>MCD</v>
          </cell>
          <cell r="F1591">
            <v>72</v>
          </cell>
          <cell r="G1591">
            <v>30</v>
          </cell>
        </row>
        <row r="1592">
          <cell r="A1592">
            <v>1591</v>
          </cell>
          <cell r="B1592" t="str">
            <v>Arthur Atta</v>
          </cell>
          <cell r="C1592" t="str">
            <v>Udinese</v>
          </cell>
          <cell r="D1592" t="str">
            <v>Francia</v>
          </cell>
          <cell r="E1592" t="str">
            <v>MC</v>
          </cell>
          <cell r="F1592">
            <v>68</v>
          </cell>
          <cell r="G1592">
            <v>22</v>
          </cell>
        </row>
        <row r="1593">
          <cell r="A1593">
            <v>1592</v>
          </cell>
          <cell r="B1593" t="str">
            <v>Sandi Lovrić</v>
          </cell>
          <cell r="C1593" t="str">
            <v>Udinese</v>
          </cell>
          <cell r="D1593" t="str">
            <v>Eslovenia</v>
          </cell>
          <cell r="E1593" t="str">
            <v>MC</v>
          </cell>
          <cell r="F1593">
            <v>75</v>
          </cell>
          <cell r="G1593">
            <v>27</v>
          </cell>
        </row>
        <row r="1594">
          <cell r="A1594">
            <v>1593</v>
          </cell>
          <cell r="B1594" t="str">
            <v>Lennon Miller</v>
          </cell>
          <cell r="C1594" t="str">
            <v>Udinese</v>
          </cell>
          <cell r="D1594" t="str">
            <v>Escocia</v>
          </cell>
          <cell r="E1594" t="str">
            <v>MC</v>
          </cell>
          <cell r="F1594">
            <v>71</v>
          </cell>
          <cell r="G1594">
            <v>19</v>
          </cell>
        </row>
        <row r="1595">
          <cell r="A1595">
            <v>1594</v>
          </cell>
          <cell r="B1595" t="str">
            <v>J. Ekkelenkamp</v>
          </cell>
          <cell r="C1595" t="str">
            <v>Udinese</v>
          </cell>
          <cell r="D1595" t="str">
            <v>Países Bajos</v>
          </cell>
          <cell r="E1595" t="str">
            <v>MC</v>
          </cell>
          <cell r="F1595">
            <v>72</v>
          </cell>
          <cell r="G1595">
            <v>25</v>
          </cell>
        </row>
        <row r="1596">
          <cell r="A1596">
            <v>1595</v>
          </cell>
          <cell r="B1596" t="str">
            <v>Jakub Piotrowski</v>
          </cell>
          <cell r="C1596" t="str">
            <v>Udinese</v>
          </cell>
          <cell r="D1596" t="str">
            <v>Polonia</v>
          </cell>
          <cell r="E1596" t="str">
            <v>MC</v>
          </cell>
          <cell r="F1596">
            <v>74</v>
          </cell>
          <cell r="G1596">
            <v>28</v>
          </cell>
        </row>
        <row r="1597">
          <cell r="A1597">
            <v>1596</v>
          </cell>
          <cell r="B1597" t="str">
            <v>Oier Zarraga</v>
          </cell>
          <cell r="C1597" t="str">
            <v>Udinese</v>
          </cell>
          <cell r="D1597" t="str">
            <v>España</v>
          </cell>
          <cell r="E1597" t="str">
            <v>MC</v>
          </cell>
          <cell r="F1597">
            <v>74</v>
          </cell>
          <cell r="G1597">
            <v>26</v>
          </cell>
        </row>
        <row r="1598">
          <cell r="A1598">
            <v>1597</v>
          </cell>
          <cell r="B1598" t="str">
            <v>Nicolò Zaniolo</v>
          </cell>
          <cell r="C1598" t="str">
            <v>Udinese</v>
          </cell>
          <cell r="D1598" t="str">
            <v>Italia</v>
          </cell>
          <cell r="E1598" t="str">
            <v>MO</v>
          </cell>
          <cell r="F1598">
            <v>77</v>
          </cell>
          <cell r="G1598">
            <v>26</v>
          </cell>
        </row>
        <row r="1599">
          <cell r="A1599">
            <v>1598</v>
          </cell>
          <cell r="B1599" t="str">
            <v>Iker Bravo</v>
          </cell>
          <cell r="C1599" t="str">
            <v>Udinese</v>
          </cell>
          <cell r="D1599" t="str">
            <v>España</v>
          </cell>
          <cell r="E1599" t="str">
            <v>DC</v>
          </cell>
          <cell r="F1599">
            <v>66</v>
          </cell>
          <cell r="G1599">
            <v>20</v>
          </cell>
        </row>
        <row r="1600">
          <cell r="A1600">
            <v>1599</v>
          </cell>
          <cell r="B1600" t="str">
            <v>Adam Buksa</v>
          </cell>
          <cell r="C1600" t="str">
            <v>Udinese</v>
          </cell>
          <cell r="D1600" t="str">
            <v>Polonia</v>
          </cell>
          <cell r="E1600" t="str">
            <v>DC</v>
          </cell>
          <cell r="F1600">
            <v>74</v>
          </cell>
          <cell r="G1600">
            <v>29</v>
          </cell>
        </row>
        <row r="1601">
          <cell r="A1601">
            <v>1600</v>
          </cell>
          <cell r="B1601" t="str">
            <v>Idrissa Gueye</v>
          </cell>
          <cell r="C1601" t="str">
            <v>Udinese</v>
          </cell>
          <cell r="D1601" t="str">
            <v>Senegal</v>
          </cell>
          <cell r="E1601" t="str">
            <v>DC</v>
          </cell>
          <cell r="F1601">
            <v>63</v>
          </cell>
          <cell r="G1601">
            <v>19</v>
          </cell>
        </row>
        <row r="1602">
          <cell r="A1602">
            <v>1601</v>
          </cell>
          <cell r="B1602" t="str">
            <v>Keinan Davis</v>
          </cell>
          <cell r="C1602" t="str">
            <v>Udinese</v>
          </cell>
          <cell r="D1602" t="str">
            <v>Inglaterra</v>
          </cell>
          <cell r="E1602" t="str">
            <v>DC</v>
          </cell>
          <cell r="F1602">
            <v>72</v>
          </cell>
          <cell r="G1602">
            <v>27</v>
          </cell>
        </row>
        <row r="1603">
          <cell r="A1603">
            <v>1602</v>
          </cell>
          <cell r="B1603" t="str">
            <v>Vakoun Bayo</v>
          </cell>
          <cell r="C1603" t="str">
            <v>Udinese</v>
          </cell>
          <cell r="D1603" t="str">
            <v>Costa de Marfil</v>
          </cell>
          <cell r="E1603" t="str">
            <v>DC</v>
          </cell>
          <cell r="F1603">
            <v>70</v>
          </cell>
          <cell r="G1603">
            <v>28</v>
          </cell>
        </row>
        <row r="1604">
          <cell r="A1604">
            <v>1603</v>
          </cell>
          <cell r="B1604" t="str">
            <v>David Pejičić</v>
          </cell>
          <cell r="C1604" t="str">
            <v>Udinese</v>
          </cell>
          <cell r="D1604" t="str">
            <v>Eslovenia</v>
          </cell>
          <cell r="E1604" t="str">
            <v>MO</v>
          </cell>
          <cell r="F1604">
            <v>69</v>
          </cell>
          <cell r="G1604">
            <v>18</v>
          </cell>
        </row>
        <row r="1605">
          <cell r="A1605">
            <v>1604</v>
          </cell>
          <cell r="B1605" t="str">
            <v>Finn Dahmen</v>
          </cell>
          <cell r="C1605" t="str">
            <v>FC Augsburgo</v>
          </cell>
          <cell r="D1605" t="str">
            <v>Alemania</v>
          </cell>
          <cell r="E1605" t="str">
            <v>PO</v>
          </cell>
          <cell r="F1605">
            <v>75</v>
          </cell>
          <cell r="G1605">
            <v>27</v>
          </cell>
        </row>
        <row r="1606">
          <cell r="A1606">
            <v>1605</v>
          </cell>
          <cell r="B1606" t="str">
            <v>Alexis Claude-Maurice</v>
          </cell>
          <cell r="C1606" t="str">
            <v>FC Augsburgo</v>
          </cell>
          <cell r="D1606" t="str">
            <v>Francia</v>
          </cell>
          <cell r="E1606" t="str">
            <v>MO</v>
          </cell>
          <cell r="F1606">
            <v>74</v>
          </cell>
          <cell r="G1606">
            <v>27</v>
          </cell>
        </row>
        <row r="1607">
          <cell r="A1607">
            <v>1606</v>
          </cell>
          <cell r="B1607" t="str">
            <v>Anton Kade</v>
          </cell>
          <cell r="C1607" t="str">
            <v>FC Augsburgo</v>
          </cell>
          <cell r="D1607" t="str">
            <v>Alemania</v>
          </cell>
          <cell r="E1607" t="str">
            <v>ED</v>
          </cell>
          <cell r="F1607">
            <v>69</v>
          </cell>
          <cell r="G1607">
            <v>21</v>
          </cell>
        </row>
        <row r="1608">
          <cell r="A1608">
            <v>1607</v>
          </cell>
          <cell r="B1608" t="str">
            <v>Arne Maier</v>
          </cell>
          <cell r="C1608" t="str">
            <v>FC Augsburgo</v>
          </cell>
          <cell r="D1608" t="str">
            <v>Alemania</v>
          </cell>
          <cell r="E1608" t="str">
            <v>MC</v>
          </cell>
          <cell r="F1608">
            <v>75</v>
          </cell>
          <cell r="G1608">
            <v>26</v>
          </cell>
        </row>
        <row r="1609">
          <cell r="A1609">
            <v>1608</v>
          </cell>
          <cell r="B1609" t="str">
            <v>Cédric Zesiger</v>
          </cell>
          <cell r="C1609" t="str">
            <v>FC Augsburgo</v>
          </cell>
          <cell r="D1609" t="str">
            <v>Suiza</v>
          </cell>
          <cell r="E1609" t="str">
            <v>CT</v>
          </cell>
          <cell r="F1609">
            <v>74</v>
          </cell>
          <cell r="G1609">
            <v>27</v>
          </cell>
        </row>
        <row r="1610">
          <cell r="A1610">
            <v>1609</v>
          </cell>
          <cell r="B1610" t="str">
            <v>Chrislain Matsima</v>
          </cell>
          <cell r="C1610" t="str">
            <v>FC Augsburgo</v>
          </cell>
          <cell r="D1610" t="str">
            <v>Francia</v>
          </cell>
          <cell r="E1610" t="str">
            <v>CT</v>
          </cell>
          <cell r="F1610">
            <v>70</v>
          </cell>
          <cell r="G1610">
            <v>23</v>
          </cell>
        </row>
        <row r="1611">
          <cell r="A1611">
            <v>1610</v>
          </cell>
          <cell r="B1611" t="str">
            <v>Daniel Klein</v>
          </cell>
          <cell r="C1611" t="str">
            <v>FC Augsburgo</v>
          </cell>
          <cell r="D1611" t="str">
            <v>Alemania</v>
          </cell>
          <cell r="E1611" t="str">
            <v>PO</v>
          </cell>
          <cell r="F1611">
            <v>66</v>
          </cell>
          <cell r="G1611">
            <v>24</v>
          </cell>
        </row>
        <row r="1612">
          <cell r="A1612">
            <v>1611</v>
          </cell>
          <cell r="B1612" t="str">
            <v>D. Giannoulis</v>
          </cell>
          <cell r="C1612" t="str">
            <v>FC Augsburgo</v>
          </cell>
          <cell r="D1612" t="str">
            <v>Grecia</v>
          </cell>
          <cell r="E1612" t="str">
            <v>LI</v>
          </cell>
          <cell r="F1612">
            <v>73</v>
          </cell>
          <cell r="G1612">
            <v>30</v>
          </cell>
        </row>
        <row r="1613">
          <cell r="A1613">
            <v>1612</v>
          </cell>
          <cell r="B1613" t="str">
            <v>Elias Saad</v>
          </cell>
          <cell r="C1613" t="str">
            <v>FC Augsburgo</v>
          </cell>
          <cell r="D1613" t="str">
            <v>Túnez</v>
          </cell>
          <cell r="E1613" t="str">
            <v>EI</v>
          </cell>
          <cell r="F1613">
            <v>72</v>
          </cell>
          <cell r="G1613">
            <v>26</v>
          </cell>
        </row>
        <row r="1614">
          <cell r="A1614">
            <v>1613</v>
          </cell>
          <cell r="B1614" t="str">
            <v>Elvis Rexhbecaj</v>
          </cell>
          <cell r="C1614" t="str">
            <v>FC Augsburgo</v>
          </cell>
          <cell r="D1614" t="str">
            <v>Kosovo</v>
          </cell>
          <cell r="E1614" t="str">
            <v>MC</v>
          </cell>
          <cell r="F1614">
            <v>75</v>
          </cell>
          <cell r="G1614">
            <v>28</v>
          </cell>
        </row>
        <row r="1615">
          <cell r="A1615">
            <v>1614</v>
          </cell>
          <cell r="B1615" t="str">
            <v>Fabian Rieder</v>
          </cell>
          <cell r="C1615" t="str">
            <v>FC Augsburgo</v>
          </cell>
          <cell r="D1615" t="str">
            <v>Suiza</v>
          </cell>
          <cell r="E1615" t="str">
            <v>MO</v>
          </cell>
          <cell r="F1615">
            <v>74</v>
          </cell>
          <cell r="G1615">
            <v>23</v>
          </cell>
        </row>
        <row r="1616">
          <cell r="A1616">
            <v>1615</v>
          </cell>
          <cell r="B1616" t="str">
            <v>Han-Noah Massengo</v>
          </cell>
          <cell r="C1616" t="str">
            <v>FC Augsburgo</v>
          </cell>
          <cell r="D1616" t="str">
            <v>Francia</v>
          </cell>
          <cell r="E1616" t="str">
            <v>MC</v>
          </cell>
          <cell r="F1616">
            <v>71</v>
          </cell>
          <cell r="G1616">
            <v>24</v>
          </cell>
        </row>
        <row r="1617">
          <cell r="A1617">
            <v>1616</v>
          </cell>
          <cell r="B1617" t="str">
            <v>Ismaël Gharbi</v>
          </cell>
          <cell r="C1617" t="str">
            <v>FC Augsburgo</v>
          </cell>
          <cell r="D1617" t="str">
            <v>Túnez</v>
          </cell>
          <cell r="E1617" t="str">
            <v>EI</v>
          </cell>
          <cell r="F1617">
            <v>69</v>
          </cell>
          <cell r="G1617">
            <v>21</v>
          </cell>
        </row>
        <row r="1618">
          <cell r="A1618">
            <v>1617</v>
          </cell>
          <cell r="B1618" t="str">
            <v>Jeffrey Gouweleeuw</v>
          </cell>
          <cell r="C1618" t="str">
            <v>FC Augsburgo</v>
          </cell>
          <cell r="D1618" t="str">
            <v>Países Bajos</v>
          </cell>
          <cell r="E1618" t="str">
            <v>CT</v>
          </cell>
          <cell r="F1618">
            <v>76</v>
          </cell>
          <cell r="G1618">
            <v>34</v>
          </cell>
        </row>
        <row r="1619">
          <cell r="A1619">
            <v>1618</v>
          </cell>
          <cell r="B1619" t="str">
            <v>Keven Schlotterbeck</v>
          </cell>
          <cell r="C1619" t="str">
            <v>FC Augsburgo</v>
          </cell>
          <cell r="D1619" t="str">
            <v>Alemania</v>
          </cell>
          <cell r="E1619" t="str">
            <v>CT</v>
          </cell>
          <cell r="F1619">
            <v>75</v>
          </cell>
          <cell r="G1619">
            <v>28</v>
          </cell>
        </row>
        <row r="1620">
          <cell r="A1620">
            <v>1619</v>
          </cell>
          <cell r="B1620" t="str">
            <v>Kristijan Jakic</v>
          </cell>
          <cell r="C1620" t="str">
            <v>FC Augsburgo</v>
          </cell>
          <cell r="D1620" t="str">
            <v>Croacia</v>
          </cell>
          <cell r="E1620" t="str">
            <v>MCD</v>
          </cell>
          <cell r="F1620">
            <v>77</v>
          </cell>
          <cell r="G1620">
            <v>28</v>
          </cell>
        </row>
        <row r="1621">
          <cell r="A1621">
            <v>1620</v>
          </cell>
          <cell r="B1621" t="str">
            <v>Mads Pedersen</v>
          </cell>
          <cell r="C1621" t="str">
            <v>FC Augsburgo</v>
          </cell>
          <cell r="D1621" t="str">
            <v>Dinamarca</v>
          </cell>
          <cell r="E1621" t="str">
            <v>LI</v>
          </cell>
          <cell r="F1621">
            <v>73</v>
          </cell>
          <cell r="G1621">
            <v>29</v>
          </cell>
        </row>
        <row r="1622">
          <cell r="A1622">
            <v>1621</v>
          </cell>
          <cell r="B1622" t="str">
            <v>M. Kücüksahin</v>
          </cell>
          <cell r="C1622" t="str">
            <v>FC Augsburgo</v>
          </cell>
          <cell r="D1622" t="str">
            <v>Turquía</v>
          </cell>
          <cell r="E1622" t="str">
            <v>MCD</v>
          </cell>
          <cell r="F1622">
            <v>58</v>
          </cell>
          <cell r="G1622">
            <v>21</v>
          </cell>
        </row>
        <row r="1623">
          <cell r="A1623">
            <v>1622</v>
          </cell>
          <cell r="B1623" t="str">
            <v>Marius Wolf</v>
          </cell>
          <cell r="C1623" t="str">
            <v>FC Augsburgo</v>
          </cell>
          <cell r="D1623" t="str">
            <v>Alemania</v>
          </cell>
          <cell r="E1623" t="str">
            <v>LD</v>
          </cell>
          <cell r="F1623">
            <v>76</v>
          </cell>
          <cell r="G1623">
            <v>30</v>
          </cell>
        </row>
        <row r="1624">
          <cell r="A1624">
            <v>1623</v>
          </cell>
          <cell r="B1624" t="str">
            <v>Maximilian Bauer</v>
          </cell>
          <cell r="C1624" t="str">
            <v>FC Augsburgo</v>
          </cell>
          <cell r="D1624" t="str">
            <v>Alemania</v>
          </cell>
          <cell r="E1624" t="str">
            <v>CT</v>
          </cell>
          <cell r="F1624">
            <v>72</v>
          </cell>
          <cell r="G1624">
            <v>25</v>
          </cell>
        </row>
        <row r="1625">
          <cell r="A1625">
            <v>1624</v>
          </cell>
          <cell r="B1625" t="str">
            <v>Mert Kömür</v>
          </cell>
          <cell r="C1625" t="str">
            <v>FC Augsburgo</v>
          </cell>
          <cell r="D1625" t="str">
            <v>Alemania</v>
          </cell>
          <cell r="E1625" t="str">
            <v>MO</v>
          </cell>
          <cell r="F1625">
            <v>66</v>
          </cell>
          <cell r="G1625">
            <v>20</v>
          </cell>
        </row>
        <row r="1626">
          <cell r="A1626">
            <v>1625</v>
          </cell>
          <cell r="B1626" t="str">
            <v>Nediljko Labrovic</v>
          </cell>
          <cell r="C1626" t="str">
            <v>FC Augsburgo</v>
          </cell>
          <cell r="D1626" t="str">
            <v>Croacia</v>
          </cell>
          <cell r="E1626" t="str">
            <v>PO</v>
          </cell>
          <cell r="F1626">
            <v>74</v>
          </cell>
          <cell r="G1626">
            <v>26</v>
          </cell>
        </row>
        <row r="1627">
          <cell r="A1627">
            <v>1626</v>
          </cell>
          <cell r="B1627" t="str">
            <v>Phillip Tietz</v>
          </cell>
          <cell r="C1627" t="str">
            <v>FC Augsburgo</v>
          </cell>
          <cell r="D1627" t="str">
            <v>Alemania</v>
          </cell>
          <cell r="E1627" t="str">
            <v>DC</v>
          </cell>
          <cell r="F1627">
            <v>74</v>
          </cell>
          <cell r="G1627">
            <v>28</v>
          </cell>
        </row>
        <row r="1628">
          <cell r="A1628">
            <v>1627</v>
          </cell>
          <cell r="B1628" t="str">
            <v>Samuel Essende</v>
          </cell>
          <cell r="C1628" t="str">
            <v>FC Augsburgo</v>
          </cell>
          <cell r="D1628" t="str">
            <v>RD del Congo</v>
          </cell>
          <cell r="E1628" t="str">
            <v>DC</v>
          </cell>
          <cell r="F1628">
            <v>74</v>
          </cell>
          <cell r="G1628">
            <v>27</v>
          </cell>
        </row>
        <row r="1629">
          <cell r="A1629">
            <v>1628</v>
          </cell>
          <cell r="B1629" t="str">
            <v>Mark Flekken</v>
          </cell>
          <cell r="C1629" t="str">
            <v>Bayer 04 Leverkusen</v>
          </cell>
          <cell r="D1629" t="str">
            <v>Países Bajos</v>
          </cell>
          <cell r="E1629" t="str">
            <v>PO</v>
          </cell>
          <cell r="F1629">
            <v>79</v>
          </cell>
          <cell r="G1629">
            <v>32</v>
          </cell>
        </row>
        <row r="1630">
          <cell r="A1630">
            <v>1629</v>
          </cell>
          <cell r="B1630" t="str">
            <v>Janis Blaswich</v>
          </cell>
          <cell r="C1630" t="str">
            <v>Bayer 04 Leverkusen</v>
          </cell>
          <cell r="D1630" t="str">
            <v>Alemania</v>
          </cell>
          <cell r="E1630" t="str">
            <v>PO</v>
          </cell>
          <cell r="F1630">
            <v>75</v>
          </cell>
          <cell r="G1630">
            <v>34</v>
          </cell>
        </row>
        <row r="1631">
          <cell r="A1631">
            <v>1630</v>
          </cell>
          <cell r="B1631" t="str">
            <v>Niklas Lomb</v>
          </cell>
          <cell r="C1631" t="str">
            <v>Bayer 04 Leverkusen</v>
          </cell>
          <cell r="D1631" t="str">
            <v>Alemania</v>
          </cell>
          <cell r="E1631" t="str">
            <v>PO</v>
          </cell>
          <cell r="F1631">
            <v>66</v>
          </cell>
          <cell r="G1631">
            <v>32</v>
          </cell>
        </row>
        <row r="1632">
          <cell r="A1632">
            <v>1631</v>
          </cell>
          <cell r="B1632" t="str">
            <v>Jarell Quansah</v>
          </cell>
          <cell r="C1632" t="str">
            <v>Bayer 04 Leverkusen</v>
          </cell>
          <cell r="D1632" t="str">
            <v>Inglaterra</v>
          </cell>
          <cell r="E1632" t="str">
            <v>CT</v>
          </cell>
          <cell r="F1632">
            <v>75</v>
          </cell>
          <cell r="G1632">
            <v>22</v>
          </cell>
        </row>
        <row r="1633">
          <cell r="A1633">
            <v>1632</v>
          </cell>
          <cell r="B1633" t="str">
            <v>Edmond Tapsoba</v>
          </cell>
          <cell r="C1633" t="str">
            <v>Bayer 04 Leverkusen</v>
          </cell>
          <cell r="D1633" t="str">
            <v>Burkina Faso</v>
          </cell>
          <cell r="E1633" t="str">
            <v>CT</v>
          </cell>
          <cell r="F1633">
            <v>83</v>
          </cell>
          <cell r="G1633">
            <v>26</v>
          </cell>
        </row>
        <row r="1634">
          <cell r="A1634">
            <v>1633</v>
          </cell>
          <cell r="B1634" t="str">
            <v>Loïc Badé</v>
          </cell>
          <cell r="C1634" t="str">
            <v>Bayer 04 Leverkusen</v>
          </cell>
          <cell r="D1634" t="str">
            <v>Francia</v>
          </cell>
          <cell r="E1634" t="str">
            <v>CT</v>
          </cell>
          <cell r="F1634">
            <v>78</v>
          </cell>
          <cell r="G1634">
            <v>25</v>
          </cell>
        </row>
        <row r="1635">
          <cell r="A1635">
            <v>1634</v>
          </cell>
          <cell r="B1635" t="str">
            <v>Jeanuël Belocian</v>
          </cell>
          <cell r="C1635" t="str">
            <v>Bayer 04 Leverkusen</v>
          </cell>
          <cell r="D1635" t="str">
            <v>Francia</v>
          </cell>
          <cell r="E1635" t="str">
            <v>CT</v>
          </cell>
          <cell r="F1635">
            <v>71</v>
          </cell>
          <cell r="G1635">
            <v>20</v>
          </cell>
        </row>
        <row r="1636">
          <cell r="A1636">
            <v>1635</v>
          </cell>
          <cell r="B1636" t="str">
            <v>Alejandro Grimaldo</v>
          </cell>
          <cell r="C1636" t="str">
            <v>Bayer 04 Leverkusen</v>
          </cell>
          <cell r="D1636" t="str">
            <v>España</v>
          </cell>
          <cell r="E1636" t="str">
            <v>LI</v>
          </cell>
          <cell r="F1636">
            <v>86</v>
          </cell>
          <cell r="G1636">
            <v>30</v>
          </cell>
        </row>
        <row r="1637">
          <cell r="A1637">
            <v>1636</v>
          </cell>
          <cell r="B1637" t="str">
            <v>Arthur de Matos</v>
          </cell>
          <cell r="C1637" t="str">
            <v>Bayer 04 Leverkusen</v>
          </cell>
          <cell r="D1637" t="str">
            <v>Brasil</v>
          </cell>
          <cell r="E1637" t="str">
            <v>LD</v>
          </cell>
          <cell r="F1637">
            <v>68</v>
          </cell>
          <cell r="G1637">
            <v>22</v>
          </cell>
        </row>
        <row r="1638">
          <cell r="A1638">
            <v>1637</v>
          </cell>
          <cell r="B1638" t="str">
            <v>Lucas Vázquez</v>
          </cell>
          <cell r="C1638" t="str">
            <v>Bayer 04 Leverkusen</v>
          </cell>
          <cell r="D1638" t="str">
            <v>España</v>
          </cell>
          <cell r="E1638" t="str">
            <v>LD</v>
          </cell>
          <cell r="F1638">
            <v>81</v>
          </cell>
          <cell r="G1638">
            <v>34</v>
          </cell>
        </row>
        <row r="1639">
          <cell r="A1639">
            <v>1638</v>
          </cell>
          <cell r="B1639" t="str">
            <v>Equi Fernández</v>
          </cell>
          <cell r="C1639" t="str">
            <v>Bayer 04 Leverkusen</v>
          </cell>
          <cell r="D1639" t="str">
            <v>Argentina</v>
          </cell>
          <cell r="E1639" t="str">
            <v>MCD</v>
          </cell>
          <cell r="F1639">
            <v>76</v>
          </cell>
          <cell r="G1639">
            <v>23</v>
          </cell>
        </row>
        <row r="1640">
          <cell r="A1640">
            <v>1639</v>
          </cell>
          <cell r="B1640" t="str">
            <v>Robert Andrich</v>
          </cell>
          <cell r="C1640" t="str">
            <v>Bayer 04 Leverkusen</v>
          </cell>
          <cell r="D1640" t="str">
            <v>Alemania</v>
          </cell>
          <cell r="E1640" t="str">
            <v>MCD</v>
          </cell>
          <cell r="F1640">
            <v>83</v>
          </cell>
          <cell r="G1640">
            <v>31</v>
          </cell>
        </row>
        <row r="1641">
          <cell r="A1641">
            <v>1640</v>
          </cell>
          <cell r="B1641" t="str">
            <v>Exequiel Palacios</v>
          </cell>
          <cell r="C1641" t="str">
            <v>Bayer 04 Leverkusen</v>
          </cell>
          <cell r="D1641" t="str">
            <v>Argentina</v>
          </cell>
          <cell r="E1641" t="str">
            <v>MC</v>
          </cell>
          <cell r="F1641">
            <v>82</v>
          </cell>
          <cell r="G1641">
            <v>27</v>
          </cell>
        </row>
        <row r="1642">
          <cell r="A1642">
            <v>1641</v>
          </cell>
          <cell r="B1642" t="str">
            <v>Aleix García</v>
          </cell>
          <cell r="C1642" t="str">
            <v>Bayer 04 Leverkusen</v>
          </cell>
          <cell r="D1642" t="str">
            <v>España</v>
          </cell>
          <cell r="E1642" t="str">
            <v>MC</v>
          </cell>
          <cell r="F1642">
            <v>83</v>
          </cell>
          <cell r="G1642">
            <v>28</v>
          </cell>
        </row>
        <row r="1643">
          <cell r="A1643">
            <v>1642</v>
          </cell>
          <cell r="B1643" t="str">
            <v>Malik Tillman</v>
          </cell>
          <cell r="C1643" t="str">
            <v>Bayer 04 Leverkusen</v>
          </cell>
          <cell r="D1643" t="str">
            <v>Estados Unidos</v>
          </cell>
          <cell r="E1643" t="str">
            <v>MO</v>
          </cell>
          <cell r="F1643">
            <v>78</v>
          </cell>
          <cell r="G1643">
            <v>23</v>
          </cell>
        </row>
        <row r="1644">
          <cell r="A1644">
            <v>1643</v>
          </cell>
          <cell r="B1644" t="str">
            <v>Claudio Echeverri</v>
          </cell>
          <cell r="C1644" t="str">
            <v>Bayer 04 Leverkusen</v>
          </cell>
          <cell r="D1644" t="str">
            <v>Argentina</v>
          </cell>
          <cell r="E1644" t="str">
            <v>MO</v>
          </cell>
          <cell r="F1644">
            <v>73</v>
          </cell>
          <cell r="G1644">
            <v>19</v>
          </cell>
        </row>
        <row r="1645">
          <cell r="A1645">
            <v>1644</v>
          </cell>
          <cell r="B1645" t="str">
            <v>Jonas Hofmann</v>
          </cell>
          <cell r="C1645" t="str">
            <v>Bayer 04 Leverkusen</v>
          </cell>
          <cell r="D1645" t="str">
            <v>Alemania</v>
          </cell>
          <cell r="E1645" t="str">
            <v>MO</v>
          </cell>
          <cell r="F1645">
            <v>81</v>
          </cell>
          <cell r="G1645">
            <v>33</v>
          </cell>
        </row>
        <row r="1646">
          <cell r="A1646">
            <v>1645</v>
          </cell>
          <cell r="B1646" t="str">
            <v>Eliesse Ben Seghir</v>
          </cell>
          <cell r="C1646" t="str">
            <v>Bayer 04 Leverkusen</v>
          </cell>
          <cell r="D1646" t="str">
            <v>Marruecos</v>
          </cell>
          <cell r="E1646" t="str">
            <v>EI</v>
          </cell>
          <cell r="F1646">
            <v>77</v>
          </cell>
          <cell r="G1646">
            <v>20</v>
          </cell>
        </row>
        <row r="1647">
          <cell r="A1647">
            <v>1646</v>
          </cell>
          <cell r="B1647" t="str">
            <v>Martin Terrier</v>
          </cell>
          <cell r="C1647" t="str">
            <v>Bayer 04 Leverkusen</v>
          </cell>
          <cell r="D1647" t="str">
            <v>Francia</v>
          </cell>
          <cell r="E1647" t="str">
            <v>EI</v>
          </cell>
          <cell r="F1647">
            <v>79</v>
          </cell>
          <cell r="G1647">
            <v>28</v>
          </cell>
        </row>
        <row r="1648">
          <cell r="A1648">
            <v>1647</v>
          </cell>
          <cell r="B1648" t="str">
            <v>Ernest Poku</v>
          </cell>
          <cell r="C1648" t="str">
            <v>Bayer 04 Leverkusen</v>
          </cell>
          <cell r="D1648" t="str">
            <v>Países Bajos</v>
          </cell>
          <cell r="E1648" t="str">
            <v>ED</v>
          </cell>
          <cell r="F1648">
            <v>67</v>
          </cell>
          <cell r="G1648">
            <v>21</v>
          </cell>
        </row>
        <row r="1649">
          <cell r="A1649">
            <v>1648</v>
          </cell>
          <cell r="B1649" t="str">
            <v>Nathan Tella</v>
          </cell>
          <cell r="C1649" t="str">
            <v>Bayer 04 Leverkusen</v>
          </cell>
          <cell r="D1649" t="str">
            <v>Nigeria</v>
          </cell>
          <cell r="E1649" t="str">
            <v>ED</v>
          </cell>
          <cell r="F1649">
            <v>77</v>
          </cell>
          <cell r="G1649">
            <v>26</v>
          </cell>
        </row>
        <row r="1650">
          <cell r="A1650">
            <v>1649</v>
          </cell>
          <cell r="B1650" t="str">
            <v>Patrik Schick</v>
          </cell>
          <cell r="C1650" t="str">
            <v>Bayer 04 Leverkusen</v>
          </cell>
          <cell r="D1650" t="str">
            <v>República Checa</v>
          </cell>
          <cell r="E1650" t="str">
            <v>DC</v>
          </cell>
          <cell r="F1650">
            <v>81</v>
          </cell>
          <cell r="G1650">
            <v>29</v>
          </cell>
        </row>
        <row r="1651">
          <cell r="A1651">
            <v>1650</v>
          </cell>
          <cell r="B1651" t="str">
            <v>Christian Kofane</v>
          </cell>
          <cell r="C1651" t="str">
            <v>Bayer 04 Leverkusen</v>
          </cell>
          <cell r="D1651" t="str">
            <v>Camerún</v>
          </cell>
          <cell r="E1651" t="str">
            <v>DC</v>
          </cell>
          <cell r="F1651">
            <v>65</v>
          </cell>
          <cell r="G1651">
            <v>19</v>
          </cell>
        </row>
        <row r="1652">
          <cell r="A1652">
            <v>1651</v>
          </cell>
          <cell r="B1652" t="str">
            <v>Alejo Sarco</v>
          </cell>
          <cell r="C1652" t="str">
            <v>Bayer 04 Leverkusen</v>
          </cell>
          <cell r="D1652" t="str">
            <v>Argentina</v>
          </cell>
          <cell r="E1652" t="str">
            <v>DC</v>
          </cell>
          <cell r="F1652">
            <v>66</v>
          </cell>
          <cell r="G1652">
            <v>19</v>
          </cell>
        </row>
        <row r="1653">
          <cell r="A1653">
            <v>1652</v>
          </cell>
          <cell r="B1653" t="str">
            <v>Aleksandar Pavlovic</v>
          </cell>
          <cell r="C1653" t="str">
            <v>Bayern Múnich</v>
          </cell>
          <cell r="D1653" t="str">
            <v>Alemania</v>
          </cell>
          <cell r="E1653" t="str">
            <v>MCD</v>
          </cell>
          <cell r="F1653">
            <v>75</v>
          </cell>
          <cell r="G1653">
            <v>21</v>
          </cell>
        </row>
        <row r="1654">
          <cell r="A1654">
            <v>1653</v>
          </cell>
          <cell r="B1654" t="str">
            <v>Alphonso Davies</v>
          </cell>
          <cell r="C1654" t="str">
            <v>Bayern Múnich</v>
          </cell>
          <cell r="D1654" t="str">
            <v>Canadá</v>
          </cell>
          <cell r="E1654" t="str">
            <v>LI</v>
          </cell>
          <cell r="F1654">
            <v>84</v>
          </cell>
          <cell r="G1654">
            <v>25</v>
          </cell>
        </row>
        <row r="1655">
          <cell r="A1655">
            <v>1654</v>
          </cell>
          <cell r="B1655" t="str">
            <v>Dayot Upamecano</v>
          </cell>
          <cell r="C1655" t="str">
            <v>Bayern Múnich</v>
          </cell>
          <cell r="D1655" t="str">
            <v>Francia</v>
          </cell>
          <cell r="E1655" t="str">
            <v>CT</v>
          </cell>
          <cell r="F1655">
            <v>82</v>
          </cell>
          <cell r="G1655">
            <v>27</v>
          </cell>
        </row>
        <row r="1656">
          <cell r="A1656">
            <v>1655</v>
          </cell>
          <cell r="B1656" t="str">
            <v>Harry Kane</v>
          </cell>
          <cell r="C1656" t="str">
            <v>Bayern Múnich</v>
          </cell>
          <cell r="D1656" t="str">
            <v>Inglaterra</v>
          </cell>
          <cell r="E1656" t="str">
            <v>DC</v>
          </cell>
          <cell r="F1656">
            <v>90</v>
          </cell>
          <cell r="G1656">
            <v>32</v>
          </cell>
        </row>
        <row r="1657">
          <cell r="A1657">
            <v>1656</v>
          </cell>
          <cell r="B1657" t="str">
            <v>Hiroki Ito</v>
          </cell>
          <cell r="C1657" t="str">
            <v>Bayern Múnich</v>
          </cell>
          <cell r="D1657" t="str">
            <v>Japón</v>
          </cell>
          <cell r="E1657" t="str">
            <v>CT</v>
          </cell>
          <cell r="F1657">
            <v>78</v>
          </cell>
          <cell r="G1657">
            <v>26</v>
          </cell>
        </row>
        <row r="1658">
          <cell r="A1658">
            <v>1657</v>
          </cell>
          <cell r="B1658" t="str">
            <v>Jamal Musiala</v>
          </cell>
          <cell r="C1658" t="str">
            <v>Bayern Múnich</v>
          </cell>
          <cell r="D1658" t="str">
            <v>Alemania</v>
          </cell>
          <cell r="E1658" t="str">
            <v>MO</v>
          </cell>
          <cell r="F1658">
            <v>87</v>
          </cell>
          <cell r="G1658">
            <v>22</v>
          </cell>
        </row>
        <row r="1659">
          <cell r="A1659">
            <v>1658</v>
          </cell>
          <cell r="B1659" t="str">
            <v>Jonas Urbig</v>
          </cell>
          <cell r="C1659" t="str">
            <v>Bayern Múnich</v>
          </cell>
          <cell r="D1659" t="str">
            <v>Alemania</v>
          </cell>
          <cell r="E1659" t="str">
            <v>PO</v>
          </cell>
          <cell r="F1659">
            <v>73</v>
          </cell>
          <cell r="G1659">
            <v>22</v>
          </cell>
        </row>
        <row r="1660">
          <cell r="A1660">
            <v>1659</v>
          </cell>
          <cell r="B1660" t="str">
            <v>Jonathan Tah</v>
          </cell>
          <cell r="C1660" t="str">
            <v>Bayern Múnich</v>
          </cell>
          <cell r="D1660" t="str">
            <v>Alemania</v>
          </cell>
          <cell r="E1660" t="str">
            <v>CT</v>
          </cell>
          <cell r="F1660">
            <v>86</v>
          </cell>
          <cell r="G1660">
            <v>29</v>
          </cell>
        </row>
        <row r="1661">
          <cell r="A1661">
            <v>1660</v>
          </cell>
          <cell r="B1661" t="str">
            <v>Joshua Kimmich</v>
          </cell>
          <cell r="C1661" t="str">
            <v>Bayern Múnich</v>
          </cell>
          <cell r="D1661" t="str">
            <v>Alemania</v>
          </cell>
          <cell r="E1661" t="str">
            <v>MCD</v>
          </cell>
          <cell r="F1661">
            <v>86</v>
          </cell>
          <cell r="G1661">
            <v>30</v>
          </cell>
        </row>
        <row r="1662">
          <cell r="A1662">
            <v>1661</v>
          </cell>
          <cell r="B1662" t="str">
            <v>Josip Stanisic</v>
          </cell>
          <cell r="C1662" t="str">
            <v>Bayern Múnich</v>
          </cell>
          <cell r="D1662" t="str">
            <v>Croacia</v>
          </cell>
          <cell r="E1662" t="str">
            <v>LD</v>
          </cell>
          <cell r="F1662">
            <v>77</v>
          </cell>
          <cell r="G1662">
            <v>25</v>
          </cell>
        </row>
        <row r="1663">
          <cell r="A1663">
            <v>1662</v>
          </cell>
          <cell r="B1663" t="str">
            <v>Konrad Laimer</v>
          </cell>
          <cell r="C1663" t="str">
            <v>Bayern Múnich</v>
          </cell>
          <cell r="D1663" t="str">
            <v>Austria</v>
          </cell>
          <cell r="E1663" t="str">
            <v>LD</v>
          </cell>
          <cell r="F1663">
            <v>86</v>
          </cell>
          <cell r="G1663">
            <v>28</v>
          </cell>
        </row>
        <row r="1664">
          <cell r="A1664">
            <v>1663</v>
          </cell>
          <cell r="B1664" t="str">
            <v>Leon Goretzka</v>
          </cell>
          <cell r="C1664" t="str">
            <v>Bayern Múnich</v>
          </cell>
          <cell r="D1664" t="str">
            <v>Alemania</v>
          </cell>
          <cell r="E1664" t="str">
            <v>MC</v>
          </cell>
          <cell r="F1664">
            <v>83</v>
          </cell>
          <cell r="G1664">
            <v>30</v>
          </cell>
        </row>
        <row r="1665">
          <cell r="A1665">
            <v>1664</v>
          </cell>
          <cell r="B1665" t="str">
            <v>Luis Díaz</v>
          </cell>
          <cell r="C1665" t="str">
            <v>Bayern Múnich</v>
          </cell>
          <cell r="D1665" t="str">
            <v>Colombia</v>
          </cell>
          <cell r="E1665" t="str">
            <v>EI</v>
          </cell>
          <cell r="F1665">
            <v>85</v>
          </cell>
          <cell r="G1665">
            <v>28</v>
          </cell>
        </row>
        <row r="1666">
          <cell r="A1666">
            <v>1665</v>
          </cell>
          <cell r="B1666" t="str">
            <v>Manuel Neuer</v>
          </cell>
          <cell r="C1666" t="str">
            <v>Bayern Múnich</v>
          </cell>
          <cell r="D1666" t="str">
            <v>Alemania</v>
          </cell>
          <cell r="E1666" t="str">
            <v>PO</v>
          </cell>
          <cell r="F1666">
            <v>86</v>
          </cell>
          <cell r="G1666">
            <v>39</v>
          </cell>
        </row>
        <row r="1667">
          <cell r="A1667">
            <v>1666</v>
          </cell>
          <cell r="B1667" t="str">
            <v>Michael Olise</v>
          </cell>
          <cell r="C1667" t="str">
            <v>Bayern Múnich</v>
          </cell>
          <cell r="D1667" t="str">
            <v>Francia</v>
          </cell>
          <cell r="E1667" t="str">
            <v>ED</v>
          </cell>
          <cell r="F1667">
            <v>84</v>
          </cell>
          <cell r="G1667">
            <v>24</v>
          </cell>
        </row>
        <row r="1668">
          <cell r="A1668">
            <v>1667</v>
          </cell>
          <cell r="B1668" t="str">
            <v>Min-jae Kim</v>
          </cell>
          <cell r="C1668" t="str">
            <v>Bayern Múnich</v>
          </cell>
          <cell r="D1668" t="str">
            <v>Corea del Sur</v>
          </cell>
          <cell r="E1668" t="str">
            <v>CT</v>
          </cell>
          <cell r="F1668">
            <v>83</v>
          </cell>
          <cell r="G1668">
            <v>29</v>
          </cell>
        </row>
        <row r="1669">
          <cell r="A1669">
            <v>1668</v>
          </cell>
          <cell r="B1669" t="str">
            <v>Nicolas Jackson</v>
          </cell>
          <cell r="C1669" t="str">
            <v>Bayern Múnich</v>
          </cell>
          <cell r="D1669" t="str">
            <v>Senegal</v>
          </cell>
          <cell r="E1669" t="str">
            <v>DC</v>
          </cell>
          <cell r="F1669">
            <v>81</v>
          </cell>
          <cell r="G1669">
            <v>24</v>
          </cell>
        </row>
        <row r="1670">
          <cell r="A1670">
            <v>1669</v>
          </cell>
          <cell r="B1670" t="str">
            <v>Raphaël Guerreiro</v>
          </cell>
          <cell r="C1670" t="str">
            <v>Bayern Múnich</v>
          </cell>
          <cell r="D1670" t="str">
            <v>Portugal</v>
          </cell>
          <cell r="E1670" t="str">
            <v>LI</v>
          </cell>
          <cell r="F1670">
            <v>82</v>
          </cell>
          <cell r="G1670">
            <v>32</v>
          </cell>
        </row>
        <row r="1671">
          <cell r="A1671">
            <v>1670</v>
          </cell>
          <cell r="B1671" t="str">
            <v>Sacha Boey</v>
          </cell>
          <cell r="C1671" t="str">
            <v>Bayern Múnich</v>
          </cell>
          <cell r="D1671" t="str">
            <v>Francia</v>
          </cell>
          <cell r="E1671" t="str">
            <v>LD</v>
          </cell>
          <cell r="F1671">
            <v>79</v>
          </cell>
          <cell r="G1671">
            <v>25</v>
          </cell>
        </row>
        <row r="1672">
          <cell r="A1672">
            <v>1671</v>
          </cell>
          <cell r="B1672" t="str">
            <v>Serge Gnabry</v>
          </cell>
          <cell r="C1672" t="str">
            <v>Bayern Múnich</v>
          </cell>
          <cell r="D1672" t="str">
            <v>Alemania</v>
          </cell>
          <cell r="E1672" t="str">
            <v>SD</v>
          </cell>
          <cell r="F1672">
            <v>83</v>
          </cell>
          <cell r="G1672">
            <v>30</v>
          </cell>
        </row>
        <row r="1673">
          <cell r="A1673">
            <v>1672</v>
          </cell>
          <cell r="B1673" t="str">
            <v>Sven Ulreich</v>
          </cell>
          <cell r="C1673" t="str">
            <v>Bayern Múnich</v>
          </cell>
          <cell r="D1673" t="str">
            <v>Alemania</v>
          </cell>
          <cell r="E1673" t="str">
            <v>PO</v>
          </cell>
          <cell r="F1673">
            <v>75</v>
          </cell>
          <cell r="G1673">
            <v>37</v>
          </cell>
        </row>
        <row r="1674">
          <cell r="A1674">
            <v>1673</v>
          </cell>
          <cell r="B1674" t="str">
            <v>Tom Bischof</v>
          </cell>
          <cell r="C1674" t="str">
            <v>Bayern Múnich</v>
          </cell>
          <cell r="D1674" t="str">
            <v>Alemania</v>
          </cell>
          <cell r="E1674" t="str">
            <v>MC</v>
          </cell>
          <cell r="F1674">
            <v>75</v>
          </cell>
          <cell r="G1674">
            <v>20</v>
          </cell>
        </row>
        <row r="1675">
          <cell r="A1675">
            <v>1674</v>
          </cell>
          <cell r="B1675" t="str">
            <v>Timo Horn</v>
          </cell>
          <cell r="C1675" t="str">
            <v>VfL Bochum</v>
          </cell>
          <cell r="D1675" t="str">
            <v>Alemania</v>
          </cell>
          <cell r="E1675" t="str">
            <v>PO</v>
          </cell>
          <cell r="F1675">
            <v>72</v>
          </cell>
          <cell r="G1675">
            <v>32</v>
          </cell>
        </row>
        <row r="1676">
          <cell r="A1676">
            <v>1675</v>
          </cell>
          <cell r="B1676" t="str">
            <v>Niclas Thiede</v>
          </cell>
          <cell r="C1676" t="str">
            <v>VfL Bochum</v>
          </cell>
          <cell r="D1676" t="str">
            <v>Alemania</v>
          </cell>
          <cell r="E1676" t="str">
            <v>PO</v>
          </cell>
          <cell r="F1676">
            <v>66</v>
          </cell>
          <cell r="G1676">
            <v>26</v>
          </cell>
        </row>
        <row r="1677">
          <cell r="A1677">
            <v>1676</v>
          </cell>
          <cell r="B1677" t="str">
            <v>Leandro Morgalla</v>
          </cell>
          <cell r="C1677" t="str">
            <v>VfL Bochum</v>
          </cell>
          <cell r="D1677" t="str">
            <v>Alemania</v>
          </cell>
          <cell r="E1677" t="str">
            <v>LD</v>
          </cell>
          <cell r="F1677">
            <v>65</v>
          </cell>
          <cell r="G1677">
            <v>21</v>
          </cell>
        </row>
        <row r="1678">
          <cell r="A1678">
            <v>1677</v>
          </cell>
          <cell r="B1678" t="str">
            <v>Erhan Masovic</v>
          </cell>
          <cell r="C1678" t="str">
            <v>VfL Bochum</v>
          </cell>
          <cell r="D1678" t="str">
            <v>Serbia</v>
          </cell>
          <cell r="E1678" t="str">
            <v>CT</v>
          </cell>
          <cell r="F1678">
            <v>74</v>
          </cell>
          <cell r="G1678">
            <v>27</v>
          </cell>
        </row>
        <row r="1679">
          <cell r="A1679">
            <v>1678</v>
          </cell>
          <cell r="B1679" t="str">
            <v>Noah Loosli</v>
          </cell>
          <cell r="C1679" t="str">
            <v>VfL Bochum</v>
          </cell>
          <cell r="D1679" t="str">
            <v>Suiza</v>
          </cell>
          <cell r="E1679" t="str">
            <v>CT</v>
          </cell>
          <cell r="F1679">
            <v>68</v>
          </cell>
          <cell r="G1679">
            <v>28</v>
          </cell>
        </row>
        <row r="1680">
          <cell r="A1680">
            <v>1679</v>
          </cell>
          <cell r="B1680" t="str">
            <v>Kevin Vogt</v>
          </cell>
          <cell r="C1680" t="str">
            <v>VfL Bochum</v>
          </cell>
          <cell r="D1680" t="str">
            <v>Alemania</v>
          </cell>
          <cell r="E1680" t="str">
            <v>CT</v>
          </cell>
          <cell r="F1680">
            <v>75</v>
          </cell>
          <cell r="G1680">
            <v>34</v>
          </cell>
        </row>
        <row r="1681">
          <cell r="A1681">
            <v>1680</v>
          </cell>
          <cell r="B1681" t="str">
            <v>Maximilian Wittek</v>
          </cell>
          <cell r="C1681" t="str">
            <v>VfL Bochum</v>
          </cell>
          <cell r="D1681" t="str">
            <v>Alemania</v>
          </cell>
          <cell r="E1681" t="str">
            <v>LI</v>
          </cell>
          <cell r="F1681">
            <v>74</v>
          </cell>
          <cell r="G1681">
            <v>30</v>
          </cell>
        </row>
        <row r="1682">
          <cell r="A1682">
            <v>1681</v>
          </cell>
          <cell r="B1682" t="str">
            <v>Kjell Wätjen</v>
          </cell>
          <cell r="C1682" t="str">
            <v>VfL Bochum</v>
          </cell>
          <cell r="D1682" t="str">
            <v>Alemania</v>
          </cell>
          <cell r="E1682" t="str">
            <v>MC</v>
          </cell>
          <cell r="F1682">
            <v>64</v>
          </cell>
          <cell r="G1682">
            <v>19</v>
          </cell>
        </row>
        <row r="1683">
          <cell r="A1683">
            <v>1682</v>
          </cell>
          <cell r="B1683" t="str">
            <v>Mats Pannewig</v>
          </cell>
          <cell r="C1683" t="str">
            <v>VfL Bochum</v>
          </cell>
          <cell r="D1683" t="str">
            <v>Alemania</v>
          </cell>
          <cell r="E1683" t="str">
            <v>MC</v>
          </cell>
          <cell r="F1683">
            <v>61</v>
          </cell>
          <cell r="G1683">
            <v>21</v>
          </cell>
        </row>
        <row r="1684">
          <cell r="A1684">
            <v>1683</v>
          </cell>
          <cell r="B1684" t="str">
            <v>Matus Bero</v>
          </cell>
          <cell r="C1684" t="str">
            <v>VfL Bochum</v>
          </cell>
          <cell r="D1684" t="str">
            <v>Eslovaquia</v>
          </cell>
          <cell r="E1684" t="str">
            <v>MC</v>
          </cell>
          <cell r="F1684">
            <v>73</v>
          </cell>
          <cell r="G1684">
            <v>30</v>
          </cell>
        </row>
        <row r="1685">
          <cell r="A1685">
            <v>1684</v>
          </cell>
          <cell r="B1685" t="str">
            <v>Koji Miyoshi</v>
          </cell>
          <cell r="C1685" t="str">
            <v>VfL Bochum</v>
          </cell>
          <cell r="D1685" t="str">
            <v>Japón</v>
          </cell>
          <cell r="E1685" t="str">
            <v>ED</v>
          </cell>
          <cell r="F1685">
            <v>71</v>
          </cell>
          <cell r="G1685">
            <v>28</v>
          </cell>
        </row>
        <row r="1686">
          <cell r="A1686">
            <v>1685</v>
          </cell>
          <cell r="B1686" t="str">
            <v>Francis Onyeka</v>
          </cell>
          <cell r="C1686" t="str">
            <v>VfL Bochum</v>
          </cell>
          <cell r="D1686" t="str">
            <v>Alemania</v>
          </cell>
          <cell r="E1686" t="str">
            <v>MO</v>
          </cell>
          <cell r="F1686">
            <v>60</v>
          </cell>
          <cell r="G1686">
            <v>18</v>
          </cell>
        </row>
        <row r="1687">
          <cell r="A1687">
            <v>1686</v>
          </cell>
          <cell r="B1687" t="str">
            <v>Moritz-Broni Kwarteng</v>
          </cell>
          <cell r="C1687" t="str">
            <v>VfL Bochum</v>
          </cell>
          <cell r="D1687" t="str">
            <v>Alemania</v>
          </cell>
          <cell r="E1687" t="str">
            <v>MO</v>
          </cell>
          <cell r="F1687">
            <v>69</v>
          </cell>
          <cell r="G1687">
            <v>27</v>
          </cell>
        </row>
        <row r="1688">
          <cell r="A1688">
            <v>1687</v>
          </cell>
          <cell r="B1688" t="str">
            <v>Gerrit Holtmann</v>
          </cell>
          <cell r="C1688" t="str">
            <v>VfL Bochum</v>
          </cell>
          <cell r="D1688" t="str">
            <v>Filipinas</v>
          </cell>
          <cell r="E1688" t="str">
            <v>EI</v>
          </cell>
          <cell r="F1688">
            <v>71</v>
          </cell>
          <cell r="G1688">
            <v>30</v>
          </cell>
        </row>
        <row r="1689">
          <cell r="A1689">
            <v>1688</v>
          </cell>
          <cell r="B1689" t="str">
            <v>Ibrahim Sissoko</v>
          </cell>
          <cell r="C1689" t="str">
            <v>VfL Bochum</v>
          </cell>
          <cell r="D1689" t="str">
            <v>Malí</v>
          </cell>
          <cell r="E1689" t="str">
            <v>DC</v>
          </cell>
          <cell r="F1689">
            <v>72</v>
          </cell>
          <cell r="G1689">
            <v>30</v>
          </cell>
        </row>
        <row r="1690">
          <cell r="A1690">
            <v>1689</v>
          </cell>
          <cell r="B1690" t="str">
            <v>Philipp Hofmann</v>
          </cell>
          <cell r="C1690" t="str">
            <v>VfL Bochum</v>
          </cell>
          <cell r="D1690" t="str">
            <v>Alemania</v>
          </cell>
          <cell r="E1690" t="str">
            <v>DC</v>
          </cell>
          <cell r="F1690">
            <v>74</v>
          </cell>
          <cell r="G1690">
            <v>32</v>
          </cell>
        </row>
        <row r="1691">
          <cell r="A1691">
            <v>1690</v>
          </cell>
          <cell r="B1691" t="str">
            <v>Ibrahima Sissoko</v>
          </cell>
          <cell r="C1691" t="str">
            <v>VfL Bochum</v>
          </cell>
          <cell r="D1691" t="str">
            <v>Malí</v>
          </cell>
          <cell r="E1691" t="str">
            <v>MCD</v>
          </cell>
          <cell r="F1691">
            <v>75</v>
          </cell>
          <cell r="G1691">
            <v>28</v>
          </cell>
        </row>
        <row r="1692">
          <cell r="A1692">
            <v>1691</v>
          </cell>
          <cell r="B1692" t="str">
            <v>Felix Passlack</v>
          </cell>
          <cell r="C1692" t="str">
            <v>VfL Bochum</v>
          </cell>
          <cell r="D1692" t="str">
            <v>Alemania</v>
          </cell>
          <cell r="E1692" t="str">
            <v>LD</v>
          </cell>
          <cell r="F1692">
            <v>70</v>
          </cell>
          <cell r="G1692">
            <v>27</v>
          </cell>
        </row>
        <row r="1693">
          <cell r="A1693">
            <v>1692</v>
          </cell>
          <cell r="B1693" t="str">
            <v>Michael Obafemi</v>
          </cell>
          <cell r="C1693" t="str">
            <v>VfL Bochum</v>
          </cell>
          <cell r="D1693" t="str">
            <v>Irlanda</v>
          </cell>
          <cell r="E1693" t="str">
            <v>DC</v>
          </cell>
          <cell r="F1693">
            <v>69</v>
          </cell>
          <cell r="G1693">
            <v>25</v>
          </cell>
        </row>
        <row r="1694">
          <cell r="A1694">
            <v>1693</v>
          </cell>
          <cell r="B1694" t="str">
            <v>Aarón Anselmino</v>
          </cell>
          <cell r="C1694" t="str">
            <v>Borussia Dortmund</v>
          </cell>
          <cell r="D1694" t="str">
            <v>Argentina</v>
          </cell>
          <cell r="E1694" t="str">
            <v>CT</v>
          </cell>
          <cell r="F1694">
            <v>72</v>
          </cell>
          <cell r="G1694">
            <v>20</v>
          </cell>
        </row>
        <row r="1695">
          <cell r="A1695">
            <v>1694</v>
          </cell>
          <cell r="B1695" t="str">
            <v>Alexander Meyer</v>
          </cell>
          <cell r="C1695" t="str">
            <v>Borussia Dortmund</v>
          </cell>
          <cell r="D1695" t="str">
            <v>Alemania</v>
          </cell>
          <cell r="E1695" t="str">
            <v>PO</v>
          </cell>
          <cell r="F1695">
            <v>75</v>
          </cell>
          <cell r="G1695">
            <v>34</v>
          </cell>
        </row>
        <row r="1696">
          <cell r="A1696">
            <v>1695</v>
          </cell>
          <cell r="B1696" t="str">
            <v>Almugera Kabar</v>
          </cell>
          <cell r="C1696" t="str">
            <v>Borussia Dortmund</v>
          </cell>
          <cell r="D1696" t="str">
            <v>Alemania</v>
          </cell>
          <cell r="E1696" t="str">
            <v>LI</v>
          </cell>
          <cell r="F1696">
            <v>67</v>
          </cell>
          <cell r="G1696">
            <v>19</v>
          </cell>
        </row>
        <row r="1697">
          <cell r="A1697">
            <v>1696</v>
          </cell>
          <cell r="B1697" t="str">
            <v>C. Chukwuemeka</v>
          </cell>
          <cell r="C1697" t="str">
            <v>Borussia Dortmund</v>
          </cell>
          <cell r="D1697" t="str">
            <v>Inglaterra</v>
          </cell>
          <cell r="E1697" t="str">
            <v>MC</v>
          </cell>
          <cell r="F1697">
            <v>74</v>
          </cell>
          <cell r="G1697">
            <v>22</v>
          </cell>
        </row>
        <row r="1698">
          <cell r="A1698">
            <v>1697</v>
          </cell>
          <cell r="B1698" t="str">
            <v>Cole Campbell</v>
          </cell>
          <cell r="C1698" t="str">
            <v>Borussia Dortmund</v>
          </cell>
          <cell r="D1698" t="str">
            <v>Estados Unidos</v>
          </cell>
          <cell r="E1698" t="str">
            <v>ED</v>
          </cell>
          <cell r="F1698">
            <v>64</v>
          </cell>
          <cell r="G1698">
            <v>19</v>
          </cell>
        </row>
        <row r="1699">
          <cell r="A1699">
            <v>1698</v>
          </cell>
          <cell r="B1699" t="str">
            <v>Daniel Svensson</v>
          </cell>
          <cell r="C1699" t="str">
            <v>Borussia Dortmund</v>
          </cell>
          <cell r="D1699" t="str">
            <v>Suecia</v>
          </cell>
          <cell r="E1699" t="str">
            <v>LI</v>
          </cell>
          <cell r="F1699">
            <v>74</v>
          </cell>
          <cell r="G1699">
            <v>23</v>
          </cell>
        </row>
        <row r="1700">
          <cell r="A1700">
            <v>1699</v>
          </cell>
          <cell r="B1700" t="str">
            <v>Emre Can</v>
          </cell>
          <cell r="C1700" t="str">
            <v>Borussia Dortmund</v>
          </cell>
          <cell r="D1700" t="str">
            <v>Alemania</v>
          </cell>
          <cell r="E1700" t="str">
            <v>CT</v>
          </cell>
          <cell r="F1700">
            <v>78</v>
          </cell>
          <cell r="G1700">
            <v>31</v>
          </cell>
        </row>
        <row r="1701">
          <cell r="A1701">
            <v>1700</v>
          </cell>
          <cell r="B1701" t="str">
            <v>Fábio Silva</v>
          </cell>
          <cell r="C1701" t="str">
            <v>Borussia Dortmund</v>
          </cell>
          <cell r="D1701" t="str">
            <v>Portugal</v>
          </cell>
          <cell r="E1701" t="str">
            <v>DC</v>
          </cell>
          <cell r="F1701">
            <v>74</v>
          </cell>
          <cell r="G1701">
            <v>23</v>
          </cell>
        </row>
        <row r="1702">
          <cell r="A1702">
            <v>1701</v>
          </cell>
          <cell r="B1702" t="str">
            <v>Felix Nmecha</v>
          </cell>
          <cell r="C1702" t="str">
            <v>Borussia Dortmund</v>
          </cell>
          <cell r="D1702" t="str">
            <v>Alemania</v>
          </cell>
          <cell r="E1702" t="str">
            <v>MC</v>
          </cell>
          <cell r="F1702">
            <v>78</v>
          </cell>
          <cell r="G1702">
            <v>25</v>
          </cell>
        </row>
        <row r="1703">
          <cell r="A1703">
            <v>1702</v>
          </cell>
          <cell r="B1703" t="str">
            <v>Filippo Mane</v>
          </cell>
          <cell r="C1703" t="str">
            <v>Borussia Dortmund</v>
          </cell>
          <cell r="D1703" t="str">
            <v>Italia</v>
          </cell>
          <cell r="E1703" t="str">
            <v>CT</v>
          </cell>
          <cell r="F1703">
            <v>65</v>
          </cell>
          <cell r="G1703">
            <v>20</v>
          </cell>
        </row>
        <row r="1704">
          <cell r="A1704">
            <v>1703</v>
          </cell>
          <cell r="B1704" t="str">
            <v>Gregor Kobel</v>
          </cell>
          <cell r="C1704" t="str">
            <v>Borussia Dortmund</v>
          </cell>
          <cell r="D1704" t="str">
            <v>Suiza</v>
          </cell>
          <cell r="E1704" t="str">
            <v>PO</v>
          </cell>
          <cell r="F1704">
            <v>88</v>
          </cell>
          <cell r="G1704">
            <v>28</v>
          </cell>
        </row>
        <row r="1705">
          <cell r="A1705">
            <v>1704</v>
          </cell>
          <cell r="B1705" t="str">
            <v>Jobe Bellingham</v>
          </cell>
          <cell r="C1705" t="str">
            <v>Borussia Dortmund</v>
          </cell>
          <cell r="D1705" t="str">
            <v>Inglaterra</v>
          </cell>
          <cell r="E1705" t="str">
            <v>MC</v>
          </cell>
          <cell r="F1705">
            <v>74</v>
          </cell>
          <cell r="G1705">
            <v>20</v>
          </cell>
        </row>
        <row r="1706">
          <cell r="A1706">
            <v>1705</v>
          </cell>
          <cell r="B1706" t="str">
            <v>Julian Brandt</v>
          </cell>
          <cell r="C1706" t="str">
            <v>Borussia Dortmund</v>
          </cell>
          <cell r="D1706" t="str">
            <v>Alemania</v>
          </cell>
          <cell r="E1706" t="str">
            <v>MO</v>
          </cell>
          <cell r="F1706">
            <v>85</v>
          </cell>
          <cell r="G1706">
            <v>29</v>
          </cell>
        </row>
        <row r="1707">
          <cell r="A1707">
            <v>1706</v>
          </cell>
          <cell r="B1707" t="str">
            <v>Julian Ryerson</v>
          </cell>
          <cell r="C1707" t="str">
            <v>Borussia Dortmund</v>
          </cell>
          <cell r="D1707" t="str">
            <v>Noruega</v>
          </cell>
          <cell r="E1707" t="str">
            <v>LD</v>
          </cell>
          <cell r="F1707">
            <v>79</v>
          </cell>
          <cell r="G1707">
            <v>28</v>
          </cell>
        </row>
        <row r="1708">
          <cell r="A1708">
            <v>1707</v>
          </cell>
          <cell r="B1708" t="str">
            <v>Julien Duranville</v>
          </cell>
          <cell r="C1708" t="str">
            <v>Borussia Dortmund</v>
          </cell>
          <cell r="D1708" t="str">
            <v>Bélgica</v>
          </cell>
          <cell r="E1708" t="str">
            <v>EI</v>
          </cell>
          <cell r="F1708">
            <v>66</v>
          </cell>
          <cell r="G1708">
            <v>19</v>
          </cell>
        </row>
        <row r="1709">
          <cell r="A1709">
            <v>1708</v>
          </cell>
          <cell r="B1709" t="str">
            <v>Karim Adeyemi</v>
          </cell>
          <cell r="C1709" t="str">
            <v>Borussia Dortmund</v>
          </cell>
          <cell r="D1709" t="str">
            <v>Alemania</v>
          </cell>
          <cell r="E1709" t="str">
            <v>ED</v>
          </cell>
          <cell r="F1709">
            <v>80</v>
          </cell>
          <cell r="G1709">
            <v>23</v>
          </cell>
        </row>
        <row r="1710">
          <cell r="A1710">
            <v>1709</v>
          </cell>
          <cell r="B1710" t="str">
            <v>Marcel Sabitzer</v>
          </cell>
          <cell r="C1710" t="str">
            <v>Borussia Dortmund</v>
          </cell>
          <cell r="D1710" t="str">
            <v>Austria</v>
          </cell>
          <cell r="E1710" t="str">
            <v>MC</v>
          </cell>
          <cell r="F1710">
            <v>84</v>
          </cell>
          <cell r="G1710">
            <v>31</v>
          </cell>
        </row>
        <row r="1711">
          <cell r="A1711">
            <v>1710</v>
          </cell>
          <cell r="B1711" t="str">
            <v>Maximilian Beier</v>
          </cell>
          <cell r="C1711" t="str">
            <v>Borussia Dortmund</v>
          </cell>
          <cell r="D1711" t="str">
            <v>Alemania</v>
          </cell>
          <cell r="E1711" t="str">
            <v>DC</v>
          </cell>
          <cell r="F1711">
            <v>79</v>
          </cell>
          <cell r="G1711">
            <v>23</v>
          </cell>
        </row>
        <row r="1712">
          <cell r="A1712">
            <v>1711</v>
          </cell>
          <cell r="B1712" t="str">
            <v>Nico Schlotterbeck</v>
          </cell>
          <cell r="C1712" t="str">
            <v>Borussia Dortmund</v>
          </cell>
          <cell r="D1712" t="str">
            <v>Alemania</v>
          </cell>
          <cell r="E1712" t="str">
            <v>CT</v>
          </cell>
          <cell r="F1712">
            <v>85</v>
          </cell>
          <cell r="G1712">
            <v>26</v>
          </cell>
        </row>
        <row r="1713">
          <cell r="A1713">
            <v>1712</v>
          </cell>
          <cell r="B1713" t="str">
            <v>Niklas Süle</v>
          </cell>
          <cell r="C1713" t="str">
            <v>Borussia Dortmund</v>
          </cell>
          <cell r="D1713" t="str">
            <v>Alemania</v>
          </cell>
          <cell r="E1713" t="str">
            <v>CT</v>
          </cell>
          <cell r="F1713">
            <v>82</v>
          </cell>
          <cell r="G1713">
            <v>30</v>
          </cell>
        </row>
        <row r="1714">
          <cell r="A1714">
            <v>1713</v>
          </cell>
          <cell r="B1714" t="str">
            <v>Pascal Groß</v>
          </cell>
          <cell r="C1714" t="str">
            <v>Borussia Dortmund</v>
          </cell>
          <cell r="D1714" t="str">
            <v>Alemania</v>
          </cell>
          <cell r="E1714" t="str">
            <v>MC</v>
          </cell>
          <cell r="F1714">
            <v>81</v>
          </cell>
          <cell r="G1714">
            <v>34</v>
          </cell>
        </row>
        <row r="1715">
          <cell r="A1715">
            <v>1714</v>
          </cell>
          <cell r="B1715" t="str">
            <v>Patrick Drewes</v>
          </cell>
          <cell r="C1715" t="str">
            <v>Borussia Dortmund</v>
          </cell>
          <cell r="D1715" t="str">
            <v>Alemania</v>
          </cell>
          <cell r="E1715" t="str">
            <v>PO</v>
          </cell>
          <cell r="F1715">
            <v>74</v>
          </cell>
          <cell r="G1715">
            <v>32</v>
          </cell>
        </row>
        <row r="1716">
          <cell r="A1716">
            <v>1715</v>
          </cell>
          <cell r="B1716" t="str">
            <v>Ramy Bensebaini</v>
          </cell>
          <cell r="C1716" t="str">
            <v>Borussia Dortmund</v>
          </cell>
          <cell r="D1716" t="str">
            <v>Argelia</v>
          </cell>
          <cell r="E1716" t="str">
            <v>CT</v>
          </cell>
          <cell r="F1716">
            <v>78</v>
          </cell>
          <cell r="G1716">
            <v>30</v>
          </cell>
        </row>
        <row r="1717">
          <cell r="A1717">
            <v>1716</v>
          </cell>
          <cell r="B1717" t="str">
            <v>Salih Özcan</v>
          </cell>
          <cell r="C1717" t="str">
            <v>Borussia Dortmund</v>
          </cell>
          <cell r="D1717" t="str">
            <v>Turquía</v>
          </cell>
          <cell r="E1717" t="str">
            <v>MCD</v>
          </cell>
          <cell r="F1717">
            <v>76</v>
          </cell>
          <cell r="G1717">
            <v>27</v>
          </cell>
        </row>
        <row r="1718">
          <cell r="A1718">
            <v>1717</v>
          </cell>
          <cell r="B1718" t="str">
            <v>Serhou Guirassy</v>
          </cell>
          <cell r="C1718" t="str">
            <v>Borussia Dortmund</v>
          </cell>
          <cell r="D1718" t="str">
            <v>Guinea</v>
          </cell>
          <cell r="E1718" t="str">
            <v>DC</v>
          </cell>
          <cell r="F1718">
            <v>84</v>
          </cell>
          <cell r="G1718">
            <v>29</v>
          </cell>
        </row>
        <row r="1719">
          <cell r="A1719">
            <v>1718</v>
          </cell>
          <cell r="B1719" t="str">
            <v>Waldemar Anton</v>
          </cell>
          <cell r="C1719" t="str">
            <v>Borussia Dortmund</v>
          </cell>
          <cell r="D1719" t="str">
            <v>Alemania</v>
          </cell>
          <cell r="E1719" t="str">
            <v>CT</v>
          </cell>
          <cell r="F1719">
            <v>81</v>
          </cell>
          <cell r="G1719">
            <v>29</v>
          </cell>
        </row>
        <row r="1720">
          <cell r="A1720">
            <v>1719</v>
          </cell>
          <cell r="B1720" t="str">
            <v>Yan Couto</v>
          </cell>
          <cell r="C1720" t="str">
            <v>Borussia Dortmund</v>
          </cell>
          <cell r="D1720" t="str">
            <v>Brasil</v>
          </cell>
          <cell r="E1720" t="str">
            <v>ED</v>
          </cell>
          <cell r="F1720">
            <v>78</v>
          </cell>
          <cell r="G1720">
            <v>23</v>
          </cell>
        </row>
        <row r="1721">
          <cell r="A1721">
            <v>1720</v>
          </cell>
          <cell r="B1721" t="str">
            <v>Moritz Nicolas</v>
          </cell>
          <cell r="C1721" t="str">
            <v>Borussia Mönchengladbach</v>
          </cell>
          <cell r="D1721" t="str">
            <v>Alemania</v>
          </cell>
          <cell r="E1721" t="str">
            <v>PO</v>
          </cell>
          <cell r="F1721">
            <v>73</v>
          </cell>
          <cell r="G1721">
            <v>28</v>
          </cell>
        </row>
        <row r="1722">
          <cell r="A1722">
            <v>1721</v>
          </cell>
          <cell r="B1722" t="str">
            <v>Charles Herrmann</v>
          </cell>
          <cell r="C1722" t="str">
            <v>Borussia Mönchengladbach</v>
          </cell>
          <cell r="D1722" t="str">
            <v>Alemania</v>
          </cell>
          <cell r="E1722" t="str">
            <v>ED</v>
          </cell>
          <cell r="F1722">
            <v>60</v>
          </cell>
          <cell r="G1722">
            <v>19</v>
          </cell>
        </row>
        <row r="1723">
          <cell r="A1723">
            <v>1722</v>
          </cell>
          <cell r="B1723" t="str">
            <v>Fabio Chiarodia</v>
          </cell>
          <cell r="C1723" t="str">
            <v>Borussia Mönchengladbach</v>
          </cell>
          <cell r="D1723" t="str">
            <v>Italia</v>
          </cell>
          <cell r="E1723" t="str">
            <v>CT</v>
          </cell>
          <cell r="F1723">
            <v>64</v>
          </cell>
          <cell r="G1723">
            <v>20</v>
          </cell>
        </row>
        <row r="1724">
          <cell r="A1724">
            <v>1723</v>
          </cell>
          <cell r="B1724" t="str">
            <v>Florian Neuhaus</v>
          </cell>
          <cell r="C1724" t="str">
            <v>Borussia Mönchengladbach</v>
          </cell>
          <cell r="D1724" t="str">
            <v>Alemania</v>
          </cell>
          <cell r="E1724" t="str">
            <v>MC</v>
          </cell>
          <cell r="F1724">
            <v>77</v>
          </cell>
          <cell r="G1724">
            <v>28</v>
          </cell>
        </row>
        <row r="1725">
          <cell r="A1725">
            <v>1724</v>
          </cell>
          <cell r="B1725" t="str">
            <v>Franck Honorat</v>
          </cell>
          <cell r="C1725" t="str">
            <v>Borussia Mönchengladbach</v>
          </cell>
          <cell r="D1725" t="str">
            <v>Francia</v>
          </cell>
          <cell r="E1725" t="str">
            <v>ED</v>
          </cell>
          <cell r="F1725">
            <v>79</v>
          </cell>
          <cell r="G1725">
            <v>29</v>
          </cell>
        </row>
        <row r="1726">
          <cell r="A1726">
            <v>1725</v>
          </cell>
          <cell r="B1726" t="str">
            <v>Giovanni Reyna</v>
          </cell>
          <cell r="C1726" t="str">
            <v>Borussia Mönchengladbach</v>
          </cell>
          <cell r="D1726" t="str">
            <v>Estados Unidos</v>
          </cell>
          <cell r="E1726" t="str">
            <v>MO</v>
          </cell>
          <cell r="F1726">
            <v>76</v>
          </cell>
          <cell r="G1726">
            <v>23</v>
          </cell>
        </row>
        <row r="1727">
          <cell r="A1727">
            <v>1726</v>
          </cell>
          <cell r="B1727" t="str">
            <v>Grant-Leon Ranos</v>
          </cell>
          <cell r="C1727" t="str">
            <v>Borussia Mönchengladbach</v>
          </cell>
          <cell r="D1727" t="str">
            <v>Armenia</v>
          </cell>
          <cell r="E1727" t="str">
            <v>DC</v>
          </cell>
          <cell r="F1727">
            <v>64</v>
          </cell>
          <cell r="G1727">
            <v>22</v>
          </cell>
        </row>
        <row r="1728">
          <cell r="A1728">
            <v>1727</v>
          </cell>
          <cell r="B1728" t="str">
            <v>Haris Tabakovic</v>
          </cell>
          <cell r="C1728" t="str">
            <v>Borussia Mönchengladbach</v>
          </cell>
          <cell r="D1728" t="str">
            <v>Bosnia y Herzegovina</v>
          </cell>
          <cell r="E1728" t="str">
            <v>DC</v>
          </cell>
          <cell r="F1728">
            <v>74</v>
          </cell>
          <cell r="G1728">
            <v>31</v>
          </cell>
        </row>
        <row r="1729">
          <cell r="A1729">
            <v>1728</v>
          </cell>
          <cell r="B1729" t="str">
            <v>Jens Castrop</v>
          </cell>
          <cell r="C1729" t="str">
            <v>Borussia Mönchengladbach</v>
          </cell>
          <cell r="D1729" t="str">
            <v>Corea del Sur</v>
          </cell>
          <cell r="E1729" t="str">
            <v>MC</v>
          </cell>
          <cell r="F1729">
            <v>63</v>
          </cell>
          <cell r="G1729">
            <v>22</v>
          </cell>
        </row>
        <row r="1730">
          <cell r="A1730">
            <v>1729</v>
          </cell>
          <cell r="B1730" t="str">
            <v>Joe Scally</v>
          </cell>
          <cell r="C1730" t="str">
            <v>Borussia Mönchengladbach</v>
          </cell>
          <cell r="D1730" t="str">
            <v>Estados Unidos</v>
          </cell>
          <cell r="E1730" t="str">
            <v>LD</v>
          </cell>
          <cell r="F1730">
            <v>74</v>
          </cell>
          <cell r="G1730">
            <v>23</v>
          </cell>
        </row>
        <row r="1731">
          <cell r="A1731">
            <v>1730</v>
          </cell>
          <cell r="B1731" t="str">
            <v>Jonas Omlin</v>
          </cell>
          <cell r="C1731" t="str">
            <v>Borussia Mönchengladbach</v>
          </cell>
          <cell r="D1731" t="str">
            <v>Suiza</v>
          </cell>
          <cell r="E1731" t="str">
            <v>PO</v>
          </cell>
          <cell r="F1731">
            <v>79</v>
          </cell>
          <cell r="G1731">
            <v>31</v>
          </cell>
        </row>
        <row r="1732">
          <cell r="A1732">
            <v>1731</v>
          </cell>
          <cell r="B1732" t="str">
            <v>Kevin Diks</v>
          </cell>
          <cell r="C1732" t="str">
            <v>Borussia Mönchengladbach</v>
          </cell>
          <cell r="D1732" t="str">
            <v>Indonesia</v>
          </cell>
          <cell r="E1732" t="str">
            <v>CT</v>
          </cell>
          <cell r="F1732">
            <v>72</v>
          </cell>
          <cell r="G1732">
            <v>29</v>
          </cell>
        </row>
        <row r="1733">
          <cell r="A1733">
            <v>1732</v>
          </cell>
          <cell r="B1733" t="str">
            <v>Kevin Stöger</v>
          </cell>
          <cell r="C1733" t="str">
            <v>Borussia Mönchengladbach</v>
          </cell>
          <cell r="D1733" t="str">
            <v>Austria</v>
          </cell>
          <cell r="E1733" t="str">
            <v>MO</v>
          </cell>
          <cell r="F1733">
            <v>77</v>
          </cell>
          <cell r="G1733">
            <v>32</v>
          </cell>
        </row>
        <row r="1734">
          <cell r="A1734">
            <v>1733</v>
          </cell>
          <cell r="B1734" t="str">
            <v>Luca Netz</v>
          </cell>
          <cell r="C1734" t="str">
            <v>Borussia Mönchengladbach</v>
          </cell>
          <cell r="D1734" t="str">
            <v>Alemania</v>
          </cell>
          <cell r="E1734" t="str">
            <v>LI</v>
          </cell>
          <cell r="F1734">
            <v>74</v>
          </cell>
          <cell r="G1734">
            <v>22</v>
          </cell>
        </row>
        <row r="1735">
          <cell r="A1735">
            <v>1734</v>
          </cell>
          <cell r="B1735" t="str">
            <v>Lukas Ullrich</v>
          </cell>
          <cell r="C1735" t="str">
            <v>Borussia Mönchengladbach</v>
          </cell>
          <cell r="D1735" t="str">
            <v>Alemania</v>
          </cell>
          <cell r="E1735" t="str">
            <v>LI</v>
          </cell>
          <cell r="F1735">
            <v>64</v>
          </cell>
          <cell r="G1735">
            <v>21</v>
          </cell>
        </row>
        <row r="1736">
          <cell r="A1736">
            <v>1735</v>
          </cell>
          <cell r="B1736" t="str">
            <v>Marvin Friedrich</v>
          </cell>
          <cell r="C1736" t="str">
            <v>Borussia Mönchengladbach</v>
          </cell>
          <cell r="D1736" t="str">
            <v>Alemania</v>
          </cell>
          <cell r="E1736" t="str">
            <v>CT</v>
          </cell>
          <cell r="F1736">
            <v>74</v>
          </cell>
          <cell r="G1736">
            <v>30</v>
          </cell>
        </row>
        <row r="1737">
          <cell r="A1737">
            <v>1736</v>
          </cell>
          <cell r="B1737" t="str">
            <v>Nathan Ngoumou</v>
          </cell>
          <cell r="C1737" t="str">
            <v>Borussia Mönchengladbach</v>
          </cell>
          <cell r="D1737" t="str">
            <v>Camerún</v>
          </cell>
          <cell r="E1737" t="str">
            <v>ED</v>
          </cell>
          <cell r="F1737">
            <v>72</v>
          </cell>
          <cell r="G1737">
            <v>25</v>
          </cell>
        </row>
        <row r="1738">
          <cell r="A1738">
            <v>1737</v>
          </cell>
          <cell r="B1738" t="str">
            <v>Nico Elvedi</v>
          </cell>
          <cell r="C1738" t="str">
            <v>Borussia Mönchengladbach</v>
          </cell>
          <cell r="D1738" t="str">
            <v>Suiza</v>
          </cell>
          <cell r="E1738" t="str">
            <v>CT</v>
          </cell>
          <cell r="F1738">
            <v>77</v>
          </cell>
          <cell r="G1738">
            <v>29</v>
          </cell>
        </row>
        <row r="1739">
          <cell r="A1739">
            <v>1738</v>
          </cell>
          <cell r="B1739" t="str">
            <v>Niklas Swider</v>
          </cell>
          <cell r="C1739" t="str">
            <v>Borussia Mönchengladbach</v>
          </cell>
          <cell r="D1739" t="str">
            <v>Alemania</v>
          </cell>
          <cell r="E1739" t="str">
            <v>MCD</v>
          </cell>
          <cell r="F1739">
            <v>61</v>
          </cell>
          <cell r="G1739">
            <v>18</v>
          </cell>
        </row>
        <row r="1740">
          <cell r="A1740">
            <v>1739</v>
          </cell>
          <cell r="B1740" t="str">
            <v>Oscar Fraulo</v>
          </cell>
          <cell r="C1740" t="str">
            <v>Borussia Mönchengladbach</v>
          </cell>
          <cell r="D1740" t="str">
            <v>Dinamarca</v>
          </cell>
          <cell r="E1740" t="str">
            <v>MC</v>
          </cell>
          <cell r="F1740">
            <v>68</v>
          </cell>
          <cell r="G1740">
            <v>22</v>
          </cell>
        </row>
        <row r="1741">
          <cell r="A1741">
            <v>1740</v>
          </cell>
          <cell r="B1741" t="str">
            <v>Philipp Sander</v>
          </cell>
          <cell r="C1741" t="str">
            <v>Borussia Mönchengladbach</v>
          </cell>
          <cell r="D1741" t="str">
            <v>Alemania</v>
          </cell>
          <cell r="E1741" t="str">
            <v>MC</v>
          </cell>
          <cell r="F1741">
            <v>73</v>
          </cell>
          <cell r="G1741">
            <v>27</v>
          </cell>
        </row>
        <row r="1742">
          <cell r="A1742">
            <v>1741</v>
          </cell>
          <cell r="B1742" t="str">
            <v>Robin Hack</v>
          </cell>
          <cell r="C1742" t="str">
            <v>Borussia Mönchengladbach</v>
          </cell>
          <cell r="D1742" t="str">
            <v>Alemania</v>
          </cell>
          <cell r="E1742" t="str">
            <v>EI</v>
          </cell>
          <cell r="F1742">
            <v>75</v>
          </cell>
          <cell r="G1742">
            <v>27</v>
          </cell>
        </row>
        <row r="1743">
          <cell r="A1743">
            <v>1742</v>
          </cell>
          <cell r="B1743" t="str">
            <v>Rocco Reitz</v>
          </cell>
          <cell r="C1743" t="str">
            <v>Borussia Mönchengladbach</v>
          </cell>
          <cell r="D1743" t="str">
            <v>Alemania</v>
          </cell>
          <cell r="E1743" t="str">
            <v>MC</v>
          </cell>
          <cell r="F1743">
            <v>71</v>
          </cell>
          <cell r="G1743">
            <v>23</v>
          </cell>
        </row>
        <row r="1744">
          <cell r="A1744">
            <v>1743</v>
          </cell>
          <cell r="B1744" t="str">
            <v>Shuto Machino</v>
          </cell>
          <cell r="C1744" t="str">
            <v>Borussia Mönchengladbach</v>
          </cell>
          <cell r="D1744" t="str">
            <v>Japón</v>
          </cell>
          <cell r="E1744" t="str">
            <v>DC</v>
          </cell>
          <cell r="F1744">
            <v>69</v>
          </cell>
          <cell r="G1744">
            <v>26</v>
          </cell>
        </row>
        <row r="1745">
          <cell r="A1745">
            <v>1744</v>
          </cell>
          <cell r="B1745" t="str">
            <v>Tiago Pereira C.</v>
          </cell>
          <cell r="C1745" t="str">
            <v>Borussia Mönchengladbach</v>
          </cell>
          <cell r="D1745" t="str">
            <v>Luxemburgo</v>
          </cell>
          <cell r="E1745" t="str">
            <v>PO</v>
          </cell>
          <cell r="F1745">
            <v>63</v>
          </cell>
          <cell r="G1745">
            <v>19</v>
          </cell>
        </row>
        <row r="1746">
          <cell r="A1746">
            <v>1745</v>
          </cell>
          <cell r="B1746" t="str">
            <v>Tim Kleindienst</v>
          </cell>
          <cell r="C1746" t="str">
            <v>Borussia Mönchengladbach</v>
          </cell>
          <cell r="D1746" t="str">
            <v>Alemania</v>
          </cell>
          <cell r="E1746" t="str">
            <v>DC</v>
          </cell>
          <cell r="F1746">
            <v>77</v>
          </cell>
          <cell r="G1746">
            <v>30</v>
          </cell>
        </row>
        <row r="1747">
          <cell r="A1747">
            <v>1746</v>
          </cell>
          <cell r="B1747" t="str">
            <v>Tobias Sippel</v>
          </cell>
          <cell r="C1747" t="str">
            <v>Borussia Mönchengladbach</v>
          </cell>
          <cell r="D1747" t="str">
            <v>Alemania</v>
          </cell>
          <cell r="E1747" t="str">
            <v>PO</v>
          </cell>
          <cell r="F1747">
            <v>68</v>
          </cell>
          <cell r="G1747">
            <v>37</v>
          </cell>
        </row>
        <row r="1748">
          <cell r="A1748">
            <v>1747</v>
          </cell>
          <cell r="B1748" t="str">
            <v>Yannik Engelhardt</v>
          </cell>
          <cell r="C1748" t="str">
            <v>Borussia Mönchengladbach</v>
          </cell>
          <cell r="D1748" t="str">
            <v>Alemania</v>
          </cell>
          <cell r="E1748" t="str">
            <v>MCD</v>
          </cell>
          <cell r="F1748">
            <v>71</v>
          </cell>
          <cell r="G1748">
            <v>24</v>
          </cell>
        </row>
        <row r="1749">
          <cell r="A1749">
            <v>1748</v>
          </cell>
          <cell r="B1749" t="str">
            <v>Ansgar Knauff</v>
          </cell>
          <cell r="C1749" t="str">
            <v>Eintracht Fráncfort</v>
          </cell>
          <cell r="D1749" t="str">
            <v>Alemania</v>
          </cell>
          <cell r="E1749" t="str">
            <v>ED</v>
          </cell>
          <cell r="F1749">
            <v>77</v>
          </cell>
          <cell r="G1749">
            <v>23</v>
          </cell>
        </row>
        <row r="1750">
          <cell r="A1750">
            <v>1749</v>
          </cell>
          <cell r="B1750" t="str">
            <v>Arthur Theate</v>
          </cell>
          <cell r="C1750" t="str">
            <v>Eintracht Fráncfort</v>
          </cell>
          <cell r="D1750" t="str">
            <v>Bélgica</v>
          </cell>
          <cell r="E1750" t="str">
            <v>CT</v>
          </cell>
          <cell r="F1750">
            <v>78</v>
          </cell>
          <cell r="G1750">
            <v>25</v>
          </cell>
        </row>
        <row r="1751">
          <cell r="A1751">
            <v>1750</v>
          </cell>
          <cell r="B1751" t="str">
            <v>Aurèle Amenda</v>
          </cell>
          <cell r="C1751" t="str">
            <v>Eintracht Fráncfort</v>
          </cell>
          <cell r="D1751" t="str">
            <v>Suiza</v>
          </cell>
          <cell r="E1751" t="str">
            <v>CT</v>
          </cell>
          <cell r="F1751">
            <v>69</v>
          </cell>
          <cell r="G1751">
            <v>22</v>
          </cell>
        </row>
        <row r="1752">
          <cell r="A1752">
            <v>1751</v>
          </cell>
          <cell r="B1752" t="str">
            <v>Aurélio Buta</v>
          </cell>
          <cell r="C1752" t="str">
            <v>Eintracht Fráncfort</v>
          </cell>
          <cell r="D1752" t="str">
            <v>Portugal</v>
          </cell>
          <cell r="E1752" t="str">
            <v>LD</v>
          </cell>
          <cell r="F1752">
            <v>75</v>
          </cell>
          <cell r="G1752">
            <v>28</v>
          </cell>
        </row>
        <row r="1753">
          <cell r="A1753">
            <v>1752</v>
          </cell>
          <cell r="B1753" t="str">
            <v>Can Uzun</v>
          </cell>
          <cell r="C1753" t="str">
            <v>Eintracht Fráncfort</v>
          </cell>
          <cell r="D1753" t="str">
            <v>Turquía</v>
          </cell>
          <cell r="E1753" t="str">
            <v>MO</v>
          </cell>
          <cell r="F1753">
            <v>72</v>
          </cell>
          <cell r="G1753">
            <v>20</v>
          </cell>
        </row>
        <row r="1754">
          <cell r="A1754">
            <v>1753</v>
          </cell>
          <cell r="B1754" t="str">
            <v>Ellyes Skhiri</v>
          </cell>
          <cell r="C1754" t="str">
            <v>Eintracht Fráncfort</v>
          </cell>
          <cell r="D1754" t="str">
            <v>Túnez</v>
          </cell>
          <cell r="E1754" t="str">
            <v>MCD</v>
          </cell>
          <cell r="F1754">
            <v>81</v>
          </cell>
          <cell r="G1754">
            <v>30</v>
          </cell>
        </row>
        <row r="1755">
          <cell r="A1755">
            <v>1754</v>
          </cell>
          <cell r="B1755" t="str">
            <v>Elye Wahi</v>
          </cell>
          <cell r="C1755" t="str">
            <v>Eintracht Fráncfort</v>
          </cell>
          <cell r="D1755" t="str">
            <v>Francia</v>
          </cell>
          <cell r="E1755" t="str">
            <v>DC</v>
          </cell>
          <cell r="F1755">
            <v>77</v>
          </cell>
          <cell r="G1755">
            <v>22</v>
          </cell>
        </row>
        <row r="1756">
          <cell r="A1756">
            <v>1755</v>
          </cell>
          <cell r="B1756" t="str">
            <v>Farès Chaïbi</v>
          </cell>
          <cell r="C1756" t="str">
            <v>Eintracht Fráncfort</v>
          </cell>
          <cell r="D1756" t="str">
            <v>Argelia</v>
          </cell>
          <cell r="E1756" t="str">
            <v>MO</v>
          </cell>
          <cell r="F1756">
            <v>76</v>
          </cell>
          <cell r="G1756">
            <v>23</v>
          </cell>
        </row>
        <row r="1757">
          <cell r="A1757">
            <v>1756</v>
          </cell>
          <cell r="B1757" t="str">
            <v>Hugo Larsson</v>
          </cell>
          <cell r="C1757" t="str">
            <v>Eintracht Fráncfort</v>
          </cell>
          <cell r="D1757" t="str">
            <v>Suecia</v>
          </cell>
          <cell r="E1757" t="str">
            <v>MC</v>
          </cell>
          <cell r="F1757">
            <v>78</v>
          </cell>
          <cell r="G1757">
            <v>21</v>
          </cell>
        </row>
        <row r="1758">
          <cell r="A1758">
            <v>1757</v>
          </cell>
          <cell r="B1758" t="str">
            <v>Jean-Mattéo</v>
          </cell>
          <cell r="C1758" t="str">
            <v>Eintracht Fráncfort</v>
          </cell>
          <cell r="D1758" t="str">
            <v>Francia</v>
          </cell>
          <cell r="E1758" t="str">
            <v>EI</v>
          </cell>
          <cell r="F1758">
            <v>68</v>
          </cell>
          <cell r="G1758">
            <v>20</v>
          </cell>
        </row>
        <row r="1759">
          <cell r="A1759">
            <v>1758</v>
          </cell>
          <cell r="B1759" t="str">
            <v>Jens Grahl</v>
          </cell>
          <cell r="C1759" t="str">
            <v>Eintracht Fráncfort</v>
          </cell>
          <cell r="D1759" t="str">
            <v>Alemania</v>
          </cell>
          <cell r="E1759" t="str">
            <v>PO</v>
          </cell>
          <cell r="F1759">
            <v>66</v>
          </cell>
          <cell r="G1759">
            <v>37</v>
          </cell>
        </row>
        <row r="1760">
          <cell r="A1760">
            <v>1759</v>
          </cell>
          <cell r="B1760" t="str">
            <v>Jessic Ngankam</v>
          </cell>
          <cell r="C1760" t="str">
            <v>Eintracht Fráncfort</v>
          </cell>
          <cell r="D1760" t="str">
            <v>Alemania</v>
          </cell>
          <cell r="E1760" t="str">
            <v>DC</v>
          </cell>
          <cell r="F1760">
            <v>71</v>
          </cell>
          <cell r="G1760">
            <v>25</v>
          </cell>
        </row>
        <row r="1761">
          <cell r="A1761">
            <v>1760</v>
          </cell>
          <cell r="B1761" t="str">
            <v>Jonathan Burkardt</v>
          </cell>
          <cell r="C1761" t="str">
            <v>Eintracht Fráncfort</v>
          </cell>
          <cell r="D1761" t="str">
            <v>Alemania</v>
          </cell>
          <cell r="E1761" t="str">
            <v>DC</v>
          </cell>
          <cell r="F1761">
            <v>80</v>
          </cell>
          <cell r="G1761">
            <v>25</v>
          </cell>
        </row>
        <row r="1762">
          <cell r="A1762">
            <v>1761</v>
          </cell>
          <cell r="B1762" t="str">
            <v>Kaua Santos</v>
          </cell>
          <cell r="C1762" t="str">
            <v>Eintracht Fráncfort</v>
          </cell>
          <cell r="D1762" t="str">
            <v>Brasil</v>
          </cell>
          <cell r="E1762" t="str">
            <v>PO</v>
          </cell>
          <cell r="F1762">
            <v>62</v>
          </cell>
          <cell r="G1762">
            <v>22</v>
          </cell>
        </row>
        <row r="1763">
          <cell r="A1763">
            <v>1762</v>
          </cell>
          <cell r="B1763" t="str">
            <v>Mahmoud Dahoud</v>
          </cell>
          <cell r="C1763" t="str">
            <v>Eintracht Fráncfort</v>
          </cell>
          <cell r="D1763" t="str">
            <v>Siria</v>
          </cell>
          <cell r="E1763" t="str">
            <v>MC</v>
          </cell>
          <cell r="F1763">
            <v>76</v>
          </cell>
          <cell r="G1763">
            <v>29</v>
          </cell>
        </row>
        <row r="1764">
          <cell r="A1764">
            <v>1763</v>
          </cell>
          <cell r="B1764" t="str">
            <v>Mario Götze</v>
          </cell>
          <cell r="C1764" t="str">
            <v>Eintracht Fráncfort</v>
          </cell>
          <cell r="D1764" t="str">
            <v>Alemania</v>
          </cell>
          <cell r="E1764" t="str">
            <v>MO</v>
          </cell>
          <cell r="F1764">
            <v>80</v>
          </cell>
          <cell r="G1764">
            <v>33</v>
          </cell>
        </row>
        <row r="1765">
          <cell r="A1765">
            <v>1764</v>
          </cell>
          <cell r="B1765" t="str">
            <v>Michael Zetterer</v>
          </cell>
          <cell r="C1765" t="str">
            <v>Eintracht Fráncfort</v>
          </cell>
          <cell r="D1765" t="str">
            <v>Alemania</v>
          </cell>
          <cell r="E1765" t="str">
            <v>PO</v>
          </cell>
          <cell r="F1765">
            <v>76</v>
          </cell>
          <cell r="G1765">
            <v>30</v>
          </cell>
        </row>
        <row r="1766">
          <cell r="A1766">
            <v>1765</v>
          </cell>
          <cell r="B1766" t="str">
            <v>Michy Batshuayi</v>
          </cell>
          <cell r="C1766" t="str">
            <v>Eintracht Fráncfort</v>
          </cell>
          <cell r="D1766" t="str">
            <v>Bélgica</v>
          </cell>
          <cell r="E1766" t="str">
            <v>DC</v>
          </cell>
          <cell r="F1766">
            <v>77</v>
          </cell>
          <cell r="G1766">
            <v>32</v>
          </cell>
        </row>
        <row r="1767">
          <cell r="A1767">
            <v>1766</v>
          </cell>
          <cell r="B1767" t="str">
            <v>Nathaniel Brown</v>
          </cell>
          <cell r="C1767" t="str">
            <v>Eintracht Fráncfort</v>
          </cell>
          <cell r="D1767" t="str">
            <v>Alemania</v>
          </cell>
          <cell r="E1767" t="str">
            <v>LI</v>
          </cell>
          <cell r="F1767">
            <v>69</v>
          </cell>
          <cell r="G1767">
            <v>22</v>
          </cell>
        </row>
        <row r="1768">
          <cell r="A1768">
            <v>1767</v>
          </cell>
          <cell r="B1768" t="str">
            <v>Nnamdi Collins</v>
          </cell>
          <cell r="C1768" t="str">
            <v>Eintracht Fráncfort</v>
          </cell>
          <cell r="D1768" t="str">
            <v>Alemania</v>
          </cell>
          <cell r="E1768" t="str">
            <v>CT</v>
          </cell>
          <cell r="F1768">
            <v>63</v>
          </cell>
          <cell r="G1768">
            <v>21</v>
          </cell>
        </row>
        <row r="1769">
          <cell r="A1769">
            <v>1768</v>
          </cell>
          <cell r="B1769" t="str">
            <v>Oscar Højlund</v>
          </cell>
          <cell r="C1769" t="str">
            <v>Eintracht Fráncfort</v>
          </cell>
          <cell r="D1769" t="str">
            <v>Dinamarca</v>
          </cell>
          <cell r="E1769" t="str">
            <v>MC</v>
          </cell>
          <cell r="F1769">
            <v>64</v>
          </cell>
          <cell r="G1769">
            <v>20</v>
          </cell>
        </row>
        <row r="1770">
          <cell r="A1770">
            <v>1769</v>
          </cell>
          <cell r="B1770" t="str">
            <v>Rasmus Kristensen</v>
          </cell>
          <cell r="C1770" t="str">
            <v>Eintracht Fráncfort</v>
          </cell>
          <cell r="D1770" t="str">
            <v>Dinamarca</v>
          </cell>
          <cell r="E1770" t="str">
            <v>LD</v>
          </cell>
          <cell r="F1770">
            <v>76</v>
          </cell>
          <cell r="G1770">
            <v>28</v>
          </cell>
        </row>
        <row r="1771">
          <cell r="A1771">
            <v>1770</v>
          </cell>
          <cell r="B1771" t="str">
            <v>Ritsu Doan</v>
          </cell>
          <cell r="C1771" t="str">
            <v>Eintracht Fráncfort</v>
          </cell>
          <cell r="D1771" t="str">
            <v>Japón</v>
          </cell>
          <cell r="E1771" t="str">
            <v>ED</v>
          </cell>
          <cell r="F1771">
            <v>78</v>
          </cell>
          <cell r="G1771">
            <v>27</v>
          </cell>
        </row>
        <row r="1772">
          <cell r="A1772">
            <v>1771</v>
          </cell>
          <cell r="B1772" t="str">
            <v>Robin Koch</v>
          </cell>
          <cell r="C1772" t="str">
            <v>Eintracht Fráncfort</v>
          </cell>
          <cell r="D1772" t="str">
            <v>Alemania</v>
          </cell>
          <cell r="E1772" t="str">
            <v>CT</v>
          </cell>
          <cell r="F1772">
            <v>79</v>
          </cell>
          <cell r="G1772">
            <v>29</v>
          </cell>
        </row>
        <row r="1773">
          <cell r="A1773">
            <v>1772</v>
          </cell>
          <cell r="B1773" t="str">
            <v>Timothy Chandler</v>
          </cell>
          <cell r="C1773" t="str">
            <v>Eintracht Fráncfort</v>
          </cell>
          <cell r="D1773" t="str">
            <v>Estados Unidos</v>
          </cell>
          <cell r="E1773" t="str">
            <v>LD</v>
          </cell>
          <cell r="F1773">
            <v>71</v>
          </cell>
          <cell r="G1773">
            <v>35</v>
          </cell>
        </row>
        <row r="1774">
          <cell r="A1774">
            <v>1773</v>
          </cell>
          <cell r="B1774" t="str">
            <v>Anthony Jung</v>
          </cell>
          <cell r="C1774" t="str">
            <v>SC Friburgo</v>
          </cell>
          <cell r="D1774" t="str">
            <v>Alemania</v>
          </cell>
          <cell r="E1774" t="str">
            <v>CT</v>
          </cell>
          <cell r="F1774">
            <v>70</v>
          </cell>
          <cell r="G1774">
            <v>34</v>
          </cell>
        </row>
        <row r="1775">
          <cell r="A1775">
            <v>1774</v>
          </cell>
          <cell r="B1775" t="str">
            <v>Bruno Ogbus</v>
          </cell>
          <cell r="C1775" t="str">
            <v>SC Friburgo</v>
          </cell>
          <cell r="D1775" t="str">
            <v>Suiza</v>
          </cell>
          <cell r="E1775" t="str">
            <v>CT</v>
          </cell>
          <cell r="F1775">
            <v>59</v>
          </cell>
          <cell r="G1775">
            <v>20</v>
          </cell>
        </row>
        <row r="1776">
          <cell r="A1776">
            <v>1775</v>
          </cell>
          <cell r="B1776" t="str">
            <v>Christian Günter</v>
          </cell>
          <cell r="C1776" t="str">
            <v>SC Friburgo</v>
          </cell>
          <cell r="D1776" t="str">
            <v>Alemania</v>
          </cell>
          <cell r="E1776" t="str">
            <v>LI</v>
          </cell>
          <cell r="F1776">
            <v>79</v>
          </cell>
          <cell r="G1776">
            <v>32</v>
          </cell>
        </row>
        <row r="1777">
          <cell r="A1777">
            <v>1776</v>
          </cell>
          <cell r="B1777" t="str">
            <v>Cyriaque Irié</v>
          </cell>
          <cell r="C1777" t="str">
            <v>SC Friburgo</v>
          </cell>
          <cell r="D1777" t="str">
            <v>Burkina Faso</v>
          </cell>
          <cell r="E1777" t="str">
            <v>ED</v>
          </cell>
          <cell r="F1777">
            <v>71</v>
          </cell>
          <cell r="G1777">
            <v>20</v>
          </cell>
        </row>
        <row r="1778">
          <cell r="A1778">
            <v>1777</v>
          </cell>
          <cell r="B1778" t="str">
            <v>Daniel-Kofi Kyereh</v>
          </cell>
          <cell r="C1778" t="str">
            <v>SC Friburgo</v>
          </cell>
          <cell r="D1778" t="str">
            <v>Ghana</v>
          </cell>
          <cell r="E1778" t="str">
            <v>MO</v>
          </cell>
          <cell r="F1778">
            <v>74</v>
          </cell>
          <cell r="G1778">
            <v>29</v>
          </cell>
        </row>
        <row r="1779">
          <cell r="A1779">
            <v>1778</v>
          </cell>
          <cell r="B1779" t="str">
            <v>Eren Dinkçi</v>
          </cell>
          <cell r="C1779" t="str">
            <v>SC Friburgo</v>
          </cell>
          <cell r="D1779" t="str">
            <v>Turquía</v>
          </cell>
          <cell r="E1779" t="str">
            <v>ED</v>
          </cell>
          <cell r="F1779">
            <v>77</v>
          </cell>
          <cell r="G1779">
            <v>24</v>
          </cell>
        </row>
        <row r="1780">
          <cell r="A1780">
            <v>1779</v>
          </cell>
          <cell r="B1780" t="str">
            <v>Florian Müller</v>
          </cell>
          <cell r="C1780" t="str">
            <v>SC Friburgo</v>
          </cell>
          <cell r="D1780" t="str">
            <v>Alemania</v>
          </cell>
          <cell r="E1780" t="str">
            <v>PO</v>
          </cell>
          <cell r="F1780">
            <v>72</v>
          </cell>
          <cell r="G1780">
            <v>28</v>
          </cell>
        </row>
        <row r="1781">
          <cell r="A1781">
            <v>1780</v>
          </cell>
          <cell r="B1781" t="str">
            <v>Igor Matanovic</v>
          </cell>
          <cell r="C1781" t="str">
            <v>SC Friburgo</v>
          </cell>
          <cell r="D1781" t="str">
            <v>Croacia</v>
          </cell>
          <cell r="E1781" t="str">
            <v>DC</v>
          </cell>
          <cell r="F1781">
            <v>72</v>
          </cell>
          <cell r="G1781">
            <v>22</v>
          </cell>
        </row>
        <row r="1782">
          <cell r="A1782">
            <v>1781</v>
          </cell>
          <cell r="B1782" t="str">
            <v>Jannik Huth</v>
          </cell>
          <cell r="C1782" t="str">
            <v>SC Friburgo</v>
          </cell>
          <cell r="D1782" t="str">
            <v>Alemania</v>
          </cell>
          <cell r="E1782" t="str">
            <v>PO</v>
          </cell>
          <cell r="F1782">
            <v>69</v>
          </cell>
          <cell r="G1782">
            <v>31</v>
          </cell>
        </row>
        <row r="1783">
          <cell r="A1783">
            <v>1782</v>
          </cell>
          <cell r="B1783" t="str">
            <v>Johan Manzambi</v>
          </cell>
          <cell r="C1783" t="str">
            <v>SC Friburgo</v>
          </cell>
          <cell r="D1783" t="str">
            <v>Suiza</v>
          </cell>
          <cell r="E1783" t="str">
            <v>MC</v>
          </cell>
          <cell r="F1783">
            <v>60</v>
          </cell>
          <cell r="G1783">
            <v>20</v>
          </cell>
        </row>
        <row r="1784">
          <cell r="A1784">
            <v>1783</v>
          </cell>
          <cell r="B1784" t="str">
            <v>Jordy Makengo</v>
          </cell>
          <cell r="C1784" t="str">
            <v>SC Friburgo</v>
          </cell>
          <cell r="D1784" t="str">
            <v>Francia</v>
          </cell>
          <cell r="E1784" t="str">
            <v>LI</v>
          </cell>
          <cell r="F1784">
            <v>74</v>
          </cell>
          <cell r="G1784">
            <v>24</v>
          </cell>
        </row>
        <row r="1785">
          <cell r="A1785">
            <v>1784</v>
          </cell>
          <cell r="B1785" t="str">
            <v>Junior Adamu</v>
          </cell>
          <cell r="C1785" t="str">
            <v>SC Friburgo</v>
          </cell>
          <cell r="D1785" t="str">
            <v>Austria</v>
          </cell>
          <cell r="E1785" t="str">
            <v>DC</v>
          </cell>
          <cell r="F1785">
            <v>70</v>
          </cell>
          <cell r="G1785">
            <v>24</v>
          </cell>
        </row>
        <row r="1786">
          <cell r="A1786">
            <v>1785</v>
          </cell>
          <cell r="B1786" t="str">
            <v>Lucas Höler</v>
          </cell>
          <cell r="C1786" t="str">
            <v>SC Friburgo</v>
          </cell>
          <cell r="D1786" t="str">
            <v>Alemania</v>
          </cell>
          <cell r="E1786" t="str">
            <v>DC</v>
          </cell>
          <cell r="F1786">
            <v>74</v>
          </cell>
          <cell r="G1786">
            <v>31</v>
          </cell>
        </row>
        <row r="1787">
          <cell r="A1787">
            <v>1786</v>
          </cell>
          <cell r="B1787" t="str">
            <v>Lukas Kübler</v>
          </cell>
          <cell r="C1787" t="str">
            <v>SC Friburgo</v>
          </cell>
          <cell r="D1787" t="str">
            <v>Alemania</v>
          </cell>
          <cell r="E1787" t="str">
            <v>LD</v>
          </cell>
          <cell r="F1787">
            <v>75</v>
          </cell>
          <cell r="G1787">
            <v>33</v>
          </cell>
        </row>
        <row r="1788">
          <cell r="A1788">
            <v>1787</v>
          </cell>
          <cell r="B1788" t="str">
            <v>Matthias Ginter</v>
          </cell>
          <cell r="C1788" t="str">
            <v>SC Friburgo</v>
          </cell>
          <cell r="D1788" t="str">
            <v>Alemania</v>
          </cell>
          <cell r="E1788" t="str">
            <v>CT</v>
          </cell>
          <cell r="F1788">
            <v>82</v>
          </cell>
          <cell r="G1788">
            <v>31</v>
          </cell>
        </row>
        <row r="1789">
          <cell r="A1789">
            <v>1788</v>
          </cell>
          <cell r="B1789" t="str">
            <v>Max Rosenfelder</v>
          </cell>
          <cell r="C1789" t="str">
            <v>SC Friburgo</v>
          </cell>
          <cell r="D1789" t="str">
            <v>Alemania</v>
          </cell>
          <cell r="E1789" t="str">
            <v>CT</v>
          </cell>
          <cell r="F1789">
            <v>67</v>
          </cell>
          <cell r="G1789">
            <v>22</v>
          </cell>
        </row>
        <row r="1790">
          <cell r="A1790">
            <v>1789</v>
          </cell>
          <cell r="B1790" t="str">
            <v>Maximilian Eggestein</v>
          </cell>
          <cell r="C1790" t="str">
            <v>SC Friburgo</v>
          </cell>
          <cell r="D1790" t="str">
            <v>Alemania</v>
          </cell>
          <cell r="E1790" t="str">
            <v>MC</v>
          </cell>
          <cell r="F1790">
            <v>75</v>
          </cell>
          <cell r="G1790">
            <v>29</v>
          </cell>
        </row>
        <row r="1791">
          <cell r="A1791">
            <v>1790</v>
          </cell>
          <cell r="B1791" t="str">
            <v>Maximilian Philipp</v>
          </cell>
          <cell r="C1791" t="str">
            <v>SC Friburgo</v>
          </cell>
          <cell r="D1791" t="str">
            <v>Alemania</v>
          </cell>
          <cell r="E1791" t="str">
            <v>SD</v>
          </cell>
          <cell r="F1791">
            <v>71</v>
          </cell>
          <cell r="G1791">
            <v>31</v>
          </cell>
        </row>
        <row r="1792">
          <cell r="A1792">
            <v>1791</v>
          </cell>
          <cell r="B1792" t="str">
            <v>Nicolas Höfler</v>
          </cell>
          <cell r="C1792" t="str">
            <v>SC Friburgo</v>
          </cell>
          <cell r="D1792" t="str">
            <v>Alemania</v>
          </cell>
          <cell r="E1792" t="str">
            <v>MCD</v>
          </cell>
          <cell r="F1792">
            <v>76</v>
          </cell>
          <cell r="G1792">
            <v>35</v>
          </cell>
        </row>
        <row r="1793">
          <cell r="A1793">
            <v>1792</v>
          </cell>
          <cell r="B1793" t="str">
            <v>Niklas Beste</v>
          </cell>
          <cell r="C1793" t="str">
            <v>SC Friburgo</v>
          </cell>
          <cell r="D1793" t="str">
            <v>Alemania</v>
          </cell>
          <cell r="E1793" t="str">
            <v>ED</v>
          </cell>
          <cell r="F1793">
            <v>78</v>
          </cell>
          <cell r="G1793">
            <v>26</v>
          </cell>
        </row>
        <row r="1794">
          <cell r="A1794">
            <v>1793</v>
          </cell>
          <cell r="B1794" t="str">
            <v>Noah Atubolu</v>
          </cell>
          <cell r="C1794" t="str">
            <v>SC Friburgo</v>
          </cell>
          <cell r="D1794" t="str">
            <v>Alemania</v>
          </cell>
          <cell r="E1794" t="str">
            <v>PO</v>
          </cell>
          <cell r="F1794">
            <v>74</v>
          </cell>
          <cell r="G1794">
            <v>23</v>
          </cell>
        </row>
        <row r="1795">
          <cell r="A1795">
            <v>1794</v>
          </cell>
          <cell r="B1795" t="str">
            <v>Patrick Osterhage</v>
          </cell>
          <cell r="C1795" t="str">
            <v>SC Friburgo</v>
          </cell>
          <cell r="D1795" t="str">
            <v>Alemania</v>
          </cell>
          <cell r="E1795" t="str">
            <v>MCD</v>
          </cell>
          <cell r="F1795">
            <v>76</v>
          </cell>
          <cell r="G1795">
            <v>25</v>
          </cell>
        </row>
        <row r="1796">
          <cell r="A1796">
            <v>1795</v>
          </cell>
          <cell r="B1796" t="str">
            <v>Philipp Lienhart</v>
          </cell>
          <cell r="C1796" t="str">
            <v>SC Friburgo</v>
          </cell>
          <cell r="D1796" t="str">
            <v>Austria</v>
          </cell>
          <cell r="E1796" t="str">
            <v>CT</v>
          </cell>
          <cell r="F1796">
            <v>79</v>
          </cell>
          <cell r="G1796">
            <v>29</v>
          </cell>
        </row>
        <row r="1797">
          <cell r="A1797">
            <v>1796</v>
          </cell>
          <cell r="B1797" t="str">
            <v>Philipp Treu</v>
          </cell>
          <cell r="C1797" t="str">
            <v>SC Friburgo</v>
          </cell>
          <cell r="D1797" t="str">
            <v>Alemania</v>
          </cell>
          <cell r="E1797" t="str">
            <v>LD</v>
          </cell>
          <cell r="F1797">
            <v>71</v>
          </cell>
          <cell r="G1797">
            <v>25</v>
          </cell>
        </row>
        <row r="1798">
          <cell r="A1798">
            <v>1797</v>
          </cell>
          <cell r="B1798" t="str">
            <v>Vincenzo Grifo</v>
          </cell>
          <cell r="C1798" t="str">
            <v>SC Friburgo</v>
          </cell>
          <cell r="D1798" t="str">
            <v>Italia</v>
          </cell>
          <cell r="E1798" t="str">
            <v>EI</v>
          </cell>
          <cell r="F1798">
            <v>81</v>
          </cell>
          <cell r="G1798">
            <v>32</v>
          </cell>
        </row>
        <row r="1799">
          <cell r="A1799">
            <v>1798</v>
          </cell>
          <cell r="B1799" t="str">
            <v>Yuito Suzuki</v>
          </cell>
          <cell r="C1799" t="str">
            <v>SC Friburgo</v>
          </cell>
          <cell r="D1799" t="str">
            <v>Japón</v>
          </cell>
          <cell r="E1799" t="str">
            <v>SD</v>
          </cell>
          <cell r="F1799">
            <v>68</v>
          </cell>
          <cell r="G1799">
            <v>24</v>
          </cell>
        </row>
        <row r="1800">
          <cell r="A1800">
            <v>1799</v>
          </cell>
          <cell r="B1800" t="str">
            <v>Diant Ramaj</v>
          </cell>
          <cell r="C1800" t="str">
            <v>1. FC Heidenheim 1846</v>
          </cell>
          <cell r="D1800" t="str">
            <v>Alemania</v>
          </cell>
          <cell r="E1800" t="str">
            <v>PO</v>
          </cell>
          <cell r="F1800">
            <v>74</v>
          </cell>
          <cell r="G1800">
            <v>24</v>
          </cell>
        </row>
        <row r="1801">
          <cell r="A1801">
            <v>1800</v>
          </cell>
          <cell r="B1801" t="str">
            <v>Adrian Beck</v>
          </cell>
          <cell r="C1801" t="str">
            <v>1. FC Heidenheim 1846</v>
          </cell>
          <cell r="D1801" t="str">
            <v>Alemania</v>
          </cell>
          <cell r="E1801" t="str">
            <v>MO</v>
          </cell>
          <cell r="F1801">
            <v>71</v>
          </cell>
          <cell r="G1801">
            <v>28</v>
          </cell>
        </row>
        <row r="1802">
          <cell r="A1802">
            <v>1801</v>
          </cell>
          <cell r="B1802" t="str">
            <v>Arijon Ibrahimovic</v>
          </cell>
          <cell r="C1802" t="str">
            <v>1. FC Heidenheim 1846</v>
          </cell>
          <cell r="D1802" t="str">
            <v>Alemania</v>
          </cell>
          <cell r="E1802" t="str">
            <v>MO</v>
          </cell>
          <cell r="F1802">
            <v>69</v>
          </cell>
          <cell r="G1802">
            <v>20</v>
          </cell>
        </row>
        <row r="1803">
          <cell r="A1803">
            <v>1802</v>
          </cell>
          <cell r="B1803" t="str">
            <v>Benedikt Gimber</v>
          </cell>
          <cell r="C1803" t="str">
            <v>1. FC Heidenheim 1846</v>
          </cell>
          <cell r="D1803" t="str">
            <v>Alemania</v>
          </cell>
          <cell r="E1803" t="str">
            <v>CT</v>
          </cell>
          <cell r="F1803">
            <v>74</v>
          </cell>
          <cell r="G1803">
            <v>28</v>
          </cell>
        </row>
        <row r="1804">
          <cell r="A1804">
            <v>1803</v>
          </cell>
          <cell r="B1804" t="str">
            <v>Budu Zivzivadze</v>
          </cell>
          <cell r="C1804" t="str">
            <v>1. FC Heidenheim 1846</v>
          </cell>
          <cell r="D1804" t="str">
            <v>Georgia</v>
          </cell>
          <cell r="E1804" t="str">
            <v>DC</v>
          </cell>
          <cell r="F1804">
            <v>72</v>
          </cell>
          <cell r="G1804">
            <v>31</v>
          </cell>
        </row>
        <row r="1805">
          <cell r="A1805">
            <v>1804</v>
          </cell>
          <cell r="B1805" t="str">
            <v>Jan Schöppner</v>
          </cell>
          <cell r="C1805" t="str">
            <v>1. FC Heidenheim 1846</v>
          </cell>
          <cell r="D1805" t="str">
            <v>Alemania</v>
          </cell>
          <cell r="E1805" t="str">
            <v>MC</v>
          </cell>
          <cell r="F1805">
            <v>71</v>
          </cell>
          <cell r="G1805">
            <v>26</v>
          </cell>
        </row>
        <row r="1806">
          <cell r="A1806">
            <v>1805</v>
          </cell>
          <cell r="B1806" t="str">
            <v>Jonas Föhrenbach</v>
          </cell>
          <cell r="C1806" t="str">
            <v>1. FC Heidenheim 1846</v>
          </cell>
          <cell r="D1806" t="str">
            <v>Alemania</v>
          </cell>
          <cell r="E1806" t="str">
            <v>LI</v>
          </cell>
          <cell r="F1806">
            <v>72</v>
          </cell>
          <cell r="G1806">
            <v>29</v>
          </cell>
        </row>
        <row r="1807">
          <cell r="A1807">
            <v>1806</v>
          </cell>
          <cell r="B1807" t="str">
            <v>Julian Niehues</v>
          </cell>
          <cell r="C1807" t="str">
            <v>1. FC Heidenheim 1846</v>
          </cell>
          <cell r="D1807" t="str">
            <v>Alemania</v>
          </cell>
          <cell r="E1807" t="str">
            <v>MCD</v>
          </cell>
          <cell r="F1807">
            <v>69</v>
          </cell>
          <cell r="G1807">
            <v>24</v>
          </cell>
        </row>
        <row r="1808">
          <cell r="A1808">
            <v>1807</v>
          </cell>
          <cell r="B1808" t="str">
            <v>Kevin Müller</v>
          </cell>
          <cell r="C1808" t="str">
            <v>1. FC Heidenheim 1846</v>
          </cell>
          <cell r="D1808" t="str">
            <v>Alemania</v>
          </cell>
          <cell r="E1808" t="str">
            <v>PO</v>
          </cell>
          <cell r="F1808">
            <v>75</v>
          </cell>
          <cell r="G1808">
            <v>34</v>
          </cell>
        </row>
        <row r="1809">
          <cell r="A1809">
            <v>1808</v>
          </cell>
          <cell r="B1809" t="str">
            <v>Luca Kerber</v>
          </cell>
          <cell r="C1809" t="str">
            <v>1. FC Heidenheim 1846</v>
          </cell>
          <cell r="D1809" t="str">
            <v>Alemania</v>
          </cell>
          <cell r="E1809" t="str">
            <v>MC</v>
          </cell>
          <cell r="F1809">
            <v>70</v>
          </cell>
          <cell r="G1809">
            <v>23</v>
          </cell>
        </row>
        <row r="1810">
          <cell r="A1810">
            <v>1809</v>
          </cell>
          <cell r="B1810" t="str">
            <v>Marnon Busch</v>
          </cell>
          <cell r="C1810" t="str">
            <v>1. FC Heidenheim 1846</v>
          </cell>
          <cell r="D1810" t="str">
            <v>Alemania</v>
          </cell>
          <cell r="E1810" t="str">
            <v>LD</v>
          </cell>
          <cell r="F1810">
            <v>72</v>
          </cell>
          <cell r="G1810">
            <v>31</v>
          </cell>
        </row>
        <row r="1811">
          <cell r="A1811">
            <v>1810</v>
          </cell>
          <cell r="B1811" t="str">
            <v>Marvin Pieringer</v>
          </cell>
          <cell r="C1811" t="str">
            <v>1. FC Heidenheim 1846</v>
          </cell>
          <cell r="D1811" t="str">
            <v>Alemania</v>
          </cell>
          <cell r="E1811" t="str">
            <v>DC</v>
          </cell>
          <cell r="F1811">
            <v>72</v>
          </cell>
          <cell r="G1811">
            <v>26</v>
          </cell>
        </row>
        <row r="1812">
          <cell r="A1812">
            <v>1811</v>
          </cell>
          <cell r="B1812" t="str">
            <v>Mathias Honsak</v>
          </cell>
          <cell r="C1812" t="str">
            <v>1. FC Heidenheim 1846</v>
          </cell>
          <cell r="D1812" t="str">
            <v>Austria</v>
          </cell>
          <cell r="E1812" t="str">
            <v>EI</v>
          </cell>
          <cell r="F1812">
            <v>71</v>
          </cell>
          <cell r="G1812">
            <v>29</v>
          </cell>
        </row>
        <row r="1813">
          <cell r="A1813">
            <v>1812</v>
          </cell>
          <cell r="B1813" t="str">
            <v>Mikkel Kaufmann</v>
          </cell>
          <cell r="C1813" t="str">
            <v>1. FC Heidenheim 1846</v>
          </cell>
          <cell r="D1813" t="str">
            <v>Dinamarca</v>
          </cell>
          <cell r="E1813" t="str">
            <v>DC</v>
          </cell>
          <cell r="F1813">
            <v>70</v>
          </cell>
          <cell r="G1813">
            <v>24</v>
          </cell>
        </row>
        <row r="1814">
          <cell r="A1814">
            <v>1813</v>
          </cell>
          <cell r="B1814" t="str">
            <v>Niklas Dorsch</v>
          </cell>
          <cell r="C1814" t="str">
            <v>1. FC Heidenheim 1846</v>
          </cell>
          <cell r="D1814" t="str">
            <v>Alemania</v>
          </cell>
          <cell r="E1814" t="str">
            <v>MCD</v>
          </cell>
          <cell r="F1814">
            <v>76</v>
          </cell>
          <cell r="G1814">
            <v>27</v>
          </cell>
        </row>
        <row r="1815">
          <cell r="A1815">
            <v>1814</v>
          </cell>
          <cell r="B1815" t="str">
            <v>Omar Traoré</v>
          </cell>
          <cell r="C1815" t="str">
            <v>1. FC Heidenheim 1846</v>
          </cell>
          <cell r="D1815" t="str">
            <v>Alemania</v>
          </cell>
          <cell r="E1815" t="str">
            <v>LD</v>
          </cell>
          <cell r="F1815">
            <v>73</v>
          </cell>
          <cell r="G1815">
            <v>27</v>
          </cell>
        </row>
        <row r="1816">
          <cell r="A1816">
            <v>1815</v>
          </cell>
          <cell r="B1816" t="str">
            <v>Patrick Mainka</v>
          </cell>
          <cell r="C1816" t="str">
            <v>1. FC Heidenheim 1846</v>
          </cell>
          <cell r="D1816" t="str">
            <v>Alemania</v>
          </cell>
          <cell r="E1816" t="str">
            <v>CT</v>
          </cell>
          <cell r="F1816">
            <v>76</v>
          </cell>
          <cell r="G1816">
            <v>31</v>
          </cell>
        </row>
        <row r="1817">
          <cell r="A1817">
            <v>1816</v>
          </cell>
          <cell r="B1817" t="str">
            <v>Paul Tschernuth</v>
          </cell>
          <cell r="C1817" t="str">
            <v>1. FC Heidenheim 1846</v>
          </cell>
          <cell r="D1817" t="str">
            <v>Austria</v>
          </cell>
          <cell r="E1817" t="str">
            <v>PO</v>
          </cell>
          <cell r="F1817">
            <v>61</v>
          </cell>
          <cell r="G1817">
            <v>23</v>
          </cell>
        </row>
        <row r="1818">
          <cell r="A1818">
            <v>1817</v>
          </cell>
          <cell r="B1818" t="str">
            <v>Sirlord Conteh</v>
          </cell>
          <cell r="C1818" t="str">
            <v>1. FC Heidenheim 1846</v>
          </cell>
          <cell r="D1818" t="str">
            <v>Alemania</v>
          </cell>
          <cell r="E1818" t="str">
            <v>ED</v>
          </cell>
          <cell r="F1818">
            <v>70</v>
          </cell>
          <cell r="G1818">
            <v>29</v>
          </cell>
        </row>
        <row r="1819">
          <cell r="A1819">
            <v>1818</v>
          </cell>
          <cell r="B1819" t="str">
            <v>Stefan Schimmer</v>
          </cell>
          <cell r="C1819" t="str">
            <v>1. FC Heidenheim 1846</v>
          </cell>
          <cell r="D1819" t="str">
            <v>Alemania</v>
          </cell>
          <cell r="E1819" t="str">
            <v>DC</v>
          </cell>
          <cell r="F1819">
            <v>69</v>
          </cell>
          <cell r="G1819">
            <v>31</v>
          </cell>
        </row>
        <row r="1820">
          <cell r="A1820">
            <v>1819</v>
          </cell>
          <cell r="B1820" t="str">
            <v>Thomas Keller</v>
          </cell>
          <cell r="C1820" t="str">
            <v>1. FC Heidenheim 1846</v>
          </cell>
          <cell r="D1820" t="str">
            <v>Alemania</v>
          </cell>
          <cell r="E1820" t="str">
            <v>CT</v>
          </cell>
          <cell r="F1820">
            <v>68</v>
          </cell>
          <cell r="G1820">
            <v>26</v>
          </cell>
        </row>
        <row r="1821">
          <cell r="A1821">
            <v>1820</v>
          </cell>
          <cell r="B1821" t="str">
            <v>Tim Siersleben</v>
          </cell>
          <cell r="C1821" t="str">
            <v>1. FC Heidenheim 1846</v>
          </cell>
          <cell r="D1821" t="str">
            <v>Alemania</v>
          </cell>
          <cell r="E1821" t="str">
            <v>CT</v>
          </cell>
          <cell r="F1821">
            <v>71</v>
          </cell>
          <cell r="G1821">
            <v>25</v>
          </cell>
        </row>
        <row r="1822">
          <cell r="A1822">
            <v>1821</v>
          </cell>
          <cell r="B1822" t="str">
            <v>Oliver Baumann</v>
          </cell>
          <cell r="C1822" t="str">
            <v>TSG 1899 Hoffenheim</v>
          </cell>
          <cell r="D1822" t="str">
            <v>Alemania</v>
          </cell>
          <cell r="E1822" t="str">
            <v>PO</v>
          </cell>
          <cell r="F1822">
            <v>82</v>
          </cell>
          <cell r="G1822">
            <v>35</v>
          </cell>
        </row>
        <row r="1823">
          <cell r="A1823">
            <v>1822</v>
          </cell>
          <cell r="B1823" t="str">
            <v>Adam Hlozek</v>
          </cell>
          <cell r="C1823" t="str">
            <v>TSG 1899 Hoffenheim</v>
          </cell>
          <cell r="D1823" t="str">
            <v>República Checa</v>
          </cell>
          <cell r="E1823" t="str">
            <v>DC</v>
          </cell>
          <cell r="F1823">
            <v>76</v>
          </cell>
          <cell r="G1823">
            <v>23</v>
          </cell>
        </row>
        <row r="1824">
          <cell r="A1824">
            <v>1823</v>
          </cell>
          <cell r="B1824" t="str">
            <v>Albian Hajdari</v>
          </cell>
          <cell r="C1824" t="str">
            <v>TSG 1899 Hoffenheim</v>
          </cell>
          <cell r="D1824" t="str">
            <v>Kosovo</v>
          </cell>
          <cell r="E1824" t="str">
            <v>CT</v>
          </cell>
          <cell r="F1824">
            <v>70</v>
          </cell>
          <cell r="G1824">
            <v>22</v>
          </cell>
        </row>
        <row r="1825">
          <cell r="A1825">
            <v>1824</v>
          </cell>
          <cell r="B1825" t="str">
            <v>Alexander Prass</v>
          </cell>
          <cell r="C1825" t="str">
            <v>TSG 1899 Hoffenheim</v>
          </cell>
          <cell r="D1825" t="str">
            <v>Austria</v>
          </cell>
          <cell r="E1825" t="str">
            <v>EI</v>
          </cell>
          <cell r="F1825">
            <v>74</v>
          </cell>
          <cell r="G1825">
            <v>24</v>
          </cell>
        </row>
        <row r="1826">
          <cell r="A1826">
            <v>1825</v>
          </cell>
          <cell r="B1826" t="str">
            <v>Andrej Kramaric</v>
          </cell>
          <cell r="C1826" t="str">
            <v>TSG 1899 Hoffenheim</v>
          </cell>
          <cell r="D1826" t="str">
            <v>Croacia</v>
          </cell>
          <cell r="E1826" t="str">
            <v>MO</v>
          </cell>
          <cell r="F1826">
            <v>79</v>
          </cell>
          <cell r="G1826">
            <v>34</v>
          </cell>
        </row>
        <row r="1827">
          <cell r="A1827">
            <v>1826</v>
          </cell>
          <cell r="B1827" t="str">
            <v>Arthur Chaves</v>
          </cell>
          <cell r="C1827" t="str">
            <v>TSG 1899 Hoffenheim</v>
          </cell>
          <cell r="D1827" t="str">
            <v>Brasil</v>
          </cell>
          <cell r="E1827" t="str">
            <v>CT</v>
          </cell>
          <cell r="F1827">
            <v>72</v>
          </cell>
          <cell r="G1827">
            <v>24</v>
          </cell>
        </row>
        <row r="1828">
          <cell r="A1828">
            <v>1827</v>
          </cell>
          <cell r="B1828" t="str">
            <v>Bazoumana Touré</v>
          </cell>
          <cell r="C1828" t="str">
            <v>TSG 1899 Hoffenheim</v>
          </cell>
          <cell r="D1828" t="str">
            <v>Costa de Marfil</v>
          </cell>
          <cell r="E1828" t="str">
            <v>EI</v>
          </cell>
          <cell r="F1828">
            <v>60</v>
          </cell>
          <cell r="G1828">
            <v>19</v>
          </cell>
        </row>
        <row r="1829">
          <cell r="A1829">
            <v>1828</v>
          </cell>
          <cell r="B1829" t="str">
            <v>Bernardo Fernandes</v>
          </cell>
          <cell r="C1829" t="str">
            <v>TSG 1899 Hoffenheim</v>
          </cell>
          <cell r="D1829" t="str">
            <v>Brasil</v>
          </cell>
          <cell r="E1829" t="str">
            <v>LI</v>
          </cell>
          <cell r="F1829">
            <v>75</v>
          </cell>
          <cell r="G1829">
            <v>30</v>
          </cell>
        </row>
        <row r="1830">
          <cell r="A1830">
            <v>1829</v>
          </cell>
          <cell r="B1830" t="str">
            <v>Dennis Geiger</v>
          </cell>
          <cell r="C1830" t="str">
            <v>TSG 1899 Hoffenheim</v>
          </cell>
          <cell r="D1830" t="str">
            <v>Alemania</v>
          </cell>
          <cell r="E1830" t="str">
            <v>MC</v>
          </cell>
          <cell r="F1830">
            <v>75</v>
          </cell>
          <cell r="G1830">
            <v>27</v>
          </cell>
        </row>
        <row r="1831">
          <cell r="A1831">
            <v>1830</v>
          </cell>
          <cell r="B1831" t="str">
            <v>Grischa Prömel</v>
          </cell>
          <cell r="C1831" t="str">
            <v>TSG 1899 Hoffenheim</v>
          </cell>
          <cell r="D1831" t="str">
            <v>Alemania</v>
          </cell>
          <cell r="E1831" t="str">
            <v>MC</v>
          </cell>
          <cell r="F1831">
            <v>76</v>
          </cell>
          <cell r="G1831">
            <v>30</v>
          </cell>
        </row>
        <row r="1832">
          <cell r="A1832">
            <v>1831</v>
          </cell>
          <cell r="B1832" t="str">
            <v>Ihlas Bebou</v>
          </cell>
          <cell r="C1832" t="str">
            <v>TSG 1899 Hoffenheim</v>
          </cell>
          <cell r="D1832" t="str">
            <v>Togo</v>
          </cell>
          <cell r="E1832" t="str">
            <v>DC</v>
          </cell>
          <cell r="F1832">
            <v>76</v>
          </cell>
          <cell r="G1832">
            <v>31</v>
          </cell>
        </row>
        <row r="1833">
          <cell r="A1833">
            <v>1832</v>
          </cell>
          <cell r="B1833" t="str">
            <v>Kevin Akpoguma</v>
          </cell>
          <cell r="C1833" t="str">
            <v>TSG 1899 Hoffenheim</v>
          </cell>
          <cell r="D1833" t="str">
            <v>Nigeria</v>
          </cell>
          <cell r="E1833" t="str">
            <v>CT</v>
          </cell>
          <cell r="F1833">
            <v>75</v>
          </cell>
          <cell r="G1833">
            <v>30</v>
          </cell>
        </row>
        <row r="1834">
          <cell r="A1834">
            <v>1833</v>
          </cell>
          <cell r="B1834" t="str">
            <v>Koki Machida</v>
          </cell>
          <cell r="C1834" t="str">
            <v>TSG 1899 Hoffenheim</v>
          </cell>
          <cell r="D1834" t="str">
            <v>Japón</v>
          </cell>
          <cell r="E1834" t="str">
            <v>CT</v>
          </cell>
          <cell r="F1834">
            <v>74</v>
          </cell>
          <cell r="G1834">
            <v>28</v>
          </cell>
        </row>
        <row r="1835">
          <cell r="A1835">
            <v>1834</v>
          </cell>
          <cell r="B1835" t="str">
            <v>Leon Avdullahu</v>
          </cell>
          <cell r="C1835" t="str">
            <v>TSG 1899 Hoffenheim</v>
          </cell>
          <cell r="D1835" t="str">
            <v>Kosovo</v>
          </cell>
          <cell r="E1835" t="str">
            <v>MCD</v>
          </cell>
          <cell r="F1835">
            <v>67</v>
          </cell>
          <cell r="G1835">
            <v>21</v>
          </cell>
        </row>
        <row r="1836">
          <cell r="A1836">
            <v>1835</v>
          </cell>
          <cell r="B1836" t="str">
            <v>Luca Philipp</v>
          </cell>
          <cell r="C1836" t="str">
            <v>TSG 1899 Hoffenheim</v>
          </cell>
          <cell r="D1836" t="str">
            <v>Alemania</v>
          </cell>
          <cell r="E1836" t="str">
            <v>PO</v>
          </cell>
          <cell r="F1836">
            <v>65</v>
          </cell>
          <cell r="G1836">
            <v>25</v>
          </cell>
        </row>
        <row r="1837">
          <cell r="A1837">
            <v>1836</v>
          </cell>
          <cell r="B1837" t="str">
            <v>Lúkas Petersson</v>
          </cell>
          <cell r="C1837" t="str">
            <v>TSG 1899 Hoffenheim</v>
          </cell>
          <cell r="D1837" t="str">
            <v>Islandia</v>
          </cell>
          <cell r="E1837" t="str">
            <v>PO</v>
          </cell>
          <cell r="F1837">
            <v>59</v>
          </cell>
          <cell r="G1837">
            <v>21</v>
          </cell>
        </row>
        <row r="1838">
          <cell r="A1838">
            <v>1837</v>
          </cell>
          <cell r="B1838" t="str">
            <v>Max Moerstedt</v>
          </cell>
          <cell r="C1838" t="str">
            <v>TSG 1899 Hoffenheim</v>
          </cell>
          <cell r="D1838" t="str">
            <v>Alemania</v>
          </cell>
          <cell r="E1838" t="str">
            <v>DC</v>
          </cell>
          <cell r="F1838">
            <v>61</v>
          </cell>
          <cell r="G1838">
            <v>19</v>
          </cell>
        </row>
        <row r="1839">
          <cell r="A1839">
            <v>1838</v>
          </cell>
          <cell r="B1839" t="str">
            <v>Mergim Berisha</v>
          </cell>
          <cell r="C1839" t="str">
            <v>TSG 1899 Hoffenheim</v>
          </cell>
          <cell r="D1839" t="str">
            <v>Alemania</v>
          </cell>
          <cell r="E1839" t="str">
            <v>DC</v>
          </cell>
          <cell r="F1839">
            <v>76</v>
          </cell>
          <cell r="G1839">
            <v>27</v>
          </cell>
        </row>
        <row r="1840">
          <cell r="A1840">
            <v>1839</v>
          </cell>
          <cell r="B1840" t="str">
            <v>Ozan Kabak</v>
          </cell>
          <cell r="C1840" t="str">
            <v>TSG 1899 Hoffenheim</v>
          </cell>
          <cell r="D1840" t="str">
            <v>Turquía</v>
          </cell>
          <cell r="E1840" t="str">
            <v>CT</v>
          </cell>
          <cell r="F1840">
            <v>76</v>
          </cell>
          <cell r="G1840">
            <v>25</v>
          </cell>
        </row>
        <row r="1841">
          <cell r="A1841">
            <v>1840</v>
          </cell>
          <cell r="B1841" t="str">
            <v>Robin Hranac</v>
          </cell>
          <cell r="C1841" t="str">
            <v>TSG 1899 Hoffenheim</v>
          </cell>
          <cell r="D1841" t="str">
            <v>República Checa</v>
          </cell>
          <cell r="E1841" t="str">
            <v>CT</v>
          </cell>
          <cell r="F1841">
            <v>73</v>
          </cell>
          <cell r="G1841">
            <v>25</v>
          </cell>
        </row>
        <row r="1842">
          <cell r="A1842">
            <v>1841</v>
          </cell>
          <cell r="B1842" t="str">
            <v>Tim Lemperle</v>
          </cell>
          <cell r="C1842" t="str">
            <v>TSG 1899 Hoffenheim</v>
          </cell>
          <cell r="D1842" t="str">
            <v>Alemania</v>
          </cell>
          <cell r="E1842" t="str">
            <v>DC</v>
          </cell>
          <cell r="F1842">
            <v>63</v>
          </cell>
          <cell r="G1842">
            <v>23</v>
          </cell>
        </row>
        <row r="1843">
          <cell r="A1843">
            <v>1842</v>
          </cell>
          <cell r="B1843" t="str">
            <v>Umut Tohumcu</v>
          </cell>
          <cell r="C1843" t="str">
            <v>TSG 1899 Hoffenheim</v>
          </cell>
          <cell r="D1843" t="str">
            <v>Alemania</v>
          </cell>
          <cell r="E1843" t="str">
            <v>MC</v>
          </cell>
          <cell r="F1843">
            <v>70</v>
          </cell>
          <cell r="G1843">
            <v>21</v>
          </cell>
        </row>
        <row r="1844">
          <cell r="A1844">
            <v>1843</v>
          </cell>
          <cell r="B1844" t="str">
            <v>Valentin Gendrey</v>
          </cell>
          <cell r="C1844" t="str">
            <v>TSG 1899 Hoffenheim</v>
          </cell>
          <cell r="D1844" t="str">
            <v>Francia</v>
          </cell>
          <cell r="E1844" t="str">
            <v>LD</v>
          </cell>
          <cell r="F1844">
            <v>73</v>
          </cell>
          <cell r="G1844">
            <v>25</v>
          </cell>
        </row>
        <row r="1845">
          <cell r="A1845">
            <v>1844</v>
          </cell>
          <cell r="B1845" t="str">
            <v>Vladimír Coufal</v>
          </cell>
          <cell r="C1845" t="str">
            <v>TSG 1899 Hoffenheim</v>
          </cell>
          <cell r="D1845" t="str">
            <v>República Checa</v>
          </cell>
          <cell r="E1845" t="str">
            <v>LD</v>
          </cell>
          <cell r="F1845">
            <v>78</v>
          </cell>
          <cell r="G1845">
            <v>33</v>
          </cell>
        </row>
        <row r="1846">
          <cell r="A1846">
            <v>1845</v>
          </cell>
          <cell r="B1846" t="str">
            <v>Wouter Burger</v>
          </cell>
          <cell r="C1846" t="str">
            <v>TSG 1899 Hoffenheim</v>
          </cell>
          <cell r="D1846" t="str">
            <v>Países Bajos</v>
          </cell>
          <cell r="E1846" t="str">
            <v>MCD</v>
          </cell>
          <cell r="F1846">
            <v>76</v>
          </cell>
          <cell r="G1846">
            <v>24</v>
          </cell>
        </row>
        <row r="1847">
          <cell r="A1847">
            <v>1846</v>
          </cell>
          <cell r="B1847" t="str">
            <v>Jonas Krumrey</v>
          </cell>
          <cell r="C1847" t="str">
            <v>Holstein Kiel</v>
          </cell>
          <cell r="D1847" t="str">
            <v>Alemania</v>
          </cell>
          <cell r="E1847" t="str">
            <v>PO</v>
          </cell>
          <cell r="F1847">
            <v>60</v>
          </cell>
          <cell r="G1847">
            <v>22</v>
          </cell>
        </row>
        <row r="1848">
          <cell r="A1848">
            <v>1847</v>
          </cell>
          <cell r="B1848" t="str">
            <v>Timon Weiner</v>
          </cell>
          <cell r="C1848" t="str">
            <v>Holstein Kiel</v>
          </cell>
          <cell r="D1848" t="str">
            <v>Alemania</v>
          </cell>
          <cell r="E1848" t="str">
            <v>PO</v>
          </cell>
          <cell r="F1848">
            <v>72</v>
          </cell>
          <cell r="G1848">
            <v>26</v>
          </cell>
        </row>
        <row r="1849">
          <cell r="A1849">
            <v>1848</v>
          </cell>
          <cell r="B1849" t="str">
            <v>Marcel Engelhardt</v>
          </cell>
          <cell r="C1849" t="str">
            <v>Holstein Kiel</v>
          </cell>
          <cell r="D1849" t="str">
            <v>Alemania</v>
          </cell>
          <cell r="E1849" t="str">
            <v>PO</v>
          </cell>
          <cell r="F1849">
            <v>65</v>
          </cell>
          <cell r="G1849">
            <v>32</v>
          </cell>
        </row>
        <row r="1850">
          <cell r="A1850">
            <v>1849</v>
          </cell>
          <cell r="B1850" t="str">
            <v>David Zec</v>
          </cell>
          <cell r="C1850" t="str">
            <v>Holstein Kiel</v>
          </cell>
          <cell r="D1850" t="str">
            <v>Eslovenia</v>
          </cell>
          <cell r="E1850" t="str">
            <v>CT</v>
          </cell>
          <cell r="F1850">
            <v>70</v>
          </cell>
          <cell r="G1850">
            <v>25</v>
          </cell>
        </row>
        <row r="1851">
          <cell r="A1851">
            <v>1850</v>
          </cell>
          <cell r="B1851" t="str">
            <v>Marko Ivezic</v>
          </cell>
          <cell r="C1851" t="str">
            <v>Holstein Kiel</v>
          </cell>
          <cell r="D1851" t="str">
            <v>Serbia</v>
          </cell>
          <cell r="E1851" t="str">
            <v>CT</v>
          </cell>
          <cell r="F1851">
            <v>71</v>
          </cell>
          <cell r="G1851">
            <v>24</v>
          </cell>
        </row>
        <row r="1852">
          <cell r="A1852">
            <v>1851</v>
          </cell>
          <cell r="B1852" t="str">
            <v>Marco Komenda</v>
          </cell>
          <cell r="C1852" t="str">
            <v>Holstein Kiel</v>
          </cell>
          <cell r="D1852" t="str">
            <v>Alemania</v>
          </cell>
          <cell r="E1852" t="str">
            <v>CT</v>
          </cell>
          <cell r="F1852">
            <v>71</v>
          </cell>
          <cell r="G1852">
            <v>29</v>
          </cell>
        </row>
        <row r="1853">
          <cell r="A1853">
            <v>1852</v>
          </cell>
          <cell r="B1853" t="str">
            <v>Ivan Nekic</v>
          </cell>
          <cell r="C1853" t="str">
            <v>Holstein Kiel</v>
          </cell>
          <cell r="D1853" t="str">
            <v>Croacia</v>
          </cell>
          <cell r="E1853" t="str">
            <v>CT</v>
          </cell>
          <cell r="F1853">
            <v>66</v>
          </cell>
          <cell r="G1853">
            <v>25</v>
          </cell>
        </row>
        <row r="1854">
          <cell r="A1854">
            <v>1853</v>
          </cell>
          <cell r="B1854" t="str">
            <v>Carl Johansson</v>
          </cell>
          <cell r="C1854" t="str">
            <v>Holstein Kiel</v>
          </cell>
          <cell r="D1854" t="str">
            <v>Suecia</v>
          </cell>
          <cell r="E1854" t="str">
            <v>CT</v>
          </cell>
          <cell r="F1854">
            <v>71</v>
          </cell>
          <cell r="G1854">
            <v>31</v>
          </cell>
        </row>
        <row r="1855">
          <cell r="A1855">
            <v>1854</v>
          </cell>
          <cell r="B1855" t="str">
            <v>Patrick Erras</v>
          </cell>
          <cell r="C1855" t="str">
            <v>Holstein Kiel</v>
          </cell>
          <cell r="D1855" t="str">
            <v>Alemania</v>
          </cell>
          <cell r="E1855" t="str">
            <v>CT</v>
          </cell>
          <cell r="F1855">
            <v>76</v>
          </cell>
          <cell r="G1855">
            <v>30</v>
          </cell>
        </row>
        <row r="1856">
          <cell r="A1856">
            <v>1855</v>
          </cell>
          <cell r="B1856" t="str">
            <v>John Tolkin</v>
          </cell>
          <cell r="C1856" t="str">
            <v>Holstein Kiel</v>
          </cell>
          <cell r="D1856" t="str">
            <v>Estados Unidos</v>
          </cell>
          <cell r="E1856" t="str">
            <v>LI</v>
          </cell>
          <cell r="F1856">
            <v>71</v>
          </cell>
          <cell r="G1856">
            <v>23</v>
          </cell>
        </row>
        <row r="1857">
          <cell r="A1857">
            <v>1856</v>
          </cell>
          <cell r="B1857" t="str">
            <v>Lasse Rosenboom</v>
          </cell>
          <cell r="C1857" t="str">
            <v>Holstein Kiel</v>
          </cell>
          <cell r="D1857" t="str">
            <v>Alemania</v>
          </cell>
          <cell r="E1857" t="str">
            <v>LD</v>
          </cell>
          <cell r="F1857">
            <v>69</v>
          </cell>
          <cell r="G1857">
            <v>23</v>
          </cell>
        </row>
        <row r="1858">
          <cell r="A1858">
            <v>1857</v>
          </cell>
          <cell r="B1858" t="str">
            <v>Kasper Davidsen</v>
          </cell>
          <cell r="C1858" t="str">
            <v>Holstein Kiel</v>
          </cell>
          <cell r="D1858" t="str">
            <v>Dinamarca</v>
          </cell>
          <cell r="E1858" t="str">
            <v>MCD</v>
          </cell>
          <cell r="F1858">
            <v>59</v>
          </cell>
          <cell r="G1858">
            <v>20</v>
          </cell>
        </row>
        <row r="1859">
          <cell r="A1859">
            <v>1858</v>
          </cell>
          <cell r="B1859" t="str">
            <v>Stefan Schwab</v>
          </cell>
          <cell r="C1859" t="str">
            <v>Holstein Kiel</v>
          </cell>
          <cell r="D1859" t="str">
            <v>Austria</v>
          </cell>
          <cell r="E1859" t="str">
            <v>MC</v>
          </cell>
          <cell r="F1859">
            <v>73</v>
          </cell>
          <cell r="G1859">
            <v>35</v>
          </cell>
        </row>
        <row r="1860">
          <cell r="A1860">
            <v>1859</v>
          </cell>
          <cell r="B1860" t="str">
            <v>Andu Kelati</v>
          </cell>
          <cell r="C1860" t="str">
            <v>Holstein Kiel</v>
          </cell>
          <cell r="D1860" t="str">
            <v>Alemania</v>
          </cell>
          <cell r="E1860" t="str">
            <v>EI</v>
          </cell>
          <cell r="F1860">
            <v>66</v>
          </cell>
          <cell r="G1860">
            <v>23</v>
          </cell>
        </row>
        <row r="1861">
          <cell r="A1861">
            <v>1860</v>
          </cell>
          <cell r="B1861" t="str">
            <v>A. Bernhardsson</v>
          </cell>
          <cell r="C1861" t="str">
            <v>Holstein Kiel</v>
          </cell>
          <cell r="D1861" t="str">
            <v>Suecia</v>
          </cell>
          <cell r="E1861" t="str">
            <v>ED</v>
          </cell>
          <cell r="F1861">
            <v>69</v>
          </cell>
          <cell r="G1861">
            <v>27</v>
          </cell>
        </row>
        <row r="1862">
          <cell r="A1862">
            <v>1861</v>
          </cell>
          <cell r="B1862" t="str">
            <v>Phil Harres</v>
          </cell>
          <cell r="C1862" t="str">
            <v>Holstein Kiel</v>
          </cell>
          <cell r="D1862" t="str">
            <v>Alemania</v>
          </cell>
          <cell r="E1862" t="str">
            <v>DC</v>
          </cell>
          <cell r="F1862">
            <v>63</v>
          </cell>
          <cell r="G1862">
            <v>23</v>
          </cell>
        </row>
        <row r="1863">
          <cell r="A1863">
            <v>1862</v>
          </cell>
          <cell r="B1863" t="str">
            <v>Steven Skrzybski</v>
          </cell>
          <cell r="C1863" t="str">
            <v>Holstein Kiel</v>
          </cell>
          <cell r="D1863" t="str">
            <v>Alemania</v>
          </cell>
          <cell r="E1863" t="str">
            <v>DC</v>
          </cell>
          <cell r="F1863">
            <v>74</v>
          </cell>
          <cell r="G1863">
            <v>33</v>
          </cell>
        </row>
        <row r="1864">
          <cell r="A1864">
            <v>1863</v>
          </cell>
          <cell r="B1864" t="str">
            <v>Magnus Knudsen</v>
          </cell>
          <cell r="C1864" t="str">
            <v>Holstein Kiel</v>
          </cell>
          <cell r="D1864" t="str">
            <v>Noruega</v>
          </cell>
          <cell r="E1864" t="str">
            <v>MC</v>
          </cell>
          <cell r="F1864">
            <v>68</v>
          </cell>
          <cell r="G1864">
            <v>24</v>
          </cell>
        </row>
        <row r="1865">
          <cell r="A1865">
            <v>1864</v>
          </cell>
          <cell r="B1865" t="str">
            <v>Robert Wagner</v>
          </cell>
          <cell r="C1865" t="str">
            <v>Holstein Kiel</v>
          </cell>
          <cell r="D1865" t="str">
            <v>Alemania</v>
          </cell>
          <cell r="E1865" t="str">
            <v>MC</v>
          </cell>
          <cell r="F1865">
            <v>70</v>
          </cell>
          <cell r="G1865">
            <v>22</v>
          </cell>
        </row>
        <row r="1866">
          <cell r="A1866">
            <v>1865</v>
          </cell>
          <cell r="B1866" t="str">
            <v>A. Hanche-Olsen</v>
          </cell>
          <cell r="C1866" t="str">
            <v>1. FSV Mainz 05</v>
          </cell>
          <cell r="D1866" t="str">
            <v>Noruega</v>
          </cell>
          <cell r="E1866" t="str">
            <v>CT</v>
          </cell>
          <cell r="F1866">
            <v>76</v>
          </cell>
          <cell r="G1866">
            <v>28</v>
          </cell>
        </row>
        <row r="1867">
          <cell r="A1867">
            <v>1866</v>
          </cell>
          <cell r="B1867" t="str">
            <v>Anthony Caci</v>
          </cell>
          <cell r="C1867" t="str">
            <v>1. FSV Mainz 05</v>
          </cell>
          <cell r="D1867" t="str">
            <v>Francia</v>
          </cell>
          <cell r="E1867" t="str">
            <v>LD</v>
          </cell>
          <cell r="F1867">
            <v>75</v>
          </cell>
          <cell r="G1867">
            <v>28</v>
          </cell>
        </row>
        <row r="1868">
          <cell r="A1868">
            <v>1867</v>
          </cell>
          <cell r="B1868" t="str">
            <v>Armindo Sieb</v>
          </cell>
          <cell r="C1868" t="str">
            <v>1. FSV Mainz 05</v>
          </cell>
          <cell r="D1868" t="str">
            <v>Alemania</v>
          </cell>
          <cell r="E1868" t="str">
            <v>SD</v>
          </cell>
          <cell r="F1868">
            <v>70</v>
          </cell>
          <cell r="G1868">
            <v>22</v>
          </cell>
        </row>
        <row r="1869">
          <cell r="A1869">
            <v>1868</v>
          </cell>
          <cell r="B1869" t="str">
            <v>Arnaud Nordin</v>
          </cell>
          <cell r="C1869" t="str">
            <v>1. FSV Mainz 05</v>
          </cell>
          <cell r="D1869" t="str">
            <v>Francia</v>
          </cell>
          <cell r="E1869" t="str">
            <v>ED</v>
          </cell>
          <cell r="F1869">
            <v>74</v>
          </cell>
          <cell r="G1869">
            <v>27</v>
          </cell>
        </row>
        <row r="1870">
          <cell r="A1870">
            <v>1869</v>
          </cell>
          <cell r="B1870" t="str">
            <v>Benedict Hollerbach</v>
          </cell>
          <cell r="C1870" t="str">
            <v>1. FSV Mainz 05</v>
          </cell>
          <cell r="D1870" t="str">
            <v>Alemania</v>
          </cell>
          <cell r="E1870" t="str">
            <v>DC</v>
          </cell>
          <cell r="F1870">
            <v>73</v>
          </cell>
          <cell r="G1870">
            <v>24</v>
          </cell>
        </row>
        <row r="1871">
          <cell r="A1871">
            <v>1870</v>
          </cell>
          <cell r="B1871" t="str">
            <v>Daniel Batz</v>
          </cell>
          <cell r="C1871" t="str">
            <v>1. FSV Mainz 05</v>
          </cell>
          <cell r="D1871" t="str">
            <v>Alemania</v>
          </cell>
          <cell r="E1871" t="str">
            <v>PO</v>
          </cell>
          <cell r="F1871">
            <v>71</v>
          </cell>
          <cell r="G1871">
            <v>34</v>
          </cell>
        </row>
        <row r="1872">
          <cell r="A1872">
            <v>1871</v>
          </cell>
          <cell r="B1872" t="str">
            <v>Danny da Costa</v>
          </cell>
          <cell r="C1872" t="str">
            <v>1. FSV Mainz 05</v>
          </cell>
          <cell r="D1872" t="str">
            <v>Alemania</v>
          </cell>
          <cell r="E1872" t="str">
            <v>CT</v>
          </cell>
          <cell r="F1872">
            <v>73</v>
          </cell>
          <cell r="G1872">
            <v>32</v>
          </cell>
        </row>
        <row r="1873">
          <cell r="A1873">
            <v>1872</v>
          </cell>
          <cell r="B1873" t="str">
            <v>Dominik Kohr</v>
          </cell>
          <cell r="C1873" t="str">
            <v>1. FSV Mainz 05</v>
          </cell>
          <cell r="D1873" t="str">
            <v>Alemania</v>
          </cell>
          <cell r="E1873" t="str">
            <v>CT</v>
          </cell>
          <cell r="F1873">
            <v>76</v>
          </cell>
          <cell r="G1873">
            <v>31</v>
          </cell>
        </row>
        <row r="1874">
          <cell r="A1874">
            <v>1873</v>
          </cell>
          <cell r="B1874" t="str">
            <v>Jae-sung Lee</v>
          </cell>
          <cell r="C1874" t="str">
            <v>1. FSV Mainz 05</v>
          </cell>
          <cell r="D1874" t="str">
            <v>Corea del Sur</v>
          </cell>
          <cell r="E1874" t="str">
            <v>MO</v>
          </cell>
          <cell r="F1874">
            <v>60</v>
          </cell>
          <cell r="G1874">
            <v>33</v>
          </cell>
        </row>
        <row r="1875">
          <cell r="A1875">
            <v>1874</v>
          </cell>
          <cell r="B1875" t="str">
            <v>Kaishu Sano</v>
          </cell>
          <cell r="C1875" t="str">
            <v>1. FSV Mainz 05</v>
          </cell>
          <cell r="D1875" t="str">
            <v>Japón</v>
          </cell>
          <cell r="E1875" t="str">
            <v>MCD</v>
          </cell>
          <cell r="F1875">
            <v>69</v>
          </cell>
          <cell r="G1875">
            <v>25</v>
          </cell>
        </row>
        <row r="1876">
          <cell r="A1876">
            <v>1875</v>
          </cell>
          <cell r="B1876" t="str">
            <v>Lasse Rieß</v>
          </cell>
          <cell r="C1876" t="str">
            <v>1. FSV Mainz 05</v>
          </cell>
          <cell r="D1876" t="str">
            <v>Alemania</v>
          </cell>
          <cell r="E1876" t="str">
            <v>PO</v>
          </cell>
          <cell r="F1876">
            <v>63</v>
          </cell>
          <cell r="G1876">
            <v>24</v>
          </cell>
        </row>
        <row r="1877">
          <cell r="A1877">
            <v>1876</v>
          </cell>
          <cell r="B1877" t="str">
            <v>Lennard Maloney</v>
          </cell>
          <cell r="C1877" t="str">
            <v>1. FSV Mainz 05</v>
          </cell>
          <cell r="D1877" t="str">
            <v>Estados Unidos</v>
          </cell>
          <cell r="E1877" t="str">
            <v>MCD</v>
          </cell>
          <cell r="F1877">
            <v>73</v>
          </cell>
          <cell r="G1877">
            <v>26</v>
          </cell>
        </row>
        <row r="1878">
          <cell r="A1878">
            <v>1877</v>
          </cell>
          <cell r="B1878" t="str">
            <v>Maxim Dal</v>
          </cell>
          <cell r="C1878" t="str">
            <v>1. FSV Mainz 05</v>
          </cell>
          <cell r="D1878" t="str">
            <v>Alemania</v>
          </cell>
          <cell r="E1878" t="str">
            <v>CT</v>
          </cell>
          <cell r="F1878">
            <v>62</v>
          </cell>
          <cell r="G1878">
            <v>19</v>
          </cell>
        </row>
        <row r="1879">
          <cell r="A1879">
            <v>1878</v>
          </cell>
          <cell r="B1879" t="str">
            <v>Maxim Leitsch</v>
          </cell>
          <cell r="C1879" t="str">
            <v>1. FSV Mainz 05</v>
          </cell>
          <cell r="D1879" t="str">
            <v>Alemania</v>
          </cell>
          <cell r="E1879" t="str">
            <v>CT</v>
          </cell>
          <cell r="F1879">
            <v>72</v>
          </cell>
          <cell r="G1879">
            <v>27</v>
          </cell>
        </row>
        <row r="1880">
          <cell r="A1880">
            <v>1879</v>
          </cell>
          <cell r="B1880" t="str">
            <v>Nadiem Amiri</v>
          </cell>
          <cell r="C1880" t="str">
            <v>1. FSV Mainz 05</v>
          </cell>
          <cell r="D1880" t="str">
            <v>Alemania</v>
          </cell>
          <cell r="E1880" t="str">
            <v>MC</v>
          </cell>
          <cell r="F1880">
            <v>78</v>
          </cell>
          <cell r="G1880">
            <v>29</v>
          </cell>
        </row>
        <row r="1881">
          <cell r="A1881">
            <v>1880</v>
          </cell>
          <cell r="B1881" t="str">
            <v>Nelson Weiper</v>
          </cell>
          <cell r="C1881" t="str">
            <v>1. FSV Mainz 05</v>
          </cell>
          <cell r="D1881" t="str">
            <v>Alemania</v>
          </cell>
          <cell r="E1881" t="str">
            <v>DC</v>
          </cell>
          <cell r="F1881">
            <v>66</v>
          </cell>
          <cell r="G1881">
            <v>20</v>
          </cell>
        </row>
        <row r="1882">
          <cell r="A1882">
            <v>1881</v>
          </cell>
          <cell r="B1882" t="str">
            <v>Niklas Tauer</v>
          </cell>
          <cell r="C1882" t="str">
            <v>1. FSV Mainz 05</v>
          </cell>
          <cell r="D1882" t="str">
            <v>Alemania</v>
          </cell>
          <cell r="E1882" t="str">
            <v>MCD</v>
          </cell>
          <cell r="F1882">
            <v>57</v>
          </cell>
          <cell r="G1882">
            <v>24</v>
          </cell>
        </row>
        <row r="1883">
          <cell r="A1883">
            <v>1882</v>
          </cell>
          <cell r="B1883" t="str">
            <v>N. Veratschnig</v>
          </cell>
          <cell r="C1883" t="str">
            <v>1. FSV Mainz 05</v>
          </cell>
          <cell r="D1883" t="str">
            <v>Austria</v>
          </cell>
          <cell r="E1883" t="str">
            <v>ED</v>
          </cell>
          <cell r="F1883">
            <v>64</v>
          </cell>
          <cell r="G1883">
            <v>22</v>
          </cell>
        </row>
        <row r="1884">
          <cell r="A1884">
            <v>1883</v>
          </cell>
          <cell r="B1884" t="str">
            <v>Paul Nebel</v>
          </cell>
          <cell r="C1884" t="str">
            <v>1. FSV Mainz 05</v>
          </cell>
          <cell r="D1884" t="str">
            <v>Alemania</v>
          </cell>
          <cell r="E1884" t="str">
            <v>MO</v>
          </cell>
          <cell r="F1884">
            <v>71</v>
          </cell>
          <cell r="G1884">
            <v>23</v>
          </cell>
        </row>
        <row r="1885">
          <cell r="A1885">
            <v>1884</v>
          </cell>
          <cell r="B1885" t="str">
            <v>Phillipp Mwene</v>
          </cell>
          <cell r="C1885" t="str">
            <v>1. FSV Mainz 05</v>
          </cell>
          <cell r="D1885" t="str">
            <v>Austria</v>
          </cell>
          <cell r="E1885" t="str">
            <v>LI</v>
          </cell>
          <cell r="F1885">
            <v>75</v>
          </cell>
          <cell r="G1885">
            <v>31</v>
          </cell>
        </row>
        <row r="1886">
          <cell r="A1886">
            <v>1885</v>
          </cell>
          <cell r="B1886" t="str">
            <v>Robin Zentner</v>
          </cell>
          <cell r="C1886" t="str">
            <v>1. FSV Mainz 05</v>
          </cell>
          <cell r="D1886" t="str">
            <v>Alemania</v>
          </cell>
          <cell r="E1886" t="str">
            <v>PO</v>
          </cell>
          <cell r="F1886">
            <v>75</v>
          </cell>
          <cell r="G1886">
            <v>31</v>
          </cell>
        </row>
        <row r="1887">
          <cell r="A1887">
            <v>1886</v>
          </cell>
          <cell r="B1887" t="str">
            <v>Silvan Widmer</v>
          </cell>
          <cell r="C1887" t="str">
            <v>1. FSV Mainz 05</v>
          </cell>
          <cell r="D1887" t="str">
            <v>Suiza</v>
          </cell>
          <cell r="E1887" t="str">
            <v>LD</v>
          </cell>
          <cell r="F1887">
            <v>75</v>
          </cell>
          <cell r="G1887">
            <v>32</v>
          </cell>
        </row>
        <row r="1888">
          <cell r="A1888">
            <v>1887</v>
          </cell>
          <cell r="B1888" t="str">
            <v>Sota Kawasaki</v>
          </cell>
          <cell r="C1888" t="str">
            <v>1. FSV Mainz 05</v>
          </cell>
          <cell r="D1888" t="str">
            <v>Japón</v>
          </cell>
          <cell r="E1888" t="str">
            <v>MCD</v>
          </cell>
          <cell r="F1888">
            <v>72</v>
          </cell>
          <cell r="G1888">
            <v>24</v>
          </cell>
        </row>
        <row r="1889">
          <cell r="A1889">
            <v>1888</v>
          </cell>
          <cell r="B1889" t="str">
            <v>Stefan Bell</v>
          </cell>
          <cell r="C1889" t="str">
            <v>1. FSV Mainz 05</v>
          </cell>
          <cell r="D1889" t="str">
            <v>Alemania</v>
          </cell>
          <cell r="E1889" t="str">
            <v>CT</v>
          </cell>
          <cell r="F1889">
            <v>72</v>
          </cell>
          <cell r="G1889">
            <v>34</v>
          </cell>
        </row>
        <row r="1890">
          <cell r="A1890">
            <v>1889</v>
          </cell>
          <cell r="B1890" t="str">
            <v>William Bøving</v>
          </cell>
          <cell r="C1890" t="str">
            <v>1. FSV Mainz 05</v>
          </cell>
          <cell r="D1890" t="str">
            <v>Dinamarca</v>
          </cell>
          <cell r="E1890" t="str">
            <v>DC</v>
          </cell>
          <cell r="F1890">
            <v>70</v>
          </cell>
          <cell r="G1890">
            <v>22</v>
          </cell>
        </row>
        <row r="1891">
          <cell r="A1891">
            <v>1890</v>
          </cell>
          <cell r="B1891" t="str">
            <v>Amadou Haidara</v>
          </cell>
          <cell r="C1891" t="str">
            <v>RB Leipzig</v>
          </cell>
          <cell r="D1891" t="str">
            <v>Malí</v>
          </cell>
          <cell r="E1891" t="str">
            <v>MC</v>
          </cell>
          <cell r="F1891">
            <v>77</v>
          </cell>
          <cell r="G1891">
            <v>27</v>
          </cell>
        </row>
        <row r="1892">
          <cell r="A1892">
            <v>1891</v>
          </cell>
          <cell r="B1892" t="str">
            <v>Andrija Maksimovic</v>
          </cell>
          <cell r="C1892" t="str">
            <v>RB Leipzig</v>
          </cell>
          <cell r="D1892" t="str">
            <v>Serbia</v>
          </cell>
          <cell r="E1892" t="str">
            <v>MO</v>
          </cell>
          <cell r="F1892">
            <v>66</v>
          </cell>
          <cell r="G1892">
            <v>18</v>
          </cell>
        </row>
        <row r="1893">
          <cell r="A1893">
            <v>1892</v>
          </cell>
          <cell r="B1893" t="str">
            <v>Antonio Nusa</v>
          </cell>
          <cell r="C1893" t="str">
            <v>RB Leipzig</v>
          </cell>
          <cell r="D1893" t="str">
            <v>Noruega</v>
          </cell>
          <cell r="E1893" t="str">
            <v>EI</v>
          </cell>
          <cell r="F1893">
            <v>77</v>
          </cell>
          <cell r="G1893">
            <v>20</v>
          </cell>
        </row>
        <row r="1894">
          <cell r="A1894">
            <v>1893</v>
          </cell>
          <cell r="B1894" t="str">
            <v>Assan Ouédraogo</v>
          </cell>
          <cell r="C1894" t="str">
            <v>RB Leipzig</v>
          </cell>
          <cell r="D1894" t="str">
            <v>Alemania</v>
          </cell>
          <cell r="E1894" t="str">
            <v>MC</v>
          </cell>
          <cell r="F1894">
            <v>71</v>
          </cell>
          <cell r="G1894">
            <v>19</v>
          </cell>
        </row>
        <row r="1895">
          <cell r="A1895">
            <v>1894</v>
          </cell>
          <cell r="B1895" t="str">
            <v>Benjamin Henrichs</v>
          </cell>
          <cell r="C1895" t="str">
            <v>RB Leipzig</v>
          </cell>
          <cell r="D1895" t="str">
            <v>Alemania</v>
          </cell>
          <cell r="E1895" t="str">
            <v>LD</v>
          </cell>
          <cell r="F1895">
            <v>81</v>
          </cell>
          <cell r="G1895">
            <v>28</v>
          </cell>
        </row>
        <row r="1896">
          <cell r="A1896">
            <v>1895</v>
          </cell>
          <cell r="B1896" t="str">
            <v>Castello Lukeba</v>
          </cell>
          <cell r="C1896" t="str">
            <v>RB Leipzig</v>
          </cell>
          <cell r="D1896" t="str">
            <v>Francia</v>
          </cell>
          <cell r="E1896" t="str">
            <v>CT</v>
          </cell>
          <cell r="F1896">
            <v>81</v>
          </cell>
          <cell r="G1896">
            <v>23</v>
          </cell>
        </row>
        <row r="1897">
          <cell r="A1897">
            <v>1896</v>
          </cell>
          <cell r="B1897" t="str">
            <v>C. Baumgartner</v>
          </cell>
          <cell r="C1897" t="str">
            <v>RB Leipzig</v>
          </cell>
          <cell r="D1897" t="str">
            <v>Austria</v>
          </cell>
          <cell r="E1897" t="str">
            <v>MO</v>
          </cell>
          <cell r="F1897">
            <v>80</v>
          </cell>
          <cell r="G1897">
            <v>26</v>
          </cell>
        </row>
        <row r="1898">
          <cell r="A1898">
            <v>1897</v>
          </cell>
          <cell r="B1898" t="str">
            <v>Conrad Harder</v>
          </cell>
          <cell r="C1898" t="str">
            <v>RB Leipzig</v>
          </cell>
          <cell r="D1898" t="str">
            <v>Dinamarca</v>
          </cell>
          <cell r="E1898" t="str">
            <v>DC</v>
          </cell>
          <cell r="F1898">
            <v>71</v>
          </cell>
          <cell r="G1898">
            <v>20</v>
          </cell>
        </row>
        <row r="1899">
          <cell r="A1899">
            <v>1898</v>
          </cell>
          <cell r="B1899" t="str">
            <v>David Raum</v>
          </cell>
          <cell r="C1899" t="str">
            <v>RB Leipzig</v>
          </cell>
          <cell r="D1899" t="str">
            <v>Alemania</v>
          </cell>
          <cell r="E1899" t="str">
            <v>LI</v>
          </cell>
          <cell r="F1899">
            <v>81</v>
          </cell>
          <cell r="G1899">
            <v>27</v>
          </cell>
        </row>
        <row r="1900">
          <cell r="A1900">
            <v>1899</v>
          </cell>
          <cell r="B1900" t="str">
            <v>Bitshiabu</v>
          </cell>
          <cell r="C1900" t="str">
            <v>RB Leipzig</v>
          </cell>
          <cell r="D1900" t="str">
            <v>Francia</v>
          </cell>
          <cell r="E1900" t="str">
            <v>CT</v>
          </cell>
          <cell r="F1900">
            <v>71</v>
          </cell>
          <cell r="G1900">
            <v>20</v>
          </cell>
        </row>
        <row r="1901">
          <cell r="A1901">
            <v>1900</v>
          </cell>
          <cell r="B1901" t="str">
            <v>Ezechiel Banzuzi</v>
          </cell>
          <cell r="C1901" t="str">
            <v>RB Leipzig</v>
          </cell>
          <cell r="D1901" t="str">
            <v>Países Bajos</v>
          </cell>
          <cell r="E1901" t="str">
            <v>MC</v>
          </cell>
          <cell r="F1901">
            <v>70</v>
          </cell>
          <cell r="G1901">
            <v>20</v>
          </cell>
        </row>
        <row r="1902">
          <cell r="A1902">
            <v>1901</v>
          </cell>
          <cell r="B1902" t="str">
            <v>Johan Bakayoko</v>
          </cell>
          <cell r="C1902" t="str">
            <v>RB Leipzig</v>
          </cell>
          <cell r="D1902" t="str">
            <v>Bélgica</v>
          </cell>
          <cell r="E1902" t="str">
            <v>ED</v>
          </cell>
          <cell r="F1902">
            <v>79</v>
          </cell>
          <cell r="G1902">
            <v>22</v>
          </cell>
        </row>
        <row r="1903">
          <cell r="A1903">
            <v>1902</v>
          </cell>
          <cell r="B1903" t="str">
            <v>Kevin Kampl</v>
          </cell>
          <cell r="C1903" t="str">
            <v>RB Leipzig</v>
          </cell>
          <cell r="D1903" t="str">
            <v>Eslovenia</v>
          </cell>
          <cell r="E1903" t="str">
            <v>MC</v>
          </cell>
          <cell r="F1903">
            <v>79</v>
          </cell>
          <cell r="G1903">
            <v>35</v>
          </cell>
        </row>
        <row r="1904">
          <cell r="A1904">
            <v>1903</v>
          </cell>
          <cell r="B1904" t="str">
            <v>Kosta Nedeljkovic</v>
          </cell>
          <cell r="C1904" t="str">
            <v>RB Leipzig</v>
          </cell>
          <cell r="D1904" t="str">
            <v>Serbia</v>
          </cell>
          <cell r="E1904" t="str">
            <v>LD</v>
          </cell>
          <cell r="F1904">
            <v>68</v>
          </cell>
          <cell r="G1904">
            <v>20</v>
          </cell>
        </row>
        <row r="1905">
          <cell r="A1905">
            <v>1904</v>
          </cell>
          <cell r="B1905" t="str">
            <v>Leopold Zingerle</v>
          </cell>
          <cell r="C1905" t="str">
            <v>RB Leipzig</v>
          </cell>
          <cell r="D1905" t="str">
            <v>Alemania</v>
          </cell>
          <cell r="E1905" t="str">
            <v>PO</v>
          </cell>
          <cell r="F1905">
            <v>69</v>
          </cell>
          <cell r="G1905">
            <v>31</v>
          </cell>
        </row>
        <row r="1906">
          <cell r="A1906">
            <v>1905</v>
          </cell>
          <cell r="B1906" t="str">
            <v>Lukas Klostermann</v>
          </cell>
          <cell r="C1906" t="str">
            <v>RB Leipzig</v>
          </cell>
          <cell r="D1906" t="str">
            <v>Alemania</v>
          </cell>
          <cell r="E1906" t="str">
            <v>CT</v>
          </cell>
          <cell r="F1906">
            <v>79</v>
          </cell>
          <cell r="G1906">
            <v>29</v>
          </cell>
        </row>
        <row r="1907">
          <cell r="A1907">
            <v>1906</v>
          </cell>
          <cell r="B1907" t="str">
            <v>M. Vandevoordt</v>
          </cell>
          <cell r="C1907" t="str">
            <v>RB Leipzig</v>
          </cell>
          <cell r="D1907" t="str">
            <v>Bélgica</v>
          </cell>
          <cell r="E1907" t="str">
            <v>PO</v>
          </cell>
          <cell r="F1907">
            <v>75</v>
          </cell>
          <cell r="G1907">
            <v>23</v>
          </cell>
        </row>
        <row r="1908">
          <cell r="A1908">
            <v>1907</v>
          </cell>
          <cell r="B1908" t="str">
            <v>Max Finkgräfe</v>
          </cell>
          <cell r="C1908" t="str">
            <v>RB Leipzig</v>
          </cell>
          <cell r="D1908" t="str">
            <v>Alemania</v>
          </cell>
          <cell r="E1908" t="str">
            <v>LI</v>
          </cell>
          <cell r="F1908">
            <v>66</v>
          </cell>
          <cell r="G1908">
            <v>21</v>
          </cell>
        </row>
        <row r="1909">
          <cell r="A1909">
            <v>1908</v>
          </cell>
          <cell r="B1909" t="str">
            <v>Nicolas Seiwald</v>
          </cell>
          <cell r="C1909" t="str">
            <v>RB Leipzig</v>
          </cell>
          <cell r="D1909" t="str">
            <v>Austria</v>
          </cell>
          <cell r="E1909" t="str">
            <v>MCD</v>
          </cell>
          <cell r="F1909">
            <v>78</v>
          </cell>
          <cell r="G1909">
            <v>24</v>
          </cell>
        </row>
        <row r="1910">
          <cell r="A1910">
            <v>1909</v>
          </cell>
          <cell r="B1910" t="str">
            <v>Péter Gulácsi</v>
          </cell>
          <cell r="C1910" t="str">
            <v>RB Leipzig</v>
          </cell>
          <cell r="D1910" t="str">
            <v>Hungría</v>
          </cell>
          <cell r="E1910" t="str">
            <v>PO</v>
          </cell>
          <cell r="F1910">
            <v>83</v>
          </cell>
          <cell r="G1910">
            <v>35</v>
          </cell>
        </row>
        <row r="1911">
          <cell r="A1911">
            <v>1910</v>
          </cell>
          <cell r="B1911" t="str">
            <v>Ridle Baku</v>
          </cell>
          <cell r="C1911" t="str">
            <v>RB Leipzig</v>
          </cell>
          <cell r="D1911" t="str">
            <v>Alemania</v>
          </cell>
          <cell r="E1911" t="str">
            <v>LD</v>
          </cell>
          <cell r="F1911">
            <v>78</v>
          </cell>
          <cell r="G1911">
            <v>27</v>
          </cell>
        </row>
        <row r="1912">
          <cell r="A1912">
            <v>1911</v>
          </cell>
          <cell r="B1912" t="str">
            <v>Rômulo Cruz</v>
          </cell>
          <cell r="C1912" t="str">
            <v>RB Leipzig</v>
          </cell>
          <cell r="D1912" t="str">
            <v>Brasil</v>
          </cell>
          <cell r="E1912" t="str">
            <v>DC</v>
          </cell>
          <cell r="F1912">
            <v>74</v>
          </cell>
          <cell r="G1912">
            <v>23</v>
          </cell>
        </row>
        <row r="1913">
          <cell r="A1913">
            <v>1912</v>
          </cell>
          <cell r="B1913" t="str">
            <v>Tidiam Gomis</v>
          </cell>
          <cell r="C1913" t="str">
            <v>RB Leipzig</v>
          </cell>
          <cell r="D1913" t="str">
            <v>Francia</v>
          </cell>
          <cell r="E1913" t="str">
            <v>EI</v>
          </cell>
          <cell r="F1913">
            <v>64</v>
          </cell>
          <cell r="G1913">
            <v>19</v>
          </cell>
        </row>
        <row r="1914">
          <cell r="A1914">
            <v>1913</v>
          </cell>
          <cell r="B1914" t="str">
            <v>Timo Werner</v>
          </cell>
          <cell r="C1914" t="str">
            <v>RB Leipzig</v>
          </cell>
          <cell r="D1914" t="str">
            <v>Alemania</v>
          </cell>
          <cell r="E1914" t="str">
            <v>DC</v>
          </cell>
          <cell r="F1914">
            <v>78</v>
          </cell>
          <cell r="G1914">
            <v>29</v>
          </cell>
        </row>
        <row r="1915">
          <cell r="A1915">
            <v>1914</v>
          </cell>
          <cell r="B1915" t="str">
            <v>Viggo Gebel</v>
          </cell>
          <cell r="C1915" t="str">
            <v>RB Leipzig</v>
          </cell>
          <cell r="D1915" t="str">
            <v>Alemania</v>
          </cell>
          <cell r="E1915" t="str">
            <v>MO</v>
          </cell>
          <cell r="F1915">
            <v>64</v>
          </cell>
          <cell r="G1915">
            <v>18</v>
          </cell>
        </row>
        <row r="1916">
          <cell r="A1916">
            <v>1915</v>
          </cell>
          <cell r="B1916" t="str">
            <v>Willi Orbán</v>
          </cell>
          <cell r="C1916" t="str">
            <v>RB Leipzig</v>
          </cell>
          <cell r="D1916" t="str">
            <v>Hungría</v>
          </cell>
          <cell r="E1916" t="str">
            <v>CT</v>
          </cell>
          <cell r="F1916">
            <v>83</v>
          </cell>
          <cell r="G1916">
            <v>33</v>
          </cell>
        </row>
        <row r="1917">
          <cell r="A1917">
            <v>1916</v>
          </cell>
          <cell r="B1917" t="str">
            <v>Xaver Schlager</v>
          </cell>
          <cell r="C1917" t="str">
            <v>RB Leipzig</v>
          </cell>
          <cell r="D1917" t="str">
            <v>Austria</v>
          </cell>
          <cell r="E1917" t="str">
            <v>MC</v>
          </cell>
          <cell r="F1917">
            <v>80</v>
          </cell>
          <cell r="G1917">
            <v>28</v>
          </cell>
        </row>
        <row r="1918">
          <cell r="A1918">
            <v>1917</v>
          </cell>
          <cell r="B1918" t="str">
            <v>Yan Diomande</v>
          </cell>
          <cell r="C1918" t="str">
            <v>RB Leipzig</v>
          </cell>
          <cell r="D1918" t="str">
            <v>Costa de Marfil</v>
          </cell>
          <cell r="E1918" t="str">
            <v>EI</v>
          </cell>
          <cell r="F1918">
            <v>64</v>
          </cell>
          <cell r="G1918">
            <v>19</v>
          </cell>
        </row>
        <row r="1919">
          <cell r="A1919">
            <v>1918</v>
          </cell>
          <cell r="B1919" t="str">
            <v>Nikola Vasilj</v>
          </cell>
          <cell r="C1919" t="str">
            <v>FC St. Pauli</v>
          </cell>
          <cell r="D1919" t="str">
            <v>Bosnia y Herzegovina</v>
          </cell>
          <cell r="E1919" t="str">
            <v>PO</v>
          </cell>
          <cell r="F1919">
            <v>70</v>
          </cell>
          <cell r="G1919">
            <v>30</v>
          </cell>
        </row>
        <row r="1920">
          <cell r="A1920">
            <v>1919</v>
          </cell>
          <cell r="B1920" t="str">
            <v>Abdoulie Ceesay</v>
          </cell>
          <cell r="C1920" t="str">
            <v>FC St. Pauli</v>
          </cell>
          <cell r="D1920" t="str">
            <v>Gambia</v>
          </cell>
          <cell r="E1920" t="str">
            <v>DC</v>
          </cell>
          <cell r="F1920">
            <v>66</v>
          </cell>
          <cell r="G1920">
            <v>21</v>
          </cell>
        </row>
        <row r="1921">
          <cell r="A1921">
            <v>1920</v>
          </cell>
          <cell r="B1921" t="str">
            <v>Adam Dzwigala</v>
          </cell>
          <cell r="C1921" t="str">
            <v>FC St. Pauli</v>
          </cell>
          <cell r="D1921" t="str">
            <v>Polonia</v>
          </cell>
          <cell r="E1921" t="str">
            <v>CT</v>
          </cell>
          <cell r="F1921">
            <v>69</v>
          </cell>
          <cell r="G1921">
            <v>30</v>
          </cell>
        </row>
        <row r="1922">
          <cell r="A1922">
            <v>1921</v>
          </cell>
          <cell r="B1922" t="str">
            <v>A. Hountondji</v>
          </cell>
          <cell r="C1922" t="str">
            <v>FC St. Pauli</v>
          </cell>
          <cell r="D1922" t="str">
            <v>Benín</v>
          </cell>
          <cell r="E1922" t="str">
            <v>DC</v>
          </cell>
          <cell r="F1922">
            <v>68</v>
          </cell>
          <cell r="G1922">
            <v>23</v>
          </cell>
        </row>
        <row r="1923">
          <cell r="A1923">
            <v>1922</v>
          </cell>
          <cell r="B1923" t="str">
            <v>Ben Voll</v>
          </cell>
          <cell r="C1923" t="str">
            <v>FC St. Pauli</v>
          </cell>
          <cell r="D1923" t="str">
            <v>Alemania</v>
          </cell>
          <cell r="E1923" t="str">
            <v>PO</v>
          </cell>
          <cell r="F1923">
            <v>67</v>
          </cell>
          <cell r="G1923">
            <v>25</v>
          </cell>
        </row>
        <row r="1924">
          <cell r="A1924">
            <v>1923</v>
          </cell>
          <cell r="B1924" t="str">
            <v>Connor Metcalfe</v>
          </cell>
          <cell r="C1924" t="str">
            <v>FC St. Pauli</v>
          </cell>
          <cell r="D1924" t="str">
            <v>Australia</v>
          </cell>
          <cell r="E1924" t="str">
            <v>MC</v>
          </cell>
          <cell r="F1924">
            <v>69</v>
          </cell>
          <cell r="G1924">
            <v>26</v>
          </cell>
        </row>
        <row r="1925">
          <cell r="A1925">
            <v>1924</v>
          </cell>
          <cell r="B1925" t="str">
            <v>Danel Sinani</v>
          </cell>
          <cell r="C1925" t="str">
            <v>FC St. Pauli</v>
          </cell>
          <cell r="D1925" t="str">
            <v>Luxemburgo</v>
          </cell>
          <cell r="E1925" t="str">
            <v>MO</v>
          </cell>
          <cell r="F1925">
            <v>66</v>
          </cell>
          <cell r="G1925">
            <v>28</v>
          </cell>
        </row>
        <row r="1926">
          <cell r="A1926">
            <v>1925</v>
          </cell>
          <cell r="B1926" t="str">
            <v>David Nemeth</v>
          </cell>
          <cell r="C1926" t="str">
            <v>FC St. Pauli</v>
          </cell>
          <cell r="D1926" t="str">
            <v>Austria</v>
          </cell>
          <cell r="E1926" t="str">
            <v>CT</v>
          </cell>
          <cell r="F1926">
            <v>70</v>
          </cell>
          <cell r="G1926">
            <v>24</v>
          </cell>
        </row>
        <row r="1927">
          <cell r="A1927">
            <v>1926</v>
          </cell>
          <cell r="B1927" t="str">
            <v>Eric Smith</v>
          </cell>
          <cell r="C1927" t="str">
            <v>FC St. Pauli</v>
          </cell>
          <cell r="D1927" t="str">
            <v>Suecia</v>
          </cell>
          <cell r="E1927" t="str">
            <v>CT</v>
          </cell>
          <cell r="F1927">
            <v>77</v>
          </cell>
          <cell r="G1927">
            <v>28</v>
          </cell>
        </row>
        <row r="1928">
          <cell r="A1928">
            <v>1927</v>
          </cell>
          <cell r="B1928" t="str">
            <v>Erik Ahlstrand</v>
          </cell>
          <cell r="C1928" t="str">
            <v>FC St. Pauli</v>
          </cell>
          <cell r="D1928" t="str">
            <v>Suecia</v>
          </cell>
          <cell r="E1928" t="str">
            <v>MC</v>
          </cell>
          <cell r="F1928">
            <v>67</v>
          </cell>
          <cell r="G1928">
            <v>24</v>
          </cell>
        </row>
        <row r="1929">
          <cell r="A1929">
            <v>1928</v>
          </cell>
          <cell r="B1929" t="str">
            <v>Fin Stevens</v>
          </cell>
          <cell r="C1929" t="str">
            <v>FC St. Pauli</v>
          </cell>
          <cell r="D1929" t="str">
            <v>Gales</v>
          </cell>
          <cell r="E1929" t="str">
            <v>LD</v>
          </cell>
          <cell r="F1929">
            <v>66</v>
          </cell>
          <cell r="G1929">
            <v>22</v>
          </cell>
        </row>
        <row r="1930">
          <cell r="A1930">
            <v>1929</v>
          </cell>
          <cell r="B1930" t="str">
            <v>Hauke Wahl</v>
          </cell>
          <cell r="C1930" t="str">
            <v>FC St. Pauli</v>
          </cell>
          <cell r="D1930" t="str">
            <v>Alemania</v>
          </cell>
          <cell r="E1930" t="str">
            <v>CT</v>
          </cell>
          <cell r="F1930">
            <v>73</v>
          </cell>
          <cell r="G1930">
            <v>31</v>
          </cell>
        </row>
        <row r="1931">
          <cell r="A1931">
            <v>1930</v>
          </cell>
          <cell r="B1931" t="str">
            <v>Jackson Irvine</v>
          </cell>
          <cell r="C1931" t="str">
            <v>FC St. Pauli</v>
          </cell>
          <cell r="D1931" t="str">
            <v>Australia</v>
          </cell>
          <cell r="E1931" t="str">
            <v>MC</v>
          </cell>
          <cell r="F1931">
            <v>75</v>
          </cell>
          <cell r="G1931">
            <v>32</v>
          </cell>
        </row>
        <row r="1932">
          <cell r="A1932">
            <v>1931</v>
          </cell>
          <cell r="B1932" t="str">
            <v>James Sands</v>
          </cell>
          <cell r="C1932" t="str">
            <v>FC St. Pauli</v>
          </cell>
          <cell r="D1932" t="str">
            <v>Estados Unidos</v>
          </cell>
          <cell r="E1932" t="str">
            <v>MCD</v>
          </cell>
          <cell r="F1932">
            <v>74</v>
          </cell>
          <cell r="G1932">
            <v>25</v>
          </cell>
        </row>
        <row r="1933">
          <cell r="A1933">
            <v>1932</v>
          </cell>
          <cell r="B1933" t="str">
            <v>Joel Chima Fujita</v>
          </cell>
          <cell r="C1933" t="str">
            <v>FC St. Pauli</v>
          </cell>
          <cell r="D1933" t="str">
            <v>Japón</v>
          </cell>
          <cell r="E1933" t="str">
            <v>MC</v>
          </cell>
          <cell r="F1933">
            <v>65</v>
          </cell>
          <cell r="G1933">
            <v>23</v>
          </cell>
        </row>
        <row r="1934">
          <cell r="A1934">
            <v>1933</v>
          </cell>
          <cell r="B1934" t="str">
            <v>Karol Mets</v>
          </cell>
          <cell r="C1934" t="str">
            <v>FC St. Pauli</v>
          </cell>
          <cell r="D1934" t="str">
            <v>Estonia</v>
          </cell>
          <cell r="E1934" t="str">
            <v>CT</v>
          </cell>
          <cell r="F1934">
            <v>71</v>
          </cell>
          <cell r="G1934">
            <v>32</v>
          </cell>
        </row>
        <row r="1935">
          <cell r="A1935">
            <v>1934</v>
          </cell>
          <cell r="B1935" t="str">
            <v>Lars Ritzka</v>
          </cell>
          <cell r="C1935" t="str">
            <v>FC St. Pauli</v>
          </cell>
          <cell r="D1935" t="str">
            <v>Alemania</v>
          </cell>
          <cell r="E1935" t="str">
            <v>LI</v>
          </cell>
          <cell r="F1935">
            <v>69</v>
          </cell>
          <cell r="G1935">
            <v>27</v>
          </cell>
        </row>
        <row r="1936">
          <cell r="A1936">
            <v>1935</v>
          </cell>
          <cell r="B1936" t="str">
            <v>Manolis Saliakas</v>
          </cell>
          <cell r="C1936" t="str">
            <v>FC St. Pauli</v>
          </cell>
          <cell r="D1936" t="str">
            <v>Grecia</v>
          </cell>
          <cell r="E1936" t="str">
            <v>LD</v>
          </cell>
          <cell r="F1936">
            <v>72</v>
          </cell>
          <cell r="G1936">
            <v>29</v>
          </cell>
        </row>
        <row r="1937">
          <cell r="A1937">
            <v>1936</v>
          </cell>
          <cell r="B1937" t="str">
            <v>M. Pereira Lage</v>
          </cell>
          <cell r="C1937" t="str">
            <v>FC St. Pauli</v>
          </cell>
          <cell r="D1937" t="str">
            <v>Portugal</v>
          </cell>
          <cell r="E1937" t="str">
            <v>EI</v>
          </cell>
          <cell r="F1937">
            <v>76</v>
          </cell>
          <cell r="G1937">
            <v>29</v>
          </cell>
        </row>
        <row r="1938">
          <cell r="A1938">
            <v>1937</v>
          </cell>
          <cell r="B1938" t="str">
            <v>Oladapo Afolayan</v>
          </cell>
          <cell r="C1938" t="str">
            <v>FC St. Pauli</v>
          </cell>
          <cell r="D1938" t="str">
            <v>Inglaterra</v>
          </cell>
          <cell r="E1938" t="str">
            <v>ED</v>
          </cell>
          <cell r="F1938">
            <v>72</v>
          </cell>
          <cell r="G1938">
            <v>28</v>
          </cell>
        </row>
        <row r="1939">
          <cell r="A1939">
            <v>1938</v>
          </cell>
          <cell r="B1939" t="str">
            <v>Ricky-Jade Jones</v>
          </cell>
          <cell r="C1939" t="str">
            <v>FC St. Pauli</v>
          </cell>
          <cell r="D1939" t="str">
            <v>Inglaterra</v>
          </cell>
          <cell r="E1939" t="str">
            <v>DC</v>
          </cell>
          <cell r="F1939">
            <v>63</v>
          </cell>
          <cell r="G1939">
            <v>23</v>
          </cell>
        </row>
        <row r="1940">
          <cell r="A1940">
            <v>1939</v>
          </cell>
          <cell r="B1940" t="str">
            <v>Alexander Nübel</v>
          </cell>
          <cell r="C1940" t="str">
            <v>VfB Stuttgart</v>
          </cell>
          <cell r="D1940" t="str">
            <v>Alemania</v>
          </cell>
          <cell r="E1940" t="str">
            <v>PO</v>
          </cell>
          <cell r="F1940">
            <v>80</v>
          </cell>
          <cell r="G1940">
            <v>29</v>
          </cell>
        </row>
        <row r="1941">
          <cell r="A1941">
            <v>1940</v>
          </cell>
          <cell r="B1941" t="str">
            <v>Ameen Al-Dakhil</v>
          </cell>
          <cell r="C1941" t="str">
            <v>VfB Stuttgart</v>
          </cell>
          <cell r="D1941" t="str">
            <v>Bélgica</v>
          </cell>
          <cell r="E1941" t="str">
            <v>CT</v>
          </cell>
          <cell r="F1941">
            <v>73</v>
          </cell>
          <cell r="G1941">
            <v>23</v>
          </cell>
        </row>
        <row r="1942">
          <cell r="A1942">
            <v>1941</v>
          </cell>
          <cell r="B1942" t="str">
            <v>Angelo Stiller</v>
          </cell>
          <cell r="C1942" t="str">
            <v>VfB Stuttgart</v>
          </cell>
          <cell r="D1942" t="str">
            <v>Alemania</v>
          </cell>
          <cell r="E1942" t="str">
            <v>MCD</v>
          </cell>
          <cell r="F1942">
            <v>80</v>
          </cell>
          <cell r="G1942">
            <v>24</v>
          </cell>
        </row>
        <row r="1943">
          <cell r="A1943">
            <v>1942</v>
          </cell>
          <cell r="B1943" t="str">
            <v>Atakan Karazor</v>
          </cell>
          <cell r="C1943" t="str">
            <v>VfB Stuttgart</v>
          </cell>
          <cell r="D1943" t="str">
            <v>Turquía</v>
          </cell>
          <cell r="E1943" t="str">
            <v>MCD</v>
          </cell>
          <cell r="F1943">
            <v>75</v>
          </cell>
          <cell r="G1943">
            <v>29</v>
          </cell>
        </row>
        <row r="1944">
          <cell r="A1944">
            <v>1943</v>
          </cell>
          <cell r="B1944" t="str">
            <v>Badredine Bouanani</v>
          </cell>
          <cell r="C1944" t="str">
            <v>VfB Stuttgart</v>
          </cell>
          <cell r="D1944" t="str">
            <v>Argelia</v>
          </cell>
          <cell r="E1944" t="str">
            <v>ED</v>
          </cell>
          <cell r="F1944">
            <v>69</v>
          </cell>
          <cell r="G1944">
            <v>21</v>
          </cell>
        </row>
        <row r="1945">
          <cell r="A1945">
            <v>1944</v>
          </cell>
          <cell r="B1945" t="str">
            <v>Bilal El Khannouss</v>
          </cell>
          <cell r="C1945" t="str">
            <v>VfB Stuttgart</v>
          </cell>
          <cell r="D1945" t="str">
            <v>Marruecos</v>
          </cell>
          <cell r="E1945" t="str">
            <v>MO</v>
          </cell>
          <cell r="F1945">
            <v>76</v>
          </cell>
          <cell r="G1945">
            <v>21</v>
          </cell>
        </row>
        <row r="1946">
          <cell r="A1946">
            <v>1945</v>
          </cell>
          <cell r="B1946" t="str">
            <v>Chris Führich</v>
          </cell>
          <cell r="C1946" t="str">
            <v>VfB Stuttgart</v>
          </cell>
          <cell r="D1946" t="str">
            <v>Alemania</v>
          </cell>
          <cell r="E1946" t="str">
            <v>EI</v>
          </cell>
          <cell r="F1946">
            <v>79</v>
          </cell>
          <cell r="G1946">
            <v>27</v>
          </cell>
        </row>
        <row r="1947">
          <cell r="A1947">
            <v>1946</v>
          </cell>
          <cell r="B1947" t="str">
            <v>Dan-Axel Zagadou</v>
          </cell>
          <cell r="C1947" t="str">
            <v>VfB Stuttgart</v>
          </cell>
          <cell r="D1947" t="str">
            <v>Francia</v>
          </cell>
          <cell r="E1947" t="str">
            <v>CT</v>
          </cell>
          <cell r="F1947">
            <v>76</v>
          </cell>
          <cell r="G1947">
            <v>26</v>
          </cell>
        </row>
        <row r="1948">
          <cell r="A1948">
            <v>1947</v>
          </cell>
          <cell r="B1948" t="str">
            <v>Deniz Undav</v>
          </cell>
          <cell r="C1948" t="str">
            <v>VfB Stuttgart</v>
          </cell>
          <cell r="D1948" t="str">
            <v>Alemania</v>
          </cell>
          <cell r="E1948" t="str">
            <v>DC</v>
          </cell>
          <cell r="F1948">
            <v>81</v>
          </cell>
          <cell r="G1948">
            <v>29</v>
          </cell>
        </row>
        <row r="1949">
          <cell r="A1949">
            <v>1948</v>
          </cell>
          <cell r="B1949" t="str">
            <v>Ermedin Demirovic</v>
          </cell>
          <cell r="C1949" t="str">
            <v>VfB Stuttgart</v>
          </cell>
          <cell r="D1949" t="str">
            <v>Bosnia y Herzegovina</v>
          </cell>
          <cell r="E1949" t="str">
            <v>DC</v>
          </cell>
          <cell r="F1949">
            <v>79</v>
          </cell>
          <cell r="G1949">
            <v>27</v>
          </cell>
        </row>
        <row r="1950">
          <cell r="A1950">
            <v>1949</v>
          </cell>
          <cell r="B1950" t="str">
            <v>Fabian Bredlow</v>
          </cell>
          <cell r="C1950" t="str">
            <v>VfB Stuttgart</v>
          </cell>
          <cell r="D1950" t="str">
            <v>Alemania</v>
          </cell>
          <cell r="E1950" t="str">
            <v>PO</v>
          </cell>
          <cell r="F1950">
            <v>71</v>
          </cell>
          <cell r="G1950">
            <v>30</v>
          </cell>
        </row>
        <row r="1951">
          <cell r="A1951">
            <v>1950</v>
          </cell>
          <cell r="B1951" t="str">
            <v>Finn Jeltsch</v>
          </cell>
          <cell r="C1951" t="str">
            <v>VfB Stuttgart</v>
          </cell>
          <cell r="D1951" t="str">
            <v>Alemania</v>
          </cell>
          <cell r="E1951" t="str">
            <v>CT</v>
          </cell>
          <cell r="F1951">
            <v>65</v>
          </cell>
          <cell r="G1951">
            <v>19</v>
          </cell>
        </row>
        <row r="1952">
          <cell r="A1952">
            <v>1951</v>
          </cell>
          <cell r="B1952" t="str">
            <v>Jeff Chabot</v>
          </cell>
          <cell r="C1952" t="str">
            <v>VfB Stuttgart</v>
          </cell>
          <cell r="D1952" t="str">
            <v>Alemania</v>
          </cell>
          <cell r="E1952" t="str">
            <v>CT</v>
          </cell>
          <cell r="F1952">
            <v>77</v>
          </cell>
          <cell r="G1952">
            <v>27</v>
          </cell>
        </row>
        <row r="1953">
          <cell r="A1953">
            <v>1952</v>
          </cell>
          <cell r="B1953" t="str">
            <v>Josha Vagnoman</v>
          </cell>
          <cell r="C1953" t="str">
            <v>VfB Stuttgart</v>
          </cell>
          <cell r="D1953" t="str">
            <v>Alemania</v>
          </cell>
          <cell r="E1953" t="str">
            <v>LD</v>
          </cell>
          <cell r="F1953">
            <v>74</v>
          </cell>
          <cell r="G1953">
            <v>25</v>
          </cell>
        </row>
        <row r="1954">
          <cell r="A1954">
            <v>1953</v>
          </cell>
          <cell r="B1954" t="str">
            <v>Justin Diehl</v>
          </cell>
          <cell r="C1954" t="str">
            <v>VfB Stuttgart</v>
          </cell>
          <cell r="D1954" t="str">
            <v>Alemania</v>
          </cell>
          <cell r="E1954" t="str">
            <v>EI</v>
          </cell>
          <cell r="F1954">
            <v>69</v>
          </cell>
          <cell r="G1954">
            <v>21</v>
          </cell>
        </row>
        <row r="1955">
          <cell r="A1955">
            <v>1954</v>
          </cell>
          <cell r="B1955" t="str">
            <v>Leonidas Stergiou</v>
          </cell>
          <cell r="C1955" t="str">
            <v>VfB Stuttgart</v>
          </cell>
          <cell r="D1955" t="str">
            <v>Suiza</v>
          </cell>
          <cell r="E1955" t="str">
            <v>LD</v>
          </cell>
          <cell r="F1955">
            <v>74</v>
          </cell>
          <cell r="G1955">
            <v>23</v>
          </cell>
        </row>
        <row r="1956">
          <cell r="A1956">
            <v>1955</v>
          </cell>
          <cell r="B1956" t="str">
            <v>Lorenz Assignon</v>
          </cell>
          <cell r="C1956" t="str">
            <v>VfB Stuttgart</v>
          </cell>
          <cell r="D1956" t="str">
            <v>Francia</v>
          </cell>
          <cell r="E1956" t="str">
            <v>LD</v>
          </cell>
          <cell r="F1956">
            <v>74</v>
          </cell>
          <cell r="G1956">
            <v>25</v>
          </cell>
        </row>
        <row r="1957">
          <cell r="A1957">
            <v>1956</v>
          </cell>
          <cell r="B1957" t="str">
            <v>Luca Jaquez</v>
          </cell>
          <cell r="C1957" t="str">
            <v>VfB Stuttgart</v>
          </cell>
          <cell r="D1957" t="str">
            <v>Suiza</v>
          </cell>
          <cell r="E1957" t="str">
            <v>CT</v>
          </cell>
          <cell r="F1957">
            <v>68</v>
          </cell>
          <cell r="G1957">
            <v>22</v>
          </cell>
        </row>
        <row r="1958">
          <cell r="A1958">
            <v>1957</v>
          </cell>
          <cell r="B1958" t="str">
            <v>M. Mittelstädt</v>
          </cell>
          <cell r="C1958" t="str">
            <v>VfB Stuttgart</v>
          </cell>
          <cell r="D1958" t="str">
            <v>Alemania</v>
          </cell>
          <cell r="E1958" t="str">
            <v>LI</v>
          </cell>
          <cell r="F1958">
            <v>79</v>
          </cell>
          <cell r="G1958">
            <v>28</v>
          </cell>
        </row>
        <row r="1959">
          <cell r="A1959">
            <v>1958</v>
          </cell>
          <cell r="B1959" t="str">
            <v>Nikolas Nartey</v>
          </cell>
          <cell r="C1959" t="str">
            <v>VfB Stuttgart</v>
          </cell>
          <cell r="D1959" t="str">
            <v>Dinamarca</v>
          </cell>
          <cell r="E1959" t="str">
            <v>MC</v>
          </cell>
          <cell r="F1959">
            <v>68</v>
          </cell>
          <cell r="G1959">
            <v>25</v>
          </cell>
        </row>
        <row r="1960">
          <cell r="A1960">
            <v>1959</v>
          </cell>
          <cell r="B1960" t="str">
            <v>Pascal Stenzel</v>
          </cell>
          <cell r="C1960" t="str">
            <v>VfB Stuttgart</v>
          </cell>
          <cell r="D1960" t="str">
            <v>Alemania</v>
          </cell>
          <cell r="E1960" t="str">
            <v>LD</v>
          </cell>
          <cell r="F1960">
            <v>71</v>
          </cell>
          <cell r="G1960">
            <v>29</v>
          </cell>
        </row>
        <row r="1961">
          <cell r="A1961">
            <v>1960</v>
          </cell>
          <cell r="B1961" t="str">
            <v>Ramon Hendriks</v>
          </cell>
          <cell r="C1961" t="str">
            <v>VfB Stuttgart</v>
          </cell>
          <cell r="D1961" t="str">
            <v>Países Bajos</v>
          </cell>
          <cell r="E1961" t="str">
            <v>CT</v>
          </cell>
          <cell r="F1961">
            <v>67</v>
          </cell>
          <cell r="G1961">
            <v>24</v>
          </cell>
        </row>
        <row r="1962">
          <cell r="A1962">
            <v>1961</v>
          </cell>
          <cell r="B1962" t="str">
            <v>Silas Katompa</v>
          </cell>
          <cell r="C1962" t="str">
            <v>VfB Stuttgart</v>
          </cell>
          <cell r="D1962" t="str">
            <v>RD del Congo</v>
          </cell>
          <cell r="E1962" t="str">
            <v>ED</v>
          </cell>
          <cell r="F1962">
            <v>75</v>
          </cell>
          <cell r="G1962">
            <v>27</v>
          </cell>
        </row>
        <row r="1963">
          <cell r="A1963">
            <v>1962</v>
          </cell>
          <cell r="B1963" t="str">
            <v>Stefan Drljaca</v>
          </cell>
          <cell r="C1963" t="str">
            <v>VfB Stuttgart</v>
          </cell>
          <cell r="D1963" t="str">
            <v>Alemania</v>
          </cell>
          <cell r="E1963" t="str">
            <v>PO</v>
          </cell>
          <cell r="F1963">
            <v>66</v>
          </cell>
          <cell r="G1963">
            <v>26</v>
          </cell>
        </row>
        <row r="1964">
          <cell r="A1964">
            <v>1963</v>
          </cell>
          <cell r="B1964" t="str">
            <v>Tiago Tomás</v>
          </cell>
          <cell r="C1964" t="str">
            <v>VfB Stuttgart</v>
          </cell>
          <cell r="D1964" t="str">
            <v>Portugal</v>
          </cell>
          <cell r="E1964" t="str">
            <v>DC</v>
          </cell>
          <cell r="F1964">
            <v>74</v>
          </cell>
          <cell r="G1964">
            <v>23</v>
          </cell>
        </row>
        <row r="1965">
          <cell r="A1965">
            <v>1964</v>
          </cell>
          <cell r="B1965" t="str">
            <v>Yannik Keitel</v>
          </cell>
          <cell r="C1965" t="str">
            <v>VfB Stuttgart</v>
          </cell>
          <cell r="D1965" t="str">
            <v>Alemania</v>
          </cell>
          <cell r="E1965" t="str">
            <v>MCD</v>
          </cell>
          <cell r="F1965">
            <v>71</v>
          </cell>
          <cell r="G1965">
            <v>25</v>
          </cell>
        </row>
        <row r="1966">
          <cell r="A1966">
            <v>1965</v>
          </cell>
          <cell r="B1966" t="str">
            <v>Frederik Rönnow</v>
          </cell>
          <cell r="C1966" t="str">
            <v>1.FC Unión Berlín</v>
          </cell>
          <cell r="D1966" t="str">
            <v>Dinamarca</v>
          </cell>
          <cell r="E1966" t="str">
            <v>PO</v>
          </cell>
          <cell r="F1966">
            <v>79</v>
          </cell>
          <cell r="G1966">
            <v>33</v>
          </cell>
        </row>
        <row r="1967">
          <cell r="A1967">
            <v>1966</v>
          </cell>
          <cell r="B1967" t="str">
            <v>Alex Král</v>
          </cell>
          <cell r="C1967" t="str">
            <v>1.FC Unión Berlín</v>
          </cell>
          <cell r="D1967" t="str">
            <v>República Checa</v>
          </cell>
          <cell r="E1967" t="str">
            <v>MC</v>
          </cell>
          <cell r="F1967">
            <v>74</v>
          </cell>
          <cell r="G1967">
            <v>27</v>
          </cell>
        </row>
        <row r="1968">
          <cell r="A1968">
            <v>1967</v>
          </cell>
          <cell r="B1968" t="str">
            <v>Aljoscha Kemlein</v>
          </cell>
          <cell r="C1968" t="str">
            <v>1.FC Unión Berlín</v>
          </cell>
          <cell r="D1968" t="str">
            <v>Alemania</v>
          </cell>
          <cell r="E1968" t="str">
            <v>MCD</v>
          </cell>
          <cell r="F1968">
            <v>69</v>
          </cell>
          <cell r="G1968">
            <v>21</v>
          </cell>
        </row>
        <row r="1969">
          <cell r="A1969">
            <v>1968</v>
          </cell>
          <cell r="B1969" t="str">
            <v>András Schäfer</v>
          </cell>
          <cell r="C1969" t="str">
            <v>1.FC Unión Berlín</v>
          </cell>
          <cell r="D1969" t="str">
            <v>Hungría</v>
          </cell>
          <cell r="E1969" t="str">
            <v>MC</v>
          </cell>
          <cell r="F1969">
            <v>74</v>
          </cell>
          <cell r="G1969">
            <v>26</v>
          </cell>
        </row>
        <row r="1970">
          <cell r="A1970">
            <v>1969</v>
          </cell>
          <cell r="B1970" t="str">
            <v>Andrej Ilic</v>
          </cell>
          <cell r="C1970" t="str">
            <v>1.FC Unión Berlín</v>
          </cell>
          <cell r="D1970" t="str">
            <v>Serbia</v>
          </cell>
          <cell r="E1970" t="str">
            <v>DC</v>
          </cell>
          <cell r="F1970">
            <v>67</v>
          </cell>
          <cell r="G1970">
            <v>25</v>
          </cell>
        </row>
        <row r="1971">
          <cell r="A1971">
            <v>1970</v>
          </cell>
          <cell r="B1971" t="str">
            <v>Carl Klaus</v>
          </cell>
          <cell r="C1971" t="str">
            <v>1.FC Unión Berlín</v>
          </cell>
          <cell r="D1971" t="str">
            <v>Alemania</v>
          </cell>
          <cell r="E1971" t="str">
            <v>PO</v>
          </cell>
          <cell r="F1971">
            <v>68</v>
          </cell>
          <cell r="G1971">
            <v>31</v>
          </cell>
        </row>
        <row r="1972">
          <cell r="A1972">
            <v>1971</v>
          </cell>
          <cell r="B1972" t="str">
            <v>Christopher Trimmel</v>
          </cell>
          <cell r="C1972" t="str">
            <v>1.FC Unión Berlín</v>
          </cell>
          <cell r="D1972" t="str">
            <v>Austria</v>
          </cell>
          <cell r="E1972" t="str">
            <v>LD</v>
          </cell>
          <cell r="F1972">
            <v>76</v>
          </cell>
          <cell r="G1972">
            <v>38</v>
          </cell>
        </row>
        <row r="1973">
          <cell r="A1973">
            <v>1972</v>
          </cell>
          <cell r="B1973" t="str">
            <v>Danilho Doekhi</v>
          </cell>
          <cell r="C1973" t="str">
            <v>1.FC Unión Berlín</v>
          </cell>
          <cell r="D1973" t="str">
            <v>Países Bajos</v>
          </cell>
          <cell r="E1973" t="str">
            <v>CT</v>
          </cell>
          <cell r="F1973">
            <v>79</v>
          </cell>
          <cell r="G1973">
            <v>27</v>
          </cell>
        </row>
        <row r="1974">
          <cell r="A1974">
            <v>1973</v>
          </cell>
          <cell r="B1974" t="str">
            <v>David Preu</v>
          </cell>
          <cell r="C1974" t="str">
            <v>1.FC Unión Berlín</v>
          </cell>
          <cell r="D1974" t="str">
            <v>Alemania</v>
          </cell>
          <cell r="E1974" t="str">
            <v>EI</v>
          </cell>
          <cell r="F1974">
            <v>60</v>
          </cell>
          <cell r="G1974">
            <v>21</v>
          </cell>
        </row>
        <row r="1975">
          <cell r="A1975">
            <v>1974</v>
          </cell>
          <cell r="B1975" t="str">
            <v>Derrick Köhn</v>
          </cell>
          <cell r="C1975" t="str">
            <v>1.FC Unión Berlín</v>
          </cell>
          <cell r="D1975" t="str">
            <v>Ghana</v>
          </cell>
          <cell r="E1975" t="str">
            <v>LI</v>
          </cell>
          <cell r="F1975">
            <v>75</v>
          </cell>
          <cell r="G1975">
            <v>26</v>
          </cell>
        </row>
        <row r="1976">
          <cell r="A1976">
            <v>1975</v>
          </cell>
          <cell r="B1976" t="str">
            <v>Diogo Leite</v>
          </cell>
          <cell r="C1976" t="str">
            <v>1.FC Unión Berlín</v>
          </cell>
          <cell r="D1976" t="str">
            <v>Portugal</v>
          </cell>
          <cell r="E1976" t="str">
            <v>CT</v>
          </cell>
          <cell r="F1976">
            <v>76</v>
          </cell>
          <cell r="G1976">
            <v>26</v>
          </cell>
        </row>
        <row r="1977">
          <cell r="A1977">
            <v>1976</v>
          </cell>
          <cell r="B1977" t="str">
            <v>Janik Haberer</v>
          </cell>
          <cell r="C1977" t="str">
            <v>1.FC Unión Berlín</v>
          </cell>
          <cell r="D1977" t="str">
            <v>Alemania</v>
          </cell>
          <cell r="E1977" t="str">
            <v>MC</v>
          </cell>
          <cell r="F1977">
            <v>75</v>
          </cell>
          <cell r="G1977">
            <v>31</v>
          </cell>
        </row>
        <row r="1978">
          <cell r="A1978">
            <v>1977</v>
          </cell>
          <cell r="B1978" t="str">
            <v>Josip Juranovic</v>
          </cell>
          <cell r="C1978" t="str">
            <v>1.FC Unión Berlín</v>
          </cell>
          <cell r="D1978" t="str">
            <v>Croacia</v>
          </cell>
          <cell r="E1978" t="str">
            <v>LD</v>
          </cell>
          <cell r="F1978">
            <v>77</v>
          </cell>
          <cell r="G1978">
            <v>30</v>
          </cell>
        </row>
        <row r="1979">
          <cell r="A1979">
            <v>1978</v>
          </cell>
          <cell r="B1979" t="str">
            <v>Leopold Querfeld</v>
          </cell>
          <cell r="C1979" t="str">
            <v>1.FC Unión Berlín</v>
          </cell>
          <cell r="D1979" t="str">
            <v>Austria</v>
          </cell>
          <cell r="E1979" t="str">
            <v>CT</v>
          </cell>
          <cell r="F1979">
            <v>74</v>
          </cell>
          <cell r="G1979">
            <v>22</v>
          </cell>
        </row>
        <row r="1980">
          <cell r="A1980">
            <v>1979</v>
          </cell>
          <cell r="B1980" t="str">
            <v>Oliver Burke</v>
          </cell>
          <cell r="C1980" t="str">
            <v>1.FC Unión Berlín</v>
          </cell>
          <cell r="D1980" t="str">
            <v>Escocia</v>
          </cell>
          <cell r="E1980" t="str">
            <v>DC</v>
          </cell>
          <cell r="F1980">
            <v>69</v>
          </cell>
          <cell r="G1980">
            <v>28</v>
          </cell>
        </row>
        <row r="1981">
          <cell r="A1981">
            <v>1980</v>
          </cell>
          <cell r="B1981" t="str">
            <v>O. Ogbemudia</v>
          </cell>
          <cell r="C1981" t="str">
            <v>1.FC Unión Berlín</v>
          </cell>
          <cell r="D1981" t="str">
            <v>Alemania</v>
          </cell>
          <cell r="E1981" t="str">
            <v>CT</v>
          </cell>
          <cell r="F1981">
            <v>63</v>
          </cell>
          <cell r="G1981">
            <v>19</v>
          </cell>
        </row>
        <row r="1982">
          <cell r="A1982">
            <v>1981</v>
          </cell>
          <cell r="B1982" t="str">
            <v>Rani Khedira</v>
          </cell>
          <cell r="C1982" t="str">
            <v>1.FC Unión Berlín</v>
          </cell>
          <cell r="D1982" t="str">
            <v>Túnez</v>
          </cell>
          <cell r="E1982" t="str">
            <v>MCD</v>
          </cell>
          <cell r="F1982">
            <v>75</v>
          </cell>
          <cell r="G1982">
            <v>31</v>
          </cell>
        </row>
        <row r="1983">
          <cell r="A1983">
            <v>1982</v>
          </cell>
          <cell r="B1983" t="str">
            <v>Robert Skov</v>
          </cell>
          <cell r="C1983" t="str">
            <v>1.FC Unión Berlín</v>
          </cell>
          <cell r="D1983" t="str">
            <v>Dinamarca</v>
          </cell>
          <cell r="E1983" t="str">
            <v>EI</v>
          </cell>
          <cell r="F1983">
            <v>78</v>
          </cell>
          <cell r="G1983">
            <v>29</v>
          </cell>
        </row>
        <row r="1984">
          <cell r="A1984">
            <v>1983</v>
          </cell>
          <cell r="B1984" t="str">
            <v>Tom Rothe</v>
          </cell>
          <cell r="C1984" t="str">
            <v>1.FC Unión Berlín</v>
          </cell>
          <cell r="D1984" t="str">
            <v>Alemania</v>
          </cell>
          <cell r="E1984" t="str">
            <v>LI</v>
          </cell>
          <cell r="F1984">
            <v>72</v>
          </cell>
          <cell r="G1984">
            <v>21</v>
          </cell>
        </row>
        <row r="1985">
          <cell r="A1985">
            <v>1984</v>
          </cell>
          <cell r="B1985" t="str">
            <v>Marin Ljubicic</v>
          </cell>
          <cell r="C1985" t="str">
            <v>1.FC Unión Berlín</v>
          </cell>
          <cell r="D1985" t="str">
            <v>Croacia</v>
          </cell>
          <cell r="E1985" t="str">
            <v>DC</v>
          </cell>
          <cell r="F1985">
            <v>69</v>
          </cell>
          <cell r="G1985">
            <v>23</v>
          </cell>
        </row>
        <row r="1986">
          <cell r="A1986">
            <v>1985</v>
          </cell>
          <cell r="B1986" t="str">
            <v>Tim Skarke</v>
          </cell>
          <cell r="C1986" t="str">
            <v>1.FC Unión Berlín</v>
          </cell>
          <cell r="D1986" t="str">
            <v>Alemania</v>
          </cell>
          <cell r="E1986" t="str">
            <v>DC</v>
          </cell>
          <cell r="F1986">
            <v>70</v>
          </cell>
          <cell r="G1986">
            <v>29</v>
          </cell>
        </row>
        <row r="1987">
          <cell r="A1987">
            <v>1986</v>
          </cell>
          <cell r="B1987" t="str">
            <v>Woo-yeong Jeong</v>
          </cell>
          <cell r="C1987" t="str">
            <v>1.FC Unión Berlín</v>
          </cell>
          <cell r="D1987" t="str">
            <v>Corea del Sur</v>
          </cell>
          <cell r="E1987" t="str">
            <v>MO</v>
          </cell>
          <cell r="F1987">
            <v>72</v>
          </cell>
          <cell r="G1987">
            <v>26</v>
          </cell>
        </row>
        <row r="1988">
          <cell r="A1988">
            <v>1987</v>
          </cell>
          <cell r="B1988" t="str">
            <v>Amos Pieper</v>
          </cell>
          <cell r="C1988" t="str">
            <v>SV Werder Bremen</v>
          </cell>
          <cell r="D1988" t="str">
            <v>Alemania</v>
          </cell>
          <cell r="E1988" t="str">
            <v>CT</v>
          </cell>
          <cell r="F1988">
            <v>74</v>
          </cell>
          <cell r="G1988">
            <v>27</v>
          </cell>
        </row>
        <row r="1989">
          <cell r="A1989">
            <v>1988</v>
          </cell>
          <cell r="B1989" t="str">
            <v>Cameron Puertas</v>
          </cell>
          <cell r="C1989" t="str">
            <v>SV Werder Bremen</v>
          </cell>
          <cell r="D1989" t="str">
            <v>España</v>
          </cell>
          <cell r="E1989" t="str">
            <v>MO</v>
          </cell>
          <cell r="F1989">
            <v>76</v>
          </cell>
          <cell r="G1989">
            <v>27</v>
          </cell>
        </row>
        <row r="1990">
          <cell r="A1990">
            <v>1989</v>
          </cell>
          <cell r="B1990" t="str">
            <v>Isaac Schmidt</v>
          </cell>
          <cell r="C1990" t="str">
            <v>SV Werder Bremen</v>
          </cell>
          <cell r="D1990" t="str">
            <v>Suiza</v>
          </cell>
          <cell r="E1990" t="str">
            <v>LI</v>
          </cell>
          <cell r="F1990">
            <v>71</v>
          </cell>
          <cell r="G1990">
            <v>26</v>
          </cell>
        </row>
        <row r="1991">
          <cell r="A1991">
            <v>1990</v>
          </cell>
          <cell r="B1991" t="str">
            <v>Isak Hansen-Aarøen</v>
          </cell>
          <cell r="C1991" t="str">
            <v>SV Werder Bremen</v>
          </cell>
          <cell r="D1991" t="str">
            <v>Noruega</v>
          </cell>
          <cell r="E1991" t="str">
            <v>MO</v>
          </cell>
          <cell r="F1991">
            <v>64</v>
          </cell>
          <cell r="G1991">
            <v>21</v>
          </cell>
        </row>
        <row r="1992">
          <cell r="A1992">
            <v>1991</v>
          </cell>
          <cell r="B1992" t="str">
            <v>Jens Stage</v>
          </cell>
          <cell r="C1992" t="str">
            <v>SV Werder Bremen</v>
          </cell>
          <cell r="D1992" t="str">
            <v>Dinamarca</v>
          </cell>
          <cell r="E1992" t="str">
            <v>MC</v>
          </cell>
          <cell r="F1992">
            <v>75</v>
          </cell>
          <cell r="G1992">
            <v>29</v>
          </cell>
        </row>
        <row r="1993">
          <cell r="A1993">
            <v>1992</v>
          </cell>
          <cell r="B1993" t="str">
            <v>Julián Malatini</v>
          </cell>
          <cell r="C1993" t="str">
            <v>SV Werder Bremen</v>
          </cell>
          <cell r="D1993" t="str">
            <v>Argentina</v>
          </cell>
          <cell r="E1993" t="str">
            <v>CT</v>
          </cell>
          <cell r="F1993">
            <v>65</v>
          </cell>
          <cell r="G1993">
            <v>24</v>
          </cell>
        </row>
        <row r="1994">
          <cell r="A1994">
            <v>1993</v>
          </cell>
          <cell r="B1994" t="str">
            <v>Justin Njinmah</v>
          </cell>
          <cell r="C1994" t="str">
            <v>SV Werder Bremen</v>
          </cell>
          <cell r="D1994" t="str">
            <v>Alemania</v>
          </cell>
          <cell r="E1994" t="str">
            <v>ED</v>
          </cell>
          <cell r="F1994">
            <v>74</v>
          </cell>
          <cell r="G1994">
            <v>25</v>
          </cell>
        </row>
        <row r="1995">
          <cell r="A1995">
            <v>1994</v>
          </cell>
          <cell r="B1995" t="str">
            <v>Karl Hein</v>
          </cell>
          <cell r="C1995" t="str">
            <v>SV Werder Bremen</v>
          </cell>
          <cell r="D1995" t="str">
            <v>Estonia</v>
          </cell>
          <cell r="E1995" t="str">
            <v>PO</v>
          </cell>
          <cell r="F1995">
            <v>71</v>
          </cell>
          <cell r="G1995">
            <v>23</v>
          </cell>
        </row>
        <row r="1996">
          <cell r="A1996">
            <v>1995</v>
          </cell>
          <cell r="B1996" t="str">
            <v>Keke Topp</v>
          </cell>
          <cell r="C1996" t="str">
            <v>SV Werder Bremen</v>
          </cell>
          <cell r="D1996" t="str">
            <v>Alemania</v>
          </cell>
          <cell r="E1996" t="str">
            <v>DC</v>
          </cell>
          <cell r="F1996">
            <v>67</v>
          </cell>
          <cell r="G1996">
            <v>21</v>
          </cell>
        </row>
        <row r="1997">
          <cell r="A1997">
            <v>1996</v>
          </cell>
          <cell r="B1997" t="str">
            <v>L. Bittencourt</v>
          </cell>
          <cell r="C1997" t="str">
            <v>SV Werder Bremen</v>
          </cell>
          <cell r="D1997" t="str">
            <v>Alemania</v>
          </cell>
          <cell r="E1997" t="str">
            <v>MC</v>
          </cell>
          <cell r="F1997">
            <v>74</v>
          </cell>
          <cell r="G1997">
            <v>32</v>
          </cell>
        </row>
        <row r="1998">
          <cell r="A1998">
            <v>1997</v>
          </cell>
          <cell r="B1998" t="str">
            <v>Marco Friedl</v>
          </cell>
          <cell r="C1998" t="str">
            <v>SV Werder Bremen</v>
          </cell>
          <cell r="D1998" t="str">
            <v>Austria</v>
          </cell>
          <cell r="E1998" t="str">
            <v>CT</v>
          </cell>
          <cell r="F1998">
            <v>75</v>
          </cell>
          <cell r="G1998">
            <v>27</v>
          </cell>
        </row>
        <row r="1999">
          <cell r="A1999">
            <v>1998</v>
          </cell>
          <cell r="B1999" t="str">
            <v>Marco Grüll</v>
          </cell>
          <cell r="C1999" t="str">
            <v>SV Werder Bremen</v>
          </cell>
          <cell r="D1999" t="str">
            <v>Austria</v>
          </cell>
          <cell r="E1999" t="str">
            <v>EI</v>
          </cell>
          <cell r="F1999">
            <v>74</v>
          </cell>
          <cell r="G1999">
            <v>27</v>
          </cell>
        </row>
        <row r="2000">
          <cell r="A2000">
            <v>1999</v>
          </cell>
          <cell r="B2000" t="str">
            <v>Markus Kolke</v>
          </cell>
          <cell r="C2000" t="str">
            <v>SV Werder Bremen</v>
          </cell>
          <cell r="D2000" t="str">
            <v>Alemania</v>
          </cell>
          <cell r="E2000" t="str">
            <v>PO</v>
          </cell>
          <cell r="F2000">
            <v>71</v>
          </cell>
          <cell r="G2000">
            <v>35</v>
          </cell>
        </row>
        <row r="2001">
          <cell r="A2001">
            <v>2000</v>
          </cell>
          <cell r="B2001" t="str">
            <v>Maximilian Wöber</v>
          </cell>
          <cell r="C2001" t="str">
            <v>SV Werder Bremen</v>
          </cell>
          <cell r="D2001" t="str">
            <v>Austria</v>
          </cell>
          <cell r="E2001" t="str">
            <v>CT</v>
          </cell>
          <cell r="F2001">
            <v>77</v>
          </cell>
          <cell r="G2001">
            <v>27</v>
          </cell>
        </row>
        <row r="2002">
          <cell r="A2002">
            <v>2001</v>
          </cell>
          <cell r="B2002" t="str">
            <v>Mio Backhaus</v>
          </cell>
          <cell r="C2002" t="str">
            <v>SV Werder Bremen</v>
          </cell>
          <cell r="D2002" t="str">
            <v>Alemania</v>
          </cell>
          <cell r="E2002" t="str">
            <v>PO</v>
          </cell>
          <cell r="F2002">
            <v>65</v>
          </cell>
          <cell r="G2002">
            <v>21</v>
          </cell>
        </row>
        <row r="2003">
          <cell r="A2003">
            <v>2002</v>
          </cell>
          <cell r="B2003" t="str">
            <v>Mitchell Weiser</v>
          </cell>
          <cell r="C2003" t="str">
            <v>SV Werder Bremen</v>
          </cell>
          <cell r="D2003" t="str">
            <v>Alemania</v>
          </cell>
          <cell r="E2003" t="str">
            <v>LD</v>
          </cell>
          <cell r="F2003">
            <v>77</v>
          </cell>
          <cell r="G2003">
            <v>31</v>
          </cell>
        </row>
        <row r="2004">
          <cell r="A2004">
            <v>2003</v>
          </cell>
          <cell r="B2004" t="str">
            <v>Niklas Stark</v>
          </cell>
          <cell r="C2004" t="str">
            <v>SV Werder Bremen</v>
          </cell>
          <cell r="D2004" t="str">
            <v>Alemania</v>
          </cell>
          <cell r="E2004" t="str">
            <v>CT</v>
          </cell>
          <cell r="F2004">
            <v>74</v>
          </cell>
          <cell r="G2004">
            <v>30</v>
          </cell>
        </row>
        <row r="2005">
          <cell r="A2005">
            <v>2004</v>
          </cell>
          <cell r="B2005" t="str">
            <v>Olivier Deman</v>
          </cell>
          <cell r="C2005" t="str">
            <v>SV Werder Bremen</v>
          </cell>
          <cell r="D2005" t="str">
            <v>Bélgica</v>
          </cell>
          <cell r="E2005" t="str">
            <v>LI</v>
          </cell>
          <cell r="F2005">
            <v>72</v>
          </cell>
          <cell r="G2005">
            <v>25</v>
          </cell>
        </row>
        <row r="2006">
          <cell r="A2006">
            <v>2005</v>
          </cell>
          <cell r="B2006" t="str">
            <v>Romano Schmid</v>
          </cell>
          <cell r="C2006" t="str">
            <v>SV Werder Bremen</v>
          </cell>
          <cell r="D2006" t="str">
            <v>Austria</v>
          </cell>
          <cell r="E2006" t="str">
            <v>MO</v>
          </cell>
          <cell r="F2006">
            <v>76</v>
          </cell>
          <cell r="G2006">
            <v>25</v>
          </cell>
        </row>
        <row r="2007">
          <cell r="A2007">
            <v>2006</v>
          </cell>
          <cell r="B2007" t="str">
            <v>Samuel Mbangula</v>
          </cell>
          <cell r="C2007" t="str">
            <v>SV Werder Bremen</v>
          </cell>
          <cell r="D2007" t="str">
            <v>Bélgica</v>
          </cell>
          <cell r="E2007" t="str">
            <v>EI</v>
          </cell>
          <cell r="F2007">
            <v>71</v>
          </cell>
          <cell r="G2007">
            <v>21</v>
          </cell>
        </row>
        <row r="2008">
          <cell r="A2008">
            <v>2007</v>
          </cell>
          <cell r="B2008" t="str">
            <v>Senne Lynen</v>
          </cell>
          <cell r="C2008" t="str">
            <v>SV Werder Bremen</v>
          </cell>
          <cell r="D2008" t="str">
            <v>Bélgica</v>
          </cell>
          <cell r="E2008" t="str">
            <v>MCD</v>
          </cell>
          <cell r="F2008">
            <v>78</v>
          </cell>
          <cell r="G2008">
            <v>26</v>
          </cell>
        </row>
        <row r="2009">
          <cell r="A2009">
            <v>2008</v>
          </cell>
          <cell r="B2009" t="str">
            <v>Skelly Alvero</v>
          </cell>
          <cell r="C2009" t="str">
            <v>SV Werder Bremen</v>
          </cell>
          <cell r="D2009" t="str">
            <v>Francia</v>
          </cell>
          <cell r="E2009" t="str">
            <v>MCD</v>
          </cell>
          <cell r="F2009">
            <v>70</v>
          </cell>
          <cell r="G2009">
            <v>23</v>
          </cell>
        </row>
        <row r="2010">
          <cell r="A2010">
            <v>2009</v>
          </cell>
          <cell r="B2010" t="str">
            <v>Victor Boniface</v>
          </cell>
          <cell r="C2010" t="str">
            <v>SV Werder Bremen</v>
          </cell>
          <cell r="D2010" t="str">
            <v>Nigeria</v>
          </cell>
          <cell r="E2010" t="str">
            <v>DC</v>
          </cell>
          <cell r="F2010">
            <v>82</v>
          </cell>
          <cell r="G2010">
            <v>25</v>
          </cell>
        </row>
        <row r="2011">
          <cell r="A2011">
            <v>2010</v>
          </cell>
          <cell r="B2011" t="str">
            <v>Yukinari Sugawara</v>
          </cell>
          <cell r="C2011" t="str">
            <v>SV Werder Bremen</v>
          </cell>
          <cell r="D2011" t="str">
            <v>Japón</v>
          </cell>
          <cell r="E2011" t="str">
            <v>LD</v>
          </cell>
          <cell r="F2011">
            <v>78</v>
          </cell>
          <cell r="G2011">
            <v>25</v>
          </cell>
        </row>
        <row r="2012">
          <cell r="A2012">
            <v>2011</v>
          </cell>
          <cell r="B2012" t="str">
            <v>Kamil Grabara</v>
          </cell>
          <cell r="C2012" t="str">
            <v>VfL Wolfsburgo</v>
          </cell>
          <cell r="D2012" t="str">
            <v>Polonia</v>
          </cell>
          <cell r="E2012" t="str">
            <v>PO</v>
          </cell>
          <cell r="F2012">
            <v>79</v>
          </cell>
          <cell r="G2012">
            <v>26</v>
          </cell>
        </row>
        <row r="2013">
          <cell r="A2013">
            <v>2012</v>
          </cell>
          <cell r="B2013" t="str">
            <v>Adam Daghim</v>
          </cell>
          <cell r="C2013" t="str">
            <v>VfL Wolfsburgo</v>
          </cell>
          <cell r="D2013" t="str">
            <v>Dinamarca</v>
          </cell>
          <cell r="E2013" t="str">
            <v>ED</v>
          </cell>
          <cell r="F2013">
            <v>66</v>
          </cell>
          <cell r="G2013">
            <v>20</v>
          </cell>
        </row>
        <row r="2014">
          <cell r="A2014">
            <v>2013</v>
          </cell>
          <cell r="B2014" t="str">
            <v>Andreas Skov Olsen</v>
          </cell>
          <cell r="C2014" t="str">
            <v>VfL Wolfsburgo</v>
          </cell>
          <cell r="D2014" t="str">
            <v>Dinamarca</v>
          </cell>
          <cell r="E2014" t="str">
            <v>ED</v>
          </cell>
          <cell r="F2014">
            <v>78</v>
          </cell>
          <cell r="G2014">
            <v>26</v>
          </cell>
        </row>
        <row r="2015">
          <cell r="A2015">
            <v>2014</v>
          </cell>
          <cell r="B2015" t="str">
            <v>Bence Dárdai</v>
          </cell>
          <cell r="C2015" t="str">
            <v>VfL Wolfsburgo</v>
          </cell>
          <cell r="D2015" t="str">
            <v>Hungría</v>
          </cell>
          <cell r="E2015" t="str">
            <v>MO</v>
          </cell>
          <cell r="F2015">
            <v>67</v>
          </cell>
          <cell r="G2015">
            <v>19</v>
          </cell>
        </row>
        <row r="2016">
          <cell r="A2016">
            <v>2015</v>
          </cell>
          <cell r="B2016" t="str">
            <v>Christian Eriksen</v>
          </cell>
          <cell r="C2016" t="str">
            <v>VfL Wolfsburgo</v>
          </cell>
          <cell r="D2016" t="str">
            <v>Dinamarca</v>
          </cell>
          <cell r="E2016" t="str">
            <v>MO</v>
          </cell>
          <cell r="F2016">
            <v>79</v>
          </cell>
          <cell r="G2016">
            <v>33</v>
          </cell>
        </row>
        <row r="2017">
          <cell r="A2017">
            <v>2016</v>
          </cell>
          <cell r="B2017" t="str">
            <v>Denis Vavro</v>
          </cell>
          <cell r="C2017" t="str">
            <v>VfL Wolfsburgo</v>
          </cell>
          <cell r="D2017" t="str">
            <v>Eslovaquia</v>
          </cell>
          <cell r="E2017" t="str">
            <v>CT</v>
          </cell>
          <cell r="F2017">
            <v>74</v>
          </cell>
          <cell r="G2017">
            <v>29</v>
          </cell>
        </row>
        <row r="2018">
          <cell r="A2018">
            <v>2017</v>
          </cell>
          <cell r="B2018" t="str">
            <v>Dzenan Pejcinovic</v>
          </cell>
          <cell r="C2018" t="str">
            <v>VfL Wolfsburgo</v>
          </cell>
          <cell r="D2018" t="str">
            <v>Alemania</v>
          </cell>
          <cell r="E2018" t="str">
            <v>DC</v>
          </cell>
          <cell r="F2018">
            <v>61</v>
          </cell>
          <cell r="G2018">
            <v>20</v>
          </cell>
        </row>
        <row r="2019">
          <cell r="A2019">
            <v>2018</v>
          </cell>
          <cell r="B2019" t="str">
            <v>Jenson Seelt</v>
          </cell>
          <cell r="C2019" t="str">
            <v>VfL Wolfsburgo</v>
          </cell>
          <cell r="D2019" t="str">
            <v>Países Bajos</v>
          </cell>
          <cell r="E2019" t="str">
            <v>CT</v>
          </cell>
          <cell r="F2019">
            <v>66</v>
          </cell>
          <cell r="G2019">
            <v>22</v>
          </cell>
        </row>
        <row r="2020">
          <cell r="A2020">
            <v>2019</v>
          </cell>
          <cell r="B2020" t="str">
            <v>Jesper Lindstrøm</v>
          </cell>
          <cell r="C2020" t="str">
            <v>VfL Wolfsburgo</v>
          </cell>
          <cell r="D2020" t="str">
            <v>Dinamarca</v>
          </cell>
          <cell r="E2020" t="str">
            <v>ED</v>
          </cell>
          <cell r="F2020">
            <v>76</v>
          </cell>
          <cell r="G2020">
            <v>25</v>
          </cell>
        </row>
        <row r="2021">
          <cell r="A2021">
            <v>2020</v>
          </cell>
          <cell r="B2021" t="str">
            <v>Jonas Wind</v>
          </cell>
          <cell r="C2021" t="str">
            <v>VfL Wolfsburgo</v>
          </cell>
          <cell r="D2021" t="str">
            <v>Dinamarca</v>
          </cell>
          <cell r="E2021" t="str">
            <v>DC</v>
          </cell>
          <cell r="F2021">
            <v>78</v>
          </cell>
          <cell r="G2021">
            <v>26</v>
          </cell>
        </row>
        <row r="2022">
          <cell r="A2022">
            <v>2021</v>
          </cell>
          <cell r="B2022" t="str">
            <v>Kevin Paredes</v>
          </cell>
          <cell r="C2022" t="str">
            <v>VfL Wolfsburgo</v>
          </cell>
          <cell r="D2022" t="str">
            <v>Estados Unidos</v>
          </cell>
          <cell r="E2022" t="str">
            <v>EI</v>
          </cell>
          <cell r="F2022">
            <v>75</v>
          </cell>
          <cell r="G2022">
            <v>22</v>
          </cell>
        </row>
        <row r="2023">
          <cell r="A2023">
            <v>2022</v>
          </cell>
          <cell r="B2023" t="str">
            <v>Kilian Fischer</v>
          </cell>
          <cell r="C2023" t="str">
            <v>VfL Wolfsburgo</v>
          </cell>
          <cell r="D2023" t="str">
            <v>Alemania</v>
          </cell>
          <cell r="E2023" t="str">
            <v>LD</v>
          </cell>
          <cell r="F2023">
            <v>71</v>
          </cell>
          <cell r="G2023">
            <v>25</v>
          </cell>
        </row>
        <row r="2024">
          <cell r="A2024">
            <v>2023</v>
          </cell>
          <cell r="B2024" t="str">
            <v>K. Koulierakis</v>
          </cell>
          <cell r="C2024" t="str">
            <v>VfL Wolfsburgo</v>
          </cell>
          <cell r="D2024" t="str">
            <v>Grecia</v>
          </cell>
          <cell r="E2024" t="str">
            <v>CT</v>
          </cell>
          <cell r="F2024">
            <v>75</v>
          </cell>
          <cell r="G2024">
            <v>22</v>
          </cell>
        </row>
        <row r="2025">
          <cell r="A2025">
            <v>2024</v>
          </cell>
          <cell r="B2025" t="str">
            <v>Lovro Majer</v>
          </cell>
          <cell r="C2025" t="str">
            <v>VfL Wolfsburgo</v>
          </cell>
          <cell r="D2025" t="str">
            <v>Croacia</v>
          </cell>
          <cell r="E2025" t="str">
            <v>MO</v>
          </cell>
          <cell r="F2025">
            <v>79</v>
          </cell>
          <cell r="G2025">
            <v>27</v>
          </cell>
        </row>
        <row r="2026">
          <cell r="A2026">
            <v>2025</v>
          </cell>
          <cell r="B2026" t="str">
            <v>Marius Müller</v>
          </cell>
          <cell r="C2026" t="str">
            <v>VfL Wolfsburgo</v>
          </cell>
          <cell r="D2026" t="str">
            <v>Alemania</v>
          </cell>
          <cell r="E2026" t="str">
            <v>PO</v>
          </cell>
          <cell r="F2026">
            <v>74</v>
          </cell>
          <cell r="G2026">
            <v>32</v>
          </cell>
        </row>
        <row r="2027">
          <cell r="A2027">
            <v>2026</v>
          </cell>
          <cell r="B2027" t="str">
            <v>Mathys Angély</v>
          </cell>
          <cell r="C2027" t="str">
            <v>VfL Wolfsburgo</v>
          </cell>
          <cell r="D2027" t="str">
            <v>Francia</v>
          </cell>
          <cell r="E2027" t="str">
            <v>CT</v>
          </cell>
          <cell r="F2027">
            <v>61</v>
          </cell>
          <cell r="G2027">
            <v>18</v>
          </cell>
        </row>
        <row r="2028">
          <cell r="A2028">
            <v>2027</v>
          </cell>
          <cell r="B2028" t="str">
            <v>Mattias Svanberg</v>
          </cell>
          <cell r="C2028" t="str">
            <v>VfL Wolfsburgo</v>
          </cell>
          <cell r="D2028" t="str">
            <v>Suecia</v>
          </cell>
          <cell r="E2028" t="str">
            <v>MC</v>
          </cell>
          <cell r="F2028">
            <v>77</v>
          </cell>
          <cell r="G2028">
            <v>26</v>
          </cell>
        </row>
        <row r="2029">
          <cell r="A2029">
            <v>2028</v>
          </cell>
          <cell r="B2029" t="str">
            <v>Maximilian Arnold</v>
          </cell>
          <cell r="C2029" t="str">
            <v>VfL Wolfsburgo</v>
          </cell>
          <cell r="D2029" t="str">
            <v>Alemania</v>
          </cell>
          <cell r="E2029" t="str">
            <v>MC</v>
          </cell>
          <cell r="F2029">
            <v>80</v>
          </cell>
          <cell r="G2029">
            <v>31</v>
          </cell>
        </row>
        <row r="2030">
          <cell r="A2030">
            <v>2029</v>
          </cell>
          <cell r="B2030" t="str">
            <v>Mohamed Amoura</v>
          </cell>
          <cell r="C2030" t="str">
            <v>VfL Wolfsburgo</v>
          </cell>
          <cell r="D2030" t="str">
            <v>Argelia</v>
          </cell>
          <cell r="E2030" t="str">
            <v>DC</v>
          </cell>
          <cell r="F2030">
            <v>80</v>
          </cell>
          <cell r="G2030">
            <v>25</v>
          </cell>
        </row>
        <row r="2031">
          <cell r="A2031">
            <v>2030</v>
          </cell>
          <cell r="B2031" t="str">
            <v>Moritz Jenz</v>
          </cell>
          <cell r="C2031" t="str">
            <v>VfL Wolfsburgo</v>
          </cell>
          <cell r="D2031" t="str">
            <v>Alemania</v>
          </cell>
          <cell r="E2031" t="str">
            <v>CT</v>
          </cell>
          <cell r="F2031">
            <v>74</v>
          </cell>
          <cell r="G2031">
            <v>26</v>
          </cell>
        </row>
        <row r="2032">
          <cell r="A2032">
            <v>2031</v>
          </cell>
          <cell r="B2032" t="str">
            <v>Patrick Wimmer</v>
          </cell>
          <cell r="C2032" t="str">
            <v>VfL Wolfsburgo</v>
          </cell>
          <cell r="D2032" t="str">
            <v>Austria</v>
          </cell>
          <cell r="E2032" t="str">
            <v>ED</v>
          </cell>
          <cell r="F2032">
            <v>77</v>
          </cell>
          <cell r="G2032">
            <v>24</v>
          </cell>
        </row>
        <row r="2033">
          <cell r="A2033">
            <v>2032</v>
          </cell>
          <cell r="B2033" t="str">
            <v>Pavao Pervan</v>
          </cell>
          <cell r="C2033" t="str">
            <v>VfL Wolfsburgo</v>
          </cell>
          <cell r="D2033" t="str">
            <v>Austria</v>
          </cell>
          <cell r="E2033" t="str">
            <v>PO</v>
          </cell>
          <cell r="F2033">
            <v>73</v>
          </cell>
          <cell r="G2033">
            <v>38</v>
          </cell>
        </row>
        <row r="2034">
          <cell r="A2034">
            <v>2033</v>
          </cell>
          <cell r="B2034" t="str">
            <v>Rogério Oliveira</v>
          </cell>
          <cell r="C2034" t="str">
            <v>VfL Wolfsburgo</v>
          </cell>
          <cell r="D2034" t="str">
            <v>Brasil</v>
          </cell>
          <cell r="E2034" t="str">
            <v>LI</v>
          </cell>
          <cell r="F2034">
            <v>75</v>
          </cell>
          <cell r="G2034">
            <v>27</v>
          </cell>
        </row>
        <row r="2035">
          <cell r="A2035">
            <v>2034</v>
          </cell>
          <cell r="B2035" t="str">
            <v>Saël Kumbedi</v>
          </cell>
          <cell r="C2035" t="str">
            <v>VfL Wolfsburgo</v>
          </cell>
          <cell r="D2035" t="str">
            <v>Francia</v>
          </cell>
          <cell r="E2035" t="str">
            <v>LD</v>
          </cell>
          <cell r="F2035">
            <v>72</v>
          </cell>
          <cell r="G2035">
            <v>20</v>
          </cell>
        </row>
        <row r="2036">
          <cell r="A2036">
            <v>2035</v>
          </cell>
          <cell r="B2036" t="str">
            <v>Vini Souza</v>
          </cell>
          <cell r="C2036" t="str">
            <v>VfL Wolfsburgo</v>
          </cell>
          <cell r="D2036" t="str">
            <v>Brasil</v>
          </cell>
          <cell r="E2036" t="str">
            <v>MCD</v>
          </cell>
          <cell r="F2036">
            <v>75</v>
          </cell>
          <cell r="G2036">
            <v>26</v>
          </cell>
        </row>
        <row r="2037">
          <cell r="A2037">
            <v>2036</v>
          </cell>
          <cell r="B2037" t="str">
            <v>Yannick Gerhardt</v>
          </cell>
          <cell r="C2037" t="str">
            <v>VfL Wolfsburgo</v>
          </cell>
          <cell r="D2037" t="str">
            <v>Alemania</v>
          </cell>
          <cell r="E2037" t="str">
            <v>MC</v>
          </cell>
          <cell r="F2037">
            <v>77</v>
          </cell>
          <cell r="G2037">
            <v>31</v>
          </cell>
        </row>
        <row r="2038">
          <cell r="A2038">
            <v>2037</v>
          </cell>
        </row>
      </sheetData>
    </sheetDataSet>
  </externalBook>
</externalLink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U2038"/>
  <sheetViews>
    <sheetView showFormulas="false" showGridLines="true" showRowColHeaders="true" showZeros="true" rightToLeft="false" tabSelected="true" showOutlineSymbols="true" defaultGridColor="true" view="normal" topLeftCell="J1" colorId="64" zoomScale="100" zoomScaleNormal="100" zoomScalePageLayoutView="100" workbookViewId="0">
      <selection pane="topLeft" activeCell="R18" activeCellId="0" sqref="R17:R18"/>
    </sheetView>
  </sheetViews>
  <sheetFormatPr defaultColWidth="11.53515625" defaultRowHeight="12.8" customHeight="false" zeroHeight="false" outlineLevelRow="0" outlineLevelCol="0"/>
  <cols>
    <col collapsed="false" customWidth="true" hidden="false" outlineLevel="0" max="4" min="4" style="0" width="19.33"/>
    <col collapsed="false" customWidth="true" hidden="false" outlineLevel="0" max="9" min="9" style="0" width="25.04"/>
    <col collapsed="false" customWidth="true" hidden="false" outlineLevel="0" max="10" min="10" style="0" width="22.25"/>
    <col collapsed="false" customWidth="true" hidden="false" outlineLevel="0" max="20" min="20" style="0" width="23.65"/>
  </cols>
  <sheetData>
    <row r="1" customFormat="false" ht="13.8" hidden="false" customHeight="false" outlineLevel="0" collapsed="false">
      <c r="A1" s="1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3" t="s">
        <v>10</v>
      </c>
      <c r="L1" s="3" t="s">
        <v>11</v>
      </c>
      <c r="M1" s="3" t="s">
        <v>12</v>
      </c>
      <c r="N1" s="4" t="s">
        <v>13</v>
      </c>
      <c r="O1" s="4" t="s">
        <v>14</v>
      </c>
      <c r="P1" s="5" t="s">
        <v>15</v>
      </c>
      <c r="Q1" s="5" t="s">
        <v>16</v>
      </c>
      <c r="R1" s="5" t="s">
        <v>17</v>
      </c>
      <c r="S1" s="6" t="s">
        <v>18</v>
      </c>
      <c r="T1" s="6" t="s">
        <v>19</v>
      </c>
      <c r="U1" s="6" t="s">
        <v>20</v>
      </c>
    </row>
    <row r="2" customFormat="false" ht="16.4" hidden="false" customHeight="false" outlineLevel="0" collapsed="false">
      <c r="A2" s="1" t="n">
        <v>1</v>
      </c>
      <c r="B2" s="5" t="str">
        <f aca="false">[1]Base_Jugadores!B2</f>
        <v>Abde Rebbach</v>
      </c>
      <c r="C2" s="5" t="str">
        <f aca="false">IFERROR(
   _xlfn.XLOOKUP(VALUE(A2),[1]Fichajes_Realizados!A$2:A$50000,[1]Fichajes_Realizados!D$2:D$50000,,0,-1),
   _xlfn.XLOOKUP(VALUE(A2),[1]Base_Jugadores!A$2:A$50000,[1]Base_Jugadores!C$2:C$50000)
)</f>
        <v>Deportivo Alavés</v>
      </c>
      <c r="D2" s="5" t="str">
        <f aca="false">[1]Base_Jugadores!D2</f>
        <v>Argelia</v>
      </c>
      <c r="E2" s="3"/>
      <c r="F2" s="5" t="str">
        <f aca="false">[1]Base_Jugadores!E2</f>
        <v>EI</v>
      </c>
      <c r="G2" s="5" t="n">
        <f aca="false">[1]Base_Jugadores!F2</f>
        <v>70</v>
      </c>
      <c r="H2" s="5" t="n">
        <f aca="false">[1]Base_Jugadores!G2</f>
        <v>27</v>
      </c>
      <c r="I2" s="7" t="n">
        <f aca="false" t="array" ref="I2:I2">_xlfn.XLOOKUP(G2,{55;56;57;58;59;60;61;62;63;64;65;66;67;68;69;70;71;72;73;74;75;76;77;78;79;80;81;82;83;84;85;86;87;88;89;90;91;92;93;94;95;96;97;98;99},{100000;130000;160000;190000;220000;250000;300000;350000;400000;450000;500000;600000;700000;800000;900000;1000000;1500000;2000000;3000000;4000000;5000000;6500000;8000000;10000000;12500000;15000000;20000000;25000000;30000000;35000000;40000000;55000000;70000000;80000000;90000000;110000000;130000000;160000000;190000000;220000000;250000000;280000000;310000000;340000000;400000000})</f>
        <v>1000000</v>
      </c>
      <c r="J2" s="7" t="n">
        <f aca="false">I2*S2*T2*U2</f>
        <v>1518000</v>
      </c>
      <c r="K2" s="8"/>
      <c r="L2" s="3"/>
      <c r="M2" s="8"/>
      <c r="N2" s="9" t="n">
        <v>0</v>
      </c>
      <c r="O2" s="4" t="n">
        <v>0</v>
      </c>
      <c r="P2" s="5" t="n">
        <f aca="false">IF(COUNTIF([1]Base_Jugadores!J$2:J$500,B2)&gt;0,1,0)</f>
        <v>0</v>
      </c>
      <c r="Q2" s="10" t="b">
        <f aca="false">--(COUNTIFS(
   [1]Fichajes_Realizados!A$2:A$5000,A2,
   [1]Fichajes_Realizados!G$2:G$5000,$X$3
)&gt;0)</f>
        <v>0</v>
      </c>
      <c r="R2" s="5" t="n">
        <f aca="false">_xlfn.XLOOKUP(C2, [1]Estado_Equipos!A$2:A$500, [1]Estado_Equipos!J$2:J$500, "")</f>
        <v>72</v>
      </c>
      <c r="S2" s="5" t="n">
        <f aca="false">IF(H2&lt;=16,1.45,
IF(H2&gt;=41,0.3,
CHOOSE(ROUNDDOWN((H2-16)/2,0)+1,
1.45,1.38,1.3,1.23,1.17,1.15,1.12,1.05,0.95,0.8,0.6,0.4,0.3)))</f>
        <v>1.15</v>
      </c>
      <c r="T2" s="5" t="n">
        <f aca="false">CHOOSE(N2+1,1.2,1,0.85,0.7)</f>
        <v>1.2</v>
      </c>
      <c r="U2" s="5" t="n">
        <f aca="false">IF(F2="PO",0.6,
IF(F2="CT",0.75,
IF(F2="LI",0.8,
IF(F2="LD",0.8,
IF(F2="MCD",0.85,
IF(F2="MC",0.95,
IF(F2="MO",1.05,
IF(F2="EI",1.1,
IF(F2="ED",1.1,
IF(F2="SD",1.15,
IF(F2="DC",1.2,0)))))))))))</f>
        <v>1.1</v>
      </c>
    </row>
    <row r="3" customFormat="false" ht="16.4" hidden="false" customHeight="false" outlineLevel="0" collapsed="false">
      <c r="A3" s="1" t="n">
        <v>2</v>
      </c>
      <c r="B3" s="5" t="str">
        <f aca="false">[1]Base_Jugadores!B3</f>
        <v>Ander Guevara</v>
      </c>
      <c r="C3" s="5" t="str">
        <f aca="false">IFERROR(
   _xlfn.XLOOKUP(VALUE(A3),[1]Fichajes_Realizados!A$2:A$50000,[1]Fichajes_Realizados!D$2:D$50000,,0,-1),
   _xlfn.XLOOKUP(VALUE(A3),[1]Base_Jugadores!A$2:A$50000,[1]Base_Jugadores!C$2:C$50000)
)</f>
        <v>Deportivo Alavés</v>
      </c>
      <c r="D3" s="5" t="str">
        <f aca="false">[1]Base_Jugadores!D3</f>
        <v>España</v>
      </c>
      <c r="E3" s="3"/>
      <c r="F3" s="5" t="str">
        <f aca="false">[1]Base_Jugadores!E3</f>
        <v>MC</v>
      </c>
      <c r="G3" s="5" t="n">
        <f aca="false">[1]Base_Jugadores!F3</f>
        <v>75</v>
      </c>
      <c r="H3" s="5" t="n">
        <f aca="false">[1]Base_Jugadores!G3</f>
        <v>28</v>
      </c>
      <c r="I3" s="7" t="n">
        <f aca="false" t="array" ref="I3:I3">_xlfn.XLOOKUP(G3,{55;56;57;58;59;60;61;62;63;64;65;66;67;68;69;70;71;72;73;74;75;76;77;78;79;80;81;82;83;84;85;86;87;88;89;90;91;92;93;94;95;96;97;98;99},{100000;130000;160000;190000;220000;250000;300000;350000;400000;450000;500000;600000;700000;800000;900000;1000000;1500000;2000000;3000000;4000000;5000000;6500000;8000000;10000000;12500000;15000000;20000000;25000000;30000000;35000000;40000000;55000000;70000000;80000000;90000000;110000000;130000000;160000000;190000000;220000000;250000000;280000000;310000000;340000000;400000000})</f>
        <v>5000000</v>
      </c>
      <c r="J3" s="7" t="n">
        <f aca="false">I3*S3*T3*U3</f>
        <v>6384000</v>
      </c>
      <c r="K3" s="8"/>
      <c r="L3" s="3"/>
      <c r="M3" s="8"/>
      <c r="N3" s="9" t="n">
        <v>0</v>
      </c>
      <c r="O3" s="4" t="n">
        <v>0</v>
      </c>
      <c r="P3" s="5" t="n">
        <f aca="false">IF(COUNTIF([1]Base_Jugadores!J$2:J$500,B3)&gt;0,1,0)</f>
        <v>1</v>
      </c>
      <c r="Q3" s="10" t="b">
        <f aca="false">--(COUNTIFS(
   [1]Fichajes_Realizados!A$2:A$5000,A3,
   [1]Fichajes_Realizados!G$2:G$5000,$X$3
)&gt;0)</f>
        <v>0</v>
      </c>
      <c r="R3" s="5" t="n">
        <f aca="false">_xlfn.XLOOKUP(C3, [1]Estado_Equipos!A$2:A$500, [1]Estado_Equipos!J$2:J$500, "")</f>
        <v>72</v>
      </c>
      <c r="S3" s="5" t="n">
        <f aca="false">IF(H3&lt;=16,1.45,
IF(H3&gt;=41,0.3,
CHOOSE(ROUNDDOWN((H3-16)/2,0)+1,
1.45,1.38,1.3,1.23,1.17,1.15,1.12,1.05,0.95,0.8,0.6,0.4,0.3)))</f>
        <v>1.12</v>
      </c>
      <c r="T3" s="5" t="n">
        <f aca="false">CHOOSE(N3+1,1.2,1,0.85,0.7)</f>
        <v>1.2</v>
      </c>
      <c r="U3" s="5" t="n">
        <f aca="false">IF(F3="PO",0.6,
IF(F3="CT",0.75,
IF(F3="LI",0.8,
IF(F3="LD",0.8,
IF(F3="MCD",0.85,
IF(F3="MC",0.95,
IF(F3="MO",1.05,
IF(F3="EI",1.1,
IF(F3="ED",1.1,
IF(F3="SD",1.15,
IF(F3="DC",1.2,0)))))))))))</f>
        <v>0.95</v>
      </c>
    </row>
    <row r="4" customFormat="false" ht="16.4" hidden="false" customHeight="false" outlineLevel="0" collapsed="false">
      <c r="A4" s="1" t="n">
        <v>3</v>
      </c>
      <c r="B4" s="5" t="str">
        <f aca="false">[1]Base_Jugadores!B4</f>
        <v>Antonio Blanco</v>
      </c>
      <c r="C4" s="5" t="str">
        <f aca="false">IFERROR(
   _xlfn.XLOOKUP(VALUE(A4),[1]Fichajes_Realizados!A$2:A$50000,[1]Fichajes_Realizados!D$2:D$50000,,0,-1),
   _xlfn.XLOOKUP(VALUE(A4),[1]Base_Jugadores!A$2:A$50000,[1]Base_Jugadores!C$2:C$50000)
)</f>
        <v>Deportivo Alavés</v>
      </c>
      <c r="D4" s="5" t="str">
        <f aca="false">[1]Base_Jugadores!D4</f>
        <v>España</v>
      </c>
      <c r="E4" s="3"/>
      <c r="F4" s="5" t="str">
        <f aca="false">[1]Base_Jugadores!E4</f>
        <v>MCD</v>
      </c>
      <c r="G4" s="5" t="n">
        <f aca="false">[1]Base_Jugadores!F4</f>
        <v>75</v>
      </c>
      <c r="H4" s="5" t="n">
        <f aca="false">[1]Base_Jugadores!G4</f>
        <v>25</v>
      </c>
      <c r="I4" s="7" t="n">
        <f aca="false" t="array" ref="I4:I4">_xlfn.XLOOKUP(G4,{55;56;57;58;59;60;61;62;63;64;65;66;67;68;69;70;71;72;73;74;75;76;77;78;79;80;81;82;83;84;85;86;87;88;89;90;91;92;93;94;95;96;97;98;99},{100000;130000;160000;190000;220000;250000;300000;350000;400000;450000;500000;600000;700000;800000;900000;1000000;1500000;2000000;3000000;4000000;5000000;6500000;8000000;10000000;12500000;15000000;20000000;25000000;30000000;35000000;40000000;55000000;70000000;80000000;90000000;110000000;130000000;160000000;190000000;220000000;250000000;280000000;310000000;340000000;400000000})</f>
        <v>5000000</v>
      </c>
      <c r="J4" s="7" t="n">
        <f aca="false">I4*S4*T4*U4</f>
        <v>5967000</v>
      </c>
      <c r="K4" s="8"/>
      <c r="L4" s="3"/>
      <c r="M4" s="8"/>
      <c r="N4" s="9" t="n">
        <v>0</v>
      </c>
      <c r="O4" s="4" t="n">
        <v>0</v>
      </c>
      <c r="P4" s="5" t="n">
        <f aca="false">IF(COUNTIF([1]Base_Jugadores!J$2:J$500,B4)&gt;0,1,0)</f>
        <v>0</v>
      </c>
      <c r="Q4" s="10" t="b">
        <f aca="false">--(COUNTIFS(
   [1]Fichajes_Realizados!A$2:A$5000,A4,
   [1]Fichajes_Realizados!G$2:G$5000,$X$3
)&gt;0)</f>
        <v>0</v>
      </c>
      <c r="R4" s="5" t="n">
        <f aca="false">_xlfn.XLOOKUP(C4, [1]Estado_Equipos!A$2:A$500, [1]Estado_Equipos!J$2:J$500, "")</f>
        <v>72</v>
      </c>
      <c r="S4" s="5" t="n">
        <f aca="false">IF(H4&lt;=16,1.45,
IF(H4&gt;=41,0.3,
CHOOSE(ROUNDDOWN((H4-16)/2,0)+1,
1.45,1.38,1.3,1.23,1.17,1.15,1.12,1.05,0.95,0.8,0.6,0.4,0.3)))</f>
        <v>1.17</v>
      </c>
      <c r="T4" s="5" t="n">
        <f aca="false">CHOOSE(N4+1,1.2,1,0.85,0.7)</f>
        <v>1.2</v>
      </c>
      <c r="U4" s="5" t="n">
        <f aca="false">IF(F4="PO",0.6,
IF(F4="CT",0.75,
IF(F4="LI",0.8,
IF(F4="LD",0.8,
IF(F4="MCD",0.85,
IF(F4="MC",0.95,
IF(F4="MO",1.05,
IF(F4="EI",1.1,
IF(F4="ED",1.1,
IF(F4="SD",1.15,
IF(F4="DC",1.2,0)))))))))))</f>
        <v>0.85</v>
      </c>
    </row>
    <row r="5" customFormat="false" ht="16.4" hidden="false" customHeight="false" outlineLevel="0" collapsed="false">
      <c r="A5" s="1" t="n">
        <v>4</v>
      </c>
      <c r="B5" s="5" t="str">
        <f aca="false">[1]Base_Jugadores!B5</f>
        <v>Antonio Sivera</v>
      </c>
      <c r="C5" s="5" t="str">
        <f aca="false">IFERROR(
   _xlfn.XLOOKUP(VALUE(A5),[1]Fichajes_Realizados!A$2:A$50000,[1]Fichajes_Realizados!D$2:D$50000,,0,-1),
   _xlfn.XLOOKUP(VALUE(A5),[1]Base_Jugadores!A$2:A$50000,[1]Base_Jugadores!C$2:C$50000)
)</f>
        <v>Deportivo Alavés</v>
      </c>
      <c r="D5" s="5" t="str">
        <f aca="false">[1]Base_Jugadores!D5</f>
        <v>España</v>
      </c>
      <c r="E5" s="3"/>
      <c r="F5" s="5" t="str">
        <f aca="false">[1]Base_Jugadores!E5</f>
        <v>PO</v>
      </c>
      <c r="G5" s="5" t="n">
        <f aca="false">[1]Base_Jugadores!F5</f>
        <v>76</v>
      </c>
      <c r="H5" s="5" t="n">
        <f aca="false">[1]Base_Jugadores!G5</f>
        <v>29</v>
      </c>
      <c r="I5" s="7" t="n">
        <f aca="false" t="array" ref="I5:I5">_xlfn.XLOOKUP(G5,{55;56;57;58;59;60;61;62;63;64;65;66;67;68;69;70;71;72;73;74;75;76;77;78;79;80;81;82;83;84;85;86;87;88;89;90;91;92;93;94;95;96;97;98;99},{100000;130000;160000;190000;220000;250000;300000;350000;400000;450000;500000;600000;700000;800000;900000;1000000;1500000;2000000;3000000;4000000;5000000;6500000;8000000;10000000;12500000;15000000;20000000;25000000;30000000;35000000;40000000;55000000;70000000;80000000;90000000;110000000;130000000;160000000;190000000;220000000;250000000;280000000;310000000;340000000;400000000})</f>
        <v>6500000</v>
      </c>
      <c r="J5" s="7" t="n">
        <f aca="false">I5*S5*T5*U5</f>
        <v>5241600</v>
      </c>
      <c r="K5" s="8"/>
      <c r="L5" s="3"/>
      <c r="M5" s="8"/>
      <c r="N5" s="9" t="n">
        <v>0</v>
      </c>
      <c r="O5" s="4" t="n">
        <v>0</v>
      </c>
      <c r="P5" s="5" t="n">
        <f aca="false">IF(COUNTIF([1]Base_Jugadores!J$2:J$500,B5)&gt;0,1,0)</f>
        <v>0</v>
      </c>
      <c r="Q5" s="10" t="b">
        <f aca="false">--(COUNTIFS(
   [1]Fichajes_Realizados!A$2:A$5000,A5,
   [1]Fichajes_Realizados!G$2:G$5000,$X$3
)&gt;0)</f>
        <v>0</v>
      </c>
      <c r="R5" s="5" t="n">
        <f aca="false">_xlfn.XLOOKUP(C5, [1]Estado_Equipos!A$2:A$500, [1]Estado_Equipos!J$2:J$500, "")</f>
        <v>72</v>
      </c>
      <c r="S5" s="5" t="n">
        <f aca="false">IF(H5&lt;=16,1.45,
IF(H5&gt;=41,0.3,
CHOOSE(ROUNDDOWN((H5-16)/2,0)+1,
1.45,1.38,1.3,1.23,1.17,1.15,1.12,1.05,0.95,0.8,0.6,0.4,0.3)))</f>
        <v>1.12</v>
      </c>
      <c r="T5" s="5" t="n">
        <f aca="false">CHOOSE(N5+1,1.2,1,0.85,0.7)</f>
        <v>1.2</v>
      </c>
      <c r="U5" s="5" t="n">
        <f aca="false">IF(F5="PO",0.6,
IF(F5="CT",0.75,
IF(F5="LI",0.8,
IF(F5="LD",0.8,
IF(F5="MCD",0.85,
IF(F5="MC",0.95,
IF(F5="MO",1.05,
IF(F5="EI",1.1,
IF(F5="ED",1.1,
IF(F5="SD",1.15,
IF(F5="DC",1.2,0)))))))))))</f>
        <v>0.6</v>
      </c>
    </row>
    <row r="6" customFormat="false" ht="16.4" hidden="false" customHeight="false" outlineLevel="0" collapsed="false">
      <c r="A6" s="1" t="n">
        <v>5</v>
      </c>
      <c r="B6" s="5" t="str">
        <f aca="false">[1]Base_Jugadores!B6</f>
        <v>Calebe</v>
      </c>
      <c r="C6" s="5" t="str">
        <f aca="false">IFERROR(
   _xlfn.XLOOKUP(VALUE(A6),[1]Fichajes_Realizados!A$2:A$50000,[1]Fichajes_Realizados!D$2:D$50000,,0,-1),
   _xlfn.XLOOKUP(VALUE(A6),[1]Base_Jugadores!A$2:A$50000,[1]Base_Jugadores!C$2:C$50000)
)</f>
        <v>Deportivo Alavés</v>
      </c>
      <c r="D6" s="5" t="str">
        <f aca="false">[1]Base_Jugadores!D6</f>
        <v>Brasil</v>
      </c>
      <c r="E6" s="3"/>
      <c r="F6" s="5" t="str">
        <f aca="false">[1]Base_Jugadores!E6</f>
        <v>MO</v>
      </c>
      <c r="G6" s="5" t="n">
        <f aca="false">[1]Base_Jugadores!F6</f>
        <v>71</v>
      </c>
      <c r="H6" s="5" t="n">
        <f aca="false">[1]Base_Jugadores!G6</f>
        <v>25</v>
      </c>
      <c r="I6" s="7" t="n">
        <f aca="false" t="array" ref="I6:I6">_xlfn.XLOOKUP(G6,{55;56;57;58;59;60;61;62;63;64;65;66;67;68;69;70;71;72;73;74;75;76;77;78;79;80;81;82;83;84;85;86;87;88;89;90;91;92;93;94;95;96;97;98;99},{100000;130000;160000;190000;220000;250000;300000;350000;400000;450000;500000;600000;700000;800000;900000;1000000;1500000;2000000;3000000;4000000;5000000;6500000;8000000;10000000;12500000;15000000;20000000;25000000;30000000;35000000;40000000;55000000;70000000;80000000;90000000;110000000;130000000;160000000;190000000;220000000;250000000;280000000;310000000;340000000;400000000})</f>
        <v>1500000</v>
      </c>
      <c r="J6" s="7" t="n">
        <f aca="false">I6*S6*T6*U6</f>
        <v>1566337.5</v>
      </c>
      <c r="K6" s="8"/>
      <c r="L6" s="3"/>
      <c r="M6" s="8"/>
      <c r="N6" s="9" t="n">
        <v>2</v>
      </c>
      <c r="O6" s="4" t="n">
        <v>0</v>
      </c>
      <c r="P6" s="5" t="n">
        <f aca="false">IF(COUNTIF([1]Base_Jugadores!J$2:J$500,B6)&gt;0,1,0)</f>
        <v>0</v>
      </c>
      <c r="Q6" s="10" t="b">
        <f aca="false">--(COUNTIFS(
   [1]Fichajes_Realizados!A$2:A$5000,A6,
   [1]Fichajes_Realizados!G$2:G$5000,$X$3
)&gt;0)</f>
        <v>0</v>
      </c>
      <c r="R6" s="5" t="n">
        <f aca="false">_xlfn.XLOOKUP(C6, [1]Estado_Equipos!A$2:A$500, [1]Estado_Equipos!J$2:J$500, "")</f>
        <v>72</v>
      </c>
      <c r="S6" s="5" t="n">
        <f aca="false">IF(H6&lt;=16,1.45,
IF(H6&gt;=41,0.3,
CHOOSE(ROUNDDOWN((H6-16)/2,0)+1,
1.45,1.38,1.3,1.23,1.17,1.15,1.12,1.05,0.95,0.8,0.6,0.4,0.3)))</f>
        <v>1.17</v>
      </c>
      <c r="T6" s="5" t="n">
        <f aca="false">CHOOSE(N6+1,1.2,1,0.85,0.7)</f>
        <v>0.85</v>
      </c>
      <c r="U6" s="5" t="n">
        <f aca="false">IF(F6="PO",0.6,
IF(F6="CT",0.75,
IF(F6="LI",0.8,
IF(F6="LD",0.8,
IF(F6="MCD",0.85,
IF(F6="MC",0.95,
IF(F6="MO",1.05,
IF(F6="EI",1.1,
IF(F6="ED",1.1,
IF(F6="SD",1.15,
IF(F6="DC",1.2,0)))))))))))</f>
        <v>1.05</v>
      </c>
    </row>
    <row r="7" customFormat="false" ht="16.4" hidden="false" customHeight="false" outlineLevel="0" collapsed="false">
      <c r="A7" s="1" t="n">
        <v>6</v>
      </c>
      <c r="B7" s="5" t="str">
        <f aca="false">[1]Base_Jugadores!B7</f>
        <v>Carles Aleñá</v>
      </c>
      <c r="C7" s="5" t="str">
        <f aca="false">IFERROR(
   _xlfn.XLOOKUP(VALUE(A7),[1]Fichajes_Realizados!A$2:A$50000,[1]Fichajes_Realizados!D$2:D$50000,,0,-1),
   _xlfn.XLOOKUP(VALUE(A7),[1]Base_Jugadores!A$2:A$50000,[1]Base_Jugadores!C$2:C$50000)
)</f>
        <v>Deportivo Alavés</v>
      </c>
      <c r="D7" s="5" t="str">
        <f aca="false">[1]Base_Jugadores!D7</f>
        <v>España</v>
      </c>
      <c r="E7" s="3"/>
      <c r="F7" s="5" t="str">
        <f aca="false">[1]Base_Jugadores!E7</f>
        <v>MC</v>
      </c>
      <c r="G7" s="5" t="n">
        <f aca="false">[1]Base_Jugadores!F7</f>
        <v>74</v>
      </c>
      <c r="H7" s="5" t="n">
        <f aca="false">[1]Base_Jugadores!G7</f>
        <v>27</v>
      </c>
      <c r="I7" s="7" t="n">
        <f aca="false" t="array" ref="I7:I7">_xlfn.XLOOKUP(G7,{55;56;57;58;59;60;61;62;63;64;65;66;67;68;69;70;71;72;73;74;75;76;77;78;79;80;81;82;83;84;85;86;87;88;89;90;91;92;93;94;95;96;97;98;99},{100000;130000;160000;190000;220000;250000;300000;350000;400000;450000;500000;600000;700000;800000;900000;1000000;1500000;2000000;3000000;4000000;5000000;6500000;8000000;10000000;12500000;15000000;20000000;25000000;30000000;35000000;40000000;55000000;70000000;80000000;90000000;110000000;130000000;160000000;190000000;220000000;250000000;280000000;310000000;340000000;400000000})</f>
        <v>4000000</v>
      </c>
      <c r="J7" s="7" t="n">
        <f aca="false">I7*S7*T7*U7</f>
        <v>4370000</v>
      </c>
      <c r="K7" s="8"/>
      <c r="L7" s="3"/>
      <c r="M7" s="8"/>
      <c r="N7" s="9" t="n">
        <v>1</v>
      </c>
      <c r="O7" s="4" t="n">
        <v>0</v>
      </c>
      <c r="P7" s="5" t="n">
        <f aca="false">IF(COUNTIF([1]Base_Jugadores!J$2:J$500,B7)&gt;0,1,0)</f>
        <v>0</v>
      </c>
      <c r="Q7" s="10" t="b">
        <f aca="false">--(COUNTIFS(
   [1]Fichajes_Realizados!A$2:A$5000,A7,
   [1]Fichajes_Realizados!G$2:G$5000,$X$3
)&gt;0)</f>
        <v>0</v>
      </c>
      <c r="R7" s="5" t="n">
        <f aca="false">_xlfn.XLOOKUP(C7, [1]Estado_Equipos!A$2:A$500, [1]Estado_Equipos!J$2:J$500, "")</f>
        <v>72</v>
      </c>
      <c r="S7" s="5" t="n">
        <f aca="false">IF(H7&lt;=16,1.45,
IF(H7&gt;=41,0.3,
CHOOSE(ROUNDDOWN((H7-16)/2,0)+1,
1.45,1.38,1.3,1.23,1.17,1.15,1.12,1.05,0.95,0.8,0.6,0.4,0.3)))</f>
        <v>1.15</v>
      </c>
      <c r="T7" s="5" t="n">
        <f aca="false">CHOOSE(N7+1,1.2,1,0.85,0.7)</f>
        <v>1</v>
      </c>
      <c r="U7" s="5" t="n">
        <f aca="false">IF(F7="PO",0.6,
IF(F7="CT",0.75,
IF(F7="LI",0.8,
IF(F7="LD",0.8,
IF(F7="MCD",0.85,
IF(F7="MC",0.95,
IF(F7="MO",1.05,
IF(F7="EI",1.1,
IF(F7="ED",1.1,
IF(F7="SD",1.15,
IF(F7="DC",1.2,0)))))))))))</f>
        <v>0.95</v>
      </c>
    </row>
    <row r="8" customFormat="false" ht="16.4" hidden="false" customHeight="false" outlineLevel="0" collapsed="false">
      <c r="A8" s="1" t="n">
        <v>7</v>
      </c>
      <c r="B8" s="5" t="str">
        <f aca="false">[1]Base_Jugadores!B8</f>
        <v>Carlos Protesoni</v>
      </c>
      <c r="C8" s="5" t="str">
        <f aca="false">IFERROR(
   _xlfn.XLOOKUP(VALUE(A8),[1]Fichajes_Realizados!A$2:A$50000,[1]Fichajes_Realizados!D$2:D$50000,,0,-1),
   _xlfn.XLOOKUP(VALUE(A8),[1]Base_Jugadores!A$2:A$50000,[1]Base_Jugadores!C$2:C$50000)
)</f>
        <v>Deportivo Alavés</v>
      </c>
      <c r="D8" s="5" t="str">
        <f aca="false">[1]Base_Jugadores!D8</f>
        <v>Uruguay</v>
      </c>
      <c r="E8" s="3"/>
      <c r="F8" s="5" t="str">
        <f aca="false">[1]Base_Jugadores!E8</f>
        <v>MCD</v>
      </c>
      <c r="G8" s="5" t="n">
        <f aca="false">[1]Base_Jugadores!F8</f>
        <v>71</v>
      </c>
      <c r="H8" s="5" t="n">
        <f aca="false">[1]Base_Jugadores!G8</f>
        <v>27</v>
      </c>
      <c r="I8" s="7" t="n">
        <f aca="false" t="array" ref="I8:I8">_xlfn.XLOOKUP(G8,{55;56;57;58;59;60;61;62;63;64;65;66;67;68;69;70;71;72;73;74;75;76;77;78;79;80;81;82;83;84;85;86;87;88;89;90;91;92;93;94;95;96;97;98;99},{100000;130000;160000;190000;220000;250000;300000;350000;400000;450000;500000;600000;700000;800000;900000;1000000;1500000;2000000;3000000;4000000;5000000;6500000;8000000;10000000;12500000;15000000;20000000;25000000;30000000;35000000;40000000;55000000;70000000;80000000;90000000;110000000;130000000;160000000;190000000;220000000;250000000;280000000;310000000;340000000;400000000})</f>
        <v>1500000</v>
      </c>
      <c r="J8" s="7" t="n">
        <f aca="false">I8*S8*T8*U8</f>
        <v>1246312.5</v>
      </c>
      <c r="K8" s="8"/>
      <c r="L8" s="3"/>
      <c r="M8" s="8"/>
      <c r="N8" s="9" t="n">
        <v>2</v>
      </c>
      <c r="O8" s="4" t="n">
        <v>0</v>
      </c>
      <c r="P8" s="5" t="n">
        <f aca="false">IF(COUNTIF([1]Base_Jugadores!J$2:J$500,B8)&gt;0,1,0)</f>
        <v>0</v>
      </c>
      <c r="Q8" s="10" t="b">
        <f aca="false">--(COUNTIFS(
   [1]Fichajes_Realizados!A$2:A$5000,A8,
   [1]Fichajes_Realizados!G$2:G$5000,$X$3
)&gt;0)</f>
        <v>0</v>
      </c>
      <c r="R8" s="5" t="n">
        <f aca="false">_xlfn.XLOOKUP(C8, [1]Estado_Equipos!A$2:A$500, [1]Estado_Equipos!J$2:J$500, "")</f>
        <v>72</v>
      </c>
      <c r="S8" s="5" t="n">
        <f aca="false">IF(H8&lt;=16,1.45,
IF(H8&gt;=41,0.3,
CHOOSE(ROUNDDOWN((H8-16)/2,0)+1,
1.45,1.38,1.3,1.23,1.17,1.15,1.12,1.05,0.95,0.8,0.6,0.4,0.3)))</f>
        <v>1.15</v>
      </c>
      <c r="T8" s="5" t="n">
        <f aca="false">CHOOSE(N8+1,1.2,1,0.85,0.7)</f>
        <v>0.85</v>
      </c>
      <c r="U8" s="5" t="n">
        <f aca="false">IF(F8="PO",0.6,
IF(F8="CT",0.75,
IF(F8="LI",0.8,
IF(F8="LD",0.8,
IF(F8="MCD",0.85,
IF(F8="MC",0.95,
IF(F8="MO",1.05,
IF(F8="EI",1.1,
IF(F8="ED",1.1,
IF(F8="SD",1.15,
IF(F8="DC",1.2,0)))))))))))</f>
        <v>0.85</v>
      </c>
    </row>
    <row r="9" customFormat="false" ht="16.4" hidden="false" customHeight="false" outlineLevel="0" collapsed="false">
      <c r="A9" s="1" t="n">
        <v>8</v>
      </c>
      <c r="B9" s="5" t="str">
        <f aca="false">[1]Base_Jugadores!B9</f>
        <v>Carlos Vicente</v>
      </c>
      <c r="C9" s="5" t="str">
        <f aca="false">IFERROR(
   _xlfn.XLOOKUP(VALUE(A9),[1]Fichajes_Realizados!A$2:A$50000,[1]Fichajes_Realizados!D$2:D$50000,,0,-1),
   _xlfn.XLOOKUP(VALUE(A9),[1]Base_Jugadores!A$2:A$50000,[1]Base_Jugadores!C$2:C$50000)
)</f>
        <v>Deportivo Alavés</v>
      </c>
      <c r="D9" s="5" t="str">
        <f aca="false">[1]Base_Jugadores!D9</f>
        <v>España</v>
      </c>
      <c r="E9" s="3"/>
      <c r="F9" s="5" t="str">
        <f aca="false">[1]Base_Jugadores!E9</f>
        <v>ED</v>
      </c>
      <c r="G9" s="5" t="n">
        <f aca="false">[1]Base_Jugadores!F9</f>
        <v>75</v>
      </c>
      <c r="H9" s="5" t="n">
        <f aca="false">[1]Base_Jugadores!G9</f>
        <v>26</v>
      </c>
      <c r="I9" s="7" t="n">
        <f aca="false" t="array" ref="I9:I9">_xlfn.XLOOKUP(G9,{55;56;57;58;59;60;61;62;63;64;65;66;67;68;69;70;71;72;73;74;75;76;77;78;79;80;81;82;83;84;85;86;87;88;89;90;91;92;93;94;95;96;97;98;99},{100000;130000;160000;190000;220000;250000;300000;350000;400000;450000;500000;600000;700000;800000;900000;1000000;1500000;2000000;3000000;4000000;5000000;6500000;8000000;10000000;12500000;15000000;20000000;25000000;30000000;35000000;40000000;55000000;70000000;80000000;90000000;110000000;130000000;160000000;190000000;220000000;250000000;280000000;310000000;340000000;400000000})</f>
        <v>5000000</v>
      </c>
      <c r="J9" s="7" t="n">
        <f aca="false">I9*S9*T9*U9</f>
        <v>7590000</v>
      </c>
      <c r="K9" s="8"/>
      <c r="L9" s="3"/>
      <c r="M9" s="8"/>
      <c r="N9" s="9" t="n">
        <v>0</v>
      </c>
      <c r="O9" s="4" t="n">
        <v>0</v>
      </c>
      <c r="P9" s="5" t="n">
        <f aca="false">IF(COUNTIF([1]Base_Jugadores!J$2:J$500,B9)&gt;0,1,0)</f>
        <v>0</v>
      </c>
      <c r="Q9" s="10" t="b">
        <f aca="false">--(COUNTIFS(
   [1]Fichajes_Realizados!A$2:A$5000,A9,
   [1]Fichajes_Realizados!G$2:G$5000,$X$3
)&gt;0)</f>
        <v>0</v>
      </c>
      <c r="R9" s="5" t="n">
        <f aca="false">_xlfn.XLOOKUP(C9, [1]Estado_Equipos!A$2:A$500, [1]Estado_Equipos!J$2:J$500, "")</f>
        <v>72</v>
      </c>
      <c r="S9" s="5" t="n">
        <f aca="false">IF(H9&lt;=16,1.45,
IF(H9&gt;=41,0.3,
CHOOSE(ROUNDDOWN((H9-16)/2,0)+1,
1.45,1.38,1.3,1.23,1.17,1.15,1.12,1.05,0.95,0.8,0.6,0.4,0.3)))</f>
        <v>1.15</v>
      </c>
      <c r="T9" s="5" t="n">
        <f aca="false">CHOOSE(N9+1,1.2,1,0.85,0.7)</f>
        <v>1.2</v>
      </c>
      <c r="U9" s="5" t="n">
        <f aca="false">IF(F9="PO",0.6,
IF(F9="CT",0.75,
IF(F9="LI",0.8,
IF(F9="LD",0.8,
IF(F9="MCD",0.85,
IF(F9="MC",0.95,
IF(F9="MO",1.05,
IF(F9="EI",1.1,
IF(F9="ED",1.1,
IF(F9="SD",1.15,
IF(F9="DC",1.2,0)))))))))))</f>
        <v>1.1</v>
      </c>
    </row>
    <row r="10" customFormat="false" ht="16.4" hidden="false" customHeight="false" outlineLevel="0" collapsed="false">
      <c r="A10" s="1" t="n">
        <v>9</v>
      </c>
      <c r="B10" s="5" t="str">
        <f aca="false">[1]Base_Jugadores!B10</f>
        <v>Denis Suárez</v>
      </c>
      <c r="C10" s="5" t="str">
        <f aca="false">IFERROR(
   _xlfn.XLOOKUP(VALUE(A10),[1]Fichajes_Realizados!A$2:A$50000,[1]Fichajes_Realizados!D$2:D$50000,,0,-1),
   _xlfn.XLOOKUP(VALUE(A10),[1]Base_Jugadores!A$2:A$50000,[1]Base_Jugadores!C$2:C$50000)
)</f>
        <v>Deportivo Alavés</v>
      </c>
      <c r="D10" s="5" t="str">
        <f aca="false">[1]Base_Jugadores!D10</f>
        <v>España</v>
      </c>
      <c r="E10" s="3"/>
      <c r="F10" s="5" t="str">
        <f aca="false">[1]Base_Jugadores!E10</f>
        <v>MO</v>
      </c>
      <c r="G10" s="5" t="n">
        <f aca="false">[1]Base_Jugadores!F10</f>
        <v>75</v>
      </c>
      <c r="H10" s="5" t="n">
        <f aca="false">[1]Base_Jugadores!G10</f>
        <v>31</v>
      </c>
      <c r="I10" s="7" t="n">
        <f aca="false" t="array" ref="I10:I10">_xlfn.XLOOKUP(G10,{55;56;57;58;59;60;61;62;63;64;65;66;67;68;69;70;71;72;73;74;75;76;77;78;79;80;81;82;83;84;85;86;87;88;89;90;91;92;93;94;95;96;97;98;99},{100000;130000;160000;190000;220000;250000;300000;350000;400000;450000;500000;600000;700000;800000;900000;1000000;1500000;2000000;3000000;4000000;5000000;6500000;8000000;10000000;12500000;15000000;20000000;25000000;30000000;35000000;40000000;55000000;70000000;80000000;90000000;110000000;130000000;160000000;190000000;220000000;250000000;280000000;310000000;340000000;400000000})</f>
        <v>5000000</v>
      </c>
      <c r="J10" s="7" t="n">
        <f aca="false">I10*S10*T10*U10</f>
        <v>5512500</v>
      </c>
      <c r="K10" s="8"/>
      <c r="L10" s="3"/>
      <c r="M10" s="8"/>
      <c r="N10" s="9" t="n">
        <v>1</v>
      </c>
      <c r="O10" s="4" t="n">
        <v>0</v>
      </c>
      <c r="P10" s="5" t="n">
        <f aca="false">IF(COUNTIF([1]Base_Jugadores!J$2:J$500,B10)&gt;0,1,0)</f>
        <v>0</v>
      </c>
      <c r="Q10" s="10" t="b">
        <f aca="false">--(COUNTIFS(
   [1]Fichajes_Realizados!A$2:A$5000,A10,
   [1]Fichajes_Realizados!G$2:G$5000,$X$3
)&gt;0)</f>
        <v>0</v>
      </c>
      <c r="R10" s="5" t="n">
        <f aca="false">_xlfn.XLOOKUP(C10, [1]Estado_Equipos!A$2:A$500, [1]Estado_Equipos!J$2:J$500, "")</f>
        <v>72</v>
      </c>
      <c r="S10" s="5" t="n">
        <f aca="false">IF(H10&lt;=16,1.45,
IF(H10&gt;=41,0.3,
CHOOSE(ROUNDDOWN((H10-16)/2,0)+1,
1.45,1.38,1.3,1.23,1.17,1.15,1.12,1.05,0.95,0.8,0.6,0.4,0.3)))</f>
        <v>1.05</v>
      </c>
      <c r="T10" s="5" t="n">
        <f aca="false">CHOOSE(N10+1,1.2,1,0.85,0.7)</f>
        <v>1</v>
      </c>
      <c r="U10" s="5" t="n">
        <f aca="false">IF(F10="PO",0.6,
IF(F10="CT",0.75,
IF(F10="LI",0.8,
IF(F10="LD",0.8,
IF(F10="MCD",0.85,
IF(F10="MC",0.95,
IF(F10="MO",1.05,
IF(F10="EI",1.1,
IF(F10="ED",1.1,
IF(F10="SD",1.15,
IF(F10="DC",1.2,0)))))))))))</f>
        <v>1.05</v>
      </c>
    </row>
    <row r="11" customFormat="false" ht="16.4" hidden="false" customHeight="false" outlineLevel="0" collapsed="false">
      <c r="A11" s="1" t="n">
        <v>10</v>
      </c>
      <c r="B11" s="5" t="str">
        <f aca="false">[1]Base_Jugadores!B11</f>
        <v>Facundo Garcés</v>
      </c>
      <c r="C11" s="5" t="str">
        <f aca="false">IFERROR(
   _xlfn.XLOOKUP(VALUE(A11),[1]Fichajes_Realizados!A$2:A$50000,[1]Fichajes_Realizados!D$2:D$50000,,0,-1),
   _xlfn.XLOOKUP(VALUE(A11),[1]Base_Jugadores!A$2:A$50000,[1]Base_Jugadores!C$2:C$50000)
)</f>
        <v>Deportivo Alavés</v>
      </c>
      <c r="D11" s="5" t="str">
        <f aca="false">[1]Base_Jugadores!D11</f>
        <v>Malasia</v>
      </c>
      <c r="E11" s="3"/>
      <c r="F11" s="5" t="str">
        <f aca="false">[1]Base_Jugadores!E11</f>
        <v>CT</v>
      </c>
      <c r="G11" s="5" t="n">
        <f aca="false">[1]Base_Jugadores!F11</f>
        <v>71</v>
      </c>
      <c r="H11" s="5" t="n">
        <f aca="false">[1]Base_Jugadores!G11</f>
        <v>26</v>
      </c>
      <c r="I11" s="7" t="n">
        <f aca="false" t="array" ref="I11:I11">_xlfn.XLOOKUP(G11,{55;56;57;58;59;60;61;62;63;64;65;66;67;68;69;70;71;72;73;74;75;76;77;78;79;80;81;82;83;84;85;86;87;88;89;90;91;92;93;94;95;96;97;98;99},{100000;130000;160000;190000;220000;250000;300000;350000;400000;450000;500000;600000;700000;800000;900000;1000000;1500000;2000000;3000000;4000000;5000000;6500000;8000000;10000000;12500000;15000000;20000000;25000000;30000000;35000000;40000000;55000000;70000000;80000000;90000000;110000000;130000000;160000000;190000000;220000000;250000000;280000000;310000000;340000000;400000000})</f>
        <v>1500000</v>
      </c>
      <c r="J11" s="7" t="n">
        <f aca="false">I11*S11*T11*U11</f>
        <v>1099687.5</v>
      </c>
      <c r="K11" s="8"/>
      <c r="L11" s="3"/>
      <c r="M11" s="8"/>
      <c r="N11" s="9" t="n">
        <v>2</v>
      </c>
      <c r="O11" s="4" t="n">
        <v>0</v>
      </c>
      <c r="P11" s="5" t="n">
        <f aca="false">IF(COUNTIF([1]Base_Jugadores!J$2:J$500,B11)&gt;0,1,0)</f>
        <v>0</v>
      </c>
      <c r="Q11" s="10" t="b">
        <f aca="false">--(COUNTIFS(
   [1]Fichajes_Realizados!A$2:A$5000,A11,
   [1]Fichajes_Realizados!G$2:G$5000,$X$3
)&gt;0)</f>
        <v>0</v>
      </c>
      <c r="R11" s="5" t="n">
        <f aca="false">_xlfn.XLOOKUP(C11, [1]Estado_Equipos!A$2:A$500, [1]Estado_Equipos!J$2:J$500, "")</f>
        <v>72</v>
      </c>
      <c r="S11" s="5" t="n">
        <f aca="false">IF(H11&lt;=16,1.45,
IF(H11&gt;=41,0.3,
CHOOSE(ROUNDDOWN((H11-16)/2,0)+1,
1.45,1.38,1.3,1.23,1.17,1.15,1.12,1.05,0.95,0.8,0.6,0.4,0.3)))</f>
        <v>1.15</v>
      </c>
      <c r="T11" s="5" t="n">
        <f aca="false">CHOOSE(N11+1,1.2,1,0.85,0.7)</f>
        <v>0.85</v>
      </c>
      <c r="U11" s="5" t="n">
        <f aca="false">IF(F11="PO",0.6,
IF(F11="CT",0.75,
IF(F11="LI",0.8,
IF(F11="LD",0.8,
IF(F11="MCD",0.85,
IF(F11="MC",0.95,
IF(F11="MO",1.05,
IF(F11="EI",1.1,
IF(F11="ED",1.1,
IF(F11="SD",1.15,
IF(F11="DC",1.2,0)))))))))))</f>
        <v>0.75</v>
      </c>
    </row>
    <row r="12" customFormat="false" ht="16.4" hidden="false" customHeight="false" outlineLevel="0" collapsed="false">
      <c r="A12" s="1" t="n">
        <v>11</v>
      </c>
      <c r="B12" s="5" t="str">
        <f aca="false">[1]Base_Jugadores!B12</f>
        <v>Grégoire Swiderski</v>
      </c>
      <c r="C12" s="5" t="str">
        <f aca="false">IFERROR(
   _xlfn.XLOOKUP(VALUE(A12),[1]Fichajes_Realizados!A$2:A$50000,[1]Fichajes_Realizados!D$2:D$50000,,0,-1),
   _xlfn.XLOOKUP(VALUE(A12),[1]Base_Jugadores!A$2:A$50000,[1]Base_Jugadores!C$2:C$50000)
)</f>
        <v>Deportivo Alavés</v>
      </c>
      <c r="D12" s="5" t="str">
        <f aca="false">[1]Base_Jugadores!D12</f>
        <v>Canadá</v>
      </c>
      <c r="E12" s="3"/>
      <c r="F12" s="5" t="str">
        <f aca="false">[1]Base_Jugadores!E12</f>
        <v>PO</v>
      </c>
      <c r="G12" s="5" t="n">
        <f aca="false">[1]Base_Jugadores!F12</f>
        <v>59</v>
      </c>
      <c r="H12" s="5" t="n">
        <f aca="false">[1]Base_Jugadores!G12</f>
        <v>20</v>
      </c>
      <c r="I12" s="7" t="n">
        <f aca="false" t="array" ref="I12:I12">_xlfn.XLOOKUP(G12,{55;56;57;58;59;60;61;62;63;64;65;66;67;68;69;70;71;72;73;74;75;76;77;78;79;80;81;82;83;84;85;86;87;88;89;90;91;92;93;94;95;96;97;98;99},{100000;130000;160000;190000;220000;250000;300000;350000;400000;450000;500000;600000;700000;800000;900000;1000000;1500000;2000000;3000000;4000000;5000000;6500000;8000000;10000000;12500000;15000000;20000000;25000000;30000000;35000000;40000000;55000000;70000000;80000000;90000000;110000000;130000000;160000000;190000000;220000000;250000000;280000000;310000000;340000000;400000000})</f>
        <v>220000</v>
      </c>
      <c r="J12" s="7" t="n">
        <f aca="false">I12*S12*T12*U12</f>
        <v>145860</v>
      </c>
      <c r="K12" s="8"/>
      <c r="L12" s="3"/>
      <c r="M12" s="8"/>
      <c r="N12" s="9" t="n">
        <v>2</v>
      </c>
      <c r="O12" s="4" t="n">
        <v>1</v>
      </c>
      <c r="P12" s="5" t="n">
        <f aca="false">IF(COUNTIF([1]Base_Jugadores!J$2:J$500,B12)&gt;0,1,0)</f>
        <v>0</v>
      </c>
      <c r="Q12" s="10" t="b">
        <f aca="false">--(COUNTIFS(
   [1]Fichajes_Realizados!A$2:A$5000,A12,
   [1]Fichajes_Realizados!G$2:G$5000,$X$3
)&gt;0)</f>
        <v>0</v>
      </c>
      <c r="R12" s="5" t="n">
        <f aca="false">_xlfn.XLOOKUP(C12, [1]Estado_Equipos!A$2:A$500, [1]Estado_Equipos!J$2:J$500, "")</f>
        <v>72</v>
      </c>
      <c r="S12" s="5" t="n">
        <f aca="false">IF(H12&lt;=16,1.45,
IF(H12&gt;=41,0.3,
CHOOSE(ROUNDDOWN((H12-16)/2,0)+1,
1.45,1.38,1.3,1.23,1.17,1.15,1.12,1.05,0.95,0.8,0.6,0.4,0.3)))</f>
        <v>1.3</v>
      </c>
      <c r="T12" s="5" t="n">
        <f aca="false">CHOOSE(N12+1,1.2,1,0.85,0.7)</f>
        <v>0.85</v>
      </c>
      <c r="U12" s="5" t="n">
        <f aca="false">IF(F12="PO",0.6,
IF(F12="CT",0.75,
IF(F12="LI",0.8,
IF(F12="LD",0.8,
IF(F12="MCD",0.85,
IF(F12="MC",0.95,
IF(F12="MO",1.05,
IF(F12="EI",1.1,
IF(F12="ED",1.1,
IF(F12="SD",1.15,
IF(F12="DC",1.2,0)))))))))))</f>
        <v>0.6</v>
      </c>
    </row>
    <row r="13" customFormat="false" ht="16.4" hidden="false" customHeight="false" outlineLevel="0" collapsed="false">
      <c r="A13" s="1" t="n">
        <v>12</v>
      </c>
      <c r="B13" s="5" t="str">
        <f aca="false">[1]Base_Jugadores!B13</f>
        <v>Jon Guridi</v>
      </c>
      <c r="C13" s="5" t="str">
        <f aca="false">IFERROR(
   _xlfn.XLOOKUP(VALUE(A13),[1]Fichajes_Realizados!A$2:A$50000,[1]Fichajes_Realizados!D$2:D$50000,,0,-1),
   _xlfn.XLOOKUP(VALUE(A13),[1]Base_Jugadores!A$2:A$50000,[1]Base_Jugadores!C$2:C$50000)
)</f>
        <v>Deportivo Alavés</v>
      </c>
      <c r="D13" s="5" t="str">
        <f aca="false">[1]Base_Jugadores!D13</f>
        <v>España</v>
      </c>
      <c r="E13" s="3"/>
      <c r="F13" s="5" t="str">
        <f aca="false">[1]Base_Jugadores!E13</f>
        <v>MC</v>
      </c>
      <c r="G13" s="5" t="n">
        <f aca="false">[1]Base_Jugadores!F13</f>
        <v>74</v>
      </c>
      <c r="H13" s="5" t="n">
        <f aca="false">[1]Base_Jugadores!G13</f>
        <v>30</v>
      </c>
      <c r="I13" s="7" t="n">
        <f aca="false" t="array" ref="I13:I13">_xlfn.XLOOKUP(G13,{55;56;57;58;59;60;61;62;63;64;65;66;67;68;69;70;71;72;73;74;75;76;77;78;79;80;81;82;83;84;85;86;87;88;89;90;91;92;93;94;95;96;97;98;99},{100000;130000;160000;190000;220000;250000;300000;350000;400000;450000;500000;600000;700000;800000;900000;1000000;1500000;2000000;3000000;4000000;5000000;6500000;8000000;10000000;12500000;15000000;20000000;25000000;30000000;35000000;40000000;55000000;70000000;80000000;90000000;110000000;130000000;160000000;190000000;220000000;250000000;280000000;310000000;340000000;400000000})</f>
        <v>4000000</v>
      </c>
      <c r="J13" s="7" t="n">
        <f aca="false">I13*S13*T13*U13</f>
        <v>3990000</v>
      </c>
      <c r="K13" s="8"/>
      <c r="L13" s="3"/>
      <c r="M13" s="8"/>
      <c r="N13" s="9" t="n">
        <v>1</v>
      </c>
      <c r="O13" s="4" t="n">
        <v>0</v>
      </c>
      <c r="P13" s="5" t="n">
        <f aca="false">IF(COUNTIF([1]Base_Jugadores!J$2:J$500,B13)&gt;0,1,0)</f>
        <v>1</v>
      </c>
      <c r="Q13" s="10" t="b">
        <f aca="false">--(COUNTIFS(
   [1]Fichajes_Realizados!A$2:A$5000,A13,
   [1]Fichajes_Realizados!G$2:G$5000,$X$3
)&gt;0)</f>
        <v>0</v>
      </c>
      <c r="R13" s="5" t="n">
        <f aca="false">_xlfn.XLOOKUP(C13, [1]Estado_Equipos!A$2:A$500, [1]Estado_Equipos!J$2:J$500, "")</f>
        <v>72</v>
      </c>
      <c r="S13" s="5" t="n">
        <f aca="false">IF(H13&lt;=16,1.45,
IF(H13&gt;=41,0.3,
CHOOSE(ROUNDDOWN((H13-16)/2,0)+1,
1.45,1.38,1.3,1.23,1.17,1.15,1.12,1.05,0.95,0.8,0.6,0.4,0.3)))</f>
        <v>1.05</v>
      </c>
      <c r="T13" s="5" t="n">
        <f aca="false">CHOOSE(N13+1,1.2,1,0.85,0.7)</f>
        <v>1</v>
      </c>
      <c r="U13" s="5" t="n">
        <f aca="false">IF(F13="PO",0.6,
IF(F13="CT",0.75,
IF(F13="LI",0.8,
IF(F13="LD",0.8,
IF(F13="MCD",0.85,
IF(F13="MC",0.95,
IF(F13="MO",1.05,
IF(F13="EI",1.1,
IF(F13="ED",1.1,
IF(F13="SD",1.15,
IF(F13="DC",1.2,0)))))))))))</f>
        <v>0.95</v>
      </c>
    </row>
    <row r="14" customFormat="false" ht="16.4" hidden="false" customHeight="false" outlineLevel="0" collapsed="false">
      <c r="A14" s="1" t="n">
        <v>13</v>
      </c>
      <c r="B14" s="5" t="str">
        <f aca="false">[1]Base_Jugadores!B14</f>
        <v>Jon Pacheco</v>
      </c>
      <c r="C14" s="5" t="str">
        <f aca="false">IFERROR(
   _xlfn.XLOOKUP(VALUE(A14),[1]Fichajes_Realizados!A$2:A$50000,[1]Fichajes_Realizados!D$2:D$50000,,0,-1),
   _xlfn.XLOOKUP(VALUE(A14),[1]Base_Jugadores!A$2:A$50000,[1]Base_Jugadores!C$2:C$50000)
)</f>
        <v>Deportivo Alavés</v>
      </c>
      <c r="D14" s="5" t="str">
        <f aca="false">[1]Base_Jugadores!D14</f>
        <v>España</v>
      </c>
      <c r="E14" s="3"/>
      <c r="F14" s="5" t="str">
        <f aca="false">[1]Base_Jugadores!E14</f>
        <v>CT</v>
      </c>
      <c r="G14" s="5" t="n">
        <f aca="false">[1]Base_Jugadores!F14</f>
        <v>71</v>
      </c>
      <c r="H14" s="5" t="n">
        <f aca="false">[1]Base_Jugadores!G14</f>
        <v>24</v>
      </c>
      <c r="I14" s="7" t="n">
        <f aca="false" t="array" ref="I14:I14">_xlfn.XLOOKUP(G14,{55;56;57;58;59;60;61;62;63;64;65;66;67;68;69;70;71;72;73;74;75;76;77;78;79;80;81;82;83;84;85;86;87;88;89;90;91;92;93;94;95;96;97;98;99},{100000;130000;160000;190000;220000;250000;300000;350000;400000;450000;500000;600000;700000;800000;900000;1000000;1500000;2000000;3000000;4000000;5000000;6500000;8000000;10000000;12500000;15000000;20000000;25000000;30000000;35000000;40000000;55000000;70000000;80000000;90000000;110000000;130000000;160000000;190000000;220000000;250000000;280000000;310000000;340000000;400000000})</f>
        <v>1500000</v>
      </c>
      <c r="J14" s="7" t="n">
        <f aca="false">I14*S14*T14*U14</f>
        <v>1579500</v>
      </c>
      <c r="K14" s="8"/>
      <c r="L14" s="3"/>
      <c r="M14" s="8"/>
      <c r="N14" s="9" t="n">
        <v>0</v>
      </c>
      <c r="O14" s="4" t="n">
        <v>0</v>
      </c>
      <c r="P14" s="5" t="n">
        <f aca="false">IF(COUNTIF([1]Base_Jugadores!J$2:J$500,B14)&gt;0,1,0)</f>
        <v>1</v>
      </c>
      <c r="Q14" s="10" t="b">
        <f aca="false">--(COUNTIFS(
   [1]Fichajes_Realizados!A$2:A$5000,A14,
   [1]Fichajes_Realizados!G$2:G$5000,$X$3
)&gt;0)</f>
        <v>0</v>
      </c>
      <c r="R14" s="5" t="n">
        <f aca="false">_xlfn.XLOOKUP(C14, [1]Estado_Equipos!A$2:A$500, [1]Estado_Equipos!J$2:J$500, "")</f>
        <v>72</v>
      </c>
      <c r="S14" s="5" t="n">
        <f aca="false">IF(H14&lt;=16,1.45,
IF(H14&gt;=41,0.3,
CHOOSE(ROUNDDOWN((H14-16)/2,0)+1,
1.45,1.38,1.3,1.23,1.17,1.15,1.12,1.05,0.95,0.8,0.6,0.4,0.3)))</f>
        <v>1.17</v>
      </c>
      <c r="T14" s="5" t="n">
        <f aca="false">CHOOSE(N14+1,1.2,1,0.85,0.7)</f>
        <v>1.2</v>
      </c>
      <c r="U14" s="5" t="n">
        <f aca="false">IF(F14="PO",0.6,
IF(F14="CT",0.75,
IF(F14="LI",0.8,
IF(F14="LD",0.8,
IF(F14="MCD",0.85,
IF(F14="MC",0.95,
IF(F14="MO",1.05,
IF(F14="EI",1.1,
IF(F14="ED",1.1,
IF(F14="SD",1.15,
IF(F14="DC",1.2,0)))))))))))</f>
        <v>0.75</v>
      </c>
    </row>
    <row r="15" customFormat="false" ht="16.4" hidden="false" customHeight="false" outlineLevel="0" collapsed="false">
      <c r="A15" s="1" t="n">
        <v>14</v>
      </c>
      <c r="B15" s="5" t="str">
        <f aca="false">[1]Base_Jugadores!B15</f>
        <v>Jonny Otto</v>
      </c>
      <c r="C15" s="5" t="str">
        <f aca="false">IFERROR(
   _xlfn.XLOOKUP(VALUE(A15),[1]Fichajes_Realizados!A$2:A$50000,[1]Fichajes_Realizados!D$2:D$50000,,0,-1),
   _xlfn.XLOOKUP(VALUE(A15),[1]Base_Jugadores!A$2:A$50000,[1]Base_Jugadores!C$2:C$50000)
)</f>
        <v>Deportivo Alavés</v>
      </c>
      <c r="D15" s="5" t="str">
        <f aca="false">[1]Base_Jugadores!D15</f>
        <v>España</v>
      </c>
      <c r="E15" s="3"/>
      <c r="F15" s="5" t="str">
        <f aca="false">[1]Base_Jugadores!E15</f>
        <v>LD</v>
      </c>
      <c r="G15" s="5" t="n">
        <f aca="false">[1]Base_Jugadores!F15</f>
        <v>74</v>
      </c>
      <c r="H15" s="5" t="n">
        <f aca="false">[1]Base_Jugadores!G15</f>
        <v>31</v>
      </c>
      <c r="I15" s="7" t="n">
        <f aca="false" t="array" ref="I15:I15">_xlfn.XLOOKUP(G15,{55;56;57;58;59;60;61;62;63;64;65;66;67;68;69;70;71;72;73;74;75;76;77;78;79;80;81;82;83;84;85;86;87;88;89;90;91;92;93;94;95;96;97;98;99},{100000;130000;160000;190000;220000;250000;300000;350000;400000;450000;500000;600000;700000;800000;900000;1000000;1500000;2000000;3000000;4000000;5000000;6500000;8000000;10000000;12500000;15000000;20000000;25000000;30000000;35000000;40000000;55000000;70000000;80000000;90000000;110000000;130000000;160000000;190000000;220000000;250000000;280000000;310000000;340000000;400000000})</f>
        <v>4000000</v>
      </c>
      <c r="J15" s="7" t="n">
        <f aca="false">I15*S15*T15*U15</f>
        <v>3360000</v>
      </c>
      <c r="K15" s="8"/>
      <c r="L15" s="3"/>
      <c r="M15" s="8"/>
      <c r="N15" s="9" t="n">
        <v>1</v>
      </c>
      <c r="O15" s="4" t="n">
        <v>0</v>
      </c>
      <c r="P15" s="5" t="n">
        <f aca="false">IF(COUNTIF([1]Base_Jugadores!J$2:J$500,B15)&gt;0,1,0)</f>
        <v>0</v>
      </c>
      <c r="Q15" s="10" t="b">
        <f aca="false">--(COUNTIFS(
   [1]Fichajes_Realizados!A$2:A$5000,A15,
   [1]Fichajes_Realizados!G$2:G$5000,$X$3
)&gt;0)</f>
        <v>0</v>
      </c>
      <c r="R15" s="5" t="n">
        <f aca="false">_xlfn.XLOOKUP(C15, [1]Estado_Equipos!A$2:A$500, [1]Estado_Equipos!J$2:J$500, "")</f>
        <v>72</v>
      </c>
      <c r="S15" s="5" t="n">
        <f aca="false">IF(H15&lt;=16,1.45,
IF(H15&gt;=41,0.3,
CHOOSE(ROUNDDOWN((H15-16)/2,0)+1,
1.45,1.38,1.3,1.23,1.17,1.15,1.12,1.05,0.95,0.8,0.6,0.4,0.3)))</f>
        <v>1.05</v>
      </c>
      <c r="T15" s="5" t="n">
        <f aca="false">CHOOSE(N15+1,1.2,1,0.85,0.7)</f>
        <v>1</v>
      </c>
      <c r="U15" s="5" t="n">
        <f aca="false">IF(F15="PO",0.6,
IF(F15="CT",0.75,
IF(F15="LI",0.8,
IF(F15="LD",0.8,
IF(F15="MCD",0.85,
IF(F15="MC",0.95,
IF(F15="MO",1.05,
IF(F15="EI",1.1,
IF(F15="ED",1.1,
IF(F15="SD",1.15,
IF(F15="DC",1.2,0)))))))))))</f>
        <v>0.8</v>
      </c>
    </row>
    <row r="16" customFormat="false" ht="16.4" hidden="false" customHeight="false" outlineLevel="0" collapsed="false">
      <c r="A16" s="1" t="n">
        <v>15</v>
      </c>
      <c r="B16" s="5" t="str">
        <f aca="false">[1]Base_Jugadores!B16</f>
        <v>Lucas Boyé</v>
      </c>
      <c r="C16" s="5" t="str">
        <f aca="false">IFERROR(
   _xlfn.XLOOKUP(VALUE(A16),[1]Fichajes_Realizados!A$2:A$50000,[1]Fichajes_Realizados!D$2:D$50000,,0,-1),
   _xlfn.XLOOKUP(VALUE(A16),[1]Base_Jugadores!A$2:A$50000,[1]Base_Jugadores!C$2:C$50000)
)</f>
        <v>Deportivo Alavés</v>
      </c>
      <c r="D16" s="5" t="str">
        <f aca="false">[1]Base_Jugadores!D16</f>
        <v>Argentina</v>
      </c>
      <c r="E16" s="3"/>
      <c r="F16" s="5" t="str">
        <f aca="false">[1]Base_Jugadores!E16</f>
        <v>DC</v>
      </c>
      <c r="G16" s="5" t="n">
        <f aca="false">[1]Base_Jugadores!F16</f>
        <v>76</v>
      </c>
      <c r="H16" s="5" t="n">
        <f aca="false">[1]Base_Jugadores!G16</f>
        <v>29</v>
      </c>
      <c r="I16" s="7" t="n">
        <f aca="false" t="array" ref="I16:I16">_xlfn.XLOOKUP(G16,{55;56;57;58;59;60;61;62;63;64;65;66;67;68;69;70;71;72;73;74;75;76;77;78;79;80;81;82;83;84;85;86;87;88;89;90;91;92;93;94;95;96;97;98;99},{100000;130000;160000;190000;220000;250000;300000;350000;400000;450000;500000;600000;700000;800000;900000;1000000;1500000;2000000;3000000;4000000;5000000;6500000;8000000;10000000;12500000;15000000;20000000;25000000;30000000;35000000;40000000;55000000;70000000;80000000;90000000;110000000;130000000;160000000;190000000;220000000;250000000;280000000;310000000;340000000;400000000})</f>
        <v>6500000</v>
      </c>
      <c r="J16" s="7" t="n">
        <f aca="false">I16*S16*T16*U16</f>
        <v>10483200</v>
      </c>
      <c r="K16" s="8"/>
      <c r="L16" s="3"/>
      <c r="M16" s="8"/>
      <c r="N16" s="9" t="n">
        <v>0</v>
      </c>
      <c r="O16" s="4" t="n">
        <v>0</v>
      </c>
      <c r="P16" s="5" t="n">
        <f aca="false">IF(COUNTIF([1]Base_Jugadores!J$2:J$500,B16)&gt;0,1,0)</f>
        <v>0</v>
      </c>
      <c r="Q16" s="10" t="b">
        <f aca="false">--(COUNTIFS(
   [1]Fichajes_Realizados!A$2:A$5000,A16,
   [1]Fichajes_Realizados!G$2:G$5000,$X$3
)&gt;0)</f>
        <v>0</v>
      </c>
      <c r="R16" s="5" t="n">
        <f aca="false">_xlfn.XLOOKUP(C16, [1]Estado_Equipos!A$2:A$500, [1]Estado_Equipos!J$2:J$500, "")</f>
        <v>72</v>
      </c>
      <c r="S16" s="5" t="n">
        <f aca="false">IF(H16&lt;=16,1.45,
IF(H16&gt;=41,0.3,
CHOOSE(ROUNDDOWN((H16-16)/2,0)+1,
1.45,1.38,1.3,1.23,1.17,1.15,1.12,1.05,0.95,0.8,0.6,0.4,0.3)))</f>
        <v>1.12</v>
      </c>
      <c r="T16" s="5" t="n">
        <f aca="false">CHOOSE(N16+1,1.2,1,0.85,0.7)</f>
        <v>1.2</v>
      </c>
      <c r="U16" s="5" t="n">
        <f aca="false">IF(F16="PO",0.6,
IF(F16="CT",0.75,
IF(F16="LI",0.8,
IF(F16="LD",0.8,
IF(F16="MCD",0.85,
IF(F16="MC",0.95,
IF(F16="MO",1.05,
IF(F16="EI",1.1,
IF(F16="ED",1.1,
IF(F16="SD",1.15,
IF(F16="DC",1.2,0)))))))))))</f>
        <v>1.2</v>
      </c>
    </row>
    <row r="17" customFormat="false" ht="16.4" hidden="false" customHeight="false" outlineLevel="0" collapsed="false">
      <c r="A17" s="1" t="n">
        <v>16</v>
      </c>
      <c r="B17" s="5" t="str">
        <f aca="false">[1]Base_Jugadores!B17</f>
        <v>Mariano Díaz</v>
      </c>
      <c r="C17" s="5" t="str">
        <f aca="false">IFERROR(
   _xlfn.XLOOKUP(VALUE(A17),[1]Fichajes_Realizados!A$2:A$50000,[1]Fichajes_Realizados!D$2:D$50000,,0,-1),
   _xlfn.XLOOKUP(VALUE(A17),[1]Base_Jugadores!A$2:A$50000,[1]Base_Jugadores!C$2:C$50000)
)</f>
        <v>Deportivo Alavés</v>
      </c>
      <c r="D17" s="5" t="str">
        <f aca="false">[1]Base_Jugadores!D17</f>
        <v>República Dominicana</v>
      </c>
      <c r="E17" s="3"/>
      <c r="F17" s="5" t="str">
        <f aca="false">[1]Base_Jugadores!E17</f>
        <v>DC</v>
      </c>
      <c r="G17" s="5" t="n">
        <f aca="false">[1]Base_Jugadores!F17</f>
        <v>74</v>
      </c>
      <c r="H17" s="5" t="n">
        <f aca="false">[1]Base_Jugadores!G17</f>
        <v>32</v>
      </c>
      <c r="I17" s="7" t="n">
        <f aca="false" t="array" ref="I17:I17">_xlfn.XLOOKUP(G17,{55;56;57;58;59;60;61;62;63;64;65;66;67;68;69;70;71;72;73;74;75;76;77;78;79;80;81;82;83;84;85;86;87;88;89;90;91;92;93;94;95;96;97;98;99},{100000;130000;160000;190000;220000;250000;300000;350000;400000;450000;500000;600000;700000;800000;900000;1000000;1500000;2000000;3000000;4000000;5000000;6500000;8000000;10000000;12500000;15000000;20000000;25000000;30000000;35000000;40000000;55000000;70000000;80000000;90000000;110000000;130000000;160000000;190000000;220000000;250000000;280000000;310000000;340000000;400000000})</f>
        <v>4000000</v>
      </c>
      <c r="J17" s="7" t="n">
        <f aca="false">I17*S17*T17*U17</f>
        <v>4560000</v>
      </c>
      <c r="K17" s="8"/>
      <c r="L17" s="3"/>
      <c r="M17" s="8"/>
      <c r="N17" s="9" t="n">
        <v>1</v>
      </c>
      <c r="O17" s="4" t="n">
        <v>0</v>
      </c>
      <c r="P17" s="5" t="n">
        <f aca="false">IF(COUNTIF([1]Base_Jugadores!J$2:J$500,B17)&gt;0,1,0)</f>
        <v>0</v>
      </c>
      <c r="Q17" s="10" t="b">
        <f aca="false">--(COUNTIFS(
   [1]Fichajes_Realizados!A$2:A$5000,A17,
   [1]Fichajes_Realizados!G$2:G$5000,$X$3
)&gt;0)</f>
        <v>0</v>
      </c>
      <c r="R17" s="5" t="n">
        <f aca="false">_xlfn.XLOOKUP(C17, [1]Estado_Equipos!A$2:A$500, [1]Estado_Equipos!J$2:J$500, "")</f>
        <v>72</v>
      </c>
      <c r="S17" s="5" t="n">
        <f aca="false">IF(H17&lt;=16,1.45,
IF(H17&gt;=41,0.3,
CHOOSE(ROUNDDOWN((H17-16)/2,0)+1,
1.45,1.38,1.3,1.23,1.17,1.15,1.12,1.05,0.95,0.8,0.6,0.4,0.3)))</f>
        <v>0.95</v>
      </c>
      <c r="T17" s="5" t="n">
        <f aca="false">CHOOSE(N17+1,1.2,1,0.85,0.7)</f>
        <v>1</v>
      </c>
      <c r="U17" s="5" t="n">
        <f aca="false">IF(F17="PO",0.6,
IF(F17="CT",0.75,
IF(F17="LI",0.8,
IF(F17="LD",0.8,
IF(F17="MCD",0.85,
IF(F17="MC",0.95,
IF(F17="MO",1.05,
IF(F17="EI",1.1,
IF(F17="ED",1.1,
IF(F17="SD",1.15,
IF(F17="DC",1.2,0)))))))))))</f>
        <v>1.2</v>
      </c>
    </row>
    <row r="18" customFormat="false" ht="16.4" hidden="false" customHeight="false" outlineLevel="0" collapsed="false">
      <c r="A18" s="1" t="n">
        <v>17</v>
      </c>
      <c r="B18" s="5" t="str">
        <f aca="false">[1]Base_Jugadores!B18</f>
        <v>Moussa Diarra F.</v>
      </c>
      <c r="C18" s="5" t="str">
        <f aca="false">IFERROR(
   _xlfn.XLOOKUP(VALUE(A18),[1]Fichajes_Realizados!A$2:A$50000,[1]Fichajes_Realizados!D$2:D$50000,,0,-1),
   _xlfn.XLOOKUP(VALUE(A18),[1]Base_Jugadores!A$2:A$50000,[1]Base_Jugadores!C$2:C$50000)
)</f>
        <v>Deportivo Alavés</v>
      </c>
      <c r="D18" s="5" t="str">
        <f aca="false">[1]Base_Jugadores!D18</f>
        <v>Malí</v>
      </c>
      <c r="E18" s="3"/>
      <c r="F18" s="5" t="str">
        <f aca="false">[1]Base_Jugadores!E18</f>
        <v>CT</v>
      </c>
      <c r="G18" s="5" t="n">
        <f aca="false">[1]Base_Jugadores!F18</f>
        <v>71</v>
      </c>
      <c r="H18" s="5" t="n">
        <f aca="false">[1]Base_Jugadores!G18</f>
        <v>25</v>
      </c>
      <c r="I18" s="7" t="n">
        <f aca="false" t="array" ref="I18:I18">_xlfn.XLOOKUP(G18,{55;56;57;58;59;60;61;62;63;64;65;66;67;68;69;70;71;72;73;74;75;76;77;78;79;80;81;82;83;84;85;86;87;88;89;90;91;92;93;94;95;96;97;98;99},{100000;130000;160000;190000;220000;250000;300000;350000;400000;450000;500000;600000;700000;800000;900000;1000000;1500000;2000000;3000000;4000000;5000000;6500000;8000000;10000000;12500000;15000000;20000000;25000000;30000000;35000000;40000000;55000000;70000000;80000000;90000000;110000000;130000000;160000000;190000000;220000000;250000000;280000000;310000000;340000000;400000000})</f>
        <v>1500000</v>
      </c>
      <c r="J18" s="7" t="n">
        <f aca="false">I18*S18*T18*U18</f>
        <v>1118812.5</v>
      </c>
      <c r="K18" s="8"/>
      <c r="L18" s="3"/>
      <c r="M18" s="8"/>
      <c r="N18" s="9" t="n">
        <v>2</v>
      </c>
      <c r="O18" s="4" t="n">
        <v>0</v>
      </c>
      <c r="P18" s="5" t="n">
        <f aca="false">IF(COUNTIF([1]Base_Jugadores!J$2:J$500,B18)&gt;0,1,0)</f>
        <v>0</v>
      </c>
      <c r="Q18" s="10" t="b">
        <f aca="false">--(COUNTIFS(
   [1]Fichajes_Realizados!A$2:A$5000,A18,
   [1]Fichajes_Realizados!G$2:G$5000,$X$3
)&gt;0)</f>
        <v>0</v>
      </c>
      <c r="R18" s="5" t="n">
        <f aca="false">_xlfn.XLOOKUP(C18, [1]Estado_Equipos!A$2:A$500, [1]Estado_Equipos!J$2:J$500, "")</f>
        <v>72</v>
      </c>
      <c r="S18" s="5" t="n">
        <f aca="false">IF(H18&lt;=16,1.45,
IF(H18&gt;=41,0.3,
CHOOSE(ROUNDDOWN((H18-16)/2,0)+1,
1.45,1.38,1.3,1.23,1.17,1.15,1.12,1.05,0.95,0.8,0.6,0.4,0.3)))</f>
        <v>1.17</v>
      </c>
      <c r="T18" s="5" t="n">
        <f aca="false">CHOOSE(N18+1,1.2,1,0.85,0.7)</f>
        <v>0.85</v>
      </c>
      <c r="U18" s="5" t="n">
        <f aca="false">IF(F18="PO",0.6,
IF(F18="CT",0.75,
IF(F18="LI",0.8,
IF(F18="LD",0.8,
IF(F18="MCD",0.85,
IF(F18="MC",0.95,
IF(F18="MO",1.05,
IF(F18="EI",1.1,
IF(F18="ED",1.1,
IF(F18="SD",1.15,
IF(F18="DC",1.2,0)))))))))))</f>
        <v>0.75</v>
      </c>
    </row>
    <row r="19" customFormat="false" ht="16.4" hidden="false" customHeight="false" outlineLevel="0" collapsed="false">
      <c r="A19" s="1" t="n">
        <v>18</v>
      </c>
      <c r="B19" s="5" t="str">
        <f aca="false">[1]Base_Jugadores!B19</f>
        <v>Nahuel Tenaglia</v>
      </c>
      <c r="C19" s="5" t="str">
        <f aca="false">IFERROR(
   _xlfn.XLOOKUP(VALUE(A19),[1]Fichajes_Realizados!A$2:A$50000,[1]Fichajes_Realizados!D$2:D$50000,,0,-1),
   _xlfn.XLOOKUP(VALUE(A19),[1]Base_Jugadores!A$2:A$50000,[1]Base_Jugadores!C$2:C$50000)
)</f>
        <v>Deportivo Alavés</v>
      </c>
      <c r="D19" s="5" t="str">
        <f aca="false">[1]Base_Jugadores!D19</f>
        <v>Argentina</v>
      </c>
      <c r="E19" s="3"/>
      <c r="F19" s="5" t="str">
        <f aca="false">[1]Base_Jugadores!E19</f>
        <v>LD</v>
      </c>
      <c r="G19" s="5" t="n">
        <f aca="false">[1]Base_Jugadores!F19</f>
        <v>75</v>
      </c>
      <c r="H19" s="5" t="n">
        <f aca="false">[1]Base_Jugadores!G19</f>
        <v>29</v>
      </c>
      <c r="I19" s="7" t="n">
        <f aca="false" t="array" ref="I19:I19">_xlfn.XLOOKUP(G19,{55;56;57;58;59;60;61;62;63;64;65;66;67;68;69;70;71;72;73;74;75;76;77;78;79;80;81;82;83;84;85;86;87;88;89;90;91;92;93;94;95;96;97;98;99},{100000;130000;160000;190000;220000;250000;300000;350000;400000;450000;500000;600000;700000;800000;900000;1000000;1500000;2000000;3000000;4000000;5000000;6500000;8000000;10000000;12500000;15000000;20000000;25000000;30000000;35000000;40000000;55000000;70000000;80000000;90000000;110000000;130000000;160000000;190000000;220000000;250000000;280000000;310000000;340000000;400000000})</f>
        <v>5000000</v>
      </c>
      <c r="J19" s="7" t="n">
        <f aca="false">I19*S19*T19*U19</f>
        <v>5376000</v>
      </c>
      <c r="K19" s="8"/>
      <c r="L19" s="3"/>
      <c r="M19" s="8"/>
      <c r="N19" s="9" t="n">
        <v>0</v>
      </c>
      <c r="O19" s="4" t="n">
        <v>0</v>
      </c>
      <c r="P19" s="5" t="n">
        <f aca="false">IF(COUNTIF([1]Base_Jugadores!J$2:J$500,B19)&gt;0,1,0)</f>
        <v>0</v>
      </c>
      <c r="Q19" s="10" t="b">
        <f aca="false">--(COUNTIFS(
   [1]Fichajes_Realizados!A$2:A$5000,A19,
   [1]Fichajes_Realizados!G$2:G$5000,$X$3
)&gt;0)</f>
        <v>0</v>
      </c>
      <c r="R19" s="5" t="n">
        <f aca="false">_xlfn.XLOOKUP(C19, [1]Estado_Equipos!A$2:A$500, [1]Estado_Equipos!J$2:J$500, "")</f>
        <v>72</v>
      </c>
      <c r="S19" s="5" t="n">
        <f aca="false">IF(H19&lt;=16,1.45,
IF(H19&gt;=41,0.3,
CHOOSE(ROUNDDOWN((H19-16)/2,0)+1,
1.45,1.38,1.3,1.23,1.17,1.15,1.12,1.05,0.95,0.8,0.6,0.4,0.3)))</f>
        <v>1.12</v>
      </c>
      <c r="T19" s="5" t="n">
        <f aca="false">CHOOSE(N19+1,1.2,1,0.85,0.7)</f>
        <v>1.2</v>
      </c>
      <c r="U19" s="5" t="n">
        <f aca="false">IF(F19="PO",0.6,
IF(F19="CT",0.75,
IF(F19="LI",0.8,
IF(F19="LD",0.8,
IF(F19="MCD",0.85,
IF(F19="MC",0.95,
IF(F19="MO",1.05,
IF(F19="EI",1.1,
IF(F19="ED",1.1,
IF(F19="SD",1.15,
IF(F19="DC",1.2,0)))))))))))</f>
        <v>0.8</v>
      </c>
    </row>
    <row r="20" customFormat="false" ht="16.4" hidden="false" customHeight="false" outlineLevel="0" collapsed="false">
      <c r="A20" s="1" t="n">
        <v>19</v>
      </c>
      <c r="B20" s="5" t="str">
        <f aca="false">[1]Base_Jugadores!B20</f>
        <v>Nikola Maras</v>
      </c>
      <c r="C20" s="5" t="str">
        <f aca="false">IFERROR(
   _xlfn.XLOOKUP(VALUE(A20),[1]Fichajes_Realizados!A$2:A$50000,[1]Fichajes_Realizados!D$2:D$50000,,0,-1),
   _xlfn.XLOOKUP(VALUE(A20),[1]Base_Jugadores!A$2:A$50000,[1]Base_Jugadores!C$2:C$50000)
)</f>
        <v>Deportivo Alavés</v>
      </c>
      <c r="D20" s="5" t="str">
        <f aca="false">[1]Base_Jugadores!D20</f>
        <v>Serbia</v>
      </c>
      <c r="E20" s="3"/>
      <c r="F20" s="5" t="str">
        <f aca="false">[1]Base_Jugadores!E20</f>
        <v>CT</v>
      </c>
      <c r="G20" s="5" t="n">
        <f aca="false">[1]Base_Jugadores!F20</f>
        <v>72</v>
      </c>
      <c r="H20" s="5" t="n">
        <f aca="false">[1]Base_Jugadores!G20</f>
        <v>30</v>
      </c>
      <c r="I20" s="7" t="n">
        <f aca="false" t="array" ref="I20:I20">_xlfn.XLOOKUP(G20,{55;56;57;58;59;60;61;62;63;64;65;66;67;68;69;70;71;72;73;74;75;76;77;78;79;80;81;82;83;84;85;86;87;88;89;90;91;92;93;94;95;96;97;98;99},{100000;130000;160000;190000;220000;250000;300000;350000;400000;450000;500000;600000;700000;800000;900000;1000000;1500000;2000000;3000000;4000000;5000000;6500000;8000000;10000000;12500000;15000000;20000000;25000000;30000000;35000000;40000000;55000000;70000000;80000000;90000000;110000000;130000000;160000000;190000000;220000000;250000000;280000000;310000000;340000000;400000000})</f>
        <v>2000000</v>
      </c>
      <c r="J20" s="7" t="n">
        <f aca="false">I20*S20*T20*U20</f>
        <v>1890000</v>
      </c>
      <c r="K20" s="8"/>
      <c r="L20" s="3"/>
      <c r="M20" s="8"/>
      <c r="N20" s="9" t="n">
        <v>0</v>
      </c>
      <c r="O20" s="4" t="n">
        <v>0</v>
      </c>
      <c r="P20" s="5" t="n">
        <f aca="false">IF(COUNTIF([1]Base_Jugadores!J$2:J$500,B20)&gt;0,1,0)</f>
        <v>0</v>
      </c>
      <c r="Q20" s="10" t="b">
        <f aca="false">--(COUNTIFS(
   [1]Fichajes_Realizados!A$2:A$5000,A20,
   [1]Fichajes_Realizados!G$2:G$5000,$X$3
)&gt;0)</f>
        <v>0</v>
      </c>
      <c r="R20" s="5" t="n">
        <f aca="false">_xlfn.XLOOKUP(C20, [1]Estado_Equipos!A$2:A$500, [1]Estado_Equipos!J$2:J$500, "")</f>
        <v>72</v>
      </c>
      <c r="S20" s="5" t="n">
        <f aca="false">IF(H20&lt;=16,1.45,
IF(H20&gt;=41,0.3,
CHOOSE(ROUNDDOWN((H20-16)/2,0)+1,
1.45,1.38,1.3,1.23,1.17,1.15,1.12,1.05,0.95,0.8,0.6,0.4,0.3)))</f>
        <v>1.05</v>
      </c>
      <c r="T20" s="5" t="n">
        <f aca="false">CHOOSE(N20+1,1.2,1,0.85,0.7)</f>
        <v>1.2</v>
      </c>
      <c r="U20" s="5" t="n">
        <f aca="false">IF(F20="PO",0.6,
IF(F20="CT",0.75,
IF(F20="LI",0.8,
IF(F20="LD",0.8,
IF(F20="MCD",0.85,
IF(F20="MC",0.95,
IF(F20="MO",1.05,
IF(F20="EI",1.1,
IF(F20="ED",1.1,
IF(F20="SD",1.15,
IF(F20="DC",1.2,0)))))))))))</f>
        <v>0.75</v>
      </c>
    </row>
    <row r="21" customFormat="false" ht="16.4" hidden="false" customHeight="false" outlineLevel="0" collapsed="false">
      <c r="A21" s="1" t="n">
        <v>20</v>
      </c>
      <c r="B21" s="5" t="str">
        <f aca="false">[1]Base_Jugadores!B21</f>
        <v>Pablo Ibáñez</v>
      </c>
      <c r="C21" s="5" t="str">
        <f aca="false">IFERROR(
   _xlfn.XLOOKUP(VALUE(A21),[1]Fichajes_Realizados!A$2:A$50000,[1]Fichajes_Realizados!D$2:D$50000,,0,-1),
   _xlfn.XLOOKUP(VALUE(A21),[1]Base_Jugadores!A$2:A$50000,[1]Base_Jugadores!C$2:C$50000)
)</f>
        <v>Deportivo Alavés</v>
      </c>
      <c r="D21" s="5" t="str">
        <f aca="false">[1]Base_Jugadores!D21</f>
        <v>España</v>
      </c>
      <c r="E21" s="3"/>
      <c r="F21" s="5" t="str">
        <f aca="false">[1]Base_Jugadores!E21</f>
        <v>MC</v>
      </c>
      <c r="G21" s="5" t="n">
        <f aca="false">[1]Base_Jugadores!F21</f>
        <v>71</v>
      </c>
      <c r="H21" s="5" t="n">
        <f aca="false">[1]Base_Jugadores!G21</f>
        <v>27</v>
      </c>
      <c r="I21" s="7" t="n">
        <f aca="false" t="array" ref="I21:I21">_xlfn.XLOOKUP(G21,{55;56;57;58;59;60;61;62;63;64;65;66;67;68;69;70;71;72;73;74;75;76;77;78;79;80;81;82;83;84;85;86;87;88;89;90;91;92;93;94;95;96;97;98;99},{100000;130000;160000;190000;220000;250000;300000;350000;400000;450000;500000;600000;700000;800000;900000;1000000;1500000;2000000;3000000;4000000;5000000;6500000;8000000;10000000;12500000;15000000;20000000;25000000;30000000;35000000;40000000;55000000;70000000;80000000;90000000;110000000;130000000;160000000;190000000;220000000;250000000;280000000;310000000;340000000;400000000})</f>
        <v>1500000</v>
      </c>
      <c r="J21" s="7" t="n">
        <f aca="false">I21*S21*T21*U21</f>
        <v>1392937.5</v>
      </c>
      <c r="K21" s="8"/>
      <c r="L21" s="3"/>
      <c r="M21" s="8"/>
      <c r="N21" s="9" t="n">
        <v>2</v>
      </c>
      <c r="O21" s="4" t="n">
        <v>0</v>
      </c>
      <c r="P21" s="5" t="n">
        <f aca="false">IF(COUNTIF([1]Base_Jugadores!J$2:J$500,B21)&gt;0,1,0)</f>
        <v>0</v>
      </c>
      <c r="Q21" s="10" t="b">
        <f aca="false">--(COUNTIFS(
   [1]Fichajes_Realizados!A$2:A$5000,A21,
   [1]Fichajes_Realizados!G$2:G$5000,$X$3
)&gt;0)</f>
        <v>0</v>
      </c>
      <c r="R21" s="5" t="n">
        <f aca="false">_xlfn.XLOOKUP(C21, [1]Estado_Equipos!A$2:A$500, [1]Estado_Equipos!J$2:J$500, "")</f>
        <v>72</v>
      </c>
      <c r="S21" s="5" t="n">
        <f aca="false">IF(H21&lt;=16,1.45,
IF(H21&gt;=41,0.3,
CHOOSE(ROUNDDOWN((H21-16)/2,0)+1,
1.45,1.38,1.3,1.23,1.17,1.15,1.12,1.05,0.95,0.8,0.6,0.4,0.3)))</f>
        <v>1.15</v>
      </c>
      <c r="T21" s="5" t="n">
        <f aca="false">CHOOSE(N21+1,1.2,1,0.85,0.7)</f>
        <v>0.85</v>
      </c>
      <c r="U21" s="5" t="n">
        <f aca="false">IF(F21="PO",0.6,
IF(F21="CT",0.75,
IF(F21="LI",0.8,
IF(F21="LD",0.8,
IF(F21="MCD",0.85,
IF(F21="MC",0.95,
IF(F21="MO",1.05,
IF(F21="EI",1.1,
IF(F21="ED",1.1,
IF(F21="SD",1.15,
IF(F21="DC",1.2,0)))))))))))</f>
        <v>0.95</v>
      </c>
    </row>
    <row r="22" customFormat="false" ht="16.4" hidden="false" customHeight="false" outlineLevel="0" collapsed="false">
      <c r="A22" s="1" t="n">
        <v>21</v>
      </c>
      <c r="B22" s="5" t="str">
        <f aca="false">[1]Base_Jugadores!B22</f>
        <v>Raúl Fernández</v>
      </c>
      <c r="C22" s="5" t="str">
        <f aca="false">IFERROR(
   _xlfn.XLOOKUP(VALUE(A22),[1]Fichajes_Realizados!A$2:A$50000,[1]Fichajes_Realizados!D$2:D$50000,,0,-1),
   _xlfn.XLOOKUP(VALUE(A22),[1]Base_Jugadores!A$2:A$50000,[1]Base_Jugadores!C$2:C$50000)
)</f>
        <v>Deportivo Alavés</v>
      </c>
      <c r="D22" s="5" t="str">
        <f aca="false">[1]Base_Jugadores!D22</f>
        <v>España</v>
      </c>
      <c r="E22" s="3"/>
      <c r="F22" s="5" t="str">
        <f aca="false">[1]Base_Jugadores!E22</f>
        <v>PO</v>
      </c>
      <c r="G22" s="5" t="n">
        <f aca="false">[1]Base_Jugadores!F22</f>
        <v>72</v>
      </c>
      <c r="H22" s="5" t="n">
        <f aca="false">[1]Base_Jugadores!G22</f>
        <v>37</v>
      </c>
      <c r="I22" s="7" t="n">
        <f aca="false" t="array" ref="I22:I22">_xlfn.XLOOKUP(G22,{55;56;57;58;59;60;61;62;63;64;65;66;67;68;69;70;71;72;73;74;75;76;77;78;79;80;81;82;83;84;85;86;87;88;89;90;91;92;93;94;95;96;97;98;99},{100000;130000;160000;190000;220000;250000;300000;350000;400000;450000;500000;600000;700000;800000;900000;1000000;1500000;2000000;3000000;4000000;5000000;6500000;8000000;10000000;12500000;15000000;20000000;25000000;30000000;35000000;40000000;55000000;70000000;80000000;90000000;110000000;130000000;160000000;190000000;220000000;250000000;280000000;310000000;340000000;400000000})</f>
        <v>2000000</v>
      </c>
      <c r="J22" s="7" t="n">
        <f aca="false">I22*S22*T22*U22</f>
        <v>612000</v>
      </c>
      <c r="K22" s="8"/>
      <c r="L22" s="3"/>
      <c r="M22" s="8"/>
      <c r="N22" s="9" t="n">
        <v>2</v>
      </c>
      <c r="O22" s="4" t="n">
        <v>0</v>
      </c>
      <c r="P22" s="5" t="n">
        <f aca="false">IF(COUNTIF([1]Base_Jugadores!J$2:J$500,B22)&gt;0,1,0)</f>
        <v>0</v>
      </c>
      <c r="Q22" s="10" t="b">
        <f aca="false">--(COUNTIFS(
   [1]Fichajes_Realizados!A$2:A$5000,A22,
   [1]Fichajes_Realizados!G$2:G$5000,$X$3
)&gt;0)</f>
        <v>0</v>
      </c>
      <c r="R22" s="5" t="n">
        <f aca="false">_xlfn.XLOOKUP(C22, [1]Estado_Equipos!A$2:A$500, [1]Estado_Equipos!J$2:J$500, "")</f>
        <v>72</v>
      </c>
      <c r="S22" s="5" t="n">
        <f aca="false">IF(H22&lt;=16,1.45,
IF(H22&gt;=41,0.3,
CHOOSE(ROUNDDOWN((H22-16)/2,0)+1,
1.45,1.38,1.3,1.23,1.17,1.15,1.12,1.05,0.95,0.8,0.6,0.4,0.3)))</f>
        <v>0.6</v>
      </c>
      <c r="T22" s="5" t="n">
        <f aca="false">CHOOSE(N22+1,1.2,1,0.85,0.7)</f>
        <v>0.85</v>
      </c>
      <c r="U22" s="5" t="n">
        <f aca="false">IF(F22="PO",0.6,
IF(F22="CT",0.75,
IF(F22="LI",0.8,
IF(F22="LD",0.8,
IF(F22="MCD",0.85,
IF(F22="MC",0.95,
IF(F22="MO",1.05,
IF(F22="EI",1.1,
IF(F22="ED",1.1,
IF(F22="SD",1.15,
IF(F22="DC",1.2,0)))))))))))</f>
        <v>0.6</v>
      </c>
    </row>
    <row r="23" customFormat="false" ht="16.4" hidden="false" customHeight="false" outlineLevel="0" collapsed="false">
      <c r="A23" s="1" t="n">
        <v>22</v>
      </c>
      <c r="B23" s="5" t="str">
        <f aca="false">[1]Base_Jugadores!B23</f>
        <v>Toni Martínez</v>
      </c>
      <c r="C23" s="5" t="str">
        <f aca="false">IFERROR(
   _xlfn.XLOOKUP(VALUE(A23),[1]Fichajes_Realizados!A$2:A$50000,[1]Fichajes_Realizados!D$2:D$50000,,0,-1),
   _xlfn.XLOOKUP(VALUE(A23),[1]Base_Jugadores!A$2:A$50000,[1]Base_Jugadores!C$2:C$50000)
)</f>
        <v>Deportivo Alavés</v>
      </c>
      <c r="D23" s="5" t="str">
        <f aca="false">[1]Base_Jugadores!D23</f>
        <v>España</v>
      </c>
      <c r="E23" s="3"/>
      <c r="F23" s="5" t="str">
        <f aca="false">[1]Base_Jugadores!E23</f>
        <v>DC</v>
      </c>
      <c r="G23" s="5" t="n">
        <f aca="false">[1]Base_Jugadores!F23</f>
        <v>75</v>
      </c>
      <c r="H23" s="5" t="n">
        <f aca="false">[1]Base_Jugadores!G23</f>
        <v>28</v>
      </c>
      <c r="I23" s="7" t="n">
        <f aca="false" t="array" ref="I23:I23">_xlfn.XLOOKUP(G23,{55;56;57;58;59;60;61;62;63;64;65;66;67;68;69;70;71;72;73;74;75;76;77;78;79;80;81;82;83;84;85;86;87;88;89;90;91;92;93;94;95;96;97;98;99},{100000;130000;160000;190000;220000;250000;300000;350000;400000;450000;500000;600000;700000;800000;900000;1000000;1500000;2000000;3000000;4000000;5000000;6500000;8000000;10000000;12500000;15000000;20000000;25000000;30000000;35000000;40000000;55000000;70000000;80000000;90000000;110000000;130000000;160000000;190000000;220000000;250000000;280000000;310000000;340000000;400000000})</f>
        <v>5000000</v>
      </c>
      <c r="J23" s="7" t="n">
        <f aca="false">I23*S23*T23*U23</f>
        <v>8064000</v>
      </c>
      <c r="K23" s="8"/>
      <c r="L23" s="3"/>
      <c r="M23" s="8"/>
      <c r="N23" s="9" t="n">
        <v>0</v>
      </c>
      <c r="O23" s="4" t="n">
        <v>0</v>
      </c>
      <c r="P23" s="5" t="n">
        <f aca="false">IF(COUNTIF([1]Base_Jugadores!J$2:J$500,B23)&gt;0,1,0)</f>
        <v>0</v>
      </c>
      <c r="Q23" s="10" t="b">
        <f aca="false">--(COUNTIFS(
   [1]Fichajes_Realizados!A$2:A$5000,A23,
   [1]Fichajes_Realizados!G$2:G$5000,$X$3
)&gt;0)</f>
        <v>0</v>
      </c>
      <c r="R23" s="5" t="n">
        <f aca="false">_xlfn.XLOOKUP(C23, [1]Estado_Equipos!A$2:A$500, [1]Estado_Equipos!J$2:J$500, "")</f>
        <v>72</v>
      </c>
      <c r="S23" s="5" t="n">
        <f aca="false">IF(H23&lt;=16,1.45,
IF(H23&gt;=41,0.3,
CHOOSE(ROUNDDOWN((H23-16)/2,0)+1,
1.45,1.38,1.3,1.23,1.17,1.15,1.12,1.05,0.95,0.8,0.6,0.4,0.3)))</f>
        <v>1.12</v>
      </c>
      <c r="T23" s="5" t="n">
        <f aca="false">CHOOSE(N23+1,1.2,1,0.85,0.7)</f>
        <v>1.2</v>
      </c>
      <c r="U23" s="5" t="n">
        <f aca="false">IF(F23="PO",0.6,
IF(F23="CT",0.75,
IF(F23="LI",0.8,
IF(F23="LD",0.8,
IF(F23="MCD",0.85,
IF(F23="MC",0.95,
IF(F23="MO",1.05,
IF(F23="EI",1.1,
IF(F23="ED",1.1,
IF(F23="SD",1.15,
IF(F23="DC",1.2,0)))))))))))</f>
        <v>1.2</v>
      </c>
    </row>
    <row r="24" customFormat="false" ht="16.4" hidden="false" customHeight="false" outlineLevel="0" collapsed="false">
      <c r="A24" s="1" t="n">
        <v>23</v>
      </c>
      <c r="B24" s="5" t="str">
        <f aca="false">[1]Base_Jugadores!B24</f>
        <v>Victor Parada</v>
      </c>
      <c r="C24" s="5" t="str">
        <f aca="false">IFERROR(
   _xlfn.XLOOKUP(VALUE(A24),[1]Fichajes_Realizados!A$2:A$50000,[1]Fichajes_Realizados!D$2:D$50000,,0,-1),
   _xlfn.XLOOKUP(VALUE(A24),[1]Base_Jugadores!A$2:A$50000,[1]Base_Jugadores!C$2:C$50000)
)</f>
        <v>Deportivo Alavés</v>
      </c>
      <c r="D24" s="5" t="str">
        <f aca="false">[1]Base_Jugadores!D24</f>
        <v>España</v>
      </c>
      <c r="E24" s="3"/>
      <c r="F24" s="5" t="str">
        <f aca="false">[1]Base_Jugadores!E24</f>
        <v>LI</v>
      </c>
      <c r="G24" s="5" t="n">
        <f aca="false">[1]Base_Jugadores!F24</f>
        <v>66</v>
      </c>
      <c r="H24" s="5" t="n">
        <f aca="false">[1]Base_Jugadores!G24</f>
        <v>23</v>
      </c>
      <c r="I24" s="7" t="n">
        <f aca="false" t="array" ref="I24:I24">_xlfn.XLOOKUP(G24,{55;56;57;58;59;60;61;62;63;64;65;66;67;68;69;70;71;72;73;74;75;76;77;78;79;80;81;82;83;84;85;86;87;88;89;90;91;92;93;94;95;96;97;98;99},{100000;130000;160000;190000;220000;250000;300000;350000;400000;450000;500000;600000;700000;800000;900000;1000000;1500000;2000000;3000000;4000000;5000000;6500000;8000000;10000000;12500000;15000000;20000000;25000000;30000000;35000000;40000000;55000000;70000000;80000000;90000000;110000000;130000000;160000000;190000000;220000000;250000000;280000000;310000000;340000000;400000000})</f>
        <v>600000</v>
      </c>
      <c r="J24" s="7" t="n">
        <f aca="false">I24*S24*T24*U24</f>
        <v>501840</v>
      </c>
      <c r="K24" s="8"/>
      <c r="L24" s="3"/>
      <c r="M24" s="8"/>
      <c r="N24" s="9" t="n">
        <v>2</v>
      </c>
      <c r="O24" s="4" t="n">
        <v>0</v>
      </c>
      <c r="P24" s="5" t="n">
        <f aca="false">IF(COUNTIF([1]Base_Jugadores!J$2:J$500,B24)&gt;0,1,0)</f>
        <v>0</v>
      </c>
      <c r="Q24" s="10" t="b">
        <f aca="false">--(COUNTIFS(
   [1]Fichajes_Realizados!A$2:A$5000,A24,
   [1]Fichajes_Realizados!G$2:G$5000,$X$3
)&gt;0)</f>
        <v>0</v>
      </c>
      <c r="R24" s="5" t="n">
        <f aca="false">_xlfn.XLOOKUP(C24, [1]Estado_Equipos!A$2:A$500, [1]Estado_Equipos!J$2:J$500, "")</f>
        <v>72</v>
      </c>
      <c r="S24" s="5" t="n">
        <f aca="false">IF(H24&lt;=16,1.45,
IF(H24&gt;=41,0.3,
CHOOSE(ROUNDDOWN((H24-16)/2,0)+1,
1.45,1.38,1.3,1.23,1.17,1.15,1.12,1.05,0.95,0.8,0.6,0.4,0.3)))</f>
        <v>1.23</v>
      </c>
      <c r="T24" s="5" t="n">
        <f aca="false">CHOOSE(N24+1,1.2,1,0.85,0.7)</f>
        <v>0.85</v>
      </c>
      <c r="U24" s="5" t="n">
        <f aca="false">IF(F24="PO",0.6,
IF(F24="CT",0.75,
IF(F24="LI",0.8,
IF(F24="LD",0.8,
IF(F24="MCD",0.85,
IF(F24="MC",0.95,
IF(F24="MO",1.05,
IF(F24="EI",1.1,
IF(F24="ED",1.1,
IF(F24="SD",1.15,
IF(F24="DC",1.2,0)))))))))))</f>
        <v>0.8</v>
      </c>
    </row>
    <row r="25" customFormat="false" ht="16.4" hidden="false" customHeight="false" outlineLevel="0" collapsed="false">
      <c r="A25" s="1" t="n">
        <v>24</v>
      </c>
      <c r="B25" s="5" t="str">
        <f aca="false">[1]Base_Jugadores!B25</f>
        <v>Youssef Enríquez</v>
      </c>
      <c r="C25" s="5" t="str">
        <f aca="false">IFERROR(
   _xlfn.XLOOKUP(VALUE(A25),[1]Fichajes_Realizados!A$2:A$50000,[1]Fichajes_Realizados!D$2:D$50000,,0,-1),
   _xlfn.XLOOKUP(VALUE(A25),[1]Base_Jugadores!A$2:A$50000,[1]Base_Jugadores!C$2:C$50000)
)</f>
        <v>Deportivo Alavés</v>
      </c>
      <c r="D25" s="5" t="str">
        <f aca="false">[1]Base_Jugadores!D25</f>
        <v>Marruecos</v>
      </c>
      <c r="E25" s="3"/>
      <c r="F25" s="5" t="str">
        <f aca="false">[1]Base_Jugadores!E25</f>
        <v>LI</v>
      </c>
      <c r="G25" s="5" t="n">
        <f aca="false">[1]Base_Jugadores!F25</f>
        <v>74</v>
      </c>
      <c r="H25" s="5" t="n">
        <f aca="false">[1]Base_Jugadores!G25</f>
        <v>20</v>
      </c>
      <c r="I25" s="7" t="n">
        <f aca="false" t="array" ref="I25:I25">_xlfn.XLOOKUP(G25,{55;56;57;58;59;60;61;62;63;64;65;66;67;68;69;70;71;72;73;74;75;76;77;78;79;80;81;82;83;84;85;86;87;88;89;90;91;92;93;94;95;96;97;98;99},{100000;130000;160000;190000;220000;250000;300000;350000;400000;450000;500000;600000;700000;800000;900000;1000000;1500000;2000000;3000000;4000000;5000000;6500000;8000000;10000000;12500000;15000000;20000000;25000000;30000000;35000000;40000000;55000000;70000000;80000000;90000000;110000000;130000000;160000000;190000000;220000000;250000000;280000000;310000000;340000000;400000000})</f>
        <v>4000000</v>
      </c>
      <c r="J25" s="7" t="n">
        <f aca="false">I25*S25*T25*U25</f>
        <v>4992000</v>
      </c>
      <c r="K25" s="8"/>
      <c r="L25" s="3"/>
      <c r="M25" s="8"/>
      <c r="N25" s="9" t="n">
        <v>0</v>
      </c>
      <c r="O25" s="4" t="n">
        <v>0</v>
      </c>
      <c r="P25" s="5" t="n">
        <f aca="false">IF(COUNTIF([1]Base_Jugadores!J$2:J$500,B25)&gt;0,1,0)</f>
        <v>0</v>
      </c>
      <c r="Q25" s="10" t="b">
        <f aca="false">--(COUNTIFS(
   [1]Fichajes_Realizados!A$2:A$5000,A25,
   [1]Fichajes_Realizados!G$2:G$5000,$X$3
)&gt;0)</f>
        <v>0</v>
      </c>
      <c r="R25" s="5" t="n">
        <f aca="false">_xlfn.XLOOKUP(C25, [1]Estado_Equipos!A$2:A$500, [1]Estado_Equipos!J$2:J$500, "")</f>
        <v>72</v>
      </c>
      <c r="S25" s="5" t="n">
        <f aca="false">IF(H25&lt;=16,1.45,
IF(H25&gt;=41,0.3,
CHOOSE(ROUNDDOWN((H25-16)/2,0)+1,
1.45,1.38,1.3,1.23,1.17,1.15,1.12,1.05,0.95,0.8,0.6,0.4,0.3)))</f>
        <v>1.3</v>
      </c>
      <c r="T25" s="5" t="n">
        <f aca="false">CHOOSE(N25+1,1.2,1,0.85,0.7)</f>
        <v>1.2</v>
      </c>
      <c r="U25" s="5" t="n">
        <f aca="false">IF(F25="PO",0.6,
IF(F25="CT",0.75,
IF(F25="LI",0.8,
IF(F25="LD",0.8,
IF(F25="MCD",0.85,
IF(F25="MC",0.95,
IF(F25="MO",1.05,
IF(F25="EI",1.1,
IF(F25="ED",1.1,
IF(F25="SD",1.15,
IF(F25="DC",1.2,0)))))))))))</f>
        <v>0.8</v>
      </c>
    </row>
    <row r="26" customFormat="false" ht="16.4" hidden="false" customHeight="false" outlineLevel="0" collapsed="false">
      <c r="A26" s="1" t="n">
        <v>25</v>
      </c>
      <c r="B26" s="5" t="str">
        <f aca="false">[1]Base_Jugadores!B26</f>
        <v>Adama Boiro</v>
      </c>
      <c r="C26" s="5" t="str">
        <f aca="false">IFERROR(
   _xlfn.XLOOKUP(VALUE(A26),[1]Fichajes_Realizados!A$2:A$50000,[1]Fichajes_Realizados!D$2:D$50000,,0,-1),
   _xlfn.XLOOKUP(VALUE(A26),[1]Base_Jugadores!A$2:A$50000,[1]Base_Jugadores!C$2:C$50000)
)</f>
        <v>Athletic Club</v>
      </c>
      <c r="D26" s="5" t="str">
        <f aca="false">[1]Base_Jugadores!D26</f>
        <v>España</v>
      </c>
      <c r="E26" s="3"/>
      <c r="F26" s="5" t="str">
        <f aca="false">[1]Base_Jugadores!E26</f>
        <v>LI</v>
      </c>
      <c r="G26" s="5" t="n">
        <f aca="false">[1]Base_Jugadores!F26</f>
        <v>64</v>
      </c>
      <c r="H26" s="5" t="n">
        <f aca="false">[1]Base_Jugadores!G26</f>
        <v>23</v>
      </c>
      <c r="I26" s="7" t="n">
        <f aca="false" t="array" ref="I26:I26">_xlfn.XLOOKUP(G26,{55;56;57;58;59;60;61;62;63;64;65;66;67;68;69;70;71;72;73;74;75;76;77;78;79;80;81;82;83;84;85;86;87;88;89;90;91;92;93;94;95;96;97;98;99},{100000;130000;160000;190000;220000;250000;300000;350000;400000;450000;500000;600000;700000;800000;900000;1000000;1500000;2000000;3000000;4000000;5000000;6500000;8000000;10000000;12500000;15000000;20000000;25000000;30000000;35000000;40000000;55000000;70000000;80000000;90000000;110000000;130000000;160000000;190000000;220000000;250000000;280000000;310000000;340000000;400000000})</f>
        <v>450000</v>
      </c>
      <c r="J26" s="7" t="n">
        <f aca="false">I26*S26*T26*U26</f>
        <v>376380</v>
      </c>
      <c r="K26" s="3"/>
      <c r="L26" s="3"/>
      <c r="M26" s="8"/>
      <c r="N26" s="9" t="n">
        <v>2</v>
      </c>
      <c r="O26" s="4" t="n">
        <v>0</v>
      </c>
      <c r="P26" s="5" t="n">
        <f aca="false">IF(COUNTIF([1]Base_Jugadores!J$2:J$500,B26)&gt;0,1,0)</f>
        <v>1</v>
      </c>
      <c r="Q26" s="10" t="b">
        <f aca="false">--(COUNTIFS(
   [1]Fichajes_Realizados!A$2:A$5000,A26,
   [1]Fichajes_Realizados!G$2:G$5000,$X$3
)&gt;0)</f>
        <v>0</v>
      </c>
      <c r="R26" s="5" t="n">
        <f aca="false">_xlfn.XLOOKUP(C26, [1]Estado_Equipos!A$2:A$500, [1]Estado_Equipos!J$2:J$500, "")</f>
        <v>81</v>
      </c>
      <c r="S26" s="5" t="n">
        <f aca="false">IF(H26&lt;=16,1.45,
IF(H26&gt;=41,0.3,
CHOOSE(ROUNDDOWN((H26-16)/2,0)+1,
1.45,1.38,1.3,1.23,1.17,1.15,1.12,1.05,0.95,0.8,0.6,0.4,0.3)))</f>
        <v>1.23</v>
      </c>
      <c r="T26" s="5" t="n">
        <f aca="false">CHOOSE(N26+1,1.2,1,0.85,0.7)</f>
        <v>0.85</v>
      </c>
      <c r="U26" s="5" t="n">
        <f aca="false">IF(F26="PO",0.6,
IF(F26="CT",0.75,
IF(F26="LI",0.8,
IF(F26="LD",0.8,
IF(F26="MCD",0.85,
IF(F26="MC",0.95,
IF(F26="MO",1.05,
IF(F26="EI",1.1,
IF(F26="ED",1.1,
IF(F26="SD",1.15,
IF(F26="DC",1.2,0)))))))))))</f>
        <v>0.8</v>
      </c>
    </row>
    <row r="27" customFormat="false" ht="16.4" hidden="false" customHeight="false" outlineLevel="0" collapsed="false">
      <c r="A27" s="1" t="n">
        <v>26</v>
      </c>
      <c r="B27" s="5" t="str">
        <f aca="false">[1]Base_Jugadores!B27</f>
        <v>Aitor Paredes</v>
      </c>
      <c r="C27" s="5" t="str">
        <f aca="false">IFERROR(
   _xlfn.XLOOKUP(VALUE(A27),[1]Fichajes_Realizados!A$2:A$50000,[1]Fichajes_Realizados!D$2:D$50000,,0,-1),
   _xlfn.XLOOKUP(VALUE(A27),[1]Base_Jugadores!A$2:A$50000,[1]Base_Jugadores!C$2:C$50000)
)</f>
        <v>Athletic Club</v>
      </c>
      <c r="D27" s="5" t="str">
        <f aca="false">[1]Base_Jugadores!D27</f>
        <v>España</v>
      </c>
      <c r="E27" s="3"/>
      <c r="F27" s="5" t="str">
        <f aca="false">[1]Base_Jugadores!E27</f>
        <v>CT</v>
      </c>
      <c r="G27" s="5" t="n">
        <f aca="false">[1]Base_Jugadores!F27</f>
        <v>78</v>
      </c>
      <c r="H27" s="5" t="n">
        <f aca="false">[1]Base_Jugadores!G27</f>
        <v>25</v>
      </c>
      <c r="I27" s="7" t="n">
        <f aca="false" t="array" ref="I27:I27">_xlfn.XLOOKUP(G27,{55;56;57;58;59;60;61;62;63;64;65;66;67;68;69;70;71;72;73;74;75;76;77;78;79;80;81;82;83;84;85;86;87;88;89;90;91;92;93;94;95;96;97;98;99},{100000;130000;160000;190000;220000;250000;300000;350000;400000;450000;500000;600000;700000;800000;900000;1000000;1500000;2000000;3000000;4000000;5000000;6500000;8000000;10000000;12500000;15000000;20000000;25000000;30000000;35000000;40000000;55000000;70000000;80000000;90000000;110000000;130000000;160000000;190000000;220000000;250000000;280000000;310000000;340000000;400000000})</f>
        <v>10000000</v>
      </c>
      <c r="J27" s="7" t="n">
        <f aca="false">I27*S27*T27*U27</f>
        <v>8775000</v>
      </c>
      <c r="K27" s="8"/>
      <c r="L27" s="3"/>
      <c r="M27" s="8"/>
      <c r="N27" s="9" t="n">
        <v>1</v>
      </c>
      <c r="O27" s="4" t="n">
        <v>0</v>
      </c>
      <c r="P27" s="5" t="n">
        <f aca="false">IF(COUNTIF([1]Base_Jugadores!J$2:J$500,B27)&gt;0,1,0)</f>
        <v>1</v>
      </c>
      <c r="Q27" s="10" t="b">
        <f aca="false">--(COUNTIFS(
   [1]Fichajes_Realizados!A$2:A$5000,A27,
   [1]Fichajes_Realizados!G$2:G$5000,$X$3
)&gt;0)</f>
        <v>0</v>
      </c>
      <c r="R27" s="5" t="n">
        <f aca="false">_xlfn.XLOOKUP(C27, [1]Estado_Equipos!A$2:A$500, [1]Estado_Equipos!J$2:J$500, "")</f>
        <v>81</v>
      </c>
      <c r="S27" s="5" t="n">
        <f aca="false">IF(H27&lt;=16,1.45,
IF(H27&gt;=41,0.3,
CHOOSE(ROUNDDOWN((H27-16)/2,0)+1,
1.45,1.38,1.3,1.23,1.17,1.15,1.12,1.05,0.95,0.8,0.6,0.4,0.3)))</f>
        <v>1.17</v>
      </c>
      <c r="T27" s="5" t="n">
        <f aca="false">CHOOSE(N27+1,1.2,1,0.85,0.7)</f>
        <v>1</v>
      </c>
      <c r="U27" s="5" t="n">
        <f aca="false">IF(F27="PO",0.6,
IF(F27="CT",0.75,
IF(F27="LI",0.8,
IF(F27="LD",0.8,
IF(F27="MCD",0.85,
IF(F27="MC",0.95,
IF(F27="MO",1.05,
IF(F27="EI",1.1,
IF(F27="ED",1.1,
IF(F27="SD",1.15,
IF(F27="DC",1.2,0)))))))))))</f>
        <v>0.75</v>
      </c>
    </row>
    <row r="28" customFormat="false" ht="16.4" hidden="false" customHeight="false" outlineLevel="0" collapsed="false">
      <c r="A28" s="1" t="n">
        <v>27</v>
      </c>
      <c r="B28" s="5" t="str">
        <f aca="false">[1]Base_Jugadores!B28</f>
        <v>Álex Berenguer</v>
      </c>
      <c r="C28" s="5" t="str">
        <f aca="false">IFERROR(
   _xlfn.XLOOKUP(VALUE(A28),[1]Fichajes_Realizados!A$2:A$50000,[1]Fichajes_Realizados!D$2:D$50000,,0,-1),
   _xlfn.XLOOKUP(VALUE(A28),[1]Base_Jugadores!A$2:A$50000,[1]Base_Jugadores!C$2:C$50000)
)</f>
        <v>Athletic Club</v>
      </c>
      <c r="D28" s="5" t="str">
        <f aca="false">[1]Base_Jugadores!D28</f>
        <v>España</v>
      </c>
      <c r="E28" s="3"/>
      <c r="F28" s="5" t="str">
        <f aca="false">[1]Base_Jugadores!E28</f>
        <v>EI</v>
      </c>
      <c r="G28" s="5" t="n">
        <f aca="false">[1]Base_Jugadores!F28</f>
        <v>81</v>
      </c>
      <c r="H28" s="5" t="n">
        <f aca="false">[1]Base_Jugadores!G28</f>
        <v>30</v>
      </c>
      <c r="I28" s="7" t="n">
        <f aca="false" t="array" ref="I28:I28">_xlfn.XLOOKUP(G28,{55;56;57;58;59;60;61;62;63;64;65;66;67;68;69;70;71;72;73;74;75;76;77;78;79;80;81;82;83;84;85;86;87;88;89;90;91;92;93;94;95;96;97;98;99},{100000;130000;160000;190000;220000;250000;300000;350000;400000;450000;500000;600000;700000;800000;900000;1000000;1500000;2000000;3000000;4000000;5000000;6500000;8000000;10000000;12500000;15000000;20000000;25000000;30000000;35000000;40000000;55000000;70000000;80000000;90000000;110000000;130000000;160000000;190000000;220000000;250000000;280000000;310000000;340000000;400000000})</f>
        <v>20000000</v>
      </c>
      <c r="J28" s="7" t="n">
        <f aca="false">I28*S28*T28*U28</f>
        <v>23100000</v>
      </c>
      <c r="K28" s="8"/>
      <c r="L28" s="3"/>
      <c r="M28" s="8"/>
      <c r="N28" s="9" t="n">
        <v>1</v>
      </c>
      <c r="O28" s="4" t="n">
        <v>0</v>
      </c>
      <c r="P28" s="5" t="n">
        <f aca="false">IF(COUNTIF([1]Base_Jugadores!J$2:J$500,B28)&gt;0,1,0)</f>
        <v>1</v>
      </c>
      <c r="Q28" s="10" t="b">
        <f aca="false">--(COUNTIFS(
   [1]Fichajes_Realizados!A$2:A$5000,A28,
   [1]Fichajes_Realizados!G$2:G$5000,$X$3
)&gt;0)</f>
        <v>0</v>
      </c>
      <c r="R28" s="5" t="n">
        <f aca="false">_xlfn.XLOOKUP(C28, [1]Estado_Equipos!A$2:A$500, [1]Estado_Equipos!J$2:J$500, "")</f>
        <v>81</v>
      </c>
      <c r="S28" s="5" t="n">
        <f aca="false">IF(H28&lt;=16,1.45,
IF(H28&gt;=41,0.3,
CHOOSE(ROUNDDOWN((H28-16)/2,0)+1,
1.45,1.38,1.3,1.23,1.17,1.15,1.12,1.05,0.95,0.8,0.6,0.4,0.3)))</f>
        <v>1.05</v>
      </c>
      <c r="T28" s="5" t="n">
        <f aca="false">CHOOSE(N28+1,1.2,1,0.85,0.7)</f>
        <v>1</v>
      </c>
      <c r="U28" s="5" t="n">
        <f aca="false">IF(F28="PO",0.6,
IF(F28="CT",0.75,
IF(F28="LI",0.8,
IF(F28="LD",0.8,
IF(F28="MCD",0.85,
IF(F28="MC",0.95,
IF(F28="MO",1.05,
IF(F28="EI",1.1,
IF(F28="ED",1.1,
IF(F28="SD",1.15,
IF(F28="DC",1.2,0)))))))))))</f>
        <v>1.1</v>
      </c>
    </row>
    <row r="29" customFormat="false" ht="16.4" hidden="false" customHeight="false" outlineLevel="0" collapsed="false">
      <c r="A29" s="1" t="n">
        <v>28</v>
      </c>
      <c r="B29" s="5" t="str">
        <f aca="false">[1]Base_Jugadores!B29</f>
        <v>Álex Padilla</v>
      </c>
      <c r="C29" s="5" t="str">
        <f aca="false">IFERROR(
   _xlfn.XLOOKUP(VALUE(A29),[1]Fichajes_Realizados!A$2:A$50000,[1]Fichajes_Realizados!D$2:D$50000,,0,-1),
   _xlfn.XLOOKUP(VALUE(A29),[1]Base_Jugadores!A$2:A$50000,[1]Base_Jugadores!C$2:C$50000)
)</f>
        <v>Athletic Club</v>
      </c>
      <c r="D29" s="5" t="str">
        <f aca="false">[1]Base_Jugadores!D29</f>
        <v>México</v>
      </c>
      <c r="E29" s="3"/>
      <c r="F29" s="5" t="str">
        <f aca="false">[1]Base_Jugadores!E29</f>
        <v>PO</v>
      </c>
      <c r="G29" s="5" t="n">
        <f aca="false">[1]Base_Jugadores!F29</f>
        <v>72</v>
      </c>
      <c r="H29" s="5" t="n">
        <f aca="false">[1]Base_Jugadores!G29</f>
        <v>22</v>
      </c>
      <c r="I29" s="7" t="n">
        <f aca="false" t="array" ref="I29:I29">_xlfn.XLOOKUP(G29,{55;56;57;58;59;60;61;62;63;64;65;66;67;68;69;70;71;72;73;74;75;76;77;78;79;80;81;82;83;84;85;86;87;88;89;90;91;92;93;94;95;96;97;98;99},{100000;130000;160000;190000;220000;250000;300000;350000;400000;450000;500000;600000;700000;800000;900000;1000000;1500000;2000000;3000000;4000000;5000000;6500000;8000000;10000000;12500000;15000000;20000000;25000000;30000000;35000000;40000000;55000000;70000000;80000000;90000000;110000000;130000000;160000000;190000000;220000000;250000000;280000000;310000000;340000000;400000000})</f>
        <v>2000000</v>
      </c>
      <c r="J29" s="7" t="n">
        <f aca="false">I29*S29*T29*U29</f>
        <v>1254600</v>
      </c>
      <c r="K29" s="8"/>
      <c r="L29" s="3"/>
      <c r="M29" s="8"/>
      <c r="N29" s="9" t="n">
        <v>2</v>
      </c>
      <c r="O29" s="4" t="n">
        <v>1</v>
      </c>
      <c r="P29" s="5" t="n">
        <f aca="false">IF(COUNTIF([1]Base_Jugadores!J$2:J$500,B29)&gt;0,1,0)</f>
        <v>1</v>
      </c>
      <c r="Q29" s="10" t="b">
        <f aca="false">--(COUNTIFS(
   [1]Fichajes_Realizados!A$2:A$5000,A29,
   [1]Fichajes_Realizados!G$2:G$5000,$X$3
)&gt;0)</f>
        <v>0</v>
      </c>
      <c r="R29" s="5" t="n">
        <f aca="false">_xlfn.XLOOKUP(C29, [1]Estado_Equipos!A$2:A$500, [1]Estado_Equipos!J$2:J$500, "")</f>
        <v>81</v>
      </c>
      <c r="S29" s="5" t="n">
        <f aca="false">IF(H29&lt;=16,1.45,
IF(H29&gt;=41,0.3,
CHOOSE(ROUNDDOWN((H29-16)/2,0)+1,
1.45,1.38,1.3,1.23,1.17,1.15,1.12,1.05,0.95,0.8,0.6,0.4,0.3)))</f>
        <v>1.23</v>
      </c>
      <c r="T29" s="5" t="n">
        <f aca="false">CHOOSE(N29+1,1.2,1,0.85,0.7)</f>
        <v>0.85</v>
      </c>
      <c r="U29" s="5" t="n">
        <f aca="false">IF(F29="PO",0.6,
IF(F29="CT",0.75,
IF(F29="LI",0.8,
IF(F29="LD",0.8,
IF(F29="MCD",0.85,
IF(F29="MC",0.95,
IF(F29="MO",1.05,
IF(F29="EI",1.1,
IF(F29="ED",1.1,
IF(F29="SD",1.15,
IF(F29="DC",1.2,0)))))))))))</f>
        <v>0.6</v>
      </c>
    </row>
    <row r="30" customFormat="false" ht="16.4" hidden="false" customHeight="false" outlineLevel="0" collapsed="false">
      <c r="A30" s="1" t="n">
        <v>29</v>
      </c>
      <c r="B30" s="5" t="str">
        <f aca="false">[1]Base_Jugadores!B30</f>
        <v>Andoni Gorosabel</v>
      </c>
      <c r="C30" s="5" t="str">
        <f aca="false">IFERROR(
   _xlfn.XLOOKUP(VALUE(A30),[1]Fichajes_Realizados!A$2:A$50000,[1]Fichajes_Realizados!D$2:D$50000,,0,-1),
   _xlfn.XLOOKUP(VALUE(A30),[1]Base_Jugadores!A$2:A$50000,[1]Base_Jugadores!C$2:C$50000)
)</f>
        <v>Athletic Club</v>
      </c>
      <c r="D30" s="5" t="str">
        <f aca="false">[1]Base_Jugadores!D30</f>
        <v>España</v>
      </c>
      <c r="E30" s="3"/>
      <c r="F30" s="5" t="str">
        <f aca="false">[1]Base_Jugadores!E30</f>
        <v>LD</v>
      </c>
      <c r="G30" s="5" t="n">
        <f aca="false">[1]Base_Jugadores!F30</f>
        <v>76</v>
      </c>
      <c r="H30" s="5" t="n">
        <f aca="false">[1]Base_Jugadores!G30</f>
        <v>29</v>
      </c>
      <c r="I30" s="7" t="n">
        <f aca="false" t="array" ref="I30:I30">_xlfn.XLOOKUP(G30,{55;56;57;58;59;60;61;62;63;64;65;66;67;68;69;70;71;72;73;74;75;76;77;78;79;80;81;82;83;84;85;86;87;88;89;90;91;92;93;94;95;96;97;98;99},{100000;130000;160000;190000;220000;250000;300000;350000;400000;450000;500000;600000;700000;800000;900000;1000000;1500000;2000000;3000000;4000000;5000000;6500000;8000000;10000000;12500000;15000000;20000000;25000000;30000000;35000000;40000000;55000000;70000000;80000000;90000000;110000000;130000000;160000000;190000000;220000000;250000000;280000000;310000000;340000000;400000000})</f>
        <v>6500000</v>
      </c>
      <c r="J30" s="7" t="n">
        <f aca="false">I30*S30*T30*U30</f>
        <v>5824000</v>
      </c>
      <c r="K30" s="8"/>
      <c r="L30" s="3"/>
      <c r="M30" s="8"/>
      <c r="N30" s="9" t="n">
        <v>1</v>
      </c>
      <c r="O30" s="4" t="n">
        <v>0</v>
      </c>
      <c r="P30" s="5" t="n">
        <f aca="false">IF(COUNTIF([1]Base_Jugadores!J$2:J$500,B30)&gt;0,1,0)</f>
        <v>1</v>
      </c>
      <c r="Q30" s="10" t="b">
        <f aca="false">--(COUNTIFS(
   [1]Fichajes_Realizados!A$2:A$5000,A30,
   [1]Fichajes_Realizados!G$2:G$5000,$X$3
)&gt;0)</f>
        <v>0</v>
      </c>
      <c r="R30" s="5" t="n">
        <f aca="false">_xlfn.XLOOKUP(C30, [1]Estado_Equipos!A$2:A$500, [1]Estado_Equipos!J$2:J$500, "")</f>
        <v>81</v>
      </c>
      <c r="S30" s="5" t="n">
        <f aca="false">IF(H30&lt;=16,1.45,
IF(H30&gt;=41,0.3,
CHOOSE(ROUNDDOWN((H30-16)/2,0)+1,
1.45,1.38,1.3,1.23,1.17,1.15,1.12,1.05,0.95,0.8,0.6,0.4,0.3)))</f>
        <v>1.12</v>
      </c>
      <c r="T30" s="5" t="n">
        <f aca="false">CHOOSE(N30+1,1.2,1,0.85,0.7)</f>
        <v>1</v>
      </c>
      <c r="U30" s="5" t="n">
        <f aca="false">IF(F30="PO",0.6,
IF(F30="CT",0.75,
IF(F30="LI",0.8,
IF(F30="LD",0.8,
IF(F30="MCD",0.85,
IF(F30="MC",0.95,
IF(F30="MO",1.05,
IF(F30="EI",1.1,
IF(F30="ED",1.1,
IF(F30="SD",1.15,
IF(F30="DC",1.2,0)))))))))))</f>
        <v>0.8</v>
      </c>
    </row>
    <row r="31" customFormat="false" ht="16.4" hidden="false" customHeight="false" outlineLevel="0" collapsed="false">
      <c r="A31" s="1" t="n">
        <v>30</v>
      </c>
      <c r="B31" s="5" t="str">
        <f aca="false">[1]Base_Jugadores!B31</f>
        <v>Aymeric Laporte</v>
      </c>
      <c r="C31" s="5" t="str">
        <f aca="false">IFERROR(
   _xlfn.XLOOKUP(VALUE(A31),[1]Fichajes_Realizados!A$2:A$50000,[1]Fichajes_Realizados!D$2:D$50000,,0,-1),
   _xlfn.XLOOKUP(VALUE(A31),[1]Base_Jugadores!A$2:A$50000,[1]Base_Jugadores!C$2:C$50000)
)</f>
        <v>Athletic Club</v>
      </c>
      <c r="D31" s="5" t="str">
        <f aca="false">[1]Base_Jugadores!D31</f>
        <v>España</v>
      </c>
      <c r="E31" s="3"/>
      <c r="F31" s="5" t="str">
        <f aca="false">[1]Base_Jugadores!E31</f>
        <v>CT</v>
      </c>
      <c r="G31" s="5" t="n">
        <f aca="false">[1]Base_Jugadores!F31</f>
        <v>84</v>
      </c>
      <c r="H31" s="5" t="n">
        <f aca="false">[1]Base_Jugadores!G31</f>
        <v>31</v>
      </c>
      <c r="I31" s="7" t="n">
        <f aca="false" t="array" ref="I31:I31">_xlfn.XLOOKUP(G31,{55;56;57;58;59;60;61;62;63;64;65;66;67;68;69;70;71;72;73;74;75;76;77;78;79;80;81;82;83;84;85;86;87;88;89;90;91;92;93;94;95;96;97;98;99},{100000;130000;160000;190000;220000;250000;300000;350000;400000;450000;500000;600000;700000;800000;900000;1000000;1500000;2000000;3000000;4000000;5000000;6500000;8000000;10000000;12500000;15000000;20000000;25000000;30000000;35000000;40000000;55000000;70000000;80000000;90000000;110000000;130000000;160000000;190000000;220000000;250000000;280000000;310000000;340000000;400000000})</f>
        <v>35000000</v>
      </c>
      <c r="J31" s="7" t="n">
        <f aca="false">I31*S31*T31*U31</f>
        <v>33075000</v>
      </c>
      <c r="K31" s="8"/>
      <c r="L31" s="8"/>
      <c r="M31" s="8"/>
      <c r="N31" s="9" t="n">
        <v>0</v>
      </c>
      <c r="O31" s="4" t="n">
        <v>0</v>
      </c>
      <c r="P31" s="5" t="n">
        <f aca="false">IF(COUNTIF([1]Base_Jugadores!J$2:J$500,B31)&gt;0,1,0)</f>
        <v>1</v>
      </c>
      <c r="Q31" s="10" t="b">
        <f aca="false">--(COUNTIFS(
   [1]Fichajes_Realizados!A$2:A$5000,A31,
   [1]Fichajes_Realizados!G$2:G$5000,$X$3
)&gt;0)</f>
        <v>0</v>
      </c>
      <c r="R31" s="5" t="n">
        <f aca="false">_xlfn.XLOOKUP(C31, [1]Estado_Equipos!A$2:A$500, [1]Estado_Equipos!J$2:J$500, "")</f>
        <v>81</v>
      </c>
      <c r="S31" s="5" t="n">
        <f aca="false">IF(H31&lt;=16,1.45,
IF(H31&gt;=41,0.3,
CHOOSE(ROUNDDOWN((H31-16)/2,0)+1,
1.45,1.38,1.3,1.23,1.17,1.15,1.12,1.05,0.95,0.8,0.6,0.4,0.3)))</f>
        <v>1.05</v>
      </c>
      <c r="T31" s="5" t="n">
        <f aca="false">CHOOSE(N31+1,1.2,1,0.85,0.7)</f>
        <v>1.2</v>
      </c>
      <c r="U31" s="5" t="n">
        <f aca="false">IF(F31="PO",0.6,
IF(F31="CT",0.75,
IF(F31="LI",0.8,
IF(F31="LD",0.8,
IF(F31="MCD",0.85,
IF(F31="MC",0.95,
IF(F31="MO",1.05,
IF(F31="EI",1.1,
IF(F31="ED",1.1,
IF(F31="SD",1.15,
IF(F31="DC",1.2,0)))))))))))</f>
        <v>0.75</v>
      </c>
    </row>
    <row r="32" customFormat="false" ht="16.4" hidden="false" customHeight="false" outlineLevel="0" collapsed="false">
      <c r="A32" s="1" t="n">
        <v>31</v>
      </c>
      <c r="B32" s="5" t="str">
        <f aca="false">[1]Base_Jugadores!B32</f>
        <v>Beñat Prados</v>
      </c>
      <c r="C32" s="5" t="str">
        <f aca="false">IFERROR(
   _xlfn.XLOOKUP(VALUE(A32),[1]Fichajes_Realizados!A$2:A$50000,[1]Fichajes_Realizados!D$2:D$50000,,0,-1),
   _xlfn.XLOOKUP(VALUE(A32),[1]Base_Jugadores!A$2:A$50000,[1]Base_Jugadores!C$2:C$50000)
)</f>
        <v>Athletic Club</v>
      </c>
      <c r="D32" s="5" t="str">
        <f aca="false">[1]Base_Jugadores!D32</f>
        <v>España</v>
      </c>
      <c r="E32" s="3"/>
      <c r="F32" s="5" t="str">
        <f aca="false">[1]Base_Jugadores!E32</f>
        <v>MC</v>
      </c>
      <c r="G32" s="5" t="n">
        <f aca="false">[1]Base_Jugadores!F32</f>
        <v>76</v>
      </c>
      <c r="H32" s="5" t="n">
        <f aca="false">[1]Base_Jugadores!G32</f>
        <v>24</v>
      </c>
      <c r="I32" s="7" t="n">
        <f aca="false" t="array" ref="I32:I32">_xlfn.XLOOKUP(G32,{55;56;57;58;59;60;61;62;63;64;65;66;67;68;69;70;71;72;73;74;75;76;77;78;79;80;81;82;83;84;85;86;87;88;89;90;91;92;93;94;95;96;97;98;99},{100000;130000;160000;190000;220000;250000;300000;350000;400000;450000;500000;600000;700000;800000;900000;1000000;1500000;2000000;3000000;4000000;5000000;6500000;8000000;10000000;12500000;15000000;20000000;25000000;30000000;35000000;40000000;55000000;70000000;80000000;90000000;110000000;130000000;160000000;190000000;220000000;250000000;280000000;310000000;340000000;400000000})</f>
        <v>6500000</v>
      </c>
      <c r="J32" s="7" t="n">
        <f aca="false">I32*S32*T32*U32</f>
        <v>8669700</v>
      </c>
      <c r="K32" s="8"/>
      <c r="L32" s="3"/>
      <c r="M32" s="8"/>
      <c r="N32" s="9" t="n">
        <v>0</v>
      </c>
      <c r="O32" s="4" t="n">
        <v>0</v>
      </c>
      <c r="P32" s="5" t="n">
        <f aca="false">IF(COUNTIF([1]Base_Jugadores!J$2:J$500,B32)&gt;0,1,0)</f>
        <v>1</v>
      </c>
      <c r="Q32" s="10" t="b">
        <f aca="false">--(COUNTIFS(
   [1]Fichajes_Realizados!A$2:A$5000,A32,
   [1]Fichajes_Realizados!G$2:G$5000,$X$3
)&gt;0)</f>
        <v>0</v>
      </c>
      <c r="R32" s="5" t="n">
        <f aca="false">_xlfn.XLOOKUP(C32, [1]Estado_Equipos!A$2:A$500, [1]Estado_Equipos!J$2:J$500, "")</f>
        <v>81</v>
      </c>
      <c r="S32" s="5" t="n">
        <f aca="false">IF(H32&lt;=16,1.45,
IF(H32&gt;=41,0.3,
CHOOSE(ROUNDDOWN((H32-16)/2,0)+1,
1.45,1.38,1.3,1.23,1.17,1.15,1.12,1.05,0.95,0.8,0.6,0.4,0.3)))</f>
        <v>1.17</v>
      </c>
      <c r="T32" s="5" t="n">
        <f aca="false">CHOOSE(N32+1,1.2,1,0.85,0.7)</f>
        <v>1.2</v>
      </c>
      <c r="U32" s="5" t="n">
        <f aca="false">IF(F32="PO",0.6,
IF(F32="CT",0.75,
IF(F32="LI",0.8,
IF(F32="LD",0.8,
IF(F32="MCD",0.85,
IF(F32="MC",0.95,
IF(F32="MO",1.05,
IF(F32="EI",1.1,
IF(F32="ED",1.1,
IF(F32="SD",1.15,
IF(F32="DC",1.2,0)))))))))))</f>
        <v>0.95</v>
      </c>
    </row>
    <row r="33" customFormat="false" ht="16.4" hidden="false" customHeight="false" outlineLevel="0" collapsed="false">
      <c r="A33" s="1" t="n">
        <v>32</v>
      </c>
      <c r="B33" s="5" t="str">
        <f aca="false">[1]Base_Jugadores!B33</f>
        <v>Dani Vivian</v>
      </c>
      <c r="C33" s="5" t="str">
        <f aca="false">IFERROR(
   _xlfn.XLOOKUP(VALUE(A33),[1]Fichajes_Realizados!A$2:A$50000,[1]Fichajes_Realizados!D$2:D$50000,,0,-1),
   _xlfn.XLOOKUP(VALUE(A33),[1]Base_Jugadores!A$2:A$50000,[1]Base_Jugadores!C$2:C$50000)
)</f>
        <v>Athletic Club</v>
      </c>
      <c r="D33" s="5" t="str">
        <f aca="false">[1]Base_Jugadores!D33</f>
        <v>España</v>
      </c>
      <c r="E33" s="3"/>
      <c r="F33" s="5" t="str">
        <f aca="false">[1]Base_Jugadores!E33</f>
        <v>CT</v>
      </c>
      <c r="G33" s="5" t="n">
        <f aca="false">[1]Base_Jugadores!F33</f>
        <v>83</v>
      </c>
      <c r="H33" s="5" t="n">
        <f aca="false">[1]Base_Jugadores!G33</f>
        <v>26</v>
      </c>
      <c r="I33" s="7" t="n">
        <f aca="false" t="array" ref="I33:I33">_xlfn.XLOOKUP(G33,{55;56;57;58;59;60;61;62;63;64;65;66;67;68;69;70;71;72;73;74;75;76;77;78;79;80;81;82;83;84;85;86;87;88;89;90;91;92;93;94;95;96;97;98;99},{100000;130000;160000;190000;220000;250000;300000;350000;400000;450000;500000;600000;700000;800000;900000;1000000;1500000;2000000;3000000;4000000;5000000;6500000;8000000;10000000;12500000;15000000;20000000;25000000;30000000;35000000;40000000;55000000;70000000;80000000;90000000;110000000;130000000;160000000;190000000;220000000;250000000;280000000;310000000;340000000;400000000})</f>
        <v>30000000</v>
      </c>
      <c r="J33" s="7" t="n">
        <f aca="false">I33*S33*T33*U33</f>
        <v>31050000</v>
      </c>
      <c r="K33" s="8"/>
      <c r="L33" s="8"/>
      <c r="M33" s="8"/>
      <c r="N33" s="9" t="n">
        <v>0</v>
      </c>
      <c r="O33" s="4" t="n">
        <v>0</v>
      </c>
      <c r="P33" s="5" t="n">
        <f aca="false">IF(COUNTIF([1]Base_Jugadores!J$2:J$500,B33)&gt;0,1,0)</f>
        <v>1</v>
      </c>
      <c r="Q33" s="10" t="b">
        <f aca="false">--(COUNTIFS(
   [1]Fichajes_Realizados!A$2:A$5000,A33,
   [1]Fichajes_Realizados!G$2:G$5000,$X$3
)&gt;0)</f>
        <v>0</v>
      </c>
      <c r="R33" s="5" t="n">
        <f aca="false">_xlfn.XLOOKUP(C33, [1]Estado_Equipos!A$2:A$500, [1]Estado_Equipos!J$2:J$500, "")</f>
        <v>81</v>
      </c>
      <c r="S33" s="5" t="n">
        <f aca="false">IF(H33&lt;=16,1.45,
IF(H33&gt;=41,0.3,
CHOOSE(ROUNDDOWN((H33-16)/2,0)+1,
1.45,1.38,1.3,1.23,1.17,1.15,1.12,1.05,0.95,0.8,0.6,0.4,0.3)))</f>
        <v>1.15</v>
      </c>
      <c r="T33" s="5" t="n">
        <f aca="false">CHOOSE(N33+1,1.2,1,0.85,0.7)</f>
        <v>1.2</v>
      </c>
      <c r="U33" s="5" t="n">
        <f aca="false">IF(F33="PO",0.6,
IF(F33="CT",0.75,
IF(F33="LI",0.8,
IF(F33="LD",0.8,
IF(F33="MCD",0.85,
IF(F33="MC",0.95,
IF(F33="MO",1.05,
IF(F33="EI",1.1,
IF(F33="ED",1.1,
IF(F33="SD",1.15,
IF(F33="DC",1.2,0)))))))))))</f>
        <v>0.75</v>
      </c>
    </row>
    <row r="34" customFormat="false" ht="16.4" hidden="false" customHeight="false" outlineLevel="0" collapsed="false">
      <c r="A34" s="1" t="n">
        <v>33</v>
      </c>
      <c r="B34" s="5" t="str">
        <f aca="false">[1]Base_Jugadores!B34</f>
        <v>Gorka Guruzeta</v>
      </c>
      <c r="C34" s="5" t="str">
        <f aca="false">IFERROR(
   _xlfn.XLOOKUP(VALUE(A34),[1]Fichajes_Realizados!A$2:A$50000,[1]Fichajes_Realizados!D$2:D$50000,,0,-1),
   _xlfn.XLOOKUP(VALUE(A34),[1]Base_Jugadores!A$2:A$50000,[1]Base_Jugadores!C$2:C$50000)
)</f>
        <v>Athletic Club</v>
      </c>
      <c r="D34" s="5" t="str">
        <f aca="false">[1]Base_Jugadores!D34</f>
        <v>España</v>
      </c>
      <c r="E34" s="3"/>
      <c r="F34" s="5" t="str">
        <f aca="false">[1]Base_Jugadores!E34</f>
        <v>DC</v>
      </c>
      <c r="G34" s="5" t="n">
        <f aca="false">[1]Base_Jugadores!F34</f>
        <v>79</v>
      </c>
      <c r="H34" s="5" t="n">
        <f aca="false">[1]Base_Jugadores!G34</f>
        <v>29</v>
      </c>
      <c r="I34" s="7" t="n">
        <f aca="false" t="array" ref="I34:I34">_xlfn.XLOOKUP(G34,{55;56;57;58;59;60;61;62;63;64;65;66;67;68;69;70;71;72;73;74;75;76;77;78;79;80;81;82;83;84;85;86;87;88;89;90;91;92;93;94;95;96;97;98;99},{100000;130000;160000;190000;220000;250000;300000;350000;400000;450000;500000;600000;700000;800000;900000;1000000;1500000;2000000;3000000;4000000;5000000;6500000;8000000;10000000;12500000;15000000;20000000;25000000;30000000;35000000;40000000;55000000;70000000;80000000;90000000;110000000;130000000;160000000;190000000;220000000;250000000;280000000;310000000;340000000;400000000})</f>
        <v>12500000</v>
      </c>
      <c r="J34" s="7" t="n">
        <f aca="false">I34*S34*T34*U34</f>
        <v>20160000</v>
      </c>
      <c r="K34" s="8"/>
      <c r="L34" s="8"/>
      <c r="M34" s="8"/>
      <c r="N34" s="9" t="n">
        <v>0</v>
      </c>
      <c r="O34" s="4" t="n">
        <v>0</v>
      </c>
      <c r="P34" s="5" t="n">
        <f aca="false">IF(COUNTIF([1]Base_Jugadores!J$2:J$500,B34)&gt;0,1,0)</f>
        <v>1</v>
      </c>
      <c r="Q34" s="10" t="b">
        <f aca="false">--(COUNTIFS(
   [1]Fichajes_Realizados!A$2:A$5000,A34,
   [1]Fichajes_Realizados!G$2:G$5000,$X$3
)&gt;0)</f>
        <v>0</v>
      </c>
      <c r="R34" s="5" t="n">
        <f aca="false">_xlfn.XLOOKUP(C34, [1]Estado_Equipos!A$2:A$500, [1]Estado_Equipos!J$2:J$500, "")</f>
        <v>81</v>
      </c>
      <c r="S34" s="5" t="n">
        <f aca="false">IF(H34&lt;=16,1.45,
IF(H34&gt;=41,0.3,
CHOOSE(ROUNDDOWN((H34-16)/2,0)+1,
1.45,1.38,1.3,1.23,1.17,1.15,1.12,1.05,0.95,0.8,0.6,0.4,0.3)))</f>
        <v>1.12</v>
      </c>
      <c r="T34" s="5" t="n">
        <f aca="false">CHOOSE(N34+1,1.2,1,0.85,0.7)</f>
        <v>1.2</v>
      </c>
      <c r="U34" s="5" t="n">
        <f aca="false">IF(F34="PO",0.6,
IF(F34="CT",0.75,
IF(F34="LI",0.8,
IF(F34="LD",0.8,
IF(F34="MCD",0.85,
IF(F34="MC",0.95,
IF(F34="MO",1.05,
IF(F34="EI",1.1,
IF(F34="ED",1.1,
IF(F34="SD",1.15,
IF(F34="DC",1.2,0)))))))))))</f>
        <v>1.2</v>
      </c>
    </row>
    <row r="35" customFormat="false" ht="16.4" hidden="false" customHeight="false" outlineLevel="0" collapsed="false">
      <c r="A35" s="1" t="n">
        <v>34</v>
      </c>
      <c r="B35" s="5" t="str">
        <f aca="false">[1]Base_Jugadores!B35</f>
        <v>Iñaki Williams</v>
      </c>
      <c r="C35" s="5" t="str">
        <f aca="false">IFERROR(
   _xlfn.XLOOKUP(VALUE(A35),[1]Fichajes_Realizados!A$2:A$50000,[1]Fichajes_Realizados!D$2:D$50000,,0,-1),
   _xlfn.XLOOKUP(VALUE(A35),[1]Base_Jugadores!A$2:A$50000,[1]Base_Jugadores!C$2:C$50000)
)</f>
        <v>Athletic Club</v>
      </c>
      <c r="D35" s="5" t="str">
        <f aca="false">[1]Base_Jugadores!D35</f>
        <v>Ghana</v>
      </c>
      <c r="E35" s="3"/>
      <c r="F35" s="5" t="str">
        <f aca="false">[1]Base_Jugadores!E35</f>
        <v>ED</v>
      </c>
      <c r="G35" s="5" t="n">
        <f aca="false">[1]Base_Jugadores!F35</f>
        <v>82</v>
      </c>
      <c r="H35" s="5" t="n">
        <f aca="false">[1]Base_Jugadores!G35</f>
        <v>31</v>
      </c>
      <c r="I35" s="7" t="n">
        <f aca="false" t="array" ref="I35:I35">_xlfn.XLOOKUP(G35,{55;56;57;58;59;60;61;62;63;64;65;66;67;68;69;70;71;72;73;74;75;76;77;78;79;80;81;82;83;84;85;86;87;88;89;90;91;92;93;94;95;96;97;98;99},{100000;130000;160000;190000;220000;250000;300000;350000;400000;450000;500000;600000;700000;800000;900000;1000000;1500000;2000000;3000000;4000000;5000000;6500000;8000000;10000000;12500000;15000000;20000000;25000000;30000000;35000000;40000000;55000000;70000000;80000000;90000000;110000000;130000000;160000000;190000000;220000000;250000000;280000000;310000000;340000000;400000000})</f>
        <v>25000000</v>
      </c>
      <c r="J35" s="7" t="n">
        <f aca="false">I35*S35*T35*U35</f>
        <v>34650000</v>
      </c>
      <c r="K35" s="8"/>
      <c r="L35" s="3"/>
      <c r="M35" s="8"/>
      <c r="N35" s="9" t="n">
        <v>0</v>
      </c>
      <c r="O35" s="4" t="n">
        <v>0</v>
      </c>
      <c r="P35" s="5" t="n">
        <f aca="false">IF(COUNTIF([1]Base_Jugadores!J$2:J$500,B35)&gt;0,1,0)</f>
        <v>1</v>
      </c>
      <c r="Q35" s="10" t="b">
        <f aca="false">--(COUNTIFS(
   [1]Fichajes_Realizados!A$2:A$5000,A35,
   [1]Fichajes_Realizados!G$2:G$5000,$X$3
)&gt;0)</f>
        <v>0</v>
      </c>
      <c r="R35" s="5" t="n">
        <f aca="false">_xlfn.XLOOKUP(C35, [1]Estado_Equipos!A$2:A$500, [1]Estado_Equipos!J$2:J$500, "")</f>
        <v>81</v>
      </c>
      <c r="S35" s="5" t="n">
        <f aca="false">IF(H35&lt;=16,1.45,
IF(H35&gt;=41,0.3,
CHOOSE(ROUNDDOWN((H35-16)/2,0)+1,
1.45,1.38,1.3,1.23,1.17,1.15,1.12,1.05,0.95,0.8,0.6,0.4,0.3)))</f>
        <v>1.05</v>
      </c>
      <c r="T35" s="5" t="n">
        <f aca="false">CHOOSE(N35+1,1.2,1,0.85,0.7)</f>
        <v>1.2</v>
      </c>
      <c r="U35" s="5" t="n">
        <f aca="false">IF(F35="PO",0.6,
IF(F35="CT",0.75,
IF(F35="LI",0.8,
IF(F35="LD",0.8,
IF(F35="MCD",0.85,
IF(F35="MC",0.95,
IF(F35="MO",1.05,
IF(F35="EI",1.1,
IF(F35="ED",1.1,
IF(F35="SD",1.15,
IF(F35="DC",1.2,0)))))))))))</f>
        <v>1.1</v>
      </c>
    </row>
    <row r="36" customFormat="false" ht="16.4" hidden="false" customHeight="false" outlineLevel="0" collapsed="false">
      <c r="A36" s="1" t="n">
        <v>35</v>
      </c>
      <c r="B36" s="5" t="str">
        <f aca="false">[1]Base_Jugadores!B36</f>
        <v>Iñigo Lekue</v>
      </c>
      <c r="C36" s="5" t="str">
        <f aca="false">IFERROR(
   _xlfn.XLOOKUP(VALUE(A36),[1]Fichajes_Realizados!A$2:A$50000,[1]Fichajes_Realizados!D$2:D$50000,,0,-1),
   _xlfn.XLOOKUP(VALUE(A36),[1]Base_Jugadores!A$2:A$50000,[1]Base_Jugadores!C$2:C$50000)
)</f>
        <v>Athletic Club</v>
      </c>
      <c r="D36" s="5" t="str">
        <f aca="false">[1]Base_Jugadores!D36</f>
        <v>España</v>
      </c>
      <c r="E36" s="3"/>
      <c r="F36" s="5" t="str">
        <f aca="false">[1]Base_Jugadores!E36</f>
        <v>LD</v>
      </c>
      <c r="G36" s="5" t="n">
        <f aca="false">[1]Base_Jugadores!F36</f>
        <v>77</v>
      </c>
      <c r="H36" s="5" t="n">
        <f aca="false">[1]Base_Jugadores!G36</f>
        <v>32</v>
      </c>
      <c r="I36" s="7" t="n">
        <f aca="false" t="array" ref="I36:I36">_xlfn.XLOOKUP(G36,{55;56;57;58;59;60;61;62;63;64;65;66;67;68;69;70;71;72;73;74;75;76;77;78;79;80;81;82;83;84;85;86;87;88;89;90;91;92;93;94;95;96;97;98;99},{100000;130000;160000;190000;220000;250000;300000;350000;400000;450000;500000;600000;700000;800000;900000;1000000;1500000;2000000;3000000;4000000;5000000;6500000;8000000;10000000;12500000;15000000;20000000;25000000;30000000;35000000;40000000;55000000;70000000;80000000;90000000;110000000;130000000;160000000;190000000;220000000;250000000;280000000;310000000;340000000;400000000})</f>
        <v>8000000</v>
      </c>
      <c r="J36" s="7" t="n">
        <f aca="false">I36*S36*T36*U36</f>
        <v>7296000</v>
      </c>
      <c r="K36" s="8"/>
      <c r="L36" s="3"/>
      <c r="M36" s="8"/>
      <c r="N36" s="9" t="n">
        <v>0</v>
      </c>
      <c r="O36" s="4" t="n">
        <v>0</v>
      </c>
      <c r="P36" s="5" t="n">
        <f aca="false">IF(COUNTIF([1]Base_Jugadores!J$2:J$500,B36)&gt;0,1,0)</f>
        <v>1</v>
      </c>
      <c r="Q36" s="10" t="b">
        <f aca="false">--(COUNTIFS(
   [1]Fichajes_Realizados!A$2:A$5000,A36,
   [1]Fichajes_Realizados!G$2:G$5000,$X$3
)&gt;0)</f>
        <v>0</v>
      </c>
      <c r="R36" s="5" t="n">
        <f aca="false">_xlfn.XLOOKUP(C36, [1]Estado_Equipos!A$2:A$500, [1]Estado_Equipos!J$2:J$500, "")</f>
        <v>81</v>
      </c>
      <c r="S36" s="5" t="n">
        <f aca="false">IF(H36&lt;=16,1.45,
IF(H36&gt;=41,0.3,
CHOOSE(ROUNDDOWN((H36-16)/2,0)+1,
1.45,1.38,1.3,1.23,1.17,1.15,1.12,1.05,0.95,0.8,0.6,0.4,0.3)))</f>
        <v>0.95</v>
      </c>
      <c r="T36" s="5" t="n">
        <f aca="false">CHOOSE(N36+1,1.2,1,0.85,0.7)</f>
        <v>1.2</v>
      </c>
      <c r="U36" s="5" t="n">
        <f aca="false">IF(F36="PO",0.6,
IF(F36="CT",0.75,
IF(F36="LI",0.8,
IF(F36="LD",0.8,
IF(F36="MCD",0.85,
IF(F36="MC",0.95,
IF(F36="MO",1.05,
IF(F36="EI",1.1,
IF(F36="ED",1.1,
IF(F36="SD",1.15,
IF(F36="DC",1.2,0)))))))))))</f>
        <v>0.8</v>
      </c>
    </row>
    <row r="37" customFormat="false" ht="16.4" hidden="false" customHeight="false" outlineLevel="0" collapsed="false">
      <c r="A37" s="1" t="n">
        <v>36</v>
      </c>
      <c r="B37" s="5" t="str">
        <f aca="false">[1]Base_Jugadores!B37</f>
        <v>Jesús Areso</v>
      </c>
      <c r="C37" s="5" t="str">
        <f aca="false">IFERROR(
   _xlfn.XLOOKUP(VALUE(A37),[1]Fichajes_Realizados!A$2:A$50000,[1]Fichajes_Realizados!D$2:D$50000,,0,-1),
   _xlfn.XLOOKUP(VALUE(A37),[1]Base_Jugadores!A$2:A$50000,[1]Base_Jugadores!C$2:C$50000)
)</f>
        <v>Athletic Club</v>
      </c>
      <c r="D37" s="5" t="str">
        <f aca="false">[1]Base_Jugadores!D37</f>
        <v>España</v>
      </c>
      <c r="E37" s="3"/>
      <c r="F37" s="5" t="str">
        <f aca="false">[1]Base_Jugadores!E37</f>
        <v>LD</v>
      </c>
      <c r="G37" s="5" t="n">
        <f aca="false">[1]Base_Jugadores!F37</f>
        <v>74</v>
      </c>
      <c r="H37" s="5" t="n">
        <f aca="false">[1]Base_Jugadores!G37</f>
        <v>26</v>
      </c>
      <c r="I37" s="7" t="n">
        <f aca="false" t="array" ref="I37:I37">_xlfn.XLOOKUP(G37,{55;56;57;58;59;60;61;62;63;64;65;66;67;68;69;70;71;72;73;74;75;76;77;78;79;80;81;82;83;84;85;86;87;88;89;90;91;92;93;94;95;96;97;98;99},{100000;130000;160000;190000;220000;250000;300000;350000;400000;450000;500000;600000;700000;800000;900000;1000000;1500000;2000000;3000000;4000000;5000000;6500000;8000000;10000000;12500000;15000000;20000000;25000000;30000000;35000000;40000000;55000000;70000000;80000000;90000000;110000000;130000000;160000000;190000000;220000000;250000000;280000000;310000000;340000000;400000000})</f>
        <v>4000000</v>
      </c>
      <c r="J37" s="7" t="n">
        <f aca="false">I37*S37*T37*U37</f>
        <v>3128000</v>
      </c>
      <c r="K37" s="8"/>
      <c r="L37" s="3"/>
      <c r="M37" s="8"/>
      <c r="N37" s="9" t="n">
        <v>2</v>
      </c>
      <c r="O37" s="4" t="n">
        <v>0</v>
      </c>
      <c r="P37" s="5" t="n">
        <f aca="false">IF(COUNTIF([1]Base_Jugadores!J$2:J$500,B37)&gt;0,1,0)</f>
        <v>1</v>
      </c>
      <c r="Q37" s="10" t="b">
        <f aca="false">--(COUNTIFS(
   [1]Fichajes_Realizados!A$2:A$5000,A37,
   [1]Fichajes_Realizados!G$2:G$5000,$X$3
)&gt;0)</f>
        <v>0</v>
      </c>
      <c r="R37" s="5" t="n">
        <f aca="false">_xlfn.XLOOKUP(C37, [1]Estado_Equipos!A$2:A$500, [1]Estado_Equipos!J$2:J$500, "")</f>
        <v>81</v>
      </c>
      <c r="S37" s="5" t="n">
        <f aca="false">IF(H37&lt;=16,1.45,
IF(H37&gt;=41,0.3,
CHOOSE(ROUNDDOWN((H37-16)/2,0)+1,
1.45,1.38,1.3,1.23,1.17,1.15,1.12,1.05,0.95,0.8,0.6,0.4,0.3)))</f>
        <v>1.15</v>
      </c>
      <c r="T37" s="5" t="n">
        <f aca="false">CHOOSE(N37+1,1.2,1,0.85,0.7)</f>
        <v>0.85</v>
      </c>
      <c r="U37" s="5" t="n">
        <f aca="false">IF(F37="PO",0.6,
IF(F37="CT",0.75,
IF(F37="LI",0.8,
IF(F37="LD",0.8,
IF(F37="MCD",0.85,
IF(F37="MC",0.95,
IF(F37="MO",1.05,
IF(F37="EI",1.1,
IF(F37="ED",1.1,
IF(F37="SD",1.15,
IF(F37="DC",1.2,0)))))))))))</f>
        <v>0.8</v>
      </c>
    </row>
    <row r="38" customFormat="false" ht="16.4" hidden="false" customHeight="false" outlineLevel="0" collapsed="false">
      <c r="A38" s="1" t="n">
        <v>37</v>
      </c>
      <c r="B38" s="5" t="str">
        <f aca="false">[1]Base_Jugadores!B38</f>
        <v>Maroan Sannadi</v>
      </c>
      <c r="C38" s="5" t="str">
        <f aca="false">IFERROR(
   _xlfn.XLOOKUP(VALUE(A38),[1]Fichajes_Realizados!A$2:A$50000,[1]Fichajes_Realizados!D$2:D$50000,,0,-1),
   _xlfn.XLOOKUP(VALUE(A38),[1]Base_Jugadores!A$2:A$50000,[1]Base_Jugadores!C$2:C$50000)
)</f>
        <v>Athletic Club</v>
      </c>
      <c r="D38" s="5" t="str">
        <f aca="false">[1]Base_Jugadores!D38</f>
        <v>Marruecos</v>
      </c>
      <c r="E38" s="3"/>
      <c r="F38" s="5" t="str">
        <f aca="false">[1]Base_Jugadores!E38</f>
        <v>DC</v>
      </c>
      <c r="G38" s="5" t="n">
        <f aca="false">[1]Base_Jugadores!F38</f>
        <v>68</v>
      </c>
      <c r="H38" s="5" t="n">
        <f aca="false">[1]Base_Jugadores!G38</f>
        <v>24</v>
      </c>
      <c r="I38" s="7" t="n">
        <f aca="false" t="array" ref="I38:I38">_xlfn.XLOOKUP(G38,{55;56;57;58;59;60;61;62;63;64;65;66;67;68;69;70;71;72;73;74;75;76;77;78;79;80;81;82;83;84;85;86;87;88;89;90;91;92;93;94;95;96;97;98;99},{100000;130000;160000;190000;220000;250000;300000;350000;400000;450000;500000;600000;700000;800000;900000;1000000;1500000;2000000;3000000;4000000;5000000;6500000;8000000;10000000;12500000;15000000;20000000;25000000;30000000;35000000;40000000;55000000;70000000;80000000;90000000;110000000;130000000;160000000;190000000;220000000;250000000;280000000;310000000;340000000;400000000})</f>
        <v>800000</v>
      </c>
      <c r="J38" s="7" t="n">
        <f aca="false">I38*S38*T38*U38</f>
        <v>954720</v>
      </c>
      <c r="K38" s="3"/>
      <c r="L38" s="3"/>
      <c r="M38" s="8"/>
      <c r="N38" s="9" t="n">
        <v>2</v>
      </c>
      <c r="O38" s="4" t="n">
        <v>0</v>
      </c>
      <c r="P38" s="5" t="n">
        <f aca="false">IF(COUNTIF([1]Base_Jugadores!J$2:J$500,B38)&gt;0,1,0)</f>
        <v>1</v>
      </c>
      <c r="Q38" s="10" t="b">
        <f aca="false">--(COUNTIFS(
   [1]Fichajes_Realizados!A$2:A$5000,A38,
   [1]Fichajes_Realizados!G$2:G$5000,$X$3
)&gt;0)</f>
        <v>0</v>
      </c>
      <c r="R38" s="5" t="n">
        <f aca="false">_xlfn.XLOOKUP(C38, [1]Estado_Equipos!A$2:A$500, [1]Estado_Equipos!J$2:J$500, "")</f>
        <v>81</v>
      </c>
      <c r="S38" s="5" t="n">
        <f aca="false">IF(H38&lt;=16,1.45,
IF(H38&gt;=41,0.3,
CHOOSE(ROUNDDOWN((H38-16)/2,0)+1,
1.45,1.38,1.3,1.23,1.17,1.15,1.12,1.05,0.95,0.8,0.6,0.4,0.3)))</f>
        <v>1.17</v>
      </c>
      <c r="T38" s="5" t="n">
        <f aca="false">CHOOSE(N38+1,1.2,1,0.85,0.7)</f>
        <v>0.85</v>
      </c>
      <c r="U38" s="5" t="n">
        <f aca="false">IF(F38="PO",0.6,
IF(F38="CT",0.75,
IF(F38="LI",0.8,
IF(F38="LD",0.8,
IF(F38="MCD",0.85,
IF(F38="MC",0.95,
IF(F38="MO",1.05,
IF(F38="EI",1.1,
IF(F38="ED",1.1,
IF(F38="SD",1.15,
IF(F38="DC",1.2,0)))))))))))</f>
        <v>1.2</v>
      </c>
    </row>
    <row r="39" customFormat="false" ht="16.4" hidden="false" customHeight="false" outlineLevel="0" collapsed="false">
      <c r="A39" s="1" t="n">
        <v>38</v>
      </c>
      <c r="B39" s="5" t="str">
        <f aca="false">[1]Base_Jugadores!B39</f>
        <v>Mikel Jauregizar</v>
      </c>
      <c r="C39" s="5" t="str">
        <f aca="false">IFERROR(
   _xlfn.XLOOKUP(VALUE(A39),[1]Fichajes_Realizados!A$2:A$50000,[1]Fichajes_Realizados!D$2:D$50000,,0,-1),
   _xlfn.XLOOKUP(VALUE(A39),[1]Base_Jugadores!A$2:A$50000,[1]Base_Jugadores!C$2:C$50000)
)</f>
        <v>Athletic Club</v>
      </c>
      <c r="D39" s="5" t="str">
        <f aca="false">[1]Base_Jugadores!D39</f>
        <v>España</v>
      </c>
      <c r="E39" s="3"/>
      <c r="F39" s="5" t="str">
        <f aca="false">[1]Base_Jugadores!E39</f>
        <v>MC</v>
      </c>
      <c r="G39" s="5" t="n">
        <f aca="false">[1]Base_Jugadores!F39</f>
        <v>73</v>
      </c>
      <c r="H39" s="5" t="n">
        <f aca="false">[1]Base_Jugadores!G39</f>
        <v>22</v>
      </c>
      <c r="I39" s="7" t="n">
        <f aca="false" t="array" ref="I39:I39">_xlfn.XLOOKUP(G39,{55;56;57;58;59;60;61;62;63;64;65;66;67;68;69;70;71;72;73;74;75;76;77;78;79;80;81;82;83;84;85;86;87;88;89;90;91;92;93;94;95;96;97;98;99},{100000;130000;160000;190000;220000;250000;300000;350000;400000;450000;500000;600000;700000;800000;900000;1000000;1500000;2000000;3000000;4000000;5000000;6500000;8000000;10000000;12500000;15000000;20000000;25000000;30000000;35000000;40000000;55000000;70000000;80000000;90000000;110000000;130000000;160000000;190000000;220000000;250000000;280000000;310000000;340000000;400000000})</f>
        <v>3000000</v>
      </c>
      <c r="J39" s="7" t="n">
        <f aca="false">I39*S39*T39*U39</f>
        <v>2979675</v>
      </c>
      <c r="K39" s="8"/>
      <c r="L39" s="3"/>
      <c r="M39" s="8"/>
      <c r="N39" s="9" t="n">
        <v>2</v>
      </c>
      <c r="O39" s="4" t="n">
        <v>0</v>
      </c>
      <c r="P39" s="5" t="n">
        <f aca="false">IF(COUNTIF([1]Base_Jugadores!J$2:J$500,B39)&gt;0,1,0)</f>
        <v>1</v>
      </c>
      <c r="Q39" s="10" t="b">
        <f aca="false">--(COUNTIFS(
   [1]Fichajes_Realizados!A$2:A$5000,A39,
   [1]Fichajes_Realizados!G$2:G$5000,$X$3
)&gt;0)</f>
        <v>0</v>
      </c>
      <c r="R39" s="5" t="n">
        <f aca="false">_xlfn.XLOOKUP(C39, [1]Estado_Equipos!A$2:A$500, [1]Estado_Equipos!J$2:J$500, "")</f>
        <v>81</v>
      </c>
      <c r="S39" s="5" t="n">
        <f aca="false">IF(H39&lt;=16,1.45,
IF(H39&gt;=41,0.3,
CHOOSE(ROUNDDOWN((H39-16)/2,0)+1,
1.45,1.38,1.3,1.23,1.17,1.15,1.12,1.05,0.95,0.8,0.6,0.4,0.3)))</f>
        <v>1.23</v>
      </c>
      <c r="T39" s="5" t="n">
        <f aca="false">CHOOSE(N39+1,1.2,1,0.85,0.7)</f>
        <v>0.85</v>
      </c>
      <c r="U39" s="5" t="n">
        <f aca="false">IF(F39="PO",0.6,
IF(F39="CT",0.75,
IF(F39="LI",0.8,
IF(F39="LD",0.8,
IF(F39="MCD",0.85,
IF(F39="MC",0.95,
IF(F39="MO",1.05,
IF(F39="EI",1.1,
IF(F39="ED",1.1,
IF(F39="SD",1.15,
IF(F39="DC",1.2,0)))))))))))</f>
        <v>0.95</v>
      </c>
    </row>
    <row r="40" customFormat="false" ht="16.4" hidden="false" customHeight="false" outlineLevel="0" collapsed="false">
      <c r="A40" s="1" t="n">
        <v>39</v>
      </c>
      <c r="B40" s="5" t="str">
        <f aca="false">[1]Base_Jugadores!B40</f>
        <v>Mikel Vesga</v>
      </c>
      <c r="C40" s="5" t="str">
        <f aca="false">IFERROR(
   _xlfn.XLOOKUP(VALUE(A40),[1]Fichajes_Realizados!A$2:A$50000,[1]Fichajes_Realizados!D$2:D$50000,,0,-1),
   _xlfn.XLOOKUP(VALUE(A40),[1]Base_Jugadores!A$2:A$50000,[1]Base_Jugadores!C$2:C$50000)
)</f>
        <v>Athletic Club</v>
      </c>
      <c r="D40" s="5" t="str">
        <f aca="false">[1]Base_Jugadores!D40</f>
        <v>España</v>
      </c>
      <c r="E40" s="3"/>
      <c r="F40" s="5" t="str">
        <f aca="false">[1]Base_Jugadores!E40</f>
        <v>MCD</v>
      </c>
      <c r="G40" s="5" t="n">
        <f aca="false">[1]Base_Jugadores!F40</f>
        <v>76</v>
      </c>
      <c r="H40" s="5" t="n">
        <f aca="false">[1]Base_Jugadores!G40</f>
        <v>32</v>
      </c>
      <c r="I40" s="7" t="n">
        <f aca="false" t="array" ref="I40:I40">_xlfn.XLOOKUP(G40,{55;56;57;58;59;60;61;62;63;64;65;66;67;68;69;70;71;72;73;74;75;76;77;78;79;80;81;82;83;84;85;86;87;88;89;90;91;92;93;94;95;96;97;98;99},{100000;130000;160000;190000;220000;250000;300000;350000;400000;450000;500000;600000;700000;800000;900000;1000000;1500000;2000000;3000000;4000000;5000000;6500000;8000000;10000000;12500000;15000000;20000000;25000000;30000000;35000000;40000000;55000000;70000000;80000000;90000000;110000000;130000000;160000000;190000000;220000000;250000000;280000000;310000000;340000000;400000000})</f>
        <v>6500000</v>
      </c>
      <c r="J40" s="7" t="n">
        <f aca="false">I40*S40*T40*U40</f>
        <v>5248750</v>
      </c>
      <c r="K40" s="8"/>
      <c r="L40" s="3"/>
      <c r="M40" s="8"/>
      <c r="N40" s="9" t="n">
        <v>1</v>
      </c>
      <c r="O40" s="4" t="n">
        <v>0</v>
      </c>
      <c r="P40" s="5" t="n">
        <f aca="false">IF(COUNTIF([1]Base_Jugadores!J$2:J$500,B40)&gt;0,1,0)</f>
        <v>1</v>
      </c>
      <c r="Q40" s="10" t="b">
        <f aca="false">--(COUNTIFS(
   [1]Fichajes_Realizados!A$2:A$5000,A40,
   [1]Fichajes_Realizados!G$2:G$5000,$X$3
)&gt;0)</f>
        <v>0</v>
      </c>
      <c r="R40" s="5" t="n">
        <f aca="false">_xlfn.XLOOKUP(C40, [1]Estado_Equipos!A$2:A$500, [1]Estado_Equipos!J$2:J$500, "")</f>
        <v>81</v>
      </c>
      <c r="S40" s="5" t="n">
        <f aca="false">IF(H40&lt;=16,1.45,
IF(H40&gt;=41,0.3,
CHOOSE(ROUNDDOWN((H40-16)/2,0)+1,
1.45,1.38,1.3,1.23,1.17,1.15,1.12,1.05,0.95,0.8,0.6,0.4,0.3)))</f>
        <v>0.95</v>
      </c>
      <c r="T40" s="5" t="n">
        <f aca="false">CHOOSE(N40+1,1.2,1,0.85,0.7)</f>
        <v>1</v>
      </c>
      <c r="U40" s="5" t="n">
        <f aca="false">IF(F40="PO",0.6,
IF(F40="CT",0.75,
IF(F40="LI",0.8,
IF(F40="LD",0.8,
IF(F40="MCD",0.85,
IF(F40="MC",0.95,
IF(F40="MO",1.05,
IF(F40="EI",1.1,
IF(F40="ED",1.1,
IF(F40="SD",1.15,
IF(F40="DC",1.2,0)))))))))))</f>
        <v>0.85</v>
      </c>
    </row>
    <row r="41" customFormat="false" ht="16.4" hidden="false" customHeight="false" outlineLevel="0" collapsed="false">
      <c r="A41" s="1" t="n">
        <v>40</v>
      </c>
      <c r="B41" s="5" t="str">
        <f aca="false">[1]Base_Jugadores!B41</f>
        <v>Nico Serrano</v>
      </c>
      <c r="C41" s="5" t="str">
        <f aca="false">IFERROR(
   _xlfn.XLOOKUP(VALUE(A41),[1]Fichajes_Realizados!A$2:A$50000,[1]Fichajes_Realizados!D$2:D$50000,,0,-1),
   _xlfn.XLOOKUP(VALUE(A41),[1]Base_Jugadores!A$2:A$50000,[1]Base_Jugadores!C$2:C$50000)
)</f>
        <v>Athletic Club</v>
      </c>
      <c r="D41" s="5" t="str">
        <f aca="false">[1]Base_Jugadores!D41</f>
        <v>España</v>
      </c>
      <c r="E41" s="3"/>
      <c r="F41" s="5" t="str">
        <f aca="false">[1]Base_Jugadores!E41</f>
        <v>EI</v>
      </c>
      <c r="G41" s="5" t="n">
        <f aca="false">[1]Base_Jugadores!F41</f>
        <v>70</v>
      </c>
      <c r="H41" s="5" t="n">
        <f aca="false">[1]Base_Jugadores!G41</f>
        <v>22</v>
      </c>
      <c r="I41" s="7" t="n">
        <f aca="false" t="array" ref="I41:I41">_xlfn.XLOOKUP(G41,{55;56;57;58;59;60;61;62;63;64;65;66;67;68;69;70;71;72;73;74;75;76;77;78;79;80;81;82;83;84;85;86;87;88;89;90;91;92;93;94;95;96;97;98;99},{100000;130000;160000;190000;220000;250000;300000;350000;400000;450000;500000;600000;700000;800000;900000;1000000;1500000;2000000;3000000;4000000;5000000;6500000;8000000;10000000;12500000;15000000;20000000;25000000;30000000;35000000;40000000;55000000;70000000;80000000;90000000;110000000;130000000;160000000;190000000;220000000;250000000;280000000;310000000;340000000;400000000})</f>
        <v>1000000</v>
      </c>
      <c r="J41" s="7" t="n">
        <f aca="false">I41*S41*T41*U41</f>
        <v>1150050</v>
      </c>
      <c r="K41" s="8"/>
      <c r="L41" s="3"/>
      <c r="M41" s="8"/>
      <c r="N41" s="9" t="n">
        <v>2</v>
      </c>
      <c r="O41" s="4" t="n">
        <v>0</v>
      </c>
      <c r="P41" s="5" t="n">
        <f aca="false">IF(COUNTIF([1]Base_Jugadores!J$2:J$500,B41)&gt;0,1,0)</f>
        <v>1</v>
      </c>
      <c r="Q41" s="10" t="b">
        <f aca="false">--(COUNTIFS(
   [1]Fichajes_Realizados!A$2:A$5000,A41,
   [1]Fichajes_Realizados!G$2:G$5000,$X$3
)&gt;0)</f>
        <v>0</v>
      </c>
      <c r="R41" s="5" t="n">
        <f aca="false">_xlfn.XLOOKUP(C41, [1]Estado_Equipos!A$2:A$500, [1]Estado_Equipos!J$2:J$500, "")</f>
        <v>81</v>
      </c>
      <c r="S41" s="5" t="n">
        <f aca="false">IF(H41&lt;=16,1.45,
IF(H41&gt;=41,0.3,
CHOOSE(ROUNDDOWN((H41-16)/2,0)+1,
1.45,1.38,1.3,1.23,1.17,1.15,1.12,1.05,0.95,0.8,0.6,0.4,0.3)))</f>
        <v>1.23</v>
      </c>
      <c r="T41" s="5" t="n">
        <f aca="false">CHOOSE(N41+1,1.2,1,0.85,0.7)</f>
        <v>0.85</v>
      </c>
      <c r="U41" s="5" t="n">
        <f aca="false">IF(F41="PO",0.6,
IF(F41="CT",0.75,
IF(F41="LI",0.8,
IF(F41="LD",0.8,
IF(F41="MCD",0.85,
IF(F41="MC",0.95,
IF(F41="MO",1.05,
IF(F41="EI",1.1,
IF(F41="ED",1.1,
IF(F41="SD",1.15,
IF(F41="DC",1.2,0)))))))))))</f>
        <v>1.1</v>
      </c>
    </row>
    <row r="42" customFormat="false" ht="16.4" hidden="false" customHeight="false" outlineLevel="0" collapsed="false">
      <c r="A42" s="1" t="n">
        <v>41</v>
      </c>
      <c r="B42" s="5" t="str">
        <f aca="false">[1]Base_Jugadores!B42</f>
        <v>Nico Williams</v>
      </c>
      <c r="C42" s="5" t="str">
        <f aca="false">IFERROR(
   _xlfn.XLOOKUP(VALUE(A42),[1]Fichajes_Realizados!A$2:A$50000,[1]Fichajes_Realizados!D$2:D$50000,,0,-1),
   _xlfn.XLOOKUP(VALUE(A42),[1]Base_Jugadores!A$2:A$50000,[1]Base_Jugadores!C$2:C$50000)
)</f>
        <v>Athletic Club</v>
      </c>
      <c r="D42" s="5" t="str">
        <f aca="false">[1]Base_Jugadores!D42</f>
        <v>España</v>
      </c>
      <c r="E42" s="3"/>
      <c r="F42" s="5" t="str">
        <f aca="false">[1]Base_Jugadores!E42</f>
        <v>EI</v>
      </c>
      <c r="G42" s="5" t="n">
        <f aca="false">[1]Base_Jugadores!F42</f>
        <v>85</v>
      </c>
      <c r="H42" s="5" t="n">
        <f aca="false">[1]Base_Jugadores!G42</f>
        <v>23</v>
      </c>
      <c r="I42" s="7" t="n">
        <f aca="false" t="array" ref="I42:I42">_xlfn.XLOOKUP(G42,{55;56;57;58;59;60;61;62;63;64;65;66;67;68;69;70;71;72;73;74;75;76;77;78;79;80;81;82;83;84;85;86;87;88;89;90;91;92;93;94;95;96;97;98;99},{100000;130000;160000;190000;220000;250000;300000;350000;400000;450000;500000;600000;700000;800000;900000;1000000;1500000;2000000;3000000;4000000;5000000;6500000;8000000;10000000;12500000;15000000;20000000;25000000;30000000;35000000;40000000;55000000;70000000;80000000;90000000;110000000;130000000;160000000;190000000;220000000;250000000;280000000;310000000;340000000;400000000})</f>
        <v>40000000</v>
      </c>
      <c r="J42" s="7" t="n">
        <f aca="false">I42*S42*T42*U42</f>
        <v>64944000</v>
      </c>
      <c r="K42" s="8"/>
      <c r="L42" s="3"/>
      <c r="M42" s="8"/>
      <c r="N42" s="9" t="n">
        <v>0</v>
      </c>
      <c r="O42" s="4" t="n">
        <v>0</v>
      </c>
      <c r="P42" s="5" t="n">
        <f aca="false">IF(COUNTIF([1]Base_Jugadores!J$2:J$500,B42)&gt;0,1,0)</f>
        <v>1</v>
      </c>
      <c r="Q42" s="10" t="b">
        <f aca="false">--(COUNTIFS(
   [1]Fichajes_Realizados!A$2:A$5000,A42,
   [1]Fichajes_Realizados!G$2:G$5000,$X$3
)&gt;0)</f>
        <v>0</v>
      </c>
      <c r="R42" s="5" t="n">
        <f aca="false">_xlfn.XLOOKUP(C42, [1]Estado_Equipos!A$2:A$500, [1]Estado_Equipos!J$2:J$500, "")</f>
        <v>81</v>
      </c>
      <c r="S42" s="5" t="n">
        <f aca="false">IF(H42&lt;=16,1.45,
IF(H42&gt;=41,0.3,
CHOOSE(ROUNDDOWN((H42-16)/2,0)+1,
1.45,1.38,1.3,1.23,1.17,1.15,1.12,1.05,0.95,0.8,0.6,0.4,0.3)))</f>
        <v>1.23</v>
      </c>
      <c r="T42" s="5" t="n">
        <f aca="false">CHOOSE(N42+1,1.2,1,0.85,0.7)</f>
        <v>1.2</v>
      </c>
      <c r="U42" s="5" t="n">
        <f aca="false">IF(F42="PO",0.6,
IF(F42="CT",0.75,
IF(F42="LI",0.8,
IF(F42="LD",0.8,
IF(F42="MCD",0.85,
IF(F42="MC",0.95,
IF(F42="MO",1.05,
IF(F42="EI",1.1,
IF(F42="ED",1.1,
IF(F42="SD",1.15,
IF(F42="DC",1.2,0)))))))))))</f>
        <v>1.1</v>
      </c>
    </row>
    <row r="43" customFormat="false" ht="16.4" hidden="false" customHeight="false" outlineLevel="0" collapsed="false">
      <c r="A43" s="1" t="n">
        <v>42</v>
      </c>
      <c r="B43" s="5" t="str">
        <f aca="false">[1]Base_Jugadores!B43</f>
        <v>Oihan Sancet</v>
      </c>
      <c r="C43" s="5" t="str">
        <f aca="false">IFERROR(
   _xlfn.XLOOKUP(VALUE(A43),[1]Fichajes_Realizados!A$2:A$50000,[1]Fichajes_Realizados!D$2:D$50000,,0,-1),
   _xlfn.XLOOKUP(VALUE(A43),[1]Base_Jugadores!A$2:A$50000,[1]Base_Jugadores!C$2:C$50000)
)</f>
        <v>Athletic Club</v>
      </c>
      <c r="D43" s="5" t="str">
        <f aca="false">[1]Base_Jugadores!D43</f>
        <v>España</v>
      </c>
      <c r="E43" s="3"/>
      <c r="F43" s="5" t="str">
        <f aca="false">[1]Base_Jugadores!E43</f>
        <v>MO</v>
      </c>
      <c r="G43" s="5" t="n">
        <f aca="false">[1]Base_Jugadores!F43</f>
        <v>82</v>
      </c>
      <c r="H43" s="5" t="n">
        <f aca="false">[1]Base_Jugadores!G43</f>
        <v>25</v>
      </c>
      <c r="I43" s="7" t="n">
        <f aca="false" t="array" ref="I43:I43">_xlfn.XLOOKUP(G43,{55;56;57;58;59;60;61;62;63;64;65;66;67;68;69;70;71;72;73;74;75;76;77;78;79;80;81;82;83;84;85;86;87;88;89;90;91;92;93;94;95;96;97;98;99},{100000;130000;160000;190000;220000;250000;300000;350000;400000;450000;500000;600000;700000;800000;900000;1000000;1500000;2000000;3000000;4000000;5000000;6500000;8000000;10000000;12500000;15000000;20000000;25000000;30000000;35000000;40000000;55000000;70000000;80000000;90000000;110000000;130000000;160000000;190000000;220000000;250000000;280000000;310000000;340000000;400000000})</f>
        <v>25000000</v>
      </c>
      <c r="J43" s="7" t="n">
        <f aca="false">I43*S43*T43*U43</f>
        <v>36855000</v>
      </c>
      <c r="K43" s="8"/>
      <c r="L43" s="3"/>
      <c r="M43" s="8"/>
      <c r="N43" s="9" t="n">
        <v>0</v>
      </c>
      <c r="O43" s="4" t="n">
        <v>0</v>
      </c>
      <c r="P43" s="5" t="n">
        <f aca="false">IF(COUNTIF([1]Base_Jugadores!J$2:J$500,B43)&gt;0,1,0)</f>
        <v>1</v>
      </c>
      <c r="Q43" s="10" t="b">
        <f aca="false">--(COUNTIFS(
   [1]Fichajes_Realizados!A$2:A$5000,A43,
   [1]Fichajes_Realizados!G$2:G$5000,$X$3
)&gt;0)</f>
        <v>0</v>
      </c>
      <c r="R43" s="5" t="n">
        <f aca="false">_xlfn.XLOOKUP(C43, [1]Estado_Equipos!A$2:A$500, [1]Estado_Equipos!J$2:J$500, "")</f>
        <v>81</v>
      </c>
      <c r="S43" s="5" t="n">
        <f aca="false">IF(H43&lt;=16,1.45,
IF(H43&gt;=41,0.3,
CHOOSE(ROUNDDOWN((H43-16)/2,0)+1,
1.45,1.38,1.3,1.23,1.17,1.15,1.12,1.05,0.95,0.8,0.6,0.4,0.3)))</f>
        <v>1.17</v>
      </c>
      <c r="T43" s="5" t="n">
        <f aca="false">CHOOSE(N43+1,1.2,1,0.85,0.7)</f>
        <v>1.2</v>
      </c>
      <c r="U43" s="5" t="n">
        <f aca="false">IF(F43="PO",0.6,
IF(F43="CT",0.75,
IF(F43="LI",0.8,
IF(F43="LD",0.8,
IF(F43="MCD",0.85,
IF(F43="MC",0.95,
IF(F43="MO",1.05,
IF(F43="EI",1.1,
IF(F43="ED",1.1,
IF(F43="SD",1.15,
IF(F43="DC",1.2,0)))))))))))</f>
        <v>1.05</v>
      </c>
    </row>
    <row r="44" customFormat="false" ht="16.4" hidden="false" customHeight="false" outlineLevel="0" collapsed="false">
      <c r="A44" s="1" t="n">
        <v>43</v>
      </c>
      <c r="B44" s="5" t="str">
        <f aca="false">[1]Base_Jugadores!B44</f>
        <v>Robert Navarro</v>
      </c>
      <c r="C44" s="5" t="str">
        <f aca="false">IFERROR(
   _xlfn.XLOOKUP(VALUE(A44),[1]Fichajes_Realizados!A$2:A$50000,[1]Fichajes_Realizados!D$2:D$50000,,0,-1),
   _xlfn.XLOOKUP(VALUE(A44),[1]Base_Jugadores!A$2:A$50000,[1]Base_Jugadores!C$2:C$50000)
)</f>
        <v>Athletic Club</v>
      </c>
      <c r="D44" s="5" t="str">
        <f aca="false">[1]Base_Jugadores!D44</f>
        <v>España</v>
      </c>
      <c r="E44" s="3"/>
      <c r="F44" s="5" t="str">
        <f aca="false">[1]Base_Jugadores!E44</f>
        <v>ED</v>
      </c>
      <c r="G44" s="5" t="n">
        <f aca="false">[1]Base_Jugadores!F44</f>
        <v>73</v>
      </c>
      <c r="H44" s="5" t="n">
        <f aca="false">[1]Base_Jugadores!G44</f>
        <v>23</v>
      </c>
      <c r="I44" s="7" t="n">
        <f aca="false" t="array" ref="I44:I44">_xlfn.XLOOKUP(G44,{55;56;57;58;59;60;61;62;63;64;65;66;67;68;69;70;71;72;73;74;75;76;77;78;79;80;81;82;83;84;85;86;87;88;89;90;91;92;93;94;95;96;97;98;99},{100000;130000;160000;190000;220000;250000;300000;350000;400000;450000;500000;600000;700000;800000;900000;1000000;1500000;2000000;3000000;4000000;5000000;6500000;8000000;10000000;12500000;15000000;20000000;25000000;30000000;35000000;40000000;55000000;70000000;80000000;90000000;110000000;130000000;160000000;190000000;220000000;250000000;280000000;310000000;340000000;400000000})</f>
        <v>3000000</v>
      </c>
      <c r="J44" s="7" t="n">
        <f aca="false">I44*S44*T44*U44</f>
        <v>3450150</v>
      </c>
      <c r="K44" s="8"/>
      <c r="L44" s="3"/>
      <c r="M44" s="8"/>
      <c r="N44" s="9" t="n">
        <v>2</v>
      </c>
      <c r="O44" s="4" t="n">
        <v>0</v>
      </c>
      <c r="P44" s="5" t="n">
        <f aca="false">IF(COUNTIF([1]Base_Jugadores!J$2:J$500,B44)&gt;0,1,0)</f>
        <v>1</v>
      </c>
      <c r="Q44" s="10" t="b">
        <f aca="false">--(COUNTIFS(
   [1]Fichajes_Realizados!A$2:A$5000,A44,
   [1]Fichajes_Realizados!G$2:G$5000,$X$3
)&gt;0)</f>
        <v>0</v>
      </c>
      <c r="R44" s="5" t="n">
        <f aca="false">_xlfn.XLOOKUP(C44, [1]Estado_Equipos!A$2:A$500, [1]Estado_Equipos!J$2:J$500, "")</f>
        <v>81</v>
      </c>
      <c r="S44" s="5" t="n">
        <f aca="false">IF(H44&lt;=16,1.45,
IF(H44&gt;=41,0.3,
CHOOSE(ROUNDDOWN((H44-16)/2,0)+1,
1.45,1.38,1.3,1.23,1.17,1.15,1.12,1.05,0.95,0.8,0.6,0.4,0.3)))</f>
        <v>1.23</v>
      </c>
      <c r="T44" s="5" t="n">
        <f aca="false">CHOOSE(N44+1,1.2,1,0.85,0.7)</f>
        <v>0.85</v>
      </c>
      <c r="U44" s="5" t="n">
        <f aca="false">IF(F44="PO",0.6,
IF(F44="CT",0.75,
IF(F44="LI",0.8,
IF(F44="LD",0.8,
IF(F44="MCD",0.85,
IF(F44="MC",0.95,
IF(F44="MO",1.05,
IF(F44="EI",1.1,
IF(F44="ED",1.1,
IF(F44="SD",1.15,
IF(F44="DC",1.2,0)))))))))))</f>
        <v>1.1</v>
      </c>
    </row>
    <row r="45" customFormat="false" ht="16.4" hidden="false" customHeight="false" outlineLevel="0" collapsed="false">
      <c r="A45" s="1" t="n">
        <v>44</v>
      </c>
      <c r="B45" s="5" t="str">
        <f aca="false">[1]Base_Jugadores!B45</f>
        <v>Ruiz de Galarreta</v>
      </c>
      <c r="C45" s="5" t="str">
        <f aca="false">IFERROR(
   _xlfn.XLOOKUP(VALUE(A45),[1]Fichajes_Realizados!A$2:A$50000,[1]Fichajes_Realizados!D$2:D$50000,,0,-1),
   _xlfn.XLOOKUP(VALUE(A45),[1]Base_Jugadores!A$2:A$50000,[1]Base_Jugadores!C$2:C$50000)
)</f>
        <v>Athletic Club</v>
      </c>
      <c r="D45" s="5" t="str">
        <f aca="false">[1]Base_Jugadores!D45</f>
        <v>España</v>
      </c>
      <c r="E45" s="3"/>
      <c r="F45" s="5" t="str">
        <f aca="false">[1]Base_Jugadores!E45</f>
        <v>MC</v>
      </c>
      <c r="G45" s="5" t="n">
        <f aca="false">[1]Base_Jugadores!F45</f>
        <v>80</v>
      </c>
      <c r="H45" s="5" t="n">
        <f aca="false">[1]Base_Jugadores!G45</f>
        <v>32</v>
      </c>
      <c r="I45" s="7" t="n">
        <f aca="false" t="array" ref="I45:I45">_xlfn.XLOOKUP(G45,{55;56;57;58;59;60;61;62;63;64;65;66;67;68;69;70;71;72;73;74;75;76;77;78;79;80;81;82;83;84;85;86;87;88;89;90;91;92;93;94;95;96;97;98;99},{100000;130000;160000;190000;220000;250000;300000;350000;400000;450000;500000;600000;700000;800000;900000;1000000;1500000;2000000;3000000;4000000;5000000;6500000;8000000;10000000;12500000;15000000;20000000;25000000;30000000;35000000;40000000;55000000;70000000;80000000;90000000;110000000;130000000;160000000;190000000;220000000;250000000;280000000;310000000;340000000;400000000})</f>
        <v>15000000</v>
      </c>
      <c r="J45" s="7" t="n">
        <f aca="false">I45*S45*T45*U45</f>
        <v>16245000</v>
      </c>
      <c r="K45" s="8"/>
      <c r="L45" s="3"/>
      <c r="M45" s="8"/>
      <c r="N45" s="9" t="n">
        <v>0</v>
      </c>
      <c r="O45" s="4" t="n">
        <v>0</v>
      </c>
      <c r="P45" s="5" t="n">
        <f aca="false">IF(COUNTIF([1]Base_Jugadores!J$2:J$500,B45)&gt;0,1,0)</f>
        <v>1</v>
      </c>
      <c r="Q45" s="10" t="b">
        <f aca="false">--(COUNTIFS(
   [1]Fichajes_Realizados!A$2:A$5000,A45,
   [1]Fichajes_Realizados!G$2:G$5000,$X$3
)&gt;0)</f>
        <v>0</v>
      </c>
      <c r="R45" s="5" t="n">
        <f aca="false">_xlfn.XLOOKUP(C45, [1]Estado_Equipos!A$2:A$500, [1]Estado_Equipos!J$2:J$500, "")</f>
        <v>81</v>
      </c>
      <c r="S45" s="5" t="n">
        <f aca="false">IF(H45&lt;=16,1.45,
IF(H45&gt;=41,0.3,
CHOOSE(ROUNDDOWN((H45-16)/2,0)+1,
1.45,1.38,1.3,1.23,1.17,1.15,1.12,1.05,0.95,0.8,0.6,0.4,0.3)))</f>
        <v>0.95</v>
      </c>
      <c r="T45" s="5" t="n">
        <f aca="false">CHOOSE(N45+1,1.2,1,0.85,0.7)</f>
        <v>1.2</v>
      </c>
      <c r="U45" s="5" t="n">
        <f aca="false">IF(F45="PO",0.6,
IF(F45="CT",0.75,
IF(F45="LI",0.8,
IF(F45="LD",0.8,
IF(F45="MCD",0.85,
IF(F45="MC",0.95,
IF(F45="MO",1.05,
IF(F45="EI",1.1,
IF(F45="ED",1.1,
IF(F45="SD",1.15,
IF(F45="DC",1.2,0)))))))))))</f>
        <v>0.95</v>
      </c>
    </row>
    <row r="46" customFormat="false" ht="16.4" hidden="false" customHeight="false" outlineLevel="0" collapsed="false">
      <c r="A46" s="1" t="n">
        <v>45</v>
      </c>
      <c r="B46" s="5" t="str">
        <f aca="false">[1]Base_Jugadores!B46</f>
        <v>Unai Gómez</v>
      </c>
      <c r="C46" s="5" t="str">
        <f aca="false">IFERROR(
   _xlfn.XLOOKUP(VALUE(A46),[1]Fichajes_Realizados!A$2:A$50000,[1]Fichajes_Realizados!D$2:D$50000,,0,-1),
   _xlfn.XLOOKUP(VALUE(A46),[1]Base_Jugadores!A$2:A$50000,[1]Base_Jugadores!C$2:C$50000)
)</f>
        <v>Athletic Club</v>
      </c>
      <c r="D46" s="5" t="str">
        <f aca="false">[1]Base_Jugadores!D46</f>
        <v>España</v>
      </c>
      <c r="E46" s="3"/>
      <c r="F46" s="5" t="str">
        <f aca="false">[1]Base_Jugadores!E46</f>
        <v>MO</v>
      </c>
      <c r="G46" s="5" t="n">
        <f aca="false">[1]Base_Jugadores!F46</f>
        <v>71</v>
      </c>
      <c r="H46" s="5" t="n">
        <f aca="false">[1]Base_Jugadores!G46</f>
        <v>22</v>
      </c>
      <c r="I46" s="7" t="n">
        <f aca="false" t="array" ref="I46:I46">_xlfn.XLOOKUP(G46,{55;56;57;58;59;60;61;62;63;64;65;66;67;68;69;70;71;72;73;74;75;76;77;78;79;80;81;82;83;84;85;86;87;88;89;90;91;92;93;94;95;96;97;98;99},{100000;130000;160000;190000;220000;250000;300000;350000;400000;450000;500000;600000;700000;800000;900000;1000000;1500000;2000000;3000000;4000000;5000000;6500000;8000000;10000000;12500000;15000000;20000000;25000000;30000000;35000000;40000000;55000000;70000000;80000000;90000000;110000000;130000000;160000000;190000000;220000000;250000000;280000000;310000000;340000000;400000000})</f>
        <v>1500000</v>
      </c>
      <c r="J46" s="7" t="n">
        <f aca="false">I46*S46*T46*U46</f>
        <v>1646662.5</v>
      </c>
      <c r="K46" s="8"/>
      <c r="L46" s="3"/>
      <c r="M46" s="8"/>
      <c r="N46" s="9" t="n">
        <v>2</v>
      </c>
      <c r="O46" s="4" t="n">
        <v>0</v>
      </c>
      <c r="P46" s="5" t="n">
        <f aca="false">IF(COUNTIF([1]Base_Jugadores!J$2:J$500,B46)&gt;0,1,0)</f>
        <v>1</v>
      </c>
      <c r="Q46" s="10" t="b">
        <f aca="false">--(COUNTIFS(
   [1]Fichajes_Realizados!A$2:A$5000,A46,
   [1]Fichajes_Realizados!G$2:G$5000,$X$3
)&gt;0)</f>
        <v>0</v>
      </c>
      <c r="R46" s="5" t="n">
        <f aca="false">_xlfn.XLOOKUP(C46, [1]Estado_Equipos!A$2:A$500, [1]Estado_Equipos!J$2:J$500, "")</f>
        <v>81</v>
      </c>
      <c r="S46" s="5" t="n">
        <f aca="false">IF(H46&lt;=16,1.45,
IF(H46&gt;=41,0.3,
CHOOSE(ROUNDDOWN((H46-16)/2,0)+1,
1.45,1.38,1.3,1.23,1.17,1.15,1.12,1.05,0.95,0.8,0.6,0.4,0.3)))</f>
        <v>1.23</v>
      </c>
      <c r="T46" s="5" t="n">
        <f aca="false">CHOOSE(N46+1,1.2,1,0.85,0.7)</f>
        <v>0.85</v>
      </c>
      <c r="U46" s="5" t="n">
        <f aca="false">IF(F46="PO",0.6,
IF(F46="CT",0.75,
IF(F46="LI",0.8,
IF(F46="LD",0.8,
IF(F46="MCD",0.85,
IF(F46="MC",0.95,
IF(F46="MO",1.05,
IF(F46="EI",1.1,
IF(F46="ED",1.1,
IF(F46="SD",1.15,
IF(F46="DC",1.2,0)))))))))))</f>
        <v>1.05</v>
      </c>
    </row>
    <row r="47" customFormat="false" ht="16.4" hidden="false" customHeight="false" outlineLevel="0" collapsed="false">
      <c r="A47" s="1" t="n">
        <v>46</v>
      </c>
      <c r="B47" s="5" t="str">
        <f aca="false">[1]Base_Jugadores!B47</f>
        <v>Unai Simón</v>
      </c>
      <c r="C47" s="5" t="str">
        <f aca="false">IFERROR(
   _xlfn.XLOOKUP(VALUE(A47),[1]Fichajes_Realizados!A$2:A$50000,[1]Fichajes_Realizados!D$2:D$50000,,0,-1),
   _xlfn.XLOOKUP(VALUE(A47),[1]Base_Jugadores!A$2:A$50000,[1]Base_Jugadores!C$2:C$50000)
)</f>
        <v>Athletic Club</v>
      </c>
      <c r="D47" s="5" t="str">
        <f aca="false">[1]Base_Jugadores!D47</f>
        <v>España</v>
      </c>
      <c r="E47" s="3"/>
      <c r="F47" s="5" t="str">
        <f aca="false">[1]Base_Jugadores!E47</f>
        <v>PO</v>
      </c>
      <c r="G47" s="5" t="n">
        <f aca="false">[1]Base_Jugadores!F47</f>
        <v>86</v>
      </c>
      <c r="H47" s="5" t="n">
        <f aca="false">[1]Base_Jugadores!G47</f>
        <v>28</v>
      </c>
      <c r="I47" s="7" t="n">
        <f aca="false" t="array" ref="I47:I47">_xlfn.XLOOKUP(G47,{55;56;57;58;59;60;61;62;63;64;65;66;67;68;69;70;71;72;73;74;75;76;77;78;79;80;81;82;83;84;85;86;87;88;89;90;91;92;93;94;95;96;97;98;99},{100000;130000;160000;190000;220000;250000;300000;350000;400000;450000;500000;600000;700000;800000;900000;1000000;1500000;2000000;3000000;4000000;5000000;6500000;8000000;10000000;12500000;15000000;20000000;25000000;30000000;35000000;40000000;55000000;70000000;80000000;90000000;110000000;130000000;160000000;190000000;220000000;250000000;280000000;310000000;340000000;400000000})</f>
        <v>55000000</v>
      </c>
      <c r="J47" s="7" t="n">
        <f aca="false">I47*S47*T47*U47</f>
        <v>44352000</v>
      </c>
      <c r="K47" s="8"/>
      <c r="L47" s="3"/>
      <c r="M47" s="8"/>
      <c r="N47" s="9" t="n">
        <v>0</v>
      </c>
      <c r="O47" s="4" t="n">
        <v>0</v>
      </c>
      <c r="P47" s="5" t="n">
        <f aca="false">IF(COUNTIF([1]Base_Jugadores!J$2:J$500,B47)&gt;0,1,0)</f>
        <v>1</v>
      </c>
      <c r="Q47" s="10" t="b">
        <f aca="false">--(COUNTIFS(
   [1]Fichajes_Realizados!A$2:A$5000,A47,
   [1]Fichajes_Realizados!G$2:G$5000,$X$3
)&gt;0)</f>
        <v>0</v>
      </c>
      <c r="R47" s="5" t="n">
        <f aca="false">_xlfn.XLOOKUP(C47, [1]Estado_Equipos!A$2:A$500, [1]Estado_Equipos!J$2:J$500, "")</f>
        <v>81</v>
      </c>
      <c r="S47" s="5" t="n">
        <f aca="false">IF(H47&lt;=16,1.45,
IF(H47&gt;=41,0.3,
CHOOSE(ROUNDDOWN((H47-16)/2,0)+1,
1.45,1.38,1.3,1.23,1.17,1.15,1.12,1.05,0.95,0.8,0.6,0.4,0.3)))</f>
        <v>1.12</v>
      </c>
      <c r="T47" s="5" t="n">
        <f aca="false">CHOOSE(N47+1,1.2,1,0.85,0.7)</f>
        <v>1.2</v>
      </c>
      <c r="U47" s="5" t="n">
        <f aca="false">IF(F47="PO",0.6,
IF(F47="CT",0.75,
IF(F47="LI",0.8,
IF(F47="LD",0.8,
IF(F47="MCD",0.85,
IF(F47="MC",0.95,
IF(F47="MO",1.05,
IF(F47="EI",1.1,
IF(F47="ED",1.1,
IF(F47="SD",1.15,
IF(F47="DC",1.2,0)))))))))))</f>
        <v>0.6</v>
      </c>
    </row>
    <row r="48" customFormat="false" ht="16.4" hidden="false" customHeight="false" outlineLevel="0" collapsed="false">
      <c r="A48" s="1" t="n">
        <v>47</v>
      </c>
      <c r="B48" s="5" t="str">
        <f aca="false">[1]Base_Jugadores!B48</f>
        <v>Urko Izeta</v>
      </c>
      <c r="C48" s="5" t="str">
        <f aca="false">IFERROR(
   _xlfn.XLOOKUP(VALUE(A48),[1]Fichajes_Realizados!A$2:A$50000,[1]Fichajes_Realizados!D$2:D$50000,,0,-1),
   _xlfn.XLOOKUP(VALUE(A48),[1]Base_Jugadores!A$2:A$50000,[1]Base_Jugadores!C$2:C$50000)
)</f>
        <v>Athletic Club</v>
      </c>
      <c r="D48" s="5" t="str">
        <f aca="false">[1]Base_Jugadores!D48</f>
        <v>España</v>
      </c>
      <c r="E48" s="3"/>
      <c r="F48" s="5" t="str">
        <f aca="false">[1]Base_Jugadores!E48</f>
        <v>DC</v>
      </c>
      <c r="G48" s="5" t="n">
        <f aca="false">[1]Base_Jugadores!F48</f>
        <v>68</v>
      </c>
      <c r="H48" s="5" t="n">
        <f aca="false">[1]Base_Jugadores!G48</f>
        <v>26</v>
      </c>
      <c r="I48" s="7" t="n">
        <f aca="false" t="array" ref="I48:I48">_xlfn.XLOOKUP(G48,{55;56;57;58;59;60;61;62;63;64;65;66;67;68;69;70;71;72;73;74;75;76;77;78;79;80;81;82;83;84;85;86;87;88;89;90;91;92;93;94;95;96;97;98;99},{100000;130000;160000;190000;220000;250000;300000;350000;400000;450000;500000;600000;700000;800000;900000;1000000;1500000;2000000;3000000;4000000;5000000;6500000;8000000;10000000;12500000;15000000;20000000;25000000;30000000;35000000;40000000;55000000;70000000;80000000;90000000;110000000;130000000;160000000;190000000;220000000;250000000;280000000;310000000;340000000;400000000})</f>
        <v>800000</v>
      </c>
      <c r="J48" s="7" t="n">
        <f aca="false">I48*S48*T48*U48</f>
        <v>938400</v>
      </c>
      <c r="K48" s="3"/>
      <c r="L48" s="3"/>
      <c r="M48" s="8"/>
      <c r="N48" s="9" t="n">
        <v>2</v>
      </c>
      <c r="O48" s="4" t="n">
        <v>0</v>
      </c>
      <c r="P48" s="5" t="n">
        <f aca="false">IF(COUNTIF([1]Base_Jugadores!J$2:J$500,B48)&gt;0,1,0)</f>
        <v>1</v>
      </c>
      <c r="Q48" s="10" t="b">
        <f aca="false">--(COUNTIFS(
   [1]Fichajes_Realizados!A$2:A$5000,A48,
   [1]Fichajes_Realizados!G$2:G$5000,$X$3
)&gt;0)</f>
        <v>0</v>
      </c>
      <c r="R48" s="5" t="n">
        <f aca="false">_xlfn.XLOOKUP(C48, [1]Estado_Equipos!A$2:A$500, [1]Estado_Equipos!J$2:J$500, "")</f>
        <v>81</v>
      </c>
      <c r="S48" s="5" t="n">
        <f aca="false">IF(H48&lt;=16,1.45,
IF(H48&gt;=41,0.3,
CHOOSE(ROUNDDOWN((H48-16)/2,0)+1,
1.45,1.38,1.3,1.23,1.17,1.15,1.12,1.05,0.95,0.8,0.6,0.4,0.3)))</f>
        <v>1.15</v>
      </c>
      <c r="T48" s="5" t="n">
        <f aca="false">CHOOSE(N48+1,1.2,1,0.85,0.7)</f>
        <v>0.85</v>
      </c>
      <c r="U48" s="5" t="n">
        <f aca="false">IF(F48="PO",0.6,
IF(F48="CT",0.75,
IF(F48="LI",0.8,
IF(F48="LD",0.8,
IF(F48="MCD",0.85,
IF(F48="MC",0.95,
IF(F48="MO",1.05,
IF(F48="EI",1.1,
IF(F48="ED",1.1,
IF(F48="SD",1.15,
IF(F48="DC",1.2,0)))))))))))</f>
        <v>1.2</v>
      </c>
    </row>
    <row r="49" customFormat="false" ht="16.4" hidden="false" customHeight="false" outlineLevel="0" collapsed="false">
      <c r="A49" s="1" t="n">
        <v>48</v>
      </c>
      <c r="B49" s="5" t="str">
        <f aca="false">[1]Base_Jugadores!B49</f>
        <v>Yeray Álvarez</v>
      </c>
      <c r="C49" s="5" t="str">
        <f aca="false">IFERROR(
   _xlfn.XLOOKUP(VALUE(A49),[1]Fichajes_Realizados!A$2:A$50000,[1]Fichajes_Realizados!D$2:D$50000,,0,-1),
   _xlfn.XLOOKUP(VALUE(A49),[1]Base_Jugadores!A$2:A$50000,[1]Base_Jugadores!C$2:C$50000)
)</f>
        <v>Athletic Club</v>
      </c>
      <c r="D49" s="5" t="str">
        <f aca="false">[1]Base_Jugadores!D49</f>
        <v>España</v>
      </c>
      <c r="E49" s="3"/>
      <c r="F49" s="5" t="str">
        <f aca="false">[1]Base_Jugadores!E49</f>
        <v>CT</v>
      </c>
      <c r="G49" s="5" t="n">
        <f aca="false">[1]Base_Jugadores!F49</f>
        <v>80</v>
      </c>
      <c r="H49" s="5" t="n">
        <f aca="false">[1]Base_Jugadores!G49</f>
        <v>30</v>
      </c>
      <c r="I49" s="7" t="n">
        <f aca="false" t="array" ref="I49:I49">_xlfn.XLOOKUP(G49,{55;56;57;58;59;60;61;62;63;64;65;66;67;68;69;70;71;72;73;74;75;76;77;78;79;80;81;82;83;84;85;86;87;88;89;90;91;92;93;94;95;96;97;98;99},{100000;130000;160000;190000;220000;250000;300000;350000;400000;450000;500000;600000;700000;800000;900000;1000000;1500000;2000000;3000000;4000000;5000000;6500000;8000000;10000000;12500000;15000000;20000000;25000000;30000000;35000000;40000000;55000000;70000000;80000000;90000000;110000000;130000000;160000000;190000000;220000000;250000000;280000000;310000000;340000000;400000000})</f>
        <v>15000000</v>
      </c>
      <c r="J49" s="7" t="n">
        <f aca="false">I49*S49*T49*U49</f>
        <v>11812500</v>
      </c>
      <c r="K49" s="8"/>
      <c r="L49" s="3"/>
      <c r="M49" s="8"/>
      <c r="N49" s="9" t="n">
        <v>1</v>
      </c>
      <c r="O49" s="4" t="n">
        <v>0</v>
      </c>
      <c r="P49" s="5" t="n">
        <f aca="false">IF(COUNTIF([1]Base_Jugadores!J$2:J$500,B49)&gt;0,1,0)</f>
        <v>1</v>
      </c>
      <c r="Q49" s="10" t="b">
        <f aca="false">--(COUNTIFS(
   [1]Fichajes_Realizados!A$2:A$5000,A49,
   [1]Fichajes_Realizados!G$2:G$5000,$X$3
)&gt;0)</f>
        <v>0</v>
      </c>
      <c r="R49" s="5" t="n">
        <f aca="false">_xlfn.XLOOKUP(C49, [1]Estado_Equipos!A$2:A$500, [1]Estado_Equipos!J$2:J$500, "")</f>
        <v>81</v>
      </c>
      <c r="S49" s="5" t="n">
        <f aca="false">IF(H49&lt;=16,1.45,
IF(H49&gt;=41,0.3,
CHOOSE(ROUNDDOWN((H49-16)/2,0)+1,
1.45,1.38,1.3,1.23,1.17,1.15,1.12,1.05,0.95,0.8,0.6,0.4,0.3)))</f>
        <v>1.05</v>
      </c>
      <c r="T49" s="5" t="n">
        <f aca="false">CHOOSE(N49+1,1.2,1,0.85,0.7)</f>
        <v>1</v>
      </c>
      <c r="U49" s="5" t="n">
        <f aca="false">IF(F49="PO",0.6,
IF(F49="CT",0.75,
IF(F49="LI",0.8,
IF(F49="LD",0.8,
IF(F49="MCD",0.85,
IF(F49="MC",0.95,
IF(F49="MO",1.05,
IF(F49="EI",1.1,
IF(F49="ED",1.1,
IF(F49="SD",1.15,
IF(F49="DC",1.2,0)))))))))))</f>
        <v>0.75</v>
      </c>
    </row>
    <row r="50" customFormat="false" ht="16.4" hidden="false" customHeight="false" outlineLevel="0" collapsed="false">
      <c r="A50" s="1" t="n">
        <v>49</v>
      </c>
      <c r="B50" s="5" t="str">
        <f aca="false">[1]Base_Jugadores!B50</f>
        <v>Yuri Berchiche</v>
      </c>
      <c r="C50" s="5" t="str">
        <f aca="false">IFERROR(
   _xlfn.XLOOKUP(VALUE(A50),[1]Fichajes_Realizados!A$2:A$50000,[1]Fichajes_Realizados!D$2:D$50000,,0,-1),
   _xlfn.XLOOKUP(VALUE(A50),[1]Base_Jugadores!A$2:A$50000,[1]Base_Jugadores!C$2:C$50000)
)</f>
        <v>Athletic Club</v>
      </c>
      <c r="D50" s="5" t="str">
        <f aca="false">[1]Base_Jugadores!D50</f>
        <v>España</v>
      </c>
      <c r="E50" s="3"/>
      <c r="F50" s="5" t="str">
        <f aca="false">[1]Base_Jugadores!E50</f>
        <v>LI</v>
      </c>
      <c r="G50" s="5" t="n">
        <f aca="false">[1]Base_Jugadores!F50</f>
        <v>78</v>
      </c>
      <c r="H50" s="5" t="n">
        <f aca="false">[1]Base_Jugadores!G50</f>
        <v>35</v>
      </c>
      <c r="I50" s="7" t="n">
        <f aca="false" t="array" ref="I50:I50">_xlfn.XLOOKUP(G50,{55;56;57;58;59;60;61;62;63;64;65;66;67;68;69;70;71;72;73;74;75;76;77;78;79;80;81;82;83;84;85;86;87;88;89;90;91;92;93;94;95;96;97;98;99},{100000;130000;160000;190000;220000;250000;300000;350000;400000;450000;500000;600000;700000;800000;900000;1000000;1500000;2000000;3000000;4000000;5000000;6500000;8000000;10000000;12500000;15000000;20000000;25000000;30000000;35000000;40000000;55000000;70000000;80000000;90000000;110000000;130000000;160000000;190000000;220000000;250000000;280000000;310000000;340000000;400000000})</f>
        <v>10000000</v>
      </c>
      <c r="J50" s="7" t="n">
        <f aca="false">I50*S50*T50*U50</f>
        <v>7680000</v>
      </c>
      <c r="K50" s="8"/>
      <c r="L50" s="3"/>
      <c r="M50" s="8"/>
      <c r="N50" s="9" t="n">
        <v>0</v>
      </c>
      <c r="O50" s="4" t="n">
        <v>0</v>
      </c>
      <c r="P50" s="5" t="n">
        <f aca="false">IF(COUNTIF([1]Base_Jugadores!J$2:J$500,B50)&gt;0,1,0)</f>
        <v>1</v>
      </c>
      <c r="Q50" s="10" t="b">
        <f aca="false">--(COUNTIFS(
   [1]Fichajes_Realizados!A$2:A$5000,A50,
   [1]Fichajes_Realizados!G$2:G$5000,$X$3
)&gt;0)</f>
        <v>0</v>
      </c>
      <c r="R50" s="5" t="n">
        <f aca="false">_xlfn.XLOOKUP(C50, [1]Estado_Equipos!A$2:A$500, [1]Estado_Equipos!J$2:J$500, "")</f>
        <v>81</v>
      </c>
      <c r="S50" s="5" t="n">
        <f aca="false">IF(H50&lt;=16,1.45,
IF(H50&gt;=41,0.3,
CHOOSE(ROUNDDOWN((H50-16)/2,0)+1,
1.45,1.38,1.3,1.23,1.17,1.15,1.12,1.05,0.95,0.8,0.6,0.4,0.3)))</f>
        <v>0.8</v>
      </c>
      <c r="T50" s="5" t="n">
        <f aca="false">CHOOSE(N50+1,1.2,1,0.85,0.7)</f>
        <v>1.2</v>
      </c>
      <c r="U50" s="5" t="n">
        <f aca="false">IF(F50="PO",0.6,
IF(F50="CT",0.75,
IF(F50="LI",0.8,
IF(F50="LD",0.8,
IF(F50="MCD",0.85,
IF(F50="MC",0.95,
IF(F50="MO",1.05,
IF(F50="EI",1.1,
IF(F50="ED",1.1,
IF(F50="SD",1.15,
IF(F50="DC",1.2,0)))))))))))</f>
        <v>0.8</v>
      </c>
    </row>
    <row r="51" customFormat="false" ht="16.4" hidden="false" customHeight="false" outlineLevel="0" collapsed="false">
      <c r="A51" s="1" t="n">
        <v>50</v>
      </c>
      <c r="B51" s="5" t="str">
        <f aca="false">[1]Base_Jugadores!B51</f>
        <v>Álex Baena</v>
      </c>
      <c r="C51" s="5" t="str">
        <f aca="false">IFERROR(
   _xlfn.XLOOKUP(VALUE(A51),[1]Fichajes_Realizados!A$2:A$50000,[1]Fichajes_Realizados!D$2:D$50000,,0,-1),
   _xlfn.XLOOKUP(VALUE(A51),[1]Base_Jugadores!A$2:A$50000,[1]Base_Jugadores!C$2:C$50000)
)</f>
        <v>Atlético de Madrid</v>
      </c>
      <c r="D51" s="5" t="str">
        <f aca="false">[1]Base_Jugadores!D51</f>
        <v>España</v>
      </c>
      <c r="E51" s="3"/>
      <c r="F51" s="5" t="str">
        <f aca="false">[1]Base_Jugadores!E51</f>
        <v>EI</v>
      </c>
      <c r="G51" s="5" t="n">
        <f aca="false">[1]Base_Jugadores!F51</f>
        <v>83</v>
      </c>
      <c r="H51" s="5" t="n">
        <f aca="false">[1]Base_Jugadores!G51</f>
        <v>24</v>
      </c>
      <c r="I51" s="7" t="n">
        <f aca="false" t="array" ref="I51:I51">_xlfn.XLOOKUP(G51,{55;56;57;58;59;60;61;62;63;64;65;66;67;68;69;70;71;72;73;74;75;76;77;78;79;80;81;82;83;84;85;86;87;88;89;90;91;92;93;94;95;96;97;98;99},{100000;130000;160000;190000;220000;250000;300000;350000;400000;450000;500000;600000;700000;800000;900000;1000000;1500000;2000000;3000000;4000000;5000000;6500000;8000000;10000000;12500000;15000000;20000000;25000000;30000000;35000000;40000000;55000000;70000000;80000000;90000000;110000000;130000000;160000000;190000000;220000000;250000000;280000000;310000000;340000000;400000000})</f>
        <v>30000000</v>
      </c>
      <c r="J51" s="7" t="n">
        <f aca="false">I51*S51*T51*U51</f>
        <v>46332000</v>
      </c>
      <c r="K51" s="8"/>
      <c r="L51" s="3"/>
      <c r="M51" s="8"/>
      <c r="N51" s="9" t="n">
        <v>0</v>
      </c>
      <c r="O51" s="4" t="n">
        <v>0</v>
      </c>
      <c r="P51" s="5" t="n">
        <f aca="false">IF(COUNTIF([1]Base_Jugadores!J$2:J$500,B51)&gt;0,1,0)</f>
        <v>0</v>
      </c>
      <c r="Q51" s="10" t="b">
        <f aca="false">--(COUNTIFS(
   [1]Fichajes_Realizados!A$2:A$5000,A51,
   [1]Fichajes_Realizados!G$2:G$5000,$X$3
)&gt;0)</f>
        <v>0</v>
      </c>
      <c r="R51" s="5" t="n">
        <f aca="false">_xlfn.XLOOKUP(C51, [1]Estado_Equipos!A$2:A$500, [1]Estado_Equipos!J$2:J$500, "")</f>
        <v>83</v>
      </c>
      <c r="S51" s="5" t="n">
        <f aca="false">IF(H51&lt;=16,1.45,
IF(H51&gt;=41,0.3,
CHOOSE(ROUNDDOWN((H51-16)/2,0)+1,
1.45,1.38,1.3,1.23,1.17,1.15,1.12,1.05,0.95,0.8,0.6,0.4,0.3)))</f>
        <v>1.17</v>
      </c>
      <c r="T51" s="5" t="n">
        <f aca="false">CHOOSE(N51+1,1.2,1,0.85,0.7)</f>
        <v>1.2</v>
      </c>
      <c r="U51" s="5" t="n">
        <f aca="false">IF(F51="PO",0.6,
IF(F51="CT",0.75,
IF(F51="LI",0.8,
IF(F51="LD",0.8,
IF(F51="MCD",0.85,
IF(F51="MC",0.95,
IF(F51="MO",1.05,
IF(F51="EI",1.1,
IF(F51="ED",1.1,
IF(F51="SD",1.15,
IF(F51="DC",1.2,0)))))))))))</f>
        <v>1.1</v>
      </c>
    </row>
    <row r="52" customFormat="false" ht="16.4" hidden="false" customHeight="false" outlineLevel="0" collapsed="false">
      <c r="A52" s="1" t="n">
        <v>51</v>
      </c>
      <c r="B52" s="5" t="str">
        <f aca="false">[1]Base_Jugadores!B52</f>
        <v>Alexander Sørloth</v>
      </c>
      <c r="C52" s="5" t="str">
        <f aca="false">IFERROR(
   _xlfn.XLOOKUP(VALUE(A52),[1]Fichajes_Realizados!A$2:A$50000,[1]Fichajes_Realizados!D$2:D$50000,,0,-1),
   _xlfn.XLOOKUP(VALUE(A52),[1]Base_Jugadores!A$2:A$50000,[1]Base_Jugadores!C$2:C$50000)
)</f>
        <v>Atlético de Madrid</v>
      </c>
      <c r="D52" s="5" t="str">
        <f aca="false">[1]Base_Jugadores!D52</f>
        <v>Noruega</v>
      </c>
      <c r="E52" s="3"/>
      <c r="F52" s="5" t="str">
        <f aca="false">[1]Base_Jugadores!E52</f>
        <v>DC</v>
      </c>
      <c r="G52" s="5" t="n">
        <f aca="false">[1]Base_Jugadores!F52</f>
        <v>82</v>
      </c>
      <c r="H52" s="5" t="n">
        <f aca="false">[1]Base_Jugadores!G52</f>
        <v>30</v>
      </c>
      <c r="I52" s="7" t="n">
        <f aca="false" t="array" ref="I52:I52">_xlfn.XLOOKUP(G52,{55;56;57;58;59;60;61;62;63;64;65;66;67;68;69;70;71;72;73;74;75;76;77;78;79;80;81;82;83;84;85;86;87;88;89;90;91;92;93;94;95;96;97;98;99},{100000;130000;160000;190000;220000;250000;300000;350000;400000;450000;500000;600000;700000;800000;900000;1000000;1500000;2000000;3000000;4000000;5000000;6500000;8000000;10000000;12500000;15000000;20000000;25000000;30000000;35000000;40000000;55000000;70000000;80000000;90000000;110000000;130000000;160000000;190000000;220000000;250000000;280000000;310000000;340000000;400000000})</f>
        <v>25000000</v>
      </c>
      <c r="J52" s="7" t="n">
        <f aca="false">I52*S52*T52*U52</f>
        <v>31500000</v>
      </c>
      <c r="K52" s="8"/>
      <c r="L52" s="3"/>
      <c r="M52" s="8"/>
      <c r="N52" s="9" t="n">
        <v>1</v>
      </c>
      <c r="O52" s="4" t="n">
        <v>0</v>
      </c>
      <c r="P52" s="5" t="n">
        <f aca="false">IF(COUNTIF([1]Base_Jugadores!J$2:J$500,B52)&gt;0,1,0)</f>
        <v>0</v>
      </c>
      <c r="Q52" s="10" t="b">
        <f aca="false">--(COUNTIFS(
   [1]Fichajes_Realizados!A$2:A$5000,A52,
   [1]Fichajes_Realizados!G$2:G$5000,$X$3
)&gt;0)</f>
        <v>0</v>
      </c>
      <c r="R52" s="5" t="n">
        <f aca="false">_xlfn.XLOOKUP(C52, [1]Estado_Equipos!A$2:A$500, [1]Estado_Equipos!J$2:J$500, "")</f>
        <v>83</v>
      </c>
      <c r="S52" s="5" t="n">
        <f aca="false">IF(H52&lt;=16,1.45,
IF(H52&gt;=41,0.3,
CHOOSE(ROUNDDOWN((H52-16)/2,0)+1,
1.45,1.38,1.3,1.23,1.17,1.15,1.12,1.05,0.95,0.8,0.6,0.4,0.3)))</f>
        <v>1.05</v>
      </c>
      <c r="T52" s="5" t="n">
        <f aca="false">CHOOSE(N52+1,1.2,1,0.85,0.7)</f>
        <v>1</v>
      </c>
      <c r="U52" s="5" t="n">
        <f aca="false">IF(F52="PO",0.6,
IF(F52="CT",0.75,
IF(F52="LI",0.8,
IF(F52="LD",0.8,
IF(F52="MCD",0.85,
IF(F52="MC",0.95,
IF(F52="MO",1.05,
IF(F52="EI",1.1,
IF(F52="ED",1.1,
IF(F52="SD",1.15,
IF(F52="DC",1.2,0)))))))))))</f>
        <v>1.2</v>
      </c>
    </row>
    <row r="53" customFormat="false" ht="16.4" hidden="false" customHeight="false" outlineLevel="0" collapsed="false">
      <c r="A53" s="1" t="n">
        <v>52</v>
      </c>
      <c r="B53" s="5" t="str">
        <f aca="false">[1]Base_Jugadores!B53</f>
        <v>Antoine Griezmann</v>
      </c>
      <c r="C53" s="5" t="str">
        <f aca="false">IFERROR(
   _xlfn.XLOOKUP(VALUE(A53),[1]Fichajes_Realizados!A$2:A$50000,[1]Fichajes_Realizados!D$2:D$50000,,0,-1),
   _xlfn.XLOOKUP(VALUE(A53),[1]Base_Jugadores!A$2:A$50000,[1]Base_Jugadores!C$2:C$50000)
)</f>
        <v>Atlético de Madrid</v>
      </c>
      <c r="D53" s="5" t="str">
        <f aca="false">[1]Base_Jugadores!D53</f>
        <v>Francia</v>
      </c>
      <c r="E53" s="3"/>
      <c r="F53" s="5" t="str">
        <f aca="false">[1]Base_Jugadores!E53</f>
        <v>SD</v>
      </c>
      <c r="G53" s="5" t="n">
        <f aca="false">[1]Base_Jugadores!F53</f>
        <v>87</v>
      </c>
      <c r="H53" s="5" t="n">
        <f aca="false">[1]Base_Jugadores!G53</f>
        <v>34</v>
      </c>
      <c r="I53" s="7" t="n">
        <f aca="false" t="array" ref="I53:I53">_xlfn.XLOOKUP(G53,{55;56;57;58;59;60;61;62;63;64;65;66;67;68;69;70;71;72;73;74;75;76;77;78;79;80;81;82;83;84;85;86;87;88;89;90;91;92;93;94;95;96;97;98;99},{100000;130000;160000;190000;220000;250000;300000;350000;400000;450000;500000;600000;700000;800000;900000;1000000;1500000;2000000;3000000;4000000;5000000;6500000;8000000;10000000;12500000;15000000;20000000;25000000;30000000;35000000;40000000;55000000;70000000;80000000;90000000;110000000;130000000;160000000;190000000;220000000;250000000;280000000;310000000;340000000;400000000})</f>
        <v>70000000</v>
      </c>
      <c r="J53" s="7" t="n">
        <f aca="false">I53*S53*T53*U53</f>
        <v>64400000</v>
      </c>
      <c r="K53" s="3"/>
      <c r="L53" s="3"/>
      <c r="M53" s="8"/>
      <c r="N53" s="9" t="n">
        <v>1</v>
      </c>
      <c r="O53" s="4" t="n">
        <v>0</v>
      </c>
      <c r="P53" s="5" t="n">
        <f aca="false">IF(COUNTIF([1]Base_Jugadores!J$2:J$500,B53)&gt;0,1,0)</f>
        <v>0</v>
      </c>
      <c r="Q53" s="10" t="b">
        <f aca="false">--(COUNTIFS(
   [1]Fichajes_Realizados!A$2:A$5000,A53,
   [1]Fichajes_Realizados!G$2:G$5000,$X$3
)&gt;0)</f>
        <v>0</v>
      </c>
      <c r="R53" s="5" t="n">
        <f aca="false">_xlfn.XLOOKUP(C53, [1]Estado_Equipos!A$2:A$500, [1]Estado_Equipos!J$2:J$500, "")</f>
        <v>83</v>
      </c>
      <c r="S53" s="5" t="n">
        <f aca="false">IF(H53&lt;=16,1.45,
IF(H53&gt;=41,0.3,
CHOOSE(ROUNDDOWN((H53-16)/2,0)+1,
1.45,1.38,1.3,1.23,1.17,1.15,1.12,1.05,0.95,0.8,0.6,0.4,0.3)))</f>
        <v>0.8</v>
      </c>
      <c r="T53" s="5" t="n">
        <f aca="false">CHOOSE(N53+1,1.2,1,0.85,0.7)</f>
        <v>1</v>
      </c>
      <c r="U53" s="5" t="n">
        <f aca="false">IF(F53="PO",0.6,
IF(F53="CT",0.75,
IF(F53="LI",0.8,
IF(F53="LD",0.8,
IF(F53="MCD",0.85,
IF(F53="MC",0.95,
IF(F53="MO",1.05,
IF(F53="EI",1.1,
IF(F53="ED",1.1,
IF(F53="SD",1.15,
IF(F53="DC",1.2,0)))))))))))</f>
        <v>1.15</v>
      </c>
    </row>
    <row r="54" customFormat="false" ht="16.4" hidden="false" customHeight="false" outlineLevel="0" collapsed="false">
      <c r="A54" s="1" t="n">
        <v>53</v>
      </c>
      <c r="B54" s="5" t="str">
        <f aca="false">[1]Base_Jugadores!B54</f>
        <v>Carlos Martín</v>
      </c>
      <c r="C54" s="5" t="str">
        <f aca="false">IFERROR(
   _xlfn.XLOOKUP(VALUE(A54),[1]Fichajes_Realizados!A$2:A$50000,[1]Fichajes_Realizados!D$2:D$50000,,0,-1),
   _xlfn.XLOOKUP(VALUE(A54),[1]Base_Jugadores!A$2:A$50000,[1]Base_Jugadores!C$2:C$50000)
)</f>
        <v>Atlético de Madrid</v>
      </c>
      <c r="D54" s="5" t="str">
        <f aca="false">[1]Base_Jugadores!D54</f>
        <v>España</v>
      </c>
      <c r="E54" s="3"/>
      <c r="F54" s="5" t="str">
        <f aca="false">[1]Base_Jugadores!E54</f>
        <v>EI</v>
      </c>
      <c r="G54" s="5" t="n">
        <f aca="false">[1]Base_Jugadores!F54</f>
        <v>72</v>
      </c>
      <c r="H54" s="5" t="n">
        <f aca="false">[1]Base_Jugadores!G54</f>
        <v>23</v>
      </c>
      <c r="I54" s="7" t="n">
        <f aca="false" t="array" ref="I54:I54">_xlfn.XLOOKUP(G54,{55;56;57;58;59;60;61;62;63;64;65;66;67;68;69;70;71;72;73;74;75;76;77;78;79;80;81;82;83;84;85;86;87;88;89;90;91;92;93;94;95;96;97;98;99},{100000;130000;160000;190000;220000;250000;300000;350000;400000;450000;500000;600000;700000;800000;900000;1000000;1500000;2000000;3000000;4000000;5000000;6500000;8000000;10000000;12500000;15000000;20000000;25000000;30000000;35000000;40000000;55000000;70000000;80000000;90000000;110000000;130000000;160000000;190000000;220000000;250000000;280000000;310000000;340000000;400000000})</f>
        <v>2000000</v>
      </c>
      <c r="J54" s="7" t="n">
        <f aca="false">I54*S54*T54*U54</f>
        <v>2300100</v>
      </c>
      <c r="K54" s="8"/>
      <c r="L54" s="3"/>
      <c r="M54" s="8"/>
      <c r="N54" s="9" t="n">
        <v>2</v>
      </c>
      <c r="O54" s="4" t="n">
        <v>0</v>
      </c>
      <c r="P54" s="5" t="n">
        <f aca="false">IF(COUNTIF([1]Base_Jugadores!J$2:J$500,B54)&gt;0,1,0)</f>
        <v>0</v>
      </c>
      <c r="Q54" s="10" t="b">
        <f aca="false">--(COUNTIFS(
   [1]Fichajes_Realizados!A$2:A$5000,A54,
   [1]Fichajes_Realizados!G$2:G$5000,$X$3
)&gt;0)</f>
        <v>0</v>
      </c>
      <c r="R54" s="5" t="n">
        <f aca="false">_xlfn.XLOOKUP(C54, [1]Estado_Equipos!A$2:A$500, [1]Estado_Equipos!J$2:J$500, "")</f>
        <v>83</v>
      </c>
      <c r="S54" s="5" t="n">
        <f aca="false">IF(H54&lt;=16,1.45,
IF(H54&gt;=41,0.3,
CHOOSE(ROUNDDOWN((H54-16)/2,0)+1,
1.45,1.38,1.3,1.23,1.17,1.15,1.12,1.05,0.95,0.8,0.6,0.4,0.3)))</f>
        <v>1.23</v>
      </c>
      <c r="T54" s="5" t="n">
        <f aca="false">CHOOSE(N54+1,1.2,1,0.85,0.7)</f>
        <v>0.85</v>
      </c>
      <c r="U54" s="5" t="n">
        <f aca="false">IF(F54="PO",0.6,
IF(F54="CT",0.75,
IF(F54="LI",0.8,
IF(F54="LD",0.8,
IF(F54="MCD",0.85,
IF(F54="MC",0.95,
IF(F54="MO",1.05,
IF(F54="EI",1.1,
IF(F54="ED",1.1,
IF(F54="SD",1.15,
IF(F54="DC",1.2,0)))))))))))</f>
        <v>1.1</v>
      </c>
    </row>
    <row r="55" customFormat="false" ht="16.4" hidden="false" customHeight="false" outlineLevel="0" collapsed="false">
      <c r="A55" s="1" t="n">
        <v>54</v>
      </c>
      <c r="B55" s="5" t="str">
        <f aca="false">[1]Base_Jugadores!B55</f>
        <v>Clément Lenglet</v>
      </c>
      <c r="C55" s="5" t="str">
        <f aca="false">IFERROR(
   _xlfn.XLOOKUP(VALUE(A55),[1]Fichajes_Realizados!A$2:A$50000,[1]Fichajes_Realizados!D$2:D$50000,,0,-1),
   _xlfn.XLOOKUP(VALUE(A55),[1]Base_Jugadores!A$2:A$50000,[1]Base_Jugadores!C$2:C$50000)
)</f>
        <v>Atlético de Madrid</v>
      </c>
      <c r="D55" s="5" t="str">
        <f aca="false">[1]Base_Jugadores!D55</f>
        <v>Francia</v>
      </c>
      <c r="E55" s="3"/>
      <c r="F55" s="5" t="str">
        <f aca="false">[1]Base_Jugadores!E55</f>
        <v>CT</v>
      </c>
      <c r="G55" s="5" t="n">
        <f aca="false">[1]Base_Jugadores!F55</f>
        <v>76</v>
      </c>
      <c r="H55" s="5" t="n">
        <f aca="false">[1]Base_Jugadores!G55</f>
        <v>30</v>
      </c>
      <c r="I55" s="7" t="n">
        <f aca="false" t="array" ref="I55:I55">_xlfn.XLOOKUP(G55,{55;56;57;58;59;60;61;62;63;64;65;66;67;68;69;70;71;72;73;74;75;76;77;78;79;80;81;82;83;84;85;86;87;88;89;90;91;92;93;94;95;96;97;98;99},{100000;130000;160000;190000;220000;250000;300000;350000;400000;450000;500000;600000;700000;800000;900000;1000000;1500000;2000000;3000000;4000000;5000000;6500000;8000000;10000000;12500000;15000000;20000000;25000000;30000000;35000000;40000000;55000000;70000000;80000000;90000000;110000000;130000000;160000000;190000000;220000000;250000000;280000000;310000000;340000000;400000000})</f>
        <v>6500000</v>
      </c>
      <c r="J55" s="7" t="n">
        <f aca="false">I55*S55*T55*U55</f>
        <v>4350937.5</v>
      </c>
      <c r="K55" s="8"/>
      <c r="L55" s="3"/>
      <c r="M55" s="8"/>
      <c r="N55" s="9" t="n">
        <v>2</v>
      </c>
      <c r="O55" s="4" t="n">
        <v>0</v>
      </c>
      <c r="P55" s="5" t="n">
        <f aca="false">IF(COUNTIF([1]Base_Jugadores!J$2:J$500,B55)&gt;0,1,0)</f>
        <v>0</v>
      </c>
      <c r="Q55" s="10" t="b">
        <f aca="false">--(COUNTIFS(
   [1]Fichajes_Realizados!A$2:A$5000,A55,
   [1]Fichajes_Realizados!G$2:G$5000,$X$3
)&gt;0)</f>
        <v>0</v>
      </c>
      <c r="R55" s="5" t="n">
        <f aca="false">_xlfn.XLOOKUP(C55, [1]Estado_Equipos!A$2:A$500, [1]Estado_Equipos!J$2:J$500, "")</f>
        <v>83</v>
      </c>
      <c r="S55" s="5" t="n">
        <f aca="false">IF(H55&lt;=16,1.45,
IF(H55&gt;=41,0.3,
CHOOSE(ROUNDDOWN((H55-16)/2,0)+1,
1.45,1.38,1.3,1.23,1.17,1.15,1.12,1.05,0.95,0.8,0.6,0.4,0.3)))</f>
        <v>1.05</v>
      </c>
      <c r="T55" s="5" t="n">
        <f aca="false">CHOOSE(N55+1,1.2,1,0.85,0.7)</f>
        <v>0.85</v>
      </c>
      <c r="U55" s="5" t="n">
        <f aca="false">IF(F55="PO",0.6,
IF(F55="CT",0.75,
IF(F55="LI",0.8,
IF(F55="LD",0.8,
IF(F55="MCD",0.85,
IF(F55="MC",0.95,
IF(F55="MO",1.05,
IF(F55="EI",1.1,
IF(F55="ED",1.1,
IF(F55="SD",1.15,
IF(F55="DC",1.2,0)))))))))))</f>
        <v>0.75</v>
      </c>
    </row>
    <row r="56" customFormat="false" ht="16.4" hidden="false" customHeight="false" outlineLevel="0" collapsed="false">
      <c r="A56" s="1" t="n">
        <v>55</v>
      </c>
      <c r="B56" s="5" t="str">
        <f aca="false">[1]Base_Jugadores!B56</f>
        <v>Conor Gallagher</v>
      </c>
      <c r="C56" s="5" t="str">
        <f aca="false">IFERROR(
   _xlfn.XLOOKUP(VALUE(A56),[1]Fichajes_Realizados!A$2:A$50000,[1]Fichajes_Realizados!D$2:D$50000,,0,-1),
   _xlfn.XLOOKUP(VALUE(A56),[1]Base_Jugadores!A$2:A$50000,[1]Base_Jugadores!C$2:C$50000)
)</f>
        <v>Atlético de Madrid</v>
      </c>
      <c r="D56" s="5" t="str">
        <f aca="false">[1]Base_Jugadores!D56</f>
        <v>Inglaterra</v>
      </c>
      <c r="E56" s="3"/>
      <c r="F56" s="5" t="str">
        <f aca="false">[1]Base_Jugadores!E56</f>
        <v>MC</v>
      </c>
      <c r="G56" s="5" t="n">
        <f aca="false">[1]Base_Jugadores!F56</f>
        <v>81</v>
      </c>
      <c r="H56" s="5" t="n">
        <f aca="false">[1]Base_Jugadores!G56</f>
        <v>25</v>
      </c>
      <c r="I56" s="7" t="n">
        <f aca="false" t="array" ref="I56:I56">_xlfn.XLOOKUP(G56,{55;56;57;58;59;60;61;62;63;64;65;66;67;68;69;70;71;72;73;74;75;76;77;78;79;80;81;82;83;84;85;86;87;88;89;90;91;92;93;94;95;96;97;98;99},{100000;130000;160000;190000;220000;250000;300000;350000;400000;450000;500000;600000;700000;800000;900000;1000000;1500000;2000000;3000000;4000000;5000000;6500000;8000000;10000000;12500000;15000000;20000000;25000000;30000000;35000000;40000000;55000000;70000000;80000000;90000000;110000000;130000000;160000000;190000000;220000000;250000000;280000000;310000000;340000000;400000000})</f>
        <v>20000000</v>
      </c>
      <c r="J56" s="7" t="n">
        <f aca="false">I56*S56*T56*U56</f>
        <v>26676000</v>
      </c>
      <c r="K56" s="8"/>
      <c r="L56" s="3"/>
      <c r="M56" s="8"/>
      <c r="N56" s="9" t="n">
        <v>0</v>
      </c>
      <c r="O56" s="4" t="n">
        <v>0</v>
      </c>
      <c r="P56" s="5" t="n">
        <f aca="false">IF(COUNTIF([1]Base_Jugadores!J$2:J$500,B56)&gt;0,1,0)</f>
        <v>0</v>
      </c>
      <c r="Q56" s="10" t="b">
        <f aca="false">--(COUNTIFS(
   [1]Fichajes_Realizados!A$2:A$5000,A56,
   [1]Fichajes_Realizados!G$2:G$5000,$X$3
)&gt;0)</f>
        <v>0</v>
      </c>
      <c r="R56" s="5" t="n">
        <f aca="false">_xlfn.XLOOKUP(C56, [1]Estado_Equipos!A$2:A$500, [1]Estado_Equipos!J$2:J$500, "")</f>
        <v>83</v>
      </c>
      <c r="S56" s="5" t="n">
        <f aca="false">IF(H56&lt;=16,1.45,
IF(H56&gt;=41,0.3,
CHOOSE(ROUNDDOWN((H56-16)/2,0)+1,
1.45,1.38,1.3,1.23,1.17,1.15,1.12,1.05,0.95,0.8,0.6,0.4,0.3)))</f>
        <v>1.17</v>
      </c>
      <c r="T56" s="5" t="n">
        <f aca="false">CHOOSE(N56+1,1.2,1,0.85,0.7)</f>
        <v>1.2</v>
      </c>
      <c r="U56" s="5" t="n">
        <f aca="false">IF(F56="PO",0.6,
IF(F56="CT",0.75,
IF(F56="LI",0.8,
IF(F56="LD",0.8,
IF(F56="MCD",0.85,
IF(F56="MC",0.95,
IF(F56="MO",1.05,
IF(F56="EI",1.1,
IF(F56="ED",1.1,
IF(F56="SD",1.15,
IF(F56="DC",1.2,0)))))))))))</f>
        <v>0.95</v>
      </c>
    </row>
    <row r="57" customFormat="false" ht="16.4" hidden="false" customHeight="false" outlineLevel="0" collapsed="false">
      <c r="A57" s="1" t="n">
        <v>56</v>
      </c>
      <c r="B57" s="5" t="str">
        <f aca="false">[1]Base_Jugadores!B57</f>
        <v>Dávid Hancko</v>
      </c>
      <c r="C57" s="5" t="str">
        <f aca="false">IFERROR(
   _xlfn.XLOOKUP(VALUE(A57),[1]Fichajes_Realizados!A$2:A$50000,[1]Fichajes_Realizados!D$2:D$50000,,0,-1),
   _xlfn.XLOOKUP(VALUE(A57),[1]Base_Jugadores!A$2:A$50000,[1]Base_Jugadores!C$2:C$50000)
)</f>
        <v>Atlético de Madrid</v>
      </c>
      <c r="D57" s="5" t="str">
        <f aca="false">[1]Base_Jugadores!D57</f>
        <v>Eslovaquia</v>
      </c>
      <c r="E57" s="3"/>
      <c r="F57" s="5" t="str">
        <f aca="false">[1]Base_Jugadores!E57</f>
        <v>CT</v>
      </c>
      <c r="G57" s="5" t="n">
        <f aca="false">[1]Base_Jugadores!F57</f>
        <v>81</v>
      </c>
      <c r="H57" s="5" t="n">
        <f aca="false">[1]Base_Jugadores!G57</f>
        <v>28</v>
      </c>
      <c r="I57" s="7" t="n">
        <f aca="false" t="array" ref="I57:I57">_xlfn.XLOOKUP(G57,{55;56;57;58;59;60;61;62;63;64;65;66;67;68;69;70;71;72;73;74;75;76;77;78;79;80;81;82;83;84;85;86;87;88;89;90;91;92;93;94;95;96;97;98;99},{100000;130000;160000;190000;220000;250000;300000;350000;400000;450000;500000;600000;700000;800000;900000;1000000;1500000;2000000;3000000;4000000;5000000;6500000;8000000;10000000;12500000;15000000;20000000;25000000;30000000;35000000;40000000;55000000;70000000;80000000;90000000;110000000;130000000;160000000;190000000;220000000;250000000;280000000;310000000;340000000;400000000})</f>
        <v>20000000</v>
      </c>
      <c r="J57" s="7" t="n">
        <f aca="false">I57*S57*T57*U57</f>
        <v>14280000</v>
      </c>
      <c r="K57" s="8"/>
      <c r="L57" s="3"/>
      <c r="M57" s="8"/>
      <c r="N57" s="9" t="n">
        <v>2</v>
      </c>
      <c r="O57" s="4" t="n">
        <v>0</v>
      </c>
      <c r="P57" s="5" t="n">
        <f aca="false">IF(COUNTIF([1]Base_Jugadores!J$2:J$500,B57)&gt;0,1,0)</f>
        <v>0</v>
      </c>
      <c r="Q57" s="10" t="b">
        <f aca="false">--(COUNTIFS(
   [1]Fichajes_Realizados!A$2:A$5000,A57,
   [1]Fichajes_Realizados!G$2:G$5000,$X$3
)&gt;0)</f>
        <v>0</v>
      </c>
      <c r="R57" s="5" t="n">
        <f aca="false">_xlfn.XLOOKUP(C57, [1]Estado_Equipos!A$2:A$500, [1]Estado_Equipos!J$2:J$500, "")</f>
        <v>83</v>
      </c>
      <c r="S57" s="5" t="n">
        <f aca="false">IF(H57&lt;=16,1.45,
IF(H57&gt;=41,0.3,
CHOOSE(ROUNDDOWN((H57-16)/2,0)+1,
1.45,1.38,1.3,1.23,1.17,1.15,1.12,1.05,0.95,0.8,0.6,0.4,0.3)))</f>
        <v>1.12</v>
      </c>
      <c r="T57" s="5" t="n">
        <f aca="false">CHOOSE(N57+1,1.2,1,0.85,0.7)</f>
        <v>0.85</v>
      </c>
      <c r="U57" s="5" t="n">
        <f aca="false">IF(F57="PO",0.6,
IF(F57="CT",0.75,
IF(F57="LI",0.8,
IF(F57="LD",0.8,
IF(F57="MCD",0.85,
IF(F57="MC",0.95,
IF(F57="MO",1.05,
IF(F57="EI",1.1,
IF(F57="ED",1.1,
IF(F57="SD",1.15,
IF(F57="DC",1.2,0)))))))))))</f>
        <v>0.75</v>
      </c>
    </row>
    <row r="58" customFormat="false" ht="16.4" hidden="false" customHeight="false" outlineLevel="0" collapsed="false">
      <c r="A58" s="1" t="n">
        <v>57</v>
      </c>
      <c r="B58" s="5" t="str">
        <f aca="false">[1]Base_Jugadores!B58</f>
        <v>Giacomo Raspadori</v>
      </c>
      <c r="C58" s="5" t="str">
        <f aca="false">IFERROR(
   _xlfn.XLOOKUP(VALUE(A58),[1]Fichajes_Realizados!A$2:A$50000,[1]Fichajes_Realizados!D$2:D$50000,,0,-1),
   _xlfn.XLOOKUP(VALUE(A58),[1]Base_Jugadores!A$2:A$50000,[1]Base_Jugadores!C$2:C$50000)
)</f>
        <v>Atlético de Madrid</v>
      </c>
      <c r="D58" s="5" t="str">
        <f aca="false">[1]Base_Jugadores!D58</f>
        <v>Italia</v>
      </c>
      <c r="E58" s="3"/>
      <c r="F58" s="5" t="str">
        <f aca="false">[1]Base_Jugadores!E58</f>
        <v>SD</v>
      </c>
      <c r="G58" s="5" t="n">
        <f aca="false">[1]Base_Jugadores!F58</f>
        <v>80</v>
      </c>
      <c r="H58" s="5" t="n">
        <f aca="false">[1]Base_Jugadores!G58</f>
        <v>25</v>
      </c>
      <c r="I58" s="7" t="n">
        <f aca="false" t="array" ref="I58:I58">_xlfn.XLOOKUP(G58,{55;56;57;58;59;60;61;62;63;64;65;66;67;68;69;70;71;72;73;74;75;76;77;78;79;80;81;82;83;84;85;86;87;88;89;90;91;92;93;94;95;96;97;98;99},{100000;130000;160000;190000;220000;250000;300000;350000;400000;450000;500000;600000;700000;800000;900000;1000000;1500000;2000000;3000000;4000000;5000000;6500000;8000000;10000000;12500000;15000000;20000000;25000000;30000000;35000000;40000000;55000000;70000000;80000000;90000000;110000000;130000000;160000000;190000000;220000000;250000000;280000000;310000000;340000000;400000000})</f>
        <v>15000000</v>
      </c>
      <c r="J58" s="7" t="n">
        <f aca="false">I58*S58*T58*U58</f>
        <v>17155125</v>
      </c>
      <c r="K58" s="8"/>
      <c r="L58" s="3"/>
      <c r="M58" s="8"/>
      <c r="N58" s="9" t="n">
        <v>2</v>
      </c>
      <c r="O58" s="4" t="n">
        <v>0</v>
      </c>
      <c r="P58" s="5" t="n">
        <f aca="false">IF(COUNTIF([1]Base_Jugadores!J$2:J$500,B58)&gt;0,1,0)</f>
        <v>0</v>
      </c>
      <c r="Q58" s="10" t="b">
        <f aca="false">--(COUNTIFS(
   [1]Fichajes_Realizados!A$2:A$5000,A58,
   [1]Fichajes_Realizados!G$2:G$5000,$X$3
)&gt;0)</f>
        <v>0</v>
      </c>
      <c r="R58" s="5" t="n">
        <f aca="false">_xlfn.XLOOKUP(C58, [1]Estado_Equipos!A$2:A$500, [1]Estado_Equipos!J$2:J$500, "")</f>
        <v>83</v>
      </c>
      <c r="S58" s="5" t="n">
        <f aca="false">IF(H58&lt;=16,1.45,
IF(H58&gt;=41,0.3,
CHOOSE(ROUNDDOWN((H58-16)/2,0)+1,
1.45,1.38,1.3,1.23,1.17,1.15,1.12,1.05,0.95,0.8,0.6,0.4,0.3)))</f>
        <v>1.17</v>
      </c>
      <c r="T58" s="5" t="n">
        <f aca="false">CHOOSE(N58+1,1.2,1,0.85,0.7)</f>
        <v>0.85</v>
      </c>
      <c r="U58" s="5" t="n">
        <f aca="false">IF(F58="PO",0.6,
IF(F58="CT",0.75,
IF(F58="LI",0.8,
IF(F58="LD",0.8,
IF(F58="MCD",0.85,
IF(F58="MC",0.95,
IF(F58="MO",1.05,
IF(F58="EI",1.1,
IF(F58="ED",1.1,
IF(F58="SD",1.15,
IF(F58="DC",1.2,0)))))))))))</f>
        <v>1.15</v>
      </c>
    </row>
    <row r="59" customFormat="false" ht="16.4" hidden="false" customHeight="false" outlineLevel="0" collapsed="false">
      <c r="A59" s="1" t="n">
        <v>58</v>
      </c>
      <c r="B59" s="5" t="str">
        <f aca="false">[1]Base_Jugadores!B59</f>
        <v>Giuliano Simeone</v>
      </c>
      <c r="C59" s="5" t="str">
        <f aca="false">IFERROR(
   _xlfn.XLOOKUP(VALUE(A59),[1]Fichajes_Realizados!A$2:A$50000,[1]Fichajes_Realizados!D$2:D$50000,,0,-1),
   _xlfn.XLOOKUP(VALUE(A59),[1]Base_Jugadores!A$2:A$50000,[1]Base_Jugadores!C$2:C$50000)
)</f>
        <v>Atlético de Madrid</v>
      </c>
      <c r="D59" s="5" t="str">
        <f aca="false">[1]Base_Jugadores!D59</f>
        <v>Argentina</v>
      </c>
      <c r="E59" s="3"/>
      <c r="F59" s="5" t="str">
        <f aca="false">[1]Base_Jugadores!E59</f>
        <v>ED</v>
      </c>
      <c r="G59" s="5" t="n">
        <f aca="false">[1]Base_Jugadores!F59</f>
        <v>78</v>
      </c>
      <c r="H59" s="5" t="n">
        <f aca="false">[1]Base_Jugadores!G59</f>
        <v>23</v>
      </c>
      <c r="I59" s="7" t="n">
        <f aca="false" t="array" ref="I59:I59">_xlfn.XLOOKUP(G59,{55;56;57;58;59;60;61;62;63;64;65;66;67;68;69;70;71;72;73;74;75;76;77;78;79;80;81;82;83;84;85;86;87;88;89;90;91;92;93;94;95;96;97;98;99},{100000;130000;160000;190000;220000;250000;300000;350000;400000;450000;500000;600000;700000;800000;900000;1000000;1500000;2000000;3000000;4000000;5000000;6500000;8000000;10000000;12500000;15000000;20000000;25000000;30000000;35000000;40000000;55000000;70000000;80000000;90000000;110000000;130000000;160000000;190000000;220000000;250000000;280000000;310000000;340000000;400000000})</f>
        <v>10000000</v>
      </c>
      <c r="J59" s="7" t="n">
        <f aca="false">I59*S59*T59*U59</f>
        <v>16236000</v>
      </c>
      <c r="K59" s="8"/>
      <c r="L59" s="3"/>
      <c r="M59" s="8"/>
      <c r="N59" s="9" t="n">
        <v>0</v>
      </c>
      <c r="O59" s="4" t="n">
        <v>0</v>
      </c>
      <c r="P59" s="5" t="n">
        <f aca="false">IF(COUNTIF([1]Base_Jugadores!J$2:J$500,B59)&gt;0,1,0)</f>
        <v>0</v>
      </c>
      <c r="Q59" s="10" t="b">
        <f aca="false">--(COUNTIFS(
   [1]Fichajes_Realizados!A$2:A$5000,A59,
   [1]Fichajes_Realizados!G$2:G$5000,$X$3
)&gt;0)</f>
        <v>0</v>
      </c>
      <c r="R59" s="5" t="n">
        <f aca="false">_xlfn.XLOOKUP(C59, [1]Estado_Equipos!A$2:A$500, [1]Estado_Equipos!J$2:J$500, "")</f>
        <v>83</v>
      </c>
      <c r="S59" s="5" t="n">
        <f aca="false">IF(H59&lt;=16,1.45,
IF(H59&gt;=41,0.3,
CHOOSE(ROUNDDOWN((H59-16)/2,0)+1,
1.45,1.38,1.3,1.23,1.17,1.15,1.12,1.05,0.95,0.8,0.6,0.4,0.3)))</f>
        <v>1.23</v>
      </c>
      <c r="T59" s="5" t="n">
        <f aca="false">CHOOSE(N59+1,1.2,1,0.85,0.7)</f>
        <v>1.2</v>
      </c>
      <c r="U59" s="5" t="n">
        <f aca="false">IF(F59="PO",0.6,
IF(F59="CT",0.75,
IF(F59="LI",0.8,
IF(F59="LD",0.8,
IF(F59="MCD",0.85,
IF(F59="MC",0.95,
IF(F59="MO",1.05,
IF(F59="EI",1.1,
IF(F59="ED",1.1,
IF(F59="SD",1.15,
IF(F59="DC",1.2,0)))))))))))</f>
        <v>1.1</v>
      </c>
    </row>
    <row r="60" customFormat="false" ht="16.4" hidden="false" customHeight="false" outlineLevel="0" collapsed="false">
      <c r="A60" s="1" t="n">
        <v>59</v>
      </c>
      <c r="B60" s="5" t="str">
        <f aca="false">[1]Base_Jugadores!B60</f>
        <v>Ilias Kostis</v>
      </c>
      <c r="C60" s="5" t="str">
        <f aca="false">IFERROR(
   _xlfn.XLOOKUP(VALUE(A60),[1]Fichajes_Realizados!A$2:A$50000,[1]Fichajes_Realizados!D$2:D$50000,,0,-1),
   _xlfn.XLOOKUP(VALUE(A60),[1]Base_Jugadores!A$2:A$50000,[1]Base_Jugadores!C$2:C$50000)
)</f>
        <v>Atlético de Madrid</v>
      </c>
      <c r="D60" s="5" t="str">
        <f aca="false">[1]Base_Jugadores!D60</f>
        <v>Grecia</v>
      </c>
      <c r="E60" s="3"/>
      <c r="F60" s="5" t="str">
        <f aca="false">[1]Base_Jugadores!E60</f>
        <v>CT</v>
      </c>
      <c r="G60" s="5" t="n">
        <f aca="false">[1]Base_Jugadores!F60</f>
        <v>69</v>
      </c>
      <c r="H60" s="5" t="n">
        <f aca="false">[1]Base_Jugadores!G60</f>
        <v>22</v>
      </c>
      <c r="I60" s="7" t="n">
        <f aca="false" t="array" ref="I60:I60">_xlfn.XLOOKUP(G60,{55;56;57;58;59;60;61;62;63;64;65;66;67;68;69;70;71;72;73;74;75;76;77;78;79;80;81;82;83;84;85;86;87;88;89;90;91;92;93;94;95;96;97;98;99},{100000;130000;160000;190000;220000;250000;300000;350000;400000;450000;500000;600000;700000;800000;900000;1000000;1500000;2000000;3000000;4000000;5000000;6500000;8000000;10000000;12500000;15000000;20000000;25000000;30000000;35000000;40000000;55000000;70000000;80000000;90000000;110000000;130000000;160000000;190000000;220000000;250000000;280000000;310000000;340000000;400000000})</f>
        <v>900000</v>
      </c>
      <c r="J60" s="7" t="n">
        <f aca="false">I60*S60*T60*U60</f>
        <v>705712.5</v>
      </c>
      <c r="K60" s="8"/>
      <c r="L60" s="3"/>
      <c r="M60" s="8"/>
      <c r="N60" s="9" t="n">
        <v>2</v>
      </c>
      <c r="O60" s="4" t="n">
        <v>1</v>
      </c>
      <c r="P60" s="5" t="n">
        <f aca="false">IF(COUNTIF([1]Base_Jugadores!J$2:J$500,B60)&gt;0,1,0)</f>
        <v>0</v>
      </c>
      <c r="Q60" s="10" t="b">
        <f aca="false">--(COUNTIFS(
   [1]Fichajes_Realizados!A$2:A$5000,A60,
   [1]Fichajes_Realizados!G$2:G$5000,$X$3
)&gt;0)</f>
        <v>0</v>
      </c>
      <c r="R60" s="5" t="n">
        <f aca="false">_xlfn.XLOOKUP(C60, [1]Estado_Equipos!A$2:A$500, [1]Estado_Equipos!J$2:J$500, "")</f>
        <v>83</v>
      </c>
      <c r="S60" s="5" t="n">
        <f aca="false">IF(H60&lt;=16,1.45,
IF(H60&gt;=41,0.3,
CHOOSE(ROUNDDOWN((H60-16)/2,0)+1,
1.45,1.38,1.3,1.23,1.17,1.15,1.12,1.05,0.95,0.8,0.6,0.4,0.3)))</f>
        <v>1.23</v>
      </c>
      <c r="T60" s="5" t="n">
        <f aca="false">CHOOSE(N60+1,1.2,1,0.85,0.7)</f>
        <v>0.85</v>
      </c>
      <c r="U60" s="5" t="n">
        <f aca="false">IF(F60="PO",0.6,
IF(F60="CT",0.75,
IF(F60="LI",0.8,
IF(F60="LD",0.8,
IF(F60="MCD",0.85,
IF(F60="MC",0.95,
IF(F60="MO",1.05,
IF(F60="EI",1.1,
IF(F60="ED",1.1,
IF(F60="SD",1.15,
IF(F60="DC",1.2,0)))))))))))</f>
        <v>0.75</v>
      </c>
    </row>
    <row r="61" customFormat="false" ht="16.4" hidden="false" customHeight="false" outlineLevel="0" collapsed="false">
      <c r="A61" s="1" t="n">
        <v>60</v>
      </c>
      <c r="B61" s="5" t="str">
        <f aca="false">[1]Base_Jugadores!B61</f>
        <v>Jan Oblak</v>
      </c>
      <c r="C61" s="5" t="str">
        <f aca="false">IFERROR(
   _xlfn.XLOOKUP(VALUE(A61),[1]Fichajes_Realizados!A$2:A$50000,[1]Fichajes_Realizados!D$2:D$50000,,0,-1),
   _xlfn.XLOOKUP(VALUE(A61),[1]Base_Jugadores!A$2:A$50000,[1]Base_Jugadores!C$2:C$50000)
)</f>
        <v>Atlético de Madrid</v>
      </c>
      <c r="D61" s="5" t="str">
        <f aca="false">[1]Base_Jugadores!D61</f>
        <v>Eslovenia</v>
      </c>
      <c r="E61" s="3"/>
      <c r="F61" s="5" t="str">
        <f aca="false">[1]Base_Jugadores!E61</f>
        <v>PO</v>
      </c>
      <c r="G61" s="5" t="n">
        <f aca="false">[1]Base_Jugadores!F61</f>
        <v>87</v>
      </c>
      <c r="H61" s="5" t="n">
        <f aca="false">[1]Base_Jugadores!G61</f>
        <v>32</v>
      </c>
      <c r="I61" s="7" t="n">
        <f aca="false" t="array" ref="I61:I61">_xlfn.XLOOKUP(G61,{55;56;57;58;59;60;61;62;63;64;65;66;67;68;69;70;71;72;73;74;75;76;77;78;79;80;81;82;83;84;85;86;87;88;89;90;91;92;93;94;95;96;97;98;99},{100000;130000;160000;190000;220000;250000;300000;350000;400000;450000;500000;600000;700000;800000;900000;1000000;1500000;2000000;3000000;4000000;5000000;6500000;8000000;10000000;12500000;15000000;20000000;25000000;30000000;35000000;40000000;55000000;70000000;80000000;90000000;110000000;130000000;160000000;190000000;220000000;250000000;280000000;310000000;340000000;400000000})</f>
        <v>70000000</v>
      </c>
      <c r="J61" s="7" t="n">
        <f aca="false">I61*S61*T61*U61</f>
        <v>47880000</v>
      </c>
      <c r="K61" s="3"/>
      <c r="L61" s="3"/>
      <c r="M61" s="8"/>
      <c r="N61" s="9" t="n">
        <v>0</v>
      </c>
      <c r="O61" s="4" t="n">
        <v>0</v>
      </c>
      <c r="P61" s="5" t="n">
        <f aca="false">IF(COUNTIF([1]Base_Jugadores!J$2:J$500,B61)&gt;0,1,0)</f>
        <v>0</v>
      </c>
      <c r="Q61" s="10" t="b">
        <f aca="false">--(COUNTIFS(
   [1]Fichajes_Realizados!A$2:A$5000,A61,
   [1]Fichajes_Realizados!G$2:G$5000,$X$3
)&gt;0)</f>
        <v>0</v>
      </c>
      <c r="R61" s="5" t="n">
        <f aca="false">_xlfn.XLOOKUP(C61, [1]Estado_Equipos!A$2:A$500, [1]Estado_Equipos!J$2:J$500, "")</f>
        <v>83</v>
      </c>
      <c r="S61" s="5" t="n">
        <f aca="false">IF(H61&lt;=16,1.45,
IF(H61&gt;=41,0.3,
CHOOSE(ROUNDDOWN((H61-16)/2,0)+1,
1.45,1.38,1.3,1.23,1.17,1.15,1.12,1.05,0.95,0.8,0.6,0.4,0.3)))</f>
        <v>0.95</v>
      </c>
      <c r="T61" s="5" t="n">
        <f aca="false">CHOOSE(N61+1,1.2,1,0.85,0.7)</f>
        <v>1.2</v>
      </c>
      <c r="U61" s="5" t="n">
        <f aca="false">IF(F61="PO",0.6,
IF(F61="CT",0.75,
IF(F61="LI",0.8,
IF(F61="LD",0.8,
IF(F61="MCD",0.85,
IF(F61="MC",0.95,
IF(F61="MO",1.05,
IF(F61="EI",1.1,
IF(F61="ED",1.1,
IF(F61="SD",1.15,
IF(F61="DC",1.2,0)))))))))))</f>
        <v>0.6</v>
      </c>
    </row>
    <row r="62" customFormat="false" ht="16.4" hidden="false" customHeight="false" outlineLevel="0" collapsed="false">
      <c r="A62" s="1" t="n">
        <v>61</v>
      </c>
      <c r="B62" s="5" t="str">
        <f aca="false">[1]Base_Jugadores!B62</f>
        <v>Javi Galán</v>
      </c>
      <c r="C62" s="5" t="str">
        <f aca="false">IFERROR(
   _xlfn.XLOOKUP(VALUE(A62),[1]Fichajes_Realizados!A$2:A$50000,[1]Fichajes_Realizados!D$2:D$50000,,0,-1),
   _xlfn.XLOOKUP(VALUE(A62),[1]Base_Jugadores!A$2:A$50000,[1]Base_Jugadores!C$2:C$50000)
)</f>
        <v>Atlético de Madrid</v>
      </c>
      <c r="D62" s="5" t="str">
        <f aca="false">[1]Base_Jugadores!D62</f>
        <v>España</v>
      </c>
      <c r="E62" s="3"/>
      <c r="F62" s="5" t="str">
        <f aca="false">[1]Base_Jugadores!E62</f>
        <v>LI</v>
      </c>
      <c r="G62" s="5" t="n">
        <f aca="false">[1]Base_Jugadores!F62</f>
        <v>80</v>
      </c>
      <c r="H62" s="5" t="n">
        <f aca="false">[1]Base_Jugadores!G62</f>
        <v>31</v>
      </c>
      <c r="I62" s="7" t="n">
        <f aca="false" t="array" ref="I62:I62">_xlfn.XLOOKUP(G62,{55;56;57;58;59;60;61;62;63;64;65;66;67;68;69;70;71;72;73;74;75;76;77;78;79;80;81;82;83;84;85;86;87;88;89;90;91;92;93;94;95;96;97;98;99},{100000;130000;160000;190000;220000;250000;300000;350000;400000;450000;500000;600000;700000;800000;900000;1000000;1500000;2000000;3000000;4000000;5000000;6500000;8000000;10000000;12500000;15000000;20000000;25000000;30000000;35000000;40000000;55000000;70000000;80000000;90000000;110000000;130000000;160000000;190000000;220000000;250000000;280000000;310000000;340000000;400000000})</f>
        <v>15000000</v>
      </c>
      <c r="J62" s="7" t="n">
        <f aca="false">I62*S62*T62*U62</f>
        <v>15120000</v>
      </c>
      <c r="K62" s="8"/>
      <c r="L62" s="3"/>
      <c r="M62" s="8"/>
      <c r="N62" s="9" t="n">
        <v>0</v>
      </c>
      <c r="O62" s="4" t="n">
        <v>0</v>
      </c>
      <c r="P62" s="5" t="n">
        <f aca="false">IF(COUNTIF([1]Base_Jugadores!J$2:J$500,B62)&gt;0,1,0)</f>
        <v>0</v>
      </c>
      <c r="Q62" s="10" t="b">
        <f aca="false">--(COUNTIFS(
   [1]Fichajes_Realizados!A$2:A$5000,A62,
   [1]Fichajes_Realizados!G$2:G$5000,$X$3
)&gt;0)</f>
        <v>0</v>
      </c>
      <c r="R62" s="5" t="n">
        <f aca="false">_xlfn.XLOOKUP(C62, [1]Estado_Equipos!A$2:A$500, [1]Estado_Equipos!J$2:J$500, "")</f>
        <v>83</v>
      </c>
      <c r="S62" s="5" t="n">
        <f aca="false">IF(H62&lt;=16,1.45,
IF(H62&gt;=41,0.3,
CHOOSE(ROUNDDOWN((H62-16)/2,0)+1,
1.45,1.38,1.3,1.23,1.17,1.15,1.12,1.05,0.95,0.8,0.6,0.4,0.3)))</f>
        <v>1.05</v>
      </c>
      <c r="T62" s="5" t="n">
        <f aca="false">CHOOSE(N62+1,1.2,1,0.85,0.7)</f>
        <v>1.2</v>
      </c>
      <c r="U62" s="5" t="n">
        <f aca="false">IF(F62="PO",0.6,
IF(F62="CT",0.75,
IF(F62="LI",0.8,
IF(F62="LD",0.8,
IF(F62="MCD",0.85,
IF(F62="MC",0.95,
IF(F62="MO",1.05,
IF(F62="EI",1.1,
IF(F62="ED",1.1,
IF(F62="SD",1.15,
IF(F62="DC",1.2,0)))))))))))</f>
        <v>0.8</v>
      </c>
    </row>
    <row r="63" customFormat="false" ht="16.4" hidden="false" customHeight="false" outlineLevel="0" collapsed="false">
      <c r="A63" s="1" t="n">
        <v>62</v>
      </c>
      <c r="B63" s="5" t="str">
        <f aca="false">[1]Base_Jugadores!B63</f>
        <v>Javi Serrano</v>
      </c>
      <c r="C63" s="5" t="str">
        <f aca="false">IFERROR(
   _xlfn.XLOOKUP(VALUE(A63),[1]Fichajes_Realizados!A$2:A$50000,[1]Fichajes_Realizados!D$2:D$50000,,0,-1),
   _xlfn.XLOOKUP(VALUE(A63),[1]Base_Jugadores!A$2:A$50000,[1]Base_Jugadores!C$2:C$50000)
)</f>
        <v>Atlético de Madrid</v>
      </c>
      <c r="D63" s="5" t="str">
        <f aca="false">[1]Base_Jugadores!D63</f>
        <v>España</v>
      </c>
      <c r="E63" s="3"/>
      <c r="F63" s="5" t="str">
        <f aca="false">[1]Base_Jugadores!E63</f>
        <v>MC</v>
      </c>
      <c r="G63" s="5" t="n">
        <f aca="false">[1]Base_Jugadores!F63</f>
        <v>66</v>
      </c>
      <c r="H63" s="5" t="n">
        <f aca="false">[1]Base_Jugadores!G63</f>
        <v>22</v>
      </c>
      <c r="I63" s="7" t="n">
        <f aca="false" t="array" ref="I63:I63">_xlfn.XLOOKUP(G63,{55;56;57;58;59;60;61;62;63;64;65;66;67;68;69;70;71;72;73;74;75;76;77;78;79;80;81;82;83;84;85;86;87;88;89;90;91;92;93;94;95;96;97;98;99},{100000;130000;160000;190000;220000;250000;300000;350000;400000;450000;500000;600000;700000;800000;900000;1000000;1500000;2000000;3000000;4000000;5000000;6500000;8000000;10000000;12500000;15000000;20000000;25000000;30000000;35000000;40000000;55000000;70000000;80000000;90000000;110000000;130000000;160000000;190000000;220000000;250000000;280000000;310000000;340000000;400000000})</f>
        <v>600000</v>
      </c>
      <c r="J63" s="7" t="n">
        <f aca="false">I63*S63*T63*U63</f>
        <v>595935</v>
      </c>
      <c r="K63" s="8"/>
      <c r="L63" s="3"/>
      <c r="M63" s="8"/>
      <c r="N63" s="9" t="n">
        <v>2</v>
      </c>
      <c r="O63" s="4" t="n">
        <v>1</v>
      </c>
      <c r="P63" s="5" t="n">
        <f aca="false">IF(COUNTIF([1]Base_Jugadores!J$2:J$500,B63)&gt;0,1,0)</f>
        <v>0</v>
      </c>
      <c r="Q63" s="10" t="b">
        <f aca="false">--(COUNTIFS(
   [1]Fichajes_Realizados!A$2:A$5000,A63,
   [1]Fichajes_Realizados!G$2:G$5000,$X$3
)&gt;0)</f>
        <v>0</v>
      </c>
      <c r="R63" s="5" t="n">
        <f aca="false">_xlfn.XLOOKUP(C63, [1]Estado_Equipos!A$2:A$500, [1]Estado_Equipos!J$2:J$500, "")</f>
        <v>83</v>
      </c>
      <c r="S63" s="5" t="n">
        <f aca="false">IF(H63&lt;=16,1.45,
IF(H63&gt;=41,0.3,
CHOOSE(ROUNDDOWN((H63-16)/2,0)+1,
1.45,1.38,1.3,1.23,1.17,1.15,1.12,1.05,0.95,0.8,0.6,0.4,0.3)))</f>
        <v>1.23</v>
      </c>
      <c r="T63" s="5" t="n">
        <f aca="false">CHOOSE(N63+1,1.2,1,0.85,0.7)</f>
        <v>0.85</v>
      </c>
      <c r="U63" s="5" t="n">
        <f aca="false">IF(F63="PO",0.6,
IF(F63="CT",0.75,
IF(F63="LI",0.8,
IF(F63="LD",0.8,
IF(F63="MCD",0.85,
IF(F63="MC",0.95,
IF(F63="MO",1.05,
IF(F63="EI",1.1,
IF(F63="ED",1.1,
IF(F63="SD",1.15,
IF(F63="DC",1.2,0)))))))))))</f>
        <v>0.95</v>
      </c>
    </row>
    <row r="64" customFormat="false" ht="16.4" hidden="false" customHeight="false" outlineLevel="0" collapsed="false">
      <c r="A64" s="1" t="n">
        <v>63</v>
      </c>
      <c r="B64" s="5" t="str">
        <f aca="false">[1]Base_Jugadores!B64</f>
        <v>Javier Boñar</v>
      </c>
      <c r="C64" s="5" t="str">
        <f aca="false">IFERROR(
   _xlfn.XLOOKUP(VALUE(A64),[1]Fichajes_Realizados!A$2:A$50000,[1]Fichajes_Realizados!D$2:D$50000,,0,-1),
   _xlfn.XLOOKUP(VALUE(A64),[1]Base_Jugadores!A$2:A$50000,[1]Base_Jugadores!C$2:C$50000)
)</f>
        <v>Atlético de Madrid</v>
      </c>
      <c r="D64" s="5" t="str">
        <f aca="false">[1]Base_Jugadores!D64</f>
        <v>España</v>
      </c>
      <c r="E64" s="3"/>
      <c r="F64" s="5" t="str">
        <f aca="false">[1]Base_Jugadores!E64</f>
        <v>LD</v>
      </c>
      <c r="G64" s="5" t="n">
        <f aca="false">[1]Base_Jugadores!F64</f>
        <v>63</v>
      </c>
      <c r="H64" s="5" t="n">
        <f aca="false">[1]Base_Jugadores!G64</f>
        <v>20</v>
      </c>
      <c r="I64" s="7" t="n">
        <f aca="false" t="array" ref="I64:I64">_xlfn.XLOOKUP(G64,{55;56;57;58;59;60;61;62;63;64;65;66;67;68;69;70;71;72;73;74;75;76;77;78;79;80;81;82;83;84;85;86;87;88;89;90;91;92;93;94;95;96;97;98;99},{100000;130000;160000;190000;220000;250000;300000;350000;400000;450000;500000;600000;700000;800000;900000;1000000;1500000;2000000;3000000;4000000;5000000;6500000;8000000;10000000;12500000;15000000;20000000;25000000;30000000;35000000;40000000;55000000;70000000;80000000;90000000;110000000;130000000;160000000;190000000;220000000;250000000;280000000;310000000;340000000;400000000})</f>
        <v>400000</v>
      </c>
      <c r="J64" s="7" t="n">
        <f aca="false">I64*S64*T64*U64</f>
        <v>353600</v>
      </c>
      <c r="K64" s="8"/>
      <c r="L64" s="3"/>
      <c r="M64" s="8"/>
      <c r="N64" s="9" t="n">
        <v>2</v>
      </c>
      <c r="O64" s="4" t="n">
        <v>1</v>
      </c>
      <c r="P64" s="5" t="n">
        <f aca="false">IF(COUNTIF([1]Base_Jugadores!J$2:J$500,B64)&gt;0,1,0)</f>
        <v>0</v>
      </c>
      <c r="Q64" s="10" t="b">
        <f aca="false">--(COUNTIFS(
   [1]Fichajes_Realizados!A$2:A$5000,A64,
   [1]Fichajes_Realizados!G$2:G$5000,$X$3
)&gt;0)</f>
        <v>0</v>
      </c>
      <c r="R64" s="5" t="n">
        <f aca="false">_xlfn.XLOOKUP(C64, [1]Estado_Equipos!A$2:A$500, [1]Estado_Equipos!J$2:J$500, "")</f>
        <v>83</v>
      </c>
      <c r="S64" s="5" t="n">
        <f aca="false">IF(H64&lt;=16,1.45,
IF(H64&gt;=41,0.3,
CHOOSE(ROUNDDOWN((H64-16)/2,0)+1,
1.45,1.38,1.3,1.23,1.17,1.15,1.12,1.05,0.95,0.8,0.6,0.4,0.3)))</f>
        <v>1.3</v>
      </c>
      <c r="T64" s="5" t="n">
        <f aca="false">CHOOSE(N64+1,1.2,1,0.85,0.7)</f>
        <v>0.85</v>
      </c>
      <c r="U64" s="5" t="n">
        <f aca="false">IF(F64="PO",0.6,
IF(F64="CT",0.75,
IF(F64="LI",0.8,
IF(F64="LD",0.8,
IF(F64="MCD",0.85,
IF(F64="MC",0.95,
IF(F64="MO",1.05,
IF(F64="EI",1.1,
IF(F64="ED",1.1,
IF(F64="SD",1.15,
IF(F64="DC",1.2,0)))))))))))</f>
        <v>0.8</v>
      </c>
    </row>
    <row r="65" customFormat="false" ht="16.4" hidden="false" customHeight="false" outlineLevel="0" collapsed="false">
      <c r="A65" s="1" t="n">
        <v>64</v>
      </c>
      <c r="B65" s="5" t="str">
        <f aca="false">[1]Base_Jugadores!B65</f>
        <v>Johnny Cardoso</v>
      </c>
      <c r="C65" s="5" t="str">
        <f aca="false">IFERROR(
   _xlfn.XLOOKUP(VALUE(A65),[1]Fichajes_Realizados!A$2:A$50000,[1]Fichajes_Realizados!D$2:D$50000,,0,-1),
   _xlfn.XLOOKUP(VALUE(A65),[1]Base_Jugadores!A$2:A$50000,[1]Base_Jugadores!C$2:C$50000)
)</f>
        <v>Atlético de Madrid</v>
      </c>
      <c r="D65" s="5" t="str">
        <f aca="false">[1]Base_Jugadores!D65</f>
        <v>Estados Unidos</v>
      </c>
      <c r="E65" s="3"/>
      <c r="F65" s="5" t="str">
        <f aca="false">[1]Base_Jugadores!E65</f>
        <v>MCD</v>
      </c>
      <c r="G65" s="5" t="n">
        <f aca="false">[1]Base_Jugadores!F65</f>
        <v>80</v>
      </c>
      <c r="H65" s="5" t="n">
        <f aca="false">[1]Base_Jugadores!G65</f>
        <v>24</v>
      </c>
      <c r="I65" s="7" t="n">
        <f aca="false" t="array" ref="I65:I65">_xlfn.XLOOKUP(G65,{55;56;57;58;59;60;61;62;63;64;65;66;67;68;69;70;71;72;73;74;75;76;77;78;79;80;81;82;83;84;85;86;87;88;89;90;91;92;93;94;95;96;97;98;99},{100000;130000;160000;190000;220000;250000;300000;350000;400000;450000;500000;600000;700000;800000;900000;1000000;1500000;2000000;3000000;4000000;5000000;6500000;8000000;10000000;12500000;15000000;20000000;25000000;30000000;35000000;40000000;55000000;70000000;80000000;90000000;110000000;130000000;160000000;190000000;220000000;250000000;280000000;310000000;340000000;400000000})</f>
        <v>15000000</v>
      </c>
      <c r="J65" s="7" t="n">
        <f aca="false">I65*S65*T65*U65</f>
        <v>17901000</v>
      </c>
      <c r="K65" s="8"/>
      <c r="L65" s="3"/>
      <c r="M65" s="8"/>
      <c r="N65" s="9" t="n">
        <v>0</v>
      </c>
      <c r="O65" s="4" t="n">
        <v>0</v>
      </c>
      <c r="P65" s="5" t="n">
        <f aca="false">IF(COUNTIF([1]Base_Jugadores!J$2:J$500,B65)&gt;0,1,0)</f>
        <v>0</v>
      </c>
      <c r="Q65" s="10" t="b">
        <f aca="false">--(COUNTIFS(
   [1]Fichajes_Realizados!A$2:A$5000,A65,
   [1]Fichajes_Realizados!G$2:G$5000,$X$3
)&gt;0)</f>
        <v>0</v>
      </c>
      <c r="R65" s="5" t="n">
        <f aca="false">_xlfn.XLOOKUP(C65, [1]Estado_Equipos!A$2:A$500, [1]Estado_Equipos!J$2:J$500, "")</f>
        <v>83</v>
      </c>
      <c r="S65" s="5" t="n">
        <f aca="false">IF(H65&lt;=16,1.45,
IF(H65&gt;=41,0.3,
CHOOSE(ROUNDDOWN((H65-16)/2,0)+1,
1.45,1.38,1.3,1.23,1.17,1.15,1.12,1.05,0.95,0.8,0.6,0.4,0.3)))</f>
        <v>1.17</v>
      </c>
      <c r="T65" s="5" t="n">
        <f aca="false">CHOOSE(N65+1,1.2,1,0.85,0.7)</f>
        <v>1.2</v>
      </c>
      <c r="U65" s="5" t="n">
        <f aca="false">IF(F65="PO",0.6,
IF(F65="CT",0.75,
IF(F65="LI",0.8,
IF(F65="LD",0.8,
IF(F65="MCD",0.85,
IF(F65="MC",0.95,
IF(F65="MO",1.05,
IF(F65="EI",1.1,
IF(F65="ED",1.1,
IF(F65="SD",1.15,
IF(F65="DC",1.2,0)))))))))))</f>
        <v>0.85</v>
      </c>
    </row>
    <row r="66" customFormat="false" ht="16.4" hidden="false" customHeight="false" outlineLevel="0" collapsed="false">
      <c r="A66" s="1" t="n">
        <v>65</v>
      </c>
      <c r="B66" s="5" t="str">
        <f aca="false">[1]Base_Jugadores!B66</f>
        <v>José María Giménez</v>
      </c>
      <c r="C66" s="5" t="str">
        <f aca="false">IFERROR(
   _xlfn.XLOOKUP(VALUE(A66),[1]Fichajes_Realizados!A$2:A$50000,[1]Fichajes_Realizados!D$2:D$50000,,0,-1),
   _xlfn.XLOOKUP(VALUE(A66),[1]Base_Jugadores!A$2:A$50000,[1]Base_Jugadores!C$2:C$50000)
)</f>
        <v>Atlético de Madrid</v>
      </c>
      <c r="D66" s="5" t="str">
        <f aca="false">[1]Base_Jugadores!D66</f>
        <v>Uruguay</v>
      </c>
      <c r="E66" s="3"/>
      <c r="F66" s="5" t="str">
        <f aca="false">[1]Base_Jugadores!E66</f>
        <v>CT</v>
      </c>
      <c r="G66" s="5" t="n">
        <f aca="false">[1]Base_Jugadores!F66</f>
        <v>83</v>
      </c>
      <c r="H66" s="5" t="n">
        <f aca="false">[1]Base_Jugadores!G66</f>
        <v>30</v>
      </c>
      <c r="I66" s="7" t="n">
        <f aca="false" t="array" ref="I66:I66">_xlfn.XLOOKUP(G66,{55;56;57;58;59;60;61;62;63;64;65;66;67;68;69;70;71;72;73;74;75;76;77;78;79;80;81;82;83;84;85;86;87;88;89;90;91;92;93;94;95;96;97;98;99},{100000;130000;160000;190000;220000;250000;300000;350000;400000;450000;500000;600000;700000;800000;900000;1000000;1500000;2000000;3000000;4000000;5000000;6500000;8000000;10000000;12500000;15000000;20000000;25000000;30000000;35000000;40000000;55000000;70000000;80000000;90000000;110000000;130000000;160000000;190000000;220000000;250000000;280000000;310000000;340000000;400000000})</f>
        <v>30000000</v>
      </c>
      <c r="J66" s="7" t="n">
        <f aca="false">I66*S66*T66*U66</f>
        <v>28350000</v>
      </c>
      <c r="K66" s="8"/>
      <c r="L66" s="3"/>
      <c r="M66" s="8"/>
      <c r="N66" s="9" t="n">
        <v>0</v>
      </c>
      <c r="O66" s="4" t="n">
        <v>0</v>
      </c>
      <c r="P66" s="5" t="n">
        <f aca="false">IF(COUNTIF([1]Base_Jugadores!J$2:J$500,B66)&gt;0,1,0)</f>
        <v>0</v>
      </c>
      <c r="Q66" s="10" t="b">
        <f aca="false">--(COUNTIFS(
   [1]Fichajes_Realizados!A$2:A$5000,A66,
   [1]Fichajes_Realizados!G$2:G$5000,$X$3
)&gt;0)</f>
        <v>0</v>
      </c>
      <c r="R66" s="5" t="n">
        <f aca="false">_xlfn.XLOOKUP(C66, [1]Estado_Equipos!A$2:A$500, [1]Estado_Equipos!J$2:J$500, "")</f>
        <v>83</v>
      </c>
      <c r="S66" s="5" t="n">
        <f aca="false">IF(H66&lt;=16,1.45,
IF(H66&gt;=41,0.3,
CHOOSE(ROUNDDOWN((H66-16)/2,0)+1,
1.45,1.38,1.3,1.23,1.17,1.15,1.12,1.05,0.95,0.8,0.6,0.4,0.3)))</f>
        <v>1.05</v>
      </c>
      <c r="T66" s="5" t="n">
        <f aca="false">CHOOSE(N66+1,1.2,1,0.85,0.7)</f>
        <v>1.2</v>
      </c>
      <c r="U66" s="5" t="n">
        <f aca="false">IF(F66="PO",0.6,
IF(F66="CT",0.75,
IF(F66="LI",0.8,
IF(F66="LD",0.8,
IF(F66="MCD",0.85,
IF(F66="MC",0.95,
IF(F66="MO",1.05,
IF(F66="EI",1.1,
IF(F66="ED",1.1,
IF(F66="SD",1.15,
IF(F66="DC",1.2,0)))))))))))</f>
        <v>0.75</v>
      </c>
    </row>
    <row r="67" customFormat="false" ht="16.4" hidden="false" customHeight="false" outlineLevel="0" collapsed="false">
      <c r="A67" s="1" t="n">
        <v>66</v>
      </c>
      <c r="B67" s="5" t="str">
        <f aca="false">[1]Base_Jugadores!B67</f>
        <v>Juan Musso</v>
      </c>
      <c r="C67" s="5" t="str">
        <f aca="false">IFERROR(
   _xlfn.XLOOKUP(VALUE(A67),[1]Fichajes_Realizados!A$2:A$50000,[1]Fichajes_Realizados!D$2:D$50000,,0,-1),
   _xlfn.XLOOKUP(VALUE(A67),[1]Base_Jugadores!A$2:A$50000,[1]Base_Jugadores!C$2:C$50000)
)</f>
        <v>Atlético de Madrid</v>
      </c>
      <c r="D67" s="5" t="str">
        <f aca="false">[1]Base_Jugadores!D67</f>
        <v>Argentina</v>
      </c>
      <c r="E67" s="3"/>
      <c r="F67" s="5" t="str">
        <f aca="false">[1]Base_Jugadores!E67</f>
        <v>PO</v>
      </c>
      <c r="G67" s="5" t="n">
        <f aca="false">[1]Base_Jugadores!F67</f>
        <v>81</v>
      </c>
      <c r="H67" s="5" t="n">
        <f aca="false">[1]Base_Jugadores!G67</f>
        <v>31</v>
      </c>
      <c r="I67" s="7" t="n">
        <f aca="false" t="array" ref="I67:I67">_xlfn.XLOOKUP(G67,{55;56;57;58;59;60;61;62;63;64;65;66;67;68;69;70;71;72;73;74;75;76;77;78;79;80;81;82;83;84;85;86;87;88;89;90;91;92;93;94;95;96;97;98;99},{100000;130000;160000;190000;220000;250000;300000;350000;400000;450000;500000;600000;700000;800000;900000;1000000;1500000;2000000;3000000;4000000;5000000;6500000;8000000;10000000;12500000;15000000;20000000;25000000;30000000;35000000;40000000;55000000;70000000;80000000;90000000;110000000;130000000;160000000;190000000;220000000;250000000;280000000;310000000;340000000;400000000})</f>
        <v>20000000</v>
      </c>
      <c r="J67" s="7" t="n">
        <f aca="false">I67*S67*T67*U67</f>
        <v>12600000</v>
      </c>
      <c r="K67" s="8"/>
      <c r="L67" s="3"/>
      <c r="M67" s="8"/>
      <c r="N67" s="9" t="n">
        <v>1</v>
      </c>
      <c r="O67" s="4" t="n">
        <v>0</v>
      </c>
      <c r="P67" s="5" t="n">
        <f aca="false">IF(COUNTIF([1]Base_Jugadores!J$2:J$500,B67)&gt;0,1,0)</f>
        <v>0</v>
      </c>
      <c r="Q67" s="10" t="b">
        <f aca="false">--(COUNTIFS(
   [1]Fichajes_Realizados!A$2:A$5000,A67,
   [1]Fichajes_Realizados!G$2:G$5000,$X$3
)&gt;0)</f>
        <v>0</v>
      </c>
      <c r="R67" s="5" t="n">
        <f aca="false">_xlfn.XLOOKUP(C67, [1]Estado_Equipos!A$2:A$500, [1]Estado_Equipos!J$2:J$500, "")</f>
        <v>83</v>
      </c>
      <c r="S67" s="5" t="n">
        <f aca="false">IF(H67&lt;=16,1.45,
IF(H67&gt;=41,0.3,
CHOOSE(ROUNDDOWN((H67-16)/2,0)+1,
1.45,1.38,1.3,1.23,1.17,1.15,1.12,1.05,0.95,0.8,0.6,0.4,0.3)))</f>
        <v>1.05</v>
      </c>
      <c r="T67" s="5" t="n">
        <f aca="false">CHOOSE(N67+1,1.2,1,0.85,0.7)</f>
        <v>1</v>
      </c>
      <c r="U67" s="5" t="n">
        <f aca="false">IF(F67="PO",0.6,
IF(F67="CT",0.75,
IF(F67="LI",0.8,
IF(F67="LD",0.8,
IF(F67="MCD",0.85,
IF(F67="MC",0.95,
IF(F67="MO",1.05,
IF(F67="EI",1.1,
IF(F67="ED",1.1,
IF(F67="SD",1.15,
IF(F67="DC",1.2,0)))))))))))</f>
        <v>0.6</v>
      </c>
    </row>
    <row r="68" customFormat="false" ht="16.4" hidden="false" customHeight="false" outlineLevel="0" collapsed="false">
      <c r="A68" s="1" t="n">
        <v>67</v>
      </c>
      <c r="B68" s="5" t="str">
        <f aca="false">[1]Base_Jugadores!B68</f>
        <v>Julián Alvarez</v>
      </c>
      <c r="C68" s="5" t="str">
        <f aca="false">IFERROR(
   _xlfn.XLOOKUP(VALUE(A68),[1]Fichajes_Realizados!A$2:A$50000,[1]Fichajes_Realizados!D$2:D$50000,,0,-1),
   _xlfn.XLOOKUP(VALUE(A68),[1]Base_Jugadores!A$2:A$50000,[1]Base_Jugadores!C$2:C$50000)
)</f>
        <v>Atlético de Madrid</v>
      </c>
      <c r="D68" s="5" t="str">
        <f aca="false">[1]Base_Jugadores!D68</f>
        <v>Argentina</v>
      </c>
      <c r="E68" s="3"/>
      <c r="F68" s="5" t="str">
        <f aca="false">[1]Base_Jugadores!E68</f>
        <v>DC</v>
      </c>
      <c r="G68" s="5" t="n">
        <f aca="false">[1]Base_Jugadores!F68</f>
        <v>84</v>
      </c>
      <c r="H68" s="5" t="n">
        <f aca="false">[1]Base_Jugadores!G68</f>
        <v>25</v>
      </c>
      <c r="I68" s="7" t="n">
        <f aca="false" t="array" ref="I68:I68">_xlfn.XLOOKUP(G68,{55;56;57;58;59;60;61;62;63;64;65;66;67;68;69;70;71;72;73;74;75;76;77;78;79;80;81;82;83;84;85;86;87;88;89;90;91;92;93;94;95;96;97;98;99},{100000;130000;160000;190000;220000;250000;300000;350000;400000;450000;500000;600000;700000;800000;900000;1000000;1500000;2000000;3000000;4000000;5000000;6500000;8000000;10000000;12500000;15000000;20000000;25000000;30000000;35000000;40000000;55000000;70000000;80000000;90000000;110000000;130000000;160000000;190000000;220000000;250000000;280000000;310000000;340000000;400000000})</f>
        <v>35000000</v>
      </c>
      <c r="J68" s="7" t="n">
        <f aca="false">I68*S68*T68*U68</f>
        <v>58968000</v>
      </c>
      <c r="K68" s="8"/>
      <c r="L68" s="3"/>
      <c r="M68" s="8"/>
      <c r="N68" s="9" t="n">
        <v>0</v>
      </c>
      <c r="O68" s="4" t="n">
        <v>0</v>
      </c>
      <c r="P68" s="5" t="n">
        <f aca="false">IF(COUNTIF([1]Base_Jugadores!J$2:J$500,B68)&gt;0,1,0)</f>
        <v>0</v>
      </c>
      <c r="Q68" s="10" t="b">
        <f aca="false">--(COUNTIFS(
   [1]Fichajes_Realizados!A$2:A$5000,A68,
   [1]Fichajes_Realizados!G$2:G$5000,$X$3
)&gt;0)</f>
        <v>0</v>
      </c>
      <c r="R68" s="5" t="n">
        <f aca="false">_xlfn.XLOOKUP(C68, [1]Estado_Equipos!A$2:A$500, [1]Estado_Equipos!J$2:J$500, "")</f>
        <v>83</v>
      </c>
      <c r="S68" s="5" t="n">
        <f aca="false">IF(H68&lt;=16,1.45,
IF(H68&gt;=41,0.3,
CHOOSE(ROUNDDOWN((H68-16)/2,0)+1,
1.45,1.38,1.3,1.23,1.17,1.15,1.12,1.05,0.95,0.8,0.6,0.4,0.3)))</f>
        <v>1.17</v>
      </c>
      <c r="T68" s="5" t="n">
        <f aca="false">CHOOSE(N68+1,1.2,1,0.85,0.7)</f>
        <v>1.2</v>
      </c>
      <c r="U68" s="5" t="n">
        <f aca="false">IF(F68="PO",0.6,
IF(F68="CT",0.75,
IF(F68="LI",0.8,
IF(F68="LD",0.8,
IF(F68="MCD",0.85,
IF(F68="MC",0.95,
IF(F68="MO",1.05,
IF(F68="EI",1.1,
IF(F68="ED",1.1,
IF(F68="SD",1.15,
IF(F68="DC",1.2,0)))))))))))</f>
        <v>1.2</v>
      </c>
    </row>
    <row r="69" customFormat="false" ht="16.4" hidden="false" customHeight="false" outlineLevel="0" collapsed="false">
      <c r="A69" s="1" t="n">
        <v>68</v>
      </c>
      <c r="B69" s="5" t="str">
        <f aca="false">[1]Base_Jugadores!B69</f>
        <v>Koke</v>
      </c>
      <c r="C69" s="5" t="str">
        <f aca="false">IFERROR(
   _xlfn.XLOOKUP(VALUE(A69),[1]Fichajes_Realizados!A$2:A$50000,[1]Fichajes_Realizados!D$2:D$50000,,0,-1),
   _xlfn.XLOOKUP(VALUE(A69),[1]Base_Jugadores!A$2:A$50000,[1]Base_Jugadores!C$2:C$50000)
)</f>
        <v>Atlético de Madrid</v>
      </c>
      <c r="D69" s="5" t="str">
        <f aca="false">[1]Base_Jugadores!D69</f>
        <v>España</v>
      </c>
      <c r="E69" s="3"/>
      <c r="F69" s="5" t="str">
        <f aca="false">[1]Base_Jugadores!E69</f>
        <v>MC</v>
      </c>
      <c r="G69" s="5" t="n">
        <f aca="false">[1]Base_Jugadores!F69</f>
        <v>82</v>
      </c>
      <c r="H69" s="5" t="n">
        <f aca="false">[1]Base_Jugadores!G69</f>
        <v>33</v>
      </c>
      <c r="I69" s="7" t="n">
        <f aca="false" t="array" ref="I69:I69">_xlfn.XLOOKUP(G69,{55;56;57;58;59;60;61;62;63;64;65;66;67;68;69;70;71;72;73;74;75;76;77;78;79;80;81;82;83;84;85;86;87;88;89;90;91;92;93;94;95;96;97;98;99},{100000;130000;160000;190000;220000;250000;300000;350000;400000;450000;500000;600000;700000;800000;900000;1000000;1500000;2000000;3000000;4000000;5000000;6500000;8000000;10000000;12500000;15000000;20000000;25000000;30000000;35000000;40000000;55000000;70000000;80000000;90000000;110000000;130000000;160000000;190000000;220000000;250000000;280000000;310000000;340000000;400000000})</f>
        <v>25000000</v>
      </c>
      <c r="J69" s="7" t="n">
        <f aca="false">I69*S69*T69*U69</f>
        <v>27075000</v>
      </c>
      <c r="K69" s="8"/>
      <c r="L69" s="3"/>
      <c r="M69" s="8"/>
      <c r="N69" s="9" t="n">
        <v>0</v>
      </c>
      <c r="O69" s="4" t="n">
        <v>0</v>
      </c>
      <c r="P69" s="5" t="n">
        <f aca="false">IF(COUNTIF([1]Base_Jugadores!J$2:J$500,B69)&gt;0,1,0)</f>
        <v>0</v>
      </c>
      <c r="Q69" s="10" t="b">
        <f aca="false">--(COUNTIFS(
   [1]Fichajes_Realizados!A$2:A$5000,A69,
   [1]Fichajes_Realizados!G$2:G$5000,$X$3
)&gt;0)</f>
        <v>0</v>
      </c>
      <c r="R69" s="5" t="n">
        <f aca="false">_xlfn.XLOOKUP(C69, [1]Estado_Equipos!A$2:A$500, [1]Estado_Equipos!J$2:J$500, "")</f>
        <v>83</v>
      </c>
      <c r="S69" s="5" t="n">
        <f aca="false">IF(H69&lt;=16,1.45,
IF(H69&gt;=41,0.3,
CHOOSE(ROUNDDOWN((H69-16)/2,0)+1,
1.45,1.38,1.3,1.23,1.17,1.15,1.12,1.05,0.95,0.8,0.6,0.4,0.3)))</f>
        <v>0.95</v>
      </c>
      <c r="T69" s="5" t="n">
        <f aca="false">CHOOSE(N69+1,1.2,1,0.85,0.7)</f>
        <v>1.2</v>
      </c>
      <c r="U69" s="5" t="n">
        <f aca="false">IF(F69="PO",0.6,
IF(F69="CT",0.75,
IF(F69="LI",0.8,
IF(F69="LD",0.8,
IF(F69="MCD",0.85,
IF(F69="MC",0.95,
IF(F69="MO",1.05,
IF(F69="EI",1.1,
IF(F69="ED",1.1,
IF(F69="SD",1.15,
IF(F69="DC",1.2,0)))))))))))</f>
        <v>0.95</v>
      </c>
    </row>
    <row r="70" customFormat="false" ht="16.4" hidden="false" customHeight="false" outlineLevel="0" collapsed="false">
      <c r="A70" s="1" t="n">
        <v>69</v>
      </c>
      <c r="B70" s="5" t="str">
        <f aca="false">[1]Base_Jugadores!B70</f>
        <v>Marc Pubill</v>
      </c>
      <c r="C70" s="5" t="str">
        <f aca="false">IFERROR(
   _xlfn.XLOOKUP(VALUE(A70),[1]Fichajes_Realizados!A$2:A$50000,[1]Fichajes_Realizados!D$2:D$50000,,0,-1),
   _xlfn.XLOOKUP(VALUE(A70),[1]Base_Jugadores!A$2:A$50000,[1]Base_Jugadores!C$2:C$50000)
)</f>
        <v>Atlético de Madrid</v>
      </c>
      <c r="D70" s="5" t="str">
        <f aca="false">[1]Base_Jugadores!D70</f>
        <v>España</v>
      </c>
      <c r="E70" s="3"/>
      <c r="F70" s="5" t="str">
        <f aca="false">[1]Base_Jugadores!E70</f>
        <v>CT</v>
      </c>
      <c r="G70" s="5" t="n">
        <f aca="false">[1]Base_Jugadores!F70</f>
        <v>66</v>
      </c>
      <c r="H70" s="5" t="n">
        <f aca="false">[1]Base_Jugadores!G70</f>
        <v>22</v>
      </c>
      <c r="I70" s="7" t="n">
        <f aca="false" t="array" ref="I70:I70">_xlfn.XLOOKUP(G70,{55;56;57;58;59;60;61;62;63;64;65;66;67;68;69;70;71;72;73;74;75;76;77;78;79;80;81;82;83;84;85;86;87;88;89;90;91;92;93;94;95;96;97;98;99},{100000;130000;160000;190000;220000;250000;300000;350000;400000;450000;500000;600000;700000;800000;900000;1000000;1500000;2000000;3000000;4000000;5000000;6500000;8000000;10000000;12500000;15000000;20000000;25000000;30000000;35000000;40000000;55000000;70000000;80000000;90000000;110000000;130000000;160000000;190000000;220000000;250000000;280000000;310000000;340000000;400000000})</f>
        <v>600000</v>
      </c>
      <c r="J70" s="7" t="n">
        <f aca="false">I70*S70*T70*U70</f>
        <v>470475</v>
      </c>
      <c r="K70" s="8"/>
      <c r="L70" s="3"/>
      <c r="M70" s="8"/>
      <c r="N70" s="9" t="n">
        <v>2</v>
      </c>
      <c r="O70" s="4" t="n">
        <v>0</v>
      </c>
      <c r="P70" s="5" t="n">
        <f aca="false">IF(COUNTIF([1]Base_Jugadores!J$2:J$500,B70)&gt;0,1,0)</f>
        <v>0</v>
      </c>
      <c r="Q70" s="10" t="b">
        <f aca="false">--(COUNTIFS(
   [1]Fichajes_Realizados!A$2:A$5000,A70,
   [1]Fichajes_Realizados!G$2:G$5000,$X$3
)&gt;0)</f>
        <v>0</v>
      </c>
      <c r="R70" s="5" t="n">
        <f aca="false">_xlfn.XLOOKUP(C70, [1]Estado_Equipos!A$2:A$500, [1]Estado_Equipos!J$2:J$500, "")</f>
        <v>83</v>
      </c>
      <c r="S70" s="5" t="n">
        <f aca="false">IF(H70&lt;=16,1.45,
IF(H70&gt;=41,0.3,
CHOOSE(ROUNDDOWN((H70-16)/2,0)+1,
1.45,1.38,1.3,1.23,1.17,1.15,1.12,1.05,0.95,0.8,0.6,0.4,0.3)))</f>
        <v>1.23</v>
      </c>
      <c r="T70" s="5" t="n">
        <f aca="false">CHOOSE(N70+1,1.2,1,0.85,0.7)</f>
        <v>0.85</v>
      </c>
      <c r="U70" s="5" t="n">
        <f aca="false">IF(F70="PO",0.6,
IF(F70="CT",0.75,
IF(F70="LI",0.8,
IF(F70="LD",0.8,
IF(F70="MCD",0.85,
IF(F70="MC",0.95,
IF(F70="MO",1.05,
IF(F70="EI",1.1,
IF(F70="ED",1.1,
IF(F70="SD",1.15,
IF(F70="DC",1.2,0)))))))))))</f>
        <v>0.75</v>
      </c>
    </row>
    <row r="71" customFormat="false" ht="16.4" hidden="false" customHeight="false" outlineLevel="0" collapsed="false">
      <c r="A71" s="1" t="n">
        <v>70</v>
      </c>
      <c r="B71" s="5" t="str">
        <f aca="false">[1]Base_Jugadores!B71</f>
        <v>Marcos Llorente</v>
      </c>
      <c r="C71" s="5" t="str">
        <f aca="false">IFERROR(
   _xlfn.XLOOKUP(VALUE(A71),[1]Fichajes_Realizados!A$2:A$50000,[1]Fichajes_Realizados!D$2:D$50000,,0,-1),
   _xlfn.XLOOKUP(VALUE(A71),[1]Base_Jugadores!A$2:A$50000,[1]Base_Jugadores!C$2:C$50000)
)</f>
        <v>Atlético de Madrid</v>
      </c>
      <c r="D71" s="5" t="str">
        <f aca="false">[1]Base_Jugadores!D71</f>
        <v>España</v>
      </c>
      <c r="E71" s="3"/>
      <c r="F71" s="5" t="str">
        <f aca="false">[1]Base_Jugadores!E71</f>
        <v>LD</v>
      </c>
      <c r="G71" s="5" t="n">
        <f aca="false">[1]Base_Jugadores!F71</f>
        <v>84</v>
      </c>
      <c r="H71" s="5" t="n">
        <f aca="false">[1]Base_Jugadores!G71</f>
        <v>30</v>
      </c>
      <c r="I71" s="7" t="n">
        <f aca="false" t="array" ref="I71:I71">_xlfn.XLOOKUP(G71,{55;56;57;58;59;60;61;62;63;64;65;66;67;68;69;70;71;72;73;74;75;76;77;78;79;80;81;82;83;84;85;86;87;88;89;90;91;92;93;94;95;96;97;98;99},{100000;130000;160000;190000;220000;250000;300000;350000;400000;450000;500000;600000;700000;800000;900000;1000000;1500000;2000000;3000000;4000000;5000000;6500000;8000000;10000000;12500000;15000000;20000000;25000000;30000000;35000000;40000000;55000000;70000000;80000000;90000000;110000000;130000000;160000000;190000000;220000000;250000000;280000000;310000000;340000000;400000000})</f>
        <v>35000000</v>
      </c>
      <c r="J71" s="7" t="n">
        <f aca="false">I71*S71*T71*U71</f>
        <v>35280000</v>
      </c>
      <c r="K71" s="8"/>
      <c r="L71" s="3"/>
      <c r="M71" s="8"/>
      <c r="N71" s="9" t="n">
        <v>0</v>
      </c>
      <c r="O71" s="4" t="n">
        <v>0</v>
      </c>
      <c r="P71" s="5" t="n">
        <f aca="false">IF(COUNTIF([1]Base_Jugadores!J$2:J$500,B71)&gt;0,1,0)</f>
        <v>0</v>
      </c>
      <c r="Q71" s="10" t="b">
        <f aca="false">--(COUNTIFS(
   [1]Fichajes_Realizados!A$2:A$5000,A71,
   [1]Fichajes_Realizados!G$2:G$5000,$X$3
)&gt;0)</f>
        <v>0</v>
      </c>
      <c r="R71" s="5" t="n">
        <f aca="false">_xlfn.XLOOKUP(C71, [1]Estado_Equipos!A$2:A$500, [1]Estado_Equipos!J$2:J$500, "")</f>
        <v>83</v>
      </c>
      <c r="S71" s="5" t="n">
        <f aca="false">IF(H71&lt;=16,1.45,
IF(H71&gt;=41,0.3,
CHOOSE(ROUNDDOWN((H71-16)/2,0)+1,
1.45,1.38,1.3,1.23,1.17,1.15,1.12,1.05,0.95,0.8,0.6,0.4,0.3)))</f>
        <v>1.05</v>
      </c>
      <c r="T71" s="5" t="n">
        <f aca="false">CHOOSE(N71+1,1.2,1,0.85,0.7)</f>
        <v>1.2</v>
      </c>
      <c r="U71" s="5" t="n">
        <f aca="false">IF(F71="PO",0.6,
IF(F71="CT",0.75,
IF(F71="LI",0.8,
IF(F71="LD",0.8,
IF(F71="MCD",0.85,
IF(F71="MC",0.95,
IF(F71="MO",1.05,
IF(F71="EI",1.1,
IF(F71="ED",1.1,
IF(F71="SD",1.15,
IF(F71="DC",1.2,0)))))))))))</f>
        <v>0.8</v>
      </c>
    </row>
    <row r="72" customFormat="false" ht="16.4" hidden="false" customHeight="false" outlineLevel="0" collapsed="false">
      <c r="A72" s="1" t="n">
        <v>71</v>
      </c>
      <c r="B72" s="5" t="str">
        <f aca="false">[1]Base_Jugadores!B72</f>
        <v>Matteo Ruggeri</v>
      </c>
      <c r="C72" s="5" t="str">
        <f aca="false">IFERROR(
   _xlfn.XLOOKUP(VALUE(A72),[1]Fichajes_Realizados!A$2:A$50000,[1]Fichajes_Realizados!D$2:D$50000,,0,-1),
   _xlfn.XLOOKUP(VALUE(A72),[1]Base_Jugadores!A$2:A$50000,[1]Base_Jugadores!C$2:C$50000)
)</f>
        <v>Atlético de Madrid</v>
      </c>
      <c r="D72" s="5" t="str">
        <f aca="false">[1]Base_Jugadores!D72</f>
        <v>Italia</v>
      </c>
      <c r="E72" s="3"/>
      <c r="F72" s="5" t="str">
        <f aca="false">[1]Base_Jugadores!E72</f>
        <v>LI</v>
      </c>
      <c r="G72" s="5" t="n">
        <f aca="false">[1]Base_Jugadores!F72</f>
        <v>79</v>
      </c>
      <c r="H72" s="5" t="n">
        <f aca="false">[1]Base_Jugadores!G72</f>
        <v>23</v>
      </c>
      <c r="I72" s="7" t="n">
        <f aca="false" t="array" ref="I72:I72">_xlfn.XLOOKUP(G72,{55;56;57;58;59;60;61;62;63;64;65;66;67;68;69;70;71;72;73;74;75;76;77;78;79;80;81;82;83;84;85;86;87;88;89;90;91;92;93;94;95;96;97;98;99},{100000;130000;160000;190000;220000;250000;300000;350000;400000;450000;500000;600000;700000;800000;900000;1000000;1500000;2000000;3000000;4000000;5000000;6500000;8000000;10000000;12500000;15000000;20000000;25000000;30000000;35000000;40000000;55000000;70000000;80000000;90000000;110000000;130000000;160000000;190000000;220000000;250000000;280000000;310000000;340000000;400000000})</f>
        <v>12500000</v>
      </c>
      <c r="J72" s="7" t="n">
        <f aca="false">I72*S72*T72*U72</f>
        <v>10455000</v>
      </c>
      <c r="K72" s="8"/>
      <c r="L72" s="3"/>
      <c r="M72" s="8"/>
      <c r="N72" s="9" t="n">
        <v>2</v>
      </c>
      <c r="O72" s="4" t="n">
        <v>0</v>
      </c>
      <c r="P72" s="5" t="n">
        <f aca="false">IF(COUNTIF([1]Base_Jugadores!J$2:J$500,B72)&gt;0,1,0)</f>
        <v>0</v>
      </c>
      <c r="Q72" s="10" t="b">
        <f aca="false">--(COUNTIFS(
   [1]Fichajes_Realizados!A$2:A$5000,A72,
   [1]Fichajes_Realizados!G$2:G$5000,$X$3
)&gt;0)</f>
        <v>0</v>
      </c>
      <c r="R72" s="5" t="n">
        <f aca="false">_xlfn.XLOOKUP(C72, [1]Estado_Equipos!A$2:A$500, [1]Estado_Equipos!J$2:J$500, "")</f>
        <v>83</v>
      </c>
      <c r="S72" s="5" t="n">
        <f aca="false">IF(H72&lt;=16,1.45,
IF(H72&gt;=41,0.3,
CHOOSE(ROUNDDOWN((H72-16)/2,0)+1,
1.45,1.38,1.3,1.23,1.17,1.15,1.12,1.05,0.95,0.8,0.6,0.4,0.3)))</f>
        <v>1.23</v>
      </c>
      <c r="T72" s="5" t="n">
        <f aca="false">CHOOSE(N72+1,1.2,1,0.85,0.7)</f>
        <v>0.85</v>
      </c>
      <c r="U72" s="5" t="n">
        <f aca="false">IF(F72="PO",0.6,
IF(F72="CT",0.75,
IF(F72="LI",0.8,
IF(F72="LD",0.8,
IF(F72="MCD",0.85,
IF(F72="MC",0.95,
IF(F72="MO",1.05,
IF(F72="EI",1.1,
IF(F72="ED",1.1,
IF(F72="SD",1.15,
IF(F72="DC",1.2,0)))))))))))</f>
        <v>0.8</v>
      </c>
    </row>
    <row r="73" customFormat="false" ht="16.4" hidden="false" customHeight="false" outlineLevel="0" collapsed="false">
      <c r="A73" s="1" t="n">
        <v>72</v>
      </c>
      <c r="B73" s="5" t="str">
        <f aca="false">[1]Base_Jugadores!B73</f>
        <v>Nahuel Molina</v>
      </c>
      <c r="C73" s="5" t="str">
        <f aca="false">IFERROR(
   _xlfn.XLOOKUP(VALUE(A73),[1]Fichajes_Realizados!A$2:A$50000,[1]Fichajes_Realizados!D$2:D$50000,,0,-1),
   _xlfn.XLOOKUP(VALUE(A73),[1]Base_Jugadores!A$2:A$50000,[1]Base_Jugadores!C$2:C$50000)
)</f>
        <v>Atlético de Madrid</v>
      </c>
      <c r="D73" s="5" t="str">
        <f aca="false">[1]Base_Jugadores!D73</f>
        <v>Argentina</v>
      </c>
      <c r="E73" s="3"/>
      <c r="F73" s="5" t="str">
        <f aca="false">[1]Base_Jugadores!E73</f>
        <v>LD</v>
      </c>
      <c r="G73" s="5" t="n">
        <f aca="false">[1]Base_Jugadores!F73</f>
        <v>82</v>
      </c>
      <c r="H73" s="5" t="n">
        <f aca="false">[1]Base_Jugadores!G73</f>
        <v>27</v>
      </c>
      <c r="I73" s="7" t="n">
        <f aca="false" t="array" ref="I73:I73">_xlfn.XLOOKUP(G73,{55;56;57;58;59;60;61;62;63;64;65;66;67;68;69;70;71;72;73;74;75;76;77;78;79;80;81;82;83;84;85;86;87;88;89;90;91;92;93;94;95;96;97;98;99},{100000;130000;160000;190000;220000;250000;300000;350000;400000;450000;500000;600000;700000;800000;900000;1000000;1500000;2000000;3000000;4000000;5000000;6500000;8000000;10000000;12500000;15000000;20000000;25000000;30000000;35000000;40000000;55000000;70000000;80000000;90000000;110000000;130000000;160000000;190000000;220000000;250000000;280000000;310000000;340000000;400000000})</f>
        <v>25000000</v>
      </c>
      <c r="J73" s="7" t="n">
        <f aca="false">I73*S73*T73*U73</f>
        <v>23000000</v>
      </c>
      <c r="K73" s="8"/>
      <c r="L73" s="3"/>
      <c r="M73" s="8"/>
      <c r="N73" s="9" t="n">
        <v>1</v>
      </c>
      <c r="O73" s="4" t="n">
        <v>0</v>
      </c>
      <c r="P73" s="5" t="n">
        <f aca="false">IF(COUNTIF([1]Base_Jugadores!J$2:J$500,B73)&gt;0,1,0)</f>
        <v>0</v>
      </c>
      <c r="Q73" s="10" t="b">
        <f aca="false">--(COUNTIFS(
   [1]Fichajes_Realizados!A$2:A$5000,A73,
   [1]Fichajes_Realizados!G$2:G$5000,$X$3
)&gt;0)</f>
        <v>0</v>
      </c>
      <c r="R73" s="5" t="n">
        <f aca="false">_xlfn.XLOOKUP(C73, [1]Estado_Equipos!A$2:A$500, [1]Estado_Equipos!J$2:J$500, "")</f>
        <v>83</v>
      </c>
      <c r="S73" s="5" t="n">
        <f aca="false">IF(H73&lt;=16,1.45,
IF(H73&gt;=41,0.3,
CHOOSE(ROUNDDOWN((H73-16)/2,0)+1,
1.45,1.38,1.3,1.23,1.17,1.15,1.12,1.05,0.95,0.8,0.6,0.4,0.3)))</f>
        <v>1.15</v>
      </c>
      <c r="T73" s="5" t="n">
        <f aca="false">CHOOSE(N73+1,1.2,1,0.85,0.7)</f>
        <v>1</v>
      </c>
      <c r="U73" s="5" t="n">
        <f aca="false">IF(F73="PO",0.6,
IF(F73="CT",0.75,
IF(F73="LI",0.8,
IF(F73="LD",0.8,
IF(F73="MCD",0.85,
IF(F73="MC",0.95,
IF(F73="MO",1.05,
IF(F73="EI",1.1,
IF(F73="ED",1.1,
IF(F73="SD",1.15,
IF(F73="DC",1.2,0)))))))))))</f>
        <v>0.8</v>
      </c>
    </row>
    <row r="74" customFormat="false" ht="16.4" hidden="false" customHeight="false" outlineLevel="0" collapsed="false">
      <c r="A74" s="1" t="n">
        <v>73</v>
      </c>
      <c r="B74" s="5" t="str">
        <f aca="false">[1]Base_Jugadores!B74</f>
        <v>Nico I. González</v>
      </c>
      <c r="C74" s="5" t="str">
        <f aca="false">IFERROR(
   _xlfn.XLOOKUP(VALUE(A74),[1]Fichajes_Realizados!A$2:A$50000,[1]Fichajes_Realizados!D$2:D$50000,,0,-1),
   _xlfn.XLOOKUP(VALUE(A74),[1]Base_Jugadores!A$2:A$50000,[1]Base_Jugadores!C$2:C$50000)
)</f>
        <v>Atlético de Madrid</v>
      </c>
      <c r="D74" s="5" t="str">
        <f aca="false">[1]Base_Jugadores!D74</f>
        <v>Argentina</v>
      </c>
      <c r="E74" s="3"/>
      <c r="F74" s="5" t="str">
        <f aca="false">[1]Base_Jugadores!E74</f>
        <v>EI</v>
      </c>
      <c r="G74" s="5" t="n">
        <f aca="false">[1]Base_Jugadores!F74</f>
        <v>81</v>
      </c>
      <c r="H74" s="5" t="n">
        <f aca="false">[1]Base_Jugadores!G74</f>
        <v>27</v>
      </c>
      <c r="I74" s="7" t="n">
        <f aca="false" t="array" ref="I74:I74">_xlfn.XLOOKUP(G74,{55;56;57;58;59;60;61;62;63;64;65;66;67;68;69;70;71;72;73;74;75;76;77;78;79;80;81;82;83;84;85;86;87;88;89;90;91;92;93;94;95;96;97;98;99},{100000;130000;160000;190000;220000;250000;300000;350000;400000;450000;500000;600000;700000;800000;900000;1000000;1500000;2000000;3000000;4000000;5000000;6500000;8000000;10000000;12500000;15000000;20000000;25000000;30000000;35000000;40000000;55000000;70000000;80000000;90000000;110000000;130000000;160000000;190000000;220000000;250000000;280000000;310000000;340000000;400000000})</f>
        <v>20000000</v>
      </c>
      <c r="J74" s="7" t="n">
        <f aca="false">I74*S74*T74*U74</f>
        <v>25300000</v>
      </c>
      <c r="K74" s="8"/>
      <c r="L74" s="3"/>
      <c r="M74" s="8"/>
      <c r="N74" s="9" t="n">
        <v>1</v>
      </c>
      <c r="O74" s="4" t="n">
        <v>0</v>
      </c>
      <c r="P74" s="5" t="n">
        <f aca="false">IF(COUNTIF([1]Base_Jugadores!J$2:J$500,B74)&gt;0,1,0)</f>
        <v>0</v>
      </c>
      <c r="Q74" s="10" t="b">
        <f aca="false">--(COUNTIFS(
   [1]Fichajes_Realizados!A$2:A$5000,A74,
   [1]Fichajes_Realizados!G$2:G$5000,$X$3
)&gt;0)</f>
        <v>0</v>
      </c>
      <c r="R74" s="5" t="n">
        <f aca="false">_xlfn.XLOOKUP(C74, [1]Estado_Equipos!A$2:A$500, [1]Estado_Equipos!J$2:J$500, "")</f>
        <v>83</v>
      </c>
      <c r="S74" s="5" t="n">
        <f aca="false">IF(H74&lt;=16,1.45,
IF(H74&gt;=41,0.3,
CHOOSE(ROUNDDOWN((H74-16)/2,0)+1,
1.45,1.38,1.3,1.23,1.17,1.15,1.12,1.05,0.95,0.8,0.6,0.4,0.3)))</f>
        <v>1.15</v>
      </c>
      <c r="T74" s="5" t="n">
        <f aca="false">CHOOSE(N74+1,1.2,1,0.85,0.7)</f>
        <v>1</v>
      </c>
      <c r="U74" s="5" t="n">
        <f aca="false">IF(F74="PO",0.6,
IF(F74="CT",0.75,
IF(F74="LI",0.8,
IF(F74="LD",0.8,
IF(F74="MCD",0.85,
IF(F74="MC",0.95,
IF(F74="MO",1.05,
IF(F74="EI",1.1,
IF(F74="ED",1.1,
IF(F74="SD",1.15,
IF(F74="DC",1.2,0)))))))))))</f>
        <v>1.1</v>
      </c>
    </row>
    <row r="75" customFormat="false" ht="16.4" hidden="false" customHeight="false" outlineLevel="0" collapsed="false">
      <c r="A75" s="1" t="n">
        <v>74</v>
      </c>
      <c r="B75" s="5" t="str">
        <f aca="false">[1]Base_Jugadores!B75</f>
        <v>Pablo Barrios</v>
      </c>
      <c r="C75" s="5" t="str">
        <f aca="false">IFERROR(
   _xlfn.XLOOKUP(VALUE(A75),[1]Fichajes_Realizados!A$2:A$50000,[1]Fichajes_Realizados!D$2:D$50000,,0,-1),
   _xlfn.XLOOKUP(VALUE(A75),[1]Base_Jugadores!A$2:A$50000,[1]Base_Jugadores!C$2:C$50000)
)</f>
        <v>Atlético de Madrid</v>
      </c>
      <c r="D75" s="5" t="str">
        <f aca="false">[1]Base_Jugadores!D75</f>
        <v>España</v>
      </c>
      <c r="E75" s="3"/>
      <c r="F75" s="5" t="str">
        <f aca="false">[1]Base_Jugadores!E75</f>
        <v>MC</v>
      </c>
      <c r="G75" s="5" t="n">
        <f aca="false">[1]Base_Jugadores!F75</f>
        <v>77</v>
      </c>
      <c r="H75" s="5" t="n">
        <f aca="false">[1]Base_Jugadores!G75</f>
        <v>22</v>
      </c>
      <c r="I75" s="7" t="n">
        <f aca="false" t="array" ref="I75:I75">_xlfn.XLOOKUP(G75,{55;56;57;58;59;60;61;62;63;64;65;66;67;68;69;70;71;72;73;74;75;76;77;78;79;80;81;82;83;84;85;86;87;88;89;90;91;92;93;94;95;96;97;98;99},{100000;130000;160000;190000;220000;250000;300000;350000;400000;450000;500000;600000;700000;800000;900000;1000000;1500000;2000000;3000000;4000000;5000000;6500000;8000000;10000000;12500000;15000000;20000000;25000000;30000000;35000000;40000000;55000000;70000000;80000000;90000000;110000000;130000000;160000000;190000000;220000000;250000000;280000000;310000000;340000000;400000000})</f>
        <v>8000000</v>
      </c>
      <c r="J75" s="7" t="n">
        <f aca="false">I75*S75*T75*U75</f>
        <v>7945800</v>
      </c>
      <c r="K75" s="8"/>
      <c r="L75" s="3"/>
      <c r="M75" s="8"/>
      <c r="N75" s="9" t="n">
        <v>2</v>
      </c>
      <c r="O75" s="4" t="n">
        <v>0</v>
      </c>
      <c r="P75" s="5" t="n">
        <f aca="false">IF(COUNTIF([1]Base_Jugadores!J$2:J$500,B75)&gt;0,1,0)</f>
        <v>0</v>
      </c>
      <c r="Q75" s="10" t="b">
        <f aca="false">--(COUNTIFS(
   [1]Fichajes_Realizados!A$2:A$5000,A75,
   [1]Fichajes_Realizados!G$2:G$5000,$X$3
)&gt;0)</f>
        <v>0</v>
      </c>
      <c r="R75" s="5" t="n">
        <f aca="false">_xlfn.XLOOKUP(C75, [1]Estado_Equipos!A$2:A$500, [1]Estado_Equipos!J$2:J$500, "")</f>
        <v>83</v>
      </c>
      <c r="S75" s="5" t="n">
        <f aca="false">IF(H75&lt;=16,1.45,
IF(H75&gt;=41,0.3,
CHOOSE(ROUNDDOWN((H75-16)/2,0)+1,
1.45,1.38,1.3,1.23,1.17,1.15,1.12,1.05,0.95,0.8,0.6,0.4,0.3)))</f>
        <v>1.23</v>
      </c>
      <c r="T75" s="5" t="n">
        <f aca="false">CHOOSE(N75+1,1.2,1,0.85,0.7)</f>
        <v>0.85</v>
      </c>
      <c r="U75" s="5" t="n">
        <f aca="false">IF(F75="PO",0.6,
IF(F75="CT",0.75,
IF(F75="LI",0.8,
IF(F75="LD",0.8,
IF(F75="MCD",0.85,
IF(F75="MC",0.95,
IF(F75="MO",1.05,
IF(F75="EI",1.1,
IF(F75="ED",1.1,
IF(F75="SD",1.15,
IF(F75="DC",1.2,0)))))))))))</f>
        <v>0.95</v>
      </c>
    </row>
    <row r="76" customFormat="false" ht="16.4" hidden="false" customHeight="false" outlineLevel="0" collapsed="false">
      <c r="A76" s="1" t="n">
        <v>75</v>
      </c>
      <c r="B76" s="5" t="str">
        <f aca="false">[1]Base_Jugadores!B76</f>
        <v>Robin Le Normand</v>
      </c>
      <c r="C76" s="5" t="str">
        <f aca="false">IFERROR(
   _xlfn.XLOOKUP(VALUE(A76),[1]Fichajes_Realizados!A$2:A$50000,[1]Fichajes_Realizados!D$2:D$50000,,0,-1),
   _xlfn.XLOOKUP(VALUE(A76),[1]Base_Jugadores!A$2:A$50000,[1]Base_Jugadores!C$2:C$50000)
)</f>
        <v>Atlético de Madrid</v>
      </c>
      <c r="D76" s="5" t="str">
        <f aca="false">[1]Base_Jugadores!D76</f>
        <v>España</v>
      </c>
      <c r="E76" s="3"/>
      <c r="F76" s="5" t="str">
        <f aca="false">[1]Base_Jugadores!E76</f>
        <v>CT</v>
      </c>
      <c r="G76" s="5" t="n">
        <f aca="false">[1]Base_Jugadores!F76</f>
        <v>83</v>
      </c>
      <c r="H76" s="5" t="n">
        <f aca="false">[1]Base_Jugadores!G76</f>
        <v>29</v>
      </c>
      <c r="I76" s="7" t="n">
        <f aca="false" t="array" ref="I76:I76">_xlfn.XLOOKUP(G76,{55;56;57;58;59;60;61;62;63;64;65;66;67;68;69;70;71;72;73;74;75;76;77;78;79;80;81;82;83;84;85;86;87;88;89;90;91;92;93;94;95;96;97;98;99},{100000;130000;160000;190000;220000;250000;300000;350000;400000;450000;500000;600000;700000;800000;900000;1000000;1500000;2000000;3000000;4000000;5000000;6500000;8000000;10000000;12500000;15000000;20000000;25000000;30000000;35000000;40000000;55000000;70000000;80000000;90000000;110000000;130000000;160000000;190000000;220000000;250000000;280000000;310000000;340000000;400000000})</f>
        <v>30000000</v>
      </c>
      <c r="J76" s="7" t="n">
        <f aca="false">I76*S76*T76*U76</f>
        <v>30240000</v>
      </c>
      <c r="K76" s="8"/>
      <c r="L76" s="3"/>
      <c r="M76" s="8"/>
      <c r="N76" s="9" t="n">
        <v>0</v>
      </c>
      <c r="O76" s="4" t="n">
        <v>0</v>
      </c>
      <c r="P76" s="5" t="n">
        <f aca="false">IF(COUNTIF([1]Base_Jugadores!J$2:J$500,B76)&gt;0,1,0)</f>
        <v>0</v>
      </c>
      <c r="Q76" s="10" t="b">
        <f aca="false">--(COUNTIFS(
   [1]Fichajes_Realizados!A$2:A$5000,A76,
   [1]Fichajes_Realizados!G$2:G$5000,$X$3
)&gt;0)</f>
        <v>0</v>
      </c>
      <c r="R76" s="5" t="n">
        <f aca="false">_xlfn.XLOOKUP(C76, [1]Estado_Equipos!A$2:A$500, [1]Estado_Equipos!J$2:J$500, "")</f>
        <v>83</v>
      </c>
      <c r="S76" s="5" t="n">
        <f aca="false">IF(H76&lt;=16,1.45,
IF(H76&gt;=41,0.3,
CHOOSE(ROUNDDOWN((H76-16)/2,0)+1,
1.45,1.38,1.3,1.23,1.17,1.15,1.12,1.05,0.95,0.8,0.6,0.4,0.3)))</f>
        <v>1.12</v>
      </c>
      <c r="T76" s="5" t="n">
        <f aca="false">CHOOSE(N76+1,1.2,1,0.85,0.7)</f>
        <v>1.2</v>
      </c>
      <c r="U76" s="5" t="n">
        <f aca="false">IF(F76="PO",0.6,
IF(F76="CT",0.75,
IF(F76="LI",0.8,
IF(F76="LD",0.8,
IF(F76="MCD",0.85,
IF(F76="MC",0.95,
IF(F76="MO",1.05,
IF(F76="EI",1.1,
IF(F76="ED",1.1,
IF(F76="SD",1.15,
IF(F76="DC",1.2,0)))))))))))</f>
        <v>0.75</v>
      </c>
    </row>
    <row r="77" customFormat="false" ht="16.4" hidden="false" customHeight="false" outlineLevel="0" collapsed="false">
      <c r="A77" s="1" t="n">
        <v>76</v>
      </c>
      <c r="B77" s="5" t="str">
        <f aca="false">[1]Base_Jugadores!B77</f>
        <v>Thiago Almada</v>
      </c>
      <c r="C77" s="5" t="str">
        <f aca="false">IFERROR(
   _xlfn.XLOOKUP(VALUE(A77),[1]Fichajes_Realizados!A$2:A$50000,[1]Fichajes_Realizados!D$2:D$50000,,0,-1),
   _xlfn.XLOOKUP(VALUE(A77),[1]Base_Jugadores!A$2:A$50000,[1]Base_Jugadores!C$2:C$50000)
)</f>
        <v>Atlético de Madrid</v>
      </c>
      <c r="D77" s="5" t="str">
        <f aca="false">[1]Base_Jugadores!D77</f>
        <v>Argentina</v>
      </c>
      <c r="E77" s="3"/>
      <c r="F77" s="5" t="str">
        <f aca="false">[1]Base_Jugadores!E77</f>
        <v>EI</v>
      </c>
      <c r="G77" s="5" t="n">
        <f aca="false">[1]Base_Jugadores!F77</f>
        <v>81</v>
      </c>
      <c r="H77" s="5" t="n">
        <f aca="false">[1]Base_Jugadores!G77</f>
        <v>24</v>
      </c>
      <c r="I77" s="7" t="n">
        <f aca="false" t="array" ref="I77:I77">_xlfn.XLOOKUP(G77,{55;56;57;58;59;60;61;62;63;64;65;66;67;68;69;70;71;72;73;74;75;76;77;78;79;80;81;82;83;84;85;86;87;88;89;90;91;92;93;94;95;96;97;98;99},{100000;130000;160000;190000;220000;250000;300000;350000;400000;450000;500000;600000;700000;800000;900000;1000000;1500000;2000000;3000000;4000000;5000000;6500000;8000000;10000000;12500000;15000000;20000000;25000000;30000000;35000000;40000000;55000000;70000000;80000000;90000000;110000000;130000000;160000000;190000000;220000000;250000000;280000000;310000000;340000000;400000000})</f>
        <v>20000000</v>
      </c>
      <c r="J77" s="7" t="n">
        <f aca="false">I77*S77*T77*U77</f>
        <v>21879000</v>
      </c>
      <c r="K77" s="8"/>
      <c r="L77" s="3"/>
      <c r="M77" s="8"/>
      <c r="N77" s="9" t="n">
        <v>2</v>
      </c>
      <c r="O77" s="4" t="n">
        <v>0</v>
      </c>
      <c r="P77" s="5" t="n">
        <f aca="false">IF(COUNTIF([1]Base_Jugadores!J$2:J$500,B77)&gt;0,1,0)</f>
        <v>0</v>
      </c>
      <c r="Q77" s="10" t="b">
        <f aca="false">--(COUNTIFS(
   [1]Fichajes_Realizados!A$2:A$5000,A77,
   [1]Fichajes_Realizados!G$2:G$5000,$X$3
)&gt;0)</f>
        <v>0</v>
      </c>
      <c r="R77" s="5" t="n">
        <f aca="false">_xlfn.XLOOKUP(C77, [1]Estado_Equipos!A$2:A$500, [1]Estado_Equipos!J$2:J$500, "")</f>
        <v>83</v>
      </c>
      <c r="S77" s="5" t="n">
        <f aca="false">IF(H77&lt;=16,1.45,
IF(H77&gt;=41,0.3,
CHOOSE(ROUNDDOWN((H77-16)/2,0)+1,
1.45,1.38,1.3,1.23,1.17,1.15,1.12,1.05,0.95,0.8,0.6,0.4,0.3)))</f>
        <v>1.17</v>
      </c>
      <c r="T77" s="5" t="n">
        <f aca="false">CHOOSE(N77+1,1.2,1,0.85,0.7)</f>
        <v>0.85</v>
      </c>
      <c r="U77" s="5" t="n">
        <f aca="false">IF(F77="PO",0.6,
IF(F77="CT",0.75,
IF(F77="LI",0.8,
IF(F77="LD",0.8,
IF(F77="MCD",0.85,
IF(F77="MC",0.95,
IF(F77="MO",1.05,
IF(F77="EI",1.1,
IF(F77="ED",1.1,
IF(F77="SD",1.15,
IF(F77="DC",1.2,0)))))))))))</f>
        <v>1.1</v>
      </c>
    </row>
    <row r="78" customFormat="false" ht="16.4" hidden="false" customHeight="false" outlineLevel="0" collapsed="false">
      <c r="A78" s="1" t="n">
        <v>77</v>
      </c>
      <c r="B78" s="5" t="str">
        <f aca="false">[1]Base_Jugadores!B78</f>
        <v>Aleksandar Dragovic</v>
      </c>
      <c r="C78" s="5" t="str">
        <f aca="false">IFERROR(
   _xlfn.XLOOKUP(VALUE(A78),[1]Fichajes_Realizados!A$2:A$50000,[1]Fichajes_Realizados!D$2:D$50000,,0,-1),
   _xlfn.XLOOKUP(VALUE(A78),[1]Base_Jugadores!A$2:A$50000,[1]Base_Jugadores!C$2:C$50000)
)</f>
        <v>B-Team</v>
      </c>
      <c r="D78" s="5" t="str">
        <f aca="false">[1]Base_Jugadores!D78</f>
        <v>Austria</v>
      </c>
      <c r="E78" s="3"/>
      <c r="F78" s="5" t="str">
        <f aca="false">[1]Base_Jugadores!E78</f>
        <v>CT</v>
      </c>
      <c r="G78" s="5" t="n">
        <f aca="false">[1]Base_Jugadores!F78</f>
        <v>75</v>
      </c>
      <c r="H78" s="5" t="n">
        <f aca="false">[1]Base_Jugadores!G78</f>
        <v>34</v>
      </c>
      <c r="I78" s="7" t="n">
        <f aca="false" t="array" ref="I78:I78">_xlfn.XLOOKUP(G78,{55;56;57;58;59;60;61;62;63;64;65;66;67;68;69;70;71;72;73;74;75;76;77;78;79;80;81;82;83;84;85;86;87;88;89;90;91;92;93;94;95;96;97;98;99},{100000;130000;160000;190000;220000;250000;300000;350000;400000;450000;500000;600000;700000;800000;900000;1000000;1500000;2000000;3000000;4000000;5000000;6500000;8000000;10000000;12500000;15000000;20000000;25000000;30000000;35000000;40000000;55000000;70000000;80000000;90000000;110000000;130000000;160000000;190000000;220000000;250000000;280000000;310000000;340000000;400000000})</f>
        <v>5000000</v>
      </c>
      <c r="J78" s="7" t="n">
        <f aca="false">I78*S78*T78*U78</f>
        <v>3600000</v>
      </c>
      <c r="K78" s="8"/>
      <c r="L78" s="3"/>
      <c r="M78" s="3"/>
      <c r="N78" s="9" t="n">
        <v>0</v>
      </c>
      <c r="O78" s="4" t="n">
        <v>0</v>
      </c>
      <c r="P78" s="5" t="n">
        <f aca="false">IF(COUNTIF([1]Base_Jugadores!J$2:J$500,B78)&gt;0,1,0)</f>
        <v>0</v>
      </c>
      <c r="Q78" s="10" t="b">
        <f aca="false">--(COUNTIFS(
   [1]Fichajes_Realizados!A$2:A$5000,A78,
   [1]Fichajes_Realizados!G$2:G$5000,$X$3
)&gt;0)</f>
        <v>0</v>
      </c>
      <c r="R78" s="5" t="n">
        <f aca="false">_xlfn.XLOOKUP(C78, [1]Estado_Equipos!A$2:A$500, [1]Estado_Equipos!J$2:J$500, "")</f>
        <v>74</v>
      </c>
      <c r="S78" s="5" t="n">
        <f aca="false">IF(H78&lt;=16,1.45,
IF(H78&gt;=41,0.3,
CHOOSE(ROUNDDOWN((H78-16)/2,0)+1,
1.45,1.38,1.3,1.23,1.17,1.15,1.12,1.05,0.95,0.8,0.6,0.4,0.3)))</f>
        <v>0.8</v>
      </c>
      <c r="T78" s="5" t="n">
        <f aca="false">CHOOSE(N78+1,1.2,1,0.85,0.7)</f>
        <v>1.2</v>
      </c>
      <c r="U78" s="5" t="n">
        <f aca="false">IF(F78="PO",0.6,
IF(F78="CT",0.75,
IF(F78="LI",0.8,
IF(F78="LD",0.8,
IF(F78="MCD",0.85,
IF(F78="MC",0.95,
IF(F78="MO",1.05,
IF(F78="EI",1.1,
IF(F78="ED",1.1,
IF(F78="SD",1.15,
IF(F78="DC",1.2,0)))))))))))</f>
        <v>0.75</v>
      </c>
    </row>
    <row r="79" customFormat="false" ht="16.4" hidden="false" customHeight="false" outlineLevel="0" collapsed="false">
      <c r="A79" s="1" t="n">
        <v>78</v>
      </c>
      <c r="B79" s="5" t="str">
        <f aca="false">[1]Base_Jugadores!B79</f>
        <v>Andrea Adorante</v>
      </c>
      <c r="C79" s="5" t="str">
        <f aca="false">IFERROR(
   _xlfn.XLOOKUP(VALUE(A79),[1]Fichajes_Realizados!A$2:A$50000,[1]Fichajes_Realizados!D$2:D$50000,,0,-1),
   _xlfn.XLOOKUP(VALUE(A79),[1]Base_Jugadores!A$2:A$50000,[1]Base_Jugadores!C$2:C$50000)
)</f>
        <v>B-Team</v>
      </c>
      <c r="D79" s="5" t="str">
        <f aca="false">[1]Base_Jugadores!D79</f>
        <v>Italia</v>
      </c>
      <c r="E79" s="3"/>
      <c r="F79" s="5" t="str">
        <f aca="false">[1]Base_Jugadores!E79</f>
        <v>DC</v>
      </c>
      <c r="G79" s="5" t="n">
        <f aca="false">[1]Base_Jugadores!F79</f>
        <v>70</v>
      </c>
      <c r="H79" s="5" t="n">
        <f aca="false">[1]Base_Jugadores!G79</f>
        <v>25</v>
      </c>
      <c r="I79" s="7" t="n">
        <f aca="false" t="array" ref="I79:I79">_xlfn.XLOOKUP(G79,{55;56;57;58;59;60;61;62;63;64;65;66;67;68;69;70;71;72;73;74;75;76;77;78;79;80;81;82;83;84;85;86;87;88;89;90;91;92;93;94;95;96;97;98;99},{100000;130000;160000;190000;220000;250000;300000;350000;400000;450000;500000;600000;700000;800000;900000;1000000;1500000;2000000;3000000;4000000;5000000;6500000;8000000;10000000;12500000;15000000;20000000;25000000;30000000;35000000;40000000;55000000;70000000;80000000;90000000;110000000;130000000;160000000;190000000;220000000;250000000;280000000;310000000;340000000;400000000})</f>
        <v>1000000</v>
      </c>
      <c r="J79" s="7" t="n">
        <f aca="false">I79*S79*T79*U79</f>
        <v>1193400</v>
      </c>
      <c r="K79" s="8"/>
      <c r="L79" s="3"/>
      <c r="M79" s="3"/>
      <c r="N79" s="9" t="n">
        <v>2</v>
      </c>
      <c r="O79" s="4" t="n">
        <v>0</v>
      </c>
      <c r="P79" s="5" t="n">
        <f aca="false">IF(COUNTIF([1]Base_Jugadores!J$2:J$500,B79)&gt;0,1,0)</f>
        <v>0</v>
      </c>
      <c r="Q79" s="10" t="b">
        <f aca="false">--(COUNTIFS(
   [1]Fichajes_Realizados!A$2:A$5000,A79,
   [1]Fichajes_Realizados!G$2:G$5000,$X$3
)&gt;0)</f>
        <v>0</v>
      </c>
      <c r="R79" s="5" t="n">
        <f aca="false">_xlfn.XLOOKUP(C79, [1]Estado_Equipos!A$2:A$500, [1]Estado_Equipos!J$2:J$500, "")</f>
        <v>74</v>
      </c>
      <c r="S79" s="5" t="n">
        <f aca="false">IF(H79&lt;=16,1.45,
IF(H79&gt;=41,0.3,
CHOOSE(ROUNDDOWN((H79-16)/2,0)+1,
1.45,1.38,1.3,1.23,1.17,1.15,1.12,1.05,0.95,0.8,0.6,0.4,0.3)))</f>
        <v>1.17</v>
      </c>
      <c r="T79" s="5" t="n">
        <f aca="false">CHOOSE(N79+1,1.2,1,0.85,0.7)</f>
        <v>0.85</v>
      </c>
      <c r="U79" s="5" t="n">
        <f aca="false">IF(F79="PO",0.6,
IF(F79="CT",0.75,
IF(F79="LI",0.8,
IF(F79="LD",0.8,
IF(F79="MCD",0.85,
IF(F79="MC",0.95,
IF(F79="MO",1.05,
IF(F79="EI",1.1,
IF(F79="ED",1.1,
IF(F79="SD",1.15,
IF(F79="DC",1.2,0)))))))))))</f>
        <v>1.2</v>
      </c>
    </row>
    <row r="80" customFormat="false" ht="16.4" hidden="false" customHeight="false" outlineLevel="0" collapsed="false">
      <c r="A80" s="1" t="n">
        <v>79</v>
      </c>
      <c r="B80" s="5" t="str">
        <f aca="false">[1]Base_Jugadores!B80</f>
        <v>Arnaud Djoum</v>
      </c>
      <c r="C80" s="5" t="str">
        <f aca="false">IFERROR(
   _xlfn.XLOOKUP(VALUE(A80),[1]Fichajes_Realizados!A$2:A$50000,[1]Fichajes_Realizados!D$2:D$50000,,0,-1),
   _xlfn.XLOOKUP(VALUE(A80),[1]Base_Jugadores!A$2:A$50000,[1]Base_Jugadores!C$2:C$50000)
)</f>
        <v>B-Team</v>
      </c>
      <c r="D80" s="5" t="str">
        <f aca="false">[1]Base_Jugadores!D80</f>
        <v>Camerún</v>
      </c>
      <c r="E80" s="3"/>
      <c r="F80" s="5" t="str">
        <f aca="false">[1]Base_Jugadores!E80</f>
        <v>MC</v>
      </c>
      <c r="G80" s="5" t="n">
        <f aca="false">[1]Base_Jugadores!F80</f>
        <v>70</v>
      </c>
      <c r="H80" s="5" t="n">
        <f aca="false">[1]Base_Jugadores!G80</f>
        <v>36</v>
      </c>
      <c r="I80" s="7" t="n">
        <f aca="false" t="array" ref="I80:I80">_xlfn.XLOOKUP(G80,{55;56;57;58;59;60;61;62;63;64;65;66;67;68;69;70;71;72;73;74;75;76;77;78;79;80;81;82;83;84;85;86;87;88;89;90;91;92;93;94;95;96;97;98;99},{100000;130000;160000;190000;220000;250000;300000;350000;400000;450000;500000;600000;700000;800000;900000;1000000;1500000;2000000;3000000;4000000;5000000;6500000;8000000;10000000;12500000;15000000;20000000;25000000;30000000;35000000;40000000;55000000;70000000;80000000;90000000;110000000;130000000;160000000;190000000;220000000;250000000;280000000;310000000;340000000;400000000})</f>
        <v>1000000</v>
      </c>
      <c r="J80" s="7" t="n">
        <f aca="false">I80*S80*T80*U80</f>
        <v>484500</v>
      </c>
      <c r="K80" s="8"/>
      <c r="L80" s="3"/>
      <c r="M80" s="3"/>
      <c r="N80" s="9" t="n">
        <v>2</v>
      </c>
      <c r="O80" s="4" t="n">
        <v>0</v>
      </c>
      <c r="P80" s="5" t="n">
        <f aca="false">IF(COUNTIF([1]Base_Jugadores!J$2:J$500,B80)&gt;0,1,0)</f>
        <v>0</v>
      </c>
      <c r="Q80" s="10" t="b">
        <f aca="false">--(COUNTIFS(
   [1]Fichajes_Realizados!A$2:A$5000,A80,
   [1]Fichajes_Realizados!G$2:G$5000,$X$3
)&gt;0)</f>
        <v>0</v>
      </c>
      <c r="R80" s="5" t="n">
        <f aca="false">_xlfn.XLOOKUP(C80, [1]Estado_Equipos!A$2:A$500, [1]Estado_Equipos!J$2:J$500, "")</f>
        <v>74</v>
      </c>
      <c r="S80" s="5" t="n">
        <f aca="false">IF(H80&lt;=16,1.45,
IF(H80&gt;=41,0.3,
CHOOSE(ROUNDDOWN((H80-16)/2,0)+1,
1.45,1.38,1.3,1.23,1.17,1.15,1.12,1.05,0.95,0.8,0.6,0.4,0.3)))</f>
        <v>0.6</v>
      </c>
      <c r="T80" s="5" t="n">
        <f aca="false">CHOOSE(N80+1,1.2,1,0.85,0.7)</f>
        <v>0.85</v>
      </c>
      <c r="U80" s="5" t="n">
        <f aca="false">IF(F80="PO",0.6,
IF(F80="CT",0.75,
IF(F80="LI",0.8,
IF(F80="LD",0.8,
IF(F80="MCD",0.85,
IF(F80="MC",0.95,
IF(F80="MO",1.05,
IF(F80="EI",1.1,
IF(F80="ED",1.1,
IF(F80="SD",1.15,
IF(F80="DC",1.2,0)))))))))))</f>
        <v>0.95</v>
      </c>
    </row>
    <row r="81" customFormat="false" ht="16.4" hidden="false" customHeight="false" outlineLevel="0" collapsed="false">
      <c r="A81" s="1" t="n">
        <v>80</v>
      </c>
      <c r="B81" s="5" t="str">
        <f aca="false">[1]Base_Jugadores!B81</f>
        <v>Byron Castillo</v>
      </c>
      <c r="C81" s="5" t="str">
        <f aca="false">IFERROR(
   _xlfn.XLOOKUP(VALUE(A81),[1]Fichajes_Realizados!A$2:A$50000,[1]Fichajes_Realizados!D$2:D$50000,,0,-1),
   _xlfn.XLOOKUP(VALUE(A81),[1]Base_Jugadores!A$2:A$50000,[1]Base_Jugadores!C$2:C$50000)
)</f>
        <v>B-Team</v>
      </c>
      <c r="D81" s="5" t="str">
        <f aca="false">[1]Base_Jugadores!D81</f>
        <v>Ecuador</v>
      </c>
      <c r="E81" s="3"/>
      <c r="F81" s="5" t="str">
        <f aca="false">[1]Base_Jugadores!E81</f>
        <v>LD</v>
      </c>
      <c r="G81" s="5" t="n">
        <f aca="false">[1]Base_Jugadores!F81</f>
        <v>76</v>
      </c>
      <c r="H81" s="5" t="n">
        <f aca="false">[1]Base_Jugadores!G81</f>
        <v>27</v>
      </c>
      <c r="I81" s="7" t="n">
        <f aca="false" t="array" ref="I81:I81">_xlfn.XLOOKUP(G81,{55;56;57;58;59;60;61;62;63;64;65;66;67;68;69;70;71;72;73;74;75;76;77;78;79;80;81;82;83;84;85;86;87;88;89;90;91;92;93;94;95;96;97;98;99},{100000;130000;160000;190000;220000;250000;300000;350000;400000;450000;500000;600000;700000;800000;900000;1000000;1500000;2000000;3000000;4000000;5000000;6500000;8000000;10000000;12500000;15000000;20000000;25000000;30000000;35000000;40000000;55000000;70000000;80000000;90000000;110000000;130000000;160000000;190000000;220000000;250000000;280000000;310000000;340000000;400000000})</f>
        <v>6500000</v>
      </c>
      <c r="J81" s="7" t="n">
        <f aca="false">I81*S81*T81*U81</f>
        <v>5980000</v>
      </c>
      <c r="K81" s="8"/>
      <c r="L81" s="3"/>
      <c r="M81" s="8"/>
      <c r="N81" s="9" t="n">
        <v>1</v>
      </c>
      <c r="O81" s="4" t="n">
        <v>0</v>
      </c>
      <c r="P81" s="5" t="n">
        <f aca="false">IF(COUNTIF([1]Base_Jugadores!J$2:J$500,B81)&gt;0,1,0)</f>
        <v>0</v>
      </c>
      <c r="Q81" s="10" t="b">
        <f aca="false">--(COUNTIFS(
   [1]Fichajes_Realizados!A$2:A$5000,A81,
   [1]Fichajes_Realizados!G$2:G$5000,$X$3
)&gt;0)</f>
        <v>0</v>
      </c>
      <c r="R81" s="5" t="n">
        <f aca="false">_xlfn.XLOOKUP(C81, [1]Estado_Equipos!A$2:A$500, [1]Estado_Equipos!J$2:J$500, "")</f>
        <v>74</v>
      </c>
      <c r="S81" s="5" t="n">
        <f aca="false">IF(H81&lt;=16,1.45,
IF(H81&gt;=41,0.3,
CHOOSE(ROUNDDOWN((H81-16)/2,0)+1,
1.45,1.38,1.3,1.23,1.17,1.15,1.12,1.05,0.95,0.8,0.6,0.4,0.3)))</f>
        <v>1.15</v>
      </c>
      <c r="T81" s="5" t="n">
        <f aca="false">CHOOSE(N81+1,1.2,1,0.85,0.7)</f>
        <v>1</v>
      </c>
      <c r="U81" s="5" t="n">
        <f aca="false">IF(F81="PO",0.6,
IF(F81="CT",0.75,
IF(F81="LI",0.8,
IF(F81="LD",0.8,
IF(F81="MCD",0.85,
IF(F81="MC",0.95,
IF(F81="MO",1.05,
IF(F81="EI",1.1,
IF(F81="ED",1.1,
IF(F81="SD",1.15,
IF(F81="DC",1.2,0)))))))))))</f>
        <v>0.8</v>
      </c>
    </row>
    <row r="82" customFormat="false" ht="16.4" hidden="false" customHeight="false" outlineLevel="0" collapsed="false">
      <c r="A82" s="1" t="n">
        <v>81</v>
      </c>
      <c r="B82" s="5" t="str">
        <f aca="false">[1]Base_Jugadores!B82</f>
        <v>Diego Lopes</v>
      </c>
      <c r="C82" s="5" t="str">
        <f aca="false">IFERROR(
   _xlfn.XLOOKUP(VALUE(A82),[1]Fichajes_Realizados!A$2:A$50000,[1]Fichajes_Realizados!D$2:D$50000,,0,-1),
   _xlfn.XLOOKUP(VALUE(A82),[1]Base_Jugadores!A$2:A$50000,[1]Base_Jugadores!C$2:C$50000)
)</f>
        <v>B-Team</v>
      </c>
      <c r="D82" s="5" t="str">
        <f aca="false">[1]Base_Jugadores!D82</f>
        <v>Brasil</v>
      </c>
      <c r="E82" s="3"/>
      <c r="F82" s="5" t="str">
        <f aca="false">[1]Base_Jugadores!E82</f>
        <v>MO</v>
      </c>
      <c r="G82" s="5" t="n">
        <f aca="false">[1]Base_Jugadores!F82</f>
        <v>74</v>
      </c>
      <c r="H82" s="5" t="n">
        <f aca="false">[1]Base_Jugadores!G82</f>
        <v>31</v>
      </c>
      <c r="I82" s="7" t="n">
        <f aca="false" t="array" ref="I82:I82">_xlfn.XLOOKUP(G82,{55;56;57;58;59;60;61;62;63;64;65;66;67;68;69;70;71;72;73;74;75;76;77;78;79;80;81;82;83;84;85;86;87;88;89;90;91;92;93;94;95;96;97;98;99},{100000;130000;160000;190000;220000;250000;300000;350000;400000;450000;500000;600000;700000;800000;900000;1000000;1500000;2000000;3000000;4000000;5000000;6500000;8000000;10000000;12500000;15000000;20000000;25000000;30000000;35000000;40000000;55000000;70000000;80000000;90000000;110000000;130000000;160000000;190000000;220000000;250000000;280000000;310000000;340000000;400000000})</f>
        <v>4000000</v>
      </c>
      <c r="J82" s="7" t="n">
        <f aca="false">I82*S82*T82*U82</f>
        <v>4410000</v>
      </c>
      <c r="K82" s="8"/>
      <c r="L82" s="3"/>
      <c r="M82" s="3"/>
      <c r="N82" s="9" t="n">
        <v>1</v>
      </c>
      <c r="O82" s="4" t="n">
        <v>0</v>
      </c>
      <c r="P82" s="5" t="n">
        <f aca="false">IF(COUNTIF([1]Base_Jugadores!J$2:J$500,B82)&gt;0,1,0)</f>
        <v>0</v>
      </c>
      <c r="Q82" s="10" t="b">
        <f aca="false">--(COUNTIFS(
   [1]Fichajes_Realizados!A$2:A$5000,A82,
   [1]Fichajes_Realizados!G$2:G$5000,$X$3
)&gt;0)</f>
        <v>0</v>
      </c>
      <c r="R82" s="5" t="n">
        <f aca="false">_xlfn.XLOOKUP(C82, [1]Estado_Equipos!A$2:A$500, [1]Estado_Equipos!J$2:J$500, "")</f>
        <v>74</v>
      </c>
      <c r="S82" s="5" t="n">
        <f aca="false">IF(H82&lt;=16,1.45,
IF(H82&gt;=41,0.3,
CHOOSE(ROUNDDOWN((H82-16)/2,0)+1,
1.45,1.38,1.3,1.23,1.17,1.15,1.12,1.05,0.95,0.8,0.6,0.4,0.3)))</f>
        <v>1.05</v>
      </c>
      <c r="T82" s="5" t="n">
        <f aca="false">CHOOSE(N82+1,1.2,1,0.85,0.7)</f>
        <v>1</v>
      </c>
      <c r="U82" s="5" t="n">
        <f aca="false">IF(F82="PO",0.6,
IF(F82="CT",0.75,
IF(F82="LI",0.8,
IF(F82="LD",0.8,
IF(F82="MCD",0.85,
IF(F82="MC",0.95,
IF(F82="MO",1.05,
IF(F82="EI",1.1,
IF(F82="ED",1.1,
IF(F82="SD",1.15,
IF(F82="DC",1.2,0)))))))))))</f>
        <v>1.05</v>
      </c>
    </row>
    <row r="83" customFormat="false" ht="16.4" hidden="false" customHeight="false" outlineLevel="0" collapsed="false">
      <c r="A83" s="1" t="n">
        <v>82</v>
      </c>
      <c r="B83" s="5" t="str">
        <f aca="false">[1]Base_Jugadores!B83</f>
        <v>Eduard Atuesta</v>
      </c>
      <c r="C83" s="5" t="str">
        <f aca="false">IFERROR(
   _xlfn.XLOOKUP(VALUE(A83),[1]Fichajes_Realizados!A$2:A$50000,[1]Fichajes_Realizados!D$2:D$50000,,0,-1),
   _xlfn.XLOOKUP(VALUE(A83),[1]Base_Jugadores!A$2:A$50000,[1]Base_Jugadores!C$2:C$50000)
)</f>
        <v>B-Team</v>
      </c>
      <c r="D83" s="5" t="str">
        <f aca="false">[1]Base_Jugadores!D83</f>
        <v>Colombia</v>
      </c>
      <c r="E83" s="3"/>
      <c r="F83" s="5" t="str">
        <f aca="false">[1]Base_Jugadores!E83</f>
        <v>MC</v>
      </c>
      <c r="G83" s="5" t="n">
        <f aca="false">[1]Base_Jugadores!F83</f>
        <v>74</v>
      </c>
      <c r="H83" s="5" t="n">
        <f aca="false">[1]Base_Jugadores!G83</f>
        <v>28</v>
      </c>
      <c r="I83" s="7" t="n">
        <f aca="false" t="array" ref="I83:I83">_xlfn.XLOOKUP(G83,{55;56;57;58;59;60;61;62;63;64;65;66;67;68;69;70;71;72;73;74;75;76;77;78;79;80;81;82;83;84;85;86;87;88;89;90;91;92;93;94;95;96;97;98;99},{100000;130000;160000;190000;220000;250000;300000;350000;400000;450000;500000;600000;700000;800000;900000;1000000;1500000;2000000;3000000;4000000;5000000;6500000;8000000;10000000;12500000;15000000;20000000;25000000;30000000;35000000;40000000;55000000;70000000;80000000;90000000;110000000;130000000;160000000;190000000;220000000;250000000;280000000;310000000;340000000;400000000})</f>
        <v>4000000</v>
      </c>
      <c r="J83" s="7" t="n">
        <f aca="false">I83*S83*T83*U83</f>
        <v>5107200</v>
      </c>
      <c r="K83" s="8"/>
      <c r="L83" s="3"/>
      <c r="M83" s="3"/>
      <c r="N83" s="9" t="n">
        <v>0</v>
      </c>
      <c r="O83" s="4" t="n">
        <v>0</v>
      </c>
      <c r="P83" s="5" t="n">
        <f aca="false">IF(COUNTIF([1]Base_Jugadores!J$2:J$500,B83)&gt;0,1,0)</f>
        <v>0</v>
      </c>
      <c r="Q83" s="10" t="b">
        <f aca="false">--(COUNTIFS(
   [1]Fichajes_Realizados!A$2:A$5000,A83,
   [1]Fichajes_Realizados!G$2:G$5000,$X$3
)&gt;0)</f>
        <v>0</v>
      </c>
      <c r="R83" s="5" t="n">
        <f aca="false">_xlfn.XLOOKUP(C83, [1]Estado_Equipos!A$2:A$500, [1]Estado_Equipos!J$2:J$500, "")</f>
        <v>74</v>
      </c>
      <c r="S83" s="5" t="n">
        <f aca="false">IF(H83&lt;=16,1.45,
IF(H83&gt;=41,0.3,
CHOOSE(ROUNDDOWN((H83-16)/2,0)+1,
1.45,1.38,1.3,1.23,1.17,1.15,1.12,1.05,0.95,0.8,0.6,0.4,0.3)))</f>
        <v>1.12</v>
      </c>
      <c r="T83" s="5" t="n">
        <f aca="false">CHOOSE(N83+1,1.2,1,0.85,0.7)</f>
        <v>1.2</v>
      </c>
      <c r="U83" s="5" t="n">
        <f aca="false">IF(F83="PO",0.6,
IF(F83="CT",0.75,
IF(F83="LI",0.8,
IF(F83="LD",0.8,
IF(F83="MCD",0.85,
IF(F83="MC",0.95,
IF(F83="MO",1.05,
IF(F83="EI",1.1,
IF(F83="ED",1.1,
IF(F83="SD",1.15,
IF(F83="DC",1.2,0)))))))))))</f>
        <v>0.95</v>
      </c>
    </row>
    <row r="84" customFormat="false" ht="16.4" hidden="false" customHeight="false" outlineLevel="0" collapsed="false">
      <c r="A84" s="1" t="n">
        <v>83</v>
      </c>
      <c r="B84" s="5" t="str">
        <f aca="false">[1]Base_Jugadores!B84</f>
        <v>Fabio Maistro</v>
      </c>
      <c r="C84" s="5" t="str">
        <f aca="false">IFERROR(
   _xlfn.XLOOKUP(VALUE(A84),[1]Fichajes_Realizados!A$2:A$50000,[1]Fichajes_Realizados!D$2:D$50000,,0,-1),
   _xlfn.XLOOKUP(VALUE(A84),[1]Base_Jugadores!A$2:A$50000,[1]Base_Jugadores!C$2:C$50000)
)</f>
        <v>B-Team</v>
      </c>
      <c r="D84" s="5" t="str">
        <f aca="false">[1]Base_Jugadores!D84</f>
        <v>Italia</v>
      </c>
      <c r="E84" s="3"/>
      <c r="F84" s="5" t="str">
        <f aca="false">[1]Base_Jugadores!E84</f>
        <v>MC</v>
      </c>
      <c r="G84" s="5" t="n">
        <f aca="false">[1]Base_Jugadores!F84</f>
        <v>68</v>
      </c>
      <c r="H84" s="5" t="n">
        <f aca="false">[1]Base_Jugadores!G84</f>
        <v>27</v>
      </c>
      <c r="I84" s="7" t="n">
        <f aca="false" t="array" ref="I84:I84">_xlfn.XLOOKUP(G84,{55;56;57;58;59;60;61;62;63;64;65;66;67;68;69;70;71;72;73;74;75;76;77;78;79;80;81;82;83;84;85;86;87;88;89;90;91;92;93;94;95;96;97;98;99},{100000;130000;160000;190000;220000;250000;300000;350000;400000;450000;500000;600000;700000;800000;900000;1000000;1500000;2000000;3000000;4000000;5000000;6500000;8000000;10000000;12500000;15000000;20000000;25000000;30000000;35000000;40000000;55000000;70000000;80000000;90000000;110000000;130000000;160000000;190000000;220000000;250000000;280000000;310000000;340000000;400000000})</f>
        <v>800000</v>
      </c>
      <c r="J84" s="7" t="n">
        <f aca="false">I84*S84*T84*U84</f>
        <v>742900</v>
      </c>
      <c r="K84" s="8"/>
      <c r="L84" s="3"/>
      <c r="M84" s="3"/>
      <c r="N84" s="9" t="n">
        <v>2</v>
      </c>
      <c r="O84" s="4" t="n">
        <v>0</v>
      </c>
      <c r="P84" s="5" t="n">
        <f aca="false">IF(COUNTIF([1]Base_Jugadores!J$2:J$500,B84)&gt;0,1,0)</f>
        <v>0</v>
      </c>
      <c r="Q84" s="10" t="b">
        <f aca="false">--(COUNTIFS(
   [1]Fichajes_Realizados!A$2:A$5000,A84,
   [1]Fichajes_Realizados!G$2:G$5000,$X$3
)&gt;0)</f>
        <v>0</v>
      </c>
      <c r="R84" s="5" t="n">
        <f aca="false">_xlfn.XLOOKUP(C84, [1]Estado_Equipos!A$2:A$500, [1]Estado_Equipos!J$2:J$500, "")</f>
        <v>74</v>
      </c>
      <c r="S84" s="5" t="n">
        <f aca="false">IF(H84&lt;=16,1.45,
IF(H84&gt;=41,0.3,
CHOOSE(ROUNDDOWN((H84-16)/2,0)+1,
1.45,1.38,1.3,1.23,1.17,1.15,1.12,1.05,0.95,0.8,0.6,0.4,0.3)))</f>
        <v>1.15</v>
      </c>
      <c r="T84" s="5" t="n">
        <f aca="false">CHOOSE(N84+1,1.2,1,0.85,0.7)</f>
        <v>0.85</v>
      </c>
      <c r="U84" s="5" t="n">
        <f aca="false">IF(F84="PO",0.6,
IF(F84="CT",0.75,
IF(F84="LI",0.8,
IF(F84="LD",0.8,
IF(F84="MCD",0.85,
IF(F84="MC",0.95,
IF(F84="MO",1.05,
IF(F84="EI",1.1,
IF(F84="ED",1.1,
IF(F84="SD",1.15,
IF(F84="DC",1.2,0)))))))))))</f>
        <v>0.95</v>
      </c>
    </row>
    <row r="85" customFormat="false" ht="16.4" hidden="false" customHeight="false" outlineLevel="0" collapsed="false">
      <c r="A85" s="1" t="n">
        <v>84</v>
      </c>
      <c r="B85" s="5" t="str">
        <f aca="false">[1]Base_Jugadores!B85</f>
        <v>Gastón Lezcano</v>
      </c>
      <c r="C85" s="5" t="str">
        <f aca="false">IFERROR(
   _xlfn.XLOOKUP(VALUE(A85),[1]Fichajes_Realizados!A$2:A$50000,[1]Fichajes_Realizados!D$2:D$50000,,0,-1),
   _xlfn.XLOOKUP(VALUE(A85),[1]Base_Jugadores!A$2:A$50000,[1]Base_Jugadores!C$2:C$50000)
)</f>
        <v>B-Team</v>
      </c>
      <c r="D85" s="5" t="str">
        <f aca="false">[1]Base_Jugadores!D85</f>
        <v>Argentina</v>
      </c>
      <c r="E85" s="3"/>
      <c r="F85" s="5" t="str">
        <f aca="false">[1]Base_Jugadores!E85</f>
        <v>ED</v>
      </c>
      <c r="G85" s="5" t="n">
        <f aca="false">[1]Base_Jugadores!F85</f>
        <v>74</v>
      </c>
      <c r="H85" s="5" t="n">
        <f aca="false">[1]Base_Jugadores!G85</f>
        <v>39</v>
      </c>
      <c r="I85" s="7" t="n">
        <f aca="false" t="array" ref="I85:I85">_xlfn.XLOOKUP(G85,{55;56;57;58;59;60;61;62;63;64;65;66;67;68;69;70;71;72;73;74;75;76;77;78;79;80;81;82;83;84;85;86;87;88;89;90;91;92;93;94;95;96;97;98;99},{100000;130000;160000;190000;220000;250000;300000;350000;400000;450000;500000;600000;700000;800000;900000;1000000;1500000;2000000;3000000;4000000;5000000;6500000;8000000;10000000;12500000;15000000;20000000;25000000;30000000;35000000;40000000;55000000;70000000;80000000;90000000;110000000;130000000;160000000;190000000;220000000;250000000;280000000;310000000;340000000;400000000})</f>
        <v>4000000</v>
      </c>
      <c r="J85" s="7" t="n">
        <f aca="false">I85*S85*T85*U85</f>
        <v>1760000</v>
      </c>
      <c r="K85" s="8"/>
      <c r="L85" s="3"/>
      <c r="M85" s="8"/>
      <c r="N85" s="9" t="n">
        <v>1</v>
      </c>
      <c r="O85" s="4" t="n">
        <v>0</v>
      </c>
      <c r="P85" s="5" t="n">
        <f aca="false">IF(COUNTIF([1]Base_Jugadores!J$2:J$500,B85)&gt;0,1,0)</f>
        <v>0</v>
      </c>
      <c r="Q85" s="10" t="b">
        <f aca="false">--(COUNTIFS(
   [1]Fichajes_Realizados!A$2:A$5000,A85,
   [1]Fichajes_Realizados!G$2:G$5000,$X$3
)&gt;0)</f>
        <v>0</v>
      </c>
      <c r="R85" s="5" t="n">
        <f aca="false">_xlfn.XLOOKUP(C85, [1]Estado_Equipos!A$2:A$500, [1]Estado_Equipos!J$2:J$500, "")</f>
        <v>74</v>
      </c>
      <c r="S85" s="5" t="n">
        <f aca="false">IF(H85&lt;=16,1.45,
IF(H85&gt;=41,0.3,
CHOOSE(ROUNDDOWN((H85-16)/2,0)+1,
1.45,1.38,1.3,1.23,1.17,1.15,1.12,1.05,0.95,0.8,0.6,0.4,0.3)))</f>
        <v>0.4</v>
      </c>
      <c r="T85" s="5" t="n">
        <f aca="false">CHOOSE(N85+1,1.2,1,0.85,0.7)</f>
        <v>1</v>
      </c>
      <c r="U85" s="5" t="n">
        <f aca="false">IF(F85="PO",0.6,
IF(F85="CT",0.75,
IF(F85="LI",0.8,
IF(F85="LD",0.8,
IF(F85="MCD",0.85,
IF(F85="MC",0.95,
IF(F85="MO",1.05,
IF(F85="EI",1.1,
IF(F85="ED",1.1,
IF(F85="SD",1.15,
IF(F85="DC",1.2,0)))))))))))</f>
        <v>1.1</v>
      </c>
    </row>
    <row r="86" customFormat="false" ht="16.4" hidden="false" customHeight="false" outlineLevel="0" collapsed="false">
      <c r="A86" s="1" t="n">
        <v>85</v>
      </c>
      <c r="B86" s="5" t="str">
        <f aca="false">[1]Base_Jugadores!B86</f>
        <v>Gonzalo Bettini</v>
      </c>
      <c r="C86" s="5" t="str">
        <f aca="false">IFERROR(
   _xlfn.XLOOKUP(VALUE(A86),[1]Fichajes_Realizados!A$2:A$50000,[1]Fichajes_Realizados!D$2:D$50000,,0,-1),
   _xlfn.XLOOKUP(VALUE(A86),[1]Base_Jugadores!A$2:A$50000,[1]Base_Jugadores!C$2:C$50000)
)</f>
        <v>B-Team</v>
      </c>
      <c r="D86" s="5" t="str">
        <f aca="false">[1]Base_Jugadores!D86</f>
        <v>Argentina</v>
      </c>
      <c r="E86" s="3"/>
      <c r="F86" s="5" t="str">
        <f aca="false">[1]Base_Jugadores!E86</f>
        <v>LD</v>
      </c>
      <c r="G86" s="5" t="n">
        <f aca="false">[1]Base_Jugadores!F86</f>
        <v>74</v>
      </c>
      <c r="H86" s="5" t="n">
        <f aca="false">[1]Base_Jugadores!G86</f>
        <v>33</v>
      </c>
      <c r="I86" s="7" t="n">
        <f aca="false" t="array" ref="I86:I86">_xlfn.XLOOKUP(G86,{55;56;57;58;59;60;61;62;63;64;65;66;67;68;69;70;71;72;73;74;75;76;77;78;79;80;81;82;83;84;85;86;87;88;89;90;91;92;93;94;95;96;97;98;99},{100000;130000;160000;190000;220000;250000;300000;350000;400000;450000;500000;600000;700000;800000;900000;1000000;1500000;2000000;3000000;4000000;5000000;6500000;8000000;10000000;12500000;15000000;20000000;25000000;30000000;35000000;40000000;55000000;70000000;80000000;90000000;110000000;130000000;160000000;190000000;220000000;250000000;280000000;310000000;340000000;400000000})</f>
        <v>4000000</v>
      </c>
      <c r="J86" s="7" t="n">
        <f aca="false">I86*S86*T86*U86</f>
        <v>3648000</v>
      </c>
      <c r="K86" s="8"/>
      <c r="L86" s="3"/>
      <c r="M86" s="3"/>
      <c r="N86" s="9" t="n">
        <v>0</v>
      </c>
      <c r="O86" s="4" t="n">
        <v>0</v>
      </c>
      <c r="P86" s="5" t="n">
        <f aca="false">IF(COUNTIF([1]Base_Jugadores!J$2:J$500,B86)&gt;0,1,0)</f>
        <v>0</v>
      </c>
      <c r="Q86" s="10" t="b">
        <f aca="false">--(COUNTIFS(
   [1]Fichajes_Realizados!A$2:A$5000,A86,
   [1]Fichajes_Realizados!G$2:G$5000,$X$3
)&gt;0)</f>
        <v>0</v>
      </c>
      <c r="R86" s="5" t="n">
        <f aca="false">_xlfn.XLOOKUP(C86, [1]Estado_Equipos!A$2:A$500, [1]Estado_Equipos!J$2:J$500, "")</f>
        <v>74</v>
      </c>
      <c r="S86" s="5" t="n">
        <f aca="false">IF(H86&lt;=16,1.45,
IF(H86&gt;=41,0.3,
CHOOSE(ROUNDDOWN((H86-16)/2,0)+1,
1.45,1.38,1.3,1.23,1.17,1.15,1.12,1.05,0.95,0.8,0.6,0.4,0.3)))</f>
        <v>0.95</v>
      </c>
      <c r="T86" s="5" t="n">
        <f aca="false">CHOOSE(N86+1,1.2,1,0.85,0.7)</f>
        <v>1.2</v>
      </c>
      <c r="U86" s="5" t="n">
        <f aca="false">IF(F86="PO",0.6,
IF(F86="CT",0.75,
IF(F86="LI",0.8,
IF(F86="LD",0.8,
IF(F86="MCD",0.85,
IF(F86="MC",0.95,
IF(F86="MO",1.05,
IF(F86="EI",1.1,
IF(F86="ED",1.1,
IF(F86="SD",1.15,
IF(F86="DC",1.2,0)))))))))))</f>
        <v>0.8</v>
      </c>
    </row>
    <row r="87" customFormat="false" ht="16.4" hidden="false" customHeight="false" outlineLevel="0" collapsed="false">
      <c r="A87" s="1" t="n">
        <v>86</v>
      </c>
      <c r="B87" s="5" t="str">
        <f aca="false">[1]Base_Jugadores!B87</f>
        <v>Jannes Horn</v>
      </c>
      <c r="C87" s="5" t="str">
        <f aca="false">IFERROR(
   _xlfn.XLOOKUP(VALUE(A87),[1]Fichajes_Realizados!A$2:A$50000,[1]Fichajes_Realizados!D$2:D$50000,,0,-1),
   _xlfn.XLOOKUP(VALUE(A87),[1]Base_Jugadores!A$2:A$50000,[1]Base_Jugadores!C$2:C$50000)
)</f>
        <v>B-Team</v>
      </c>
      <c r="D87" s="5" t="str">
        <f aca="false">[1]Base_Jugadores!D87</f>
        <v>Alemania</v>
      </c>
      <c r="E87" s="3"/>
      <c r="F87" s="5" t="str">
        <f aca="false">[1]Base_Jugadores!E87</f>
        <v>LI</v>
      </c>
      <c r="G87" s="5" t="n">
        <f aca="false">[1]Base_Jugadores!F87</f>
        <v>74</v>
      </c>
      <c r="H87" s="5" t="n">
        <f aca="false">[1]Base_Jugadores!G87</f>
        <v>28</v>
      </c>
      <c r="I87" s="7" t="n">
        <f aca="false" t="array" ref="I87:I87">_xlfn.XLOOKUP(G87,{55;56;57;58;59;60;61;62;63;64;65;66;67;68;69;70;71;72;73;74;75;76;77;78;79;80;81;82;83;84;85;86;87;88;89;90;91;92;93;94;95;96;97;98;99},{100000;130000;160000;190000;220000;250000;300000;350000;400000;450000;500000;600000;700000;800000;900000;1000000;1500000;2000000;3000000;4000000;5000000;6500000;8000000;10000000;12500000;15000000;20000000;25000000;30000000;35000000;40000000;55000000;70000000;80000000;90000000;110000000;130000000;160000000;190000000;220000000;250000000;280000000;310000000;340000000;400000000})</f>
        <v>4000000</v>
      </c>
      <c r="J87" s="7" t="n">
        <f aca="false">I87*S87*T87*U87</f>
        <v>3046400</v>
      </c>
      <c r="K87" s="8"/>
      <c r="L87" s="3"/>
      <c r="M87" s="3"/>
      <c r="N87" s="9" t="n">
        <v>2</v>
      </c>
      <c r="O87" s="4" t="n">
        <v>0</v>
      </c>
      <c r="P87" s="5" t="n">
        <f aca="false">IF(COUNTIF([1]Base_Jugadores!J$2:J$500,B87)&gt;0,1,0)</f>
        <v>0</v>
      </c>
      <c r="Q87" s="10" t="b">
        <f aca="false">--(COUNTIFS(
   [1]Fichajes_Realizados!A$2:A$5000,A87,
   [1]Fichajes_Realizados!G$2:G$5000,$X$3
)&gt;0)</f>
        <v>0</v>
      </c>
      <c r="R87" s="5" t="n">
        <f aca="false">_xlfn.XLOOKUP(C87, [1]Estado_Equipos!A$2:A$500, [1]Estado_Equipos!J$2:J$500, "")</f>
        <v>74</v>
      </c>
      <c r="S87" s="5" t="n">
        <f aca="false">IF(H87&lt;=16,1.45,
IF(H87&gt;=41,0.3,
CHOOSE(ROUNDDOWN((H87-16)/2,0)+1,
1.45,1.38,1.3,1.23,1.17,1.15,1.12,1.05,0.95,0.8,0.6,0.4,0.3)))</f>
        <v>1.12</v>
      </c>
      <c r="T87" s="5" t="n">
        <f aca="false">CHOOSE(N87+1,1.2,1,0.85,0.7)</f>
        <v>0.85</v>
      </c>
      <c r="U87" s="5" t="n">
        <f aca="false">IF(F87="PO",0.6,
IF(F87="CT",0.75,
IF(F87="LI",0.8,
IF(F87="LD",0.8,
IF(F87="MCD",0.85,
IF(F87="MC",0.95,
IF(F87="MO",1.05,
IF(F87="EI",1.1,
IF(F87="ED",1.1,
IF(F87="SD",1.15,
IF(F87="DC",1.2,0)))))))))))</f>
        <v>0.8</v>
      </c>
    </row>
    <row r="88" customFormat="false" ht="16.4" hidden="false" customHeight="false" outlineLevel="0" collapsed="false">
      <c r="A88" s="1" t="n">
        <v>87</v>
      </c>
      <c r="B88" s="5" t="str">
        <f aca="false">[1]Base_Jugadores!B88</f>
        <v>Joselu Mato</v>
      </c>
      <c r="C88" s="5" t="str">
        <f aca="false">IFERROR(
   _xlfn.XLOOKUP(VALUE(A88),[1]Fichajes_Realizados!A$2:A$50000,[1]Fichajes_Realizados!D$2:D$50000,,0,-1),
   _xlfn.XLOOKUP(VALUE(A88),[1]Base_Jugadores!A$2:A$50000,[1]Base_Jugadores!C$2:C$50000)
)</f>
        <v>B-Team</v>
      </c>
      <c r="D88" s="5" t="str">
        <f aca="false">[1]Base_Jugadores!D88</f>
        <v>España</v>
      </c>
      <c r="E88" s="3" t="s">
        <v>21</v>
      </c>
      <c r="F88" s="5" t="str">
        <f aca="false">[1]Base_Jugadores!E88</f>
        <v>DC</v>
      </c>
      <c r="G88" s="5" t="n">
        <f aca="false">[1]Base_Jugadores!F88</f>
        <v>82</v>
      </c>
      <c r="H88" s="5" t="n">
        <f aca="false">[1]Base_Jugadores!G88</f>
        <v>35</v>
      </c>
      <c r="I88" s="7" t="n">
        <f aca="false" t="array" ref="I88:I88">_xlfn.XLOOKUP(G88,{55;56;57;58;59;60;61;62;63;64;65;66;67;68;69;70;71;72;73;74;75;76;77;78;79;80;81;82;83;84;85;86;87;88;89;90;91;92;93;94;95;96;97;98;99},{100000;130000;160000;190000;220000;250000;300000;350000;400000;450000;500000;600000;700000;800000;900000;1000000;1500000;2000000;3000000;4000000;5000000;6500000;8000000;10000000;12500000;15000000;20000000;25000000;30000000;35000000;40000000;55000000;70000000;80000000;90000000;110000000;130000000;160000000;190000000;220000000;250000000;280000000;310000000;340000000;400000000})</f>
        <v>25000000</v>
      </c>
      <c r="J88" s="7" t="n">
        <f aca="false">I88*S88*T88*U88</f>
        <v>28800000</v>
      </c>
      <c r="K88" s="8"/>
      <c r="L88" s="3"/>
      <c r="M88" s="8"/>
      <c r="N88" s="9" t="n">
        <v>0</v>
      </c>
      <c r="O88" s="4" t="n">
        <v>0</v>
      </c>
      <c r="P88" s="5" t="n">
        <f aca="false">IF(COUNTIF([1]Base_Jugadores!J$2:J$500,B88)&gt;0,1,0)</f>
        <v>0</v>
      </c>
      <c r="Q88" s="10" t="b">
        <f aca="false">--(COUNTIFS(
   [1]Fichajes_Realizados!A$2:A$5000,A88,
   [1]Fichajes_Realizados!G$2:G$5000,$X$3
)&gt;0)</f>
        <v>0</v>
      </c>
      <c r="R88" s="5" t="n">
        <f aca="false">_xlfn.XLOOKUP(C88, [1]Estado_Equipos!A$2:A$500, [1]Estado_Equipos!J$2:J$500, "")</f>
        <v>74</v>
      </c>
      <c r="S88" s="5" t="n">
        <f aca="false">IF(H88&lt;=16,1.45,
IF(H88&gt;=41,0.3,
CHOOSE(ROUNDDOWN((H88-16)/2,0)+1,
1.45,1.38,1.3,1.23,1.17,1.15,1.12,1.05,0.95,0.8,0.6,0.4,0.3)))</f>
        <v>0.8</v>
      </c>
      <c r="T88" s="5" t="n">
        <f aca="false">CHOOSE(N88+1,1.2,1,0.85,0.7)</f>
        <v>1.2</v>
      </c>
      <c r="U88" s="5" t="n">
        <f aca="false">IF(F88="PO",0.6,
IF(F88="CT",0.75,
IF(F88="LI",0.8,
IF(F88="LD",0.8,
IF(F88="MCD",0.85,
IF(F88="MC",0.95,
IF(F88="MO",1.05,
IF(F88="EI",1.1,
IF(F88="ED",1.1,
IF(F88="SD",1.15,
IF(F88="DC",1.2,0)))))))))))</f>
        <v>1.2</v>
      </c>
    </row>
    <row r="89" customFormat="false" ht="16.4" hidden="false" customHeight="false" outlineLevel="0" collapsed="false">
      <c r="A89" s="1" t="n">
        <v>88</v>
      </c>
      <c r="B89" s="5" t="str">
        <f aca="false">[1]Base_Jugadores!B89</f>
        <v>Kevin Piscopo</v>
      </c>
      <c r="C89" s="5" t="str">
        <f aca="false">IFERROR(
   _xlfn.XLOOKUP(VALUE(A89),[1]Fichajes_Realizados!A$2:A$50000,[1]Fichajes_Realizados!D$2:D$50000,,0,-1),
   _xlfn.XLOOKUP(VALUE(A89),[1]Base_Jugadores!A$2:A$50000,[1]Base_Jugadores!C$2:C$50000)
)</f>
        <v>B-Team</v>
      </c>
      <c r="D89" s="5" t="str">
        <f aca="false">[1]Base_Jugadores!D89</f>
        <v>Italia</v>
      </c>
      <c r="E89" s="3"/>
      <c r="F89" s="5" t="str">
        <f aca="false">[1]Base_Jugadores!E89</f>
        <v>MO</v>
      </c>
      <c r="G89" s="5" t="n">
        <f aca="false">[1]Base_Jugadores!F89</f>
        <v>67</v>
      </c>
      <c r="H89" s="5" t="n">
        <f aca="false">[1]Base_Jugadores!G89</f>
        <v>27</v>
      </c>
      <c r="I89" s="7" t="n">
        <f aca="false" t="array" ref="I89:I89">_xlfn.XLOOKUP(G89,{55;56;57;58;59;60;61;62;63;64;65;66;67;68;69;70;71;72;73;74;75;76;77;78;79;80;81;82;83;84;85;86;87;88;89;90;91;92;93;94;95;96;97;98;99},{100000;130000;160000;190000;220000;250000;300000;350000;400000;450000;500000;600000;700000;800000;900000;1000000;1500000;2000000;3000000;4000000;5000000;6500000;8000000;10000000;12500000;15000000;20000000;25000000;30000000;35000000;40000000;55000000;70000000;80000000;90000000;110000000;130000000;160000000;190000000;220000000;250000000;280000000;310000000;340000000;400000000})</f>
        <v>700000</v>
      </c>
      <c r="J89" s="7" t="n">
        <f aca="false">I89*S89*T89*U89</f>
        <v>718462.5</v>
      </c>
      <c r="K89" s="3"/>
      <c r="L89" s="3"/>
      <c r="M89" s="3"/>
      <c r="N89" s="9" t="n">
        <v>2</v>
      </c>
      <c r="O89" s="4" t="n">
        <v>0</v>
      </c>
      <c r="P89" s="5" t="n">
        <f aca="false">IF(COUNTIF([1]Base_Jugadores!J$2:J$500,B89)&gt;0,1,0)</f>
        <v>0</v>
      </c>
      <c r="Q89" s="10" t="b">
        <f aca="false">--(COUNTIFS(
   [1]Fichajes_Realizados!A$2:A$5000,A89,
   [1]Fichajes_Realizados!G$2:G$5000,$X$3
)&gt;0)</f>
        <v>0</v>
      </c>
      <c r="R89" s="5" t="n">
        <f aca="false">_xlfn.XLOOKUP(C89, [1]Estado_Equipos!A$2:A$500, [1]Estado_Equipos!J$2:J$500, "")</f>
        <v>74</v>
      </c>
      <c r="S89" s="5" t="n">
        <f aca="false">IF(H89&lt;=16,1.45,
IF(H89&gt;=41,0.3,
CHOOSE(ROUNDDOWN((H89-16)/2,0)+1,
1.45,1.38,1.3,1.23,1.17,1.15,1.12,1.05,0.95,0.8,0.6,0.4,0.3)))</f>
        <v>1.15</v>
      </c>
      <c r="T89" s="5" t="n">
        <f aca="false">CHOOSE(N89+1,1.2,1,0.85,0.7)</f>
        <v>0.85</v>
      </c>
      <c r="U89" s="5" t="n">
        <f aca="false">IF(F89="PO",0.6,
IF(F89="CT",0.75,
IF(F89="LI",0.8,
IF(F89="LD",0.8,
IF(F89="MCD",0.85,
IF(F89="MC",0.95,
IF(F89="MO",1.05,
IF(F89="EI",1.1,
IF(F89="ED",1.1,
IF(F89="SD",1.15,
IF(F89="DC",1.2,0)))))))))))</f>
        <v>1.05</v>
      </c>
    </row>
    <row r="90" customFormat="false" ht="16.4" hidden="false" customHeight="false" outlineLevel="0" collapsed="false">
      <c r="A90" s="1" t="n">
        <v>89</v>
      </c>
      <c r="B90" s="5" t="str">
        <f aca="false">[1]Base_Jugadores!B90</f>
        <v>Lorenzo Insigne</v>
      </c>
      <c r="C90" s="5" t="str">
        <f aca="false">IFERROR(
   _xlfn.XLOOKUP(VALUE(A90),[1]Fichajes_Realizados!A$2:A$50000,[1]Fichajes_Realizados!D$2:D$50000,,0,-1),
   _xlfn.XLOOKUP(VALUE(A90),[1]Base_Jugadores!A$2:A$50000,[1]Base_Jugadores!C$2:C$50000)
)</f>
        <v>B-Team</v>
      </c>
      <c r="D90" s="5" t="str">
        <f aca="false">[1]Base_Jugadores!D90</f>
        <v>Italia</v>
      </c>
      <c r="E90" s="3"/>
      <c r="F90" s="5" t="str">
        <f aca="false">[1]Base_Jugadores!E90</f>
        <v>EI</v>
      </c>
      <c r="G90" s="5" t="n">
        <f aca="false">[1]Base_Jugadores!F90</f>
        <v>80</v>
      </c>
      <c r="H90" s="5" t="n">
        <f aca="false">[1]Base_Jugadores!G90</f>
        <v>34</v>
      </c>
      <c r="I90" s="7" t="n">
        <f aca="false" t="array" ref="I90:I90">_xlfn.XLOOKUP(G90,{55;56;57;58;59;60;61;62;63;64;65;66;67;68;69;70;71;72;73;74;75;76;77;78;79;80;81;82;83;84;85;86;87;88;89;90;91;92;93;94;95;96;97;98;99},{100000;130000;160000;190000;220000;250000;300000;350000;400000;450000;500000;600000;700000;800000;900000;1000000;1500000;2000000;3000000;4000000;5000000;6500000;8000000;10000000;12500000;15000000;20000000;25000000;30000000;35000000;40000000;55000000;70000000;80000000;90000000;110000000;130000000;160000000;190000000;220000000;250000000;280000000;310000000;340000000;400000000})</f>
        <v>15000000</v>
      </c>
      <c r="J90" s="7" t="n">
        <f aca="false">I90*S90*T90*U90</f>
        <v>15840000</v>
      </c>
      <c r="K90" s="8"/>
      <c r="L90" s="3"/>
      <c r="M90" s="3"/>
      <c r="N90" s="9" t="n">
        <v>0</v>
      </c>
      <c r="O90" s="4" t="n">
        <v>0</v>
      </c>
      <c r="P90" s="5" t="n">
        <f aca="false">IF(COUNTIF([1]Base_Jugadores!J$2:J$500,B90)&gt;0,1,0)</f>
        <v>0</v>
      </c>
      <c r="Q90" s="10" t="b">
        <f aca="false">--(COUNTIFS(
   [1]Fichajes_Realizados!A$2:A$5000,A90,
   [1]Fichajes_Realizados!G$2:G$5000,$X$3
)&gt;0)</f>
        <v>0</v>
      </c>
      <c r="R90" s="5" t="n">
        <f aca="false">_xlfn.XLOOKUP(C90, [1]Estado_Equipos!A$2:A$500, [1]Estado_Equipos!J$2:J$500, "")</f>
        <v>74</v>
      </c>
      <c r="S90" s="5" t="n">
        <f aca="false">IF(H90&lt;=16,1.45,
IF(H90&gt;=41,0.3,
CHOOSE(ROUNDDOWN((H90-16)/2,0)+1,
1.45,1.38,1.3,1.23,1.17,1.15,1.12,1.05,0.95,0.8,0.6,0.4,0.3)))</f>
        <v>0.8</v>
      </c>
      <c r="T90" s="5" t="n">
        <f aca="false">CHOOSE(N90+1,1.2,1,0.85,0.7)</f>
        <v>1.2</v>
      </c>
      <c r="U90" s="5" t="n">
        <f aca="false">IF(F90="PO",0.6,
IF(F90="CT",0.75,
IF(F90="LI",0.8,
IF(F90="LD",0.8,
IF(F90="MCD",0.85,
IF(F90="MC",0.95,
IF(F90="MO",1.05,
IF(F90="EI",1.1,
IF(F90="ED",1.1,
IF(F90="SD",1.15,
IF(F90="DC",1.2,0)))))))))))</f>
        <v>1.1</v>
      </c>
    </row>
    <row r="91" customFormat="false" ht="16.4" hidden="false" customHeight="false" outlineLevel="0" collapsed="false">
      <c r="A91" s="1" t="n">
        <v>90</v>
      </c>
      <c r="B91" s="5" t="str">
        <f aca="false">[1]Base_Jugadores!B91</f>
        <v>Marco Bellich</v>
      </c>
      <c r="C91" s="5" t="str">
        <f aca="false">IFERROR(
   _xlfn.XLOOKUP(VALUE(A91),[1]Fichajes_Realizados!A$2:A$50000,[1]Fichajes_Realizados!D$2:D$50000,,0,-1),
   _xlfn.XLOOKUP(VALUE(A91),[1]Base_Jugadores!A$2:A$50000,[1]Base_Jugadores!C$2:C$50000)
)</f>
        <v>B-Team</v>
      </c>
      <c r="D91" s="5" t="str">
        <f aca="false">[1]Base_Jugadores!D91</f>
        <v>Italia</v>
      </c>
      <c r="E91" s="3"/>
      <c r="F91" s="5" t="str">
        <f aca="false">[1]Base_Jugadores!E91</f>
        <v>CT</v>
      </c>
      <c r="G91" s="5" t="n">
        <f aca="false">[1]Base_Jugadores!F91</f>
        <v>68</v>
      </c>
      <c r="H91" s="5" t="n">
        <f aca="false">[1]Base_Jugadores!G91</f>
        <v>26</v>
      </c>
      <c r="I91" s="7" t="n">
        <f aca="false" t="array" ref="I91:I91">_xlfn.XLOOKUP(G91,{55;56;57;58;59;60;61;62;63;64;65;66;67;68;69;70;71;72;73;74;75;76;77;78;79;80;81;82;83;84;85;86;87;88;89;90;91;92;93;94;95;96;97;98;99},{100000;130000;160000;190000;220000;250000;300000;350000;400000;450000;500000;600000;700000;800000;900000;1000000;1500000;2000000;3000000;4000000;5000000;6500000;8000000;10000000;12500000;15000000;20000000;25000000;30000000;35000000;40000000;55000000;70000000;80000000;90000000;110000000;130000000;160000000;190000000;220000000;250000000;280000000;310000000;340000000;400000000})</f>
        <v>800000</v>
      </c>
      <c r="J91" s="7" t="n">
        <f aca="false">I91*S91*T91*U91</f>
        <v>586500</v>
      </c>
      <c r="K91" s="3"/>
      <c r="L91" s="3"/>
      <c r="M91" s="3"/>
      <c r="N91" s="9" t="n">
        <v>2</v>
      </c>
      <c r="O91" s="4" t="n">
        <v>0</v>
      </c>
      <c r="P91" s="5" t="n">
        <f aca="false">IF(COUNTIF([1]Base_Jugadores!J$2:J$500,B91)&gt;0,1,0)</f>
        <v>0</v>
      </c>
      <c r="Q91" s="10" t="b">
        <f aca="false">--(COUNTIFS(
   [1]Fichajes_Realizados!A$2:A$5000,A91,
   [1]Fichajes_Realizados!G$2:G$5000,$X$3
)&gt;0)</f>
        <v>0</v>
      </c>
      <c r="R91" s="5" t="n">
        <f aca="false">_xlfn.XLOOKUP(C91, [1]Estado_Equipos!A$2:A$500, [1]Estado_Equipos!J$2:J$500, "")</f>
        <v>74</v>
      </c>
      <c r="S91" s="5" t="n">
        <f aca="false">IF(H91&lt;=16,1.45,
IF(H91&gt;=41,0.3,
CHOOSE(ROUNDDOWN((H91-16)/2,0)+1,
1.45,1.38,1.3,1.23,1.17,1.15,1.12,1.05,0.95,0.8,0.6,0.4,0.3)))</f>
        <v>1.15</v>
      </c>
      <c r="T91" s="5" t="n">
        <f aca="false">CHOOSE(N91+1,1.2,1,0.85,0.7)</f>
        <v>0.85</v>
      </c>
      <c r="U91" s="5" t="n">
        <f aca="false">IF(F91="PO",0.6,
IF(F91="CT",0.75,
IF(F91="LI",0.8,
IF(F91="LD",0.8,
IF(F91="MCD",0.85,
IF(F91="MC",0.95,
IF(F91="MO",1.05,
IF(F91="EI",1.1,
IF(F91="ED",1.1,
IF(F91="SD",1.15,
IF(F91="DC",1.2,0)))))))))))</f>
        <v>0.75</v>
      </c>
    </row>
    <row r="92" customFormat="false" ht="16.4" hidden="false" customHeight="false" outlineLevel="0" collapsed="false">
      <c r="A92" s="1" t="n">
        <v>91</v>
      </c>
      <c r="B92" s="5" t="str">
        <f aca="false">[1]Base_Jugadores!B92</f>
        <v>Marco Meli</v>
      </c>
      <c r="C92" s="5" t="str">
        <f aca="false">IFERROR(
   _xlfn.XLOOKUP(VALUE(A92),[1]Fichajes_Realizados!A$2:A$50000,[1]Fichajes_Realizados!D$2:D$50000,,0,-1),
   _xlfn.XLOOKUP(VALUE(A92),[1]Base_Jugadores!A$2:A$50000,[1]Base_Jugadores!C$2:C$50000)
)</f>
        <v>B-Team</v>
      </c>
      <c r="D92" s="5" t="str">
        <f aca="false">[1]Base_Jugadores!D92</f>
        <v>Italia</v>
      </c>
      <c r="E92" s="3"/>
      <c r="F92" s="5" t="str">
        <f aca="false">[1]Base_Jugadores!E92</f>
        <v>MC</v>
      </c>
      <c r="G92" s="5" t="n">
        <f aca="false">[1]Base_Jugadores!F92</f>
        <v>60</v>
      </c>
      <c r="H92" s="5" t="n">
        <f aca="false">[1]Base_Jugadores!G92</f>
        <v>25</v>
      </c>
      <c r="I92" s="7" t="n">
        <f aca="false" t="array" ref="I92:I92">_xlfn.XLOOKUP(G92,{55;56;57;58;59;60;61;62;63;64;65;66;67;68;69;70;71;72;73;74;75;76;77;78;79;80;81;82;83;84;85;86;87;88;89;90;91;92;93;94;95;96;97;98;99},{100000;130000;160000;190000;220000;250000;300000;350000;400000;450000;500000;600000;700000;800000;900000;1000000;1500000;2000000;3000000;4000000;5000000;6500000;8000000;10000000;12500000;15000000;20000000;25000000;30000000;35000000;40000000;55000000;70000000;80000000;90000000;110000000;130000000;160000000;190000000;220000000;250000000;280000000;310000000;340000000;400000000})</f>
        <v>250000</v>
      </c>
      <c r="J92" s="7" t="n">
        <f aca="false">I92*S92*T92*U92</f>
        <v>236193.75</v>
      </c>
      <c r="K92" s="3"/>
      <c r="L92" s="3"/>
      <c r="M92" s="3"/>
      <c r="N92" s="9" t="n">
        <v>2</v>
      </c>
      <c r="O92" s="4" t="n">
        <v>0</v>
      </c>
      <c r="P92" s="5" t="n">
        <f aca="false">IF(COUNTIF([1]Base_Jugadores!J$2:J$500,B92)&gt;0,1,0)</f>
        <v>0</v>
      </c>
      <c r="Q92" s="10" t="b">
        <f aca="false">--(COUNTIFS(
   [1]Fichajes_Realizados!A$2:A$5000,A92,
   [1]Fichajes_Realizados!G$2:G$5000,$X$3
)&gt;0)</f>
        <v>0</v>
      </c>
      <c r="R92" s="5" t="n">
        <f aca="false">_xlfn.XLOOKUP(C92, [1]Estado_Equipos!A$2:A$500, [1]Estado_Equipos!J$2:J$500, "")</f>
        <v>74</v>
      </c>
      <c r="S92" s="5" t="n">
        <f aca="false">IF(H92&lt;=16,1.45,
IF(H92&gt;=41,0.3,
CHOOSE(ROUNDDOWN((H92-16)/2,0)+1,
1.45,1.38,1.3,1.23,1.17,1.15,1.12,1.05,0.95,0.8,0.6,0.4,0.3)))</f>
        <v>1.17</v>
      </c>
      <c r="T92" s="5" t="n">
        <f aca="false">CHOOSE(N92+1,1.2,1,0.85,0.7)</f>
        <v>0.85</v>
      </c>
      <c r="U92" s="5" t="n">
        <f aca="false">IF(F92="PO",0.6,
IF(F92="CT",0.75,
IF(F92="LI",0.8,
IF(F92="LD",0.8,
IF(F92="MCD",0.85,
IF(F92="MC",0.95,
IF(F92="MO",1.05,
IF(F92="EI",1.1,
IF(F92="ED",1.1,
IF(F92="SD",1.15,
IF(F92="DC",1.2,0)))))))))))</f>
        <v>0.95</v>
      </c>
    </row>
    <row r="93" customFormat="false" ht="16.4" hidden="false" customHeight="false" outlineLevel="0" collapsed="false">
      <c r="A93" s="1" t="n">
        <v>92</v>
      </c>
      <c r="B93" s="5" t="str">
        <f aca="false">[1]Base_Jugadores!B93</f>
        <v>Martín Campaña</v>
      </c>
      <c r="C93" s="5" t="str">
        <f aca="false">IFERROR(
   _xlfn.XLOOKUP(VALUE(A93),[1]Fichajes_Realizados!A$2:A$50000,[1]Fichajes_Realizados!D$2:D$50000,,0,-1),
   _xlfn.XLOOKUP(VALUE(A93),[1]Base_Jugadores!A$2:A$50000,[1]Base_Jugadores!C$2:C$50000)
)</f>
        <v>B-Team</v>
      </c>
      <c r="D93" s="5" t="str">
        <f aca="false">[1]Base_Jugadores!D93</f>
        <v>Uruguay</v>
      </c>
      <c r="E93" s="3"/>
      <c r="F93" s="5" t="str">
        <f aca="false">[1]Base_Jugadores!E93</f>
        <v>PO</v>
      </c>
      <c r="G93" s="5" t="n">
        <f aca="false">[1]Base_Jugadores!F93</f>
        <v>75</v>
      </c>
      <c r="H93" s="5" t="n">
        <f aca="false">[1]Base_Jugadores!G93</f>
        <v>36</v>
      </c>
      <c r="I93" s="7" t="n">
        <f aca="false" t="array" ref="I93:I93">_xlfn.XLOOKUP(G93,{55;56;57;58;59;60;61;62;63;64;65;66;67;68;69;70;71;72;73;74;75;76;77;78;79;80;81;82;83;84;85;86;87;88;89;90;91;92;93;94;95;96;97;98;99},{100000;130000;160000;190000;220000;250000;300000;350000;400000;450000;500000;600000;700000;800000;900000;1000000;1500000;2000000;3000000;4000000;5000000;6500000;8000000;10000000;12500000;15000000;20000000;25000000;30000000;35000000;40000000;55000000;70000000;80000000;90000000;110000000;130000000;160000000;190000000;220000000;250000000;280000000;310000000;340000000;400000000})</f>
        <v>5000000</v>
      </c>
      <c r="J93" s="7" t="n">
        <f aca="false">I93*S93*T93*U93</f>
        <v>1530000</v>
      </c>
      <c r="K93" s="8"/>
      <c r="L93" s="3"/>
      <c r="M93" s="3"/>
      <c r="N93" s="9" t="n">
        <v>2</v>
      </c>
      <c r="O93" s="4" t="n">
        <v>0</v>
      </c>
      <c r="P93" s="5" t="n">
        <f aca="false">IF(COUNTIF([1]Base_Jugadores!J$2:J$500,B93)&gt;0,1,0)</f>
        <v>0</v>
      </c>
      <c r="Q93" s="10" t="b">
        <f aca="false">--(COUNTIFS(
   [1]Fichajes_Realizados!A$2:A$5000,A93,
   [1]Fichajes_Realizados!G$2:G$5000,$X$3
)&gt;0)</f>
        <v>0</v>
      </c>
      <c r="R93" s="5" t="n">
        <f aca="false">_xlfn.XLOOKUP(C93, [1]Estado_Equipos!A$2:A$500, [1]Estado_Equipos!J$2:J$500, "")</f>
        <v>74</v>
      </c>
      <c r="S93" s="5" t="n">
        <f aca="false">IF(H93&lt;=16,1.45,
IF(H93&gt;=41,0.3,
CHOOSE(ROUNDDOWN((H93-16)/2,0)+1,
1.45,1.38,1.3,1.23,1.17,1.15,1.12,1.05,0.95,0.8,0.6,0.4,0.3)))</f>
        <v>0.6</v>
      </c>
      <c r="T93" s="5" t="n">
        <f aca="false">CHOOSE(N93+1,1.2,1,0.85,0.7)</f>
        <v>0.85</v>
      </c>
      <c r="U93" s="5" t="n">
        <f aca="false">IF(F93="PO",0.6,
IF(F93="CT",0.75,
IF(F93="LI",0.8,
IF(F93="LD",0.8,
IF(F93="MCD",0.85,
IF(F93="MC",0.95,
IF(F93="MO",1.05,
IF(F93="EI",1.1,
IF(F93="ED",1.1,
IF(F93="SD",1.15,
IF(F93="DC",1.2,0)))))))))))</f>
        <v>0.6</v>
      </c>
    </row>
    <row r="94" customFormat="false" ht="16.4" hidden="false" customHeight="false" outlineLevel="0" collapsed="false">
      <c r="A94" s="1" t="n">
        <v>93</v>
      </c>
      <c r="B94" s="5" t="str">
        <f aca="false">[1]Base_Jugadores!B94</f>
        <v>Myrto Uzuni</v>
      </c>
      <c r="C94" s="5" t="str">
        <f aca="false">IFERROR(
   _xlfn.XLOOKUP(VALUE(A94),[1]Fichajes_Realizados!A$2:A$50000,[1]Fichajes_Realizados!D$2:D$50000,,0,-1),
   _xlfn.XLOOKUP(VALUE(A94),[1]Base_Jugadores!A$2:A$50000,[1]Base_Jugadores!C$2:C$50000)
)</f>
        <v>B-Team</v>
      </c>
      <c r="D94" s="5" t="str">
        <f aca="false">[1]Base_Jugadores!D94</f>
        <v>Albania</v>
      </c>
      <c r="E94" s="3"/>
      <c r="F94" s="5" t="str">
        <f aca="false">[1]Base_Jugadores!E94</f>
        <v>EI</v>
      </c>
      <c r="G94" s="5" t="n">
        <f aca="false">[1]Base_Jugadores!F94</f>
        <v>77</v>
      </c>
      <c r="H94" s="5" t="n">
        <f aca="false">[1]Base_Jugadores!G94</f>
        <v>30</v>
      </c>
      <c r="I94" s="7" t="n">
        <f aca="false" t="array" ref="I94:I94">_xlfn.XLOOKUP(G94,{55;56;57;58;59;60;61;62;63;64;65;66;67;68;69;70;71;72;73;74;75;76;77;78;79;80;81;82;83;84;85;86;87;88;89;90;91;92;93;94;95;96;97;98;99},{100000;130000;160000;190000;220000;250000;300000;350000;400000;450000;500000;600000;700000;800000;900000;1000000;1500000;2000000;3000000;4000000;5000000;6500000;8000000;10000000;12500000;15000000;20000000;25000000;30000000;35000000;40000000;55000000;70000000;80000000;90000000;110000000;130000000;160000000;190000000;220000000;250000000;280000000;310000000;340000000;400000000})</f>
        <v>8000000</v>
      </c>
      <c r="J94" s="7" t="n">
        <f aca="false">I94*S94*T94*U94</f>
        <v>11088000</v>
      </c>
      <c r="K94" s="8"/>
      <c r="L94" s="3"/>
      <c r="M94" s="3"/>
      <c r="N94" s="9" t="n">
        <v>0</v>
      </c>
      <c r="O94" s="4" t="n">
        <v>0</v>
      </c>
      <c r="P94" s="5" t="n">
        <f aca="false">IF(COUNTIF([1]Base_Jugadores!J$2:J$500,B94)&gt;0,1,0)</f>
        <v>0</v>
      </c>
      <c r="Q94" s="10" t="b">
        <f aca="false">--(COUNTIFS(
   [1]Fichajes_Realizados!A$2:A$5000,A94,
   [1]Fichajes_Realizados!G$2:G$5000,$X$3
)&gt;0)</f>
        <v>0</v>
      </c>
      <c r="R94" s="5" t="n">
        <f aca="false">_xlfn.XLOOKUP(C94, [1]Estado_Equipos!A$2:A$500, [1]Estado_Equipos!J$2:J$500, "")</f>
        <v>74</v>
      </c>
      <c r="S94" s="5" t="n">
        <f aca="false">IF(H94&lt;=16,1.45,
IF(H94&gt;=41,0.3,
CHOOSE(ROUNDDOWN((H94-16)/2,0)+1,
1.45,1.38,1.3,1.23,1.17,1.15,1.12,1.05,0.95,0.8,0.6,0.4,0.3)))</f>
        <v>1.05</v>
      </c>
      <c r="T94" s="5" t="n">
        <f aca="false">CHOOSE(N94+1,1.2,1,0.85,0.7)</f>
        <v>1.2</v>
      </c>
      <c r="U94" s="5" t="n">
        <f aca="false">IF(F94="PO",0.6,
IF(F94="CT",0.75,
IF(F94="LI",0.8,
IF(F94="LD",0.8,
IF(F94="MCD",0.85,
IF(F94="MC",0.95,
IF(F94="MO",1.05,
IF(F94="EI",1.1,
IF(F94="ED",1.1,
IF(F94="SD",1.15,
IF(F94="DC",1.2,0)))))))))))</f>
        <v>1.1</v>
      </c>
    </row>
    <row r="95" customFormat="false" ht="16.4" hidden="false" customHeight="false" outlineLevel="0" collapsed="false">
      <c r="A95" s="1" t="n">
        <v>94</v>
      </c>
      <c r="B95" s="5" t="str">
        <f aca="false">[1]Base_Jugadores!B95</f>
        <v>Nahitan Nández</v>
      </c>
      <c r="C95" s="5" t="str">
        <f aca="false">IFERROR(
   _xlfn.XLOOKUP(VALUE(A95),[1]Fichajes_Realizados!A$2:A$50000,[1]Fichajes_Realizados!D$2:D$50000,,0,-1),
   _xlfn.XLOOKUP(VALUE(A95),[1]Base_Jugadores!A$2:A$50000,[1]Base_Jugadores!C$2:C$50000)
)</f>
        <v>B-Team</v>
      </c>
      <c r="D95" s="5" t="str">
        <f aca="false">[1]Base_Jugadores!D95</f>
        <v>Uruguay</v>
      </c>
      <c r="E95" s="3"/>
      <c r="F95" s="5" t="str">
        <f aca="false">[1]Base_Jugadores!E95</f>
        <v>MC</v>
      </c>
      <c r="G95" s="5" t="n">
        <f aca="false">[1]Base_Jugadores!F95</f>
        <v>77</v>
      </c>
      <c r="H95" s="5" t="n">
        <f aca="false">[1]Base_Jugadores!G95</f>
        <v>30</v>
      </c>
      <c r="I95" s="7" t="n">
        <f aca="false" t="array" ref="I95:I95">_xlfn.XLOOKUP(G95,{55;56;57;58;59;60;61;62;63;64;65;66;67;68;69;70;71;72;73;74;75;76;77;78;79;80;81;82;83;84;85;86;87;88;89;90;91;92;93;94;95;96;97;98;99},{100000;130000;160000;190000;220000;250000;300000;350000;400000;450000;500000;600000;700000;800000;900000;1000000;1500000;2000000;3000000;4000000;5000000;6500000;8000000;10000000;12500000;15000000;20000000;25000000;30000000;35000000;40000000;55000000;70000000;80000000;90000000;110000000;130000000;160000000;190000000;220000000;250000000;280000000;310000000;340000000;400000000})</f>
        <v>8000000</v>
      </c>
      <c r="J95" s="7" t="n">
        <f aca="false">I95*S95*T95*U95</f>
        <v>9576000</v>
      </c>
      <c r="K95" s="8"/>
      <c r="L95" s="3"/>
      <c r="M95" s="3"/>
      <c r="N95" s="9" t="n">
        <v>0</v>
      </c>
      <c r="O95" s="4" t="n">
        <v>0</v>
      </c>
      <c r="P95" s="5" t="n">
        <f aca="false">IF(COUNTIF([1]Base_Jugadores!J$2:J$500,B95)&gt;0,1,0)</f>
        <v>0</v>
      </c>
      <c r="Q95" s="10" t="b">
        <f aca="false">--(COUNTIFS(
   [1]Fichajes_Realizados!A$2:A$5000,A95,
   [1]Fichajes_Realizados!G$2:G$5000,$X$3
)&gt;0)</f>
        <v>0</v>
      </c>
      <c r="R95" s="5" t="n">
        <f aca="false">_xlfn.XLOOKUP(C95, [1]Estado_Equipos!A$2:A$500, [1]Estado_Equipos!J$2:J$500, "")</f>
        <v>74</v>
      </c>
      <c r="S95" s="5" t="n">
        <f aca="false">IF(H95&lt;=16,1.45,
IF(H95&gt;=41,0.3,
CHOOSE(ROUNDDOWN((H95-16)/2,0)+1,
1.45,1.38,1.3,1.23,1.17,1.15,1.12,1.05,0.95,0.8,0.6,0.4,0.3)))</f>
        <v>1.05</v>
      </c>
      <c r="T95" s="5" t="n">
        <f aca="false">CHOOSE(N95+1,1.2,1,0.85,0.7)</f>
        <v>1.2</v>
      </c>
      <c r="U95" s="5" t="n">
        <f aca="false">IF(F95="PO",0.6,
IF(F95="CT",0.75,
IF(F95="LI",0.8,
IF(F95="LD",0.8,
IF(F95="MCD",0.85,
IF(F95="MC",0.95,
IF(F95="MO",1.05,
IF(F95="EI",1.1,
IF(F95="ED",1.1,
IF(F95="SD",1.15,
IF(F95="DC",1.2,0)))))))))))</f>
        <v>0.95</v>
      </c>
    </row>
    <row r="96" customFormat="false" ht="16.4" hidden="false" customHeight="false" outlineLevel="0" collapsed="false">
      <c r="A96" s="1" t="n">
        <v>95</v>
      </c>
      <c r="B96" s="5" t="str">
        <f aca="false">[1]Base_Jugadores!B96</f>
        <v>Nico Schulz</v>
      </c>
      <c r="C96" s="5" t="str">
        <f aca="false">IFERROR(
   _xlfn.XLOOKUP(VALUE(A96),[1]Fichajes_Realizados!A$2:A$50000,[1]Fichajes_Realizados!D$2:D$50000,,0,-1),
   _xlfn.XLOOKUP(VALUE(A96),[1]Base_Jugadores!A$2:A$50000,[1]Base_Jugadores!C$2:C$50000)
)</f>
        <v>B-Team</v>
      </c>
      <c r="D96" s="5" t="str">
        <f aca="false">[1]Base_Jugadores!D96</f>
        <v>Alemania</v>
      </c>
      <c r="E96" s="3"/>
      <c r="F96" s="5" t="str">
        <f aca="false">[1]Base_Jugadores!E96</f>
        <v>LI</v>
      </c>
      <c r="G96" s="5" t="n">
        <f aca="false">[1]Base_Jugadores!F96</f>
        <v>75</v>
      </c>
      <c r="H96" s="5" t="n">
        <f aca="false">[1]Base_Jugadores!G96</f>
        <v>32</v>
      </c>
      <c r="I96" s="7" t="n">
        <f aca="false" t="array" ref="I96:I96">_xlfn.XLOOKUP(G96,{55;56;57;58;59;60;61;62;63;64;65;66;67;68;69;70;71;72;73;74;75;76;77;78;79;80;81;82;83;84;85;86;87;88;89;90;91;92;93;94;95;96;97;98;99},{100000;130000;160000;190000;220000;250000;300000;350000;400000;450000;500000;600000;700000;800000;900000;1000000;1500000;2000000;3000000;4000000;5000000;6500000;8000000;10000000;12500000;15000000;20000000;25000000;30000000;35000000;40000000;55000000;70000000;80000000;90000000;110000000;130000000;160000000;190000000;220000000;250000000;280000000;310000000;340000000;400000000})</f>
        <v>5000000</v>
      </c>
      <c r="J96" s="7" t="n">
        <f aca="false">I96*S96*T96*U96</f>
        <v>4560000</v>
      </c>
      <c r="K96" s="8"/>
      <c r="L96" s="3"/>
      <c r="M96" s="3"/>
      <c r="N96" s="9" t="n">
        <v>0</v>
      </c>
      <c r="O96" s="4" t="n">
        <v>0</v>
      </c>
      <c r="P96" s="5" t="n">
        <f aca="false">IF(COUNTIF([1]Base_Jugadores!J$2:J$500,B96)&gt;0,1,0)</f>
        <v>0</v>
      </c>
      <c r="Q96" s="10" t="b">
        <f aca="false">--(COUNTIFS(
   [1]Fichajes_Realizados!A$2:A$5000,A96,
   [1]Fichajes_Realizados!G$2:G$5000,$X$3
)&gt;0)</f>
        <v>0</v>
      </c>
      <c r="R96" s="5" t="n">
        <f aca="false">_xlfn.XLOOKUP(C96, [1]Estado_Equipos!A$2:A$500, [1]Estado_Equipos!J$2:J$500, "")</f>
        <v>74</v>
      </c>
      <c r="S96" s="5" t="n">
        <f aca="false">IF(H96&lt;=16,1.45,
IF(H96&gt;=41,0.3,
CHOOSE(ROUNDDOWN((H96-16)/2,0)+1,
1.45,1.38,1.3,1.23,1.17,1.15,1.12,1.05,0.95,0.8,0.6,0.4,0.3)))</f>
        <v>0.95</v>
      </c>
      <c r="T96" s="5" t="n">
        <f aca="false">CHOOSE(N96+1,1.2,1,0.85,0.7)</f>
        <v>1.2</v>
      </c>
      <c r="U96" s="5" t="n">
        <f aca="false">IF(F96="PO",0.6,
IF(F96="CT",0.75,
IF(F96="LI",0.8,
IF(F96="LD",0.8,
IF(F96="MCD",0.85,
IF(F96="MC",0.95,
IF(F96="MO",1.05,
IF(F96="EI",1.1,
IF(F96="ED",1.1,
IF(F96="SD",1.15,
IF(F96="DC",1.2,0)))))))))))</f>
        <v>0.8</v>
      </c>
    </row>
    <row r="97" customFormat="false" ht="16.4" hidden="false" customHeight="false" outlineLevel="0" collapsed="false">
      <c r="A97" s="1" t="n">
        <v>96</v>
      </c>
      <c r="B97" s="5" t="str">
        <f aca="false">[1]Base_Jugadores!B97</f>
        <v>Predrag Rajković</v>
      </c>
      <c r="C97" s="5" t="str">
        <f aca="false">IFERROR(
   _xlfn.XLOOKUP(VALUE(A97),[1]Fichajes_Realizados!A$2:A$50000,[1]Fichajes_Realizados!D$2:D$50000,,0,-1),
   _xlfn.XLOOKUP(VALUE(A97),[1]Base_Jugadores!A$2:A$50000,[1]Base_Jugadores!C$2:C$50000)
)</f>
        <v>B-Team</v>
      </c>
      <c r="D97" s="5" t="str">
        <f aca="false">[1]Base_Jugadores!D97</f>
        <v>Serbia</v>
      </c>
      <c r="E97" s="3"/>
      <c r="F97" s="5" t="str">
        <f aca="false">[1]Base_Jugadores!E97</f>
        <v>PO</v>
      </c>
      <c r="G97" s="5" t="n">
        <f aca="false">[1]Base_Jugadores!F97</f>
        <v>79</v>
      </c>
      <c r="H97" s="5" t="n">
        <f aca="false">[1]Base_Jugadores!G97</f>
        <v>30</v>
      </c>
      <c r="I97" s="7" t="n">
        <f aca="false" t="array" ref="I97:I97">_xlfn.XLOOKUP(G97,{55;56;57;58;59;60;61;62;63;64;65;66;67;68;69;70;71;72;73;74;75;76;77;78;79;80;81;82;83;84;85;86;87;88;89;90;91;92;93;94;95;96;97;98;99},{100000;130000;160000;190000;220000;250000;300000;350000;400000;450000;500000;600000;700000;800000;900000;1000000;1500000;2000000;3000000;4000000;5000000;6500000;8000000;10000000;12500000;15000000;20000000;25000000;30000000;35000000;40000000;55000000;70000000;80000000;90000000;110000000;130000000;160000000;190000000;220000000;250000000;280000000;310000000;340000000;400000000})</f>
        <v>12500000</v>
      </c>
      <c r="J97" s="7" t="n">
        <f aca="false">I97*S97*T97*U97</f>
        <v>9450000</v>
      </c>
      <c r="K97" s="8"/>
      <c r="L97" s="3"/>
      <c r="M97" s="3"/>
      <c r="N97" s="9" t="n">
        <v>0</v>
      </c>
      <c r="O97" s="4" t="n">
        <v>0</v>
      </c>
      <c r="P97" s="5" t="n">
        <f aca="false">IF(COUNTIF([1]Base_Jugadores!J$2:J$500,B97)&gt;0,1,0)</f>
        <v>0</v>
      </c>
      <c r="Q97" s="10" t="b">
        <f aca="false">--(COUNTIFS(
   [1]Fichajes_Realizados!A$2:A$5000,A97,
   [1]Fichajes_Realizados!G$2:G$5000,$X$3
)&gt;0)</f>
        <v>0</v>
      </c>
      <c r="R97" s="5" t="n">
        <f aca="false">_xlfn.XLOOKUP(C97, [1]Estado_Equipos!A$2:A$500, [1]Estado_Equipos!J$2:J$500, "")</f>
        <v>74</v>
      </c>
      <c r="S97" s="5" t="n">
        <f aca="false">IF(H97&lt;=16,1.45,
IF(H97&gt;=41,0.3,
CHOOSE(ROUNDDOWN((H97-16)/2,0)+1,
1.45,1.38,1.3,1.23,1.17,1.15,1.12,1.05,0.95,0.8,0.6,0.4,0.3)))</f>
        <v>1.05</v>
      </c>
      <c r="T97" s="5" t="n">
        <f aca="false">CHOOSE(N97+1,1.2,1,0.85,0.7)</f>
        <v>1.2</v>
      </c>
      <c r="U97" s="5" t="n">
        <f aca="false">IF(F97="PO",0.6,
IF(F97="CT",0.75,
IF(F97="LI",0.8,
IF(F97="LD",0.8,
IF(F97="MCD",0.85,
IF(F97="MC",0.95,
IF(F97="MO",1.05,
IF(F97="EI",1.1,
IF(F97="ED",1.1,
IF(F97="SD",1.15,
IF(F97="DC",1.2,0)))))))))))</f>
        <v>0.6</v>
      </c>
    </row>
    <row r="98" customFormat="false" ht="16.4" hidden="false" customHeight="false" outlineLevel="0" collapsed="false">
      <c r="A98" s="1" t="n">
        <v>97</v>
      </c>
      <c r="B98" s="5" t="str">
        <f aca="false">[1]Base_Jugadores!B98</f>
        <v>Robin Knoche</v>
      </c>
      <c r="C98" s="5" t="str">
        <f aca="false">IFERROR(
   _xlfn.XLOOKUP(VALUE(A98),[1]Fichajes_Realizados!A$2:A$50000,[1]Fichajes_Realizados!D$2:D$50000,,0,-1),
   _xlfn.XLOOKUP(VALUE(A98),[1]Base_Jugadores!A$2:A$50000,[1]Base_Jugadores!C$2:C$50000)
)</f>
        <v>B-Team</v>
      </c>
      <c r="D98" s="5" t="str">
        <f aca="false">[1]Base_Jugadores!D98</f>
        <v>Alemania</v>
      </c>
      <c r="E98" s="3"/>
      <c r="F98" s="5" t="str">
        <f aca="false">[1]Base_Jugadores!E98</f>
        <v>CT</v>
      </c>
      <c r="G98" s="5" t="n">
        <f aca="false">[1]Base_Jugadores!F98</f>
        <v>77</v>
      </c>
      <c r="H98" s="5" t="n">
        <f aca="false">[1]Base_Jugadores!G98</f>
        <v>33</v>
      </c>
      <c r="I98" s="7" t="n">
        <f aca="false" t="array" ref="I98:I98">_xlfn.XLOOKUP(G98,{55;56;57;58;59;60;61;62;63;64;65;66;67;68;69;70;71;72;73;74;75;76;77;78;79;80;81;82;83;84;85;86;87;88;89;90;91;92;93;94;95;96;97;98;99},{100000;130000;160000;190000;220000;250000;300000;350000;400000;450000;500000;600000;700000;800000;900000;1000000;1500000;2000000;3000000;4000000;5000000;6500000;8000000;10000000;12500000;15000000;20000000;25000000;30000000;35000000;40000000;55000000;70000000;80000000;90000000;110000000;130000000;160000000;190000000;220000000;250000000;280000000;310000000;340000000;400000000})</f>
        <v>8000000</v>
      </c>
      <c r="J98" s="7" t="n">
        <f aca="false">I98*S98*T98*U98</f>
        <v>6840000</v>
      </c>
      <c r="K98" s="8"/>
      <c r="L98" s="3"/>
      <c r="M98" s="3"/>
      <c r="N98" s="9" t="n">
        <v>0</v>
      </c>
      <c r="O98" s="4" t="n">
        <v>0</v>
      </c>
      <c r="P98" s="5" t="n">
        <f aca="false">IF(COUNTIF([1]Base_Jugadores!J$2:J$500,B98)&gt;0,1,0)</f>
        <v>0</v>
      </c>
      <c r="Q98" s="10" t="b">
        <f aca="false">--(COUNTIFS(
   [1]Fichajes_Realizados!A$2:A$5000,A98,
   [1]Fichajes_Realizados!G$2:G$5000,$X$3
)&gt;0)</f>
        <v>0</v>
      </c>
      <c r="R98" s="5" t="n">
        <f aca="false">_xlfn.XLOOKUP(C98, [1]Estado_Equipos!A$2:A$500, [1]Estado_Equipos!J$2:J$500, "")</f>
        <v>74</v>
      </c>
      <c r="S98" s="5" t="n">
        <f aca="false">IF(H98&lt;=16,1.45,
IF(H98&gt;=41,0.3,
CHOOSE(ROUNDDOWN((H98-16)/2,0)+1,
1.45,1.38,1.3,1.23,1.17,1.15,1.12,1.05,0.95,0.8,0.6,0.4,0.3)))</f>
        <v>0.95</v>
      </c>
      <c r="T98" s="5" t="n">
        <f aca="false">CHOOSE(N98+1,1.2,1,0.85,0.7)</f>
        <v>1.2</v>
      </c>
      <c r="U98" s="5" t="n">
        <f aca="false">IF(F98="PO",0.6,
IF(F98="CT",0.75,
IF(F98="LI",0.8,
IF(F98="LD",0.8,
IF(F98="MCD",0.85,
IF(F98="MC",0.95,
IF(F98="MO",1.05,
IF(F98="EI",1.1,
IF(F98="ED",1.1,
IF(F98="SD",1.15,
IF(F98="DC",1.2,0)))))))))))</f>
        <v>0.75</v>
      </c>
    </row>
    <row r="99" customFormat="false" ht="16.4" hidden="false" customHeight="false" outlineLevel="0" collapsed="false">
      <c r="A99" s="1" t="n">
        <v>98</v>
      </c>
      <c r="B99" s="5" t="str">
        <f aca="false">[1]Base_Jugadores!B99</f>
        <v>Rodrigo Caio</v>
      </c>
      <c r="C99" s="5" t="str">
        <f aca="false">IFERROR(
   _xlfn.XLOOKUP(VALUE(A99),[1]Fichajes_Realizados!A$2:A$50000,[1]Fichajes_Realizados!D$2:D$50000,,0,-1),
   _xlfn.XLOOKUP(VALUE(A99),[1]Base_Jugadores!A$2:A$50000,[1]Base_Jugadores!C$2:C$50000)
)</f>
        <v>B-Team</v>
      </c>
      <c r="D99" s="5" t="str">
        <f aca="false">[1]Base_Jugadores!D99</f>
        <v>Brasil</v>
      </c>
      <c r="E99" s="3"/>
      <c r="F99" s="5" t="str">
        <f aca="false">[1]Base_Jugadores!E99</f>
        <v>CT</v>
      </c>
      <c r="G99" s="5" t="n">
        <f aca="false">[1]Base_Jugadores!F99</f>
        <v>75</v>
      </c>
      <c r="H99" s="5" t="n">
        <f aca="false">[1]Base_Jugadores!G99</f>
        <v>32</v>
      </c>
      <c r="I99" s="7" t="n">
        <f aca="false" t="array" ref="I99:I99">_xlfn.XLOOKUP(G99,{55;56;57;58;59;60;61;62;63;64;65;66;67;68;69;70;71;72;73;74;75;76;77;78;79;80;81;82;83;84;85;86;87;88;89;90;91;92;93;94;95;96;97;98;99},{100000;130000;160000;190000;220000;250000;300000;350000;400000;450000;500000;600000;700000;800000;900000;1000000;1500000;2000000;3000000;4000000;5000000;6500000;8000000;10000000;12500000;15000000;20000000;25000000;30000000;35000000;40000000;55000000;70000000;80000000;90000000;110000000;130000000;160000000;190000000;220000000;250000000;280000000;310000000;340000000;400000000})</f>
        <v>5000000</v>
      </c>
      <c r="J99" s="7" t="n">
        <f aca="false">I99*S99*T99*U99</f>
        <v>3562500</v>
      </c>
      <c r="K99" s="8"/>
      <c r="L99" s="3"/>
      <c r="M99" s="3"/>
      <c r="N99" s="9" t="n">
        <v>1</v>
      </c>
      <c r="O99" s="4" t="n">
        <v>0</v>
      </c>
      <c r="P99" s="5" t="n">
        <f aca="false">IF(COUNTIF([1]Base_Jugadores!J$2:J$500,B99)&gt;0,1,0)</f>
        <v>0</v>
      </c>
      <c r="Q99" s="10" t="b">
        <f aca="false">--(COUNTIFS(
   [1]Fichajes_Realizados!A$2:A$5000,A99,
   [1]Fichajes_Realizados!G$2:G$5000,$X$3
)&gt;0)</f>
        <v>0</v>
      </c>
      <c r="R99" s="5" t="n">
        <f aca="false">_xlfn.XLOOKUP(C99, [1]Estado_Equipos!A$2:A$500, [1]Estado_Equipos!J$2:J$500, "")</f>
        <v>74</v>
      </c>
      <c r="S99" s="5" t="n">
        <f aca="false">IF(H99&lt;=16,1.45,
IF(H99&gt;=41,0.3,
CHOOSE(ROUNDDOWN((H99-16)/2,0)+1,
1.45,1.38,1.3,1.23,1.17,1.15,1.12,1.05,0.95,0.8,0.6,0.4,0.3)))</f>
        <v>0.95</v>
      </c>
      <c r="T99" s="5" t="n">
        <f aca="false">CHOOSE(N99+1,1.2,1,0.85,0.7)</f>
        <v>1</v>
      </c>
      <c r="U99" s="5" t="n">
        <f aca="false">IF(F99="PO",0.6,
IF(F99="CT",0.75,
IF(F99="LI",0.8,
IF(F99="LD",0.8,
IF(F99="MCD",0.85,
IF(F99="MC",0.95,
IF(F99="MO",1.05,
IF(F99="EI",1.1,
IF(F99="ED",1.1,
IF(F99="SD",1.15,
IF(F99="DC",1.2,0)))))))))))</f>
        <v>0.75</v>
      </c>
    </row>
    <row r="100" customFormat="false" ht="16.4" hidden="false" customHeight="false" outlineLevel="0" collapsed="false">
      <c r="A100" s="1" t="n">
        <v>99</v>
      </c>
      <c r="B100" s="5" t="str">
        <f aca="false">[1]Base_Jugadores!B100</f>
        <v>Sammy Ameobi</v>
      </c>
      <c r="C100" s="5" t="str">
        <f aca="false">IFERROR(
   _xlfn.XLOOKUP(VALUE(A100),[1]Fichajes_Realizados!A$2:A$50000,[1]Fichajes_Realizados!D$2:D$50000,,0,-1),
   _xlfn.XLOOKUP(VALUE(A100),[1]Base_Jugadores!A$2:A$50000,[1]Base_Jugadores!C$2:C$50000)
)</f>
        <v>B-Team</v>
      </c>
      <c r="D100" s="5" t="str">
        <f aca="false">[1]Base_Jugadores!D100</f>
        <v>Inglaterra</v>
      </c>
      <c r="E100" s="3"/>
      <c r="F100" s="5" t="str">
        <f aca="false">[1]Base_Jugadores!E100</f>
        <v>EI</v>
      </c>
      <c r="G100" s="5" t="n">
        <f aca="false">[1]Base_Jugadores!F100</f>
        <v>72</v>
      </c>
      <c r="H100" s="5" t="n">
        <f aca="false">[1]Base_Jugadores!G100</f>
        <v>33</v>
      </c>
      <c r="I100" s="7" t="n">
        <f aca="false" t="array" ref="I100:I100">_xlfn.XLOOKUP(G100,{55;56;57;58;59;60;61;62;63;64;65;66;67;68;69;70;71;72;73;74;75;76;77;78;79;80;81;82;83;84;85;86;87;88;89;90;91;92;93;94;95;96;97;98;99},{100000;130000;160000;190000;220000;250000;300000;350000;400000;450000;500000;600000;700000;800000;900000;1000000;1500000;2000000;3000000;4000000;5000000;6500000;8000000;10000000;12500000;15000000;20000000;25000000;30000000;35000000;40000000;55000000;70000000;80000000;90000000;110000000;130000000;160000000;190000000;220000000;250000000;280000000;310000000;340000000;400000000})</f>
        <v>2000000</v>
      </c>
      <c r="J100" s="7" t="n">
        <f aca="false">I100*S100*T100*U100</f>
        <v>2090000</v>
      </c>
      <c r="K100" s="8"/>
      <c r="L100" s="3"/>
      <c r="M100" s="8"/>
      <c r="N100" s="9" t="n">
        <v>1</v>
      </c>
      <c r="O100" s="4" t="n">
        <v>0</v>
      </c>
      <c r="P100" s="5" t="n">
        <f aca="false">IF(COUNTIF([1]Base_Jugadores!J$2:J$500,B100)&gt;0,1,0)</f>
        <v>0</v>
      </c>
      <c r="Q100" s="10" t="b">
        <f aca="false">--(COUNTIFS(
   [1]Fichajes_Realizados!A$2:A$5000,A100,
   [1]Fichajes_Realizados!G$2:G$5000,$X$3
)&gt;0)</f>
        <v>0</v>
      </c>
      <c r="R100" s="5" t="n">
        <f aca="false">_xlfn.XLOOKUP(C100, [1]Estado_Equipos!A$2:A$500, [1]Estado_Equipos!J$2:J$500, "")</f>
        <v>74</v>
      </c>
      <c r="S100" s="5" t="n">
        <f aca="false">IF(H100&lt;=16,1.45,
IF(H100&gt;=41,0.3,
CHOOSE(ROUNDDOWN((H100-16)/2,0)+1,
1.45,1.38,1.3,1.23,1.17,1.15,1.12,1.05,0.95,0.8,0.6,0.4,0.3)))</f>
        <v>0.95</v>
      </c>
      <c r="T100" s="5" t="n">
        <f aca="false">CHOOSE(N100+1,1.2,1,0.85,0.7)</f>
        <v>1</v>
      </c>
      <c r="U100" s="5" t="n">
        <f aca="false">IF(F100="PO",0.6,
IF(F100="CT",0.75,
IF(F100="LI",0.8,
IF(F100="LD",0.8,
IF(F100="MCD",0.85,
IF(F100="MC",0.95,
IF(F100="MO",1.05,
IF(F100="EI",1.1,
IF(F100="ED",1.1,
IF(F100="SD",1.15,
IF(F100="DC",1.2,0)))))))))))</f>
        <v>1.1</v>
      </c>
    </row>
    <row r="101" customFormat="false" ht="16.4" hidden="false" customHeight="false" outlineLevel="0" collapsed="false">
      <c r="A101" s="1" t="n">
        <v>100</v>
      </c>
      <c r="B101" s="5" t="str">
        <f aca="false">[1]Base_Jugadores!B101</f>
        <v>Thomas Goiginger</v>
      </c>
      <c r="C101" s="5" t="str">
        <f aca="false">IFERROR(
   _xlfn.XLOOKUP(VALUE(A101),[1]Fichajes_Realizados!A$2:A$50000,[1]Fichajes_Realizados!D$2:D$50000,,0,-1),
   _xlfn.XLOOKUP(VALUE(A101),[1]Base_Jugadores!A$2:A$50000,[1]Base_Jugadores!C$2:C$50000)
)</f>
        <v>B-Team</v>
      </c>
      <c r="D101" s="5" t="str">
        <f aca="false">[1]Base_Jugadores!D101</f>
        <v>Austria</v>
      </c>
      <c r="E101" s="3"/>
      <c r="F101" s="5" t="str">
        <f aca="false">[1]Base_Jugadores!E101</f>
        <v>EI</v>
      </c>
      <c r="G101" s="5" t="n">
        <f aca="false">[1]Base_Jugadores!F101</f>
        <v>73</v>
      </c>
      <c r="H101" s="5" t="n">
        <f aca="false">[1]Base_Jugadores!G101</f>
        <v>32</v>
      </c>
      <c r="I101" s="7" t="n">
        <f aca="false" t="array" ref="I101:I101">_xlfn.XLOOKUP(G101,{55;56;57;58;59;60;61;62;63;64;65;66;67;68;69;70;71;72;73;74;75;76;77;78;79;80;81;82;83;84;85;86;87;88;89;90;91;92;93;94;95;96;97;98;99},{100000;130000;160000;190000;220000;250000;300000;350000;400000;450000;500000;600000;700000;800000;900000;1000000;1500000;2000000;3000000;4000000;5000000;6500000;8000000;10000000;12500000;15000000;20000000;25000000;30000000;35000000;40000000;55000000;70000000;80000000;90000000;110000000;130000000;160000000;190000000;220000000;250000000;280000000;310000000;340000000;400000000})</f>
        <v>3000000</v>
      </c>
      <c r="J101" s="7" t="n">
        <f aca="false">I101*S101*T101*U101</f>
        <v>3762000</v>
      </c>
      <c r="K101" s="8"/>
      <c r="L101" s="3"/>
      <c r="M101" s="8"/>
      <c r="N101" s="9" t="n">
        <v>0</v>
      </c>
      <c r="O101" s="4" t="n">
        <v>0</v>
      </c>
      <c r="P101" s="5" t="n">
        <f aca="false">IF(COUNTIF([1]Base_Jugadores!J$2:J$500,B101)&gt;0,1,0)</f>
        <v>0</v>
      </c>
      <c r="Q101" s="10" t="b">
        <f aca="false">--(COUNTIFS(
   [1]Fichajes_Realizados!A$2:A$5000,A101,
   [1]Fichajes_Realizados!G$2:G$5000,$X$3
)&gt;0)</f>
        <v>0</v>
      </c>
      <c r="R101" s="5" t="n">
        <f aca="false">_xlfn.XLOOKUP(C101, [1]Estado_Equipos!A$2:A$500, [1]Estado_Equipos!J$2:J$500, "")</f>
        <v>74</v>
      </c>
      <c r="S101" s="5" t="n">
        <f aca="false">IF(H101&lt;=16,1.45,
IF(H101&gt;=41,0.3,
CHOOSE(ROUNDDOWN((H101-16)/2,0)+1,
1.45,1.38,1.3,1.23,1.17,1.15,1.12,1.05,0.95,0.8,0.6,0.4,0.3)))</f>
        <v>0.95</v>
      </c>
      <c r="T101" s="5" t="n">
        <f aca="false">CHOOSE(N101+1,1.2,1,0.85,0.7)</f>
        <v>1.2</v>
      </c>
      <c r="U101" s="5" t="n">
        <f aca="false">IF(F101="PO",0.6,
IF(F101="CT",0.75,
IF(F101="LI",0.8,
IF(F101="LD",0.8,
IF(F101="MCD",0.85,
IF(F101="MC",0.95,
IF(F101="MO",1.05,
IF(F101="EI",1.1,
IF(F101="ED",1.1,
IF(F101="SD",1.15,
IF(F101="DC",1.2,0)))))))))))</f>
        <v>1.1</v>
      </c>
    </row>
    <row r="102" customFormat="false" ht="16.4" hidden="false" customHeight="false" outlineLevel="0" collapsed="false">
      <c r="A102" s="1" t="n">
        <v>101</v>
      </c>
      <c r="B102" s="5" t="str">
        <f aca="false">[1]Base_Jugadores!B102</f>
        <v>A. Christensen</v>
      </c>
      <c r="C102" s="5" t="str">
        <f aca="false">IFERROR(
   _xlfn.XLOOKUP(VALUE(A102),[1]Fichajes_Realizados!A$2:A$50000,[1]Fichajes_Realizados!D$2:D$50000,,0,-1),
   _xlfn.XLOOKUP(VALUE(A102),[1]Base_Jugadores!A$2:A$50000,[1]Base_Jugadores!C$2:C$50000)
)</f>
        <v>FC Barcelona</v>
      </c>
      <c r="D102" s="5" t="str">
        <f aca="false">[1]Base_Jugadores!D102</f>
        <v>Dinamarca</v>
      </c>
      <c r="E102" s="3"/>
      <c r="F102" s="5" t="str">
        <f aca="false">[1]Base_Jugadores!E102</f>
        <v>CT</v>
      </c>
      <c r="G102" s="5" t="n">
        <f aca="false">[1]Base_Jugadores!F102</f>
        <v>83</v>
      </c>
      <c r="H102" s="5" t="n">
        <f aca="false">[1]Base_Jugadores!G102</f>
        <v>29</v>
      </c>
      <c r="I102" s="7" t="n">
        <f aca="false" t="array" ref="I102:I102">_xlfn.XLOOKUP(G102,{55;56;57;58;59;60;61;62;63;64;65;66;67;68;69;70;71;72;73;74;75;76;77;78;79;80;81;82;83;84;85;86;87;88;89;90;91;92;93;94;95;96;97;98;99},{100000;130000;160000;190000;220000;250000;300000;350000;400000;450000;500000;600000;700000;800000;900000;1000000;1500000;2000000;3000000;4000000;5000000;6500000;8000000;10000000;12500000;15000000;20000000;25000000;30000000;35000000;40000000;55000000;70000000;80000000;90000000;110000000;130000000;160000000;190000000;220000000;250000000;280000000;310000000;340000000;400000000})</f>
        <v>30000000</v>
      </c>
      <c r="J102" s="7" t="n">
        <f aca="false">I102*S102*T102*U102</f>
        <v>30240000</v>
      </c>
      <c r="K102" s="8"/>
      <c r="L102" s="3"/>
      <c r="M102" s="8"/>
      <c r="N102" s="9" t="n">
        <v>0</v>
      </c>
      <c r="O102" s="4" t="n">
        <v>0</v>
      </c>
      <c r="P102" s="5" t="n">
        <f aca="false">IF(COUNTIF([1]Base_Jugadores!J$2:J$500,B102)&gt;0,1,0)</f>
        <v>0</v>
      </c>
      <c r="Q102" s="10" t="b">
        <f aca="false">--(COUNTIFS(
   [1]Fichajes_Realizados!A$2:A$5000,A102,
   [1]Fichajes_Realizados!G$2:G$5000,$X$3
)&gt;0)</f>
        <v>0</v>
      </c>
      <c r="R102" s="5" t="n">
        <f aca="false">_xlfn.XLOOKUP(C102, [1]Estado_Equipos!A$2:A$500, [1]Estado_Equipos!J$2:J$500, "")</f>
        <v>83</v>
      </c>
      <c r="S102" s="5" t="n">
        <f aca="false">IF(H102&lt;=16,1.45,
IF(H102&gt;=41,0.3,
CHOOSE(ROUNDDOWN((H102-16)/2,0)+1,
1.45,1.38,1.3,1.23,1.17,1.15,1.12,1.05,0.95,0.8,0.6,0.4,0.3)))</f>
        <v>1.12</v>
      </c>
      <c r="T102" s="5" t="n">
        <f aca="false">CHOOSE(N102+1,1.2,1,0.85,0.7)</f>
        <v>1.2</v>
      </c>
      <c r="U102" s="5" t="n">
        <f aca="false">IF(F102="PO",0.6,
IF(F102="CT",0.75,
IF(F102="LI",0.8,
IF(F102="LD",0.8,
IF(F102="MCD",0.85,
IF(F102="MC",0.95,
IF(F102="MO",1.05,
IF(F102="EI",1.1,
IF(F102="ED",1.1,
IF(F102="SD",1.15,
IF(F102="DC",1.2,0)))))))))))</f>
        <v>0.75</v>
      </c>
    </row>
    <row r="103" customFormat="false" ht="16.4" hidden="false" customHeight="false" outlineLevel="0" collapsed="false">
      <c r="A103" s="1" t="n">
        <v>102</v>
      </c>
      <c r="B103" s="5" t="str">
        <f aca="false">[1]Base_Jugadores!B103</f>
        <v>Alejandro Balde</v>
      </c>
      <c r="C103" s="5" t="str">
        <f aca="false">IFERROR(
   _xlfn.XLOOKUP(VALUE(A103),[1]Fichajes_Realizados!A$2:A$50000,[1]Fichajes_Realizados!D$2:D$50000,,0,-1),
   _xlfn.XLOOKUP(VALUE(A103),[1]Base_Jugadores!A$2:A$50000,[1]Base_Jugadores!C$2:C$50000)
)</f>
        <v>FC Barcelona</v>
      </c>
      <c r="D103" s="5" t="str">
        <f aca="false">[1]Base_Jugadores!D103</f>
        <v>España</v>
      </c>
      <c r="E103" s="3"/>
      <c r="F103" s="5" t="str">
        <f aca="false">[1]Base_Jugadores!E103</f>
        <v>LI</v>
      </c>
      <c r="G103" s="5" t="n">
        <f aca="false">[1]Base_Jugadores!F103</f>
        <v>83</v>
      </c>
      <c r="H103" s="5" t="n">
        <f aca="false">[1]Base_Jugadores!G103</f>
        <v>22</v>
      </c>
      <c r="I103" s="7" t="n">
        <f aca="false" t="array" ref="I103:I103">_xlfn.XLOOKUP(G103,{55;56;57;58;59;60;61;62;63;64;65;66;67;68;69;70;71;72;73;74;75;76;77;78;79;80;81;82;83;84;85;86;87;88;89;90;91;92;93;94;95;96;97;98;99},{100000;130000;160000;190000;220000;250000;300000;350000;400000;450000;500000;600000;700000;800000;900000;1000000;1500000;2000000;3000000;4000000;5000000;6500000;8000000;10000000;12500000;15000000;20000000;25000000;30000000;35000000;40000000;55000000;70000000;80000000;90000000;110000000;130000000;160000000;190000000;220000000;250000000;280000000;310000000;340000000;400000000})</f>
        <v>30000000</v>
      </c>
      <c r="J103" s="7" t="n">
        <f aca="false">I103*S103*T103*U103</f>
        <v>35424000</v>
      </c>
      <c r="K103" s="8"/>
      <c r="L103" s="3"/>
      <c r="M103" s="8"/>
      <c r="N103" s="9" t="n">
        <v>0</v>
      </c>
      <c r="O103" s="4" t="n">
        <v>0</v>
      </c>
      <c r="P103" s="5" t="n">
        <f aca="false">IF(COUNTIF([1]Base_Jugadores!J$2:J$500,B103)&gt;0,1,0)</f>
        <v>0</v>
      </c>
      <c r="Q103" s="10" t="b">
        <f aca="false">--(COUNTIFS(
   [1]Fichajes_Realizados!A$2:A$5000,A103,
   [1]Fichajes_Realizados!G$2:G$5000,$X$3
)&gt;0)</f>
        <v>0</v>
      </c>
      <c r="R103" s="5" t="n">
        <f aca="false">_xlfn.XLOOKUP(C103, [1]Estado_Equipos!A$2:A$500, [1]Estado_Equipos!J$2:J$500, "")</f>
        <v>83</v>
      </c>
      <c r="S103" s="5" t="n">
        <f aca="false">IF(H103&lt;=16,1.45,
IF(H103&gt;=41,0.3,
CHOOSE(ROUNDDOWN((H103-16)/2,0)+1,
1.45,1.38,1.3,1.23,1.17,1.15,1.12,1.05,0.95,0.8,0.6,0.4,0.3)))</f>
        <v>1.23</v>
      </c>
      <c r="T103" s="5" t="n">
        <f aca="false">CHOOSE(N103+1,1.2,1,0.85,0.7)</f>
        <v>1.2</v>
      </c>
      <c r="U103" s="5" t="n">
        <f aca="false">IF(F103="PO",0.6,
IF(F103="CT",0.75,
IF(F103="LI",0.8,
IF(F103="LD",0.8,
IF(F103="MCD",0.85,
IF(F103="MC",0.95,
IF(F103="MO",1.05,
IF(F103="EI",1.1,
IF(F103="ED",1.1,
IF(F103="SD",1.15,
IF(F103="DC",1.2,0)))))))))))</f>
        <v>0.8</v>
      </c>
    </row>
    <row r="104" customFormat="false" ht="16.4" hidden="false" customHeight="false" outlineLevel="0" collapsed="false">
      <c r="A104" s="1" t="n">
        <v>103</v>
      </c>
      <c r="B104" s="5" t="str">
        <f aca="false">[1]Base_Jugadores!B104</f>
        <v>Andrés Cuenca</v>
      </c>
      <c r="C104" s="5" t="str">
        <f aca="false">IFERROR(
   _xlfn.XLOOKUP(VALUE(A104),[1]Fichajes_Realizados!A$2:A$50000,[1]Fichajes_Realizados!D$2:D$50000,,0,-1),
   _xlfn.XLOOKUP(VALUE(A104),[1]Base_Jugadores!A$2:A$50000,[1]Base_Jugadores!C$2:C$50000)
)</f>
        <v>FC Barcelona</v>
      </c>
      <c r="D104" s="5" t="str">
        <f aca="false">[1]Base_Jugadores!D104</f>
        <v>España</v>
      </c>
      <c r="E104" s="3"/>
      <c r="F104" s="5" t="str">
        <f aca="false">[1]Base_Jugadores!E104</f>
        <v>CT</v>
      </c>
      <c r="G104" s="5" t="n">
        <f aca="false">[1]Base_Jugadores!F104</f>
        <v>61</v>
      </c>
      <c r="H104" s="5" t="n">
        <f aca="false">[1]Base_Jugadores!G104</f>
        <v>18</v>
      </c>
      <c r="I104" s="7" t="n">
        <f aca="false" t="array" ref="I104:I104">_xlfn.XLOOKUP(G104,{55;56;57;58;59;60;61;62;63;64;65;66;67;68;69;70;71;72;73;74;75;76;77;78;79;80;81;82;83;84;85;86;87;88;89;90;91;92;93;94;95;96;97;98;99},{100000;130000;160000;190000;220000;250000;300000;350000;400000;450000;500000;600000;700000;800000;900000;1000000;1500000;2000000;3000000;4000000;5000000;6500000;8000000;10000000;12500000;15000000;20000000;25000000;30000000;35000000;40000000;55000000;70000000;80000000;90000000;110000000;130000000;160000000;190000000;220000000;250000000;280000000;310000000;340000000;400000000})</f>
        <v>300000</v>
      </c>
      <c r="J104" s="7" t="n">
        <f aca="false">I104*S104*T104*U104</f>
        <v>263925</v>
      </c>
      <c r="K104" s="8"/>
      <c r="L104" s="3"/>
      <c r="M104" s="8"/>
      <c r="N104" s="9" t="n">
        <v>2</v>
      </c>
      <c r="O104" s="4" t="n">
        <v>1</v>
      </c>
      <c r="P104" s="5" t="n">
        <f aca="false">IF(COUNTIF([1]Base_Jugadores!J$2:J$500,B104)&gt;0,1,0)</f>
        <v>0</v>
      </c>
      <c r="Q104" s="10" t="b">
        <f aca="false">--(COUNTIFS(
   [1]Fichajes_Realizados!A$2:A$5000,A104,
   [1]Fichajes_Realizados!G$2:G$5000,$X$3
)&gt;0)</f>
        <v>0</v>
      </c>
      <c r="R104" s="5" t="n">
        <f aca="false">_xlfn.XLOOKUP(C104, [1]Estado_Equipos!A$2:A$500, [1]Estado_Equipos!J$2:J$500, "")</f>
        <v>83</v>
      </c>
      <c r="S104" s="5" t="n">
        <f aca="false">IF(H104&lt;=16,1.45,
IF(H104&gt;=41,0.3,
CHOOSE(ROUNDDOWN((H104-16)/2,0)+1,
1.45,1.38,1.3,1.23,1.17,1.15,1.12,1.05,0.95,0.8,0.6,0.4,0.3)))</f>
        <v>1.38</v>
      </c>
      <c r="T104" s="5" t="n">
        <f aca="false">CHOOSE(N104+1,1.2,1,0.85,0.7)</f>
        <v>0.85</v>
      </c>
      <c r="U104" s="5" t="n">
        <f aca="false">IF(F104="PO",0.6,
IF(F104="CT",0.75,
IF(F104="LI",0.8,
IF(F104="LD",0.8,
IF(F104="MCD",0.85,
IF(F104="MC",0.95,
IF(F104="MO",1.05,
IF(F104="EI",1.1,
IF(F104="ED",1.1,
IF(F104="SD",1.15,
IF(F104="DC",1.2,0)))))))))))</f>
        <v>0.75</v>
      </c>
    </row>
    <row r="105" customFormat="false" ht="16.4" hidden="false" customHeight="false" outlineLevel="0" collapsed="false">
      <c r="A105" s="1" t="n">
        <v>104</v>
      </c>
      <c r="B105" s="5" t="str">
        <f aca="false">[1]Base_Jugadores!B105</f>
        <v>Dani Olmo</v>
      </c>
      <c r="C105" s="5" t="str">
        <f aca="false">IFERROR(
   _xlfn.XLOOKUP(VALUE(A105),[1]Fichajes_Realizados!A$2:A$50000,[1]Fichajes_Realizados!D$2:D$50000,,0,-1),
   _xlfn.XLOOKUP(VALUE(A105),[1]Base_Jugadores!A$2:A$50000,[1]Base_Jugadores!C$2:C$50000)
)</f>
        <v>FC Barcelona</v>
      </c>
      <c r="D105" s="5" t="str">
        <f aca="false">[1]Base_Jugadores!D105</f>
        <v>España</v>
      </c>
      <c r="E105" s="3"/>
      <c r="F105" s="5" t="str">
        <f aca="false">[1]Base_Jugadores!E105</f>
        <v>MO</v>
      </c>
      <c r="G105" s="5" t="n">
        <f aca="false">[1]Base_Jugadores!F105</f>
        <v>84</v>
      </c>
      <c r="H105" s="5" t="n">
        <f aca="false">[1]Base_Jugadores!G105</f>
        <v>27</v>
      </c>
      <c r="I105" s="7" t="n">
        <f aca="false" t="array" ref="I105:I105">_xlfn.XLOOKUP(G105,{55;56;57;58;59;60;61;62;63;64;65;66;67;68;69;70;71;72;73;74;75;76;77;78;79;80;81;82;83;84;85;86;87;88;89;90;91;92;93;94;95;96;97;98;99},{100000;130000;160000;190000;220000;250000;300000;350000;400000;450000;500000;600000;700000;800000;900000;1000000;1500000;2000000;3000000;4000000;5000000;6500000;8000000;10000000;12500000;15000000;20000000;25000000;30000000;35000000;40000000;55000000;70000000;80000000;90000000;110000000;130000000;160000000;190000000;220000000;250000000;280000000;310000000;340000000;400000000})</f>
        <v>35000000</v>
      </c>
      <c r="J105" s="7" t="n">
        <f aca="false">I105*S105*T105*U105</f>
        <v>50715000</v>
      </c>
      <c r="K105" s="8"/>
      <c r="L105" s="3"/>
      <c r="M105" s="8"/>
      <c r="N105" s="9" t="n">
        <v>0</v>
      </c>
      <c r="O105" s="4" t="n">
        <v>0</v>
      </c>
      <c r="P105" s="5" t="n">
        <f aca="false">IF(COUNTIF([1]Base_Jugadores!J$2:J$500,B105)&gt;0,1,0)</f>
        <v>0</v>
      </c>
      <c r="Q105" s="10" t="b">
        <f aca="false">--(COUNTIFS(
   [1]Fichajes_Realizados!A$2:A$5000,A105,
   [1]Fichajes_Realizados!G$2:G$5000,$X$3
)&gt;0)</f>
        <v>0</v>
      </c>
      <c r="R105" s="5" t="n">
        <f aca="false">_xlfn.XLOOKUP(C105, [1]Estado_Equipos!A$2:A$500, [1]Estado_Equipos!J$2:J$500, "")</f>
        <v>83</v>
      </c>
      <c r="S105" s="5" t="n">
        <f aca="false">IF(H105&lt;=16,1.45,
IF(H105&gt;=41,0.3,
CHOOSE(ROUNDDOWN((H105-16)/2,0)+1,
1.45,1.38,1.3,1.23,1.17,1.15,1.12,1.05,0.95,0.8,0.6,0.4,0.3)))</f>
        <v>1.15</v>
      </c>
      <c r="T105" s="5" t="n">
        <f aca="false">CHOOSE(N105+1,1.2,1,0.85,0.7)</f>
        <v>1.2</v>
      </c>
      <c r="U105" s="5" t="n">
        <f aca="false">IF(F105="PO",0.6,
IF(F105="CT",0.75,
IF(F105="LI",0.8,
IF(F105="LD",0.8,
IF(F105="MCD",0.85,
IF(F105="MC",0.95,
IF(F105="MO",1.05,
IF(F105="EI",1.1,
IF(F105="ED",1.1,
IF(F105="SD",1.15,
IF(F105="DC",1.2,0)))))))))))</f>
        <v>1.05</v>
      </c>
    </row>
    <row r="106" customFormat="false" ht="16.4" hidden="false" customHeight="false" outlineLevel="0" collapsed="false">
      <c r="A106" s="1" t="n">
        <v>105</v>
      </c>
      <c r="B106" s="5" t="str">
        <f aca="false">[1]Base_Jugadores!B106</f>
        <v>Dani Rodríguez C.</v>
      </c>
      <c r="C106" s="5" t="str">
        <f aca="false">IFERROR(
   _xlfn.XLOOKUP(VALUE(A106),[1]Fichajes_Realizados!A$2:A$50000,[1]Fichajes_Realizados!D$2:D$50000,,0,-1),
   _xlfn.XLOOKUP(VALUE(A106),[1]Base_Jugadores!A$2:A$50000,[1]Base_Jugadores!C$2:C$50000)
)</f>
        <v>FC Barcelona</v>
      </c>
      <c r="D106" s="5" t="str">
        <f aca="false">[1]Base_Jugadores!D106</f>
        <v>España</v>
      </c>
      <c r="E106" s="3"/>
      <c r="F106" s="5" t="str">
        <f aca="false">[1]Base_Jugadores!E106</f>
        <v>ED</v>
      </c>
      <c r="G106" s="5" t="n">
        <f aca="false">[1]Base_Jugadores!F106</f>
        <v>63</v>
      </c>
      <c r="H106" s="5" t="n">
        <f aca="false">[1]Base_Jugadores!G106</f>
        <v>20</v>
      </c>
      <c r="I106" s="7" t="n">
        <f aca="false" t="array" ref="I106:I106">_xlfn.XLOOKUP(G106,{55;56;57;58;59;60;61;62;63;64;65;66;67;68;69;70;71;72;73;74;75;76;77;78;79;80;81;82;83;84;85;86;87;88;89;90;91;92;93;94;95;96;97;98;99},{100000;130000;160000;190000;220000;250000;300000;350000;400000;450000;500000;600000;700000;800000;900000;1000000;1500000;2000000;3000000;4000000;5000000;6500000;8000000;10000000;12500000;15000000;20000000;25000000;30000000;35000000;40000000;55000000;70000000;80000000;90000000;110000000;130000000;160000000;190000000;220000000;250000000;280000000;310000000;340000000;400000000})</f>
        <v>400000</v>
      </c>
      <c r="J106" s="7" t="n">
        <f aca="false">I106*S106*T106*U106</f>
        <v>486200</v>
      </c>
      <c r="K106" s="8"/>
      <c r="L106" s="3"/>
      <c r="M106" s="8"/>
      <c r="N106" s="9" t="n">
        <v>2</v>
      </c>
      <c r="O106" s="4" t="n">
        <v>1</v>
      </c>
      <c r="P106" s="5" t="n">
        <f aca="false">IF(COUNTIF([1]Base_Jugadores!J$2:J$500,B106)&gt;0,1,0)</f>
        <v>0</v>
      </c>
      <c r="Q106" s="10" t="b">
        <f aca="false">--(COUNTIFS(
   [1]Fichajes_Realizados!A$2:A$5000,A106,
   [1]Fichajes_Realizados!G$2:G$5000,$X$3
)&gt;0)</f>
        <v>0</v>
      </c>
      <c r="R106" s="5" t="n">
        <f aca="false">_xlfn.XLOOKUP(C106, [1]Estado_Equipos!A$2:A$500, [1]Estado_Equipos!J$2:J$500, "")</f>
        <v>83</v>
      </c>
      <c r="S106" s="5" t="n">
        <f aca="false">IF(H106&lt;=16,1.45,
IF(H106&gt;=41,0.3,
CHOOSE(ROUNDDOWN((H106-16)/2,0)+1,
1.45,1.38,1.3,1.23,1.17,1.15,1.12,1.05,0.95,0.8,0.6,0.4,0.3)))</f>
        <v>1.3</v>
      </c>
      <c r="T106" s="5" t="n">
        <f aca="false">CHOOSE(N106+1,1.2,1,0.85,0.7)</f>
        <v>0.85</v>
      </c>
      <c r="U106" s="5" t="n">
        <f aca="false">IF(F106="PO",0.6,
IF(F106="CT",0.75,
IF(F106="LI",0.8,
IF(F106="LD",0.8,
IF(F106="MCD",0.85,
IF(F106="MC",0.95,
IF(F106="MO",1.05,
IF(F106="EI",1.1,
IF(F106="ED",1.1,
IF(F106="SD",1.15,
IF(F106="DC",1.2,0)))))))))))</f>
        <v>1.1</v>
      </c>
    </row>
    <row r="107" customFormat="false" ht="16.4" hidden="false" customHeight="false" outlineLevel="0" collapsed="false">
      <c r="A107" s="1" t="n">
        <v>106</v>
      </c>
      <c r="B107" s="5" t="str">
        <f aca="false">[1]Base_Jugadores!B107</f>
        <v>Diego Kochen</v>
      </c>
      <c r="C107" s="5" t="str">
        <f aca="false">IFERROR(
   _xlfn.XLOOKUP(VALUE(A107),[1]Fichajes_Realizados!A$2:A$50000,[1]Fichajes_Realizados!D$2:D$50000,,0,-1),
   _xlfn.XLOOKUP(VALUE(A107),[1]Base_Jugadores!A$2:A$50000,[1]Base_Jugadores!C$2:C$50000)
)</f>
        <v>FC Barcelona</v>
      </c>
      <c r="D107" s="5" t="str">
        <f aca="false">[1]Base_Jugadores!D107</f>
        <v>Estados Unidos</v>
      </c>
      <c r="E107" s="3"/>
      <c r="F107" s="5" t="str">
        <f aca="false">[1]Base_Jugadores!E107</f>
        <v>PO</v>
      </c>
      <c r="G107" s="5" t="n">
        <f aca="false">[1]Base_Jugadores!F107</f>
        <v>58</v>
      </c>
      <c r="H107" s="5" t="n">
        <f aca="false">[1]Base_Jugadores!G107</f>
        <v>19</v>
      </c>
      <c r="I107" s="7" t="n">
        <f aca="false" t="array" ref="I107:I107">_xlfn.XLOOKUP(G107,{55;56;57;58;59;60;61;62;63;64;65;66;67;68;69;70;71;72;73;74;75;76;77;78;79;80;81;82;83;84;85;86;87;88;89;90;91;92;93;94;95;96;97;98;99},{100000;130000;160000;190000;220000;250000;300000;350000;400000;450000;500000;600000;700000;800000;900000;1000000;1500000;2000000;3000000;4000000;5000000;6500000;8000000;10000000;12500000;15000000;20000000;25000000;30000000;35000000;40000000;55000000;70000000;80000000;90000000;110000000;130000000;160000000;190000000;220000000;250000000;280000000;310000000;340000000;400000000})</f>
        <v>190000</v>
      </c>
      <c r="J107" s="7" t="n">
        <f aca="false">I107*S107*T107*U107</f>
        <v>133722</v>
      </c>
      <c r="K107" s="8"/>
      <c r="L107" s="3"/>
      <c r="M107" s="8"/>
      <c r="N107" s="9" t="n">
        <v>2</v>
      </c>
      <c r="O107" s="4" t="n">
        <v>1</v>
      </c>
      <c r="P107" s="5" t="n">
        <f aca="false">IF(COUNTIF([1]Base_Jugadores!J$2:J$500,B107)&gt;0,1,0)</f>
        <v>0</v>
      </c>
      <c r="Q107" s="10" t="b">
        <f aca="false">--(COUNTIFS(
   [1]Fichajes_Realizados!A$2:A$5000,A107,
   [1]Fichajes_Realizados!G$2:G$5000,$X$3
)&gt;0)</f>
        <v>0</v>
      </c>
      <c r="R107" s="5" t="n">
        <f aca="false">_xlfn.XLOOKUP(C107, [1]Estado_Equipos!A$2:A$500, [1]Estado_Equipos!J$2:J$500, "")</f>
        <v>83</v>
      </c>
      <c r="S107" s="5" t="n">
        <f aca="false">IF(H107&lt;=16,1.45,
IF(H107&gt;=41,0.3,
CHOOSE(ROUNDDOWN((H107-16)/2,0)+1,
1.45,1.38,1.3,1.23,1.17,1.15,1.12,1.05,0.95,0.8,0.6,0.4,0.3)))</f>
        <v>1.38</v>
      </c>
      <c r="T107" s="5" t="n">
        <f aca="false">CHOOSE(N107+1,1.2,1,0.85,0.7)</f>
        <v>0.85</v>
      </c>
      <c r="U107" s="5" t="n">
        <f aca="false">IF(F107="PO",0.6,
IF(F107="CT",0.75,
IF(F107="LI",0.8,
IF(F107="LD",0.8,
IF(F107="MCD",0.85,
IF(F107="MC",0.95,
IF(F107="MO",1.05,
IF(F107="EI",1.1,
IF(F107="ED",1.1,
IF(F107="SD",1.15,
IF(F107="DC",1.2,0)))))))))))</f>
        <v>0.6</v>
      </c>
    </row>
    <row r="108" customFormat="false" ht="16.4" hidden="false" customHeight="false" outlineLevel="0" collapsed="false">
      <c r="A108" s="1" t="n">
        <v>107</v>
      </c>
      <c r="B108" s="5" t="str">
        <f aca="false">[1]Base_Jugadores!B108</f>
        <v>Eric García</v>
      </c>
      <c r="C108" s="5" t="str">
        <f aca="false">IFERROR(
   _xlfn.XLOOKUP(VALUE(A108),[1]Fichajes_Realizados!A$2:A$50000,[1]Fichajes_Realizados!D$2:D$50000,,0,-1),
   _xlfn.XLOOKUP(VALUE(A108),[1]Base_Jugadores!A$2:A$50000,[1]Base_Jugadores!C$2:C$50000)
)</f>
        <v>FC Barcelona</v>
      </c>
      <c r="D108" s="5" t="str">
        <f aca="false">[1]Base_Jugadores!D108</f>
        <v>España</v>
      </c>
      <c r="E108" s="3"/>
      <c r="F108" s="5" t="str">
        <f aca="false">[1]Base_Jugadores!E108</f>
        <v>CT</v>
      </c>
      <c r="G108" s="5" t="n">
        <f aca="false">[1]Base_Jugadores!F108</f>
        <v>84</v>
      </c>
      <c r="H108" s="5" t="n">
        <f aca="false">[1]Base_Jugadores!G108</f>
        <v>24</v>
      </c>
      <c r="I108" s="7" t="n">
        <f aca="false" t="array" ref="I108:I108">_xlfn.XLOOKUP(G108,{55;56;57;58;59;60;61;62;63;64;65;66;67;68;69;70;71;72;73;74;75;76;77;78;79;80;81;82;83;84;85;86;87;88;89;90;91;92;93;94;95;96;97;98;99},{100000;130000;160000;190000;220000;250000;300000;350000;400000;450000;500000;600000;700000;800000;900000;1000000;1500000;2000000;3000000;4000000;5000000;6500000;8000000;10000000;12500000;15000000;20000000;25000000;30000000;35000000;40000000;55000000;70000000;80000000;90000000;110000000;130000000;160000000;190000000;220000000;250000000;280000000;310000000;340000000;400000000})</f>
        <v>35000000</v>
      </c>
      <c r="J108" s="7" t="n">
        <f aca="false">I108*S108*T108*U108</f>
        <v>36855000</v>
      </c>
      <c r="K108" s="8"/>
      <c r="L108" s="3"/>
      <c r="M108" s="8"/>
      <c r="N108" s="9" t="n">
        <v>0</v>
      </c>
      <c r="O108" s="4" t="n">
        <v>0</v>
      </c>
      <c r="P108" s="5" t="n">
        <f aca="false">IF(COUNTIF([1]Base_Jugadores!J$2:J$500,B108)&gt;0,1,0)</f>
        <v>0</v>
      </c>
      <c r="Q108" s="10" t="b">
        <f aca="false">--(COUNTIFS(
   [1]Fichajes_Realizados!A$2:A$5000,A108,
   [1]Fichajes_Realizados!G$2:G$5000,$X$3
)&gt;0)</f>
        <v>0</v>
      </c>
      <c r="R108" s="5" t="n">
        <f aca="false">_xlfn.XLOOKUP(C108, [1]Estado_Equipos!A$2:A$500, [1]Estado_Equipos!J$2:J$500, "")</f>
        <v>83</v>
      </c>
      <c r="S108" s="5" t="n">
        <f aca="false">IF(H108&lt;=16,1.45,
IF(H108&gt;=41,0.3,
CHOOSE(ROUNDDOWN((H108-16)/2,0)+1,
1.45,1.38,1.3,1.23,1.17,1.15,1.12,1.05,0.95,0.8,0.6,0.4,0.3)))</f>
        <v>1.17</v>
      </c>
      <c r="T108" s="5" t="n">
        <f aca="false">CHOOSE(N108+1,1.2,1,0.85,0.7)</f>
        <v>1.2</v>
      </c>
      <c r="U108" s="5" t="n">
        <f aca="false">IF(F108="PO",0.6,
IF(F108="CT",0.75,
IF(F108="LI",0.8,
IF(F108="LD",0.8,
IF(F108="MCD",0.85,
IF(F108="MC",0.95,
IF(F108="MO",1.05,
IF(F108="EI",1.1,
IF(F108="ED",1.1,
IF(F108="SD",1.15,
IF(F108="DC",1.2,0)))))))))))</f>
        <v>0.75</v>
      </c>
    </row>
    <row r="109" customFormat="false" ht="16.4" hidden="false" customHeight="false" outlineLevel="0" collapsed="false">
      <c r="A109" s="1" t="n">
        <v>108</v>
      </c>
      <c r="B109" s="5" t="str">
        <f aca="false">[1]Base_Jugadores!B109</f>
        <v>Fermín López</v>
      </c>
      <c r="C109" s="5" t="str">
        <f aca="false">IFERROR(
   _xlfn.XLOOKUP(VALUE(A109),[1]Fichajes_Realizados!A$2:A$50000,[1]Fichajes_Realizados!D$2:D$50000,,0,-1),
   _xlfn.XLOOKUP(VALUE(A109),[1]Base_Jugadores!A$2:A$50000,[1]Base_Jugadores!C$2:C$50000)
)</f>
        <v>FC Barcelona</v>
      </c>
      <c r="D109" s="5" t="str">
        <f aca="false">[1]Base_Jugadores!D109</f>
        <v>España</v>
      </c>
      <c r="E109" s="3"/>
      <c r="F109" s="5" t="str">
        <f aca="false">[1]Base_Jugadores!E109</f>
        <v>MO</v>
      </c>
      <c r="G109" s="5" t="n">
        <f aca="false">[1]Base_Jugadores!F109</f>
        <v>82</v>
      </c>
      <c r="H109" s="5" t="n">
        <f aca="false">[1]Base_Jugadores!G109</f>
        <v>22</v>
      </c>
      <c r="I109" s="7" t="n">
        <f aca="false" t="array" ref="I109:I109">_xlfn.XLOOKUP(G109,{55;56;57;58;59;60;61;62;63;64;65;66;67;68;69;70;71;72;73;74;75;76;77;78;79;80;81;82;83;84;85;86;87;88;89;90;91;92;93;94;95;96;97;98;99},{100000;130000;160000;190000;220000;250000;300000;350000;400000;450000;500000;600000;700000;800000;900000;1000000;1500000;2000000;3000000;4000000;5000000;6500000;8000000;10000000;12500000;15000000;20000000;25000000;30000000;35000000;40000000;55000000;70000000;80000000;90000000;110000000;130000000;160000000;190000000;220000000;250000000;280000000;310000000;340000000;400000000})</f>
        <v>25000000</v>
      </c>
      <c r="J109" s="7" t="n">
        <f aca="false">I109*S109*T109*U109</f>
        <v>32287500</v>
      </c>
      <c r="K109" s="8"/>
      <c r="L109" s="3"/>
      <c r="M109" s="8"/>
      <c r="N109" s="9" t="n">
        <v>1</v>
      </c>
      <c r="O109" s="4" t="n">
        <v>0</v>
      </c>
      <c r="P109" s="5" t="n">
        <f aca="false">IF(COUNTIF([1]Base_Jugadores!J$2:J$500,B109)&gt;0,1,0)</f>
        <v>0</v>
      </c>
      <c r="Q109" s="10" t="b">
        <f aca="false">--(COUNTIFS(
   [1]Fichajes_Realizados!A$2:A$5000,A109,
   [1]Fichajes_Realizados!G$2:G$5000,$X$3
)&gt;0)</f>
        <v>0</v>
      </c>
      <c r="R109" s="5" t="n">
        <f aca="false">_xlfn.XLOOKUP(C109, [1]Estado_Equipos!A$2:A$500, [1]Estado_Equipos!J$2:J$500, "")</f>
        <v>83</v>
      </c>
      <c r="S109" s="5" t="n">
        <f aca="false">IF(H109&lt;=16,1.45,
IF(H109&gt;=41,0.3,
CHOOSE(ROUNDDOWN((H109-16)/2,0)+1,
1.45,1.38,1.3,1.23,1.17,1.15,1.12,1.05,0.95,0.8,0.6,0.4,0.3)))</f>
        <v>1.23</v>
      </c>
      <c r="T109" s="5" t="n">
        <f aca="false">CHOOSE(N109+1,1.2,1,0.85,0.7)</f>
        <v>1</v>
      </c>
      <c r="U109" s="5" t="n">
        <f aca="false">IF(F109="PO",0.6,
IF(F109="CT",0.75,
IF(F109="LI",0.8,
IF(F109="LD",0.8,
IF(F109="MCD",0.85,
IF(F109="MC",0.95,
IF(F109="MO",1.05,
IF(F109="EI",1.1,
IF(F109="ED",1.1,
IF(F109="SD",1.15,
IF(F109="DC",1.2,0)))))))))))</f>
        <v>1.05</v>
      </c>
    </row>
    <row r="110" customFormat="false" ht="16.4" hidden="false" customHeight="false" outlineLevel="0" collapsed="false">
      <c r="A110" s="1" t="n">
        <v>109</v>
      </c>
      <c r="B110" s="5" t="str">
        <f aca="false">[1]Base_Jugadores!B110</f>
        <v>Ferrán Torres</v>
      </c>
      <c r="C110" s="5" t="str">
        <f aca="false">IFERROR(
   _xlfn.XLOOKUP(VALUE(A110),[1]Fichajes_Realizados!A$2:A$50000,[1]Fichajes_Realizados!D$2:D$50000,,0,-1),
   _xlfn.XLOOKUP(VALUE(A110),[1]Base_Jugadores!A$2:A$50000,[1]Base_Jugadores!C$2:C$50000)
)</f>
        <v>FC Barcelona</v>
      </c>
      <c r="D110" s="5" t="str">
        <f aca="false">[1]Base_Jugadores!D110</f>
        <v>España</v>
      </c>
      <c r="E110" s="3"/>
      <c r="F110" s="5" t="str">
        <f aca="false">[1]Base_Jugadores!E110</f>
        <v>DC</v>
      </c>
      <c r="G110" s="5" t="n">
        <f aca="false">[1]Base_Jugadores!F110</f>
        <v>79</v>
      </c>
      <c r="H110" s="5" t="n">
        <f aca="false">[1]Base_Jugadores!G110</f>
        <v>25</v>
      </c>
      <c r="I110" s="7" t="n">
        <f aca="false" t="array" ref="I110:I110">_xlfn.XLOOKUP(G110,{55;56;57;58;59;60;61;62;63;64;65;66;67;68;69;70;71;72;73;74;75;76;77;78;79;80;81;82;83;84;85;86;87;88;89;90;91;92;93;94;95;96;97;98;99},{100000;130000;160000;190000;220000;250000;300000;350000;400000;450000;500000;600000;700000;800000;900000;1000000;1500000;2000000;3000000;4000000;5000000;6500000;8000000;10000000;12500000;15000000;20000000;25000000;30000000;35000000;40000000;55000000;70000000;80000000;90000000;110000000;130000000;160000000;190000000;220000000;250000000;280000000;310000000;340000000;400000000})</f>
        <v>12500000</v>
      </c>
      <c r="J110" s="7" t="n">
        <f aca="false">I110*S110*T110*U110</f>
        <v>17550000</v>
      </c>
      <c r="K110" s="8"/>
      <c r="L110" s="3"/>
      <c r="M110" s="8"/>
      <c r="N110" s="9" t="n">
        <v>1</v>
      </c>
      <c r="O110" s="4" t="n">
        <v>0</v>
      </c>
      <c r="P110" s="5" t="n">
        <f aca="false">IF(COUNTIF([1]Base_Jugadores!J$2:J$500,B110)&gt;0,1,0)</f>
        <v>0</v>
      </c>
      <c r="Q110" s="10" t="b">
        <f aca="false">--(COUNTIFS(
   [1]Fichajes_Realizados!A$2:A$5000,A110,
   [1]Fichajes_Realizados!G$2:G$5000,$X$3
)&gt;0)</f>
        <v>0</v>
      </c>
      <c r="R110" s="5" t="n">
        <f aca="false">_xlfn.XLOOKUP(C110, [1]Estado_Equipos!A$2:A$500, [1]Estado_Equipos!J$2:J$500, "")</f>
        <v>83</v>
      </c>
      <c r="S110" s="5" t="n">
        <f aca="false">IF(H110&lt;=16,1.45,
IF(H110&gt;=41,0.3,
CHOOSE(ROUNDDOWN((H110-16)/2,0)+1,
1.45,1.38,1.3,1.23,1.17,1.15,1.12,1.05,0.95,0.8,0.6,0.4,0.3)))</f>
        <v>1.17</v>
      </c>
      <c r="T110" s="5" t="n">
        <f aca="false">CHOOSE(N110+1,1.2,1,0.85,0.7)</f>
        <v>1</v>
      </c>
      <c r="U110" s="5" t="n">
        <f aca="false">IF(F110="PO",0.6,
IF(F110="CT",0.75,
IF(F110="LI",0.8,
IF(F110="LD",0.8,
IF(F110="MCD",0.85,
IF(F110="MC",0.95,
IF(F110="MO",1.05,
IF(F110="EI",1.1,
IF(F110="ED",1.1,
IF(F110="SD",1.15,
IF(F110="DC",1.2,0)))))))))))</f>
        <v>1.2</v>
      </c>
    </row>
    <row r="111" customFormat="false" ht="16.4" hidden="false" customHeight="false" outlineLevel="0" collapsed="false">
      <c r="A111" s="1" t="n">
        <v>110</v>
      </c>
      <c r="B111" s="5" t="str">
        <f aca="false">[1]Base_Jugadores!B111</f>
        <v>Frenkie de Jong</v>
      </c>
      <c r="C111" s="5" t="str">
        <f aca="false">IFERROR(
   _xlfn.XLOOKUP(VALUE(A111),[1]Fichajes_Realizados!A$2:A$50000,[1]Fichajes_Realizados!D$2:D$50000,,0,-1),
   _xlfn.XLOOKUP(VALUE(A111),[1]Base_Jugadores!A$2:A$50000,[1]Base_Jugadores!C$2:C$50000)
)</f>
        <v>FC Barcelona</v>
      </c>
      <c r="D111" s="5" t="str">
        <f aca="false">[1]Base_Jugadores!D111</f>
        <v>Países Bajos</v>
      </c>
      <c r="E111" s="3"/>
      <c r="F111" s="5" t="str">
        <f aca="false">[1]Base_Jugadores!E111</f>
        <v>MC</v>
      </c>
      <c r="G111" s="5" t="n">
        <f aca="false">[1]Base_Jugadores!F111</f>
        <v>86</v>
      </c>
      <c r="H111" s="5" t="n">
        <f aca="false">[1]Base_Jugadores!G111</f>
        <v>28</v>
      </c>
      <c r="I111" s="7" t="n">
        <f aca="false" t="array" ref="I111:I111">_xlfn.XLOOKUP(G111,{55;56;57;58;59;60;61;62;63;64;65;66;67;68;69;70;71;72;73;74;75;76;77;78;79;80;81;82;83;84;85;86;87;88;89;90;91;92;93;94;95;96;97;98;99},{100000;130000;160000;190000;220000;250000;300000;350000;400000;450000;500000;600000;700000;800000;900000;1000000;1500000;2000000;3000000;4000000;5000000;6500000;8000000;10000000;12500000;15000000;20000000;25000000;30000000;35000000;40000000;55000000;70000000;80000000;90000000;110000000;130000000;160000000;190000000;220000000;250000000;280000000;310000000;340000000;400000000})</f>
        <v>55000000</v>
      </c>
      <c r="J111" s="7" t="n">
        <f aca="false">I111*S111*T111*U111</f>
        <v>70224000</v>
      </c>
      <c r="K111" s="8"/>
      <c r="L111" s="3"/>
      <c r="M111" s="8"/>
      <c r="N111" s="9" t="n">
        <v>0</v>
      </c>
      <c r="O111" s="4" t="n">
        <v>0</v>
      </c>
      <c r="P111" s="5" t="n">
        <f aca="false">IF(COUNTIF([1]Base_Jugadores!J$2:J$500,B111)&gt;0,1,0)</f>
        <v>0</v>
      </c>
      <c r="Q111" s="10" t="b">
        <f aca="false">--(COUNTIFS(
   [1]Fichajes_Realizados!A$2:A$5000,A111,
   [1]Fichajes_Realizados!G$2:G$5000,$X$3
)&gt;0)</f>
        <v>0</v>
      </c>
      <c r="R111" s="5" t="n">
        <f aca="false">_xlfn.XLOOKUP(C111, [1]Estado_Equipos!A$2:A$500, [1]Estado_Equipos!J$2:J$500, "")</f>
        <v>83</v>
      </c>
      <c r="S111" s="5" t="n">
        <f aca="false">IF(H111&lt;=16,1.45,
IF(H111&gt;=41,0.3,
CHOOSE(ROUNDDOWN((H111-16)/2,0)+1,
1.45,1.38,1.3,1.23,1.17,1.15,1.12,1.05,0.95,0.8,0.6,0.4,0.3)))</f>
        <v>1.12</v>
      </c>
      <c r="T111" s="5" t="n">
        <f aca="false">CHOOSE(N111+1,1.2,1,0.85,0.7)</f>
        <v>1.2</v>
      </c>
      <c r="U111" s="5" t="n">
        <f aca="false">IF(F111="PO",0.6,
IF(F111="CT",0.75,
IF(F111="LI",0.8,
IF(F111="LD",0.8,
IF(F111="MCD",0.85,
IF(F111="MC",0.95,
IF(F111="MO",1.05,
IF(F111="EI",1.1,
IF(F111="ED",1.1,
IF(F111="SD",1.15,
IF(F111="DC",1.2,0)))))))))))</f>
        <v>0.95</v>
      </c>
    </row>
    <row r="112" customFormat="false" ht="16.4" hidden="false" customHeight="false" outlineLevel="0" collapsed="false">
      <c r="A112" s="1" t="n">
        <v>111</v>
      </c>
      <c r="B112" s="5" t="str">
        <f aca="false">[1]Base_Jugadores!B112</f>
        <v>Gavi</v>
      </c>
      <c r="C112" s="5" t="str">
        <f aca="false">IFERROR(
   _xlfn.XLOOKUP(VALUE(A112),[1]Fichajes_Realizados!A$2:A$50000,[1]Fichajes_Realizados!D$2:D$50000,,0,-1),
   _xlfn.XLOOKUP(VALUE(A112),[1]Base_Jugadores!A$2:A$50000,[1]Base_Jugadores!C$2:C$50000)
)</f>
        <v>FC Barcelona</v>
      </c>
      <c r="D112" s="5" t="str">
        <f aca="false">[1]Base_Jugadores!D112</f>
        <v>España</v>
      </c>
      <c r="E112" s="3"/>
      <c r="F112" s="5" t="str">
        <f aca="false">[1]Base_Jugadores!E112</f>
        <v>MC</v>
      </c>
      <c r="G112" s="5" t="n">
        <f aca="false">[1]Base_Jugadores!F112</f>
        <v>83</v>
      </c>
      <c r="H112" s="5" t="n">
        <f aca="false">[1]Base_Jugadores!G112</f>
        <v>21</v>
      </c>
      <c r="I112" s="7" t="n">
        <f aca="false" t="array" ref="I112:I112">_xlfn.XLOOKUP(G112,{55;56;57;58;59;60;61;62;63;64;65;66;67;68;69;70;71;72;73;74;75;76;77;78;79;80;81;82;83;84;85;86;87;88;89;90;91;92;93;94;95;96;97;98;99},{100000;130000;160000;190000;220000;250000;300000;350000;400000;450000;500000;600000;700000;800000;900000;1000000;1500000;2000000;3000000;4000000;5000000;6500000;8000000;10000000;12500000;15000000;20000000;25000000;30000000;35000000;40000000;55000000;70000000;80000000;90000000;110000000;130000000;160000000;190000000;220000000;250000000;280000000;310000000;340000000;400000000})</f>
        <v>30000000</v>
      </c>
      <c r="J112" s="7" t="n">
        <f aca="false">I112*S112*T112*U112</f>
        <v>37050000</v>
      </c>
      <c r="K112" s="8"/>
      <c r="L112" s="3"/>
      <c r="M112" s="8"/>
      <c r="N112" s="9" t="n">
        <v>1</v>
      </c>
      <c r="O112" s="4" t="n">
        <v>0</v>
      </c>
      <c r="P112" s="5" t="n">
        <f aca="false">IF(COUNTIF([1]Base_Jugadores!J$2:J$500,B112)&gt;0,1,0)</f>
        <v>0</v>
      </c>
      <c r="Q112" s="10" t="b">
        <f aca="false">--(COUNTIFS(
   [1]Fichajes_Realizados!A$2:A$5000,A112,
   [1]Fichajes_Realizados!G$2:G$5000,$X$3
)&gt;0)</f>
        <v>0</v>
      </c>
      <c r="R112" s="5" t="n">
        <f aca="false">_xlfn.XLOOKUP(C112, [1]Estado_Equipos!A$2:A$500, [1]Estado_Equipos!J$2:J$500, "")</f>
        <v>83</v>
      </c>
      <c r="S112" s="5" t="n">
        <f aca="false">IF(H112&lt;=16,1.45,
IF(H112&gt;=41,0.3,
CHOOSE(ROUNDDOWN((H112-16)/2,0)+1,
1.45,1.38,1.3,1.23,1.17,1.15,1.12,1.05,0.95,0.8,0.6,0.4,0.3)))</f>
        <v>1.3</v>
      </c>
      <c r="T112" s="5" t="n">
        <f aca="false">CHOOSE(N112+1,1.2,1,0.85,0.7)</f>
        <v>1</v>
      </c>
      <c r="U112" s="5" t="n">
        <f aca="false">IF(F112="PO",0.6,
IF(F112="CT",0.75,
IF(F112="LI",0.8,
IF(F112="LD",0.8,
IF(F112="MCD",0.85,
IF(F112="MC",0.95,
IF(F112="MO",1.05,
IF(F112="EI",1.1,
IF(F112="ED",1.1,
IF(F112="SD",1.15,
IF(F112="DC",1.2,0)))))))))))</f>
        <v>0.95</v>
      </c>
    </row>
    <row r="113" customFormat="false" ht="16.4" hidden="false" customHeight="false" outlineLevel="0" collapsed="false">
      <c r="A113" s="1" t="n">
        <v>112</v>
      </c>
      <c r="B113" s="5" t="str">
        <f aca="false">[1]Base_Jugadores!B113</f>
        <v>Gerard Martín</v>
      </c>
      <c r="C113" s="5" t="str">
        <f aca="false">IFERROR(
   _xlfn.XLOOKUP(VALUE(A113),[1]Fichajes_Realizados!A$2:A$50000,[1]Fichajes_Realizados!D$2:D$50000,,0,-1),
   _xlfn.XLOOKUP(VALUE(A113),[1]Base_Jugadores!A$2:A$50000,[1]Base_Jugadores!C$2:C$50000)
)</f>
        <v>FC Barcelona</v>
      </c>
      <c r="D113" s="5" t="str">
        <f aca="false">[1]Base_Jugadores!D113</f>
        <v>España</v>
      </c>
      <c r="E113" s="3"/>
      <c r="F113" s="5" t="str">
        <f aca="false">[1]Base_Jugadores!E113</f>
        <v>LI</v>
      </c>
      <c r="G113" s="5" t="n">
        <f aca="false">[1]Base_Jugadores!F113</f>
        <v>75</v>
      </c>
      <c r="H113" s="5" t="n">
        <f aca="false">[1]Base_Jugadores!G113</f>
        <v>23</v>
      </c>
      <c r="I113" s="7" t="n">
        <f aca="false" t="array" ref="I113:I113">_xlfn.XLOOKUP(G113,{55;56;57;58;59;60;61;62;63;64;65;66;67;68;69;70;71;72;73;74;75;76;77;78;79;80;81;82;83;84;85;86;87;88;89;90;91;92;93;94;95;96;97;98;99},{100000;130000;160000;190000;220000;250000;300000;350000;400000;450000;500000;600000;700000;800000;900000;1000000;1500000;2000000;3000000;4000000;5000000;6500000;8000000;10000000;12500000;15000000;20000000;25000000;30000000;35000000;40000000;55000000;70000000;80000000;90000000;110000000;130000000;160000000;190000000;220000000;250000000;280000000;310000000;340000000;400000000})</f>
        <v>5000000</v>
      </c>
      <c r="J113" s="7" t="n">
        <f aca="false">I113*S113*T113*U113</f>
        <v>4182000</v>
      </c>
      <c r="K113" s="8"/>
      <c r="L113" s="3"/>
      <c r="M113" s="8"/>
      <c r="N113" s="9" t="n">
        <v>2</v>
      </c>
      <c r="O113" s="4" t="n">
        <v>0</v>
      </c>
      <c r="P113" s="5" t="n">
        <f aca="false">IF(COUNTIF([1]Base_Jugadores!J$2:J$500,B113)&gt;0,1,0)</f>
        <v>0</v>
      </c>
      <c r="Q113" s="10" t="b">
        <f aca="false">--(COUNTIFS(
   [1]Fichajes_Realizados!A$2:A$5000,A113,
   [1]Fichajes_Realizados!G$2:G$5000,$X$3
)&gt;0)</f>
        <v>0</v>
      </c>
      <c r="R113" s="5" t="n">
        <f aca="false">_xlfn.XLOOKUP(C113, [1]Estado_Equipos!A$2:A$500, [1]Estado_Equipos!J$2:J$500, "")</f>
        <v>83</v>
      </c>
      <c r="S113" s="5" t="n">
        <f aca="false">IF(H113&lt;=16,1.45,
IF(H113&gt;=41,0.3,
CHOOSE(ROUNDDOWN((H113-16)/2,0)+1,
1.45,1.38,1.3,1.23,1.17,1.15,1.12,1.05,0.95,0.8,0.6,0.4,0.3)))</f>
        <v>1.23</v>
      </c>
      <c r="T113" s="5" t="n">
        <f aca="false">CHOOSE(N113+1,1.2,1,0.85,0.7)</f>
        <v>0.85</v>
      </c>
      <c r="U113" s="5" t="n">
        <f aca="false">IF(F113="PO",0.6,
IF(F113="CT",0.75,
IF(F113="LI",0.8,
IF(F113="LD",0.8,
IF(F113="MCD",0.85,
IF(F113="MC",0.95,
IF(F113="MO",1.05,
IF(F113="EI",1.1,
IF(F113="ED",1.1,
IF(F113="SD",1.15,
IF(F113="DC",1.2,0)))))))))))</f>
        <v>0.8</v>
      </c>
    </row>
    <row r="114" customFormat="false" ht="16.4" hidden="false" customHeight="false" outlineLevel="0" collapsed="false">
      <c r="A114" s="1" t="n">
        <v>113</v>
      </c>
      <c r="B114" s="5" t="str">
        <f aca="false">[1]Base_Jugadores!B114</f>
        <v>Joan García</v>
      </c>
      <c r="C114" s="5" t="str">
        <f aca="false">IFERROR(
   _xlfn.XLOOKUP(VALUE(A114),[1]Fichajes_Realizados!A$2:A$50000,[1]Fichajes_Realizados!D$2:D$50000,,0,-1),
   _xlfn.XLOOKUP(VALUE(A114),[1]Base_Jugadores!A$2:A$50000,[1]Base_Jugadores!C$2:C$50000)
)</f>
        <v>FC Barcelona</v>
      </c>
      <c r="D114" s="5" t="str">
        <f aca="false">[1]Base_Jugadores!D114</f>
        <v>España</v>
      </c>
      <c r="E114" s="3"/>
      <c r="F114" s="5" t="str">
        <f aca="false">[1]Base_Jugadores!E114</f>
        <v>PO</v>
      </c>
      <c r="G114" s="5" t="n">
        <f aca="false">[1]Base_Jugadores!F114</f>
        <v>86</v>
      </c>
      <c r="H114" s="5" t="n">
        <f aca="false">[1]Base_Jugadores!G114</f>
        <v>24</v>
      </c>
      <c r="I114" s="7" t="n">
        <f aca="false" t="array" ref="I114:I114">_xlfn.XLOOKUP(G114,{55;56;57;58;59;60;61;62;63;64;65;66;67;68;69;70;71;72;73;74;75;76;77;78;79;80;81;82;83;84;85;86;87;88;89;90;91;92;93;94;95;96;97;98;99},{100000;130000;160000;190000;220000;250000;300000;350000;400000;450000;500000;600000;700000;800000;900000;1000000;1500000;2000000;3000000;4000000;5000000;6500000;8000000;10000000;12500000;15000000;20000000;25000000;30000000;35000000;40000000;55000000;70000000;80000000;90000000;110000000;130000000;160000000;190000000;220000000;250000000;280000000;310000000;340000000;400000000})</f>
        <v>55000000</v>
      </c>
      <c r="J114" s="7" t="n">
        <f aca="false">I114*S114*T114*U114</f>
        <v>46332000</v>
      </c>
      <c r="K114" s="8"/>
      <c r="L114" s="3"/>
      <c r="M114" s="8"/>
      <c r="N114" s="9" t="n">
        <v>0</v>
      </c>
      <c r="O114" s="4" t="n">
        <v>0</v>
      </c>
      <c r="P114" s="5" t="n">
        <f aca="false">IF(COUNTIF([1]Base_Jugadores!J$2:J$500,B114)&gt;0,1,0)</f>
        <v>0</v>
      </c>
      <c r="Q114" s="10" t="b">
        <f aca="false">--(COUNTIFS(
   [1]Fichajes_Realizados!A$2:A$5000,A114,
   [1]Fichajes_Realizados!G$2:G$5000,$X$3
)&gt;0)</f>
        <v>0</v>
      </c>
      <c r="R114" s="5" t="n">
        <f aca="false">_xlfn.XLOOKUP(C114, [1]Estado_Equipos!A$2:A$500, [1]Estado_Equipos!J$2:J$500, "")</f>
        <v>83</v>
      </c>
      <c r="S114" s="5" t="n">
        <f aca="false">IF(H114&lt;=16,1.45,
IF(H114&gt;=41,0.3,
CHOOSE(ROUNDDOWN((H114-16)/2,0)+1,
1.45,1.38,1.3,1.23,1.17,1.15,1.12,1.05,0.95,0.8,0.6,0.4,0.3)))</f>
        <v>1.17</v>
      </c>
      <c r="T114" s="5" t="n">
        <f aca="false">CHOOSE(N114+1,1.2,1,0.85,0.7)</f>
        <v>1.2</v>
      </c>
      <c r="U114" s="5" t="n">
        <f aca="false">IF(F114="PO",0.6,
IF(F114="CT",0.75,
IF(F114="LI",0.8,
IF(F114="LD",0.8,
IF(F114="MCD",0.85,
IF(F114="MC",0.95,
IF(F114="MO",1.05,
IF(F114="EI",1.1,
IF(F114="ED",1.1,
IF(F114="SD",1.15,
IF(F114="DC",1.2,0)))))))))))</f>
        <v>0.6</v>
      </c>
    </row>
    <row r="115" customFormat="false" ht="16.4" hidden="false" customHeight="false" outlineLevel="0" collapsed="false">
      <c r="A115" s="1" t="n">
        <v>114</v>
      </c>
      <c r="B115" s="5" t="str">
        <f aca="false">[1]Base_Jugadores!B115</f>
        <v>Jules Koundé</v>
      </c>
      <c r="C115" s="5" t="str">
        <f aca="false">IFERROR(
   _xlfn.XLOOKUP(VALUE(A115),[1]Fichajes_Realizados!A$2:A$50000,[1]Fichajes_Realizados!D$2:D$50000,,0,-1),
   _xlfn.XLOOKUP(VALUE(A115),[1]Base_Jugadores!A$2:A$50000,[1]Base_Jugadores!C$2:C$50000)
)</f>
        <v>FC Barcelona</v>
      </c>
      <c r="D115" s="5" t="str">
        <f aca="false">[1]Base_Jugadores!D115</f>
        <v>Francia</v>
      </c>
      <c r="E115" s="3"/>
      <c r="F115" s="5" t="str">
        <f aca="false">[1]Base_Jugadores!E115</f>
        <v>LD</v>
      </c>
      <c r="G115" s="5" t="n">
        <f aca="false">[1]Base_Jugadores!F115</f>
        <v>86</v>
      </c>
      <c r="H115" s="5" t="n">
        <f aca="false">[1]Base_Jugadores!G115</f>
        <v>27</v>
      </c>
      <c r="I115" s="7" t="n">
        <f aca="false" t="array" ref="I115:I115">_xlfn.XLOOKUP(G115,{55;56;57;58;59;60;61;62;63;64;65;66;67;68;69;70;71;72;73;74;75;76;77;78;79;80;81;82;83;84;85;86;87;88;89;90;91;92;93;94;95;96;97;98;99},{100000;130000;160000;190000;220000;250000;300000;350000;400000;450000;500000;600000;700000;800000;900000;1000000;1500000;2000000;3000000;4000000;5000000;6500000;8000000;10000000;12500000;15000000;20000000;25000000;30000000;35000000;40000000;55000000;70000000;80000000;90000000;110000000;130000000;160000000;190000000;220000000;250000000;280000000;310000000;340000000;400000000})</f>
        <v>55000000</v>
      </c>
      <c r="J115" s="7" t="n">
        <f aca="false">I115*S115*T115*U115</f>
        <v>60720000</v>
      </c>
      <c r="K115" s="8"/>
      <c r="L115" s="3"/>
      <c r="M115" s="8"/>
      <c r="N115" s="9" t="n">
        <v>0</v>
      </c>
      <c r="O115" s="4" t="n">
        <v>0</v>
      </c>
      <c r="P115" s="5" t="n">
        <f aca="false">IF(COUNTIF([1]Base_Jugadores!J$2:J$500,B115)&gt;0,1,0)</f>
        <v>0</v>
      </c>
      <c r="Q115" s="10" t="b">
        <f aca="false">--(COUNTIFS(
   [1]Fichajes_Realizados!A$2:A$5000,A115,
   [1]Fichajes_Realizados!G$2:G$5000,$X$3
)&gt;0)</f>
        <v>0</v>
      </c>
      <c r="R115" s="5" t="n">
        <f aca="false">_xlfn.XLOOKUP(C115, [1]Estado_Equipos!A$2:A$500, [1]Estado_Equipos!J$2:J$500, "")</f>
        <v>83</v>
      </c>
      <c r="S115" s="5" t="n">
        <f aca="false">IF(H115&lt;=16,1.45,
IF(H115&gt;=41,0.3,
CHOOSE(ROUNDDOWN((H115-16)/2,0)+1,
1.45,1.38,1.3,1.23,1.17,1.15,1.12,1.05,0.95,0.8,0.6,0.4,0.3)))</f>
        <v>1.15</v>
      </c>
      <c r="T115" s="5" t="n">
        <f aca="false">CHOOSE(N115+1,1.2,1,0.85,0.7)</f>
        <v>1.2</v>
      </c>
      <c r="U115" s="5" t="n">
        <f aca="false">IF(F115="PO",0.6,
IF(F115="CT",0.75,
IF(F115="LI",0.8,
IF(F115="LD",0.8,
IF(F115="MCD",0.85,
IF(F115="MC",0.95,
IF(F115="MO",1.05,
IF(F115="EI",1.1,
IF(F115="ED",1.1,
IF(F115="SD",1.15,
IF(F115="DC",1.2,0)))))))))))</f>
        <v>0.8</v>
      </c>
    </row>
    <row r="116" customFormat="false" ht="16.4" hidden="false" customHeight="false" outlineLevel="0" collapsed="false">
      <c r="A116" s="1" t="n">
        <v>115</v>
      </c>
      <c r="B116" s="5" t="str">
        <f aca="false">[1]Base_Jugadores!B116</f>
        <v>Lamine Yamal</v>
      </c>
      <c r="C116" s="5" t="str">
        <f aca="false">IFERROR(
   _xlfn.XLOOKUP(VALUE(A116),[1]Fichajes_Realizados!A$2:A$50000,[1]Fichajes_Realizados!D$2:D$50000,,0,-1),
   _xlfn.XLOOKUP(VALUE(A116),[1]Base_Jugadores!A$2:A$50000,[1]Base_Jugadores!C$2:C$50000)
)</f>
        <v>FC Barcelona</v>
      </c>
      <c r="D116" s="5" t="str">
        <f aca="false">[1]Base_Jugadores!D116</f>
        <v>España</v>
      </c>
      <c r="E116" s="3"/>
      <c r="F116" s="5" t="str">
        <f aca="false">[1]Base_Jugadores!E116</f>
        <v>ED</v>
      </c>
      <c r="G116" s="5" t="n">
        <f aca="false">[1]Base_Jugadores!F116</f>
        <v>85</v>
      </c>
      <c r="H116" s="5" t="n">
        <f aca="false">[1]Base_Jugadores!G116</f>
        <v>18</v>
      </c>
      <c r="I116" s="7" t="n">
        <f aca="false" t="array" ref="I116:I116">_xlfn.XLOOKUP(G116,{55;56;57;58;59;60;61;62;63;64;65;66;67;68;69;70;71;72;73;74;75;76;77;78;79;80;81;82;83;84;85;86;87;88;89;90;91;92;93;94;95;96;97;98;99},{100000;130000;160000;190000;220000;250000;300000;350000;400000;450000;500000;600000;700000;800000;900000;1000000;1500000;2000000;3000000;4000000;5000000;6500000;8000000;10000000;12500000;15000000;20000000;25000000;30000000;35000000;40000000;55000000;70000000;80000000;90000000;110000000;130000000;160000000;190000000;220000000;250000000;280000000;310000000;340000000;400000000})</f>
        <v>40000000</v>
      </c>
      <c r="J116" s="7" t="n">
        <f aca="false">I116*S116*T116*U116</f>
        <v>72864000</v>
      </c>
      <c r="K116" s="8"/>
      <c r="L116" s="3"/>
      <c r="M116" s="8"/>
      <c r="N116" s="9" t="n">
        <v>0</v>
      </c>
      <c r="O116" s="4" t="n">
        <v>0</v>
      </c>
      <c r="P116" s="5" t="n">
        <f aca="false">IF(COUNTIF([1]Base_Jugadores!J$2:J$500,B116)&gt;0,1,0)</f>
        <v>0</v>
      </c>
      <c r="Q116" s="10" t="b">
        <f aca="false">--(COUNTIFS(
   [1]Fichajes_Realizados!A$2:A$5000,A116,
   [1]Fichajes_Realizados!G$2:G$5000,$X$3
)&gt;0)</f>
        <v>0</v>
      </c>
      <c r="R116" s="5" t="n">
        <f aca="false">_xlfn.XLOOKUP(C116, [1]Estado_Equipos!A$2:A$500, [1]Estado_Equipos!J$2:J$500, "")</f>
        <v>83</v>
      </c>
      <c r="S116" s="5" t="n">
        <f aca="false">IF(H116&lt;=16,1.45,
IF(H116&gt;=41,0.3,
CHOOSE(ROUNDDOWN((H116-16)/2,0)+1,
1.45,1.38,1.3,1.23,1.17,1.15,1.12,1.05,0.95,0.8,0.6,0.4,0.3)))</f>
        <v>1.38</v>
      </c>
      <c r="T116" s="5" t="n">
        <f aca="false">CHOOSE(N116+1,1.2,1,0.85,0.7)</f>
        <v>1.2</v>
      </c>
      <c r="U116" s="5" t="n">
        <f aca="false">IF(F116="PO",0.6,
IF(F116="CT",0.75,
IF(F116="LI",0.8,
IF(F116="LD",0.8,
IF(F116="MCD",0.85,
IF(F116="MC",0.95,
IF(F116="MO",1.05,
IF(F116="EI",1.1,
IF(F116="ED",1.1,
IF(F116="SD",1.15,
IF(F116="DC",1.2,0)))))))))))</f>
        <v>1.1</v>
      </c>
    </row>
    <row r="117" customFormat="false" ht="16.4" hidden="false" customHeight="false" outlineLevel="0" collapsed="false">
      <c r="A117" s="1" t="n">
        <v>116</v>
      </c>
      <c r="B117" s="5" t="str">
        <f aca="false">[1]Base_Jugadores!B117</f>
        <v>M. ter Stegen</v>
      </c>
      <c r="C117" s="5" t="str">
        <f aca="false">IFERROR(
   _xlfn.XLOOKUP(VALUE(A117),[1]Fichajes_Realizados!A$2:A$50000,[1]Fichajes_Realizados!D$2:D$50000,,0,-1),
   _xlfn.XLOOKUP(VALUE(A117),[1]Base_Jugadores!A$2:A$50000,[1]Base_Jugadores!C$2:C$50000)
)</f>
        <v>FC Barcelona</v>
      </c>
      <c r="D117" s="5" t="str">
        <f aca="false">[1]Base_Jugadores!D117</f>
        <v>Alemania</v>
      </c>
      <c r="E117" s="3"/>
      <c r="F117" s="5" t="str">
        <f aca="false">[1]Base_Jugadores!E117</f>
        <v>PO</v>
      </c>
      <c r="G117" s="5" t="n">
        <f aca="false">[1]Base_Jugadores!F117</f>
        <v>83</v>
      </c>
      <c r="H117" s="5" t="n">
        <f aca="false">[1]Base_Jugadores!G117</f>
        <v>33</v>
      </c>
      <c r="I117" s="7" t="n">
        <f aca="false" t="array" ref="I117:I117">_xlfn.XLOOKUP(G117,{55;56;57;58;59;60;61;62;63;64;65;66;67;68;69;70;71;72;73;74;75;76;77;78;79;80;81;82;83;84;85;86;87;88;89;90;91;92;93;94;95;96;97;98;99},{100000;130000;160000;190000;220000;250000;300000;350000;400000;450000;500000;600000;700000;800000;900000;1000000;1500000;2000000;3000000;4000000;5000000;6500000;8000000;10000000;12500000;15000000;20000000;25000000;30000000;35000000;40000000;55000000;70000000;80000000;90000000;110000000;130000000;160000000;190000000;220000000;250000000;280000000;310000000;340000000;400000000})</f>
        <v>30000000</v>
      </c>
      <c r="J117" s="7" t="n">
        <f aca="false">I117*S117*T117*U117</f>
        <v>14535000</v>
      </c>
      <c r="K117" s="8"/>
      <c r="L117" s="3"/>
      <c r="M117" s="8"/>
      <c r="N117" s="9" t="n">
        <v>2</v>
      </c>
      <c r="O117" s="4" t="n">
        <v>0</v>
      </c>
      <c r="P117" s="5" t="n">
        <f aca="false">IF(COUNTIF([1]Base_Jugadores!J$2:J$500,B117)&gt;0,1,0)</f>
        <v>0</v>
      </c>
      <c r="Q117" s="10" t="b">
        <f aca="false">--(COUNTIFS(
   [1]Fichajes_Realizados!A$2:A$5000,A117,
   [1]Fichajes_Realizados!G$2:G$5000,$X$3
)&gt;0)</f>
        <v>0</v>
      </c>
      <c r="R117" s="5" t="n">
        <f aca="false">_xlfn.XLOOKUP(C117, [1]Estado_Equipos!A$2:A$500, [1]Estado_Equipos!J$2:J$500, "")</f>
        <v>83</v>
      </c>
      <c r="S117" s="5" t="n">
        <f aca="false">IF(H117&lt;=16,1.45,
IF(H117&gt;=41,0.3,
CHOOSE(ROUNDDOWN((H117-16)/2,0)+1,
1.45,1.38,1.3,1.23,1.17,1.15,1.12,1.05,0.95,0.8,0.6,0.4,0.3)))</f>
        <v>0.95</v>
      </c>
      <c r="T117" s="5" t="n">
        <f aca="false">CHOOSE(N117+1,1.2,1,0.85,0.7)</f>
        <v>0.85</v>
      </c>
      <c r="U117" s="5" t="n">
        <f aca="false">IF(F117="PO",0.6,
IF(F117="CT",0.75,
IF(F117="LI",0.8,
IF(F117="LD",0.8,
IF(F117="MCD",0.85,
IF(F117="MC",0.95,
IF(F117="MO",1.05,
IF(F117="EI",1.1,
IF(F117="ED",1.1,
IF(F117="SD",1.15,
IF(F117="DC",1.2,0)))))))))))</f>
        <v>0.6</v>
      </c>
    </row>
    <row r="118" customFormat="false" ht="16.4" hidden="false" customHeight="false" outlineLevel="0" collapsed="false">
      <c r="A118" s="1" t="n">
        <v>117</v>
      </c>
      <c r="B118" s="5" t="str">
        <f aca="false">[1]Base_Jugadores!B118</f>
        <v>Marc Bernal</v>
      </c>
      <c r="C118" s="5" t="str">
        <f aca="false">IFERROR(
   _xlfn.XLOOKUP(VALUE(A118),[1]Fichajes_Realizados!A$2:A$50000,[1]Fichajes_Realizados!D$2:D$50000,,0,-1),
   _xlfn.XLOOKUP(VALUE(A118),[1]Base_Jugadores!A$2:A$50000,[1]Base_Jugadores!C$2:C$50000)
)</f>
        <v>FC Barcelona</v>
      </c>
      <c r="D118" s="5" t="str">
        <f aca="false">[1]Base_Jugadores!D118</f>
        <v>España</v>
      </c>
      <c r="E118" s="3"/>
      <c r="F118" s="5" t="str">
        <f aca="false">[1]Base_Jugadores!E118</f>
        <v>MCD</v>
      </c>
      <c r="G118" s="5" t="n">
        <f aca="false">[1]Base_Jugadores!F118</f>
        <v>67</v>
      </c>
      <c r="H118" s="5" t="n">
        <f aca="false">[1]Base_Jugadores!G118</f>
        <v>18</v>
      </c>
      <c r="I118" s="7" t="n">
        <f aca="false" t="array" ref="I118:I118">_xlfn.XLOOKUP(G118,{55;56;57;58;59;60;61;62;63;64;65;66;67;68;69;70;71;72;73;74;75;76;77;78;79;80;81;82;83;84;85;86;87;88;89;90;91;92;93;94;95;96;97;98;99},{100000;130000;160000;190000;220000;250000;300000;350000;400000;450000;500000;600000;700000;800000;900000;1000000;1500000;2000000;3000000;4000000;5000000;6500000;8000000;10000000;12500000;15000000;20000000;25000000;30000000;35000000;40000000;55000000;70000000;80000000;90000000;110000000;130000000;160000000;190000000;220000000;250000000;280000000;310000000;340000000;400000000})</f>
        <v>700000</v>
      </c>
      <c r="J118" s="7" t="n">
        <f aca="false">I118*S118*T118*U118</f>
        <v>697935</v>
      </c>
      <c r="K118" s="8"/>
      <c r="L118" s="3"/>
      <c r="M118" s="8"/>
      <c r="N118" s="9" t="n">
        <v>2</v>
      </c>
      <c r="O118" s="4" t="n">
        <v>0</v>
      </c>
      <c r="P118" s="5" t="n">
        <f aca="false">IF(COUNTIF([1]Base_Jugadores!J$2:J$500,B118)&gt;0,1,0)</f>
        <v>0</v>
      </c>
      <c r="Q118" s="10" t="b">
        <f aca="false">--(COUNTIFS(
   [1]Fichajes_Realizados!A$2:A$5000,A118,
   [1]Fichajes_Realizados!G$2:G$5000,$X$3
)&gt;0)</f>
        <v>0</v>
      </c>
      <c r="R118" s="5" t="n">
        <f aca="false">_xlfn.XLOOKUP(C118, [1]Estado_Equipos!A$2:A$500, [1]Estado_Equipos!J$2:J$500, "")</f>
        <v>83</v>
      </c>
      <c r="S118" s="5" t="n">
        <f aca="false">IF(H118&lt;=16,1.45,
IF(H118&gt;=41,0.3,
CHOOSE(ROUNDDOWN((H118-16)/2,0)+1,
1.45,1.38,1.3,1.23,1.17,1.15,1.12,1.05,0.95,0.8,0.6,0.4,0.3)))</f>
        <v>1.38</v>
      </c>
      <c r="T118" s="5" t="n">
        <f aca="false">CHOOSE(N118+1,1.2,1,0.85,0.7)</f>
        <v>0.85</v>
      </c>
      <c r="U118" s="5" t="n">
        <f aca="false">IF(F118="PO",0.6,
IF(F118="CT",0.75,
IF(F118="LI",0.8,
IF(F118="LD",0.8,
IF(F118="MCD",0.85,
IF(F118="MC",0.95,
IF(F118="MO",1.05,
IF(F118="EI",1.1,
IF(F118="ED",1.1,
IF(F118="SD",1.15,
IF(F118="DC",1.2,0)))))))))))</f>
        <v>0.85</v>
      </c>
    </row>
    <row r="119" customFormat="false" ht="16.4" hidden="false" customHeight="false" outlineLevel="0" collapsed="false">
      <c r="A119" s="1" t="n">
        <v>118</v>
      </c>
      <c r="B119" s="5" t="str">
        <f aca="false">[1]Base_Jugadores!B119</f>
        <v>Marc Casadó</v>
      </c>
      <c r="C119" s="5" t="str">
        <f aca="false">IFERROR(
   _xlfn.XLOOKUP(VALUE(A119),[1]Fichajes_Realizados!A$2:A$50000,[1]Fichajes_Realizados!D$2:D$50000,,0,-1),
   _xlfn.XLOOKUP(VALUE(A119),[1]Base_Jugadores!A$2:A$50000,[1]Base_Jugadores!C$2:C$50000)
)</f>
        <v>FC Barcelona</v>
      </c>
      <c r="D119" s="5" t="str">
        <f aca="false">[1]Base_Jugadores!D119</f>
        <v>España</v>
      </c>
      <c r="E119" s="3"/>
      <c r="F119" s="5" t="str">
        <f aca="false">[1]Base_Jugadores!E119</f>
        <v>MCD</v>
      </c>
      <c r="G119" s="5" t="n">
        <f aca="false">[1]Base_Jugadores!F119</f>
        <v>77</v>
      </c>
      <c r="H119" s="5" t="n">
        <f aca="false">[1]Base_Jugadores!G119</f>
        <v>22</v>
      </c>
      <c r="I119" s="7" t="n">
        <f aca="false" t="array" ref="I119:I119">_xlfn.XLOOKUP(G119,{55;56;57;58;59;60;61;62;63;64;65;66;67;68;69;70;71;72;73;74;75;76;77;78;79;80;81;82;83;84;85;86;87;88;89;90;91;92;93;94;95;96;97;98;99},{100000;130000;160000;190000;220000;250000;300000;350000;400000;450000;500000;600000;700000;800000;900000;1000000;1500000;2000000;3000000;4000000;5000000;6500000;8000000;10000000;12500000;15000000;20000000;25000000;30000000;35000000;40000000;55000000;70000000;80000000;90000000;110000000;130000000;160000000;190000000;220000000;250000000;280000000;310000000;340000000;400000000})</f>
        <v>8000000</v>
      </c>
      <c r="J119" s="7" t="n">
        <f aca="false">I119*S119*T119*U119</f>
        <v>7109400</v>
      </c>
      <c r="K119" s="8"/>
      <c r="L119" s="3"/>
      <c r="M119" s="8"/>
      <c r="N119" s="9" t="n">
        <v>2</v>
      </c>
      <c r="O119" s="4" t="n">
        <v>0</v>
      </c>
      <c r="P119" s="5" t="n">
        <f aca="false">IF(COUNTIF([1]Base_Jugadores!J$2:J$500,B119)&gt;0,1,0)</f>
        <v>0</v>
      </c>
      <c r="Q119" s="10" t="b">
        <f aca="false">--(COUNTIFS(
   [1]Fichajes_Realizados!A$2:A$5000,A119,
   [1]Fichajes_Realizados!G$2:G$5000,$X$3
)&gt;0)</f>
        <v>0</v>
      </c>
      <c r="R119" s="5" t="n">
        <f aca="false">_xlfn.XLOOKUP(C119, [1]Estado_Equipos!A$2:A$500, [1]Estado_Equipos!J$2:J$500, "")</f>
        <v>83</v>
      </c>
      <c r="S119" s="5" t="n">
        <f aca="false">IF(H119&lt;=16,1.45,
IF(H119&gt;=41,0.3,
CHOOSE(ROUNDDOWN((H119-16)/2,0)+1,
1.45,1.38,1.3,1.23,1.17,1.15,1.12,1.05,0.95,0.8,0.6,0.4,0.3)))</f>
        <v>1.23</v>
      </c>
      <c r="T119" s="5" t="n">
        <f aca="false">CHOOSE(N119+1,1.2,1,0.85,0.7)</f>
        <v>0.85</v>
      </c>
      <c r="U119" s="5" t="n">
        <f aca="false">IF(F119="PO",0.6,
IF(F119="CT",0.75,
IF(F119="LI",0.8,
IF(F119="LD",0.8,
IF(F119="MCD",0.85,
IF(F119="MC",0.95,
IF(F119="MO",1.05,
IF(F119="EI",1.1,
IF(F119="ED",1.1,
IF(F119="SD",1.15,
IF(F119="DC",1.2,0)))))))))))</f>
        <v>0.85</v>
      </c>
    </row>
    <row r="120" customFormat="false" ht="16.4" hidden="false" customHeight="false" outlineLevel="0" collapsed="false">
      <c r="A120" s="1" t="n">
        <v>119</v>
      </c>
      <c r="B120" s="5" t="str">
        <f aca="false">[1]Base_Jugadores!B120</f>
        <v>Marcus Rashford</v>
      </c>
      <c r="C120" s="5" t="str">
        <f aca="false">IFERROR(
   _xlfn.XLOOKUP(VALUE(A120),[1]Fichajes_Realizados!A$2:A$50000,[1]Fichajes_Realizados!D$2:D$50000,,0,-1),
   _xlfn.XLOOKUP(VALUE(A120),[1]Base_Jugadores!A$2:A$50000,[1]Base_Jugadores!C$2:C$50000)
)</f>
        <v>FC Barcelona</v>
      </c>
      <c r="D120" s="5" t="str">
        <f aca="false">[1]Base_Jugadores!D120</f>
        <v>Inglaterra</v>
      </c>
      <c r="E120" s="3"/>
      <c r="F120" s="5" t="str">
        <f aca="false">[1]Base_Jugadores!E120</f>
        <v>EI</v>
      </c>
      <c r="G120" s="5" t="n">
        <f aca="false">[1]Base_Jugadores!F120</f>
        <v>82</v>
      </c>
      <c r="H120" s="5" t="n">
        <f aca="false">[1]Base_Jugadores!G120</f>
        <v>28</v>
      </c>
      <c r="I120" s="7" t="n">
        <f aca="false" t="array" ref="I120:I120">_xlfn.XLOOKUP(G120,{55;56;57;58;59;60;61;62;63;64;65;66;67;68;69;70;71;72;73;74;75;76;77;78;79;80;81;82;83;84;85;86;87;88;89;90;91;92;93;94;95;96;97;98;99},{100000;130000;160000;190000;220000;250000;300000;350000;400000;450000;500000;600000;700000;800000;900000;1000000;1500000;2000000;3000000;4000000;5000000;6500000;8000000;10000000;12500000;15000000;20000000;25000000;30000000;35000000;40000000;55000000;70000000;80000000;90000000;110000000;130000000;160000000;190000000;220000000;250000000;280000000;310000000;340000000;400000000})</f>
        <v>25000000</v>
      </c>
      <c r="J120" s="7" t="n">
        <f aca="false">I120*S120*T120*U120</f>
        <v>30800000</v>
      </c>
      <c r="K120" s="8"/>
      <c r="L120" s="3"/>
      <c r="M120" s="8"/>
      <c r="N120" s="9" t="n">
        <v>1</v>
      </c>
      <c r="O120" s="4" t="n">
        <v>0</v>
      </c>
      <c r="P120" s="5" t="n">
        <f aca="false">IF(COUNTIF([1]Base_Jugadores!J$2:J$500,B120)&gt;0,1,0)</f>
        <v>0</v>
      </c>
      <c r="Q120" s="10" t="b">
        <f aca="false">--(COUNTIFS(
   [1]Fichajes_Realizados!A$2:A$5000,A120,
   [1]Fichajes_Realizados!G$2:G$5000,$X$3
)&gt;0)</f>
        <v>0</v>
      </c>
      <c r="R120" s="5" t="n">
        <f aca="false">_xlfn.XLOOKUP(C120, [1]Estado_Equipos!A$2:A$500, [1]Estado_Equipos!J$2:J$500, "")</f>
        <v>83</v>
      </c>
      <c r="S120" s="5" t="n">
        <f aca="false">IF(H120&lt;=16,1.45,
IF(H120&gt;=41,0.3,
CHOOSE(ROUNDDOWN((H120-16)/2,0)+1,
1.45,1.38,1.3,1.23,1.17,1.15,1.12,1.05,0.95,0.8,0.6,0.4,0.3)))</f>
        <v>1.12</v>
      </c>
      <c r="T120" s="5" t="n">
        <f aca="false">CHOOSE(N120+1,1.2,1,0.85,0.7)</f>
        <v>1</v>
      </c>
      <c r="U120" s="5" t="n">
        <f aca="false">IF(F120="PO",0.6,
IF(F120="CT",0.75,
IF(F120="LI",0.8,
IF(F120="LD",0.8,
IF(F120="MCD",0.85,
IF(F120="MC",0.95,
IF(F120="MO",1.05,
IF(F120="EI",1.1,
IF(F120="ED",1.1,
IF(F120="SD",1.15,
IF(F120="DC",1.2,0)))))))))))</f>
        <v>1.1</v>
      </c>
    </row>
    <row r="121" customFormat="false" ht="16.4" hidden="false" customHeight="false" outlineLevel="0" collapsed="false">
      <c r="A121" s="1" t="n">
        <v>120</v>
      </c>
      <c r="B121" s="5" t="str">
        <f aca="false">[1]Base_Jugadores!B121</f>
        <v>Pau Cubarsí</v>
      </c>
      <c r="C121" s="5" t="str">
        <f aca="false">IFERROR(
   _xlfn.XLOOKUP(VALUE(A121),[1]Fichajes_Realizados!A$2:A$50000,[1]Fichajes_Realizados!D$2:D$50000,,0,-1),
   _xlfn.XLOOKUP(VALUE(A121),[1]Base_Jugadores!A$2:A$50000,[1]Base_Jugadores!C$2:C$50000)
)</f>
        <v>FC Barcelona</v>
      </c>
      <c r="D121" s="5" t="str">
        <f aca="false">[1]Base_Jugadores!D121</f>
        <v>España</v>
      </c>
      <c r="E121" s="3"/>
      <c r="F121" s="5" t="str">
        <f aca="false">[1]Base_Jugadores!E121</f>
        <v>CT</v>
      </c>
      <c r="G121" s="5" t="n">
        <f aca="false">[1]Base_Jugadores!F121</f>
        <v>80</v>
      </c>
      <c r="H121" s="5" t="n">
        <f aca="false">[1]Base_Jugadores!G121</f>
        <v>18</v>
      </c>
      <c r="I121" s="7" t="n">
        <f aca="false" t="array" ref="I121:I121">_xlfn.XLOOKUP(G121,{55;56;57;58;59;60;61;62;63;64;65;66;67;68;69;70;71;72;73;74;75;76;77;78;79;80;81;82;83;84;85;86;87;88;89;90;91;92;93;94;95;96;97;98;99},{100000;130000;160000;190000;220000;250000;300000;350000;400000;450000;500000;600000;700000;800000;900000;1000000;1500000;2000000;3000000;4000000;5000000;6500000;8000000;10000000;12500000;15000000;20000000;25000000;30000000;35000000;40000000;55000000;70000000;80000000;90000000;110000000;130000000;160000000;190000000;220000000;250000000;280000000;310000000;340000000;400000000})</f>
        <v>15000000</v>
      </c>
      <c r="J121" s="7" t="n">
        <f aca="false">I121*S121*T121*U121</f>
        <v>15525000</v>
      </c>
      <c r="K121" s="8"/>
      <c r="L121" s="3"/>
      <c r="M121" s="8"/>
      <c r="N121" s="9" t="n">
        <v>1</v>
      </c>
      <c r="O121" s="4" t="n">
        <v>0</v>
      </c>
      <c r="P121" s="5" t="n">
        <f aca="false">IF(COUNTIF([1]Base_Jugadores!J$2:J$500,B121)&gt;0,1,0)</f>
        <v>0</v>
      </c>
      <c r="Q121" s="10" t="b">
        <f aca="false">--(COUNTIFS(
   [1]Fichajes_Realizados!A$2:A$5000,A121,
   [1]Fichajes_Realizados!G$2:G$5000,$X$3
)&gt;0)</f>
        <v>0</v>
      </c>
      <c r="R121" s="5" t="n">
        <f aca="false">_xlfn.XLOOKUP(C121, [1]Estado_Equipos!A$2:A$500, [1]Estado_Equipos!J$2:J$500, "")</f>
        <v>83</v>
      </c>
      <c r="S121" s="5" t="n">
        <f aca="false">IF(H121&lt;=16,1.45,
IF(H121&gt;=41,0.3,
CHOOSE(ROUNDDOWN((H121-16)/2,0)+1,
1.45,1.38,1.3,1.23,1.17,1.15,1.12,1.05,0.95,0.8,0.6,0.4,0.3)))</f>
        <v>1.38</v>
      </c>
      <c r="T121" s="5" t="n">
        <f aca="false">CHOOSE(N121+1,1.2,1,0.85,0.7)</f>
        <v>1</v>
      </c>
      <c r="U121" s="5" t="n">
        <f aca="false">IF(F121="PO",0.6,
IF(F121="CT",0.75,
IF(F121="LI",0.8,
IF(F121="LD",0.8,
IF(F121="MCD",0.85,
IF(F121="MC",0.95,
IF(F121="MO",1.05,
IF(F121="EI",1.1,
IF(F121="ED",1.1,
IF(F121="SD",1.15,
IF(F121="DC",1.2,0)))))))))))</f>
        <v>0.75</v>
      </c>
    </row>
    <row r="122" customFormat="false" ht="16.4" hidden="false" customHeight="false" outlineLevel="0" collapsed="false">
      <c r="A122" s="1" t="n">
        <v>121</v>
      </c>
      <c r="B122" s="5" t="str">
        <f aca="false">[1]Base_Jugadores!B122</f>
        <v>Pedri</v>
      </c>
      <c r="C122" s="5" t="str">
        <f aca="false">IFERROR(
   _xlfn.XLOOKUP(VALUE(A122),[1]Fichajes_Realizados!A$2:A$50000,[1]Fichajes_Realizados!D$2:D$50000,,0,-1),
   _xlfn.XLOOKUP(VALUE(A122),[1]Base_Jugadores!A$2:A$50000,[1]Base_Jugadores!C$2:C$50000)
)</f>
        <v>FC Barcelona</v>
      </c>
      <c r="D122" s="5" t="str">
        <f aca="false">[1]Base_Jugadores!D122</f>
        <v>España</v>
      </c>
      <c r="E122" s="3"/>
      <c r="F122" s="5" t="str">
        <f aca="false">[1]Base_Jugadores!E122</f>
        <v>MC</v>
      </c>
      <c r="G122" s="5" t="n">
        <f aca="false">[1]Base_Jugadores!F122</f>
        <v>89</v>
      </c>
      <c r="H122" s="5" t="n">
        <f aca="false">[1]Base_Jugadores!G122</f>
        <v>23</v>
      </c>
      <c r="I122" s="7" t="n">
        <f aca="false" t="array" ref="I122:I122">_xlfn.XLOOKUP(G122,{55;56;57;58;59;60;61;62;63;64;65;66;67;68;69;70;71;72;73;74;75;76;77;78;79;80;81;82;83;84;85;86;87;88;89;90;91;92;93;94;95;96;97;98;99},{100000;130000;160000;190000;220000;250000;300000;350000;400000;450000;500000;600000;700000;800000;900000;1000000;1500000;2000000;3000000;4000000;5000000;6500000;8000000;10000000;12500000;15000000;20000000;25000000;30000000;35000000;40000000;55000000;70000000;80000000;90000000;110000000;130000000;160000000;190000000;220000000;250000000;280000000;310000000;340000000;400000000})</f>
        <v>90000000</v>
      </c>
      <c r="J122" s="7" t="n">
        <f aca="false">I122*S122*T122*U122</f>
        <v>126198000</v>
      </c>
      <c r="K122" s="8"/>
      <c r="L122" s="3"/>
      <c r="M122" s="8"/>
      <c r="N122" s="9" t="n">
        <v>0</v>
      </c>
      <c r="O122" s="4" t="n">
        <v>0</v>
      </c>
      <c r="P122" s="5" t="n">
        <f aca="false">IF(COUNTIF([1]Base_Jugadores!J$2:J$500,B122)&gt;0,1,0)</f>
        <v>0</v>
      </c>
      <c r="Q122" s="10" t="b">
        <f aca="false">--(COUNTIFS(
   [1]Fichajes_Realizados!A$2:A$5000,A122,
   [1]Fichajes_Realizados!G$2:G$5000,$X$3
)&gt;0)</f>
        <v>0</v>
      </c>
      <c r="R122" s="5" t="n">
        <f aca="false">_xlfn.XLOOKUP(C122, [1]Estado_Equipos!A$2:A$500, [1]Estado_Equipos!J$2:J$500, "")</f>
        <v>83</v>
      </c>
      <c r="S122" s="5" t="n">
        <f aca="false">IF(H122&lt;=16,1.45,
IF(H122&gt;=41,0.3,
CHOOSE(ROUNDDOWN((H122-16)/2,0)+1,
1.45,1.38,1.3,1.23,1.17,1.15,1.12,1.05,0.95,0.8,0.6,0.4,0.3)))</f>
        <v>1.23</v>
      </c>
      <c r="T122" s="5" t="n">
        <f aca="false">CHOOSE(N122+1,1.2,1,0.85,0.7)</f>
        <v>1.2</v>
      </c>
      <c r="U122" s="5" t="n">
        <f aca="false">IF(F122="PO",0.6,
IF(F122="CT",0.75,
IF(F122="LI",0.8,
IF(F122="LD",0.8,
IF(F122="MCD",0.85,
IF(F122="MC",0.95,
IF(F122="MO",1.05,
IF(F122="EI",1.1,
IF(F122="ED",1.1,
IF(F122="SD",1.15,
IF(F122="DC",1.2,0)))))))))))</f>
        <v>0.95</v>
      </c>
    </row>
    <row r="123" customFormat="false" ht="16.4" hidden="false" customHeight="false" outlineLevel="0" collapsed="false">
      <c r="A123" s="1" t="n">
        <v>122</v>
      </c>
      <c r="B123" s="5" t="str">
        <f aca="false">[1]Base_Jugadores!B123</f>
        <v>R. Lewandowski</v>
      </c>
      <c r="C123" s="5" t="str">
        <f aca="false">IFERROR(
   _xlfn.XLOOKUP(VALUE(A123),[1]Fichajes_Realizados!A$2:A$50000,[1]Fichajes_Realizados!D$2:D$50000,,0,-1),
   _xlfn.XLOOKUP(VALUE(A123),[1]Base_Jugadores!A$2:A$50000,[1]Base_Jugadores!C$2:C$50000)
)</f>
        <v>FC Barcelona</v>
      </c>
      <c r="D123" s="5" t="str">
        <f aca="false">[1]Base_Jugadores!D123</f>
        <v>Polonia</v>
      </c>
      <c r="E123" s="3"/>
      <c r="F123" s="5" t="str">
        <f aca="false">[1]Base_Jugadores!E123</f>
        <v>DC</v>
      </c>
      <c r="G123" s="5" t="n">
        <f aca="false">[1]Base_Jugadores!F123</f>
        <v>88</v>
      </c>
      <c r="H123" s="5" t="n">
        <f aca="false">[1]Base_Jugadores!G123</f>
        <v>37</v>
      </c>
      <c r="I123" s="7" t="n">
        <f aca="false" t="array" ref="I123:I123">_xlfn.XLOOKUP(G123,{55;56;57;58;59;60;61;62;63;64;65;66;67;68;69;70;71;72;73;74;75;76;77;78;79;80;81;82;83;84;85;86;87;88;89;90;91;92;93;94;95;96;97;98;99},{100000;130000;160000;190000;220000;250000;300000;350000;400000;450000;500000;600000;700000;800000;900000;1000000;1500000;2000000;3000000;4000000;5000000;6500000;8000000;10000000;12500000;15000000;20000000;25000000;30000000;35000000;40000000;55000000;70000000;80000000;90000000;110000000;130000000;160000000;190000000;220000000;250000000;280000000;310000000;340000000;400000000})</f>
        <v>80000000</v>
      </c>
      <c r="J123" s="7" t="n">
        <f aca="false">I123*S123*T123*U123</f>
        <v>69120000</v>
      </c>
      <c r="K123" s="8"/>
      <c r="L123" s="3"/>
      <c r="M123" s="8"/>
      <c r="N123" s="9" t="n">
        <v>0</v>
      </c>
      <c r="O123" s="4" t="n">
        <v>0</v>
      </c>
      <c r="P123" s="5" t="n">
        <f aca="false">IF(COUNTIF([1]Base_Jugadores!J$2:J$500,B123)&gt;0,1,0)</f>
        <v>0</v>
      </c>
      <c r="Q123" s="10" t="b">
        <f aca="false">--(COUNTIFS(
   [1]Fichajes_Realizados!A$2:A$5000,A123,
   [1]Fichajes_Realizados!G$2:G$5000,$X$3
)&gt;0)</f>
        <v>0</v>
      </c>
      <c r="R123" s="5" t="n">
        <f aca="false">_xlfn.XLOOKUP(C123, [1]Estado_Equipos!A$2:A$500, [1]Estado_Equipos!J$2:J$500, "")</f>
        <v>83</v>
      </c>
      <c r="S123" s="5" t="n">
        <f aca="false">IF(H123&lt;=16,1.45,
IF(H123&gt;=41,0.3,
CHOOSE(ROUNDDOWN((H123-16)/2,0)+1,
1.45,1.38,1.3,1.23,1.17,1.15,1.12,1.05,0.95,0.8,0.6,0.4,0.3)))</f>
        <v>0.6</v>
      </c>
      <c r="T123" s="5" t="n">
        <f aca="false">CHOOSE(N123+1,1.2,1,0.85,0.7)</f>
        <v>1.2</v>
      </c>
      <c r="U123" s="5" t="n">
        <f aca="false">IF(F123="PO",0.6,
IF(F123="CT",0.75,
IF(F123="LI",0.8,
IF(F123="LD",0.8,
IF(F123="MCD",0.85,
IF(F123="MC",0.95,
IF(F123="MO",1.05,
IF(F123="EI",1.1,
IF(F123="ED",1.1,
IF(F123="SD",1.15,
IF(F123="DC",1.2,0)))))))))))</f>
        <v>1.2</v>
      </c>
    </row>
    <row r="124" customFormat="false" ht="16.4" hidden="false" customHeight="false" outlineLevel="0" collapsed="false">
      <c r="A124" s="1" t="n">
        <v>123</v>
      </c>
      <c r="B124" s="5" t="str">
        <f aca="false">[1]Base_Jugadores!B124</f>
        <v>Raphinha</v>
      </c>
      <c r="C124" s="5" t="str">
        <f aca="false">IFERROR(
   _xlfn.XLOOKUP(VALUE(A124),[1]Fichajes_Realizados!A$2:A$50000,[1]Fichajes_Realizados!D$2:D$50000,,0,-1),
   _xlfn.XLOOKUP(VALUE(A124),[1]Base_Jugadores!A$2:A$50000,[1]Base_Jugadores!C$2:C$50000)
)</f>
        <v>FC Barcelona</v>
      </c>
      <c r="D124" s="5" t="str">
        <f aca="false">[1]Base_Jugadores!D124</f>
        <v>Brasil</v>
      </c>
      <c r="E124" s="3"/>
      <c r="F124" s="5" t="str">
        <f aca="false">[1]Base_Jugadores!E124</f>
        <v>EI</v>
      </c>
      <c r="G124" s="5" t="n">
        <f aca="false">[1]Base_Jugadores!F124</f>
        <v>87</v>
      </c>
      <c r="H124" s="5" t="n">
        <f aca="false">[1]Base_Jugadores!G124</f>
        <v>29</v>
      </c>
      <c r="I124" s="7" t="n">
        <f aca="false" t="array" ref="I124:I124">_xlfn.XLOOKUP(G124,{55;56;57;58;59;60;61;62;63;64;65;66;67;68;69;70;71;72;73;74;75;76;77;78;79;80;81;82;83;84;85;86;87;88;89;90;91;92;93;94;95;96;97;98;99},{100000;130000;160000;190000;220000;250000;300000;350000;400000;450000;500000;600000;700000;800000;900000;1000000;1500000;2000000;3000000;4000000;5000000;6500000;8000000;10000000;12500000;15000000;20000000;25000000;30000000;35000000;40000000;55000000;70000000;80000000;90000000;110000000;130000000;160000000;190000000;220000000;250000000;280000000;310000000;340000000;400000000})</f>
        <v>70000000</v>
      </c>
      <c r="J124" s="7" t="n">
        <f aca="false">I124*S124*T124*U124</f>
        <v>103488000</v>
      </c>
      <c r="K124" s="8"/>
      <c r="L124" s="3"/>
      <c r="M124" s="8"/>
      <c r="N124" s="9" t="n">
        <v>0</v>
      </c>
      <c r="O124" s="4" t="n">
        <v>0</v>
      </c>
      <c r="P124" s="5" t="n">
        <f aca="false">IF(COUNTIF([1]Base_Jugadores!J$2:J$500,B124)&gt;0,1,0)</f>
        <v>0</v>
      </c>
      <c r="Q124" s="10" t="b">
        <f aca="false">--(COUNTIFS(
   [1]Fichajes_Realizados!A$2:A$5000,A124,
   [1]Fichajes_Realizados!G$2:G$5000,$X$3
)&gt;0)</f>
        <v>0</v>
      </c>
      <c r="R124" s="5" t="n">
        <f aca="false">_xlfn.XLOOKUP(C124, [1]Estado_Equipos!A$2:A$500, [1]Estado_Equipos!J$2:J$500, "")</f>
        <v>83</v>
      </c>
      <c r="S124" s="5" t="n">
        <f aca="false">IF(H124&lt;=16,1.45,
IF(H124&gt;=41,0.3,
CHOOSE(ROUNDDOWN((H124-16)/2,0)+1,
1.45,1.38,1.3,1.23,1.17,1.15,1.12,1.05,0.95,0.8,0.6,0.4,0.3)))</f>
        <v>1.12</v>
      </c>
      <c r="T124" s="5" t="n">
        <f aca="false">CHOOSE(N124+1,1.2,1,0.85,0.7)</f>
        <v>1.2</v>
      </c>
      <c r="U124" s="5" t="n">
        <f aca="false">IF(F124="PO",0.6,
IF(F124="CT",0.75,
IF(F124="LI",0.8,
IF(F124="LD",0.8,
IF(F124="MCD",0.85,
IF(F124="MC",0.95,
IF(F124="MO",1.05,
IF(F124="EI",1.1,
IF(F124="ED",1.1,
IF(F124="SD",1.15,
IF(F124="DC",1.2,0)))))))))))</f>
        <v>1.1</v>
      </c>
    </row>
    <row r="125" customFormat="false" ht="16.4" hidden="false" customHeight="false" outlineLevel="0" collapsed="false">
      <c r="A125" s="1" t="n">
        <v>124</v>
      </c>
      <c r="B125" s="5" t="str">
        <f aca="false">[1]Base_Jugadores!B125</f>
        <v>Ronald Araujo</v>
      </c>
      <c r="C125" s="5" t="str">
        <f aca="false">IFERROR(
   _xlfn.XLOOKUP(VALUE(A125),[1]Fichajes_Realizados!A$2:A$50000,[1]Fichajes_Realizados!D$2:D$50000,,0,-1),
   _xlfn.XLOOKUP(VALUE(A125),[1]Base_Jugadores!A$2:A$50000,[1]Base_Jugadores!C$2:C$50000)
)</f>
        <v>FC Barcelona</v>
      </c>
      <c r="D125" s="5" t="str">
        <f aca="false">[1]Base_Jugadores!D125</f>
        <v>Uruguay</v>
      </c>
      <c r="E125" s="3"/>
      <c r="F125" s="5" t="str">
        <f aca="false">[1]Base_Jugadores!E125</f>
        <v>CT</v>
      </c>
      <c r="G125" s="5" t="n">
        <f aca="false">[1]Base_Jugadores!F125</f>
        <v>79</v>
      </c>
      <c r="H125" s="5" t="n">
        <f aca="false">[1]Base_Jugadores!G125</f>
        <v>26</v>
      </c>
      <c r="I125" s="7" t="n">
        <f aca="false" t="array" ref="I125:I125">_xlfn.XLOOKUP(G125,{55;56;57;58;59;60;61;62;63;64;65;66;67;68;69;70;71;72;73;74;75;76;77;78;79;80;81;82;83;84;85;86;87;88;89;90;91;92;93;94;95;96;97;98;99},{100000;130000;160000;190000;220000;250000;300000;350000;400000;450000;500000;600000;700000;800000;900000;1000000;1500000;2000000;3000000;4000000;5000000;6500000;8000000;10000000;12500000;15000000;20000000;25000000;30000000;35000000;40000000;55000000;70000000;80000000;90000000;110000000;130000000;160000000;190000000;220000000;250000000;280000000;310000000;340000000;400000000})</f>
        <v>12500000</v>
      </c>
      <c r="J125" s="7" t="n">
        <f aca="false">I125*S125*T125*U125</f>
        <v>9164062.5</v>
      </c>
      <c r="K125" s="8"/>
      <c r="L125" s="3"/>
      <c r="M125" s="8"/>
      <c r="N125" s="9" t="n">
        <v>2</v>
      </c>
      <c r="O125" s="4" t="n">
        <v>0</v>
      </c>
      <c r="P125" s="5" t="n">
        <f aca="false">IF(COUNTIF([1]Base_Jugadores!J$2:J$500,B125)&gt;0,1,0)</f>
        <v>0</v>
      </c>
      <c r="Q125" s="10" t="b">
        <f aca="false">--(COUNTIFS(
   [1]Fichajes_Realizados!A$2:A$5000,A125,
   [1]Fichajes_Realizados!G$2:G$5000,$X$3
)&gt;0)</f>
        <v>0</v>
      </c>
      <c r="R125" s="5" t="n">
        <f aca="false">_xlfn.XLOOKUP(C125, [1]Estado_Equipos!A$2:A$500, [1]Estado_Equipos!J$2:J$500, "")</f>
        <v>83</v>
      </c>
      <c r="S125" s="5" t="n">
        <f aca="false">IF(H125&lt;=16,1.45,
IF(H125&gt;=41,0.3,
CHOOSE(ROUNDDOWN((H125-16)/2,0)+1,
1.45,1.38,1.3,1.23,1.17,1.15,1.12,1.05,0.95,0.8,0.6,0.4,0.3)))</f>
        <v>1.15</v>
      </c>
      <c r="T125" s="5" t="n">
        <f aca="false">CHOOSE(N125+1,1.2,1,0.85,0.7)</f>
        <v>0.85</v>
      </c>
      <c r="U125" s="5" t="n">
        <f aca="false">IF(F125="PO",0.6,
IF(F125="CT",0.75,
IF(F125="LI",0.8,
IF(F125="LD",0.8,
IF(F125="MCD",0.85,
IF(F125="MC",0.95,
IF(F125="MO",1.05,
IF(F125="EI",1.1,
IF(F125="ED",1.1,
IF(F125="SD",1.15,
IF(F125="DC",1.2,0)))))))))))</f>
        <v>0.75</v>
      </c>
    </row>
    <row r="126" customFormat="false" ht="16.4" hidden="false" customHeight="false" outlineLevel="0" collapsed="false">
      <c r="A126" s="1" t="n">
        <v>125</v>
      </c>
      <c r="B126" s="5" t="str">
        <f aca="false">[1]Base_Jugadores!B126</f>
        <v>Roony Bardghji</v>
      </c>
      <c r="C126" s="5" t="str">
        <f aca="false">IFERROR(
   _xlfn.XLOOKUP(VALUE(A126),[1]Fichajes_Realizados!A$2:A$50000,[1]Fichajes_Realizados!D$2:D$50000,,0,-1),
   _xlfn.XLOOKUP(VALUE(A126),[1]Base_Jugadores!A$2:A$50000,[1]Base_Jugadores!C$2:C$50000)
)</f>
        <v>FC Barcelona</v>
      </c>
      <c r="D126" s="5" t="str">
        <f aca="false">[1]Base_Jugadores!D126</f>
        <v>Suecia</v>
      </c>
      <c r="E126" s="3"/>
      <c r="F126" s="5" t="str">
        <f aca="false">[1]Base_Jugadores!E126</f>
        <v>ED</v>
      </c>
      <c r="G126" s="5" t="n">
        <f aca="false">[1]Base_Jugadores!F126</f>
        <v>71</v>
      </c>
      <c r="H126" s="5" t="n">
        <f aca="false">[1]Base_Jugadores!G126</f>
        <v>20</v>
      </c>
      <c r="I126" s="7" t="n">
        <f aca="false" t="array" ref="I126:I126">_xlfn.XLOOKUP(G126,{55;56;57;58;59;60;61;62;63;64;65;66;67;68;69;70;71;72;73;74;75;76;77;78;79;80;81;82;83;84;85;86;87;88;89;90;91;92;93;94;95;96;97;98;99},{100000;130000;160000;190000;220000;250000;300000;350000;400000;450000;500000;600000;700000;800000;900000;1000000;1500000;2000000;3000000;4000000;5000000;6500000;8000000;10000000;12500000;15000000;20000000;25000000;30000000;35000000;40000000;55000000;70000000;80000000;90000000;110000000;130000000;160000000;190000000;220000000;250000000;280000000;310000000;340000000;400000000})</f>
        <v>1500000</v>
      </c>
      <c r="J126" s="7" t="n">
        <f aca="false">I126*S126*T126*U126</f>
        <v>1823250</v>
      </c>
      <c r="K126" s="8"/>
      <c r="L126" s="3"/>
      <c r="M126" s="8"/>
      <c r="N126" s="9" t="n">
        <v>2</v>
      </c>
      <c r="O126" s="4" t="n">
        <v>1</v>
      </c>
      <c r="P126" s="5" t="n">
        <f aca="false">IF(COUNTIF([1]Base_Jugadores!J$2:J$500,B126)&gt;0,1,0)</f>
        <v>0</v>
      </c>
      <c r="Q126" s="10" t="b">
        <f aca="false">--(COUNTIFS(
   [1]Fichajes_Realizados!A$2:A$5000,A126,
   [1]Fichajes_Realizados!G$2:G$5000,$X$3
)&gt;0)</f>
        <v>0</v>
      </c>
      <c r="R126" s="5" t="n">
        <f aca="false">_xlfn.XLOOKUP(C126, [1]Estado_Equipos!A$2:A$500, [1]Estado_Equipos!J$2:J$500, "")</f>
        <v>83</v>
      </c>
      <c r="S126" s="5" t="n">
        <f aca="false">IF(H126&lt;=16,1.45,
IF(H126&gt;=41,0.3,
CHOOSE(ROUNDDOWN((H126-16)/2,0)+1,
1.45,1.38,1.3,1.23,1.17,1.15,1.12,1.05,0.95,0.8,0.6,0.4,0.3)))</f>
        <v>1.3</v>
      </c>
      <c r="T126" s="5" t="n">
        <f aca="false">CHOOSE(N126+1,1.2,1,0.85,0.7)</f>
        <v>0.85</v>
      </c>
      <c r="U126" s="5" t="n">
        <f aca="false">IF(F126="PO",0.6,
IF(F126="CT",0.75,
IF(F126="LI",0.8,
IF(F126="LD",0.8,
IF(F126="MCD",0.85,
IF(F126="MC",0.95,
IF(F126="MO",1.05,
IF(F126="EI",1.1,
IF(F126="ED",1.1,
IF(F126="SD",1.15,
IF(F126="DC",1.2,0)))))))))))</f>
        <v>1.1</v>
      </c>
    </row>
    <row r="127" customFormat="false" ht="16.4" hidden="false" customHeight="false" outlineLevel="0" collapsed="false">
      <c r="A127" s="1" t="n">
        <v>126</v>
      </c>
      <c r="B127" s="5" t="str">
        <f aca="false">[1]Base_Jugadores!B127</f>
        <v>Wojciech Szczesny</v>
      </c>
      <c r="C127" s="5" t="str">
        <f aca="false">IFERROR(
   _xlfn.XLOOKUP(VALUE(A127),[1]Fichajes_Realizados!A$2:A$50000,[1]Fichajes_Realizados!D$2:D$50000,,0,-1),
   _xlfn.XLOOKUP(VALUE(A127),[1]Base_Jugadores!A$2:A$50000,[1]Base_Jugadores!C$2:C$50000)
)</f>
        <v>FC Barcelona</v>
      </c>
      <c r="D127" s="5" t="str">
        <f aca="false">[1]Base_Jugadores!D127</f>
        <v>Polonia</v>
      </c>
      <c r="E127" s="3"/>
      <c r="F127" s="5" t="str">
        <f aca="false">[1]Base_Jugadores!E127</f>
        <v>PO</v>
      </c>
      <c r="G127" s="5" t="n">
        <f aca="false">[1]Base_Jugadores!F127</f>
        <v>81</v>
      </c>
      <c r="H127" s="5" t="n">
        <f aca="false">[1]Base_Jugadores!G127</f>
        <v>35</v>
      </c>
      <c r="I127" s="7" t="n">
        <f aca="false" t="array" ref="I127:I127">_xlfn.XLOOKUP(G127,{55;56;57;58;59;60;61;62;63;64;65;66;67;68;69;70;71;72;73;74;75;76;77;78;79;80;81;82;83;84;85;86;87;88;89;90;91;92;93;94;95;96;97;98;99},{100000;130000;160000;190000;220000;250000;300000;350000;400000;450000;500000;600000;700000;800000;900000;1000000;1500000;2000000;3000000;4000000;5000000;6500000;8000000;10000000;12500000;15000000;20000000;25000000;30000000;35000000;40000000;55000000;70000000;80000000;90000000;110000000;130000000;160000000;190000000;220000000;250000000;280000000;310000000;340000000;400000000})</f>
        <v>20000000</v>
      </c>
      <c r="J127" s="7" t="n">
        <f aca="false">I127*S127*T127*U127</f>
        <v>8160000</v>
      </c>
      <c r="K127" s="8"/>
      <c r="L127" s="3"/>
      <c r="M127" s="8"/>
      <c r="N127" s="9" t="n">
        <v>2</v>
      </c>
      <c r="O127" s="4" t="n">
        <v>0</v>
      </c>
      <c r="P127" s="5" t="n">
        <f aca="false">IF(COUNTIF([1]Base_Jugadores!J$2:J$500,B127)&gt;0,1,0)</f>
        <v>0</v>
      </c>
      <c r="Q127" s="10" t="b">
        <f aca="false">--(COUNTIFS(
   [1]Fichajes_Realizados!A$2:A$5000,A127,
   [1]Fichajes_Realizados!G$2:G$5000,$X$3
)&gt;0)</f>
        <v>0</v>
      </c>
      <c r="R127" s="5" t="n">
        <f aca="false">_xlfn.XLOOKUP(C127, [1]Estado_Equipos!A$2:A$500, [1]Estado_Equipos!J$2:J$500, "")</f>
        <v>83</v>
      </c>
      <c r="S127" s="5" t="n">
        <f aca="false">IF(H127&lt;=16,1.45,
IF(H127&gt;=41,0.3,
CHOOSE(ROUNDDOWN((H127-16)/2,0)+1,
1.45,1.38,1.3,1.23,1.17,1.15,1.12,1.05,0.95,0.8,0.6,0.4,0.3)))</f>
        <v>0.8</v>
      </c>
      <c r="T127" s="5" t="n">
        <f aca="false">CHOOSE(N127+1,1.2,1,0.85,0.7)</f>
        <v>0.85</v>
      </c>
      <c r="U127" s="5" t="n">
        <f aca="false">IF(F127="PO",0.6,
IF(F127="CT",0.75,
IF(F127="LI",0.8,
IF(F127="LD",0.8,
IF(F127="MCD",0.85,
IF(F127="MC",0.95,
IF(F127="MO",1.05,
IF(F127="EI",1.1,
IF(F127="ED",1.1,
IF(F127="SD",1.15,
IF(F127="DC",1.2,0)))))))))))</f>
        <v>0.6</v>
      </c>
    </row>
    <row r="128" customFormat="false" ht="16.4" hidden="false" customHeight="false" outlineLevel="0" collapsed="false">
      <c r="A128" s="1" t="n">
        <v>127</v>
      </c>
      <c r="B128" s="5" t="str">
        <f aca="false">[1]Base_Jugadores!B128</f>
        <v>Abde Ezzalzouli</v>
      </c>
      <c r="C128" s="5" t="str">
        <f aca="false">IFERROR(
   _xlfn.XLOOKUP(VALUE(A128),[1]Fichajes_Realizados!A$2:A$50000,[1]Fichajes_Realizados!D$2:D$50000,,0,-1),
   _xlfn.XLOOKUP(VALUE(A128),[1]Base_Jugadores!A$2:A$50000,[1]Base_Jugadores!C$2:C$50000)
)</f>
        <v>Real Betis</v>
      </c>
      <c r="D128" s="5" t="str">
        <f aca="false">[1]Base_Jugadores!D128</f>
        <v>Marruecos</v>
      </c>
      <c r="E128" s="3"/>
      <c r="F128" s="5" t="str">
        <f aca="false">[1]Base_Jugadores!E128</f>
        <v>EI</v>
      </c>
      <c r="G128" s="5" t="n">
        <f aca="false">[1]Base_Jugadores!F128</f>
        <v>77</v>
      </c>
      <c r="H128" s="5" t="n">
        <f aca="false">[1]Base_Jugadores!G128</f>
        <v>24</v>
      </c>
      <c r="I128" s="7" t="n">
        <f aca="false" t="array" ref="I128:I128">_xlfn.XLOOKUP(G128,{55;56;57;58;59;60;61;62;63;64;65;66;67;68;69;70;71;72;73;74;75;76;77;78;79;80;81;82;83;84;85;86;87;88;89;90;91;92;93;94;95;96;97;98;99},{100000;130000;160000;190000;220000;250000;300000;350000;400000;450000;500000;600000;700000;800000;900000;1000000;1500000;2000000;3000000;4000000;5000000;6500000;8000000;10000000;12500000;15000000;20000000;25000000;30000000;35000000;40000000;55000000;70000000;80000000;90000000;110000000;130000000;160000000;190000000;220000000;250000000;280000000;310000000;340000000;400000000})</f>
        <v>8000000</v>
      </c>
      <c r="J128" s="7" t="n">
        <f aca="false">I128*S128*T128*U128</f>
        <v>10296000</v>
      </c>
      <c r="K128" s="8"/>
      <c r="L128" s="3"/>
      <c r="M128" s="8"/>
      <c r="N128" s="9" t="n">
        <v>1</v>
      </c>
      <c r="O128" s="4" t="n">
        <v>0</v>
      </c>
      <c r="P128" s="5" t="n">
        <f aca="false">IF(COUNTIF([1]Base_Jugadores!J$2:J$500,B128)&gt;0,1,0)</f>
        <v>0</v>
      </c>
      <c r="Q128" s="10" t="b">
        <f aca="false">--(COUNTIFS(
   [1]Fichajes_Realizados!A$2:A$5000,A128,
   [1]Fichajes_Realizados!G$2:G$5000,$X$3
)&gt;0)</f>
        <v>0</v>
      </c>
      <c r="R128" s="5" t="n">
        <f aca="false">_xlfn.XLOOKUP(C128, [1]Estado_Equipos!A$2:A$500, [1]Estado_Equipos!J$2:J$500, "")</f>
        <v>78</v>
      </c>
      <c r="S128" s="5" t="n">
        <f aca="false">IF(H128&lt;=16,1.45,
IF(H128&gt;=41,0.3,
CHOOSE(ROUNDDOWN((H128-16)/2,0)+1,
1.45,1.38,1.3,1.23,1.17,1.15,1.12,1.05,0.95,0.8,0.6,0.4,0.3)))</f>
        <v>1.17</v>
      </c>
      <c r="T128" s="5" t="n">
        <f aca="false">CHOOSE(N128+1,1.2,1,0.85,0.7)</f>
        <v>1</v>
      </c>
      <c r="U128" s="5" t="n">
        <f aca="false">IF(F128="PO",0.6,
IF(F128="CT",0.75,
IF(F128="LI",0.8,
IF(F128="LD",0.8,
IF(F128="MCD",0.85,
IF(F128="MC",0.95,
IF(F128="MO",1.05,
IF(F128="EI",1.1,
IF(F128="ED",1.1,
IF(F128="SD",1.15,
IF(F128="DC",1.2,0)))))))))))</f>
        <v>1.1</v>
      </c>
    </row>
    <row r="129" customFormat="false" ht="16.4" hidden="false" customHeight="false" outlineLevel="0" collapsed="false">
      <c r="A129" s="1" t="n">
        <v>128</v>
      </c>
      <c r="B129" s="5" t="str">
        <f aca="false">[1]Base_Jugadores!B129</f>
        <v>Adrián San Miguel</v>
      </c>
      <c r="C129" s="5" t="str">
        <f aca="false">IFERROR(
   _xlfn.XLOOKUP(VALUE(A129),[1]Fichajes_Realizados!A$2:A$50000,[1]Fichajes_Realizados!D$2:D$50000,,0,-1),
   _xlfn.XLOOKUP(VALUE(A129),[1]Base_Jugadores!A$2:A$50000,[1]Base_Jugadores!C$2:C$50000)
)</f>
        <v>Real Betis</v>
      </c>
      <c r="D129" s="5" t="str">
        <f aca="false">[1]Base_Jugadores!D129</f>
        <v>España</v>
      </c>
      <c r="E129" s="3"/>
      <c r="F129" s="5" t="str">
        <f aca="false">[1]Base_Jugadores!E129</f>
        <v>PO</v>
      </c>
      <c r="G129" s="5" t="n">
        <f aca="false">[1]Base_Jugadores!F129</f>
        <v>73</v>
      </c>
      <c r="H129" s="5" t="n">
        <f aca="false">[1]Base_Jugadores!G129</f>
        <v>38</v>
      </c>
      <c r="I129" s="7" t="n">
        <f aca="false" t="array" ref="I129:I129">_xlfn.XLOOKUP(G129,{55;56;57;58;59;60;61;62;63;64;65;66;67;68;69;70;71;72;73;74;75;76;77;78;79;80;81;82;83;84;85;86;87;88;89;90;91;92;93;94;95;96;97;98;99},{100000;130000;160000;190000;220000;250000;300000;350000;400000;450000;500000;600000;700000;800000;900000;1000000;1500000;2000000;3000000;4000000;5000000;6500000;8000000;10000000;12500000;15000000;20000000;25000000;30000000;35000000;40000000;55000000;70000000;80000000;90000000;110000000;130000000;160000000;190000000;220000000;250000000;280000000;310000000;340000000;400000000})</f>
        <v>3000000</v>
      </c>
      <c r="J129" s="7" t="n">
        <f aca="false">I129*S129*T129*U129</f>
        <v>612000</v>
      </c>
      <c r="K129" s="8"/>
      <c r="L129" s="3"/>
      <c r="M129" s="8"/>
      <c r="N129" s="9" t="n">
        <v>2</v>
      </c>
      <c r="O129" s="4" t="n">
        <v>0</v>
      </c>
      <c r="P129" s="5" t="n">
        <f aca="false">IF(COUNTIF([1]Base_Jugadores!J$2:J$500,B129)&gt;0,1,0)</f>
        <v>0</v>
      </c>
      <c r="Q129" s="10" t="b">
        <f aca="false">--(COUNTIFS(
   [1]Fichajes_Realizados!A$2:A$5000,A129,
   [1]Fichajes_Realizados!G$2:G$5000,$X$3
)&gt;0)</f>
        <v>0</v>
      </c>
      <c r="R129" s="5" t="n">
        <f aca="false">_xlfn.XLOOKUP(C129, [1]Estado_Equipos!A$2:A$500, [1]Estado_Equipos!J$2:J$500, "")</f>
        <v>78</v>
      </c>
      <c r="S129" s="5" t="n">
        <f aca="false">IF(H129&lt;=16,1.45,
IF(H129&gt;=41,0.3,
CHOOSE(ROUNDDOWN((H129-16)/2,0)+1,
1.45,1.38,1.3,1.23,1.17,1.15,1.12,1.05,0.95,0.8,0.6,0.4,0.3)))</f>
        <v>0.4</v>
      </c>
      <c r="T129" s="5" t="n">
        <f aca="false">CHOOSE(N129+1,1.2,1,0.85,0.7)</f>
        <v>0.85</v>
      </c>
      <c r="U129" s="5" t="n">
        <f aca="false">IF(F129="PO",0.6,
IF(F129="CT",0.75,
IF(F129="LI",0.8,
IF(F129="LD",0.8,
IF(F129="MCD",0.85,
IF(F129="MC",0.95,
IF(F129="MO",1.05,
IF(F129="EI",1.1,
IF(F129="ED",1.1,
IF(F129="SD",1.15,
IF(F129="DC",1.2,0)))))))))))</f>
        <v>0.6</v>
      </c>
    </row>
    <row r="130" customFormat="false" ht="16.4" hidden="false" customHeight="false" outlineLevel="0" collapsed="false">
      <c r="A130" s="1" t="n">
        <v>129</v>
      </c>
      <c r="B130" s="5" t="str">
        <f aca="false">[1]Base_Jugadores!B130</f>
        <v>Aitor Ruibal</v>
      </c>
      <c r="C130" s="5" t="str">
        <f aca="false">IFERROR(
   _xlfn.XLOOKUP(VALUE(A130),[1]Fichajes_Realizados!A$2:A$50000,[1]Fichajes_Realizados!D$2:D$50000,,0,-1),
   _xlfn.XLOOKUP(VALUE(A130),[1]Base_Jugadores!A$2:A$50000,[1]Base_Jugadores!C$2:C$50000)
)</f>
        <v>Real Betis</v>
      </c>
      <c r="D130" s="5" t="str">
        <f aca="false">[1]Base_Jugadores!D130</f>
        <v>España</v>
      </c>
      <c r="E130" s="3"/>
      <c r="F130" s="5" t="str">
        <f aca="false">[1]Base_Jugadores!E130</f>
        <v>ED</v>
      </c>
      <c r="G130" s="5" t="n">
        <f aca="false">[1]Base_Jugadores!F130</f>
        <v>78</v>
      </c>
      <c r="H130" s="5" t="n">
        <f aca="false">[1]Base_Jugadores!G130</f>
        <v>29</v>
      </c>
      <c r="I130" s="7" t="n">
        <f aca="false" t="array" ref="I130:I130">_xlfn.XLOOKUP(G130,{55;56;57;58;59;60;61;62;63;64;65;66;67;68;69;70;71;72;73;74;75;76;77;78;79;80;81;82;83;84;85;86;87;88;89;90;91;92;93;94;95;96;97;98;99},{100000;130000;160000;190000;220000;250000;300000;350000;400000;450000;500000;600000;700000;800000;900000;1000000;1500000;2000000;3000000;4000000;5000000;6500000;8000000;10000000;12500000;15000000;20000000;25000000;30000000;35000000;40000000;55000000;70000000;80000000;90000000;110000000;130000000;160000000;190000000;220000000;250000000;280000000;310000000;340000000;400000000})</f>
        <v>10000000</v>
      </c>
      <c r="J130" s="7" t="n">
        <f aca="false">I130*S130*T130*U130</f>
        <v>10472000</v>
      </c>
      <c r="K130" s="8"/>
      <c r="L130" s="3"/>
      <c r="M130" s="8"/>
      <c r="N130" s="9" t="n">
        <v>2</v>
      </c>
      <c r="O130" s="4" t="n">
        <v>0</v>
      </c>
      <c r="P130" s="5" t="n">
        <f aca="false">IF(COUNTIF([1]Base_Jugadores!J$2:J$500,B130)&gt;0,1,0)</f>
        <v>0</v>
      </c>
      <c r="Q130" s="10" t="b">
        <f aca="false">--(COUNTIFS(
   [1]Fichajes_Realizados!A$2:A$5000,A130,
   [1]Fichajes_Realizados!G$2:G$5000,$X$3
)&gt;0)</f>
        <v>0</v>
      </c>
      <c r="R130" s="5" t="n">
        <f aca="false">_xlfn.XLOOKUP(C130, [1]Estado_Equipos!A$2:A$500, [1]Estado_Equipos!J$2:J$500, "")</f>
        <v>78</v>
      </c>
      <c r="S130" s="5" t="n">
        <f aca="false">IF(H130&lt;=16,1.45,
IF(H130&gt;=41,0.3,
CHOOSE(ROUNDDOWN((H130-16)/2,0)+1,
1.45,1.38,1.3,1.23,1.17,1.15,1.12,1.05,0.95,0.8,0.6,0.4,0.3)))</f>
        <v>1.12</v>
      </c>
      <c r="T130" s="5" t="n">
        <f aca="false">CHOOSE(N130+1,1.2,1,0.85,0.7)</f>
        <v>0.85</v>
      </c>
      <c r="U130" s="5" t="n">
        <f aca="false">IF(F130="PO",0.6,
IF(F130="CT",0.75,
IF(F130="LI",0.8,
IF(F130="LD",0.8,
IF(F130="MCD",0.85,
IF(F130="MC",0.95,
IF(F130="MO",1.05,
IF(F130="EI",1.1,
IF(F130="ED",1.1,
IF(F130="SD",1.15,
IF(F130="DC",1.2,0)))))))))))</f>
        <v>1.1</v>
      </c>
    </row>
    <row r="131" customFormat="false" ht="16.4" hidden="false" customHeight="false" outlineLevel="0" collapsed="false">
      <c r="A131" s="1" t="n">
        <v>130</v>
      </c>
      <c r="B131" s="5" t="str">
        <f aca="false">[1]Base_Jugadores!B131</f>
        <v>Álvaro Valles</v>
      </c>
      <c r="C131" s="5" t="str">
        <f aca="false">IFERROR(
   _xlfn.XLOOKUP(VALUE(A131),[1]Fichajes_Realizados!A$2:A$50000,[1]Fichajes_Realizados!D$2:D$50000,,0,-1),
   _xlfn.XLOOKUP(VALUE(A131),[1]Base_Jugadores!A$2:A$50000,[1]Base_Jugadores!C$2:C$50000)
)</f>
        <v>Real Betis</v>
      </c>
      <c r="D131" s="5" t="str">
        <f aca="false">[1]Base_Jugadores!D131</f>
        <v>España</v>
      </c>
      <c r="E131" s="3"/>
      <c r="F131" s="5" t="str">
        <f aca="false">[1]Base_Jugadores!E131</f>
        <v>PO</v>
      </c>
      <c r="G131" s="5" t="n">
        <f aca="false">[1]Base_Jugadores!F131</f>
        <v>81</v>
      </c>
      <c r="H131" s="5" t="n">
        <f aca="false">[1]Base_Jugadores!G131</f>
        <v>28</v>
      </c>
      <c r="I131" s="7" t="n">
        <f aca="false" t="array" ref="I131:I131">_xlfn.XLOOKUP(G131,{55;56;57;58;59;60;61;62;63;64;65;66;67;68;69;70;71;72;73;74;75;76;77;78;79;80;81;82;83;84;85;86;87;88;89;90;91;92;93;94;95;96;97;98;99},{100000;130000;160000;190000;220000;250000;300000;350000;400000;450000;500000;600000;700000;800000;900000;1000000;1500000;2000000;3000000;4000000;5000000;6500000;8000000;10000000;12500000;15000000;20000000;25000000;30000000;35000000;40000000;55000000;70000000;80000000;90000000;110000000;130000000;160000000;190000000;220000000;250000000;280000000;310000000;340000000;400000000})</f>
        <v>20000000</v>
      </c>
      <c r="J131" s="7" t="n">
        <f aca="false">I131*S131*T131*U131</f>
        <v>16128000</v>
      </c>
      <c r="K131" s="8"/>
      <c r="L131" s="3"/>
      <c r="M131" s="8"/>
      <c r="N131" s="9" t="n">
        <v>0</v>
      </c>
      <c r="O131" s="4" t="n">
        <v>0</v>
      </c>
      <c r="P131" s="5" t="n">
        <f aca="false">IF(COUNTIF([1]Base_Jugadores!J$2:J$500,B131)&gt;0,1,0)</f>
        <v>0</v>
      </c>
      <c r="Q131" s="10" t="b">
        <f aca="false">--(COUNTIFS(
   [1]Fichajes_Realizados!A$2:A$5000,A131,
   [1]Fichajes_Realizados!G$2:G$5000,$X$3
)&gt;0)</f>
        <v>0</v>
      </c>
      <c r="R131" s="5" t="n">
        <f aca="false">_xlfn.XLOOKUP(C131, [1]Estado_Equipos!A$2:A$500, [1]Estado_Equipos!J$2:J$500, "")</f>
        <v>78</v>
      </c>
      <c r="S131" s="5" t="n">
        <f aca="false">IF(H131&lt;=16,1.45,
IF(H131&gt;=41,0.3,
CHOOSE(ROUNDDOWN((H131-16)/2,0)+1,
1.45,1.38,1.3,1.23,1.17,1.15,1.12,1.05,0.95,0.8,0.6,0.4,0.3)))</f>
        <v>1.12</v>
      </c>
      <c r="T131" s="5" t="n">
        <f aca="false">CHOOSE(N131+1,1.2,1,0.85,0.7)</f>
        <v>1.2</v>
      </c>
      <c r="U131" s="5" t="n">
        <f aca="false">IF(F131="PO",0.6,
IF(F131="CT",0.75,
IF(F131="LI",0.8,
IF(F131="LD",0.8,
IF(F131="MCD",0.85,
IF(F131="MC",0.95,
IF(F131="MO",1.05,
IF(F131="EI",1.1,
IF(F131="ED",1.1,
IF(F131="SD",1.15,
IF(F131="DC",1.2,0)))))))))))</f>
        <v>0.6</v>
      </c>
    </row>
    <row r="132" customFormat="false" ht="16.4" hidden="false" customHeight="false" outlineLevel="0" collapsed="false">
      <c r="A132" s="1" t="n">
        <v>131</v>
      </c>
      <c r="B132" s="5" t="str">
        <f aca="false">[1]Base_Jugadores!B132</f>
        <v>Ángel Ortiz</v>
      </c>
      <c r="C132" s="5" t="str">
        <f aca="false">IFERROR(
   _xlfn.XLOOKUP(VALUE(A132),[1]Fichajes_Realizados!A$2:A$50000,[1]Fichajes_Realizados!D$2:D$50000,,0,-1),
   _xlfn.XLOOKUP(VALUE(A132),[1]Base_Jugadores!A$2:A$50000,[1]Base_Jugadores!C$2:C$50000)
)</f>
        <v>Real Betis</v>
      </c>
      <c r="D132" s="5" t="str">
        <f aca="false">[1]Base_Jugadores!D132</f>
        <v>España</v>
      </c>
      <c r="E132" s="3"/>
      <c r="F132" s="5" t="str">
        <f aca="false">[1]Base_Jugadores!E132</f>
        <v>LD</v>
      </c>
      <c r="G132" s="5" t="n">
        <f aca="false">[1]Base_Jugadores!F132</f>
        <v>67</v>
      </c>
      <c r="H132" s="5" t="n">
        <f aca="false">[1]Base_Jugadores!G132</f>
        <v>21</v>
      </c>
      <c r="I132" s="7" t="n">
        <f aca="false" t="array" ref="I132:I132">_xlfn.XLOOKUP(G132,{55;56;57;58;59;60;61;62;63;64;65;66;67;68;69;70;71;72;73;74;75;76;77;78;79;80;81;82;83;84;85;86;87;88;89;90;91;92;93;94;95;96;97;98;99},{100000;130000;160000;190000;220000;250000;300000;350000;400000;450000;500000;600000;700000;800000;900000;1000000;1500000;2000000;3000000;4000000;5000000;6500000;8000000;10000000;12500000;15000000;20000000;25000000;30000000;35000000;40000000;55000000;70000000;80000000;90000000;110000000;130000000;160000000;190000000;220000000;250000000;280000000;310000000;340000000;400000000})</f>
        <v>700000</v>
      </c>
      <c r="J132" s="7" t="n">
        <f aca="false">I132*S132*T132*U132</f>
        <v>618800</v>
      </c>
      <c r="K132" s="8"/>
      <c r="L132" s="3"/>
      <c r="M132" s="8"/>
      <c r="N132" s="9" t="n">
        <v>2</v>
      </c>
      <c r="O132" s="4" t="n">
        <v>1</v>
      </c>
      <c r="P132" s="5" t="n">
        <f aca="false">IF(COUNTIF([1]Base_Jugadores!J$2:J$500,B132)&gt;0,1,0)</f>
        <v>0</v>
      </c>
      <c r="Q132" s="10" t="b">
        <f aca="false">--(COUNTIFS(
   [1]Fichajes_Realizados!A$2:A$5000,A132,
   [1]Fichajes_Realizados!G$2:G$5000,$X$3
)&gt;0)</f>
        <v>0</v>
      </c>
      <c r="R132" s="5" t="n">
        <f aca="false">_xlfn.XLOOKUP(C132, [1]Estado_Equipos!A$2:A$500, [1]Estado_Equipos!J$2:J$500, "")</f>
        <v>78</v>
      </c>
      <c r="S132" s="5" t="n">
        <f aca="false">IF(H132&lt;=16,1.45,
IF(H132&gt;=41,0.3,
CHOOSE(ROUNDDOWN((H132-16)/2,0)+1,
1.45,1.38,1.3,1.23,1.17,1.15,1.12,1.05,0.95,0.8,0.6,0.4,0.3)))</f>
        <v>1.3</v>
      </c>
      <c r="T132" s="5" t="n">
        <f aca="false">CHOOSE(N132+1,1.2,1,0.85,0.7)</f>
        <v>0.85</v>
      </c>
      <c r="U132" s="5" t="n">
        <f aca="false">IF(F132="PO",0.6,
IF(F132="CT",0.75,
IF(F132="LI",0.8,
IF(F132="LD",0.8,
IF(F132="MCD",0.85,
IF(F132="MC",0.95,
IF(F132="MO",1.05,
IF(F132="EI",1.1,
IF(F132="ED",1.1,
IF(F132="SD",1.15,
IF(F132="DC",1.2,0)))))))))))</f>
        <v>0.8</v>
      </c>
    </row>
    <row r="133" customFormat="false" ht="16.4" hidden="false" customHeight="false" outlineLevel="0" collapsed="false">
      <c r="A133" s="1" t="n">
        <v>132</v>
      </c>
      <c r="B133" s="5" t="str">
        <f aca="false">[1]Base_Jugadores!B133</f>
        <v>Antony</v>
      </c>
      <c r="C133" s="5" t="str">
        <f aca="false">IFERROR(
   _xlfn.XLOOKUP(VALUE(A133),[1]Fichajes_Realizados!A$2:A$50000,[1]Fichajes_Realizados!D$2:D$50000,,0,-1),
   _xlfn.XLOOKUP(VALUE(A133),[1]Base_Jugadores!A$2:A$50000,[1]Base_Jugadores!C$2:C$50000)
)</f>
        <v>Real Betis</v>
      </c>
      <c r="D133" s="5" t="str">
        <f aca="false">[1]Base_Jugadores!D133</f>
        <v>Brasil</v>
      </c>
      <c r="E133" s="3"/>
      <c r="F133" s="5" t="str">
        <f aca="false">[1]Base_Jugadores!E133</f>
        <v>ED</v>
      </c>
      <c r="G133" s="5" t="n">
        <f aca="false">[1]Base_Jugadores!F133</f>
        <v>81</v>
      </c>
      <c r="H133" s="5" t="n">
        <f aca="false">[1]Base_Jugadores!G133</f>
        <v>25</v>
      </c>
      <c r="I133" s="7" t="n">
        <f aca="false" t="array" ref="I133:I133">_xlfn.XLOOKUP(G133,{55;56;57;58;59;60;61;62;63;64;65;66;67;68;69;70;71;72;73;74;75;76;77;78;79;80;81;82;83;84;85;86;87;88;89;90;91;92;93;94;95;96;97;98;99},{100000;130000;160000;190000;220000;250000;300000;350000;400000;450000;500000;600000;700000;800000;900000;1000000;1500000;2000000;3000000;4000000;5000000;6500000;8000000;10000000;12500000;15000000;20000000;25000000;30000000;35000000;40000000;55000000;70000000;80000000;90000000;110000000;130000000;160000000;190000000;220000000;250000000;280000000;310000000;340000000;400000000})</f>
        <v>20000000</v>
      </c>
      <c r="J133" s="7" t="n">
        <f aca="false">I133*S133*T133*U133</f>
        <v>30888000</v>
      </c>
      <c r="K133" s="8"/>
      <c r="L133" s="3"/>
      <c r="M133" s="8"/>
      <c r="N133" s="9" t="n">
        <v>0</v>
      </c>
      <c r="O133" s="4" t="n">
        <v>0</v>
      </c>
      <c r="P133" s="5" t="n">
        <f aca="false">IF(COUNTIF([1]Base_Jugadores!J$2:J$500,B133)&gt;0,1,0)</f>
        <v>0</v>
      </c>
      <c r="Q133" s="10" t="b">
        <f aca="false">--(COUNTIFS(
   [1]Fichajes_Realizados!A$2:A$5000,A133,
   [1]Fichajes_Realizados!G$2:G$5000,$X$3
)&gt;0)</f>
        <v>0</v>
      </c>
      <c r="R133" s="5" t="n">
        <f aca="false">_xlfn.XLOOKUP(C133, [1]Estado_Equipos!A$2:A$500, [1]Estado_Equipos!J$2:J$500, "")</f>
        <v>78</v>
      </c>
      <c r="S133" s="5" t="n">
        <f aca="false">IF(H133&lt;=16,1.45,
IF(H133&gt;=41,0.3,
CHOOSE(ROUNDDOWN((H133-16)/2,0)+1,
1.45,1.38,1.3,1.23,1.17,1.15,1.12,1.05,0.95,0.8,0.6,0.4,0.3)))</f>
        <v>1.17</v>
      </c>
      <c r="T133" s="5" t="n">
        <f aca="false">CHOOSE(N133+1,1.2,1,0.85,0.7)</f>
        <v>1.2</v>
      </c>
      <c r="U133" s="5" t="n">
        <f aca="false">IF(F133="PO",0.6,
IF(F133="CT",0.75,
IF(F133="LI",0.8,
IF(F133="LD",0.8,
IF(F133="MCD",0.85,
IF(F133="MC",0.95,
IF(F133="MO",1.05,
IF(F133="EI",1.1,
IF(F133="ED",1.1,
IF(F133="SD",1.15,
IF(F133="DC",1.2,0)))))))))))</f>
        <v>1.1</v>
      </c>
    </row>
    <row r="134" customFormat="false" ht="16.4" hidden="false" customHeight="false" outlineLevel="0" collapsed="false">
      <c r="A134" s="1" t="n">
        <v>133</v>
      </c>
      <c r="B134" s="5" t="str">
        <f aca="false">[1]Base_Jugadores!B134</f>
        <v>Cédric Bakambu</v>
      </c>
      <c r="C134" s="5" t="str">
        <f aca="false">IFERROR(
   _xlfn.XLOOKUP(VALUE(A134),[1]Fichajes_Realizados!A$2:A$50000,[1]Fichajes_Realizados!D$2:D$50000,,0,-1),
   _xlfn.XLOOKUP(VALUE(A134),[1]Base_Jugadores!A$2:A$50000,[1]Base_Jugadores!C$2:C$50000)
)</f>
        <v>Real Betis</v>
      </c>
      <c r="D134" s="5" t="str">
        <f aca="false">[1]Base_Jugadores!D134</f>
        <v>RD del Congo</v>
      </c>
      <c r="E134" s="3"/>
      <c r="F134" s="5" t="str">
        <f aca="false">[1]Base_Jugadores!E134</f>
        <v>DC</v>
      </c>
      <c r="G134" s="5" t="n">
        <f aca="false">[1]Base_Jugadores!F134</f>
        <v>75</v>
      </c>
      <c r="H134" s="5" t="n">
        <f aca="false">[1]Base_Jugadores!G134</f>
        <v>34</v>
      </c>
      <c r="I134" s="7" t="n">
        <f aca="false" t="array" ref="I134:I134">_xlfn.XLOOKUP(G134,{55;56;57;58;59;60;61;62;63;64;65;66;67;68;69;70;71;72;73;74;75;76;77;78;79;80;81;82;83;84;85;86;87;88;89;90;91;92;93;94;95;96;97;98;99},{100000;130000;160000;190000;220000;250000;300000;350000;400000;450000;500000;600000;700000;800000;900000;1000000;1500000;2000000;3000000;4000000;5000000;6500000;8000000;10000000;12500000;15000000;20000000;25000000;30000000;35000000;40000000;55000000;70000000;80000000;90000000;110000000;130000000;160000000;190000000;220000000;250000000;280000000;310000000;340000000;400000000})</f>
        <v>5000000</v>
      </c>
      <c r="J134" s="7" t="n">
        <f aca="false">I134*S134*T134*U134</f>
        <v>4080000</v>
      </c>
      <c r="K134" s="8"/>
      <c r="L134" s="3"/>
      <c r="M134" s="8"/>
      <c r="N134" s="9" t="n">
        <v>2</v>
      </c>
      <c r="O134" s="4" t="n">
        <v>0</v>
      </c>
      <c r="P134" s="5" t="n">
        <f aca="false">IF(COUNTIF([1]Base_Jugadores!J$2:J$500,B134)&gt;0,1,0)</f>
        <v>0</v>
      </c>
      <c r="Q134" s="10" t="b">
        <f aca="false">--(COUNTIFS(
   [1]Fichajes_Realizados!A$2:A$5000,A134,
   [1]Fichajes_Realizados!G$2:G$5000,$X$3
)&gt;0)</f>
        <v>0</v>
      </c>
      <c r="R134" s="5" t="n">
        <f aca="false">_xlfn.XLOOKUP(C134, [1]Estado_Equipos!A$2:A$500, [1]Estado_Equipos!J$2:J$500, "")</f>
        <v>78</v>
      </c>
      <c r="S134" s="5" t="n">
        <f aca="false">IF(H134&lt;=16,1.45,
IF(H134&gt;=41,0.3,
CHOOSE(ROUNDDOWN((H134-16)/2,0)+1,
1.45,1.38,1.3,1.23,1.17,1.15,1.12,1.05,0.95,0.8,0.6,0.4,0.3)))</f>
        <v>0.8</v>
      </c>
      <c r="T134" s="5" t="n">
        <f aca="false">CHOOSE(N134+1,1.2,1,0.85,0.7)</f>
        <v>0.85</v>
      </c>
      <c r="U134" s="5" t="n">
        <f aca="false">IF(F134="PO",0.6,
IF(F134="CT",0.75,
IF(F134="LI",0.8,
IF(F134="LD",0.8,
IF(F134="MCD",0.85,
IF(F134="MC",0.95,
IF(F134="MO",1.05,
IF(F134="EI",1.1,
IF(F134="ED",1.1,
IF(F134="SD",1.15,
IF(F134="DC",1.2,0)))))))))))</f>
        <v>1.2</v>
      </c>
    </row>
    <row r="135" customFormat="false" ht="16.4" hidden="false" customHeight="false" outlineLevel="0" collapsed="false">
      <c r="A135" s="1" t="n">
        <v>134</v>
      </c>
      <c r="B135" s="5" t="str">
        <f aca="false">[1]Base_Jugadores!B135</f>
        <v>Chimy Ávila</v>
      </c>
      <c r="C135" s="5" t="str">
        <f aca="false">IFERROR(
   _xlfn.XLOOKUP(VALUE(A135),[1]Fichajes_Realizados!A$2:A$50000,[1]Fichajes_Realizados!D$2:D$50000,,0,-1),
   _xlfn.XLOOKUP(VALUE(A135),[1]Base_Jugadores!A$2:A$50000,[1]Base_Jugadores!C$2:C$50000)
)</f>
        <v>Real Betis</v>
      </c>
      <c r="D135" s="5" t="str">
        <f aca="false">[1]Base_Jugadores!D135</f>
        <v>Argentina</v>
      </c>
      <c r="E135" s="3"/>
      <c r="F135" s="5" t="str">
        <f aca="false">[1]Base_Jugadores!E135</f>
        <v>DC</v>
      </c>
      <c r="G135" s="5" t="n">
        <f aca="false">[1]Base_Jugadores!F135</f>
        <v>78</v>
      </c>
      <c r="H135" s="5" t="n">
        <f aca="false">[1]Base_Jugadores!G135</f>
        <v>31</v>
      </c>
      <c r="I135" s="7" t="n">
        <f aca="false" t="array" ref="I135:I135">_xlfn.XLOOKUP(G135,{55;56;57;58;59;60;61;62;63;64;65;66;67;68;69;70;71;72;73;74;75;76;77;78;79;80;81;82;83;84;85;86;87;88;89;90;91;92;93;94;95;96;97;98;99},{100000;130000;160000;190000;220000;250000;300000;350000;400000;450000;500000;600000;700000;800000;900000;1000000;1500000;2000000;3000000;4000000;5000000;6500000;8000000;10000000;12500000;15000000;20000000;25000000;30000000;35000000;40000000;55000000;70000000;80000000;90000000;110000000;130000000;160000000;190000000;220000000;250000000;280000000;310000000;340000000;400000000})</f>
        <v>10000000</v>
      </c>
      <c r="J135" s="7" t="n">
        <f aca="false">I135*S135*T135*U135</f>
        <v>12600000</v>
      </c>
      <c r="K135" s="8"/>
      <c r="L135" s="3"/>
      <c r="M135" s="8"/>
      <c r="N135" s="9" t="n">
        <v>1</v>
      </c>
      <c r="O135" s="4" t="n">
        <v>0</v>
      </c>
      <c r="P135" s="5" t="n">
        <f aca="false">IF(COUNTIF([1]Base_Jugadores!J$2:J$500,B135)&gt;0,1,0)</f>
        <v>0</v>
      </c>
      <c r="Q135" s="10" t="b">
        <f aca="false">--(COUNTIFS(
   [1]Fichajes_Realizados!A$2:A$5000,A135,
   [1]Fichajes_Realizados!G$2:G$5000,$X$3
)&gt;0)</f>
        <v>0</v>
      </c>
      <c r="R135" s="5" t="n">
        <f aca="false">_xlfn.XLOOKUP(C135, [1]Estado_Equipos!A$2:A$500, [1]Estado_Equipos!J$2:J$500, "")</f>
        <v>78</v>
      </c>
      <c r="S135" s="5" t="n">
        <f aca="false">IF(H135&lt;=16,1.45,
IF(H135&gt;=41,0.3,
CHOOSE(ROUNDDOWN((H135-16)/2,0)+1,
1.45,1.38,1.3,1.23,1.17,1.15,1.12,1.05,0.95,0.8,0.6,0.4,0.3)))</f>
        <v>1.05</v>
      </c>
      <c r="T135" s="5" t="n">
        <f aca="false">CHOOSE(N135+1,1.2,1,0.85,0.7)</f>
        <v>1</v>
      </c>
      <c r="U135" s="5" t="n">
        <f aca="false">IF(F135="PO",0.6,
IF(F135="CT",0.75,
IF(F135="LI",0.8,
IF(F135="LD",0.8,
IF(F135="MCD",0.85,
IF(F135="MC",0.95,
IF(F135="MO",1.05,
IF(F135="EI",1.1,
IF(F135="ED",1.1,
IF(F135="SD",1.15,
IF(F135="DC",1.2,0)))))))))))</f>
        <v>1.2</v>
      </c>
    </row>
    <row r="136" customFormat="false" ht="16.4" hidden="false" customHeight="false" outlineLevel="0" collapsed="false">
      <c r="A136" s="1" t="n">
        <v>135</v>
      </c>
      <c r="B136" s="5" t="str">
        <f aca="false">[1]Base_Jugadores!B136</f>
        <v>Cucho Hernández</v>
      </c>
      <c r="C136" s="5" t="str">
        <f aca="false">IFERROR(
   _xlfn.XLOOKUP(VALUE(A136),[1]Fichajes_Realizados!A$2:A$50000,[1]Fichajes_Realizados!D$2:D$50000,,0,-1),
   _xlfn.XLOOKUP(VALUE(A136),[1]Base_Jugadores!A$2:A$50000,[1]Base_Jugadores!C$2:C$50000)
)</f>
        <v>Real Betis</v>
      </c>
      <c r="D136" s="5" t="str">
        <f aca="false">[1]Base_Jugadores!D136</f>
        <v>Colombia</v>
      </c>
      <c r="E136" s="3"/>
      <c r="F136" s="5" t="str">
        <f aca="false">[1]Base_Jugadores!E136</f>
        <v>DC</v>
      </c>
      <c r="G136" s="5" t="n">
        <f aca="false">[1]Base_Jugadores!F136</f>
        <v>79</v>
      </c>
      <c r="H136" s="5" t="n">
        <f aca="false">[1]Base_Jugadores!G136</f>
        <v>26</v>
      </c>
      <c r="I136" s="7" t="n">
        <f aca="false" t="array" ref="I136:I136">_xlfn.XLOOKUP(G136,{55;56;57;58;59;60;61;62;63;64;65;66;67;68;69;70;71;72;73;74;75;76;77;78;79;80;81;82;83;84;85;86;87;88;89;90;91;92;93;94;95;96;97;98;99},{100000;130000;160000;190000;220000;250000;300000;350000;400000;450000;500000;600000;700000;800000;900000;1000000;1500000;2000000;3000000;4000000;5000000;6500000;8000000;10000000;12500000;15000000;20000000;25000000;30000000;35000000;40000000;55000000;70000000;80000000;90000000;110000000;130000000;160000000;190000000;220000000;250000000;280000000;310000000;340000000;400000000})</f>
        <v>12500000</v>
      </c>
      <c r="J136" s="7" t="n">
        <f aca="false">I136*S136*T136*U136</f>
        <v>20700000</v>
      </c>
      <c r="K136" s="8"/>
      <c r="L136" s="3"/>
      <c r="M136" s="8"/>
      <c r="N136" s="9" t="n">
        <v>0</v>
      </c>
      <c r="O136" s="4" t="n">
        <v>0</v>
      </c>
      <c r="P136" s="5" t="n">
        <f aca="false">IF(COUNTIF([1]Base_Jugadores!J$2:J$500,B136)&gt;0,1,0)</f>
        <v>0</v>
      </c>
      <c r="Q136" s="10" t="b">
        <f aca="false">--(COUNTIFS(
   [1]Fichajes_Realizados!A$2:A$5000,A136,
   [1]Fichajes_Realizados!G$2:G$5000,$X$3
)&gt;0)</f>
        <v>0</v>
      </c>
      <c r="R136" s="5" t="n">
        <f aca="false">_xlfn.XLOOKUP(C136, [1]Estado_Equipos!A$2:A$500, [1]Estado_Equipos!J$2:J$500, "")</f>
        <v>78</v>
      </c>
      <c r="S136" s="5" t="n">
        <f aca="false">IF(H136&lt;=16,1.45,
IF(H136&gt;=41,0.3,
CHOOSE(ROUNDDOWN((H136-16)/2,0)+1,
1.45,1.38,1.3,1.23,1.17,1.15,1.12,1.05,0.95,0.8,0.6,0.4,0.3)))</f>
        <v>1.15</v>
      </c>
      <c r="T136" s="5" t="n">
        <f aca="false">CHOOSE(N136+1,1.2,1,0.85,0.7)</f>
        <v>1.2</v>
      </c>
      <c r="U136" s="5" t="n">
        <f aca="false">IF(F136="PO",0.6,
IF(F136="CT",0.75,
IF(F136="LI",0.8,
IF(F136="LD",0.8,
IF(F136="MCD",0.85,
IF(F136="MC",0.95,
IF(F136="MO",1.05,
IF(F136="EI",1.1,
IF(F136="ED",1.1,
IF(F136="SD",1.15,
IF(F136="DC",1.2,0)))))))))))</f>
        <v>1.2</v>
      </c>
    </row>
    <row r="137" customFormat="false" ht="16.4" hidden="false" customHeight="false" outlineLevel="0" collapsed="false">
      <c r="A137" s="1" t="n">
        <v>136</v>
      </c>
      <c r="B137" s="5" t="str">
        <f aca="false">[1]Base_Jugadores!B137</f>
        <v>Dani Pérez</v>
      </c>
      <c r="C137" s="5" t="str">
        <f aca="false">IFERROR(
   _xlfn.XLOOKUP(VALUE(A137),[1]Fichajes_Realizados!A$2:A$50000,[1]Fichajes_Realizados!D$2:D$50000,,0,-1),
   _xlfn.XLOOKUP(VALUE(A137),[1]Base_Jugadores!A$2:A$50000,[1]Base_Jugadores!C$2:C$50000)
)</f>
        <v>Real Betis</v>
      </c>
      <c r="D137" s="5" t="str">
        <f aca="false">[1]Base_Jugadores!D137</f>
        <v>España</v>
      </c>
      <c r="E137" s="3"/>
      <c r="F137" s="5" t="str">
        <f aca="false">[1]Base_Jugadores!E137</f>
        <v>MO</v>
      </c>
      <c r="G137" s="5" t="n">
        <f aca="false">[1]Base_Jugadores!F137</f>
        <v>64</v>
      </c>
      <c r="H137" s="5" t="n">
        <f aca="false">[1]Base_Jugadores!G137</f>
        <v>20</v>
      </c>
      <c r="I137" s="7" t="n">
        <f aca="false" t="array" ref="I137:I137">_xlfn.XLOOKUP(G137,{55;56;57;58;59;60;61;62;63;64;65;66;67;68;69;70;71;72;73;74;75;76;77;78;79;80;81;82;83;84;85;86;87;88;89;90;91;92;93;94;95;96;97;98;99},{100000;130000;160000;190000;220000;250000;300000;350000;400000;450000;500000;600000;700000;800000;900000;1000000;1500000;2000000;3000000;4000000;5000000;6500000;8000000;10000000;12500000;15000000;20000000;25000000;30000000;35000000;40000000;55000000;70000000;80000000;90000000;110000000;130000000;160000000;190000000;220000000;250000000;280000000;310000000;340000000;400000000})</f>
        <v>450000</v>
      </c>
      <c r="J137" s="7" t="n">
        <f aca="false">I137*S137*T137*U137</f>
        <v>522112.5</v>
      </c>
      <c r="K137" s="8"/>
      <c r="L137" s="3"/>
      <c r="M137" s="8"/>
      <c r="N137" s="9" t="n">
        <v>2</v>
      </c>
      <c r="O137" s="4" t="n">
        <v>1</v>
      </c>
      <c r="P137" s="5" t="n">
        <f aca="false">IF(COUNTIF([1]Base_Jugadores!J$2:J$500,B137)&gt;0,1,0)</f>
        <v>0</v>
      </c>
      <c r="Q137" s="10" t="b">
        <f aca="false">--(COUNTIFS(
   [1]Fichajes_Realizados!A$2:A$5000,A137,
   [1]Fichajes_Realizados!G$2:G$5000,$X$3
)&gt;0)</f>
        <v>0</v>
      </c>
      <c r="R137" s="5" t="n">
        <f aca="false">_xlfn.XLOOKUP(C137, [1]Estado_Equipos!A$2:A$500, [1]Estado_Equipos!J$2:J$500, "")</f>
        <v>78</v>
      </c>
      <c r="S137" s="5" t="n">
        <f aca="false">IF(H137&lt;=16,1.45,
IF(H137&gt;=41,0.3,
CHOOSE(ROUNDDOWN((H137-16)/2,0)+1,
1.45,1.38,1.3,1.23,1.17,1.15,1.12,1.05,0.95,0.8,0.6,0.4,0.3)))</f>
        <v>1.3</v>
      </c>
      <c r="T137" s="5" t="n">
        <f aca="false">CHOOSE(N137+1,1.2,1,0.85,0.7)</f>
        <v>0.85</v>
      </c>
      <c r="U137" s="5" t="n">
        <f aca="false">IF(F137="PO",0.6,
IF(F137="CT",0.75,
IF(F137="LI",0.8,
IF(F137="LD",0.8,
IF(F137="MCD",0.85,
IF(F137="MC",0.95,
IF(F137="MO",1.05,
IF(F137="EI",1.1,
IF(F137="ED",1.1,
IF(F137="SD",1.15,
IF(F137="DC",1.2,0)))))))))))</f>
        <v>1.05</v>
      </c>
    </row>
    <row r="138" customFormat="false" ht="16.4" hidden="false" customHeight="false" outlineLevel="0" collapsed="false">
      <c r="A138" s="1" t="n">
        <v>137</v>
      </c>
      <c r="B138" s="5" t="str">
        <f aca="false">[1]Base_Jugadores!B138</f>
        <v>Diego Llorente</v>
      </c>
      <c r="C138" s="5" t="str">
        <f aca="false">IFERROR(
   _xlfn.XLOOKUP(VALUE(A138),[1]Fichajes_Realizados!A$2:A$50000,[1]Fichajes_Realizados!D$2:D$50000,,0,-1),
   _xlfn.XLOOKUP(VALUE(A138),[1]Base_Jugadores!A$2:A$50000,[1]Base_Jugadores!C$2:C$50000)
)</f>
        <v>Real Betis</v>
      </c>
      <c r="D138" s="5" t="str">
        <f aca="false">[1]Base_Jugadores!D138</f>
        <v>España</v>
      </c>
      <c r="E138" s="3"/>
      <c r="F138" s="5" t="str">
        <f aca="false">[1]Base_Jugadores!E138</f>
        <v>CT</v>
      </c>
      <c r="G138" s="5" t="n">
        <f aca="false">[1]Base_Jugadores!F138</f>
        <v>79</v>
      </c>
      <c r="H138" s="5" t="n">
        <f aca="false">[1]Base_Jugadores!G138</f>
        <v>32</v>
      </c>
      <c r="I138" s="7" t="n">
        <f aca="false" t="array" ref="I138:I138">_xlfn.XLOOKUP(G138,{55;56;57;58;59;60;61;62;63;64;65;66;67;68;69;70;71;72;73;74;75;76;77;78;79;80;81;82;83;84;85;86;87;88;89;90;91;92;93;94;95;96;97;98;99},{100000;130000;160000;190000;220000;250000;300000;350000;400000;450000;500000;600000;700000;800000;900000;1000000;1500000;2000000;3000000;4000000;5000000;6500000;8000000;10000000;12500000;15000000;20000000;25000000;30000000;35000000;40000000;55000000;70000000;80000000;90000000;110000000;130000000;160000000;190000000;220000000;250000000;280000000;310000000;340000000;400000000})</f>
        <v>12500000</v>
      </c>
      <c r="J138" s="7" t="n">
        <f aca="false">I138*S138*T138*U138</f>
        <v>10687500</v>
      </c>
      <c r="K138" s="8"/>
      <c r="L138" s="3"/>
      <c r="M138" s="8"/>
      <c r="N138" s="9" t="n">
        <v>0</v>
      </c>
      <c r="O138" s="4" t="n">
        <v>0</v>
      </c>
      <c r="P138" s="5" t="n">
        <f aca="false">IF(COUNTIF([1]Base_Jugadores!J$2:J$500,B138)&gt;0,1,0)</f>
        <v>0</v>
      </c>
      <c r="Q138" s="10" t="b">
        <f aca="false">--(COUNTIFS(
   [1]Fichajes_Realizados!A$2:A$5000,A138,
   [1]Fichajes_Realizados!G$2:G$5000,$X$3
)&gt;0)</f>
        <v>0</v>
      </c>
      <c r="R138" s="5" t="n">
        <f aca="false">_xlfn.XLOOKUP(C138, [1]Estado_Equipos!A$2:A$500, [1]Estado_Equipos!J$2:J$500, "")</f>
        <v>78</v>
      </c>
      <c r="S138" s="5" t="n">
        <f aca="false">IF(H138&lt;=16,1.45,
IF(H138&gt;=41,0.3,
CHOOSE(ROUNDDOWN((H138-16)/2,0)+1,
1.45,1.38,1.3,1.23,1.17,1.15,1.12,1.05,0.95,0.8,0.6,0.4,0.3)))</f>
        <v>0.95</v>
      </c>
      <c r="T138" s="5" t="n">
        <f aca="false">CHOOSE(N138+1,1.2,1,0.85,0.7)</f>
        <v>1.2</v>
      </c>
      <c r="U138" s="5" t="n">
        <f aca="false">IF(F138="PO",0.6,
IF(F138="CT",0.75,
IF(F138="LI",0.8,
IF(F138="LD",0.8,
IF(F138="MCD",0.85,
IF(F138="MC",0.95,
IF(F138="MO",1.05,
IF(F138="EI",1.1,
IF(F138="ED",1.1,
IF(F138="SD",1.15,
IF(F138="DC",1.2,0)))))))))))</f>
        <v>0.75</v>
      </c>
    </row>
    <row r="139" customFormat="false" ht="16.4" hidden="false" customHeight="false" outlineLevel="0" collapsed="false">
      <c r="A139" s="1" t="n">
        <v>138</v>
      </c>
      <c r="B139" s="5" t="str">
        <f aca="false">[1]Base_Jugadores!B139</f>
        <v>Ginés Sorroche</v>
      </c>
      <c r="C139" s="5" t="str">
        <f aca="false">IFERROR(
   _xlfn.XLOOKUP(VALUE(A139),[1]Fichajes_Realizados!A$2:A$50000,[1]Fichajes_Realizados!D$2:D$50000,,0,-1),
   _xlfn.XLOOKUP(VALUE(A139),[1]Base_Jugadores!A$2:A$50000,[1]Base_Jugadores!C$2:C$50000)
)</f>
        <v>Real Betis</v>
      </c>
      <c r="D139" s="5" t="str">
        <f aca="false">[1]Base_Jugadores!D139</f>
        <v>España</v>
      </c>
      <c r="E139" s="3"/>
      <c r="F139" s="5" t="str">
        <f aca="false">[1]Base_Jugadores!E139</f>
        <v>MC</v>
      </c>
      <c r="G139" s="5" t="n">
        <f aca="false">[1]Base_Jugadores!F139</f>
        <v>64</v>
      </c>
      <c r="H139" s="5" t="n">
        <f aca="false">[1]Base_Jugadores!G139</f>
        <v>21</v>
      </c>
      <c r="I139" s="7" t="n">
        <f aca="false" t="array" ref="I139:I139">_xlfn.XLOOKUP(G139,{55;56;57;58;59;60;61;62;63;64;65;66;67;68;69;70;71;72;73;74;75;76;77;78;79;80;81;82;83;84;85;86;87;88;89;90;91;92;93;94;95;96;97;98;99},{100000;130000;160000;190000;220000;250000;300000;350000;400000;450000;500000;600000;700000;800000;900000;1000000;1500000;2000000;3000000;4000000;5000000;6500000;8000000;10000000;12500000;15000000;20000000;25000000;30000000;35000000;40000000;55000000;70000000;80000000;90000000;110000000;130000000;160000000;190000000;220000000;250000000;280000000;310000000;340000000;400000000})</f>
        <v>450000</v>
      </c>
      <c r="J139" s="7" t="n">
        <f aca="false">I139*S139*T139*U139</f>
        <v>472387.5</v>
      </c>
      <c r="K139" s="8"/>
      <c r="L139" s="3"/>
      <c r="M139" s="8"/>
      <c r="N139" s="9" t="n">
        <v>2</v>
      </c>
      <c r="O139" s="4" t="n">
        <v>1</v>
      </c>
      <c r="P139" s="5" t="n">
        <f aca="false">IF(COUNTIF([1]Base_Jugadores!J$2:J$500,B139)&gt;0,1,0)</f>
        <v>0</v>
      </c>
      <c r="Q139" s="10" t="b">
        <f aca="false">--(COUNTIFS(
   [1]Fichajes_Realizados!A$2:A$5000,A139,
   [1]Fichajes_Realizados!G$2:G$5000,$X$3
)&gt;0)</f>
        <v>0</v>
      </c>
      <c r="R139" s="5" t="n">
        <f aca="false">_xlfn.XLOOKUP(C139, [1]Estado_Equipos!A$2:A$500, [1]Estado_Equipos!J$2:J$500, "")</f>
        <v>78</v>
      </c>
      <c r="S139" s="5" t="n">
        <f aca="false">IF(H139&lt;=16,1.45,
IF(H139&gt;=41,0.3,
CHOOSE(ROUNDDOWN((H139-16)/2,0)+1,
1.45,1.38,1.3,1.23,1.17,1.15,1.12,1.05,0.95,0.8,0.6,0.4,0.3)))</f>
        <v>1.3</v>
      </c>
      <c r="T139" s="5" t="n">
        <f aca="false">CHOOSE(N139+1,1.2,1,0.85,0.7)</f>
        <v>0.85</v>
      </c>
      <c r="U139" s="5" t="n">
        <f aca="false">IF(F139="PO",0.6,
IF(F139="CT",0.75,
IF(F139="LI",0.8,
IF(F139="LD",0.8,
IF(F139="MCD",0.85,
IF(F139="MC",0.95,
IF(F139="MO",1.05,
IF(F139="EI",1.1,
IF(F139="ED",1.1,
IF(F139="SD",1.15,
IF(F139="DC",1.2,0)))))))))))</f>
        <v>0.95</v>
      </c>
    </row>
    <row r="140" customFormat="false" ht="16.4" hidden="false" customHeight="false" outlineLevel="0" collapsed="false">
      <c r="A140" s="1" t="n">
        <v>139</v>
      </c>
      <c r="B140" s="5" t="str">
        <f aca="false">[1]Base_Jugadores!B140</f>
        <v>Giovani Lo Celso</v>
      </c>
      <c r="C140" s="5" t="str">
        <f aca="false">IFERROR(
   _xlfn.XLOOKUP(VALUE(A140),[1]Fichajes_Realizados!A$2:A$50000,[1]Fichajes_Realizados!D$2:D$50000,,0,-1),
   _xlfn.XLOOKUP(VALUE(A140),[1]Base_Jugadores!A$2:A$50000,[1]Base_Jugadores!C$2:C$50000)
)</f>
        <v>Real Betis</v>
      </c>
      <c r="D140" s="5" t="str">
        <f aca="false">[1]Base_Jugadores!D140</f>
        <v>Argentina</v>
      </c>
      <c r="E140" s="3"/>
      <c r="F140" s="5" t="str">
        <f aca="false">[1]Base_Jugadores!E140</f>
        <v>MO</v>
      </c>
      <c r="G140" s="5" t="n">
        <f aca="false">[1]Base_Jugadores!F140</f>
        <v>81</v>
      </c>
      <c r="H140" s="5" t="n">
        <f aca="false">[1]Base_Jugadores!G140</f>
        <v>29</v>
      </c>
      <c r="I140" s="7" t="n">
        <f aca="false" t="array" ref="I140:I140">_xlfn.XLOOKUP(G140,{55;56;57;58;59;60;61;62;63;64;65;66;67;68;69;70;71;72;73;74;75;76;77;78;79;80;81;82;83;84;85;86;87;88;89;90;91;92;93;94;95;96;97;98;99},{100000;130000;160000;190000;220000;250000;300000;350000;400000;450000;500000;600000;700000;800000;900000;1000000;1500000;2000000;3000000;4000000;5000000;6500000;8000000;10000000;12500000;15000000;20000000;25000000;30000000;35000000;40000000;55000000;70000000;80000000;90000000;110000000;130000000;160000000;190000000;220000000;250000000;280000000;310000000;340000000;400000000})</f>
        <v>20000000</v>
      </c>
      <c r="J140" s="7" t="n">
        <f aca="false">I140*S140*T140*U140</f>
        <v>28224000</v>
      </c>
      <c r="K140" s="8"/>
      <c r="L140" s="3"/>
      <c r="M140" s="8"/>
      <c r="N140" s="9" t="n">
        <v>0</v>
      </c>
      <c r="O140" s="4" t="n">
        <v>0</v>
      </c>
      <c r="P140" s="5" t="n">
        <f aca="false">IF(COUNTIF([1]Base_Jugadores!J$2:J$500,B140)&gt;0,1,0)</f>
        <v>0</v>
      </c>
      <c r="Q140" s="10" t="b">
        <f aca="false">--(COUNTIFS(
   [1]Fichajes_Realizados!A$2:A$5000,A140,
   [1]Fichajes_Realizados!G$2:G$5000,$X$3
)&gt;0)</f>
        <v>0</v>
      </c>
      <c r="R140" s="5" t="n">
        <f aca="false">_xlfn.XLOOKUP(C140, [1]Estado_Equipos!A$2:A$500, [1]Estado_Equipos!J$2:J$500, "")</f>
        <v>78</v>
      </c>
      <c r="S140" s="5" t="n">
        <f aca="false">IF(H140&lt;=16,1.45,
IF(H140&gt;=41,0.3,
CHOOSE(ROUNDDOWN((H140-16)/2,0)+1,
1.45,1.38,1.3,1.23,1.17,1.15,1.12,1.05,0.95,0.8,0.6,0.4,0.3)))</f>
        <v>1.12</v>
      </c>
      <c r="T140" s="5" t="n">
        <f aca="false">CHOOSE(N140+1,1.2,1,0.85,0.7)</f>
        <v>1.2</v>
      </c>
      <c r="U140" s="5" t="n">
        <f aca="false">IF(F140="PO",0.6,
IF(F140="CT",0.75,
IF(F140="LI",0.8,
IF(F140="LD",0.8,
IF(F140="MCD",0.85,
IF(F140="MC",0.95,
IF(F140="MO",1.05,
IF(F140="EI",1.1,
IF(F140="ED",1.1,
IF(F140="SD",1.15,
IF(F140="DC",1.2,0)))))))))))</f>
        <v>1.05</v>
      </c>
    </row>
    <row r="141" customFormat="false" ht="16.4" hidden="false" customHeight="false" outlineLevel="0" collapsed="false">
      <c r="A141" s="1" t="n">
        <v>140</v>
      </c>
      <c r="B141" s="5" t="str">
        <f aca="false">[1]Base_Jugadores!B141</f>
        <v>Héctor Bellerín</v>
      </c>
      <c r="C141" s="5" t="str">
        <f aca="false">IFERROR(
   _xlfn.XLOOKUP(VALUE(A141),[1]Fichajes_Realizados!A$2:A$50000,[1]Fichajes_Realizados!D$2:D$50000,,0,-1),
   _xlfn.XLOOKUP(VALUE(A141),[1]Base_Jugadores!A$2:A$50000,[1]Base_Jugadores!C$2:C$50000)
)</f>
        <v>Real Betis</v>
      </c>
      <c r="D141" s="5" t="str">
        <f aca="false">[1]Base_Jugadores!D141</f>
        <v>España</v>
      </c>
      <c r="E141" s="3"/>
      <c r="F141" s="5" t="str">
        <f aca="false">[1]Base_Jugadores!E141</f>
        <v>LD</v>
      </c>
      <c r="G141" s="5" t="n">
        <f aca="false">[1]Base_Jugadores!F141</f>
        <v>77</v>
      </c>
      <c r="H141" s="5" t="n">
        <f aca="false">[1]Base_Jugadores!G141</f>
        <v>30</v>
      </c>
      <c r="I141" s="7" t="n">
        <f aca="false" t="array" ref="I141:I141">_xlfn.XLOOKUP(G141,{55;56;57;58;59;60;61;62;63;64;65;66;67;68;69;70;71;72;73;74;75;76;77;78;79;80;81;82;83;84;85;86;87;88;89;90;91;92;93;94;95;96;97;98;99},{100000;130000;160000;190000;220000;250000;300000;350000;400000;450000;500000;600000;700000;800000;900000;1000000;1500000;2000000;3000000;4000000;5000000;6500000;8000000;10000000;12500000;15000000;20000000;25000000;30000000;35000000;40000000;55000000;70000000;80000000;90000000;110000000;130000000;160000000;190000000;220000000;250000000;280000000;310000000;340000000;400000000})</f>
        <v>8000000</v>
      </c>
      <c r="J141" s="7" t="n">
        <f aca="false">I141*S141*T141*U141</f>
        <v>8064000</v>
      </c>
      <c r="K141" s="8"/>
      <c r="L141" s="3"/>
      <c r="M141" s="8"/>
      <c r="N141" s="9" t="n">
        <v>0</v>
      </c>
      <c r="O141" s="4" t="n">
        <v>0</v>
      </c>
      <c r="P141" s="5" t="n">
        <f aca="false">IF(COUNTIF([1]Base_Jugadores!J$2:J$500,B141)&gt;0,1,0)</f>
        <v>0</v>
      </c>
      <c r="Q141" s="10" t="b">
        <f aca="false">--(COUNTIFS(
   [1]Fichajes_Realizados!A$2:A$5000,A141,
   [1]Fichajes_Realizados!G$2:G$5000,$X$3
)&gt;0)</f>
        <v>0</v>
      </c>
      <c r="R141" s="5" t="n">
        <f aca="false">_xlfn.XLOOKUP(C141, [1]Estado_Equipos!A$2:A$500, [1]Estado_Equipos!J$2:J$500, "")</f>
        <v>78</v>
      </c>
      <c r="S141" s="5" t="n">
        <f aca="false">IF(H141&lt;=16,1.45,
IF(H141&gt;=41,0.3,
CHOOSE(ROUNDDOWN((H141-16)/2,0)+1,
1.45,1.38,1.3,1.23,1.17,1.15,1.12,1.05,0.95,0.8,0.6,0.4,0.3)))</f>
        <v>1.05</v>
      </c>
      <c r="T141" s="5" t="n">
        <f aca="false">CHOOSE(N141+1,1.2,1,0.85,0.7)</f>
        <v>1.2</v>
      </c>
      <c r="U141" s="5" t="n">
        <f aca="false">IF(F141="PO",0.6,
IF(F141="CT",0.75,
IF(F141="LI",0.8,
IF(F141="LD",0.8,
IF(F141="MCD",0.85,
IF(F141="MC",0.95,
IF(F141="MO",1.05,
IF(F141="EI",1.1,
IF(F141="ED",1.1,
IF(F141="SD",1.15,
IF(F141="DC",1.2,0)))))))))))</f>
        <v>0.8</v>
      </c>
    </row>
    <row r="142" customFormat="false" ht="16.4" hidden="false" customHeight="false" outlineLevel="0" collapsed="false">
      <c r="A142" s="1" t="n">
        <v>141</v>
      </c>
      <c r="B142" s="5" t="str">
        <f aca="false">[1]Base_Jugadores!B142</f>
        <v>Isco</v>
      </c>
      <c r="C142" s="5" t="str">
        <f aca="false">IFERROR(
   _xlfn.XLOOKUP(VALUE(A142),[1]Fichajes_Realizados!A$2:A$50000,[1]Fichajes_Realizados!D$2:D$50000,,0,-1),
   _xlfn.XLOOKUP(VALUE(A142),[1]Base_Jugadores!A$2:A$50000,[1]Base_Jugadores!C$2:C$50000)
)</f>
        <v>Real Betis</v>
      </c>
      <c r="D142" s="5" t="str">
        <f aca="false">[1]Base_Jugadores!D142</f>
        <v>España</v>
      </c>
      <c r="E142" s="3"/>
      <c r="F142" s="5" t="str">
        <f aca="false">[1]Base_Jugadores!E142</f>
        <v>MO</v>
      </c>
      <c r="G142" s="5" t="n">
        <f aca="false">[1]Base_Jugadores!F142</f>
        <v>83</v>
      </c>
      <c r="H142" s="5" t="n">
        <f aca="false">[1]Base_Jugadores!G142</f>
        <v>33</v>
      </c>
      <c r="I142" s="7" t="n">
        <f aca="false" t="array" ref="I142:I142">_xlfn.XLOOKUP(G142,{55;56;57;58;59;60;61;62;63;64;65;66;67;68;69;70;71;72;73;74;75;76;77;78;79;80;81;82;83;84;85;86;87;88;89;90;91;92;93;94;95;96;97;98;99},{100000;130000;160000;190000;220000;250000;300000;350000;400000;450000;500000;600000;700000;800000;900000;1000000;1500000;2000000;3000000;4000000;5000000;6500000;8000000;10000000;12500000;15000000;20000000;25000000;30000000;35000000;40000000;55000000;70000000;80000000;90000000;110000000;130000000;160000000;190000000;220000000;250000000;280000000;310000000;340000000;400000000})</f>
        <v>30000000</v>
      </c>
      <c r="J142" s="7" t="n">
        <f aca="false">I142*S142*T142*U142</f>
        <v>35910000</v>
      </c>
      <c r="K142" s="8"/>
      <c r="L142" s="3"/>
      <c r="M142" s="8"/>
      <c r="N142" s="9" t="n">
        <v>0</v>
      </c>
      <c r="O142" s="4" t="n">
        <v>0</v>
      </c>
      <c r="P142" s="5" t="n">
        <f aca="false">IF(COUNTIF([1]Base_Jugadores!J$2:J$500,B142)&gt;0,1,0)</f>
        <v>0</v>
      </c>
      <c r="Q142" s="10" t="b">
        <f aca="false">--(COUNTIFS(
   [1]Fichajes_Realizados!A$2:A$5000,A142,
   [1]Fichajes_Realizados!G$2:G$5000,$X$3
)&gt;0)</f>
        <v>0</v>
      </c>
      <c r="R142" s="5" t="n">
        <f aca="false">_xlfn.XLOOKUP(C142, [1]Estado_Equipos!A$2:A$500, [1]Estado_Equipos!J$2:J$500, "")</f>
        <v>78</v>
      </c>
      <c r="S142" s="5" t="n">
        <f aca="false">IF(H142&lt;=16,1.45,
IF(H142&gt;=41,0.3,
CHOOSE(ROUNDDOWN((H142-16)/2,0)+1,
1.45,1.38,1.3,1.23,1.17,1.15,1.12,1.05,0.95,0.8,0.6,0.4,0.3)))</f>
        <v>0.95</v>
      </c>
      <c r="T142" s="5" t="n">
        <f aca="false">CHOOSE(N142+1,1.2,1,0.85,0.7)</f>
        <v>1.2</v>
      </c>
      <c r="U142" s="5" t="n">
        <f aca="false">IF(F142="PO",0.6,
IF(F142="CT",0.75,
IF(F142="LI",0.8,
IF(F142="LD",0.8,
IF(F142="MCD",0.85,
IF(F142="MC",0.95,
IF(F142="MO",1.05,
IF(F142="EI",1.1,
IF(F142="ED",1.1,
IF(F142="SD",1.15,
IF(F142="DC",1.2,0)))))))))))</f>
        <v>1.05</v>
      </c>
    </row>
    <row r="143" customFormat="false" ht="16.4" hidden="false" customHeight="false" outlineLevel="0" collapsed="false">
      <c r="A143" s="1" t="n">
        <v>142</v>
      </c>
      <c r="B143" s="5" t="str">
        <f aca="false">[1]Base_Jugadores!B143</f>
        <v>Junior Firpo</v>
      </c>
      <c r="C143" s="5" t="str">
        <f aca="false">IFERROR(
   _xlfn.XLOOKUP(VALUE(A143),[1]Fichajes_Realizados!A$2:A$50000,[1]Fichajes_Realizados!D$2:D$50000,,0,-1),
   _xlfn.XLOOKUP(VALUE(A143),[1]Base_Jugadores!A$2:A$50000,[1]Base_Jugadores!C$2:C$50000)
)</f>
        <v>Real Betis</v>
      </c>
      <c r="D143" s="5" t="str">
        <f aca="false">[1]Base_Jugadores!D143</f>
        <v>República Dominicana</v>
      </c>
      <c r="E143" s="3"/>
      <c r="F143" s="5" t="str">
        <f aca="false">[1]Base_Jugadores!E143</f>
        <v>LI</v>
      </c>
      <c r="G143" s="5" t="n">
        <f aca="false">[1]Base_Jugadores!F143</f>
        <v>75</v>
      </c>
      <c r="H143" s="5" t="n">
        <f aca="false">[1]Base_Jugadores!G143</f>
        <v>29</v>
      </c>
      <c r="I143" s="7" t="n">
        <f aca="false" t="array" ref="I143:I143">_xlfn.XLOOKUP(G143,{55;56;57;58;59;60;61;62;63;64;65;66;67;68;69;70;71;72;73;74;75;76;77;78;79;80;81;82;83;84;85;86;87;88;89;90;91;92;93;94;95;96;97;98;99},{100000;130000;160000;190000;220000;250000;300000;350000;400000;450000;500000;600000;700000;800000;900000;1000000;1500000;2000000;3000000;4000000;5000000;6500000;8000000;10000000;12500000;15000000;20000000;25000000;30000000;35000000;40000000;55000000;70000000;80000000;90000000;110000000;130000000;160000000;190000000;220000000;250000000;280000000;310000000;340000000;400000000})</f>
        <v>5000000</v>
      </c>
      <c r="J143" s="7" t="n">
        <f aca="false">I143*S143*T143*U143</f>
        <v>3808000</v>
      </c>
      <c r="K143" s="8"/>
      <c r="L143" s="3"/>
      <c r="M143" s="8"/>
      <c r="N143" s="9" t="n">
        <v>2</v>
      </c>
      <c r="O143" s="4" t="n">
        <v>0</v>
      </c>
      <c r="P143" s="5" t="n">
        <f aca="false">IF(COUNTIF([1]Base_Jugadores!J$2:J$500,B143)&gt;0,1,0)</f>
        <v>0</v>
      </c>
      <c r="Q143" s="10" t="b">
        <f aca="false">--(COUNTIFS(
   [1]Fichajes_Realizados!A$2:A$5000,A143,
   [1]Fichajes_Realizados!G$2:G$5000,$X$3
)&gt;0)</f>
        <v>0</v>
      </c>
      <c r="R143" s="5" t="n">
        <f aca="false">_xlfn.XLOOKUP(C143, [1]Estado_Equipos!A$2:A$500, [1]Estado_Equipos!J$2:J$500, "")</f>
        <v>78</v>
      </c>
      <c r="S143" s="5" t="n">
        <f aca="false">IF(H143&lt;=16,1.45,
IF(H143&gt;=41,0.3,
CHOOSE(ROUNDDOWN((H143-16)/2,0)+1,
1.45,1.38,1.3,1.23,1.17,1.15,1.12,1.05,0.95,0.8,0.6,0.4,0.3)))</f>
        <v>1.12</v>
      </c>
      <c r="T143" s="5" t="n">
        <f aca="false">CHOOSE(N143+1,1.2,1,0.85,0.7)</f>
        <v>0.85</v>
      </c>
      <c r="U143" s="5" t="n">
        <f aca="false">IF(F143="PO",0.6,
IF(F143="CT",0.75,
IF(F143="LI",0.8,
IF(F143="LD",0.8,
IF(F143="MCD",0.85,
IF(F143="MC",0.95,
IF(F143="MO",1.05,
IF(F143="EI",1.1,
IF(F143="ED",1.1,
IF(F143="SD",1.15,
IF(F143="DC",1.2,0)))))))))))</f>
        <v>0.8</v>
      </c>
    </row>
    <row r="144" customFormat="false" ht="16.4" hidden="false" customHeight="false" outlineLevel="0" collapsed="false">
      <c r="A144" s="1" t="n">
        <v>143</v>
      </c>
      <c r="B144" s="5" t="str">
        <f aca="false">[1]Base_Jugadores!B144</f>
        <v>Marc Bartra</v>
      </c>
      <c r="C144" s="5" t="str">
        <f aca="false">IFERROR(
   _xlfn.XLOOKUP(VALUE(A144),[1]Fichajes_Realizados!A$2:A$50000,[1]Fichajes_Realizados!D$2:D$50000,,0,-1),
   _xlfn.XLOOKUP(VALUE(A144),[1]Base_Jugadores!A$2:A$50000,[1]Base_Jugadores!C$2:C$50000)
)</f>
        <v>Real Betis</v>
      </c>
      <c r="D144" s="5" t="str">
        <f aca="false">[1]Base_Jugadores!D144</f>
        <v>España</v>
      </c>
      <c r="E144" s="3"/>
      <c r="F144" s="5" t="str">
        <f aca="false">[1]Base_Jugadores!E144</f>
        <v>CT</v>
      </c>
      <c r="G144" s="5" t="n">
        <f aca="false">[1]Base_Jugadores!F144</f>
        <v>77</v>
      </c>
      <c r="H144" s="5" t="n">
        <f aca="false">[1]Base_Jugadores!G144</f>
        <v>34</v>
      </c>
      <c r="I144" s="7" t="n">
        <f aca="false" t="array" ref="I144:I144">_xlfn.XLOOKUP(G144,{55;56;57;58;59;60;61;62;63;64;65;66;67;68;69;70;71;72;73;74;75;76;77;78;79;80;81;82;83;84;85;86;87;88;89;90;91;92;93;94;95;96;97;98;99},{100000;130000;160000;190000;220000;250000;300000;350000;400000;450000;500000;600000;700000;800000;900000;1000000;1500000;2000000;3000000;4000000;5000000;6500000;8000000;10000000;12500000;15000000;20000000;25000000;30000000;35000000;40000000;55000000;70000000;80000000;90000000;110000000;130000000;160000000;190000000;220000000;250000000;280000000;310000000;340000000;400000000})</f>
        <v>8000000</v>
      </c>
      <c r="J144" s="7" t="n">
        <f aca="false">I144*S144*T144*U144</f>
        <v>5760000</v>
      </c>
      <c r="K144" s="8"/>
      <c r="L144" s="3"/>
      <c r="M144" s="8"/>
      <c r="N144" s="9" t="n">
        <v>0</v>
      </c>
      <c r="O144" s="4" t="n">
        <v>0</v>
      </c>
      <c r="P144" s="5" t="n">
        <f aca="false">IF(COUNTIF([1]Base_Jugadores!J$2:J$500,B144)&gt;0,1,0)</f>
        <v>0</v>
      </c>
      <c r="Q144" s="10" t="b">
        <f aca="false">--(COUNTIFS(
   [1]Fichajes_Realizados!A$2:A$5000,A144,
   [1]Fichajes_Realizados!G$2:G$5000,$X$3
)&gt;0)</f>
        <v>0</v>
      </c>
      <c r="R144" s="5" t="n">
        <f aca="false">_xlfn.XLOOKUP(C144, [1]Estado_Equipos!A$2:A$500, [1]Estado_Equipos!J$2:J$500, "")</f>
        <v>78</v>
      </c>
      <c r="S144" s="5" t="n">
        <f aca="false">IF(H144&lt;=16,1.45,
IF(H144&gt;=41,0.3,
CHOOSE(ROUNDDOWN((H144-16)/2,0)+1,
1.45,1.38,1.3,1.23,1.17,1.15,1.12,1.05,0.95,0.8,0.6,0.4,0.3)))</f>
        <v>0.8</v>
      </c>
      <c r="T144" s="5" t="n">
        <f aca="false">CHOOSE(N144+1,1.2,1,0.85,0.7)</f>
        <v>1.2</v>
      </c>
      <c r="U144" s="5" t="n">
        <f aca="false">IF(F144="PO",0.6,
IF(F144="CT",0.75,
IF(F144="LI",0.8,
IF(F144="LD",0.8,
IF(F144="MCD",0.85,
IF(F144="MC",0.95,
IF(F144="MO",1.05,
IF(F144="EI",1.1,
IF(F144="ED",1.1,
IF(F144="SD",1.15,
IF(F144="DC",1.2,0)))))))))))</f>
        <v>0.75</v>
      </c>
    </row>
    <row r="145" customFormat="false" ht="16.4" hidden="false" customHeight="false" outlineLevel="0" collapsed="false">
      <c r="A145" s="1" t="n">
        <v>144</v>
      </c>
      <c r="B145" s="5" t="str">
        <f aca="false">[1]Base_Jugadores!B145</f>
        <v>Marc Roca</v>
      </c>
      <c r="C145" s="5" t="str">
        <f aca="false">IFERROR(
   _xlfn.XLOOKUP(VALUE(A145),[1]Fichajes_Realizados!A$2:A$50000,[1]Fichajes_Realizados!D$2:D$50000,,0,-1),
   _xlfn.XLOOKUP(VALUE(A145),[1]Base_Jugadores!A$2:A$50000,[1]Base_Jugadores!C$2:C$50000)
)</f>
        <v>Real Betis</v>
      </c>
      <c r="D145" s="5" t="str">
        <f aca="false">[1]Base_Jugadores!D145</f>
        <v>España</v>
      </c>
      <c r="E145" s="3"/>
      <c r="F145" s="5" t="str">
        <f aca="false">[1]Base_Jugadores!E145</f>
        <v>MCD</v>
      </c>
      <c r="G145" s="5" t="n">
        <f aca="false">[1]Base_Jugadores!F145</f>
        <v>78</v>
      </c>
      <c r="H145" s="5" t="n">
        <f aca="false">[1]Base_Jugadores!G145</f>
        <v>29</v>
      </c>
      <c r="I145" s="7" t="n">
        <f aca="false" t="array" ref="I145:I145">_xlfn.XLOOKUP(G145,{55;56;57;58;59;60;61;62;63;64;65;66;67;68;69;70;71;72;73;74;75;76;77;78;79;80;81;82;83;84;85;86;87;88;89;90;91;92;93;94;95;96;97;98;99},{100000;130000;160000;190000;220000;250000;300000;350000;400000;450000;500000;600000;700000;800000;900000;1000000;1500000;2000000;3000000;4000000;5000000;6500000;8000000;10000000;12500000;15000000;20000000;25000000;30000000;35000000;40000000;55000000;70000000;80000000;90000000;110000000;130000000;160000000;190000000;220000000;250000000;280000000;310000000;340000000;400000000})</f>
        <v>10000000</v>
      </c>
      <c r="J145" s="7" t="n">
        <f aca="false">I145*S145*T145*U145</f>
        <v>9520000</v>
      </c>
      <c r="K145" s="8"/>
      <c r="L145" s="3"/>
      <c r="M145" s="8"/>
      <c r="N145" s="9" t="n">
        <v>1</v>
      </c>
      <c r="O145" s="4" t="n">
        <v>0</v>
      </c>
      <c r="P145" s="5" t="n">
        <f aca="false">IF(COUNTIF([1]Base_Jugadores!J$2:J$500,B145)&gt;0,1,0)</f>
        <v>0</v>
      </c>
      <c r="Q145" s="10" t="b">
        <f aca="false">--(COUNTIFS(
   [1]Fichajes_Realizados!A$2:A$5000,A145,
   [1]Fichajes_Realizados!G$2:G$5000,$X$3
)&gt;0)</f>
        <v>0</v>
      </c>
      <c r="R145" s="5" t="n">
        <f aca="false">_xlfn.XLOOKUP(C145, [1]Estado_Equipos!A$2:A$500, [1]Estado_Equipos!J$2:J$500, "")</f>
        <v>78</v>
      </c>
      <c r="S145" s="5" t="n">
        <f aca="false">IF(H145&lt;=16,1.45,
IF(H145&gt;=41,0.3,
CHOOSE(ROUNDDOWN((H145-16)/2,0)+1,
1.45,1.38,1.3,1.23,1.17,1.15,1.12,1.05,0.95,0.8,0.6,0.4,0.3)))</f>
        <v>1.12</v>
      </c>
      <c r="T145" s="5" t="n">
        <f aca="false">CHOOSE(N145+1,1.2,1,0.85,0.7)</f>
        <v>1</v>
      </c>
      <c r="U145" s="5" t="n">
        <f aca="false">IF(F145="PO",0.6,
IF(F145="CT",0.75,
IF(F145="LI",0.8,
IF(F145="LD",0.8,
IF(F145="MCD",0.85,
IF(F145="MC",0.95,
IF(F145="MO",1.05,
IF(F145="EI",1.1,
IF(F145="ED",1.1,
IF(F145="SD",1.15,
IF(F145="DC",1.2,0)))))))))))</f>
        <v>0.85</v>
      </c>
    </row>
    <row r="146" customFormat="false" ht="16.4" hidden="false" customHeight="false" outlineLevel="0" collapsed="false">
      <c r="A146" s="1" t="n">
        <v>145</v>
      </c>
      <c r="B146" s="5" t="str">
        <f aca="false">[1]Base_Jugadores!B146</f>
        <v>Natan</v>
      </c>
      <c r="C146" s="5" t="str">
        <f aca="false">IFERROR(
   _xlfn.XLOOKUP(VALUE(A146),[1]Fichajes_Realizados!A$2:A$50000,[1]Fichajes_Realizados!D$2:D$50000,,0,-1),
   _xlfn.XLOOKUP(VALUE(A146),[1]Base_Jugadores!A$2:A$50000,[1]Base_Jugadores!C$2:C$50000)
)</f>
        <v>Real Betis</v>
      </c>
      <c r="D146" s="5" t="str">
        <f aca="false">[1]Base_Jugadores!D146</f>
        <v>Brasil</v>
      </c>
      <c r="E146" s="3"/>
      <c r="F146" s="5" t="str">
        <f aca="false">[1]Base_Jugadores!E146</f>
        <v>CT</v>
      </c>
      <c r="G146" s="5" t="n">
        <f aca="false">[1]Base_Jugadores!F146</f>
        <v>76</v>
      </c>
      <c r="H146" s="5" t="n">
        <f aca="false">[1]Base_Jugadores!G146</f>
        <v>24</v>
      </c>
      <c r="I146" s="7" t="n">
        <f aca="false" t="array" ref="I146:I146">_xlfn.XLOOKUP(G146,{55;56;57;58;59;60;61;62;63;64;65;66;67;68;69;70;71;72;73;74;75;76;77;78;79;80;81;82;83;84;85;86;87;88;89;90;91;92;93;94;95;96;97;98;99},{100000;130000;160000;190000;220000;250000;300000;350000;400000;450000;500000;600000;700000;800000;900000;1000000;1500000;2000000;3000000;4000000;5000000;6500000;8000000;10000000;12500000;15000000;20000000;25000000;30000000;35000000;40000000;55000000;70000000;80000000;90000000;110000000;130000000;160000000;190000000;220000000;250000000;280000000;310000000;340000000;400000000})</f>
        <v>6500000</v>
      </c>
      <c r="J146" s="7" t="n">
        <f aca="false">I146*S146*T146*U146</f>
        <v>4848187.5</v>
      </c>
      <c r="K146" s="8"/>
      <c r="L146" s="3"/>
      <c r="M146" s="8"/>
      <c r="N146" s="9" t="n">
        <v>2</v>
      </c>
      <c r="O146" s="4" t="n">
        <v>0</v>
      </c>
      <c r="P146" s="5" t="n">
        <f aca="false">IF(COUNTIF([1]Base_Jugadores!J$2:J$500,B146)&gt;0,1,0)</f>
        <v>0</v>
      </c>
      <c r="Q146" s="10" t="b">
        <f aca="false">--(COUNTIFS(
   [1]Fichajes_Realizados!A$2:A$5000,A146,
   [1]Fichajes_Realizados!G$2:G$5000,$X$3
)&gt;0)</f>
        <v>0</v>
      </c>
      <c r="R146" s="5" t="n">
        <f aca="false">_xlfn.XLOOKUP(C146, [1]Estado_Equipos!A$2:A$500, [1]Estado_Equipos!J$2:J$500, "")</f>
        <v>78</v>
      </c>
      <c r="S146" s="5" t="n">
        <f aca="false">IF(H146&lt;=16,1.45,
IF(H146&gt;=41,0.3,
CHOOSE(ROUNDDOWN((H146-16)/2,0)+1,
1.45,1.38,1.3,1.23,1.17,1.15,1.12,1.05,0.95,0.8,0.6,0.4,0.3)))</f>
        <v>1.17</v>
      </c>
      <c r="T146" s="5" t="n">
        <f aca="false">CHOOSE(N146+1,1.2,1,0.85,0.7)</f>
        <v>0.85</v>
      </c>
      <c r="U146" s="5" t="n">
        <f aca="false">IF(F146="PO",0.6,
IF(F146="CT",0.75,
IF(F146="LI",0.8,
IF(F146="LD",0.8,
IF(F146="MCD",0.85,
IF(F146="MC",0.95,
IF(F146="MO",1.05,
IF(F146="EI",1.1,
IF(F146="ED",1.1,
IF(F146="SD",1.15,
IF(F146="DC",1.2,0)))))))))))</f>
        <v>0.75</v>
      </c>
    </row>
    <row r="147" customFormat="false" ht="16.4" hidden="false" customHeight="false" outlineLevel="0" collapsed="false">
      <c r="A147" s="1" t="n">
        <v>146</v>
      </c>
      <c r="B147" s="5" t="str">
        <f aca="false">[1]Base_Jugadores!B147</f>
        <v>Nelson Deossa</v>
      </c>
      <c r="C147" s="5" t="str">
        <f aca="false">IFERROR(
   _xlfn.XLOOKUP(VALUE(A147),[1]Fichajes_Realizados!A$2:A$50000,[1]Fichajes_Realizados!D$2:D$50000,,0,-1),
   _xlfn.XLOOKUP(VALUE(A147),[1]Base_Jugadores!A$2:A$50000,[1]Base_Jugadores!C$2:C$50000)
)</f>
        <v>Real Betis</v>
      </c>
      <c r="D147" s="5" t="str">
        <f aca="false">[1]Base_Jugadores!D147</f>
        <v>Colombia</v>
      </c>
      <c r="E147" s="3"/>
      <c r="F147" s="5" t="str">
        <f aca="false">[1]Base_Jugadores!E147</f>
        <v>MC</v>
      </c>
      <c r="G147" s="5" t="n">
        <f aca="false">[1]Base_Jugadores!F147</f>
        <v>75</v>
      </c>
      <c r="H147" s="5" t="n">
        <f aca="false">[1]Base_Jugadores!G147</f>
        <v>25</v>
      </c>
      <c r="I147" s="7" t="n">
        <f aca="false" t="array" ref="I147:I147">_xlfn.XLOOKUP(G147,{55;56;57;58;59;60;61;62;63;64;65;66;67;68;69;70;71;72;73;74;75;76;77;78;79;80;81;82;83;84;85;86;87;88;89;90;91;92;93;94;95;96;97;98;99},{100000;130000;160000;190000;220000;250000;300000;350000;400000;450000;500000;600000;700000;800000;900000;1000000;1500000;2000000;3000000;4000000;5000000;6500000;8000000;10000000;12500000;15000000;20000000;25000000;30000000;35000000;40000000;55000000;70000000;80000000;90000000;110000000;130000000;160000000;190000000;220000000;250000000;280000000;310000000;340000000;400000000})</f>
        <v>5000000</v>
      </c>
      <c r="J147" s="7" t="n">
        <f aca="false">I147*S147*T147*U147</f>
        <v>4723875</v>
      </c>
      <c r="K147" s="8"/>
      <c r="L147" s="3"/>
      <c r="M147" s="8"/>
      <c r="N147" s="9" t="n">
        <v>2</v>
      </c>
      <c r="O147" s="4" t="n">
        <v>0</v>
      </c>
      <c r="P147" s="5" t="n">
        <f aca="false">IF(COUNTIF([1]Base_Jugadores!J$2:J$500,B147)&gt;0,1,0)</f>
        <v>0</v>
      </c>
      <c r="Q147" s="10" t="b">
        <f aca="false">--(COUNTIFS(
   [1]Fichajes_Realizados!A$2:A$5000,A147,
   [1]Fichajes_Realizados!G$2:G$5000,$X$3
)&gt;0)</f>
        <v>0</v>
      </c>
      <c r="R147" s="5" t="n">
        <f aca="false">_xlfn.XLOOKUP(C147, [1]Estado_Equipos!A$2:A$500, [1]Estado_Equipos!J$2:J$500, "")</f>
        <v>78</v>
      </c>
      <c r="S147" s="5" t="n">
        <f aca="false">IF(H147&lt;=16,1.45,
IF(H147&gt;=41,0.3,
CHOOSE(ROUNDDOWN((H147-16)/2,0)+1,
1.45,1.38,1.3,1.23,1.17,1.15,1.12,1.05,0.95,0.8,0.6,0.4,0.3)))</f>
        <v>1.17</v>
      </c>
      <c r="T147" s="5" t="n">
        <f aca="false">CHOOSE(N147+1,1.2,1,0.85,0.7)</f>
        <v>0.85</v>
      </c>
      <c r="U147" s="5" t="n">
        <f aca="false">IF(F147="PO",0.6,
IF(F147="CT",0.75,
IF(F147="LI",0.8,
IF(F147="LD",0.8,
IF(F147="MCD",0.85,
IF(F147="MC",0.95,
IF(F147="MO",1.05,
IF(F147="EI",1.1,
IF(F147="ED",1.1,
IF(F147="SD",1.15,
IF(F147="DC",1.2,0)))))))))))</f>
        <v>0.95</v>
      </c>
    </row>
    <row r="148" customFormat="false" ht="16.4" hidden="false" customHeight="false" outlineLevel="0" collapsed="false">
      <c r="A148" s="1" t="n">
        <v>147</v>
      </c>
      <c r="B148" s="5" t="str">
        <f aca="false">[1]Base_Jugadores!B148</f>
        <v>Pablo Busto</v>
      </c>
      <c r="C148" s="5" t="str">
        <f aca="false">IFERROR(
   _xlfn.XLOOKUP(VALUE(A148),[1]Fichajes_Realizados!A$2:A$50000,[1]Fichajes_Realizados!D$2:D$50000,,0,-1),
   _xlfn.XLOOKUP(VALUE(A148),[1]Base_Jugadores!A$2:A$50000,[1]Base_Jugadores!C$2:C$50000)
)</f>
        <v>Real Betis</v>
      </c>
      <c r="D148" s="5" t="str">
        <f aca="false">[1]Base_Jugadores!D148</f>
        <v>España</v>
      </c>
      <c r="E148" s="3"/>
      <c r="F148" s="5" t="str">
        <f aca="false">[1]Base_Jugadores!E148</f>
        <v>LD</v>
      </c>
      <c r="G148" s="5" t="n">
        <f aca="false">[1]Base_Jugadores!F148</f>
        <v>67</v>
      </c>
      <c r="H148" s="5" t="n">
        <f aca="false">[1]Base_Jugadores!G148</f>
        <v>20</v>
      </c>
      <c r="I148" s="7" t="n">
        <f aca="false" t="array" ref="I148:I148">_xlfn.XLOOKUP(G148,{55;56;57;58;59;60;61;62;63;64;65;66;67;68;69;70;71;72;73;74;75;76;77;78;79;80;81;82;83;84;85;86;87;88;89;90;91;92;93;94;95;96;97;98;99},{100000;130000;160000;190000;220000;250000;300000;350000;400000;450000;500000;600000;700000;800000;900000;1000000;1500000;2000000;3000000;4000000;5000000;6500000;8000000;10000000;12500000;15000000;20000000;25000000;30000000;35000000;40000000;55000000;70000000;80000000;90000000;110000000;130000000;160000000;190000000;220000000;250000000;280000000;310000000;340000000;400000000})</f>
        <v>700000</v>
      </c>
      <c r="J148" s="7" t="n">
        <f aca="false">I148*S148*T148*U148</f>
        <v>618800</v>
      </c>
      <c r="K148" s="8"/>
      <c r="L148" s="3"/>
      <c r="M148" s="8"/>
      <c r="N148" s="9" t="n">
        <v>2</v>
      </c>
      <c r="O148" s="4" t="n">
        <v>1</v>
      </c>
      <c r="P148" s="5" t="n">
        <f aca="false">IF(COUNTIF([1]Base_Jugadores!J$2:J$500,B148)&gt;0,1,0)</f>
        <v>0</v>
      </c>
      <c r="Q148" s="10" t="b">
        <f aca="false">--(COUNTIFS(
   [1]Fichajes_Realizados!A$2:A$5000,A148,
   [1]Fichajes_Realizados!G$2:G$5000,$X$3
)&gt;0)</f>
        <v>0</v>
      </c>
      <c r="R148" s="5" t="n">
        <f aca="false">_xlfn.XLOOKUP(C148, [1]Estado_Equipos!A$2:A$500, [1]Estado_Equipos!J$2:J$500, "")</f>
        <v>78</v>
      </c>
      <c r="S148" s="5" t="n">
        <f aca="false">IF(H148&lt;=16,1.45,
IF(H148&gt;=41,0.3,
CHOOSE(ROUNDDOWN((H148-16)/2,0)+1,
1.45,1.38,1.3,1.23,1.17,1.15,1.12,1.05,0.95,0.8,0.6,0.4,0.3)))</f>
        <v>1.3</v>
      </c>
      <c r="T148" s="5" t="n">
        <f aca="false">CHOOSE(N148+1,1.2,1,0.85,0.7)</f>
        <v>0.85</v>
      </c>
      <c r="U148" s="5" t="n">
        <f aca="false">IF(F148="PO",0.6,
IF(F148="CT",0.75,
IF(F148="LI",0.8,
IF(F148="LD",0.8,
IF(F148="MCD",0.85,
IF(F148="MC",0.95,
IF(F148="MO",1.05,
IF(F148="EI",1.1,
IF(F148="ED",1.1,
IF(F148="SD",1.15,
IF(F148="DC",1.2,0)))))))))))</f>
        <v>0.8</v>
      </c>
    </row>
    <row r="149" customFormat="false" ht="16.4" hidden="false" customHeight="false" outlineLevel="0" collapsed="false">
      <c r="A149" s="1" t="n">
        <v>148</v>
      </c>
      <c r="B149" s="5" t="str">
        <f aca="false">[1]Base_Jugadores!B149</f>
        <v>Pablo Fornals</v>
      </c>
      <c r="C149" s="5" t="str">
        <f aca="false">IFERROR(
   _xlfn.XLOOKUP(VALUE(A149),[1]Fichajes_Realizados!A$2:A$50000,[1]Fichajes_Realizados!D$2:D$50000,,0,-1),
   _xlfn.XLOOKUP(VALUE(A149),[1]Base_Jugadores!A$2:A$50000,[1]Base_Jugadores!C$2:C$50000)
)</f>
        <v>Real Betis</v>
      </c>
      <c r="D149" s="5" t="str">
        <f aca="false">[1]Base_Jugadores!D149</f>
        <v>España</v>
      </c>
      <c r="E149" s="3"/>
      <c r="F149" s="5" t="str">
        <f aca="false">[1]Base_Jugadores!E149</f>
        <v>MC</v>
      </c>
      <c r="G149" s="5" t="n">
        <f aca="false">[1]Base_Jugadores!F149</f>
        <v>78</v>
      </c>
      <c r="H149" s="5" t="n">
        <f aca="false">[1]Base_Jugadores!G149</f>
        <v>29</v>
      </c>
      <c r="I149" s="7" t="n">
        <f aca="false" t="array" ref="I149:I149">_xlfn.XLOOKUP(G149,{55;56;57;58;59;60;61;62;63;64;65;66;67;68;69;70;71;72;73;74;75;76;77;78;79;80;81;82;83;84;85;86;87;88;89;90;91;92;93;94;95;96;97;98;99},{100000;130000;160000;190000;220000;250000;300000;350000;400000;450000;500000;600000;700000;800000;900000;1000000;1500000;2000000;3000000;4000000;5000000;6500000;8000000;10000000;12500000;15000000;20000000;25000000;30000000;35000000;40000000;55000000;70000000;80000000;90000000;110000000;130000000;160000000;190000000;220000000;250000000;280000000;310000000;340000000;400000000})</f>
        <v>10000000</v>
      </c>
      <c r="J149" s="7" t="n">
        <f aca="false">I149*S149*T149*U149</f>
        <v>10640000</v>
      </c>
      <c r="K149" s="8"/>
      <c r="L149" s="3"/>
      <c r="M149" s="8"/>
      <c r="N149" s="9" t="n">
        <v>1</v>
      </c>
      <c r="O149" s="4" t="n">
        <v>0</v>
      </c>
      <c r="P149" s="5" t="n">
        <f aca="false">IF(COUNTIF([1]Base_Jugadores!J$2:J$500,B149)&gt;0,1,0)</f>
        <v>0</v>
      </c>
      <c r="Q149" s="10" t="b">
        <f aca="false">--(COUNTIFS(
   [1]Fichajes_Realizados!A$2:A$5000,A149,
   [1]Fichajes_Realizados!G$2:G$5000,$X$3
)&gt;0)</f>
        <v>0</v>
      </c>
      <c r="R149" s="5" t="n">
        <f aca="false">_xlfn.XLOOKUP(C149, [1]Estado_Equipos!A$2:A$500, [1]Estado_Equipos!J$2:J$500, "")</f>
        <v>78</v>
      </c>
      <c r="S149" s="5" t="n">
        <f aca="false">IF(H149&lt;=16,1.45,
IF(H149&gt;=41,0.3,
CHOOSE(ROUNDDOWN((H149-16)/2,0)+1,
1.45,1.38,1.3,1.23,1.17,1.15,1.12,1.05,0.95,0.8,0.6,0.4,0.3)))</f>
        <v>1.12</v>
      </c>
      <c r="T149" s="5" t="n">
        <f aca="false">CHOOSE(N149+1,1.2,1,0.85,0.7)</f>
        <v>1</v>
      </c>
      <c r="U149" s="5" t="n">
        <f aca="false">IF(F149="PO",0.6,
IF(F149="CT",0.75,
IF(F149="LI",0.8,
IF(F149="LD",0.8,
IF(F149="MCD",0.85,
IF(F149="MC",0.95,
IF(F149="MO",1.05,
IF(F149="EI",1.1,
IF(F149="ED",1.1,
IF(F149="SD",1.15,
IF(F149="DC",1.2,0)))))))))))</f>
        <v>0.95</v>
      </c>
    </row>
    <row r="150" customFormat="false" ht="16.4" hidden="false" customHeight="false" outlineLevel="0" collapsed="false">
      <c r="A150" s="1" t="n">
        <v>149</v>
      </c>
      <c r="B150" s="5" t="str">
        <f aca="false">[1]Base_Jugadores!B150</f>
        <v>Pablo García F.</v>
      </c>
      <c r="C150" s="5" t="str">
        <f aca="false">IFERROR(
   _xlfn.XLOOKUP(VALUE(A150),[1]Fichajes_Realizados!A$2:A$50000,[1]Fichajes_Realizados!D$2:D$50000,,0,-1),
   _xlfn.XLOOKUP(VALUE(A150),[1]Base_Jugadores!A$2:A$50000,[1]Base_Jugadores!C$2:C$50000)
)</f>
        <v>Real Betis</v>
      </c>
      <c r="D150" s="5" t="str">
        <f aca="false">[1]Base_Jugadores!D150</f>
        <v>España</v>
      </c>
      <c r="E150" s="3"/>
      <c r="F150" s="5" t="str">
        <f aca="false">[1]Base_Jugadores!E150</f>
        <v>ED</v>
      </c>
      <c r="G150" s="5" t="n">
        <f aca="false">[1]Base_Jugadores!F150</f>
        <v>65</v>
      </c>
      <c r="H150" s="5" t="n">
        <f aca="false">[1]Base_Jugadores!G150</f>
        <v>19</v>
      </c>
      <c r="I150" s="7" t="n">
        <f aca="false" t="array" ref="I150:I150">_xlfn.XLOOKUP(G150,{55;56;57;58;59;60;61;62;63;64;65;66;67;68;69;70;71;72;73;74;75;76;77;78;79;80;81;82;83;84;85;86;87;88;89;90;91;92;93;94;95;96;97;98;99},{100000;130000;160000;190000;220000;250000;300000;350000;400000;450000;500000;600000;700000;800000;900000;1000000;1500000;2000000;3000000;4000000;5000000;6500000;8000000;10000000;12500000;15000000;20000000;25000000;30000000;35000000;40000000;55000000;70000000;80000000;90000000;110000000;130000000;160000000;190000000;220000000;250000000;280000000;310000000;340000000;400000000})</f>
        <v>500000</v>
      </c>
      <c r="J150" s="7" t="n">
        <f aca="false">I150*S150*T150*U150</f>
        <v>645150</v>
      </c>
      <c r="K150" s="8"/>
      <c r="L150" s="3"/>
      <c r="M150" s="8"/>
      <c r="N150" s="9" t="n">
        <v>2</v>
      </c>
      <c r="O150" s="4" t="n">
        <v>1</v>
      </c>
      <c r="P150" s="5" t="n">
        <f aca="false">IF(COUNTIF([1]Base_Jugadores!J$2:J$500,B150)&gt;0,1,0)</f>
        <v>0</v>
      </c>
      <c r="Q150" s="10" t="b">
        <f aca="false">--(COUNTIFS(
   [1]Fichajes_Realizados!A$2:A$5000,A150,
   [1]Fichajes_Realizados!G$2:G$5000,$X$3
)&gt;0)</f>
        <v>0</v>
      </c>
      <c r="R150" s="5" t="n">
        <f aca="false">_xlfn.XLOOKUP(C150, [1]Estado_Equipos!A$2:A$500, [1]Estado_Equipos!J$2:J$500, "")</f>
        <v>78</v>
      </c>
      <c r="S150" s="5" t="n">
        <f aca="false">IF(H150&lt;=16,1.45,
IF(H150&gt;=41,0.3,
CHOOSE(ROUNDDOWN((H150-16)/2,0)+1,
1.45,1.38,1.3,1.23,1.17,1.15,1.12,1.05,0.95,0.8,0.6,0.4,0.3)))</f>
        <v>1.38</v>
      </c>
      <c r="T150" s="5" t="n">
        <f aca="false">CHOOSE(N150+1,1.2,1,0.85,0.7)</f>
        <v>0.85</v>
      </c>
      <c r="U150" s="5" t="n">
        <f aca="false">IF(F150="PO",0.6,
IF(F150="CT",0.75,
IF(F150="LI",0.8,
IF(F150="LD",0.8,
IF(F150="MCD",0.85,
IF(F150="MC",0.95,
IF(F150="MO",1.05,
IF(F150="EI",1.1,
IF(F150="ED",1.1,
IF(F150="SD",1.15,
IF(F150="DC",1.2,0)))))))))))</f>
        <v>1.1</v>
      </c>
    </row>
    <row r="151" customFormat="false" ht="16.4" hidden="false" customHeight="false" outlineLevel="0" collapsed="false">
      <c r="A151" s="1" t="n">
        <v>150</v>
      </c>
      <c r="B151" s="5" t="str">
        <f aca="false">[1]Base_Jugadores!B151</f>
        <v>Pau López</v>
      </c>
      <c r="C151" s="5" t="str">
        <f aca="false">IFERROR(
   _xlfn.XLOOKUP(VALUE(A151),[1]Fichajes_Realizados!A$2:A$50000,[1]Fichajes_Realizados!D$2:D$50000,,0,-1),
   _xlfn.XLOOKUP(VALUE(A151),[1]Base_Jugadores!A$2:A$50000,[1]Base_Jugadores!C$2:C$50000)
)</f>
        <v>Real Betis</v>
      </c>
      <c r="D151" s="5" t="str">
        <f aca="false">[1]Base_Jugadores!D151</f>
        <v>España</v>
      </c>
      <c r="E151" s="3"/>
      <c r="F151" s="5" t="str">
        <f aca="false">[1]Base_Jugadores!E151</f>
        <v>PO</v>
      </c>
      <c r="G151" s="5" t="n">
        <f aca="false">[1]Base_Jugadores!F151</f>
        <v>77</v>
      </c>
      <c r="H151" s="5" t="n">
        <f aca="false">[1]Base_Jugadores!G151</f>
        <v>31</v>
      </c>
      <c r="I151" s="7" t="n">
        <f aca="false" t="array" ref="I151:I151">_xlfn.XLOOKUP(G151,{55;56;57;58;59;60;61;62;63;64;65;66;67;68;69;70;71;72;73;74;75;76;77;78;79;80;81;82;83;84;85;86;87;88;89;90;91;92;93;94;95;96;97;98;99},{100000;130000;160000;190000;220000;250000;300000;350000;400000;450000;500000;600000;700000;800000;900000;1000000;1500000;2000000;3000000;4000000;5000000;6500000;8000000;10000000;12500000;15000000;20000000;25000000;30000000;35000000;40000000;55000000;70000000;80000000;90000000;110000000;130000000;160000000;190000000;220000000;250000000;280000000;310000000;340000000;400000000})</f>
        <v>8000000</v>
      </c>
      <c r="J151" s="7" t="n">
        <f aca="false">I151*S151*T151*U151</f>
        <v>4284000</v>
      </c>
      <c r="K151" s="8"/>
      <c r="L151" s="3"/>
      <c r="M151" s="8"/>
      <c r="N151" s="9" t="n">
        <v>2</v>
      </c>
      <c r="O151" s="4" t="n">
        <v>0</v>
      </c>
      <c r="P151" s="5" t="n">
        <f aca="false">IF(COUNTIF([1]Base_Jugadores!J$2:J$500,B151)&gt;0,1,0)</f>
        <v>0</v>
      </c>
      <c r="Q151" s="10" t="b">
        <f aca="false">--(COUNTIFS(
   [1]Fichajes_Realizados!A$2:A$5000,A151,
   [1]Fichajes_Realizados!G$2:G$5000,$X$3
)&gt;0)</f>
        <v>0</v>
      </c>
      <c r="R151" s="5" t="n">
        <f aca="false">_xlfn.XLOOKUP(C151, [1]Estado_Equipos!A$2:A$500, [1]Estado_Equipos!J$2:J$500, "")</f>
        <v>78</v>
      </c>
      <c r="S151" s="5" t="n">
        <f aca="false">IF(H151&lt;=16,1.45,
IF(H151&gt;=41,0.3,
CHOOSE(ROUNDDOWN((H151-16)/2,0)+1,
1.45,1.38,1.3,1.23,1.17,1.15,1.12,1.05,0.95,0.8,0.6,0.4,0.3)))</f>
        <v>1.05</v>
      </c>
      <c r="T151" s="5" t="n">
        <f aca="false">CHOOSE(N151+1,1.2,1,0.85,0.7)</f>
        <v>0.85</v>
      </c>
      <c r="U151" s="5" t="n">
        <f aca="false">IF(F151="PO",0.6,
IF(F151="CT",0.75,
IF(F151="LI",0.8,
IF(F151="LD",0.8,
IF(F151="MCD",0.85,
IF(F151="MC",0.95,
IF(F151="MO",1.05,
IF(F151="EI",1.1,
IF(F151="ED",1.1,
IF(F151="SD",1.15,
IF(F151="DC",1.2,0)))))))))))</f>
        <v>0.6</v>
      </c>
    </row>
    <row r="152" customFormat="false" ht="16.4" hidden="false" customHeight="false" outlineLevel="0" collapsed="false">
      <c r="A152" s="1" t="n">
        <v>151</v>
      </c>
      <c r="B152" s="5" t="str">
        <f aca="false">[1]Base_Jugadores!B152</f>
        <v>Ricardo Rodríguez</v>
      </c>
      <c r="C152" s="5" t="str">
        <f aca="false">IFERROR(
   _xlfn.XLOOKUP(VALUE(A152),[1]Fichajes_Realizados!A$2:A$50000,[1]Fichajes_Realizados!D$2:D$50000,,0,-1),
   _xlfn.XLOOKUP(VALUE(A152),[1]Base_Jugadores!A$2:A$50000,[1]Base_Jugadores!C$2:C$50000)
)</f>
        <v>Real Betis</v>
      </c>
      <c r="D152" s="5" t="str">
        <f aca="false">[1]Base_Jugadores!D152</f>
        <v>Suiza</v>
      </c>
      <c r="E152" s="3"/>
      <c r="F152" s="5" t="str">
        <f aca="false">[1]Base_Jugadores!E152</f>
        <v>LI</v>
      </c>
      <c r="G152" s="5" t="n">
        <f aca="false">[1]Base_Jugadores!F152</f>
        <v>76</v>
      </c>
      <c r="H152" s="5" t="n">
        <f aca="false">[1]Base_Jugadores!G152</f>
        <v>33</v>
      </c>
      <c r="I152" s="7" t="n">
        <f aca="false" t="array" ref="I152:I152">_xlfn.XLOOKUP(G152,{55;56;57;58;59;60;61;62;63;64;65;66;67;68;69;70;71;72;73;74;75;76;77;78;79;80;81;82;83;84;85;86;87;88;89;90;91;92;93;94;95;96;97;98;99},{100000;130000;160000;190000;220000;250000;300000;350000;400000;450000;500000;600000;700000;800000;900000;1000000;1500000;2000000;3000000;4000000;5000000;6500000;8000000;10000000;12500000;15000000;20000000;25000000;30000000;35000000;40000000;55000000;70000000;80000000;90000000;110000000;130000000;160000000;190000000;220000000;250000000;280000000;310000000;340000000;400000000})</f>
        <v>6500000</v>
      </c>
      <c r="J152" s="7" t="n">
        <f aca="false">I152*S152*T152*U152</f>
        <v>5928000</v>
      </c>
      <c r="K152" s="8"/>
      <c r="L152" s="3"/>
      <c r="M152" s="8"/>
      <c r="N152" s="9" t="n">
        <v>0</v>
      </c>
      <c r="O152" s="4" t="n">
        <v>0</v>
      </c>
      <c r="P152" s="5" t="n">
        <f aca="false">IF(COUNTIF([1]Base_Jugadores!J$2:J$500,B152)&gt;0,1,0)</f>
        <v>0</v>
      </c>
      <c r="Q152" s="10" t="b">
        <f aca="false">--(COUNTIFS(
   [1]Fichajes_Realizados!A$2:A$5000,A152,
   [1]Fichajes_Realizados!G$2:G$5000,$X$3
)&gt;0)</f>
        <v>0</v>
      </c>
      <c r="R152" s="5" t="n">
        <f aca="false">_xlfn.XLOOKUP(C152, [1]Estado_Equipos!A$2:A$500, [1]Estado_Equipos!J$2:J$500, "")</f>
        <v>78</v>
      </c>
      <c r="S152" s="5" t="n">
        <f aca="false">IF(H152&lt;=16,1.45,
IF(H152&gt;=41,0.3,
CHOOSE(ROUNDDOWN((H152-16)/2,0)+1,
1.45,1.38,1.3,1.23,1.17,1.15,1.12,1.05,0.95,0.8,0.6,0.4,0.3)))</f>
        <v>0.95</v>
      </c>
      <c r="T152" s="5" t="n">
        <f aca="false">CHOOSE(N152+1,1.2,1,0.85,0.7)</f>
        <v>1.2</v>
      </c>
      <c r="U152" s="5" t="n">
        <f aca="false">IF(F152="PO",0.6,
IF(F152="CT",0.75,
IF(F152="LI",0.8,
IF(F152="LD",0.8,
IF(F152="MCD",0.85,
IF(F152="MC",0.95,
IF(F152="MO",1.05,
IF(F152="EI",1.1,
IF(F152="ED",1.1,
IF(F152="SD",1.15,
IF(F152="DC",1.2,0)))))))))))</f>
        <v>0.8</v>
      </c>
    </row>
    <row r="153" customFormat="false" ht="16.4" hidden="false" customHeight="false" outlineLevel="0" collapsed="false">
      <c r="A153" s="1" t="n">
        <v>152</v>
      </c>
      <c r="B153" s="5" t="str">
        <f aca="false">[1]Base_Jugadores!B153</f>
        <v>Rodrigo Riquelme</v>
      </c>
      <c r="C153" s="5" t="str">
        <f aca="false">IFERROR(
   _xlfn.XLOOKUP(VALUE(A153),[1]Fichajes_Realizados!A$2:A$50000,[1]Fichajes_Realizados!D$2:D$50000,,0,-1),
   _xlfn.XLOOKUP(VALUE(A153),[1]Base_Jugadores!A$2:A$50000,[1]Base_Jugadores!C$2:C$50000)
)</f>
        <v>Real Betis</v>
      </c>
      <c r="D153" s="5" t="str">
        <f aca="false">[1]Base_Jugadores!D153</f>
        <v>España</v>
      </c>
      <c r="E153" s="3"/>
      <c r="F153" s="5" t="str">
        <f aca="false">[1]Base_Jugadores!E153</f>
        <v>EI</v>
      </c>
      <c r="G153" s="5" t="n">
        <f aca="false">[1]Base_Jugadores!F153</f>
        <v>78</v>
      </c>
      <c r="H153" s="5" t="n">
        <f aca="false">[1]Base_Jugadores!G153</f>
        <v>25</v>
      </c>
      <c r="I153" s="7" t="n">
        <f aca="false" t="array" ref="I153:I153">_xlfn.XLOOKUP(G153,{55;56;57;58;59;60;61;62;63;64;65;66;67;68;69;70;71;72;73;74;75;76;77;78;79;80;81;82;83;84;85;86;87;88;89;90;91;92;93;94;95;96;97;98;99},{100000;130000;160000;190000;220000;250000;300000;350000;400000;450000;500000;600000;700000;800000;900000;1000000;1500000;2000000;3000000;4000000;5000000;6500000;8000000;10000000;12500000;15000000;20000000;25000000;30000000;35000000;40000000;55000000;70000000;80000000;90000000;110000000;130000000;160000000;190000000;220000000;250000000;280000000;310000000;340000000;400000000})</f>
        <v>10000000</v>
      </c>
      <c r="J153" s="7" t="n">
        <f aca="false">I153*S153*T153*U153</f>
        <v>15444000</v>
      </c>
      <c r="K153" s="8"/>
      <c r="L153" s="3"/>
      <c r="M153" s="8"/>
      <c r="N153" s="9" t="n">
        <v>0</v>
      </c>
      <c r="O153" s="4" t="n">
        <v>0</v>
      </c>
      <c r="P153" s="5" t="n">
        <f aca="false">IF(COUNTIF([1]Base_Jugadores!J$2:J$500,B153)&gt;0,1,0)</f>
        <v>0</v>
      </c>
      <c r="Q153" s="10" t="b">
        <f aca="false">--(COUNTIFS(
   [1]Fichajes_Realizados!A$2:A$5000,A153,
   [1]Fichajes_Realizados!G$2:G$5000,$X$3
)&gt;0)</f>
        <v>0</v>
      </c>
      <c r="R153" s="5" t="n">
        <f aca="false">_xlfn.XLOOKUP(C153, [1]Estado_Equipos!A$2:A$500, [1]Estado_Equipos!J$2:J$500, "")</f>
        <v>78</v>
      </c>
      <c r="S153" s="5" t="n">
        <f aca="false">IF(H153&lt;=16,1.45,
IF(H153&gt;=41,0.3,
CHOOSE(ROUNDDOWN((H153-16)/2,0)+1,
1.45,1.38,1.3,1.23,1.17,1.15,1.12,1.05,0.95,0.8,0.6,0.4,0.3)))</f>
        <v>1.17</v>
      </c>
      <c r="T153" s="5" t="n">
        <f aca="false">CHOOSE(N153+1,1.2,1,0.85,0.7)</f>
        <v>1.2</v>
      </c>
      <c r="U153" s="5" t="n">
        <f aca="false">IF(F153="PO",0.6,
IF(F153="CT",0.75,
IF(F153="LI",0.8,
IF(F153="LD",0.8,
IF(F153="MCD",0.85,
IF(F153="MC",0.95,
IF(F153="MO",1.05,
IF(F153="EI",1.1,
IF(F153="ED",1.1,
IF(F153="SD",1.15,
IF(F153="DC",1.2,0)))))))))))</f>
        <v>1.1</v>
      </c>
    </row>
    <row r="154" customFormat="false" ht="16.4" hidden="false" customHeight="false" outlineLevel="0" collapsed="false">
      <c r="A154" s="1" t="n">
        <v>153</v>
      </c>
      <c r="B154" s="5" t="str">
        <f aca="false">[1]Base_Jugadores!B154</f>
        <v>Sergi Altimira</v>
      </c>
      <c r="C154" s="5" t="str">
        <f aca="false">IFERROR(
   _xlfn.XLOOKUP(VALUE(A154),[1]Fichajes_Realizados!A$2:A$50000,[1]Fichajes_Realizados!D$2:D$50000,,0,-1),
   _xlfn.XLOOKUP(VALUE(A154),[1]Base_Jugadores!A$2:A$50000,[1]Base_Jugadores!C$2:C$50000)
)</f>
        <v>Real Betis</v>
      </c>
      <c r="D154" s="5" t="str">
        <f aca="false">[1]Base_Jugadores!D154</f>
        <v>España</v>
      </c>
      <c r="E154" s="3"/>
      <c r="F154" s="5" t="str">
        <f aca="false">[1]Base_Jugadores!E154</f>
        <v>MC</v>
      </c>
      <c r="G154" s="5" t="n">
        <f aca="false">[1]Base_Jugadores!F154</f>
        <v>76</v>
      </c>
      <c r="H154" s="5" t="n">
        <f aca="false">[1]Base_Jugadores!G154</f>
        <v>24</v>
      </c>
      <c r="I154" s="7" t="n">
        <f aca="false" t="array" ref="I154:I154">_xlfn.XLOOKUP(G154,{55;56;57;58;59;60;61;62;63;64;65;66;67;68;69;70;71;72;73;74;75;76;77;78;79;80;81;82;83;84;85;86;87;88;89;90;91;92;93;94;95;96;97;98;99},{100000;130000;160000;190000;220000;250000;300000;350000;400000;450000;500000;600000;700000;800000;900000;1000000;1500000;2000000;3000000;4000000;5000000;6500000;8000000;10000000;12500000;15000000;20000000;25000000;30000000;35000000;40000000;55000000;70000000;80000000;90000000;110000000;130000000;160000000;190000000;220000000;250000000;280000000;310000000;340000000;400000000})</f>
        <v>6500000</v>
      </c>
      <c r="J154" s="7" t="n">
        <f aca="false">I154*S154*T154*U154</f>
        <v>6141037.5</v>
      </c>
      <c r="K154" s="8"/>
      <c r="L154" s="3"/>
      <c r="M154" s="8"/>
      <c r="N154" s="9" t="n">
        <v>2</v>
      </c>
      <c r="O154" s="4" t="n">
        <v>0</v>
      </c>
      <c r="P154" s="5" t="n">
        <f aca="false">IF(COUNTIF([1]Base_Jugadores!J$2:J$500,B154)&gt;0,1,0)</f>
        <v>0</v>
      </c>
      <c r="Q154" s="10" t="b">
        <f aca="false">--(COUNTIFS(
   [1]Fichajes_Realizados!A$2:A$5000,A154,
   [1]Fichajes_Realizados!G$2:G$5000,$X$3
)&gt;0)</f>
        <v>0</v>
      </c>
      <c r="R154" s="5" t="n">
        <f aca="false">_xlfn.XLOOKUP(C154, [1]Estado_Equipos!A$2:A$500, [1]Estado_Equipos!J$2:J$500, "")</f>
        <v>78</v>
      </c>
      <c r="S154" s="5" t="n">
        <f aca="false">IF(H154&lt;=16,1.45,
IF(H154&gt;=41,0.3,
CHOOSE(ROUNDDOWN((H154-16)/2,0)+1,
1.45,1.38,1.3,1.23,1.17,1.15,1.12,1.05,0.95,0.8,0.6,0.4,0.3)))</f>
        <v>1.17</v>
      </c>
      <c r="T154" s="5" t="n">
        <f aca="false">CHOOSE(N154+1,1.2,1,0.85,0.7)</f>
        <v>0.85</v>
      </c>
      <c r="U154" s="5" t="n">
        <f aca="false">IF(F154="PO",0.6,
IF(F154="CT",0.75,
IF(F154="LI",0.8,
IF(F154="LD",0.8,
IF(F154="MCD",0.85,
IF(F154="MC",0.95,
IF(F154="MO",1.05,
IF(F154="EI",1.1,
IF(F154="ED",1.1,
IF(F154="SD",1.15,
IF(F154="DC",1.2,0)))))))))))</f>
        <v>0.95</v>
      </c>
    </row>
    <row r="155" customFormat="false" ht="16.4" hidden="false" customHeight="false" outlineLevel="0" collapsed="false">
      <c r="A155" s="1" t="n">
        <v>154</v>
      </c>
      <c r="B155" s="5" t="str">
        <f aca="false">[1]Base_Jugadores!B155</f>
        <v>Sofyan Amrabat</v>
      </c>
      <c r="C155" s="5" t="str">
        <f aca="false">IFERROR(
   _xlfn.XLOOKUP(VALUE(A155),[1]Fichajes_Realizados!A$2:A$50000,[1]Fichajes_Realizados!D$2:D$50000,,0,-1),
   _xlfn.XLOOKUP(VALUE(A155),[1]Base_Jugadores!A$2:A$50000,[1]Base_Jugadores!C$2:C$50000)
)</f>
        <v>Real Betis</v>
      </c>
      <c r="D155" s="5" t="str">
        <f aca="false">[1]Base_Jugadores!D155</f>
        <v>Marruecos</v>
      </c>
      <c r="E155" s="3"/>
      <c r="F155" s="5" t="str">
        <f aca="false">[1]Base_Jugadores!E155</f>
        <v>MCD</v>
      </c>
      <c r="G155" s="5" t="n">
        <f aca="false">[1]Base_Jugadores!F155</f>
        <v>80</v>
      </c>
      <c r="H155" s="5" t="n">
        <f aca="false">[1]Base_Jugadores!G155</f>
        <v>29</v>
      </c>
      <c r="I155" s="7" t="n">
        <f aca="false" t="array" ref="I155:I155">_xlfn.XLOOKUP(G155,{55;56;57;58;59;60;61;62;63;64;65;66;67;68;69;70;71;72;73;74;75;76;77;78;79;80;81;82;83;84;85;86;87;88;89;90;91;92;93;94;95;96;97;98;99},{100000;130000;160000;190000;220000;250000;300000;350000;400000;450000;500000;600000;700000;800000;900000;1000000;1500000;2000000;3000000;4000000;5000000;6500000;8000000;10000000;12500000;15000000;20000000;25000000;30000000;35000000;40000000;55000000;70000000;80000000;90000000;110000000;130000000;160000000;190000000;220000000;250000000;280000000;310000000;340000000;400000000})</f>
        <v>15000000</v>
      </c>
      <c r="J155" s="7" t="n">
        <f aca="false">I155*S155*T155*U155</f>
        <v>17136000</v>
      </c>
      <c r="K155" s="8"/>
      <c r="L155" s="3"/>
      <c r="M155" s="8"/>
      <c r="N155" s="9" t="n">
        <v>0</v>
      </c>
      <c r="O155" s="4" t="n">
        <v>0</v>
      </c>
      <c r="P155" s="5" t="n">
        <f aca="false">IF(COUNTIF([1]Base_Jugadores!J$2:J$500,B155)&gt;0,1,0)</f>
        <v>0</v>
      </c>
      <c r="Q155" s="10" t="b">
        <f aca="false">--(COUNTIFS(
   [1]Fichajes_Realizados!A$2:A$5000,A155,
   [1]Fichajes_Realizados!G$2:G$5000,$X$3
)&gt;0)</f>
        <v>0</v>
      </c>
      <c r="R155" s="5" t="n">
        <f aca="false">_xlfn.XLOOKUP(C155, [1]Estado_Equipos!A$2:A$500, [1]Estado_Equipos!J$2:J$500, "")</f>
        <v>78</v>
      </c>
      <c r="S155" s="5" t="n">
        <f aca="false">IF(H155&lt;=16,1.45,
IF(H155&gt;=41,0.3,
CHOOSE(ROUNDDOWN((H155-16)/2,0)+1,
1.45,1.38,1.3,1.23,1.17,1.15,1.12,1.05,0.95,0.8,0.6,0.4,0.3)))</f>
        <v>1.12</v>
      </c>
      <c r="T155" s="5" t="n">
        <f aca="false">CHOOSE(N155+1,1.2,1,0.85,0.7)</f>
        <v>1.2</v>
      </c>
      <c r="U155" s="5" t="n">
        <f aca="false">IF(F155="PO",0.6,
IF(F155="CT",0.75,
IF(F155="LI",0.8,
IF(F155="LD",0.8,
IF(F155="MCD",0.85,
IF(F155="MC",0.95,
IF(F155="MO",1.05,
IF(F155="EI",1.1,
IF(F155="ED",1.1,
IF(F155="SD",1.15,
IF(F155="DC",1.2,0)))))))))))</f>
        <v>0.85</v>
      </c>
    </row>
    <row r="156" customFormat="false" ht="16.4" hidden="false" customHeight="false" outlineLevel="0" collapsed="false">
      <c r="A156" s="1" t="n">
        <v>155</v>
      </c>
      <c r="B156" s="5" t="str">
        <f aca="false">[1]Base_Jugadores!B156</f>
        <v>Valentín Gómez</v>
      </c>
      <c r="C156" s="5" t="str">
        <f aca="false">IFERROR(
   _xlfn.XLOOKUP(VALUE(A156),[1]Fichajes_Realizados!A$2:A$50000,[1]Fichajes_Realizados!D$2:D$50000,,0,-1),
   _xlfn.XLOOKUP(VALUE(A156),[1]Base_Jugadores!A$2:A$50000,[1]Base_Jugadores!C$2:C$50000)
)</f>
        <v>Real Betis</v>
      </c>
      <c r="D156" s="5" t="str">
        <f aca="false">[1]Base_Jugadores!D156</f>
        <v>Argentina</v>
      </c>
      <c r="E156" s="3"/>
      <c r="F156" s="5" t="str">
        <f aca="false">[1]Base_Jugadores!E156</f>
        <v>CT</v>
      </c>
      <c r="G156" s="5" t="n">
        <f aca="false">[1]Base_Jugadores!F156</f>
        <v>76</v>
      </c>
      <c r="H156" s="5" t="n">
        <f aca="false">[1]Base_Jugadores!G156</f>
        <v>22</v>
      </c>
      <c r="I156" s="7" t="n">
        <f aca="false" t="array" ref="I156:I156">_xlfn.XLOOKUP(G156,{55;56;57;58;59;60;61;62;63;64;65;66;67;68;69;70;71;72;73;74;75;76;77;78;79;80;81;82;83;84;85;86;87;88;89;90;91;92;93;94;95;96;97;98;99},{100000;130000;160000;190000;220000;250000;300000;350000;400000;450000;500000;600000;700000;800000;900000;1000000;1500000;2000000;3000000;4000000;5000000;6500000;8000000;10000000;12500000;15000000;20000000;25000000;30000000;35000000;40000000;55000000;70000000;80000000;90000000;110000000;130000000;160000000;190000000;220000000;250000000;280000000;310000000;340000000;400000000})</f>
        <v>6500000</v>
      </c>
      <c r="J156" s="7" t="n">
        <f aca="false">I156*S156*T156*U156</f>
        <v>5996250</v>
      </c>
      <c r="K156" s="8"/>
      <c r="L156" s="3"/>
      <c r="M156" s="8"/>
      <c r="N156" s="9" t="n">
        <v>1</v>
      </c>
      <c r="O156" s="4" t="n">
        <v>0</v>
      </c>
      <c r="P156" s="5" t="n">
        <f aca="false">IF(COUNTIF([1]Base_Jugadores!J$2:J$500,B156)&gt;0,1,0)</f>
        <v>0</v>
      </c>
      <c r="Q156" s="10" t="b">
        <f aca="false">--(COUNTIFS(
   [1]Fichajes_Realizados!A$2:A$5000,A156,
   [1]Fichajes_Realizados!G$2:G$5000,$X$3
)&gt;0)</f>
        <v>0</v>
      </c>
      <c r="R156" s="5" t="n">
        <f aca="false">_xlfn.XLOOKUP(C156, [1]Estado_Equipos!A$2:A$500, [1]Estado_Equipos!J$2:J$500, "")</f>
        <v>78</v>
      </c>
      <c r="S156" s="5" t="n">
        <f aca="false">IF(H156&lt;=16,1.45,
IF(H156&gt;=41,0.3,
CHOOSE(ROUNDDOWN((H156-16)/2,0)+1,
1.45,1.38,1.3,1.23,1.17,1.15,1.12,1.05,0.95,0.8,0.6,0.4,0.3)))</f>
        <v>1.23</v>
      </c>
      <c r="T156" s="5" t="n">
        <f aca="false">CHOOSE(N156+1,1.2,1,0.85,0.7)</f>
        <v>1</v>
      </c>
      <c r="U156" s="5" t="n">
        <f aca="false">IF(F156="PO",0.6,
IF(F156="CT",0.75,
IF(F156="LI",0.8,
IF(F156="LD",0.8,
IF(F156="MCD",0.85,
IF(F156="MC",0.95,
IF(F156="MO",1.05,
IF(F156="EI",1.1,
IF(F156="ED",1.1,
IF(F156="SD",1.15,
IF(F156="DC",1.2,0)))))))))))</f>
        <v>0.75</v>
      </c>
    </row>
    <row r="157" customFormat="false" ht="16.4" hidden="false" customHeight="false" outlineLevel="0" collapsed="false">
      <c r="A157" s="1" t="n">
        <v>156</v>
      </c>
      <c r="B157" s="5" t="str">
        <f aca="false">[1]Base_Jugadores!B157</f>
        <v>Borja Iglesias</v>
      </c>
      <c r="C157" s="5" t="str">
        <f aca="false">IFERROR(
   _xlfn.XLOOKUP(VALUE(A157),[1]Fichajes_Realizados!A$2:A$50000,[1]Fichajes_Realizados!D$2:D$50000,,0,-1),
   _xlfn.XLOOKUP(VALUE(A157),[1]Base_Jugadores!A$2:A$50000,[1]Base_Jugadores!C$2:C$50000)
)</f>
        <v>RC Celta de Vigo</v>
      </c>
      <c r="D157" s="5" t="str">
        <f aca="false">[1]Base_Jugadores!D157</f>
        <v>España</v>
      </c>
      <c r="E157" s="3"/>
      <c r="F157" s="5" t="str">
        <f aca="false">[1]Base_Jugadores!E157</f>
        <v>DC</v>
      </c>
      <c r="G157" s="5" t="n">
        <f aca="false">[1]Base_Jugadores!F157</f>
        <v>78</v>
      </c>
      <c r="H157" s="5" t="n">
        <f aca="false">[1]Base_Jugadores!G157</f>
        <v>32</v>
      </c>
      <c r="I157" s="7" t="n">
        <f aca="false" t="array" ref="I157:I157">_xlfn.XLOOKUP(G157,{55;56;57;58;59;60;61;62;63;64;65;66;67;68;69;70;71;72;73;74;75;76;77;78;79;80;81;82;83;84;85;86;87;88;89;90;91;92;93;94;95;96;97;98;99},{100000;130000;160000;190000;220000;250000;300000;350000;400000;450000;500000;600000;700000;800000;900000;1000000;1500000;2000000;3000000;4000000;5000000;6500000;8000000;10000000;12500000;15000000;20000000;25000000;30000000;35000000;40000000;55000000;70000000;80000000;90000000;110000000;130000000;160000000;190000000;220000000;250000000;280000000;310000000;340000000;400000000})</f>
        <v>10000000</v>
      </c>
      <c r="J157" s="7" t="n">
        <f aca="false">I157*S157*T157*U157</f>
        <v>11400000</v>
      </c>
      <c r="K157" s="3"/>
      <c r="L157" s="3"/>
      <c r="M157" s="8"/>
      <c r="N157" s="9" t="n">
        <v>1</v>
      </c>
      <c r="O157" s="4" t="n">
        <v>0</v>
      </c>
      <c r="P157" s="5" t="n">
        <f aca="false">IF(COUNTIF([1]Base_Jugadores!J$2:J$500,B157)&gt;0,1,0)</f>
        <v>0</v>
      </c>
      <c r="Q157" s="10" t="b">
        <f aca="false">--(COUNTIFS(
   [1]Fichajes_Realizados!A$2:A$5000,A157,
   [1]Fichajes_Realizados!G$2:G$5000,$X$3
)&gt;0)</f>
        <v>0</v>
      </c>
      <c r="R157" s="5" t="n">
        <f aca="false">_xlfn.XLOOKUP(C157, [1]Estado_Equipos!A$2:A$500, [1]Estado_Equipos!J$2:J$500, "")</f>
        <v>75</v>
      </c>
      <c r="S157" s="5" t="n">
        <f aca="false">IF(H157&lt;=16,1.45,
IF(H157&gt;=41,0.3,
CHOOSE(ROUNDDOWN((H157-16)/2,0)+1,
1.45,1.38,1.3,1.23,1.17,1.15,1.12,1.05,0.95,0.8,0.6,0.4,0.3)))</f>
        <v>0.95</v>
      </c>
      <c r="T157" s="5" t="n">
        <f aca="false">CHOOSE(N157+1,1.2,1,0.85,0.7)</f>
        <v>1</v>
      </c>
      <c r="U157" s="5" t="n">
        <f aca="false">IF(F157="PO",0.6,
IF(F157="CT",0.75,
IF(F157="LI",0.8,
IF(F157="LD",0.8,
IF(F157="MCD",0.85,
IF(F157="MC",0.95,
IF(F157="MO",1.05,
IF(F157="EI",1.1,
IF(F157="ED",1.1,
IF(F157="SD",1.15,
IF(F157="DC",1.2,0)))))))))))</f>
        <v>1.2</v>
      </c>
    </row>
    <row r="158" customFormat="false" ht="16.4" hidden="false" customHeight="false" outlineLevel="0" collapsed="false">
      <c r="A158" s="1" t="n">
        <v>157</v>
      </c>
      <c r="B158" s="5" t="str">
        <f aca="false">[1]Base_Jugadores!B158</f>
        <v>Bryan Zaragoza</v>
      </c>
      <c r="C158" s="5" t="str">
        <f aca="false">IFERROR(
   _xlfn.XLOOKUP(VALUE(A158),[1]Fichajes_Realizados!A$2:A$50000,[1]Fichajes_Realizados!D$2:D$50000,,0,-1),
   _xlfn.XLOOKUP(VALUE(A158),[1]Base_Jugadores!A$2:A$50000,[1]Base_Jugadores!C$2:C$50000)
)</f>
        <v>RC Celta de Vigo</v>
      </c>
      <c r="D158" s="5" t="str">
        <f aca="false">[1]Base_Jugadores!D158</f>
        <v>España</v>
      </c>
      <c r="E158" s="3"/>
      <c r="F158" s="5" t="str">
        <f aca="false">[1]Base_Jugadores!E158</f>
        <v>EI</v>
      </c>
      <c r="G158" s="5" t="n">
        <f aca="false">[1]Base_Jugadores!F158</f>
        <v>77</v>
      </c>
      <c r="H158" s="5" t="n">
        <f aca="false">[1]Base_Jugadores!G158</f>
        <v>24</v>
      </c>
      <c r="I158" s="7" t="n">
        <f aca="false" t="array" ref="I158:I158">_xlfn.XLOOKUP(G158,{55;56;57;58;59;60;61;62;63;64;65;66;67;68;69;70;71;72;73;74;75;76;77;78;79;80;81;82;83;84;85;86;87;88;89;90;91;92;93;94;95;96;97;98;99},{100000;130000;160000;190000;220000;250000;300000;350000;400000;450000;500000;600000;700000;800000;900000;1000000;1500000;2000000;3000000;4000000;5000000;6500000;8000000;10000000;12500000;15000000;20000000;25000000;30000000;35000000;40000000;55000000;70000000;80000000;90000000;110000000;130000000;160000000;190000000;220000000;250000000;280000000;310000000;340000000;400000000})</f>
        <v>8000000</v>
      </c>
      <c r="J158" s="7" t="n">
        <f aca="false">I158*S158*T158*U158</f>
        <v>12355200</v>
      </c>
      <c r="K158" s="8"/>
      <c r="L158" s="3"/>
      <c r="M158" s="8"/>
      <c r="N158" s="9" t="n">
        <v>0</v>
      </c>
      <c r="O158" s="4" t="n">
        <v>0</v>
      </c>
      <c r="P158" s="5" t="n">
        <f aca="false">IF(COUNTIF([1]Base_Jugadores!J$2:J$500,B158)&gt;0,1,0)</f>
        <v>0</v>
      </c>
      <c r="Q158" s="10" t="b">
        <f aca="false">--(COUNTIFS(
   [1]Fichajes_Realizados!A$2:A$5000,A158,
   [1]Fichajes_Realizados!G$2:G$5000,$X$3
)&gt;0)</f>
        <v>0</v>
      </c>
      <c r="R158" s="5" t="n">
        <f aca="false">_xlfn.XLOOKUP(C158, [1]Estado_Equipos!A$2:A$500, [1]Estado_Equipos!J$2:J$500, "")</f>
        <v>75</v>
      </c>
      <c r="S158" s="5" t="n">
        <f aca="false">IF(H158&lt;=16,1.45,
IF(H158&gt;=41,0.3,
CHOOSE(ROUNDDOWN((H158-16)/2,0)+1,
1.45,1.38,1.3,1.23,1.17,1.15,1.12,1.05,0.95,0.8,0.6,0.4,0.3)))</f>
        <v>1.17</v>
      </c>
      <c r="T158" s="5" t="n">
        <f aca="false">CHOOSE(N158+1,1.2,1,0.85,0.7)</f>
        <v>1.2</v>
      </c>
      <c r="U158" s="5" t="n">
        <f aca="false">IF(F158="PO",0.6,
IF(F158="CT",0.75,
IF(F158="LI",0.8,
IF(F158="LD",0.8,
IF(F158="MCD",0.85,
IF(F158="MC",0.95,
IF(F158="MO",1.05,
IF(F158="EI",1.1,
IF(F158="ED",1.1,
IF(F158="SD",1.15,
IF(F158="DC",1.2,0)))))))))))</f>
        <v>1.1</v>
      </c>
    </row>
    <row r="159" customFormat="false" ht="16.4" hidden="false" customHeight="false" outlineLevel="0" collapsed="false">
      <c r="A159" s="1" t="n">
        <v>158</v>
      </c>
      <c r="B159" s="5" t="str">
        <f aca="false">[1]Base_Jugadores!B159</f>
        <v>Carl Starfelt</v>
      </c>
      <c r="C159" s="5" t="str">
        <f aca="false">IFERROR(
   _xlfn.XLOOKUP(VALUE(A159),[1]Fichajes_Realizados!A$2:A$50000,[1]Fichajes_Realizados!D$2:D$50000,,0,-1),
   _xlfn.XLOOKUP(VALUE(A159),[1]Base_Jugadores!A$2:A$50000,[1]Base_Jugadores!C$2:C$50000)
)</f>
        <v>RC Celta de Vigo</v>
      </c>
      <c r="D159" s="5" t="str">
        <f aca="false">[1]Base_Jugadores!D159</f>
        <v>Suecia</v>
      </c>
      <c r="E159" s="3"/>
      <c r="F159" s="5" t="str">
        <f aca="false">[1]Base_Jugadores!E159</f>
        <v>CT</v>
      </c>
      <c r="G159" s="5" t="n">
        <f aca="false">[1]Base_Jugadores!F159</f>
        <v>77</v>
      </c>
      <c r="H159" s="5" t="n">
        <f aca="false">[1]Base_Jugadores!G159</f>
        <v>30</v>
      </c>
      <c r="I159" s="7" t="n">
        <f aca="false" t="array" ref="I159:I159">_xlfn.XLOOKUP(G159,{55;56;57;58;59;60;61;62;63;64;65;66;67;68;69;70;71;72;73;74;75;76;77;78;79;80;81;82;83;84;85;86;87;88;89;90;91;92;93;94;95;96;97;98;99},{100000;130000;160000;190000;220000;250000;300000;350000;400000;450000;500000;600000;700000;800000;900000;1000000;1500000;2000000;3000000;4000000;5000000;6500000;8000000;10000000;12500000;15000000;20000000;25000000;30000000;35000000;40000000;55000000;70000000;80000000;90000000;110000000;130000000;160000000;190000000;220000000;250000000;280000000;310000000;340000000;400000000})</f>
        <v>8000000</v>
      </c>
      <c r="J159" s="7" t="n">
        <f aca="false">I159*S159*T159*U159</f>
        <v>7560000</v>
      </c>
      <c r="K159" s="3"/>
      <c r="L159" s="3"/>
      <c r="M159" s="8"/>
      <c r="N159" s="9" t="n">
        <v>0</v>
      </c>
      <c r="O159" s="4" t="n">
        <v>0</v>
      </c>
      <c r="P159" s="5" t="n">
        <f aca="false">IF(COUNTIF([1]Base_Jugadores!J$2:J$500,B159)&gt;0,1,0)</f>
        <v>0</v>
      </c>
      <c r="Q159" s="10" t="b">
        <f aca="false">--(COUNTIFS(
   [1]Fichajes_Realizados!A$2:A$5000,A159,
   [1]Fichajes_Realizados!G$2:G$5000,$X$3
)&gt;0)</f>
        <v>0</v>
      </c>
      <c r="R159" s="5" t="n">
        <f aca="false">_xlfn.XLOOKUP(C159, [1]Estado_Equipos!A$2:A$500, [1]Estado_Equipos!J$2:J$500, "")</f>
        <v>75</v>
      </c>
      <c r="S159" s="5" t="n">
        <f aca="false">IF(H159&lt;=16,1.45,
IF(H159&gt;=41,0.3,
CHOOSE(ROUNDDOWN((H159-16)/2,0)+1,
1.45,1.38,1.3,1.23,1.17,1.15,1.12,1.05,0.95,0.8,0.6,0.4,0.3)))</f>
        <v>1.05</v>
      </c>
      <c r="T159" s="5" t="n">
        <f aca="false">CHOOSE(N159+1,1.2,1,0.85,0.7)</f>
        <v>1.2</v>
      </c>
      <c r="U159" s="5" t="n">
        <f aca="false">IF(F159="PO",0.6,
IF(F159="CT",0.75,
IF(F159="LI",0.8,
IF(F159="LD",0.8,
IF(F159="MCD",0.85,
IF(F159="MC",0.95,
IF(F159="MO",1.05,
IF(F159="EI",1.1,
IF(F159="ED",1.1,
IF(F159="SD",1.15,
IF(F159="DC",1.2,0)))))))))))</f>
        <v>0.75</v>
      </c>
    </row>
    <row r="160" customFormat="false" ht="16.4" hidden="false" customHeight="false" outlineLevel="0" collapsed="false">
      <c r="A160" s="1" t="n">
        <v>159</v>
      </c>
      <c r="B160" s="5" t="str">
        <f aca="false">[1]Base_Jugadores!B160</f>
        <v>Carlos Domínguez</v>
      </c>
      <c r="C160" s="5" t="str">
        <f aca="false">IFERROR(
   _xlfn.XLOOKUP(VALUE(A160),[1]Fichajes_Realizados!A$2:A$50000,[1]Fichajes_Realizados!D$2:D$50000,,0,-1),
   _xlfn.XLOOKUP(VALUE(A160),[1]Base_Jugadores!A$2:A$50000,[1]Base_Jugadores!C$2:C$50000)
)</f>
        <v>RC Celta de Vigo</v>
      </c>
      <c r="D160" s="5" t="str">
        <f aca="false">[1]Base_Jugadores!D160</f>
        <v>España</v>
      </c>
      <c r="E160" s="3"/>
      <c r="F160" s="5" t="str">
        <f aca="false">[1]Base_Jugadores!E160</f>
        <v>CT</v>
      </c>
      <c r="G160" s="5" t="n">
        <f aca="false">[1]Base_Jugadores!F160</f>
        <v>71</v>
      </c>
      <c r="H160" s="5" t="n">
        <f aca="false">[1]Base_Jugadores!G160</f>
        <v>24</v>
      </c>
      <c r="I160" s="7" t="n">
        <f aca="false" t="array" ref="I160:I160">_xlfn.XLOOKUP(G160,{55;56;57;58;59;60;61;62;63;64;65;66;67;68;69;70;71;72;73;74;75;76;77;78;79;80;81;82;83;84;85;86;87;88;89;90;91;92;93;94;95;96;97;98;99},{100000;130000;160000;190000;220000;250000;300000;350000;400000;450000;500000;600000;700000;800000;900000;1000000;1500000;2000000;3000000;4000000;5000000;6500000;8000000;10000000;12500000;15000000;20000000;25000000;30000000;35000000;40000000;55000000;70000000;80000000;90000000;110000000;130000000;160000000;190000000;220000000;250000000;280000000;310000000;340000000;400000000})</f>
        <v>1500000</v>
      </c>
      <c r="J160" s="7" t="n">
        <f aca="false">I160*S160*T160*U160</f>
        <v>1118812.5</v>
      </c>
      <c r="K160" s="8"/>
      <c r="L160" s="3"/>
      <c r="M160" s="8"/>
      <c r="N160" s="9" t="n">
        <v>2</v>
      </c>
      <c r="O160" s="4" t="n">
        <v>0</v>
      </c>
      <c r="P160" s="5" t="n">
        <f aca="false">IF(COUNTIF([1]Base_Jugadores!J$2:J$500,B160)&gt;0,1,0)</f>
        <v>0</v>
      </c>
      <c r="Q160" s="10" t="b">
        <f aca="false">--(COUNTIFS(
   [1]Fichajes_Realizados!A$2:A$5000,A160,
   [1]Fichajes_Realizados!G$2:G$5000,$X$3
)&gt;0)</f>
        <v>0</v>
      </c>
      <c r="R160" s="5" t="n">
        <f aca="false">_xlfn.XLOOKUP(C160, [1]Estado_Equipos!A$2:A$500, [1]Estado_Equipos!J$2:J$500, "")</f>
        <v>75</v>
      </c>
      <c r="S160" s="5" t="n">
        <f aca="false">IF(H160&lt;=16,1.45,
IF(H160&gt;=41,0.3,
CHOOSE(ROUNDDOWN((H160-16)/2,0)+1,
1.45,1.38,1.3,1.23,1.17,1.15,1.12,1.05,0.95,0.8,0.6,0.4,0.3)))</f>
        <v>1.17</v>
      </c>
      <c r="T160" s="5" t="n">
        <f aca="false">CHOOSE(N160+1,1.2,1,0.85,0.7)</f>
        <v>0.85</v>
      </c>
      <c r="U160" s="5" t="n">
        <f aca="false">IF(F160="PO",0.6,
IF(F160="CT",0.75,
IF(F160="LI",0.8,
IF(F160="LD",0.8,
IF(F160="MCD",0.85,
IF(F160="MC",0.95,
IF(F160="MO",1.05,
IF(F160="EI",1.1,
IF(F160="ED",1.1,
IF(F160="SD",1.15,
IF(F160="DC",1.2,0)))))))))))</f>
        <v>0.75</v>
      </c>
    </row>
    <row r="161" customFormat="false" ht="16.4" hidden="false" customHeight="false" outlineLevel="0" collapsed="false">
      <c r="A161" s="1" t="n">
        <v>160</v>
      </c>
      <c r="B161" s="5" t="str">
        <f aca="false">[1]Base_Jugadores!B161</f>
        <v>Damián Rodríguez</v>
      </c>
      <c r="C161" s="5" t="str">
        <f aca="false">IFERROR(
   _xlfn.XLOOKUP(VALUE(A161),[1]Fichajes_Realizados!A$2:A$50000,[1]Fichajes_Realizados!D$2:D$50000,,0,-1),
   _xlfn.XLOOKUP(VALUE(A161),[1]Base_Jugadores!A$2:A$50000,[1]Base_Jugadores!C$2:C$50000)
)</f>
        <v>RC Celta de Vigo</v>
      </c>
      <c r="D161" s="5" t="str">
        <f aca="false">[1]Base_Jugadores!D161</f>
        <v>España</v>
      </c>
      <c r="E161" s="3"/>
      <c r="F161" s="5" t="str">
        <f aca="false">[1]Base_Jugadores!E161</f>
        <v>MCD</v>
      </c>
      <c r="G161" s="5" t="n">
        <f aca="false">[1]Base_Jugadores!F161</f>
        <v>72</v>
      </c>
      <c r="H161" s="5" t="n">
        <f aca="false">[1]Base_Jugadores!G161</f>
        <v>22</v>
      </c>
      <c r="I161" s="7" t="n">
        <f aca="false" t="array" ref="I161:I161">_xlfn.XLOOKUP(G161,{55;56;57;58;59;60;61;62;63;64;65;66;67;68;69;70;71;72;73;74;75;76;77;78;79;80;81;82;83;84;85;86;87;88;89;90;91;92;93;94;95;96;97;98;99},{100000;130000;160000;190000;220000;250000;300000;350000;400000;450000;500000;600000;700000;800000;900000;1000000;1500000;2000000;3000000;4000000;5000000;6500000;8000000;10000000;12500000;15000000;20000000;25000000;30000000;35000000;40000000;55000000;70000000;80000000;90000000;110000000;130000000;160000000;190000000;220000000;250000000;280000000;310000000;340000000;400000000})</f>
        <v>2000000</v>
      </c>
      <c r="J161" s="7" t="n">
        <f aca="false">I161*S161*T161*U161</f>
        <v>1777350</v>
      </c>
      <c r="K161" s="8"/>
      <c r="L161" s="3"/>
      <c r="M161" s="8"/>
      <c r="N161" s="9" t="n">
        <v>2</v>
      </c>
      <c r="O161" s="4" t="n">
        <v>0</v>
      </c>
      <c r="P161" s="5" t="n">
        <f aca="false">IF(COUNTIF([1]Base_Jugadores!J$2:J$500,B161)&gt;0,1,0)</f>
        <v>0</v>
      </c>
      <c r="Q161" s="10" t="b">
        <f aca="false">--(COUNTIFS(
   [1]Fichajes_Realizados!A$2:A$5000,A161,
   [1]Fichajes_Realizados!G$2:G$5000,$X$3
)&gt;0)</f>
        <v>0</v>
      </c>
      <c r="R161" s="5" t="n">
        <f aca="false">_xlfn.XLOOKUP(C161, [1]Estado_Equipos!A$2:A$500, [1]Estado_Equipos!J$2:J$500, "")</f>
        <v>75</v>
      </c>
      <c r="S161" s="5" t="n">
        <f aca="false">IF(H161&lt;=16,1.45,
IF(H161&gt;=41,0.3,
CHOOSE(ROUNDDOWN((H161-16)/2,0)+1,
1.45,1.38,1.3,1.23,1.17,1.15,1.12,1.05,0.95,0.8,0.6,0.4,0.3)))</f>
        <v>1.23</v>
      </c>
      <c r="T161" s="5" t="n">
        <f aca="false">CHOOSE(N161+1,1.2,1,0.85,0.7)</f>
        <v>0.85</v>
      </c>
      <c r="U161" s="5" t="n">
        <f aca="false">IF(F161="PO",0.6,
IF(F161="CT",0.75,
IF(F161="LI",0.8,
IF(F161="LD",0.8,
IF(F161="MCD",0.85,
IF(F161="MC",0.95,
IF(F161="MO",1.05,
IF(F161="EI",1.1,
IF(F161="ED",1.1,
IF(F161="SD",1.15,
IF(F161="DC",1.2,0)))))))))))</f>
        <v>0.85</v>
      </c>
    </row>
    <row r="162" customFormat="false" ht="16.4" hidden="false" customHeight="false" outlineLevel="0" collapsed="false">
      <c r="A162" s="1" t="n">
        <v>161</v>
      </c>
      <c r="B162" s="5" t="str">
        <f aca="false">[1]Base_Jugadores!B162</f>
        <v>Ferran Jutglà</v>
      </c>
      <c r="C162" s="5" t="str">
        <f aca="false">IFERROR(
   _xlfn.XLOOKUP(VALUE(A162),[1]Fichajes_Realizados!A$2:A$50000,[1]Fichajes_Realizados!D$2:D$50000,,0,-1),
   _xlfn.XLOOKUP(VALUE(A162),[1]Base_Jugadores!A$2:A$50000,[1]Base_Jugadores!C$2:C$50000)
)</f>
        <v>RC Celta de Vigo</v>
      </c>
      <c r="D162" s="5" t="str">
        <f aca="false">[1]Base_Jugadores!D162</f>
        <v>España</v>
      </c>
      <c r="E162" s="3"/>
      <c r="F162" s="5" t="str">
        <f aca="false">[1]Base_Jugadores!E162</f>
        <v>DC</v>
      </c>
      <c r="G162" s="5" t="n">
        <f aca="false">[1]Base_Jugadores!F162</f>
        <v>75</v>
      </c>
      <c r="H162" s="5" t="n">
        <f aca="false">[1]Base_Jugadores!G162</f>
        <v>26</v>
      </c>
      <c r="I162" s="7" t="n">
        <f aca="false" t="array" ref="I162:I162">_xlfn.XLOOKUP(G162,{55;56;57;58;59;60;61;62;63;64;65;66;67;68;69;70;71;72;73;74;75;76;77;78;79;80;81;82;83;84;85;86;87;88;89;90;91;92;93;94;95;96;97;98;99},{100000;130000;160000;190000;220000;250000;300000;350000;400000;450000;500000;600000;700000;800000;900000;1000000;1500000;2000000;3000000;4000000;5000000;6500000;8000000;10000000;12500000;15000000;20000000;25000000;30000000;35000000;40000000;55000000;70000000;80000000;90000000;110000000;130000000;160000000;190000000;220000000;250000000;280000000;310000000;340000000;400000000})</f>
        <v>5000000</v>
      </c>
      <c r="J162" s="7" t="n">
        <f aca="false">I162*S162*T162*U162</f>
        <v>6900000</v>
      </c>
      <c r="K162" s="8"/>
      <c r="L162" s="3"/>
      <c r="M162" s="8"/>
      <c r="N162" s="9" t="n">
        <v>1</v>
      </c>
      <c r="O162" s="4" t="n">
        <v>0</v>
      </c>
      <c r="P162" s="5" t="n">
        <f aca="false">IF(COUNTIF([1]Base_Jugadores!J$2:J$500,B162)&gt;0,1,0)</f>
        <v>0</v>
      </c>
      <c r="Q162" s="10" t="b">
        <f aca="false">--(COUNTIFS(
   [1]Fichajes_Realizados!A$2:A$5000,A162,
   [1]Fichajes_Realizados!G$2:G$5000,$X$3
)&gt;0)</f>
        <v>0</v>
      </c>
      <c r="R162" s="5" t="n">
        <f aca="false">_xlfn.XLOOKUP(C162, [1]Estado_Equipos!A$2:A$500, [1]Estado_Equipos!J$2:J$500, "")</f>
        <v>75</v>
      </c>
      <c r="S162" s="5" t="n">
        <f aca="false">IF(H162&lt;=16,1.45,
IF(H162&gt;=41,0.3,
CHOOSE(ROUNDDOWN((H162-16)/2,0)+1,
1.45,1.38,1.3,1.23,1.17,1.15,1.12,1.05,0.95,0.8,0.6,0.4,0.3)))</f>
        <v>1.15</v>
      </c>
      <c r="T162" s="5" t="n">
        <f aca="false">CHOOSE(N162+1,1.2,1,0.85,0.7)</f>
        <v>1</v>
      </c>
      <c r="U162" s="5" t="n">
        <f aca="false">IF(F162="PO",0.6,
IF(F162="CT",0.75,
IF(F162="LI",0.8,
IF(F162="LD",0.8,
IF(F162="MCD",0.85,
IF(F162="MC",0.95,
IF(F162="MO",1.05,
IF(F162="EI",1.1,
IF(F162="ED",1.1,
IF(F162="SD",1.15,
IF(F162="DC",1.2,0)))))))))))</f>
        <v>1.2</v>
      </c>
    </row>
    <row r="163" customFormat="false" ht="16.4" hidden="false" customHeight="false" outlineLevel="0" collapsed="false">
      <c r="A163" s="1" t="n">
        <v>162</v>
      </c>
      <c r="B163" s="5" t="str">
        <f aca="false">[1]Base_Jugadores!B163</f>
        <v>Fran Beltrán</v>
      </c>
      <c r="C163" s="5" t="str">
        <f aca="false">IFERROR(
   _xlfn.XLOOKUP(VALUE(A163),[1]Fichajes_Realizados!A$2:A$50000,[1]Fichajes_Realizados!D$2:D$50000,,0,-1),
   _xlfn.XLOOKUP(VALUE(A163),[1]Base_Jugadores!A$2:A$50000,[1]Base_Jugadores!C$2:C$50000)
)</f>
        <v>RC Celta de Vigo</v>
      </c>
      <c r="D163" s="5" t="str">
        <f aca="false">[1]Base_Jugadores!D163</f>
        <v>España</v>
      </c>
      <c r="E163" s="3"/>
      <c r="F163" s="5" t="str">
        <f aca="false">[1]Base_Jugadores!E163</f>
        <v>MC</v>
      </c>
      <c r="G163" s="5" t="n">
        <f aca="false">[1]Base_Jugadores!F163</f>
        <v>78</v>
      </c>
      <c r="H163" s="5" t="n">
        <f aca="false">[1]Base_Jugadores!G163</f>
        <v>26</v>
      </c>
      <c r="I163" s="7" t="n">
        <f aca="false" t="array" ref="I163:I163">_xlfn.XLOOKUP(G163,{55;56;57;58;59;60;61;62;63;64;65;66;67;68;69;70;71;72;73;74;75;76;77;78;79;80;81;82;83;84;85;86;87;88;89;90;91;92;93;94;95;96;97;98;99},{100000;130000;160000;190000;220000;250000;300000;350000;400000;450000;500000;600000;700000;800000;900000;1000000;1500000;2000000;3000000;4000000;5000000;6500000;8000000;10000000;12500000;15000000;20000000;25000000;30000000;35000000;40000000;55000000;70000000;80000000;90000000;110000000;130000000;160000000;190000000;220000000;250000000;280000000;310000000;340000000;400000000})</f>
        <v>10000000</v>
      </c>
      <c r="J163" s="7" t="n">
        <f aca="false">I163*S163*T163*U163</f>
        <v>13110000</v>
      </c>
      <c r="K163" s="3"/>
      <c r="L163" s="3"/>
      <c r="M163" s="8"/>
      <c r="N163" s="9" t="n">
        <v>0</v>
      </c>
      <c r="O163" s="4" t="n">
        <v>0</v>
      </c>
      <c r="P163" s="5" t="n">
        <f aca="false">IF(COUNTIF([1]Base_Jugadores!J$2:J$500,B163)&gt;0,1,0)</f>
        <v>0</v>
      </c>
      <c r="Q163" s="10" t="b">
        <f aca="false">--(COUNTIFS(
   [1]Fichajes_Realizados!A$2:A$5000,A163,
   [1]Fichajes_Realizados!G$2:G$5000,$X$3
)&gt;0)</f>
        <v>0</v>
      </c>
      <c r="R163" s="5" t="n">
        <f aca="false">_xlfn.XLOOKUP(C163, [1]Estado_Equipos!A$2:A$500, [1]Estado_Equipos!J$2:J$500, "")</f>
        <v>75</v>
      </c>
      <c r="S163" s="5" t="n">
        <f aca="false">IF(H163&lt;=16,1.45,
IF(H163&gt;=41,0.3,
CHOOSE(ROUNDDOWN((H163-16)/2,0)+1,
1.45,1.38,1.3,1.23,1.17,1.15,1.12,1.05,0.95,0.8,0.6,0.4,0.3)))</f>
        <v>1.15</v>
      </c>
      <c r="T163" s="5" t="n">
        <f aca="false">CHOOSE(N163+1,1.2,1,0.85,0.7)</f>
        <v>1.2</v>
      </c>
      <c r="U163" s="5" t="n">
        <f aca="false">IF(F163="PO",0.6,
IF(F163="CT",0.75,
IF(F163="LI",0.8,
IF(F163="LD",0.8,
IF(F163="MCD",0.85,
IF(F163="MC",0.95,
IF(F163="MO",1.05,
IF(F163="EI",1.1,
IF(F163="ED",1.1,
IF(F163="SD",1.15,
IF(F163="DC",1.2,0)))))))))))</f>
        <v>0.95</v>
      </c>
    </row>
    <row r="164" customFormat="false" ht="16.4" hidden="false" customHeight="false" outlineLevel="0" collapsed="false">
      <c r="A164" s="1" t="n">
        <v>163</v>
      </c>
      <c r="B164" s="5" t="str">
        <f aca="false">[1]Base_Jugadores!B164</f>
        <v>Franco Cervi</v>
      </c>
      <c r="C164" s="5" t="str">
        <f aca="false">IFERROR(
   _xlfn.XLOOKUP(VALUE(A164),[1]Fichajes_Realizados!A$2:A$50000,[1]Fichajes_Realizados!D$2:D$50000,,0,-1),
   _xlfn.XLOOKUP(VALUE(A164),[1]Base_Jugadores!A$2:A$50000,[1]Base_Jugadores!C$2:C$50000)
)</f>
        <v>RC Celta de Vigo</v>
      </c>
      <c r="D164" s="5" t="str">
        <f aca="false">[1]Base_Jugadores!D164</f>
        <v>Argentina</v>
      </c>
      <c r="E164" s="3"/>
      <c r="F164" s="5" t="str">
        <f aca="false">[1]Base_Jugadores!E164</f>
        <v>EI</v>
      </c>
      <c r="G164" s="5" t="n">
        <f aca="false">[1]Base_Jugadores!F164</f>
        <v>75</v>
      </c>
      <c r="H164" s="5" t="n">
        <f aca="false">[1]Base_Jugadores!G164</f>
        <v>31</v>
      </c>
      <c r="I164" s="7" t="n">
        <f aca="false" t="array" ref="I164:I164">_xlfn.XLOOKUP(G164,{55;56;57;58;59;60;61;62;63;64;65;66;67;68;69;70;71;72;73;74;75;76;77;78;79;80;81;82;83;84;85;86;87;88;89;90;91;92;93;94;95;96;97;98;99},{100000;130000;160000;190000;220000;250000;300000;350000;400000;450000;500000;600000;700000;800000;900000;1000000;1500000;2000000;3000000;4000000;5000000;6500000;8000000;10000000;12500000;15000000;20000000;25000000;30000000;35000000;40000000;55000000;70000000;80000000;90000000;110000000;130000000;160000000;190000000;220000000;250000000;280000000;310000000;340000000;400000000})</f>
        <v>5000000</v>
      </c>
      <c r="J164" s="7" t="n">
        <f aca="false">I164*S164*T164*U164</f>
        <v>5775000</v>
      </c>
      <c r="K164" s="8"/>
      <c r="L164" s="3"/>
      <c r="M164" s="8"/>
      <c r="N164" s="9" t="n">
        <v>1</v>
      </c>
      <c r="O164" s="4" t="n">
        <v>0</v>
      </c>
      <c r="P164" s="5" t="n">
        <f aca="false">IF(COUNTIF([1]Base_Jugadores!J$2:J$500,B164)&gt;0,1,0)</f>
        <v>0</v>
      </c>
      <c r="Q164" s="10" t="b">
        <f aca="false">--(COUNTIFS(
   [1]Fichajes_Realizados!A$2:A$5000,A164,
   [1]Fichajes_Realizados!G$2:G$5000,$X$3
)&gt;0)</f>
        <v>0</v>
      </c>
      <c r="R164" s="5" t="n">
        <f aca="false">_xlfn.XLOOKUP(C164, [1]Estado_Equipos!A$2:A$500, [1]Estado_Equipos!J$2:J$500, "")</f>
        <v>75</v>
      </c>
      <c r="S164" s="5" t="n">
        <f aca="false">IF(H164&lt;=16,1.45,
IF(H164&gt;=41,0.3,
CHOOSE(ROUNDDOWN((H164-16)/2,0)+1,
1.45,1.38,1.3,1.23,1.17,1.15,1.12,1.05,0.95,0.8,0.6,0.4,0.3)))</f>
        <v>1.05</v>
      </c>
      <c r="T164" s="5" t="n">
        <f aca="false">CHOOSE(N164+1,1.2,1,0.85,0.7)</f>
        <v>1</v>
      </c>
      <c r="U164" s="5" t="n">
        <f aca="false">IF(F164="PO",0.6,
IF(F164="CT",0.75,
IF(F164="LI",0.8,
IF(F164="LD",0.8,
IF(F164="MCD",0.85,
IF(F164="MC",0.95,
IF(F164="MO",1.05,
IF(F164="EI",1.1,
IF(F164="ED",1.1,
IF(F164="SD",1.15,
IF(F164="DC",1.2,0)))))))))))</f>
        <v>1.1</v>
      </c>
    </row>
    <row r="165" customFormat="false" ht="16.4" hidden="false" customHeight="false" outlineLevel="0" collapsed="false">
      <c r="A165" s="1" t="n">
        <v>164</v>
      </c>
      <c r="B165" s="5" t="str">
        <f aca="false">[1]Base_Jugadores!B165</f>
        <v>Hugo Álvarez</v>
      </c>
      <c r="C165" s="5" t="str">
        <f aca="false">IFERROR(
   _xlfn.XLOOKUP(VALUE(A165),[1]Fichajes_Realizados!A$2:A$50000,[1]Fichajes_Realizados!D$2:D$50000,,0,-1),
   _xlfn.XLOOKUP(VALUE(A165),[1]Base_Jugadores!A$2:A$50000,[1]Base_Jugadores!C$2:C$50000)
)</f>
        <v>RC Celta de Vigo</v>
      </c>
      <c r="D165" s="5" t="str">
        <f aca="false">[1]Base_Jugadores!D165</f>
        <v>España</v>
      </c>
      <c r="E165" s="3"/>
      <c r="F165" s="5" t="str">
        <f aca="false">[1]Base_Jugadores!E165</f>
        <v>EI</v>
      </c>
      <c r="G165" s="5" t="n">
        <f aca="false">[1]Base_Jugadores!F165</f>
        <v>75</v>
      </c>
      <c r="H165" s="5" t="n">
        <f aca="false">[1]Base_Jugadores!G165</f>
        <v>22</v>
      </c>
      <c r="I165" s="7" t="n">
        <f aca="false" t="array" ref="I165:I165">_xlfn.XLOOKUP(G165,{55;56;57;58;59;60;61;62;63;64;65;66;67;68;69;70;71;72;73;74;75;76;77;78;79;80;81;82;83;84;85;86;87;88;89;90;91;92;93;94;95;96;97;98;99},{100000;130000;160000;190000;220000;250000;300000;350000;400000;450000;500000;600000;700000;800000;900000;1000000;1500000;2000000;3000000;4000000;5000000;6500000;8000000;10000000;12500000;15000000;20000000;25000000;30000000;35000000;40000000;55000000;70000000;80000000;90000000;110000000;130000000;160000000;190000000;220000000;250000000;280000000;310000000;340000000;400000000})</f>
        <v>5000000</v>
      </c>
      <c r="J165" s="7" t="n">
        <f aca="false">I165*S165*T165*U165</f>
        <v>6765000</v>
      </c>
      <c r="K165" s="8"/>
      <c r="L165" s="3"/>
      <c r="M165" s="8"/>
      <c r="N165" s="9" t="n">
        <v>1</v>
      </c>
      <c r="O165" s="4" t="n">
        <v>0</v>
      </c>
      <c r="P165" s="5" t="n">
        <f aca="false">IF(COUNTIF([1]Base_Jugadores!J$2:J$500,B165)&gt;0,1,0)</f>
        <v>0</v>
      </c>
      <c r="Q165" s="10" t="b">
        <f aca="false">--(COUNTIFS(
   [1]Fichajes_Realizados!A$2:A$5000,A165,
   [1]Fichajes_Realizados!G$2:G$5000,$X$3
)&gt;0)</f>
        <v>0</v>
      </c>
      <c r="R165" s="5" t="n">
        <f aca="false">_xlfn.XLOOKUP(C165, [1]Estado_Equipos!A$2:A$500, [1]Estado_Equipos!J$2:J$500, "")</f>
        <v>75</v>
      </c>
      <c r="S165" s="5" t="n">
        <f aca="false">IF(H165&lt;=16,1.45,
IF(H165&gt;=41,0.3,
CHOOSE(ROUNDDOWN((H165-16)/2,0)+1,
1.45,1.38,1.3,1.23,1.17,1.15,1.12,1.05,0.95,0.8,0.6,0.4,0.3)))</f>
        <v>1.23</v>
      </c>
      <c r="T165" s="5" t="n">
        <f aca="false">CHOOSE(N165+1,1.2,1,0.85,0.7)</f>
        <v>1</v>
      </c>
      <c r="U165" s="5" t="n">
        <f aca="false">IF(F165="PO",0.6,
IF(F165="CT",0.75,
IF(F165="LI",0.8,
IF(F165="LD",0.8,
IF(F165="MCD",0.85,
IF(F165="MC",0.95,
IF(F165="MO",1.05,
IF(F165="EI",1.1,
IF(F165="ED",1.1,
IF(F165="SD",1.15,
IF(F165="DC",1.2,0)))))))))))</f>
        <v>1.1</v>
      </c>
    </row>
    <row r="166" customFormat="false" ht="16.4" hidden="false" customHeight="false" outlineLevel="0" collapsed="false">
      <c r="A166" s="1" t="n">
        <v>165</v>
      </c>
      <c r="B166" s="5" t="str">
        <f aca="false">[1]Base_Jugadores!B166</f>
        <v>Hugo Sotelo</v>
      </c>
      <c r="C166" s="5" t="str">
        <f aca="false">IFERROR(
   _xlfn.XLOOKUP(VALUE(A166),[1]Fichajes_Realizados!A$2:A$50000,[1]Fichajes_Realizados!D$2:D$50000,,0,-1),
   _xlfn.XLOOKUP(VALUE(A166),[1]Base_Jugadores!A$2:A$50000,[1]Base_Jugadores!C$2:C$50000)
)</f>
        <v>RC Celta de Vigo</v>
      </c>
      <c r="D166" s="5" t="str">
        <f aca="false">[1]Base_Jugadores!D166</f>
        <v>España</v>
      </c>
      <c r="E166" s="3"/>
      <c r="F166" s="5" t="str">
        <f aca="false">[1]Base_Jugadores!E166</f>
        <v>MC</v>
      </c>
      <c r="G166" s="5" t="n">
        <f aca="false">[1]Base_Jugadores!F166</f>
        <v>69</v>
      </c>
      <c r="H166" s="5" t="n">
        <f aca="false">[1]Base_Jugadores!G166</f>
        <v>22</v>
      </c>
      <c r="I166" s="7" t="n">
        <f aca="false" t="array" ref="I166:I166">_xlfn.XLOOKUP(G166,{55;56;57;58;59;60;61;62;63;64;65;66;67;68;69;70;71;72;73;74;75;76;77;78;79;80;81;82;83;84;85;86;87;88;89;90;91;92;93;94;95;96;97;98;99},{100000;130000;160000;190000;220000;250000;300000;350000;400000;450000;500000;600000;700000;800000;900000;1000000;1500000;2000000;3000000;4000000;5000000;6500000;8000000;10000000;12500000;15000000;20000000;25000000;30000000;35000000;40000000;55000000;70000000;80000000;90000000;110000000;130000000;160000000;190000000;220000000;250000000;280000000;310000000;340000000;400000000})</f>
        <v>900000</v>
      </c>
      <c r="J166" s="7" t="n">
        <f aca="false">I166*S166*T166*U166</f>
        <v>893902.5</v>
      </c>
      <c r="K166" s="8"/>
      <c r="L166" s="3"/>
      <c r="M166" s="8"/>
      <c r="N166" s="9" t="n">
        <v>2</v>
      </c>
      <c r="O166" s="4" t="n">
        <v>0</v>
      </c>
      <c r="P166" s="5" t="n">
        <f aca="false">IF(COUNTIF([1]Base_Jugadores!J$2:J$500,B166)&gt;0,1,0)</f>
        <v>0</v>
      </c>
      <c r="Q166" s="10" t="b">
        <f aca="false">--(COUNTIFS(
   [1]Fichajes_Realizados!A$2:A$5000,A166,
   [1]Fichajes_Realizados!G$2:G$5000,$X$3
)&gt;0)</f>
        <v>0</v>
      </c>
      <c r="R166" s="5" t="n">
        <f aca="false">_xlfn.XLOOKUP(C166, [1]Estado_Equipos!A$2:A$500, [1]Estado_Equipos!J$2:J$500, "")</f>
        <v>75</v>
      </c>
      <c r="S166" s="5" t="n">
        <f aca="false">IF(H166&lt;=16,1.45,
IF(H166&gt;=41,0.3,
CHOOSE(ROUNDDOWN((H166-16)/2,0)+1,
1.45,1.38,1.3,1.23,1.17,1.15,1.12,1.05,0.95,0.8,0.6,0.4,0.3)))</f>
        <v>1.23</v>
      </c>
      <c r="T166" s="5" t="n">
        <f aca="false">CHOOSE(N166+1,1.2,1,0.85,0.7)</f>
        <v>0.85</v>
      </c>
      <c r="U166" s="5" t="n">
        <f aca="false">IF(F166="PO",0.6,
IF(F166="CT",0.75,
IF(F166="LI",0.8,
IF(F166="LD",0.8,
IF(F166="MCD",0.85,
IF(F166="MC",0.95,
IF(F166="MO",1.05,
IF(F166="EI",1.1,
IF(F166="ED",1.1,
IF(F166="SD",1.15,
IF(F166="DC",1.2,0)))))))))))</f>
        <v>0.95</v>
      </c>
    </row>
    <row r="167" customFormat="false" ht="16.4" hidden="false" customHeight="false" outlineLevel="0" collapsed="false">
      <c r="A167" s="1" t="n">
        <v>166</v>
      </c>
      <c r="B167" s="5" t="str">
        <f aca="false">[1]Base_Jugadores!B167</f>
        <v>Iago Aspas</v>
      </c>
      <c r="C167" s="5" t="str">
        <f aca="false">IFERROR(
   _xlfn.XLOOKUP(VALUE(A167),[1]Fichajes_Realizados!A$2:A$50000,[1]Fichajes_Realizados!D$2:D$50000,,0,-1),
   _xlfn.XLOOKUP(VALUE(A167),[1]Base_Jugadores!A$2:A$50000,[1]Base_Jugadores!C$2:C$50000)
)</f>
        <v>RC Celta de Vigo</v>
      </c>
      <c r="D167" s="5" t="str">
        <f aca="false">[1]Base_Jugadores!D167</f>
        <v>España</v>
      </c>
      <c r="E167" s="3"/>
      <c r="F167" s="5" t="str">
        <f aca="false">[1]Base_Jugadores!E167</f>
        <v>DC</v>
      </c>
      <c r="G167" s="5" t="n">
        <f aca="false">[1]Base_Jugadores!F167</f>
        <v>84</v>
      </c>
      <c r="H167" s="5" t="n">
        <f aca="false">[1]Base_Jugadores!G167</f>
        <v>38</v>
      </c>
      <c r="I167" s="7" t="n">
        <f aca="false" t="array" ref="I167:I167">_xlfn.XLOOKUP(G167,{55;56;57;58;59;60;61;62;63;64;65;66;67;68;69;70;71;72;73;74;75;76;77;78;79;80;81;82;83;84;85;86;87;88;89;90;91;92;93;94;95;96;97;98;99},{100000;130000;160000;190000;220000;250000;300000;350000;400000;450000;500000;600000;700000;800000;900000;1000000;1500000;2000000;3000000;4000000;5000000;6500000;8000000;10000000;12500000;15000000;20000000;25000000;30000000;35000000;40000000;55000000;70000000;80000000;90000000;110000000;130000000;160000000;190000000;220000000;250000000;280000000;310000000;340000000;400000000})</f>
        <v>35000000</v>
      </c>
      <c r="J167" s="7" t="n">
        <f aca="false">I167*S167*T167*U167</f>
        <v>20160000</v>
      </c>
      <c r="K167" s="3"/>
      <c r="L167" s="3"/>
      <c r="M167" s="8"/>
      <c r="N167" s="9" t="n">
        <v>0</v>
      </c>
      <c r="O167" s="4" t="n">
        <v>0</v>
      </c>
      <c r="P167" s="5" t="n">
        <f aca="false">IF(COUNTIF([1]Base_Jugadores!J$2:J$500,B167)&gt;0,1,0)</f>
        <v>0</v>
      </c>
      <c r="Q167" s="10" t="b">
        <f aca="false">--(COUNTIFS(
   [1]Fichajes_Realizados!A$2:A$5000,A167,
   [1]Fichajes_Realizados!G$2:G$5000,$X$3
)&gt;0)</f>
        <v>0</v>
      </c>
      <c r="R167" s="5" t="n">
        <f aca="false">_xlfn.XLOOKUP(C167, [1]Estado_Equipos!A$2:A$500, [1]Estado_Equipos!J$2:J$500, "")</f>
        <v>75</v>
      </c>
      <c r="S167" s="5" t="n">
        <f aca="false">IF(H167&lt;=16,1.45,
IF(H167&gt;=41,0.3,
CHOOSE(ROUNDDOWN((H167-16)/2,0)+1,
1.45,1.38,1.3,1.23,1.17,1.15,1.12,1.05,0.95,0.8,0.6,0.4,0.3)))</f>
        <v>0.4</v>
      </c>
      <c r="T167" s="5" t="n">
        <f aca="false">CHOOSE(N167+1,1.2,1,0.85,0.7)</f>
        <v>1.2</v>
      </c>
      <c r="U167" s="5" t="n">
        <f aca="false">IF(F167="PO",0.6,
IF(F167="CT",0.75,
IF(F167="LI",0.8,
IF(F167="LD",0.8,
IF(F167="MCD",0.85,
IF(F167="MC",0.95,
IF(F167="MO",1.05,
IF(F167="EI",1.1,
IF(F167="ED",1.1,
IF(F167="SD",1.15,
IF(F167="DC",1.2,0)))))))))))</f>
        <v>1.2</v>
      </c>
    </row>
    <row r="168" customFormat="false" ht="16.4" hidden="false" customHeight="false" outlineLevel="0" collapsed="false">
      <c r="A168" s="1" t="n">
        <v>167</v>
      </c>
      <c r="B168" s="5" t="str">
        <f aca="false">[1]Base_Jugadores!B168</f>
        <v>Ilaix Moriba</v>
      </c>
      <c r="C168" s="5" t="str">
        <f aca="false">IFERROR(
   _xlfn.XLOOKUP(VALUE(A168),[1]Fichajes_Realizados!A$2:A$50000,[1]Fichajes_Realizados!D$2:D$50000,,0,-1),
   _xlfn.XLOOKUP(VALUE(A168),[1]Base_Jugadores!A$2:A$50000,[1]Base_Jugadores!C$2:C$50000)
)</f>
        <v>RC Celta de Vigo</v>
      </c>
      <c r="D168" s="5" t="str">
        <f aca="false">[1]Base_Jugadores!D168</f>
        <v>Guinea</v>
      </c>
      <c r="E168" s="3"/>
      <c r="F168" s="5" t="str">
        <f aca="false">[1]Base_Jugadores!E168</f>
        <v>MC</v>
      </c>
      <c r="G168" s="5" t="n">
        <f aca="false">[1]Base_Jugadores!F168</f>
        <v>76</v>
      </c>
      <c r="H168" s="5" t="n">
        <f aca="false">[1]Base_Jugadores!G168</f>
        <v>22</v>
      </c>
      <c r="I168" s="7" t="n">
        <f aca="false" t="array" ref="I168:I168">_xlfn.XLOOKUP(G168,{55;56;57;58;59;60;61;62;63;64;65;66;67;68;69;70;71;72;73;74;75;76;77;78;79;80;81;82;83;84;85;86;87;88;89;90;91;92;93;94;95;96;97;98;99},{100000;130000;160000;190000;220000;250000;300000;350000;400000;450000;500000;600000;700000;800000;900000;1000000;1500000;2000000;3000000;4000000;5000000;6500000;8000000;10000000;12500000;15000000;20000000;25000000;30000000;35000000;40000000;55000000;70000000;80000000;90000000;110000000;130000000;160000000;190000000;220000000;250000000;280000000;310000000;340000000;400000000})</f>
        <v>6500000</v>
      </c>
      <c r="J168" s="7" t="n">
        <f aca="false">I168*S168*T168*U168</f>
        <v>7595250</v>
      </c>
      <c r="K168" s="8"/>
      <c r="L168" s="3"/>
      <c r="M168" s="8"/>
      <c r="N168" s="9" t="n">
        <v>1</v>
      </c>
      <c r="O168" s="4" t="n">
        <v>0</v>
      </c>
      <c r="P168" s="5" t="n">
        <f aca="false">IF(COUNTIF([1]Base_Jugadores!J$2:J$500,B168)&gt;0,1,0)</f>
        <v>0</v>
      </c>
      <c r="Q168" s="10" t="b">
        <f aca="false">--(COUNTIFS(
   [1]Fichajes_Realizados!A$2:A$5000,A168,
   [1]Fichajes_Realizados!G$2:G$5000,$X$3
)&gt;0)</f>
        <v>0</v>
      </c>
      <c r="R168" s="5" t="n">
        <f aca="false">_xlfn.XLOOKUP(C168, [1]Estado_Equipos!A$2:A$500, [1]Estado_Equipos!J$2:J$500, "")</f>
        <v>75</v>
      </c>
      <c r="S168" s="5" t="n">
        <f aca="false">IF(H168&lt;=16,1.45,
IF(H168&gt;=41,0.3,
CHOOSE(ROUNDDOWN((H168-16)/2,0)+1,
1.45,1.38,1.3,1.23,1.17,1.15,1.12,1.05,0.95,0.8,0.6,0.4,0.3)))</f>
        <v>1.23</v>
      </c>
      <c r="T168" s="5" t="n">
        <f aca="false">CHOOSE(N168+1,1.2,1,0.85,0.7)</f>
        <v>1</v>
      </c>
      <c r="U168" s="5" t="n">
        <f aca="false">IF(F168="PO",0.6,
IF(F168="CT",0.75,
IF(F168="LI",0.8,
IF(F168="LD",0.8,
IF(F168="MCD",0.85,
IF(F168="MC",0.95,
IF(F168="MO",1.05,
IF(F168="EI",1.1,
IF(F168="ED",1.1,
IF(F168="SD",1.15,
IF(F168="DC",1.2,0)))))))))))</f>
        <v>0.95</v>
      </c>
    </row>
    <row r="169" customFormat="false" ht="16.4" hidden="false" customHeight="false" outlineLevel="0" collapsed="false">
      <c r="A169" s="1" t="n">
        <v>168</v>
      </c>
      <c r="B169" s="5" t="str">
        <f aca="false">[1]Base_Jugadores!B169</f>
        <v>Ionut Radu</v>
      </c>
      <c r="C169" s="5" t="str">
        <f aca="false">IFERROR(
   _xlfn.XLOOKUP(VALUE(A169),[1]Fichajes_Realizados!A$2:A$50000,[1]Fichajes_Realizados!D$2:D$50000,,0,-1),
   _xlfn.XLOOKUP(VALUE(A169),[1]Base_Jugadores!A$2:A$50000,[1]Base_Jugadores!C$2:C$50000)
)</f>
        <v>RC Celta de Vigo</v>
      </c>
      <c r="D169" s="5" t="str">
        <f aca="false">[1]Base_Jugadores!D169</f>
        <v>Rumania</v>
      </c>
      <c r="E169" s="3"/>
      <c r="F169" s="5" t="str">
        <f aca="false">[1]Base_Jugadores!E169</f>
        <v>PO</v>
      </c>
      <c r="G169" s="5" t="n">
        <f aca="false">[1]Base_Jugadores!F169</f>
        <v>73</v>
      </c>
      <c r="H169" s="5" t="n">
        <f aca="false">[1]Base_Jugadores!G169</f>
        <v>28</v>
      </c>
      <c r="I169" s="7" t="n">
        <f aca="false" t="array" ref="I169:I169">_xlfn.XLOOKUP(G169,{55;56;57;58;59;60;61;62;63;64;65;66;67;68;69;70;71;72;73;74;75;76;77;78;79;80;81;82;83;84;85;86;87;88;89;90;91;92;93;94;95;96;97;98;99},{100000;130000;160000;190000;220000;250000;300000;350000;400000;450000;500000;600000;700000;800000;900000;1000000;1500000;2000000;3000000;4000000;5000000;6500000;8000000;10000000;12500000;15000000;20000000;25000000;30000000;35000000;40000000;55000000;70000000;80000000;90000000;110000000;130000000;160000000;190000000;220000000;250000000;280000000;310000000;340000000;400000000})</f>
        <v>3000000</v>
      </c>
      <c r="J169" s="7" t="n">
        <f aca="false">I169*S169*T169*U169</f>
        <v>1713600</v>
      </c>
      <c r="K169" s="8"/>
      <c r="L169" s="3"/>
      <c r="M169" s="8"/>
      <c r="N169" s="9" t="n">
        <v>2</v>
      </c>
      <c r="O169" s="4" t="n">
        <v>0</v>
      </c>
      <c r="P169" s="5" t="n">
        <f aca="false">IF(COUNTIF([1]Base_Jugadores!J$2:J$500,B169)&gt;0,1,0)</f>
        <v>0</v>
      </c>
      <c r="Q169" s="10" t="b">
        <f aca="false">--(COUNTIFS(
   [1]Fichajes_Realizados!A$2:A$5000,A169,
   [1]Fichajes_Realizados!G$2:G$5000,$X$3
)&gt;0)</f>
        <v>0</v>
      </c>
      <c r="R169" s="5" t="n">
        <f aca="false">_xlfn.XLOOKUP(C169, [1]Estado_Equipos!A$2:A$500, [1]Estado_Equipos!J$2:J$500, "")</f>
        <v>75</v>
      </c>
      <c r="S169" s="5" t="n">
        <f aca="false">IF(H169&lt;=16,1.45,
IF(H169&gt;=41,0.3,
CHOOSE(ROUNDDOWN((H169-16)/2,0)+1,
1.45,1.38,1.3,1.23,1.17,1.15,1.12,1.05,0.95,0.8,0.6,0.4,0.3)))</f>
        <v>1.12</v>
      </c>
      <c r="T169" s="5" t="n">
        <f aca="false">CHOOSE(N169+1,1.2,1,0.85,0.7)</f>
        <v>0.85</v>
      </c>
      <c r="U169" s="5" t="n">
        <f aca="false">IF(F169="PO",0.6,
IF(F169="CT",0.75,
IF(F169="LI",0.8,
IF(F169="LD",0.8,
IF(F169="MCD",0.85,
IF(F169="MC",0.95,
IF(F169="MO",1.05,
IF(F169="EI",1.1,
IF(F169="ED",1.1,
IF(F169="SD",1.15,
IF(F169="DC",1.2,0)))))))))))</f>
        <v>0.6</v>
      </c>
    </row>
    <row r="170" customFormat="false" ht="16.4" hidden="false" customHeight="false" outlineLevel="0" collapsed="false">
      <c r="A170" s="1" t="n">
        <v>169</v>
      </c>
      <c r="B170" s="5" t="str">
        <f aca="false">[1]Base_Jugadores!B170</f>
        <v>Iván Villar</v>
      </c>
      <c r="C170" s="5" t="str">
        <f aca="false">IFERROR(
   _xlfn.XLOOKUP(VALUE(A170),[1]Fichajes_Realizados!A$2:A$50000,[1]Fichajes_Realizados!D$2:D$50000,,0,-1),
   _xlfn.XLOOKUP(VALUE(A170),[1]Base_Jugadores!A$2:A$50000,[1]Base_Jugadores!C$2:C$50000)
)</f>
        <v>RC Celta de Vigo</v>
      </c>
      <c r="D170" s="5" t="str">
        <f aca="false">[1]Base_Jugadores!D170</f>
        <v>España</v>
      </c>
      <c r="E170" s="3"/>
      <c r="F170" s="5" t="str">
        <f aca="false">[1]Base_Jugadores!E170</f>
        <v>PO</v>
      </c>
      <c r="G170" s="5" t="n">
        <f aca="false">[1]Base_Jugadores!F170</f>
        <v>74</v>
      </c>
      <c r="H170" s="5" t="n">
        <f aca="false">[1]Base_Jugadores!G170</f>
        <v>28</v>
      </c>
      <c r="I170" s="7" t="n">
        <f aca="false" t="array" ref="I170:I170">_xlfn.XLOOKUP(G170,{55;56;57;58;59;60;61;62;63;64;65;66;67;68;69;70;71;72;73;74;75;76;77;78;79;80;81;82;83;84;85;86;87;88;89;90;91;92;93;94;95;96;97;98;99},{100000;130000;160000;190000;220000;250000;300000;350000;400000;450000;500000;600000;700000;800000;900000;1000000;1500000;2000000;3000000;4000000;5000000;6500000;8000000;10000000;12500000;15000000;20000000;25000000;30000000;35000000;40000000;55000000;70000000;80000000;90000000;110000000;130000000;160000000;190000000;220000000;250000000;280000000;310000000;340000000;400000000})</f>
        <v>4000000</v>
      </c>
      <c r="J170" s="7" t="n">
        <f aca="false">I170*S170*T170*U170</f>
        <v>3225600</v>
      </c>
      <c r="K170" s="8"/>
      <c r="L170" s="3"/>
      <c r="M170" s="8"/>
      <c r="N170" s="9" t="n">
        <v>0</v>
      </c>
      <c r="O170" s="4" t="n">
        <v>0</v>
      </c>
      <c r="P170" s="5" t="n">
        <f aca="false">IF(COUNTIF([1]Base_Jugadores!J$2:J$500,B170)&gt;0,1,0)</f>
        <v>0</v>
      </c>
      <c r="Q170" s="10" t="b">
        <f aca="false">--(COUNTIFS(
   [1]Fichajes_Realizados!A$2:A$5000,A170,
   [1]Fichajes_Realizados!G$2:G$5000,$X$3
)&gt;0)</f>
        <v>0</v>
      </c>
      <c r="R170" s="5" t="n">
        <f aca="false">_xlfn.XLOOKUP(C170, [1]Estado_Equipos!A$2:A$500, [1]Estado_Equipos!J$2:J$500, "")</f>
        <v>75</v>
      </c>
      <c r="S170" s="5" t="n">
        <f aca="false">IF(H170&lt;=16,1.45,
IF(H170&gt;=41,0.3,
CHOOSE(ROUNDDOWN((H170-16)/2,0)+1,
1.45,1.38,1.3,1.23,1.17,1.15,1.12,1.05,0.95,0.8,0.6,0.4,0.3)))</f>
        <v>1.12</v>
      </c>
      <c r="T170" s="5" t="n">
        <f aca="false">CHOOSE(N170+1,1.2,1,0.85,0.7)</f>
        <v>1.2</v>
      </c>
      <c r="U170" s="5" t="n">
        <f aca="false">IF(F170="PO",0.6,
IF(F170="CT",0.75,
IF(F170="LI",0.8,
IF(F170="LD",0.8,
IF(F170="MCD",0.85,
IF(F170="MC",0.95,
IF(F170="MO",1.05,
IF(F170="EI",1.1,
IF(F170="ED",1.1,
IF(F170="SD",1.15,
IF(F170="DC",1.2,0)))))))))))</f>
        <v>0.6</v>
      </c>
    </row>
    <row r="171" customFormat="false" ht="16.4" hidden="false" customHeight="false" outlineLevel="0" collapsed="false">
      <c r="A171" s="1" t="n">
        <v>170</v>
      </c>
      <c r="B171" s="5" t="str">
        <f aca="false">[1]Base_Jugadores!B171</f>
        <v>Javi Rodríguez</v>
      </c>
      <c r="C171" s="5" t="str">
        <f aca="false">IFERROR(
   _xlfn.XLOOKUP(VALUE(A171),[1]Fichajes_Realizados!A$2:A$50000,[1]Fichajes_Realizados!D$2:D$50000,,0,-1),
   _xlfn.XLOOKUP(VALUE(A171),[1]Base_Jugadores!A$2:A$50000,[1]Base_Jugadores!C$2:C$50000)
)</f>
        <v>RC Celta de Vigo</v>
      </c>
      <c r="D171" s="5" t="str">
        <f aca="false">[1]Base_Jugadores!D171</f>
        <v>España</v>
      </c>
      <c r="E171" s="3"/>
      <c r="F171" s="5" t="str">
        <f aca="false">[1]Base_Jugadores!E171</f>
        <v>CT</v>
      </c>
      <c r="G171" s="5" t="n">
        <f aca="false">[1]Base_Jugadores!F171</f>
        <v>69</v>
      </c>
      <c r="H171" s="5" t="n">
        <f aca="false">[1]Base_Jugadores!G171</f>
        <v>22</v>
      </c>
      <c r="I171" s="7" t="n">
        <f aca="false" t="array" ref="I171:I171">_xlfn.XLOOKUP(G171,{55;56;57;58;59;60;61;62;63;64;65;66;67;68;69;70;71;72;73;74;75;76;77;78;79;80;81;82;83;84;85;86;87;88;89;90;91;92;93;94;95;96;97;98;99},{100000;130000;160000;190000;220000;250000;300000;350000;400000;450000;500000;600000;700000;800000;900000;1000000;1500000;2000000;3000000;4000000;5000000;6500000;8000000;10000000;12500000;15000000;20000000;25000000;30000000;35000000;40000000;55000000;70000000;80000000;90000000;110000000;130000000;160000000;190000000;220000000;250000000;280000000;310000000;340000000;400000000})</f>
        <v>900000</v>
      </c>
      <c r="J171" s="7" t="n">
        <f aca="false">I171*S171*T171*U171</f>
        <v>705712.5</v>
      </c>
      <c r="K171" s="8"/>
      <c r="L171" s="3"/>
      <c r="M171" s="8"/>
      <c r="N171" s="9" t="n">
        <v>2</v>
      </c>
      <c r="O171" s="4" t="n">
        <v>1</v>
      </c>
      <c r="P171" s="5" t="n">
        <f aca="false">IF(COUNTIF([1]Base_Jugadores!J$2:J$500,B171)&gt;0,1,0)</f>
        <v>0</v>
      </c>
      <c r="Q171" s="10" t="b">
        <f aca="false">--(COUNTIFS(
   [1]Fichajes_Realizados!A$2:A$5000,A171,
   [1]Fichajes_Realizados!G$2:G$5000,$X$3
)&gt;0)</f>
        <v>0</v>
      </c>
      <c r="R171" s="5" t="n">
        <f aca="false">_xlfn.XLOOKUP(C171, [1]Estado_Equipos!A$2:A$500, [1]Estado_Equipos!J$2:J$500, "")</f>
        <v>75</v>
      </c>
      <c r="S171" s="5" t="n">
        <f aca="false">IF(H171&lt;=16,1.45,
IF(H171&gt;=41,0.3,
CHOOSE(ROUNDDOWN((H171-16)/2,0)+1,
1.45,1.38,1.3,1.23,1.17,1.15,1.12,1.05,0.95,0.8,0.6,0.4,0.3)))</f>
        <v>1.23</v>
      </c>
      <c r="T171" s="5" t="n">
        <f aca="false">CHOOSE(N171+1,1.2,1,0.85,0.7)</f>
        <v>0.85</v>
      </c>
      <c r="U171" s="5" t="n">
        <f aca="false">IF(F171="PO",0.6,
IF(F171="CT",0.75,
IF(F171="LI",0.8,
IF(F171="LD",0.8,
IF(F171="MCD",0.85,
IF(F171="MC",0.95,
IF(F171="MO",1.05,
IF(F171="EI",1.1,
IF(F171="ED",1.1,
IF(F171="SD",1.15,
IF(F171="DC",1.2,0)))))))))))</f>
        <v>0.75</v>
      </c>
    </row>
    <row r="172" customFormat="false" ht="16.4" hidden="false" customHeight="false" outlineLevel="0" collapsed="false">
      <c r="A172" s="1" t="n">
        <v>171</v>
      </c>
      <c r="B172" s="5" t="str">
        <f aca="false">[1]Base_Jugadores!B172</f>
        <v>Javi Rueda</v>
      </c>
      <c r="C172" s="5" t="str">
        <f aca="false">IFERROR(
   _xlfn.XLOOKUP(VALUE(A172),[1]Fichajes_Realizados!A$2:A$50000,[1]Fichajes_Realizados!D$2:D$50000,,0,-1),
   _xlfn.XLOOKUP(VALUE(A172),[1]Base_Jugadores!A$2:A$50000,[1]Base_Jugadores!C$2:C$50000)
)</f>
        <v>RC Celta de Vigo</v>
      </c>
      <c r="D172" s="5" t="str">
        <f aca="false">[1]Base_Jugadores!D172</f>
        <v>España</v>
      </c>
      <c r="E172" s="3"/>
      <c r="F172" s="5" t="str">
        <f aca="false">[1]Base_Jugadores!E172</f>
        <v>LD</v>
      </c>
      <c r="G172" s="5" t="n">
        <f aca="false">[1]Base_Jugadores!F172</f>
        <v>64</v>
      </c>
      <c r="H172" s="5" t="n">
        <f aca="false">[1]Base_Jugadores!G172</f>
        <v>23</v>
      </c>
      <c r="I172" s="7" t="n">
        <f aca="false" t="array" ref="I172:I172">_xlfn.XLOOKUP(G172,{55;56;57;58;59;60;61;62;63;64;65;66;67;68;69;70;71;72;73;74;75;76;77;78;79;80;81;82;83;84;85;86;87;88;89;90;91;92;93;94;95;96;97;98;99},{100000;130000;160000;190000;220000;250000;300000;350000;400000;450000;500000;600000;700000;800000;900000;1000000;1500000;2000000;3000000;4000000;5000000;6500000;8000000;10000000;12500000;15000000;20000000;25000000;30000000;35000000;40000000;55000000;70000000;80000000;90000000;110000000;130000000;160000000;190000000;220000000;250000000;280000000;310000000;340000000;400000000})</f>
        <v>450000</v>
      </c>
      <c r="J172" s="7" t="n">
        <f aca="false">I172*S172*T172*U172</f>
        <v>376380</v>
      </c>
      <c r="K172" s="8"/>
      <c r="L172" s="3"/>
      <c r="M172" s="8"/>
      <c r="N172" s="9" t="n">
        <v>2</v>
      </c>
      <c r="O172" s="4" t="n">
        <v>0</v>
      </c>
      <c r="P172" s="5" t="n">
        <f aca="false">IF(COUNTIF([1]Base_Jugadores!J$2:J$500,B172)&gt;0,1,0)</f>
        <v>0</v>
      </c>
      <c r="Q172" s="10" t="b">
        <f aca="false">--(COUNTIFS(
   [1]Fichajes_Realizados!A$2:A$5000,A172,
   [1]Fichajes_Realizados!G$2:G$5000,$X$3
)&gt;0)</f>
        <v>0</v>
      </c>
      <c r="R172" s="5" t="n">
        <f aca="false">_xlfn.XLOOKUP(C172, [1]Estado_Equipos!A$2:A$500, [1]Estado_Equipos!J$2:J$500, "")</f>
        <v>75</v>
      </c>
      <c r="S172" s="5" t="n">
        <f aca="false">IF(H172&lt;=16,1.45,
IF(H172&gt;=41,0.3,
CHOOSE(ROUNDDOWN((H172-16)/2,0)+1,
1.45,1.38,1.3,1.23,1.17,1.15,1.12,1.05,0.95,0.8,0.6,0.4,0.3)))</f>
        <v>1.23</v>
      </c>
      <c r="T172" s="5" t="n">
        <f aca="false">CHOOSE(N172+1,1.2,1,0.85,0.7)</f>
        <v>0.85</v>
      </c>
      <c r="U172" s="5" t="n">
        <f aca="false">IF(F172="PO",0.6,
IF(F172="CT",0.75,
IF(F172="LI",0.8,
IF(F172="LD",0.8,
IF(F172="MCD",0.85,
IF(F172="MC",0.95,
IF(F172="MO",1.05,
IF(F172="EI",1.1,
IF(F172="ED",1.1,
IF(F172="SD",1.15,
IF(F172="DC",1.2,0)))))))))))</f>
        <v>0.8</v>
      </c>
    </row>
    <row r="173" customFormat="false" ht="16.4" hidden="false" customHeight="false" outlineLevel="0" collapsed="false">
      <c r="A173" s="1" t="n">
        <v>172</v>
      </c>
      <c r="B173" s="5" t="str">
        <f aca="false">[1]Base_Jugadores!B173</f>
        <v>Joseph Aidoo</v>
      </c>
      <c r="C173" s="5" t="str">
        <f aca="false">IFERROR(
   _xlfn.XLOOKUP(VALUE(A173),[1]Fichajes_Realizados!A$2:A$50000,[1]Fichajes_Realizados!D$2:D$50000,,0,-1),
   _xlfn.XLOOKUP(VALUE(A173),[1]Base_Jugadores!A$2:A$50000,[1]Base_Jugadores!C$2:C$50000)
)</f>
        <v>RC Celta de Vigo</v>
      </c>
      <c r="D173" s="5" t="str">
        <f aca="false">[1]Base_Jugadores!D173</f>
        <v>Ghana</v>
      </c>
      <c r="E173" s="3"/>
      <c r="F173" s="5" t="str">
        <f aca="false">[1]Base_Jugadores!E173</f>
        <v>CT</v>
      </c>
      <c r="G173" s="5" t="n">
        <f aca="false">[1]Base_Jugadores!F173</f>
        <v>77</v>
      </c>
      <c r="H173" s="5" t="n">
        <f aca="false">[1]Base_Jugadores!G173</f>
        <v>30</v>
      </c>
      <c r="I173" s="7" t="n">
        <f aca="false" t="array" ref="I173:I173">_xlfn.XLOOKUP(G173,{55;56;57;58;59;60;61;62;63;64;65;66;67;68;69;70;71;72;73;74;75;76;77;78;79;80;81;82;83;84;85;86;87;88;89;90;91;92;93;94;95;96;97;98;99},{100000;130000;160000;190000;220000;250000;300000;350000;400000;450000;500000;600000;700000;800000;900000;1000000;1500000;2000000;3000000;4000000;5000000;6500000;8000000;10000000;12500000;15000000;20000000;25000000;30000000;35000000;40000000;55000000;70000000;80000000;90000000;110000000;130000000;160000000;190000000;220000000;250000000;280000000;310000000;340000000;400000000})</f>
        <v>8000000</v>
      </c>
      <c r="J173" s="7" t="n">
        <f aca="false">I173*S173*T173*U173</f>
        <v>7560000</v>
      </c>
      <c r="K173" s="3"/>
      <c r="L173" s="3"/>
      <c r="M173" s="8"/>
      <c r="N173" s="9" t="n">
        <v>0</v>
      </c>
      <c r="O173" s="4" t="n">
        <v>0</v>
      </c>
      <c r="P173" s="5" t="n">
        <f aca="false">IF(COUNTIF([1]Base_Jugadores!J$2:J$500,B173)&gt;0,1,0)</f>
        <v>0</v>
      </c>
      <c r="Q173" s="10" t="b">
        <f aca="false">--(COUNTIFS(
   [1]Fichajes_Realizados!A$2:A$5000,A173,
   [1]Fichajes_Realizados!G$2:G$5000,$X$3
)&gt;0)</f>
        <v>0</v>
      </c>
      <c r="R173" s="5" t="n">
        <f aca="false">_xlfn.XLOOKUP(C173, [1]Estado_Equipos!A$2:A$500, [1]Estado_Equipos!J$2:J$500, "")</f>
        <v>75</v>
      </c>
      <c r="S173" s="5" t="n">
        <f aca="false">IF(H173&lt;=16,1.45,
IF(H173&gt;=41,0.3,
CHOOSE(ROUNDDOWN((H173-16)/2,0)+1,
1.45,1.38,1.3,1.23,1.17,1.15,1.12,1.05,0.95,0.8,0.6,0.4,0.3)))</f>
        <v>1.05</v>
      </c>
      <c r="T173" s="5" t="n">
        <f aca="false">CHOOSE(N173+1,1.2,1,0.85,0.7)</f>
        <v>1.2</v>
      </c>
      <c r="U173" s="5" t="n">
        <f aca="false">IF(F173="PO",0.6,
IF(F173="CT",0.75,
IF(F173="LI",0.8,
IF(F173="LD",0.8,
IF(F173="MCD",0.85,
IF(F173="MC",0.95,
IF(F173="MO",1.05,
IF(F173="EI",1.1,
IF(F173="ED",1.1,
IF(F173="SD",1.15,
IF(F173="DC",1.2,0)))))))))))</f>
        <v>0.75</v>
      </c>
    </row>
    <row r="174" customFormat="false" ht="16.4" hidden="false" customHeight="false" outlineLevel="0" collapsed="false">
      <c r="A174" s="1" t="n">
        <v>173</v>
      </c>
      <c r="B174" s="5" t="str">
        <f aca="false">[1]Base_Jugadores!B174</f>
        <v>Manu Fernández</v>
      </c>
      <c r="C174" s="5" t="str">
        <f aca="false">IFERROR(
   _xlfn.XLOOKUP(VALUE(A174),[1]Fichajes_Realizados!A$2:A$50000,[1]Fichajes_Realizados!D$2:D$50000,,0,-1),
   _xlfn.XLOOKUP(VALUE(A174),[1]Base_Jugadores!A$2:A$50000,[1]Base_Jugadores!C$2:C$50000)
)</f>
        <v>RC Celta de Vigo</v>
      </c>
      <c r="D174" s="5" t="str">
        <f aca="false">[1]Base_Jugadores!D174</f>
        <v>España</v>
      </c>
      <c r="E174" s="3"/>
      <c r="F174" s="5" t="str">
        <f aca="false">[1]Base_Jugadores!E174</f>
        <v>CT</v>
      </c>
      <c r="G174" s="5" t="n">
        <f aca="false">[1]Base_Jugadores!F174</f>
        <v>64</v>
      </c>
      <c r="H174" s="5" t="n">
        <f aca="false">[1]Base_Jugadores!G174</f>
        <v>24</v>
      </c>
      <c r="I174" s="7" t="n">
        <f aca="false" t="array" ref="I174:I174">_xlfn.XLOOKUP(G174,{55;56;57;58;59;60;61;62;63;64;65;66;67;68;69;70;71;72;73;74;75;76;77;78;79;80;81;82;83;84;85;86;87;88;89;90;91;92;93;94;95;96;97;98;99},{100000;130000;160000;190000;220000;250000;300000;350000;400000;450000;500000;600000;700000;800000;900000;1000000;1500000;2000000;3000000;4000000;5000000;6500000;8000000;10000000;12500000;15000000;20000000;25000000;30000000;35000000;40000000;55000000;70000000;80000000;90000000;110000000;130000000;160000000;190000000;220000000;250000000;280000000;310000000;340000000;400000000})</f>
        <v>450000</v>
      </c>
      <c r="J174" s="7" t="n">
        <f aca="false">I174*S174*T174*U174</f>
        <v>473850</v>
      </c>
      <c r="K174" s="3"/>
      <c r="L174" s="3"/>
      <c r="M174" s="3"/>
      <c r="N174" s="9" t="n">
        <v>0</v>
      </c>
      <c r="O174" s="4" t="n">
        <v>0</v>
      </c>
      <c r="P174" s="5" t="n">
        <f aca="false">IF(COUNTIF([1]Base_Jugadores!J$2:J$500,B174)&gt;0,1,0)</f>
        <v>0</v>
      </c>
      <c r="Q174" s="10" t="b">
        <f aca="false">--(COUNTIFS(
   [1]Fichajes_Realizados!A$2:A$5000,A174,
   [1]Fichajes_Realizados!G$2:G$5000,$X$3
)&gt;0)</f>
        <v>0</v>
      </c>
      <c r="R174" s="5" t="n">
        <f aca="false">_xlfn.XLOOKUP(C174, [1]Estado_Equipos!A$2:A$500, [1]Estado_Equipos!J$2:J$500, "")</f>
        <v>75</v>
      </c>
      <c r="S174" s="5" t="n">
        <f aca="false">IF(H174&lt;=16,1.45,
IF(H174&gt;=41,0.3,
CHOOSE(ROUNDDOWN((H174-16)/2,0)+1,
1.45,1.38,1.3,1.23,1.17,1.15,1.12,1.05,0.95,0.8,0.6,0.4,0.3)))</f>
        <v>1.17</v>
      </c>
      <c r="T174" s="5" t="n">
        <f aca="false">CHOOSE(N174+1,1.2,1,0.85,0.7)</f>
        <v>1.2</v>
      </c>
      <c r="U174" s="5" t="n">
        <f aca="false">IF(F174="PO",0.6,
IF(F174="CT",0.75,
IF(F174="LI",0.8,
IF(F174="LD",0.8,
IF(F174="MCD",0.85,
IF(F174="MC",0.95,
IF(F174="MO",1.05,
IF(F174="EI",1.1,
IF(F174="ED",1.1,
IF(F174="SD",1.15,
IF(F174="DC",1.2,0)))))))))))</f>
        <v>0.75</v>
      </c>
    </row>
    <row r="175" customFormat="false" ht="16.4" hidden="false" customHeight="false" outlineLevel="0" collapsed="false">
      <c r="A175" s="1" t="n">
        <v>174</v>
      </c>
      <c r="B175" s="5" t="str">
        <f aca="false">[1]Base_Jugadores!B175</f>
        <v>Marc Vidal</v>
      </c>
      <c r="C175" s="5" t="str">
        <f aca="false">IFERROR(
   _xlfn.XLOOKUP(VALUE(A175),[1]Fichajes_Realizados!A$2:A$50000,[1]Fichajes_Realizados!D$2:D$50000,,0,-1),
   _xlfn.XLOOKUP(VALUE(A175),[1]Base_Jugadores!A$2:A$50000,[1]Base_Jugadores!C$2:C$50000)
)</f>
        <v>RC Celta de Vigo</v>
      </c>
      <c r="D175" s="5" t="str">
        <f aca="false">[1]Base_Jugadores!D175</f>
        <v>España</v>
      </c>
      <c r="E175" s="3"/>
      <c r="F175" s="5" t="str">
        <f aca="false">[1]Base_Jugadores!E175</f>
        <v>PO</v>
      </c>
      <c r="G175" s="5" t="n">
        <f aca="false">[1]Base_Jugadores!F175</f>
        <v>62</v>
      </c>
      <c r="H175" s="5" t="n">
        <f aca="false">[1]Base_Jugadores!G175</f>
        <v>25</v>
      </c>
      <c r="I175" s="7" t="n">
        <f aca="false" t="array" ref="I175:I175">_xlfn.XLOOKUP(G175,{55;56;57;58;59;60;61;62;63;64;65;66;67;68;69;70;71;72;73;74;75;76;77;78;79;80;81;82;83;84;85;86;87;88;89;90;91;92;93;94;95;96;97;98;99},{100000;130000;160000;190000;220000;250000;300000;350000;400000;450000;500000;600000;700000;800000;900000;1000000;1500000;2000000;3000000;4000000;5000000;6500000;8000000;10000000;12500000;15000000;20000000;25000000;30000000;35000000;40000000;55000000;70000000;80000000;90000000;110000000;130000000;160000000;190000000;220000000;250000000;280000000;310000000;340000000;400000000})</f>
        <v>350000</v>
      </c>
      <c r="J175" s="7" t="n">
        <f aca="false">I175*S175*T175*U175</f>
        <v>208845</v>
      </c>
      <c r="K175" s="8"/>
      <c r="L175" s="3"/>
      <c r="M175" s="8"/>
      <c r="N175" s="9" t="n">
        <v>2</v>
      </c>
      <c r="O175" s="4" t="n">
        <v>0</v>
      </c>
      <c r="P175" s="5" t="n">
        <f aca="false">IF(COUNTIF([1]Base_Jugadores!J$2:J$500,B175)&gt;0,1,0)</f>
        <v>0</v>
      </c>
      <c r="Q175" s="10" t="b">
        <f aca="false">--(COUNTIFS(
   [1]Fichajes_Realizados!A$2:A$5000,A175,
   [1]Fichajes_Realizados!G$2:G$5000,$X$3
)&gt;0)</f>
        <v>0</v>
      </c>
      <c r="R175" s="5" t="n">
        <f aca="false">_xlfn.XLOOKUP(C175, [1]Estado_Equipos!A$2:A$500, [1]Estado_Equipos!J$2:J$500, "")</f>
        <v>75</v>
      </c>
      <c r="S175" s="5" t="n">
        <f aca="false">IF(H175&lt;=16,1.45,
IF(H175&gt;=41,0.3,
CHOOSE(ROUNDDOWN((H175-16)/2,0)+1,
1.45,1.38,1.3,1.23,1.17,1.15,1.12,1.05,0.95,0.8,0.6,0.4,0.3)))</f>
        <v>1.17</v>
      </c>
      <c r="T175" s="5" t="n">
        <f aca="false">CHOOSE(N175+1,1.2,1,0.85,0.7)</f>
        <v>0.85</v>
      </c>
      <c r="U175" s="5" t="n">
        <f aca="false">IF(F175="PO",0.6,
IF(F175="CT",0.75,
IF(F175="LI",0.8,
IF(F175="LD",0.8,
IF(F175="MCD",0.85,
IF(F175="MC",0.95,
IF(F175="MO",1.05,
IF(F175="EI",1.1,
IF(F175="ED",1.1,
IF(F175="SD",1.15,
IF(F175="DC",1.2,0)))))))))))</f>
        <v>0.6</v>
      </c>
    </row>
    <row r="176" customFormat="false" ht="16.4" hidden="false" customHeight="false" outlineLevel="0" collapsed="false">
      <c r="A176" s="1" t="n">
        <v>175</v>
      </c>
      <c r="B176" s="5" t="str">
        <f aca="false">[1]Base_Jugadores!B176</f>
        <v>Marcos Alonso</v>
      </c>
      <c r="C176" s="5" t="str">
        <f aca="false">IFERROR(
   _xlfn.XLOOKUP(VALUE(A176),[1]Fichajes_Realizados!A$2:A$50000,[1]Fichajes_Realizados!D$2:D$50000,,0,-1),
   _xlfn.XLOOKUP(VALUE(A176),[1]Base_Jugadores!A$2:A$50000,[1]Base_Jugadores!C$2:C$50000)
)</f>
        <v>RC Celta de Vigo</v>
      </c>
      <c r="D176" s="5" t="str">
        <f aca="false">[1]Base_Jugadores!D176</f>
        <v>España</v>
      </c>
      <c r="E176" s="3"/>
      <c r="F176" s="5" t="str">
        <f aca="false">[1]Base_Jugadores!E176</f>
        <v>CT</v>
      </c>
      <c r="G176" s="5" t="n">
        <f aca="false">[1]Base_Jugadores!F176</f>
        <v>73</v>
      </c>
      <c r="H176" s="5" t="n">
        <f aca="false">[1]Base_Jugadores!G176</f>
        <v>35</v>
      </c>
      <c r="I176" s="7" t="n">
        <f aca="false" t="array" ref="I176:I176">_xlfn.XLOOKUP(G176,{55;56;57;58;59;60;61;62;63;64;65;66;67;68;69;70;71;72;73;74;75;76;77;78;79;80;81;82;83;84;85;86;87;88;89;90;91;92;93;94;95;96;97;98;99},{100000;130000;160000;190000;220000;250000;300000;350000;400000;450000;500000;600000;700000;800000;900000;1000000;1500000;2000000;3000000;4000000;5000000;6500000;8000000;10000000;12500000;15000000;20000000;25000000;30000000;35000000;40000000;55000000;70000000;80000000;90000000;110000000;130000000;160000000;190000000;220000000;250000000;280000000;310000000;340000000;400000000})</f>
        <v>3000000</v>
      </c>
      <c r="J176" s="7" t="n">
        <f aca="false">I176*S176*T176*U176</f>
        <v>1530000</v>
      </c>
      <c r="K176" s="8"/>
      <c r="L176" s="3"/>
      <c r="M176" s="8"/>
      <c r="N176" s="9" t="n">
        <v>2</v>
      </c>
      <c r="O176" s="4" t="n">
        <v>0</v>
      </c>
      <c r="P176" s="5" t="n">
        <f aca="false">IF(COUNTIF([1]Base_Jugadores!J$2:J$500,B176)&gt;0,1,0)</f>
        <v>0</v>
      </c>
      <c r="Q176" s="10" t="b">
        <f aca="false">--(COUNTIFS(
   [1]Fichajes_Realizados!A$2:A$5000,A176,
   [1]Fichajes_Realizados!G$2:G$5000,$X$3
)&gt;0)</f>
        <v>0</v>
      </c>
      <c r="R176" s="5" t="n">
        <f aca="false">_xlfn.XLOOKUP(C176, [1]Estado_Equipos!A$2:A$500, [1]Estado_Equipos!J$2:J$500, "")</f>
        <v>75</v>
      </c>
      <c r="S176" s="5" t="n">
        <f aca="false">IF(H176&lt;=16,1.45,
IF(H176&gt;=41,0.3,
CHOOSE(ROUNDDOWN((H176-16)/2,0)+1,
1.45,1.38,1.3,1.23,1.17,1.15,1.12,1.05,0.95,0.8,0.6,0.4,0.3)))</f>
        <v>0.8</v>
      </c>
      <c r="T176" s="5" t="n">
        <f aca="false">CHOOSE(N176+1,1.2,1,0.85,0.7)</f>
        <v>0.85</v>
      </c>
      <c r="U176" s="5" t="n">
        <f aca="false">IF(F176="PO",0.6,
IF(F176="CT",0.75,
IF(F176="LI",0.8,
IF(F176="LD",0.8,
IF(F176="MCD",0.85,
IF(F176="MC",0.95,
IF(F176="MO",1.05,
IF(F176="EI",1.1,
IF(F176="ED",1.1,
IF(F176="SD",1.15,
IF(F176="DC",1.2,0)))))))))))</f>
        <v>0.75</v>
      </c>
    </row>
    <row r="177" customFormat="false" ht="16.4" hidden="false" customHeight="false" outlineLevel="0" collapsed="false">
      <c r="A177" s="1" t="n">
        <v>176</v>
      </c>
      <c r="B177" s="5" t="str">
        <f aca="false">[1]Base_Jugadores!B177</f>
        <v>Miguel Román</v>
      </c>
      <c r="C177" s="5" t="str">
        <f aca="false">IFERROR(
   _xlfn.XLOOKUP(VALUE(A177),[1]Fichajes_Realizados!A$2:A$50000,[1]Fichajes_Realizados!D$2:D$50000,,0,-1),
   _xlfn.XLOOKUP(VALUE(A177),[1]Base_Jugadores!A$2:A$50000,[1]Base_Jugadores!C$2:C$50000)
)</f>
        <v>RC Celta de Vigo</v>
      </c>
      <c r="D177" s="5" t="str">
        <f aca="false">[1]Base_Jugadores!D177</f>
        <v>España</v>
      </c>
      <c r="E177" s="3"/>
      <c r="F177" s="5" t="str">
        <f aca="false">[1]Base_Jugadores!E177</f>
        <v>MC</v>
      </c>
      <c r="G177" s="5" t="n">
        <f aca="false">[1]Base_Jugadores!F177</f>
        <v>70</v>
      </c>
      <c r="H177" s="5" t="n">
        <f aca="false">[1]Base_Jugadores!G177</f>
        <v>23</v>
      </c>
      <c r="I177" s="7" t="n">
        <f aca="false" t="array" ref="I177:I177">_xlfn.XLOOKUP(G177,{55;56;57;58;59;60;61;62;63;64;65;66;67;68;69;70;71;72;73;74;75;76;77;78;79;80;81;82;83;84;85;86;87;88;89;90;91;92;93;94;95;96;97;98;99},{100000;130000;160000;190000;220000;250000;300000;350000;400000;450000;500000;600000;700000;800000;900000;1000000;1500000;2000000;3000000;4000000;5000000;6500000;8000000;10000000;12500000;15000000;20000000;25000000;30000000;35000000;40000000;55000000;70000000;80000000;90000000;110000000;130000000;160000000;190000000;220000000;250000000;280000000;310000000;340000000;400000000})</f>
        <v>1000000</v>
      </c>
      <c r="J177" s="7" t="n">
        <f aca="false">I177*S177*T177*U177</f>
        <v>1402200</v>
      </c>
      <c r="K177" s="3"/>
      <c r="L177" s="3"/>
      <c r="M177" s="3"/>
      <c r="N177" s="9" t="n">
        <v>0</v>
      </c>
      <c r="O177" s="4" t="n">
        <v>0</v>
      </c>
      <c r="P177" s="5" t="n">
        <f aca="false">IF(COUNTIF([1]Base_Jugadores!J$2:J$500,B177)&gt;0,1,0)</f>
        <v>0</v>
      </c>
      <c r="Q177" s="10" t="b">
        <f aca="false">--(COUNTIFS(
   [1]Fichajes_Realizados!A$2:A$5000,A177,
   [1]Fichajes_Realizados!G$2:G$5000,$X$3
)&gt;0)</f>
        <v>0</v>
      </c>
      <c r="R177" s="5" t="n">
        <f aca="false">_xlfn.XLOOKUP(C177, [1]Estado_Equipos!A$2:A$500, [1]Estado_Equipos!J$2:J$500, "")</f>
        <v>75</v>
      </c>
      <c r="S177" s="5" t="n">
        <f aca="false">IF(H177&lt;=16,1.45,
IF(H177&gt;=41,0.3,
CHOOSE(ROUNDDOWN((H177-16)/2,0)+1,
1.45,1.38,1.3,1.23,1.17,1.15,1.12,1.05,0.95,0.8,0.6,0.4,0.3)))</f>
        <v>1.23</v>
      </c>
      <c r="T177" s="5" t="n">
        <f aca="false">CHOOSE(N177+1,1.2,1,0.85,0.7)</f>
        <v>1.2</v>
      </c>
      <c r="U177" s="5" t="n">
        <f aca="false">IF(F177="PO",0.6,
IF(F177="CT",0.75,
IF(F177="LI",0.8,
IF(F177="LD",0.8,
IF(F177="MCD",0.85,
IF(F177="MC",0.95,
IF(F177="MO",1.05,
IF(F177="EI",1.1,
IF(F177="ED",1.1,
IF(F177="SD",1.15,
IF(F177="DC",1.2,0)))))))))))</f>
        <v>0.95</v>
      </c>
    </row>
    <row r="178" customFormat="false" ht="16.4" hidden="false" customHeight="false" outlineLevel="0" collapsed="false">
      <c r="A178" s="1" t="n">
        <v>177</v>
      </c>
      <c r="B178" s="5" t="str">
        <f aca="false">[1]Base_Jugadores!B178</f>
        <v>Mihailo Ristic</v>
      </c>
      <c r="C178" s="5" t="str">
        <f aca="false">IFERROR(
   _xlfn.XLOOKUP(VALUE(A178),[1]Fichajes_Realizados!A$2:A$50000,[1]Fichajes_Realizados!D$2:D$50000,,0,-1),
   _xlfn.XLOOKUP(VALUE(A178),[1]Base_Jugadores!A$2:A$50000,[1]Base_Jugadores!C$2:C$50000)
)</f>
        <v>RC Celta de Vigo</v>
      </c>
      <c r="D178" s="5" t="str">
        <f aca="false">[1]Base_Jugadores!D178</f>
        <v>Serbia</v>
      </c>
      <c r="E178" s="3"/>
      <c r="F178" s="5" t="str">
        <f aca="false">[1]Base_Jugadores!E178</f>
        <v>LI</v>
      </c>
      <c r="G178" s="5" t="n">
        <f aca="false">[1]Base_Jugadores!F178</f>
        <v>74</v>
      </c>
      <c r="H178" s="5" t="n">
        <f aca="false">[1]Base_Jugadores!G178</f>
        <v>30</v>
      </c>
      <c r="I178" s="7" t="n">
        <f aca="false" t="array" ref="I178:I178">_xlfn.XLOOKUP(G178,{55;56;57;58;59;60;61;62;63;64;65;66;67;68;69;70;71;72;73;74;75;76;77;78;79;80;81;82;83;84;85;86;87;88;89;90;91;92;93;94;95;96;97;98;99},{100000;130000;160000;190000;220000;250000;300000;350000;400000;450000;500000;600000;700000;800000;900000;1000000;1500000;2000000;3000000;4000000;5000000;6500000;8000000;10000000;12500000;15000000;20000000;25000000;30000000;35000000;40000000;55000000;70000000;80000000;90000000;110000000;130000000;160000000;190000000;220000000;250000000;280000000;310000000;340000000;400000000})</f>
        <v>4000000</v>
      </c>
      <c r="J178" s="7" t="n">
        <f aca="false">I178*S178*T178*U178</f>
        <v>4032000</v>
      </c>
      <c r="K178" s="8"/>
      <c r="L178" s="3"/>
      <c r="M178" s="8"/>
      <c r="N178" s="9" t="n">
        <v>0</v>
      </c>
      <c r="O178" s="4" t="n">
        <v>0</v>
      </c>
      <c r="P178" s="5" t="n">
        <f aca="false">IF(COUNTIF([1]Base_Jugadores!J$2:J$500,B178)&gt;0,1,0)</f>
        <v>0</v>
      </c>
      <c r="Q178" s="10" t="b">
        <f aca="false">--(COUNTIFS(
   [1]Fichajes_Realizados!A$2:A$5000,A178,
   [1]Fichajes_Realizados!G$2:G$5000,$X$3
)&gt;0)</f>
        <v>0</v>
      </c>
      <c r="R178" s="5" t="n">
        <f aca="false">_xlfn.XLOOKUP(C178, [1]Estado_Equipos!A$2:A$500, [1]Estado_Equipos!J$2:J$500, "")</f>
        <v>75</v>
      </c>
      <c r="S178" s="5" t="n">
        <f aca="false">IF(H178&lt;=16,1.45,
IF(H178&gt;=41,0.3,
CHOOSE(ROUNDDOWN((H178-16)/2,0)+1,
1.45,1.38,1.3,1.23,1.17,1.15,1.12,1.05,0.95,0.8,0.6,0.4,0.3)))</f>
        <v>1.05</v>
      </c>
      <c r="T178" s="5" t="n">
        <f aca="false">CHOOSE(N178+1,1.2,1,0.85,0.7)</f>
        <v>1.2</v>
      </c>
      <c r="U178" s="5" t="n">
        <f aca="false">IF(F178="PO",0.6,
IF(F178="CT",0.75,
IF(F178="LI",0.8,
IF(F178="LD",0.8,
IF(F178="MCD",0.85,
IF(F178="MC",0.95,
IF(F178="MO",1.05,
IF(F178="EI",1.1,
IF(F178="ED",1.1,
IF(F178="SD",1.15,
IF(F178="DC",1.2,0)))))))))))</f>
        <v>0.8</v>
      </c>
    </row>
    <row r="179" customFormat="false" ht="16.4" hidden="false" customHeight="false" outlineLevel="0" collapsed="false">
      <c r="A179" s="1" t="n">
        <v>178</v>
      </c>
      <c r="B179" s="5" t="str">
        <f aca="false">[1]Base_Jugadores!B179</f>
        <v>Óscar Mingueza</v>
      </c>
      <c r="C179" s="5" t="str">
        <f aca="false">IFERROR(
   _xlfn.XLOOKUP(VALUE(A179),[1]Fichajes_Realizados!A$2:A$50000,[1]Fichajes_Realizados!D$2:D$50000,,0,-1),
   _xlfn.XLOOKUP(VALUE(A179),[1]Base_Jugadores!A$2:A$50000,[1]Base_Jugadores!C$2:C$50000)
)</f>
        <v>RC Celta de Vigo</v>
      </c>
      <c r="D179" s="5" t="str">
        <f aca="false">[1]Base_Jugadores!D179</f>
        <v>España</v>
      </c>
      <c r="E179" s="3"/>
      <c r="F179" s="5" t="str">
        <f aca="false">[1]Base_Jugadores!E179</f>
        <v>LD</v>
      </c>
      <c r="G179" s="5" t="n">
        <f aca="false">[1]Base_Jugadores!F179</f>
        <v>79</v>
      </c>
      <c r="H179" s="5" t="n">
        <f aca="false">[1]Base_Jugadores!G179</f>
        <v>26</v>
      </c>
      <c r="I179" s="7" t="n">
        <f aca="false" t="array" ref="I179:I179">_xlfn.XLOOKUP(G179,{55;56;57;58;59;60;61;62;63;64;65;66;67;68;69;70;71;72;73;74;75;76;77;78;79;80;81;82;83;84;85;86;87;88;89;90;91;92;93;94;95;96;97;98;99},{100000;130000;160000;190000;220000;250000;300000;350000;400000;450000;500000;600000;700000;800000;900000;1000000;1500000;2000000;3000000;4000000;5000000;6500000;8000000;10000000;12500000;15000000;20000000;25000000;30000000;35000000;40000000;55000000;70000000;80000000;90000000;110000000;130000000;160000000;190000000;220000000;250000000;280000000;310000000;340000000;400000000})</f>
        <v>12500000</v>
      </c>
      <c r="J179" s="7" t="n">
        <f aca="false">I179*S179*T179*U179</f>
        <v>13800000</v>
      </c>
      <c r="K179" s="3"/>
      <c r="L179" s="3"/>
      <c r="M179" s="8"/>
      <c r="N179" s="9" t="n">
        <v>0</v>
      </c>
      <c r="O179" s="4" t="n">
        <v>0</v>
      </c>
      <c r="P179" s="5" t="n">
        <f aca="false">IF(COUNTIF([1]Base_Jugadores!J$2:J$500,B179)&gt;0,1,0)</f>
        <v>0</v>
      </c>
      <c r="Q179" s="10" t="b">
        <f aca="false">--(COUNTIFS(
   [1]Fichajes_Realizados!A$2:A$5000,A179,
   [1]Fichajes_Realizados!G$2:G$5000,$X$3
)&gt;0)</f>
        <v>0</v>
      </c>
      <c r="R179" s="5" t="n">
        <f aca="false">_xlfn.XLOOKUP(C179, [1]Estado_Equipos!A$2:A$500, [1]Estado_Equipos!J$2:J$500, "")</f>
        <v>75</v>
      </c>
      <c r="S179" s="5" t="n">
        <f aca="false">IF(H179&lt;=16,1.45,
IF(H179&gt;=41,0.3,
CHOOSE(ROUNDDOWN((H179-16)/2,0)+1,
1.45,1.38,1.3,1.23,1.17,1.15,1.12,1.05,0.95,0.8,0.6,0.4,0.3)))</f>
        <v>1.15</v>
      </c>
      <c r="T179" s="5" t="n">
        <f aca="false">CHOOSE(N179+1,1.2,1,0.85,0.7)</f>
        <v>1.2</v>
      </c>
      <c r="U179" s="5" t="n">
        <f aca="false">IF(F179="PO",0.6,
IF(F179="CT",0.75,
IF(F179="LI",0.8,
IF(F179="LD",0.8,
IF(F179="MCD",0.85,
IF(F179="MC",0.95,
IF(F179="MO",1.05,
IF(F179="EI",1.1,
IF(F179="ED",1.1,
IF(F179="SD",1.15,
IF(F179="DC",1.2,0)))))))))))</f>
        <v>0.8</v>
      </c>
    </row>
    <row r="180" customFormat="false" ht="16.4" hidden="false" customHeight="false" outlineLevel="0" collapsed="false">
      <c r="A180" s="1" t="n">
        <v>179</v>
      </c>
      <c r="B180" s="5" t="str">
        <f aca="false">[1]Base_Jugadores!B180</f>
        <v>Pablo Durán</v>
      </c>
      <c r="C180" s="5" t="str">
        <f aca="false">IFERROR(
   _xlfn.XLOOKUP(VALUE(A180),[1]Fichajes_Realizados!A$2:A$50000,[1]Fichajes_Realizados!D$2:D$50000,,0,-1),
   _xlfn.XLOOKUP(VALUE(A180),[1]Base_Jugadores!A$2:A$50000,[1]Base_Jugadores!C$2:C$50000)
)</f>
        <v>RC Celta de Vigo</v>
      </c>
      <c r="D180" s="5" t="str">
        <f aca="false">[1]Base_Jugadores!D180</f>
        <v>España</v>
      </c>
      <c r="E180" s="3"/>
      <c r="F180" s="5" t="str">
        <f aca="false">[1]Base_Jugadores!E180</f>
        <v>DC</v>
      </c>
      <c r="G180" s="5" t="n">
        <f aca="false">[1]Base_Jugadores!F180</f>
        <v>67</v>
      </c>
      <c r="H180" s="5" t="n">
        <f aca="false">[1]Base_Jugadores!G180</f>
        <v>24</v>
      </c>
      <c r="I180" s="7" t="n">
        <f aca="false" t="array" ref="I180:I180">_xlfn.XLOOKUP(G180,{55;56;57;58;59;60;61;62;63;64;65;66;67;68;69;70;71;72;73;74;75;76;77;78;79;80;81;82;83;84;85;86;87;88;89;90;91;92;93;94;95;96;97;98;99},{100000;130000;160000;190000;220000;250000;300000;350000;400000;450000;500000;600000;700000;800000;900000;1000000;1500000;2000000;3000000;4000000;5000000;6500000;8000000;10000000;12500000;15000000;20000000;25000000;30000000;35000000;40000000;55000000;70000000;80000000;90000000;110000000;130000000;160000000;190000000;220000000;250000000;280000000;310000000;340000000;400000000})</f>
        <v>700000</v>
      </c>
      <c r="J180" s="7" t="n">
        <f aca="false">I180*S180*T180*U180</f>
        <v>835380</v>
      </c>
      <c r="K180" s="8"/>
      <c r="L180" s="3"/>
      <c r="M180" s="8"/>
      <c r="N180" s="9" t="n">
        <v>2</v>
      </c>
      <c r="O180" s="4" t="n">
        <v>0</v>
      </c>
      <c r="P180" s="5" t="n">
        <f aca="false">IF(COUNTIF([1]Base_Jugadores!J$2:J$500,B180)&gt;0,1,0)</f>
        <v>0</v>
      </c>
      <c r="Q180" s="10" t="b">
        <f aca="false">--(COUNTIFS(
   [1]Fichajes_Realizados!A$2:A$5000,A180,
   [1]Fichajes_Realizados!G$2:G$5000,$X$3
)&gt;0)</f>
        <v>0</v>
      </c>
      <c r="R180" s="5" t="n">
        <f aca="false">_xlfn.XLOOKUP(C180, [1]Estado_Equipos!A$2:A$500, [1]Estado_Equipos!J$2:J$500, "")</f>
        <v>75</v>
      </c>
      <c r="S180" s="5" t="n">
        <f aca="false">IF(H180&lt;=16,1.45,
IF(H180&gt;=41,0.3,
CHOOSE(ROUNDDOWN((H180-16)/2,0)+1,
1.45,1.38,1.3,1.23,1.17,1.15,1.12,1.05,0.95,0.8,0.6,0.4,0.3)))</f>
        <v>1.17</v>
      </c>
      <c r="T180" s="5" t="n">
        <f aca="false">CHOOSE(N180+1,1.2,1,0.85,0.7)</f>
        <v>0.85</v>
      </c>
      <c r="U180" s="5" t="n">
        <f aca="false">IF(F180="PO",0.6,
IF(F180="CT",0.75,
IF(F180="LI",0.8,
IF(F180="LD",0.8,
IF(F180="MCD",0.85,
IF(F180="MC",0.95,
IF(F180="MO",1.05,
IF(F180="EI",1.1,
IF(F180="ED",1.1,
IF(F180="SD",1.15,
IF(F180="DC",1.2,0)))))))))))</f>
        <v>1.2</v>
      </c>
    </row>
    <row r="181" customFormat="false" ht="16.4" hidden="false" customHeight="false" outlineLevel="0" collapsed="false">
      <c r="A181" s="1" t="n">
        <v>180</v>
      </c>
      <c r="B181" s="5" t="str">
        <f aca="false">[1]Base_Jugadores!B181</f>
        <v>Sergio Carreira</v>
      </c>
      <c r="C181" s="5" t="str">
        <f aca="false">IFERROR(
   _xlfn.XLOOKUP(VALUE(A181),[1]Fichajes_Realizados!A$2:A$50000,[1]Fichajes_Realizados!D$2:D$50000,,0,-1),
   _xlfn.XLOOKUP(VALUE(A181),[1]Base_Jugadores!A$2:A$50000,[1]Base_Jugadores!C$2:C$50000)
)</f>
        <v>RC Celta de Vigo</v>
      </c>
      <c r="D181" s="5" t="str">
        <f aca="false">[1]Base_Jugadores!D181</f>
        <v>España</v>
      </c>
      <c r="E181" s="3"/>
      <c r="F181" s="5" t="str">
        <f aca="false">[1]Base_Jugadores!E181</f>
        <v>LD</v>
      </c>
      <c r="G181" s="5" t="n">
        <f aca="false">[1]Base_Jugadores!F181</f>
        <v>73</v>
      </c>
      <c r="H181" s="5" t="n">
        <f aca="false">[1]Base_Jugadores!G181</f>
        <v>25</v>
      </c>
      <c r="I181" s="7" t="n">
        <f aca="false" t="array" ref="I181:I181">_xlfn.XLOOKUP(G181,{55;56;57;58;59;60;61;62;63;64;65;66;67;68;69;70;71;72;73;74;75;76;77;78;79;80;81;82;83;84;85;86;87;88;89;90;91;92;93;94;95;96;97;98;99},{100000;130000;160000;190000;220000;250000;300000;350000;400000;450000;500000;600000;700000;800000;900000;1000000;1500000;2000000;3000000;4000000;5000000;6500000;8000000;10000000;12500000;15000000;20000000;25000000;30000000;35000000;40000000;55000000;70000000;80000000;90000000;110000000;130000000;160000000;190000000;220000000;250000000;280000000;310000000;340000000;400000000})</f>
        <v>3000000</v>
      </c>
      <c r="J181" s="7" t="n">
        <f aca="false">I181*S181*T181*U181</f>
        <v>2386800</v>
      </c>
      <c r="K181" s="8"/>
      <c r="L181" s="3"/>
      <c r="M181" s="8"/>
      <c r="N181" s="9" t="n">
        <v>2</v>
      </c>
      <c r="O181" s="4" t="n">
        <v>0</v>
      </c>
      <c r="P181" s="5" t="n">
        <f aca="false">IF(COUNTIF([1]Base_Jugadores!J$2:J$500,B181)&gt;0,1,0)</f>
        <v>0</v>
      </c>
      <c r="Q181" s="10" t="b">
        <f aca="false">--(COUNTIFS(
   [1]Fichajes_Realizados!A$2:A$5000,A181,
   [1]Fichajes_Realizados!G$2:G$5000,$X$3
)&gt;0)</f>
        <v>0</v>
      </c>
      <c r="R181" s="5" t="n">
        <f aca="false">_xlfn.XLOOKUP(C181, [1]Estado_Equipos!A$2:A$500, [1]Estado_Equipos!J$2:J$500, "")</f>
        <v>75</v>
      </c>
      <c r="S181" s="5" t="n">
        <f aca="false">IF(H181&lt;=16,1.45,
IF(H181&gt;=41,0.3,
CHOOSE(ROUNDDOWN((H181-16)/2,0)+1,
1.45,1.38,1.3,1.23,1.17,1.15,1.12,1.05,0.95,0.8,0.6,0.4,0.3)))</f>
        <v>1.17</v>
      </c>
      <c r="T181" s="5" t="n">
        <f aca="false">CHOOSE(N181+1,1.2,1,0.85,0.7)</f>
        <v>0.85</v>
      </c>
      <c r="U181" s="5" t="n">
        <f aca="false">IF(F181="PO",0.6,
IF(F181="CT",0.75,
IF(F181="LI",0.8,
IF(F181="LD",0.8,
IF(F181="MCD",0.85,
IF(F181="MC",0.95,
IF(F181="MO",1.05,
IF(F181="EI",1.1,
IF(F181="ED",1.1,
IF(F181="SD",1.15,
IF(F181="DC",1.2,0)))))))))))</f>
        <v>0.8</v>
      </c>
    </row>
    <row r="182" customFormat="false" ht="16.4" hidden="false" customHeight="false" outlineLevel="0" collapsed="false">
      <c r="A182" s="1" t="n">
        <v>181</v>
      </c>
      <c r="B182" s="5" t="str">
        <f aca="false">[1]Base_Jugadores!B182</f>
        <v>Williot Swedberg</v>
      </c>
      <c r="C182" s="5" t="str">
        <f aca="false">IFERROR(
   _xlfn.XLOOKUP(VALUE(A182),[1]Fichajes_Realizados!A$2:A$50000,[1]Fichajes_Realizados!D$2:D$50000,,0,-1),
   _xlfn.XLOOKUP(VALUE(A182),[1]Base_Jugadores!A$2:A$50000,[1]Base_Jugadores!C$2:C$50000)
)</f>
        <v>RC Celta de Vigo</v>
      </c>
      <c r="D182" s="5" t="str">
        <f aca="false">[1]Base_Jugadores!D182</f>
        <v>Suecia</v>
      </c>
      <c r="E182" s="3"/>
      <c r="F182" s="5" t="str">
        <f aca="false">[1]Base_Jugadores!E182</f>
        <v>EI</v>
      </c>
      <c r="G182" s="5" t="n">
        <f aca="false">[1]Base_Jugadores!F182</f>
        <v>76</v>
      </c>
      <c r="H182" s="5" t="n">
        <f aca="false">[1]Base_Jugadores!G182</f>
        <v>21</v>
      </c>
      <c r="I182" s="7" t="n">
        <f aca="false" t="array" ref="I182:I182">_xlfn.XLOOKUP(G182,{55;56;57;58;59;60;61;62;63;64;65;66;67;68;69;70;71;72;73;74;75;76;77;78;79;80;81;82;83;84;85;86;87;88;89;90;91;92;93;94;95;96;97;98;99},{100000;130000;160000;190000;220000;250000;300000;350000;400000;450000;500000;600000;700000;800000;900000;1000000;1500000;2000000;3000000;4000000;5000000;6500000;8000000;10000000;12500000;15000000;20000000;25000000;30000000;35000000;40000000;55000000;70000000;80000000;90000000;110000000;130000000;160000000;190000000;220000000;250000000;280000000;310000000;340000000;400000000})</f>
        <v>6500000</v>
      </c>
      <c r="J182" s="7" t="n">
        <f aca="false">I182*S182*T182*U182</f>
        <v>11154000</v>
      </c>
      <c r="K182" s="8"/>
      <c r="L182" s="3"/>
      <c r="M182" s="8"/>
      <c r="N182" s="9" t="n">
        <v>0</v>
      </c>
      <c r="O182" s="4" t="n">
        <v>0</v>
      </c>
      <c r="P182" s="5" t="n">
        <f aca="false">IF(COUNTIF([1]Base_Jugadores!J$2:J$500,B182)&gt;0,1,0)</f>
        <v>0</v>
      </c>
      <c r="Q182" s="10" t="b">
        <f aca="false">--(COUNTIFS(
   [1]Fichajes_Realizados!A$2:A$5000,A182,
   [1]Fichajes_Realizados!G$2:G$5000,$X$3
)&gt;0)</f>
        <v>0</v>
      </c>
      <c r="R182" s="5" t="n">
        <f aca="false">_xlfn.XLOOKUP(C182, [1]Estado_Equipos!A$2:A$500, [1]Estado_Equipos!J$2:J$500, "")</f>
        <v>75</v>
      </c>
      <c r="S182" s="5" t="n">
        <f aca="false">IF(H182&lt;=16,1.45,
IF(H182&gt;=41,0.3,
CHOOSE(ROUNDDOWN((H182-16)/2,0)+1,
1.45,1.38,1.3,1.23,1.17,1.15,1.12,1.05,0.95,0.8,0.6,0.4,0.3)))</f>
        <v>1.3</v>
      </c>
      <c r="T182" s="5" t="n">
        <f aca="false">CHOOSE(N182+1,1.2,1,0.85,0.7)</f>
        <v>1.2</v>
      </c>
      <c r="U182" s="5" t="n">
        <f aca="false">IF(F182="PO",0.6,
IF(F182="CT",0.75,
IF(F182="LI",0.8,
IF(F182="LD",0.8,
IF(F182="MCD",0.85,
IF(F182="MC",0.95,
IF(F182="MO",1.05,
IF(F182="EI",1.1,
IF(F182="ED",1.1,
IF(F182="SD",1.15,
IF(F182="DC",1.2,0)))))))))))</f>
        <v>1.1</v>
      </c>
    </row>
    <row r="183" customFormat="false" ht="16.4" hidden="false" customHeight="false" outlineLevel="0" collapsed="false">
      <c r="A183" s="1" t="n">
        <v>182</v>
      </c>
      <c r="B183" s="5" t="str">
        <f aca="false">[1]Base_Jugadores!B183</f>
        <v>Yoel Lago</v>
      </c>
      <c r="C183" s="5" t="str">
        <f aca="false">IFERROR(
   _xlfn.XLOOKUP(VALUE(A183),[1]Fichajes_Realizados!A$2:A$50000,[1]Fichajes_Realizados!D$2:D$50000,,0,-1),
   _xlfn.XLOOKUP(VALUE(A183),[1]Base_Jugadores!A$2:A$50000,[1]Base_Jugadores!C$2:C$50000)
)</f>
        <v>RC Celta de Vigo</v>
      </c>
      <c r="D183" s="5" t="str">
        <f aca="false">[1]Base_Jugadores!D183</f>
        <v>España</v>
      </c>
      <c r="E183" s="3"/>
      <c r="F183" s="5" t="str">
        <f aca="false">[1]Base_Jugadores!E183</f>
        <v>CT</v>
      </c>
      <c r="G183" s="5" t="n">
        <f aca="false">[1]Base_Jugadores!F183</f>
        <v>65</v>
      </c>
      <c r="H183" s="5" t="n">
        <f aca="false">[1]Base_Jugadores!G183</f>
        <v>21</v>
      </c>
      <c r="I183" s="7" t="n">
        <f aca="false" t="array" ref="I183:I183">_xlfn.XLOOKUP(G183,{55;56;57;58;59;60;61;62;63;64;65;66;67;68;69;70;71;72;73;74;75;76;77;78;79;80;81;82;83;84;85;86;87;88;89;90;91;92;93;94;95;96;97;98;99},{100000;130000;160000;190000;220000;250000;300000;350000;400000;450000;500000;600000;700000;800000;900000;1000000;1500000;2000000;3000000;4000000;5000000;6500000;8000000;10000000;12500000;15000000;20000000;25000000;30000000;35000000;40000000;55000000;70000000;80000000;90000000;110000000;130000000;160000000;190000000;220000000;250000000;280000000;310000000;340000000;400000000})</f>
        <v>500000</v>
      </c>
      <c r="J183" s="7" t="n">
        <f aca="false">I183*S183*T183*U183</f>
        <v>414375</v>
      </c>
      <c r="K183" s="8"/>
      <c r="L183" s="3"/>
      <c r="M183" s="8"/>
      <c r="N183" s="9" t="n">
        <v>2</v>
      </c>
      <c r="O183" s="4" t="n">
        <v>1</v>
      </c>
      <c r="P183" s="5" t="n">
        <f aca="false">IF(COUNTIF([1]Base_Jugadores!J$2:J$500,B183)&gt;0,1,0)</f>
        <v>0</v>
      </c>
      <c r="Q183" s="10" t="b">
        <f aca="false">--(COUNTIFS(
   [1]Fichajes_Realizados!A$2:A$5000,A183,
   [1]Fichajes_Realizados!G$2:G$5000,$X$3
)&gt;0)</f>
        <v>0</v>
      </c>
      <c r="R183" s="5" t="n">
        <f aca="false">_xlfn.XLOOKUP(C183, [1]Estado_Equipos!A$2:A$500, [1]Estado_Equipos!J$2:J$500, "")</f>
        <v>75</v>
      </c>
      <c r="S183" s="5" t="n">
        <f aca="false">IF(H183&lt;=16,1.45,
IF(H183&gt;=41,0.3,
CHOOSE(ROUNDDOWN((H183-16)/2,0)+1,
1.45,1.38,1.3,1.23,1.17,1.15,1.12,1.05,0.95,0.8,0.6,0.4,0.3)))</f>
        <v>1.3</v>
      </c>
      <c r="T183" s="5" t="n">
        <f aca="false">CHOOSE(N183+1,1.2,1,0.85,0.7)</f>
        <v>0.85</v>
      </c>
      <c r="U183" s="5" t="n">
        <f aca="false">IF(F183="PO",0.6,
IF(F183="CT",0.75,
IF(F183="LI",0.8,
IF(F183="LD",0.8,
IF(F183="MCD",0.85,
IF(F183="MC",0.95,
IF(F183="MO",1.05,
IF(F183="EI",1.1,
IF(F183="ED",1.1,
IF(F183="SD",1.15,
IF(F183="DC",1.2,0)))))))))))</f>
        <v>0.75</v>
      </c>
    </row>
    <row r="184" customFormat="false" ht="16.4" hidden="false" customHeight="false" outlineLevel="0" collapsed="false">
      <c r="A184" s="1" t="n">
        <v>183</v>
      </c>
      <c r="B184" s="5" t="str">
        <f aca="false">[1]Base_Jugadores!B184</f>
        <v>Ángel Fortuño</v>
      </c>
      <c r="C184" s="5" t="str">
        <f aca="false">IFERROR(
   _xlfn.XLOOKUP(VALUE(A184),[1]Fichajes_Realizados!A$2:A$50000,[1]Fichajes_Realizados!D$2:D$50000,,0,-1),
   _xlfn.XLOOKUP(VALUE(A184),[1]Base_Jugadores!A$2:A$50000,[1]Base_Jugadores!C$2:C$50000)
)</f>
        <v>RCD Espanyol</v>
      </c>
      <c r="D184" s="5" t="str">
        <f aca="false">[1]Base_Jugadores!D184</f>
        <v>España</v>
      </c>
      <c r="E184" s="3"/>
      <c r="F184" s="5" t="str">
        <f aca="false">[1]Base_Jugadores!E184</f>
        <v>PO</v>
      </c>
      <c r="G184" s="5" t="n">
        <f aca="false">[1]Base_Jugadores!F184</f>
        <v>66</v>
      </c>
      <c r="H184" s="5" t="n">
        <f aca="false">[1]Base_Jugadores!G184</f>
        <v>24</v>
      </c>
      <c r="I184" s="7" t="n">
        <f aca="false" t="array" ref="I184:I184">_xlfn.XLOOKUP(G184,{55;56;57;58;59;60;61;62;63;64;65;66;67;68;69;70;71;72;73;74;75;76;77;78;79;80;81;82;83;84;85;86;87;88;89;90;91;92;93;94;95;96;97;98;99},{100000;130000;160000;190000;220000;250000;300000;350000;400000;450000;500000;600000;700000;800000;900000;1000000;1500000;2000000;3000000;4000000;5000000;6500000;8000000;10000000;12500000;15000000;20000000;25000000;30000000;35000000;40000000;55000000;70000000;80000000;90000000;110000000;130000000;160000000;190000000;220000000;250000000;280000000;310000000;340000000;400000000})</f>
        <v>600000</v>
      </c>
      <c r="J184" s="7" t="n">
        <f aca="false">I184*S184*T184*U184</f>
        <v>358020</v>
      </c>
      <c r="K184" s="3"/>
      <c r="L184" s="3"/>
      <c r="M184" s="3"/>
      <c r="N184" s="9" t="n">
        <v>2</v>
      </c>
      <c r="O184" s="4" t="n">
        <v>0</v>
      </c>
      <c r="P184" s="5" t="n">
        <f aca="false">IF(COUNTIF([1]Base_Jugadores!J$2:J$500,B184)&gt;0,1,0)</f>
        <v>0</v>
      </c>
      <c r="Q184" s="10" t="b">
        <f aca="false">--(COUNTIFS(
   [1]Fichajes_Realizados!A$2:A$5000,A184,
   [1]Fichajes_Realizados!G$2:G$5000,$X$3
)&gt;0)</f>
        <v>0</v>
      </c>
      <c r="R184" s="5" t="n">
        <f aca="false">_xlfn.XLOOKUP(C184, [1]Estado_Equipos!A$2:A$500, [1]Estado_Equipos!J$2:J$500, "")</f>
        <v>71</v>
      </c>
      <c r="S184" s="5" t="n">
        <f aca="false">IF(H184&lt;=16,1.45,
IF(H184&gt;=41,0.3,
CHOOSE(ROUNDDOWN((H184-16)/2,0)+1,
1.45,1.38,1.3,1.23,1.17,1.15,1.12,1.05,0.95,0.8,0.6,0.4,0.3)))</f>
        <v>1.17</v>
      </c>
      <c r="T184" s="5" t="n">
        <f aca="false">CHOOSE(N184+1,1.2,1,0.85,0.7)</f>
        <v>0.85</v>
      </c>
      <c r="U184" s="5" t="n">
        <f aca="false">IF(F184="PO",0.6,
IF(F184="CT",0.75,
IF(F184="LI",0.8,
IF(F184="LD",0.8,
IF(F184="MCD",0.85,
IF(F184="MC",0.95,
IF(F184="MO",1.05,
IF(F184="EI",1.1,
IF(F184="ED",1.1,
IF(F184="SD",1.15,
IF(F184="DC",1.2,0)))))))))))</f>
        <v>0.6</v>
      </c>
    </row>
    <row r="185" customFormat="false" ht="16.4" hidden="false" customHeight="false" outlineLevel="0" collapsed="false">
      <c r="A185" s="1" t="n">
        <v>184</v>
      </c>
      <c r="B185" s="5" t="str">
        <f aca="false">[1]Base_Jugadores!B185</f>
        <v>Antoniu Roca</v>
      </c>
      <c r="C185" s="5" t="str">
        <f aca="false">IFERROR(
   _xlfn.XLOOKUP(VALUE(A185),[1]Fichajes_Realizados!A$2:A$50000,[1]Fichajes_Realizados!D$2:D$50000,,0,-1),
   _xlfn.XLOOKUP(VALUE(A185),[1]Base_Jugadores!A$2:A$50000,[1]Base_Jugadores!C$2:C$50000)
)</f>
        <v>RCD Espanyol</v>
      </c>
      <c r="D185" s="5" t="str">
        <f aca="false">[1]Base_Jugadores!D185</f>
        <v>España</v>
      </c>
      <c r="E185" s="3"/>
      <c r="F185" s="5" t="str">
        <f aca="false">[1]Base_Jugadores!E185</f>
        <v>ED</v>
      </c>
      <c r="G185" s="5" t="n">
        <f aca="false">[1]Base_Jugadores!F185</f>
        <v>66</v>
      </c>
      <c r="H185" s="5" t="n">
        <f aca="false">[1]Base_Jugadores!G185</f>
        <v>23</v>
      </c>
      <c r="I185" s="7" t="n">
        <f aca="false" t="array" ref="I185:I185">_xlfn.XLOOKUP(G185,{55;56;57;58;59;60;61;62;63;64;65;66;67;68;69;70;71;72;73;74;75;76;77;78;79;80;81;82;83;84;85;86;87;88;89;90;91;92;93;94;95;96;97;98;99},{100000;130000;160000;190000;220000;250000;300000;350000;400000;450000;500000;600000;700000;800000;900000;1000000;1500000;2000000;3000000;4000000;5000000;6500000;8000000;10000000;12500000;15000000;20000000;25000000;30000000;35000000;40000000;55000000;70000000;80000000;90000000;110000000;130000000;160000000;190000000;220000000;250000000;280000000;310000000;340000000;400000000})</f>
        <v>600000</v>
      </c>
      <c r="J185" s="7" t="n">
        <f aca="false">I185*S185*T185*U185</f>
        <v>690030</v>
      </c>
      <c r="K185" s="3"/>
      <c r="L185" s="3"/>
      <c r="M185" s="3"/>
      <c r="N185" s="9" t="n">
        <v>2</v>
      </c>
      <c r="O185" s="4" t="n">
        <v>0</v>
      </c>
      <c r="P185" s="5" t="n">
        <f aca="false">IF(COUNTIF([1]Base_Jugadores!J$2:J$500,B185)&gt;0,1,0)</f>
        <v>0</v>
      </c>
      <c r="Q185" s="10" t="b">
        <f aca="false">--(COUNTIFS(
   [1]Fichajes_Realizados!A$2:A$5000,A185,
   [1]Fichajes_Realizados!G$2:G$5000,$X$3
)&gt;0)</f>
        <v>0</v>
      </c>
      <c r="R185" s="5" t="n">
        <f aca="false">_xlfn.XLOOKUP(C185, [1]Estado_Equipos!A$2:A$500, [1]Estado_Equipos!J$2:J$500, "")</f>
        <v>71</v>
      </c>
      <c r="S185" s="5" t="n">
        <f aca="false">IF(H185&lt;=16,1.45,
IF(H185&gt;=41,0.3,
CHOOSE(ROUNDDOWN((H185-16)/2,0)+1,
1.45,1.38,1.3,1.23,1.17,1.15,1.12,1.05,0.95,0.8,0.6,0.4,0.3)))</f>
        <v>1.23</v>
      </c>
      <c r="T185" s="5" t="n">
        <f aca="false">CHOOSE(N185+1,1.2,1,0.85,0.7)</f>
        <v>0.85</v>
      </c>
      <c r="U185" s="5" t="n">
        <f aca="false">IF(F185="PO",0.6,
IF(F185="CT",0.75,
IF(F185="LI",0.8,
IF(F185="LD",0.8,
IF(F185="MCD",0.85,
IF(F185="MC",0.95,
IF(F185="MO",1.05,
IF(F185="EI",1.1,
IF(F185="ED",1.1,
IF(F185="SD",1.15,
IF(F185="DC",1.2,0)))))))))))</f>
        <v>1.1</v>
      </c>
    </row>
    <row r="186" customFormat="false" ht="16.4" hidden="false" customHeight="false" outlineLevel="0" collapsed="false">
      <c r="A186" s="1" t="n">
        <v>185</v>
      </c>
      <c r="B186" s="5" t="str">
        <f aca="false">[1]Base_Jugadores!B186</f>
        <v>Carlos Romero</v>
      </c>
      <c r="C186" s="5" t="str">
        <f aca="false">IFERROR(
   _xlfn.XLOOKUP(VALUE(A186),[1]Fichajes_Realizados!A$2:A$50000,[1]Fichajes_Realizados!D$2:D$50000,,0,-1),
   _xlfn.XLOOKUP(VALUE(A186),[1]Base_Jugadores!A$2:A$50000,[1]Base_Jugadores!C$2:C$50000)
)</f>
        <v>RCD Espanyol</v>
      </c>
      <c r="D186" s="5" t="str">
        <f aca="false">[1]Base_Jugadores!D186</f>
        <v>España</v>
      </c>
      <c r="E186" s="3"/>
      <c r="F186" s="5" t="str">
        <f aca="false">[1]Base_Jugadores!E186</f>
        <v>LI</v>
      </c>
      <c r="G186" s="5" t="n">
        <f aca="false">[1]Base_Jugadores!F186</f>
        <v>72</v>
      </c>
      <c r="H186" s="5" t="n">
        <f aca="false">[1]Base_Jugadores!G186</f>
        <v>24</v>
      </c>
      <c r="I186" s="7" t="n">
        <f aca="false" t="array" ref="I186:I186">_xlfn.XLOOKUP(G186,{55;56;57;58;59;60;61;62;63;64;65;66;67;68;69;70;71;72;73;74;75;76;77;78;79;80;81;82;83;84;85;86;87;88;89;90;91;92;93;94;95;96;97;98;99},{100000;130000;160000;190000;220000;250000;300000;350000;400000;450000;500000;600000;700000;800000;900000;1000000;1500000;2000000;3000000;4000000;5000000;6500000;8000000;10000000;12500000;15000000;20000000;25000000;30000000;35000000;40000000;55000000;70000000;80000000;90000000;110000000;130000000;160000000;190000000;220000000;250000000;280000000;310000000;340000000;400000000})</f>
        <v>2000000</v>
      </c>
      <c r="J186" s="7" t="n">
        <f aca="false">I186*S186*T186*U186</f>
        <v>2246400</v>
      </c>
      <c r="K186" s="3"/>
      <c r="L186" s="3"/>
      <c r="M186" s="3"/>
      <c r="N186" s="9" t="n">
        <v>0</v>
      </c>
      <c r="O186" s="4" t="n">
        <v>0</v>
      </c>
      <c r="P186" s="5" t="n">
        <f aca="false">IF(COUNTIF([1]Base_Jugadores!J$2:J$500,B186)&gt;0,1,0)</f>
        <v>0</v>
      </c>
      <c r="Q186" s="10" t="b">
        <f aca="false">--(COUNTIFS(
   [1]Fichajes_Realizados!A$2:A$5000,A186,
   [1]Fichajes_Realizados!G$2:G$5000,$X$3
)&gt;0)</f>
        <v>0</v>
      </c>
      <c r="R186" s="5" t="n">
        <f aca="false">_xlfn.XLOOKUP(C186, [1]Estado_Equipos!A$2:A$500, [1]Estado_Equipos!J$2:J$500, "")</f>
        <v>71</v>
      </c>
      <c r="S186" s="5" t="n">
        <f aca="false">IF(H186&lt;=16,1.45,
IF(H186&gt;=41,0.3,
CHOOSE(ROUNDDOWN((H186-16)/2,0)+1,
1.45,1.38,1.3,1.23,1.17,1.15,1.12,1.05,0.95,0.8,0.6,0.4,0.3)))</f>
        <v>1.17</v>
      </c>
      <c r="T186" s="5" t="n">
        <f aca="false">CHOOSE(N186+1,1.2,1,0.85,0.7)</f>
        <v>1.2</v>
      </c>
      <c r="U186" s="5" t="n">
        <f aca="false">IF(F186="PO",0.6,
IF(F186="CT",0.75,
IF(F186="LI",0.8,
IF(F186="LD",0.8,
IF(F186="MCD",0.85,
IF(F186="MC",0.95,
IF(F186="MO",1.05,
IF(F186="EI",1.1,
IF(F186="ED",1.1,
IF(F186="SD",1.15,
IF(F186="DC",1.2,0)))))))))))</f>
        <v>0.8</v>
      </c>
    </row>
    <row r="187" customFormat="false" ht="16.4" hidden="false" customHeight="false" outlineLevel="0" collapsed="false">
      <c r="A187" s="1" t="n">
        <v>186</v>
      </c>
      <c r="B187" s="5" t="str">
        <f aca="false">[1]Base_Jugadores!B187</f>
        <v>Charles Pickel</v>
      </c>
      <c r="C187" s="5" t="str">
        <f aca="false">IFERROR(
   _xlfn.XLOOKUP(VALUE(A187),[1]Fichajes_Realizados!A$2:A$50000,[1]Fichajes_Realizados!D$2:D$50000,,0,-1),
   _xlfn.XLOOKUP(VALUE(A187),[1]Base_Jugadores!A$2:A$50000,[1]Base_Jugadores!C$2:C$50000)
)</f>
        <v>RCD Espanyol</v>
      </c>
      <c r="D187" s="5" t="str">
        <f aca="false">[1]Base_Jugadores!D187</f>
        <v>RD del Congo</v>
      </c>
      <c r="E187" s="3"/>
      <c r="F187" s="5" t="str">
        <f aca="false">[1]Base_Jugadores!E187</f>
        <v>MCD</v>
      </c>
      <c r="G187" s="5" t="n">
        <f aca="false">[1]Base_Jugadores!F187</f>
        <v>70</v>
      </c>
      <c r="H187" s="5" t="n">
        <f aca="false">[1]Base_Jugadores!G187</f>
        <v>28</v>
      </c>
      <c r="I187" s="7" t="n">
        <f aca="false" t="array" ref="I187:I187">_xlfn.XLOOKUP(G187,{55;56;57;58;59;60;61;62;63;64;65;66;67;68;69;70;71;72;73;74;75;76;77;78;79;80;81;82;83;84;85;86;87;88;89;90;91;92;93;94;95;96;97;98;99},{100000;130000;160000;190000;220000;250000;300000;350000;400000;450000;500000;600000;700000;800000;900000;1000000;1500000;2000000;3000000;4000000;5000000;6500000;8000000;10000000;12500000;15000000;20000000;25000000;30000000;35000000;40000000;55000000;70000000;80000000;90000000;110000000;130000000;160000000;190000000;220000000;250000000;280000000;310000000;340000000;400000000})</f>
        <v>1000000</v>
      </c>
      <c r="J187" s="7" t="n">
        <f aca="false">I187*S187*T187*U187</f>
        <v>809200</v>
      </c>
      <c r="K187" s="3"/>
      <c r="L187" s="3"/>
      <c r="M187" s="3"/>
      <c r="N187" s="9" t="n">
        <v>2</v>
      </c>
      <c r="O187" s="4" t="n">
        <v>0</v>
      </c>
      <c r="P187" s="5" t="n">
        <f aca="false">IF(COUNTIF([1]Base_Jugadores!J$2:J$500,B187)&gt;0,1,0)</f>
        <v>0</v>
      </c>
      <c r="Q187" s="10" t="b">
        <f aca="false">--(COUNTIFS(
   [1]Fichajes_Realizados!A$2:A$5000,A187,
   [1]Fichajes_Realizados!G$2:G$5000,$X$3
)&gt;0)</f>
        <v>0</v>
      </c>
      <c r="R187" s="5" t="n">
        <f aca="false">_xlfn.XLOOKUP(C187, [1]Estado_Equipos!A$2:A$500, [1]Estado_Equipos!J$2:J$500, "")</f>
        <v>71</v>
      </c>
      <c r="S187" s="5" t="n">
        <f aca="false">IF(H187&lt;=16,1.45,
IF(H187&gt;=41,0.3,
CHOOSE(ROUNDDOWN((H187-16)/2,0)+1,
1.45,1.38,1.3,1.23,1.17,1.15,1.12,1.05,0.95,0.8,0.6,0.4,0.3)))</f>
        <v>1.12</v>
      </c>
      <c r="T187" s="5" t="n">
        <f aca="false">CHOOSE(N187+1,1.2,1,0.85,0.7)</f>
        <v>0.85</v>
      </c>
      <c r="U187" s="5" t="n">
        <f aca="false">IF(F187="PO",0.6,
IF(F187="CT",0.75,
IF(F187="LI",0.8,
IF(F187="LD",0.8,
IF(F187="MCD",0.85,
IF(F187="MC",0.95,
IF(F187="MO",1.05,
IF(F187="EI",1.1,
IF(F187="ED",1.1,
IF(F187="SD",1.15,
IF(F187="DC",1.2,0)))))))))))</f>
        <v>0.85</v>
      </c>
    </row>
    <row r="188" customFormat="false" ht="16.4" hidden="false" customHeight="false" outlineLevel="0" collapsed="false">
      <c r="A188" s="1" t="n">
        <v>187</v>
      </c>
      <c r="B188" s="5" t="str">
        <f aca="false">[1]Base_Jugadores!B188</f>
        <v>Clemens Riedel</v>
      </c>
      <c r="C188" s="5" t="str">
        <f aca="false">IFERROR(
   _xlfn.XLOOKUP(VALUE(A188),[1]Fichajes_Realizados!A$2:A$50000,[1]Fichajes_Realizados!D$2:D$50000,,0,-1),
   _xlfn.XLOOKUP(VALUE(A188),[1]Base_Jugadores!A$2:A$50000,[1]Base_Jugadores!C$2:C$50000)
)</f>
        <v>RCD Espanyol</v>
      </c>
      <c r="D188" s="5" t="str">
        <f aca="false">[1]Base_Jugadores!D188</f>
        <v>Alemania</v>
      </c>
      <c r="E188" s="3"/>
      <c r="F188" s="5" t="str">
        <f aca="false">[1]Base_Jugadores!E188</f>
        <v>CT</v>
      </c>
      <c r="G188" s="5" t="n">
        <f aca="false">[1]Base_Jugadores!F188</f>
        <v>68</v>
      </c>
      <c r="H188" s="5" t="n">
        <f aca="false">[1]Base_Jugadores!G188</f>
        <v>22</v>
      </c>
      <c r="I188" s="7" t="n">
        <f aca="false" t="array" ref="I188:I188">_xlfn.XLOOKUP(G188,{55;56;57;58;59;60;61;62;63;64;65;66;67;68;69;70;71;72;73;74;75;76;77;78;79;80;81;82;83;84;85;86;87;88;89;90;91;92;93;94;95;96;97;98;99},{100000;130000;160000;190000;220000;250000;300000;350000;400000;450000;500000;600000;700000;800000;900000;1000000;1500000;2000000;3000000;4000000;5000000;6500000;8000000;10000000;12500000;15000000;20000000;25000000;30000000;35000000;40000000;55000000;70000000;80000000;90000000;110000000;130000000;160000000;190000000;220000000;250000000;280000000;310000000;340000000;400000000})</f>
        <v>800000</v>
      </c>
      <c r="J188" s="7" t="n">
        <f aca="false">I188*S188*T188*U188</f>
        <v>627300</v>
      </c>
      <c r="K188" s="3"/>
      <c r="L188" s="3"/>
      <c r="M188" s="3"/>
      <c r="N188" s="9" t="n">
        <v>2</v>
      </c>
      <c r="O188" s="4" t="n">
        <v>0</v>
      </c>
      <c r="P188" s="5" t="n">
        <f aca="false">IF(COUNTIF([1]Base_Jugadores!J$2:J$500,B188)&gt;0,1,0)</f>
        <v>0</v>
      </c>
      <c r="Q188" s="10" t="b">
        <f aca="false">--(COUNTIFS(
   [1]Fichajes_Realizados!A$2:A$5000,A188,
   [1]Fichajes_Realizados!G$2:G$5000,$X$3
)&gt;0)</f>
        <v>0</v>
      </c>
      <c r="R188" s="5" t="n">
        <f aca="false">_xlfn.XLOOKUP(C188, [1]Estado_Equipos!A$2:A$500, [1]Estado_Equipos!J$2:J$500, "")</f>
        <v>71</v>
      </c>
      <c r="S188" s="5" t="n">
        <f aca="false">IF(H188&lt;=16,1.45,
IF(H188&gt;=41,0.3,
CHOOSE(ROUNDDOWN((H188-16)/2,0)+1,
1.45,1.38,1.3,1.23,1.17,1.15,1.12,1.05,0.95,0.8,0.6,0.4,0.3)))</f>
        <v>1.23</v>
      </c>
      <c r="T188" s="5" t="n">
        <f aca="false">CHOOSE(N188+1,1.2,1,0.85,0.7)</f>
        <v>0.85</v>
      </c>
      <c r="U188" s="5" t="n">
        <f aca="false">IF(F188="PO",0.6,
IF(F188="CT",0.75,
IF(F188="LI",0.8,
IF(F188="LD",0.8,
IF(F188="MCD",0.85,
IF(F188="MC",0.95,
IF(F188="MO",1.05,
IF(F188="EI",1.1,
IF(F188="ED",1.1,
IF(F188="SD",1.15,
IF(F188="DC",1.2,0)))))))))))</f>
        <v>0.75</v>
      </c>
    </row>
    <row r="189" customFormat="false" ht="16.4" hidden="false" customHeight="false" outlineLevel="0" collapsed="false">
      <c r="A189" s="1" t="n">
        <v>188</v>
      </c>
      <c r="B189" s="5" t="str">
        <f aca="false">[1]Base_Jugadores!B189</f>
        <v>Edu Expósito</v>
      </c>
      <c r="C189" s="5" t="str">
        <f aca="false">IFERROR(
   _xlfn.XLOOKUP(VALUE(A189),[1]Fichajes_Realizados!A$2:A$50000,[1]Fichajes_Realizados!D$2:D$50000,,0,-1),
   _xlfn.XLOOKUP(VALUE(A189),[1]Base_Jugadores!A$2:A$50000,[1]Base_Jugadores!C$2:C$50000)
)</f>
        <v>RCD Espanyol</v>
      </c>
      <c r="D189" s="5" t="str">
        <f aca="false">[1]Base_Jugadores!D189</f>
        <v>España</v>
      </c>
      <c r="E189" s="3"/>
      <c r="F189" s="5" t="str">
        <f aca="false">[1]Base_Jugadores!E189</f>
        <v>MC</v>
      </c>
      <c r="G189" s="5" t="n">
        <f aca="false">[1]Base_Jugadores!F189</f>
        <v>75</v>
      </c>
      <c r="H189" s="5" t="n">
        <f aca="false">[1]Base_Jugadores!G189</f>
        <v>29</v>
      </c>
      <c r="I189" s="7" t="n">
        <f aca="false" t="array" ref="I189:I189">_xlfn.XLOOKUP(G189,{55;56;57;58;59;60;61;62;63;64;65;66;67;68;69;70;71;72;73;74;75;76;77;78;79;80;81;82;83;84;85;86;87;88;89;90;91;92;93;94;95;96;97;98;99},{100000;130000;160000;190000;220000;250000;300000;350000;400000;450000;500000;600000;700000;800000;900000;1000000;1500000;2000000;3000000;4000000;5000000;6500000;8000000;10000000;12500000;15000000;20000000;25000000;30000000;35000000;40000000;55000000;70000000;80000000;90000000;110000000;130000000;160000000;190000000;220000000;250000000;280000000;310000000;340000000;400000000})</f>
        <v>5000000</v>
      </c>
      <c r="J189" s="7" t="n">
        <f aca="false">I189*S189*T189*U189</f>
        <v>6384000</v>
      </c>
      <c r="K189" s="3"/>
      <c r="L189" s="3"/>
      <c r="M189" s="3"/>
      <c r="N189" s="9" t="n">
        <v>0</v>
      </c>
      <c r="O189" s="4" t="n">
        <v>0</v>
      </c>
      <c r="P189" s="5" t="n">
        <f aca="false">IF(COUNTIF([1]Base_Jugadores!J$2:J$500,B189)&gt;0,1,0)</f>
        <v>0</v>
      </c>
      <c r="Q189" s="10" t="b">
        <f aca="false">--(COUNTIFS(
   [1]Fichajes_Realizados!A$2:A$5000,A189,
   [1]Fichajes_Realizados!G$2:G$5000,$X$3
)&gt;0)</f>
        <v>0</v>
      </c>
      <c r="R189" s="5" t="n">
        <f aca="false">_xlfn.XLOOKUP(C189, [1]Estado_Equipos!A$2:A$500, [1]Estado_Equipos!J$2:J$500, "")</f>
        <v>71</v>
      </c>
      <c r="S189" s="5" t="n">
        <f aca="false">IF(H189&lt;=16,1.45,
IF(H189&gt;=41,0.3,
CHOOSE(ROUNDDOWN((H189-16)/2,0)+1,
1.45,1.38,1.3,1.23,1.17,1.15,1.12,1.05,0.95,0.8,0.6,0.4,0.3)))</f>
        <v>1.12</v>
      </c>
      <c r="T189" s="5" t="n">
        <f aca="false">CHOOSE(N189+1,1.2,1,0.85,0.7)</f>
        <v>1.2</v>
      </c>
      <c r="U189" s="5" t="n">
        <f aca="false">IF(F189="PO",0.6,
IF(F189="CT",0.75,
IF(F189="LI",0.8,
IF(F189="LD",0.8,
IF(F189="MCD",0.85,
IF(F189="MC",0.95,
IF(F189="MO",1.05,
IF(F189="EI",1.1,
IF(F189="ED",1.1,
IF(F189="SD",1.15,
IF(F189="DC",1.2,0)))))))))))</f>
        <v>0.95</v>
      </c>
    </row>
    <row r="190" customFormat="false" ht="16.4" hidden="false" customHeight="false" outlineLevel="0" collapsed="false">
      <c r="A190" s="1" t="n">
        <v>189</v>
      </c>
      <c r="B190" s="5" t="str">
        <f aca="false">[1]Base_Jugadores!B190</f>
        <v>Fernando Calero</v>
      </c>
      <c r="C190" s="5" t="str">
        <f aca="false">IFERROR(
   _xlfn.XLOOKUP(VALUE(A190),[1]Fichajes_Realizados!A$2:A$50000,[1]Fichajes_Realizados!D$2:D$50000,,0,-1),
   _xlfn.XLOOKUP(VALUE(A190),[1]Base_Jugadores!A$2:A$50000,[1]Base_Jugadores!C$2:C$50000)
)</f>
        <v>RCD Espanyol</v>
      </c>
      <c r="D190" s="5" t="str">
        <f aca="false">[1]Base_Jugadores!D190</f>
        <v>España</v>
      </c>
      <c r="E190" s="3"/>
      <c r="F190" s="5" t="str">
        <f aca="false">[1]Base_Jugadores!E190</f>
        <v>CT</v>
      </c>
      <c r="G190" s="5" t="n">
        <f aca="false">[1]Base_Jugadores!F190</f>
        <v>73</v>
      </c>
      <c r="H190" s="5" t="n">
        <f aca="false">[1]Base_Jugadores!G190</f>
        <v>30</v>
      </c>
      <c r="I190" s="7" t="n">
        <f aca="false" t="array" ref="I190:I190">_xlfn.XLOOKUP(G190,{55;56;57;58;59;60;61;62;63;64;65;66;67;68;69;70;71;72;73;74;75;76;77;78;79;80;81;82;83;84;85;86;87;88;89;90;91;92;93;94;95;96;97;98;99},{100000;130000;160000;190000;220000;250000;300000;350000;400000;450000;500000;600000;700000;800000;900000;1000000;1500000;2000000;3000000;4000000;5000000;6500000;8000000;10000000;12500000;15000000;20000000;25000000;30000000;35000000;40000000;55000000;70000000;80000000;90000000;110000000;130000000;160000000;190000000;220000000;250000000;280000000;310000000;340000000;400000000})</f>
        <v>3000000</v>
      </c>
      <c r="J190" s="7" t="n">
        <f aca="false">I190*S190*T190*U190</f>
        <v>2835000</v>
      </c>
      <c r="K190" s="3"/>
      <c r="L190" s="3"/>
      <c r="M190" s="3"/>
      <c r="N190" s="9" t="n">
        <v>0</v>
      </c>
      <c r="O190" s="4" t="n">
        <v>0</v>
      </c>
      <c r="P190" s="5" t="n">
        <f aca="false">IF(COUNTIF([1]Base_Jugadores!J$2:J$500,B190)&gt;0,1,0)</f>
        <v>0</v>
      </c>
      <c r="Q190" s="10" t="b">
        <f aca="false">--(COUNTIFS(
   [1]Fichajes_Realizados!A$2:A$5000,A190,
   [1]Fichajes_Realizados!G$2:G$5000,$X$3
)&gt;0)</f>
        <v>0</v>
      </c>
      <c r="R190" s="5" t="n">
        <f aca="false">_xlfn.XLOOKUP(C190, [1]Estado_Equipos!A$2:A$500, [1]Estado_Equipos!J$2:J$500, "")</f>
        <v>71</v>
      </c>
      <c r="S190" s="5" t="n">
        <f aca="false">IF(H190&lt;=16,1.45,
IF(H190&gt;=41,0.3,
CHOOSE(ROUNDDOWN((H190-16)/2,0)+1,
1.45,1.38,1.3,1.23,1.17,1.15,1.12,1.05,0.95,0.8,0.6,0.4,0.3)))</f>
        <v>1.05</v>
      </c>
      <c r="T190" s="5" t="n">
        <f aca="false">CHOOSE(N190+1,1.2,1,0.85,0.7)</f>
        <v>1.2</v>
      </c>
      <c r="U190" s="5" t="n">
        <f aca="false">IF(F190="PO",0.6,
IF(F190="CT",0.75,
IF(F190="LI",0.8,
IF(F190="LD",0.8,
IF(F190="MCD",0.85,
IF(F190="MC",0.95,
IF(F190="MO",1.05,
IF(F190="EI",1.1,
IF(F190="ED",1.1,
IF(F190="SD",1.15,
IF(F190="DC",1.2,0)))))))))))</f>
        <v>0.75</v>
      </c>
    </row>
    <row r="191" customFormat="false" ht="16.4" hidden="false" customHeight="false" outlineLevel="0" collapsed="false">
      <c r="A191" s="1" t="n">
        <v>190</v>
      </c>
      <c r="B191" s="5" t="str">
        <f aca="false">[1]Base_Jugadores!B191</f>
        <v>Javi Puado</v>
      </c>
      <c r="C191" s="5" t="str">
        <f aca="false">IFERROR(
   _xlfn.XLOOKUP(VALUE(A191),[1]Fichajes_Realizados!A$2:A$50000,[1]Fichajes_Realizados!D$2:D$50000,,0,-1),
   _xlfn.XLOOKUP(VALUE(A191),[1]Base_Jugadores!A$2:A$50000,[1]Base_Jugadores!C$2:C$50000)
)</f>
        <v>RCD Espanyol</v>
      </c>
      <c r="D191" s="5" t="str">
        <f aca="false">[1]Base_Jugadores!D191</f>
        <v>España</v>
      </c>
      <c r="E191" s="3"/>
      <c r="F191" s="5" t="str">
        <f aca="false">[1]Base_Jugadores!E191</f>
        <v>EI</v>
      </c>
      <c r="G191" s="5" t="n">
        <f aca="false">[1]Base_Jugadores!F191</f>
        <v>77</v>
      </c>
      <c r="H191" s="5" t="n">
        <f aca="false">[1]Base_Jugadores!G191</f>
        <v>27</v>
      </c>
      <c r="I191" s="7" t="n">
        <f aca="false" t="array" ref="I191:I191">_xlfn.XLOOKUP(G191,{55;56;57;58;59;60;61;62;63;64;65;66;67;68;69;70;71;72;73;74;75;76;77;78;79;80;81;82;83;84;85;86;87;88;89;90;91;92;93;94;95;96;97;98;99},{100000;130000;160000;190000;220000;250000;300000;350000;400000;450000;500000;600000;700000;800000;900000;1000000;1500000;2000000;3000000;4000000;5000000;6500000;8000000;10000000;12500000;15000000;20000000;25000000;30000000;35000000;40000000;55000000;70000000;80000000;90000000;110000000;130000000;160000000;190000000;220000000;250000000;280000000;310000000;340000000;400000000})</f>
        <v>8000000</v>
      </c>
      <c r="J191" s="7" t="n">
        <f aca="false">I191*S191*T191*U191</f>
        <v>12144000</v>
      </c>
      <c r="K191" s="3"/>
      <c r="L191" s="3"/>
      <c r="M191" s="3"/>
      <c r="N191" s="9" t="n">
        <v>0</v>
      </c>
      <c r="O191" s="4" t="n">
        <v>0</v>
      </c>
      <c r="P191" s="5" t="n">
        <f aca="false">IF(COUNTIF([1]Base_Jugadores!J$2:J$500,B191)&gt;0,1,0)</f>
        <v>0</v>
      </c>
      <c r="Q191" s="10" t="b">
        <f aca="false">--(COUNTIFS(
   [1]Fichajes_Realizados!A$2:A$5000,A191,
   [1]Fichajes_Realizados!G$2:G$5000,$X$3
)&gt;0)</f>
        <v>0</v>
      </c>
      <c r="R191" s="5" t="n">
        <f aca="false">_xlfn.XLOOKUP(C191, [1]Estado_Equipos!A$2:A$500, [1]Estado_Equipos!J$2:J$500, "")</f>
        <v>71</v>
      </c>
      <c r="S191" s="5" t="n">
        <f aca="false">IF(H191&lt;=16,1.45,
IF(H191&gt;=41,0.3,
CHOOSE(ROUNDDOWN((H191-16)/2,0)+1,
1.45,1.38,1.3,1.23,1.17,1.15,1.12,1.05,0.95,0.8,0.6,0.4,0.3)))</f>
        <v>1.15</v>
      </c>
      <c r="T191" s="5" t="n">
        <f aca="false">CHOOSE(N191+1,1.2,1,0.85,0.7)</f>
        <v>1.2</v>
      </c>
      <c r="U191" s="5" t="n">
        <f aca="false">IF(F191="PO",0.6,
IF(F191="CT",0.75,
IF(F191="LI",0.8,
IF(F191="LD",0.8,
IF(F191="MCD",0.85,
IF(F191="MC",0.95,
IF(F191="MO",1.05,
IF(F191="EI",1.1,
IF(F191="ED",1.1,
IF(F191="SD",1.15,
IF(F191="DC",1.2,0)))))))))))</f>
        <v>1.1</v>
      </c>
    </row>
    <row r="192" customFormat="false" ht="16.4" hidden="false" customHeight="false" outlineLevel="0" collapsed="false">
      <c r="A192" s="1" t="n">
        <v>191</v>
      </c>
      <c r="B192" s="5" t="str">
        <f aca="false">[1]Base_Jugadores!B192</f>
        <v>Jofre Carreras</v>
      </c>
      <c r="C192" s="5" t="str">
        <f aca="false">IFERROR(
   _xlfn.XLOOKUP(VALUE(A192),[1]Fichajes_Realizados!A$2:A$50000,[1]Fichajes_Realizados!D$2:D$50000,,0,-1),
   _xlfn.XLOOKUP(VALUE(A192),[1]Base_Jugadores!A$2:A$50000,[1]Base_Jugadores!C$2:C$50000)
)</f>
        <v>RCD Espanyol</v>
      </c>
      <c r="D192" s="5" t="str">
        <f aca="false">[1]Base_Jugadores!D192</f>
        <v>España</v>
      </c>
      <c r="E192" s="3"/>
      <c r="F192" s="5" t="str">
        <f aca="false">[1]Base_Jugadores!E192</f>
        <v>ED</v>
      </c>
      <c r="G192" s="5" t="n">
        <f aca="false">[1]Base_Jugadores!F192</f>
        <v>72</v>
      </c>
      <c r="H192" s="5" t="n">
        <f aca="false">[1]Base_Jugadores!G192</f>
        <v>24</v>
      </c>
      <c r="I192" s="7" t="n">
        <f aca="false" t="array" ref="I192:I192">_xlfn.XLOOKUP(G192,{55;56;57;58;59;60;61;62;63;64;65;66;67;68;69;70;71;72;73;74;75;76;77;78;79;80;81;82;83;84;85;86;87;88;89;90;91;92;93;94;95;96;97;98;99},{100000;130000;160000;190000;220000;250000;300000;350000;400000;450000;500000;600000;700000;800000;900000;1000000;1500000;2000000;3000000;4000000;5000000;6500000;8000000;10000000;12500000;15000000;20000000;25000000;30000000;35000000;40000000;55000000;70000000;80000000;90000000;110000000;130000000;160000000;190000000;220000000;250000000;280000000;310000000;340000000;400000000})</f>
        <v>2000000</v>
      </c>
      <c r="J192" s="7" t="n">
        <f aca="false">I192*S192*T192*U192</f>
        <v>2574000</v>
      </c>
      <c r="K192" s="3"/>
      <c r="L192" s="3"/>
      <c r="M192" s="3"/>
      <c r="N192" s="9" t="n">
        <v>1</v>
      </c>
      <c r="O192" s="4" t="n">
        <v>0</v>
      </c>
      <c r="P192" s="5" t="n">
        <f aca="false">IF(COUNTIF([1]Base_Jugadores!J$2:J$500,B192)&gt;0,1,0)</f>
        <v>0</v>
      </c>
      <c r="Q192" s="10" t="b">
        <f aca="false">--(COUNTIFS(
   [1]Fichajes_Realizados!A$2:A$5000,A192,
   [1]Fichajes_Realizados!G$2:G$5000,$X$3
)&gt;0)</f>
        <v>0</v>
      </c>
      <c r="R192" s="5" t="n">
        <f aca="false">_xlfn.XLOOKUP(C192, [1]Estado_Equipos!A$2:A$500, [1]Estado_Equipos!J$2:J$500, "")</f>
        <v>71</v>
      </c>
      <c r="S192" s="5" t="n">
        <f aca="false">IF(H192&lt;=16,1.45,
IF(H192&gt;=41,0.3,
CHOOSE(ROUNDDOWN((H192-16)/2,0)+1,
1.45,1.38,1.3,1.23,1.17,1.15,1.12,1.05,0.95,0.8,0.6,0.4,0.3)))</f>
        <v>1.17</v>
      </c>
      <c r="T192" s="5" t="n">
        <f aca="false">CHOOSE(N192+1,1.2,1,0.85,0.7)</f>
        <v>1</v>
      </c>
      <c r="U192" s="5" t="n">
        <f aca="false">IF(F192="PO",0.6,
IF(F192="CT",0.75,
IF(F192="LI",0.8,
IF(F192="LD",0.8,
IF(F192="MCD",0.85,
IF(F192="MC",0.95,
IF(F192="MO",1.05,
IF(F192="EI",1.1,
IF(F192="ED",1.1,
IF(F192="SD",1.15,
IF(F192="DC",1.2,0)))))))))))</f>
        <v>1.1</v>
      </c>
    </row>
    <row r="193" customFormat="false" ht="16.4" hidden="false" customHeight="false" outlineLevel="0" collapsed="false">
      <c r="A193" s="1" t="n">
        <v>192</v>
      </c>
      <c r="B193" s="5" t="str">
        <f aca="false">[1]Base_Jugadores!B193</f>
        <v>José Salinas</v>
      </c>
      <c r="C193" s="5" t="str">
        <f aca="false">IFERROR(
   _xlfn.XLOOKUP(VALUE(A193),[1]Fichajes_Realizados!A$2:A$50000,[1]Fichajes_Realizados!D$2:D$50000,,0,-1),
   _xlfn.XLOOKUP(VALUE(A193),[1]Base_Jugadores!A$2:A$50000,[1]Base_Jugadores!C$2:C$50000)
)</f>
        <v>RCD Espanyol</v>
      </c>
      <c r="D193" s="5" t="str">
        <f aca="false">[1]Base_Jugadores!D193</f>
        <v>España</v>
      </c>
      <c r="E193" s="3"/>
      <c r="F193" s="5" t="str">
        <f aca="false">[1]Base_Jugadores!E193</f>
        <v>LI</v>
      </c>
      <c r="G193" s="5" t="n">
        <f aca="false">[1]Base_Jugadores!F193</f>
        <v>70</v>
      </c>
      <c r="H193" s="5" t="n">
        <f aca="false">[1]Base_Jugadores!G193</f>
        <v>25</v>
      </c>
      <c r="I193" s="7" t="n">
        <f aca="false" t="array" ref="I193:I193">_xlfn.XLOOKUP(G193,{55;56;57;58;59;60;61;62;63;64;65;66;67;68;69;70;71;72;73;74;75;76;77;78;79;80;81;82;83;84;85;86;87;88;89;90;91;92;93;94;95;96;97;98;99},{100000;130000;160000;190000;220000;250000;300000;350000;400000;450000;500000;600000;700000;800000;900000;1000000;1500000;2000000;3000000;4000000;5000000;6500000;8000000;10000000;12500000;15000000;20000000;25000000;30000000;35000000;40000000;55000000;70000000;80000000;90000000;110000000;130000000;160000000;190000000;220000000;250000000;280000000;310000000;340000000;400000000})</f>
        <v>1000000</v>
      </c>
      <c r="J193" s="7" t="n">
        <f aca="false">I193*S193*T193*U193</f>
        <v>936000</v>
      </c>
      <c r="K193" s="3"/>
      <c r="L193" s="3"/>
      <c r="M193" s="3"/>
      <c r="N193" s="9" t="n">
        <v>1</v>
      </c>
      <c r="O193" s="4" t="n">
        <v>0</v>
      </c>
      <c r="P193" s="5" t="n">
        <f aca="false">IF(COUNTIF([1]Base_Jugadores!J$2:J$500,B193)&gt;0,1,0)</f>
        <v>0</v>
      </c>
      <c r="Q193" s="10" t="b">
        <f aca="false">--(COUNTIFS(
   [1]Fichajes_Realizados!A$2:A$5000,A193,
   [1]Fichajes_Realizados!G$2:G$5000,$X$3
)&gt;0)</f>
        <v>0</v>
      </c>
      <c r="R193" s="5" t="n">
        <f aca="false">_xlfn.XLOOKUP(C193, [1]Estado_Equipos!A$2:A$500, [1]Estado_Equipos!J$2:J$500, "")</f>
        <v>71</v>
      </c>
      <c r="S193" s="5" t="n">
        <f aca="false">IF(H193&lt;=16,1.45,
IF(H193&gt;=41,0.3,
CHOOSE(ROUNDDOWN((H193-16)/2,0)+1,
1.45,1.38,1.3,1.23,1.17,1.15,1.12,1.05,0.95,0.8,0.6,0.4,0.3)))</f>
        <v>1.17</v>
      </c>
      <c r="T193" s="5" t="n">
        <f aca="false">CHOOSE(N193+1,1.2,1,0.85,0.7)</f>
        <v>1</v>
      </c>
      <c r="U193" s="5" t="n">
        <f aca="false">IF(F193="PO",0.6,
IF(F193="CT",0.75,
IF(F193="LI",0.8,
IF(F193="LD",0.8,
IF(F193="MCD",0.85,
IF(F193="MC",0.95,
IF(F193="MO",1.05,
IF(F193="EI",1.1,
IF(F193="ED",1.1,
IF(F193="SD",1.15,
IF(F193="DC",1.2,0)))))))))))</f>
        <v>0.8</v>
      </c>
    </row>
    <row r="194" customFormat="false" ht="16.4" hidden="false" customHeight="false" outlineLevel="0" collapsed="false">
      <c r="A194" s="1" t="n">
        <v>193</v>
      </c>
      <c r="B194" s="5" t="str">
        <f aca="false">[1]Base_Jugadores!B194</f>
        <v>Kike García</v>
      </c>
      <c r="C194" s="5" t="str">
        <f aca="false">IFERROR(
   _xlfn.XLOOKUP(VALUE(A194),[1]Fichajes_Realizados!A$2:A$50000,[1]Fichajes_Realizados!D$2:D$50000,,0,-1),
   _xlfn.XLOOKUP(VALUE(A194),[1]Base_Jugadores!A$2:A$50000,[1]Base_Jugadores!C$2:C$50000)
)</f>
        <v>RCD Espanyol</v>
      </c>
      <c r="D194" s="5" t="str">
        <f aca="false">[1]Base_Jugadores!D194</f>
        <v>España</v>
      </c>
      <c r="E194" s="3"/>
      <c r="F194" s="5" t="str">
        <f aca="false">[1]Base_Jugadores!E194</f>
        <v>DC</v>
      </c>
      <c r="G194" s="5" t="n">
        <f aca="false">[1]Base_Jugadores!F194</f>
        <v>74</v>
      </c>
      <c r="H194" s="5" t="n">
        <f aca="false">[1]Base_Jugadores!G194</f>
        <v>36</v>
      </c>
      <c r="I194" s="7" t="n">
        <f aca="false" t="array" ref="I194:I194">_xlfn.XLOOKUP(G194,{55;56;57;58;59;60;61;62;63;64;65;66;67;68;69;70;71;72;73;74;75;76;77;78;79;80;81;82;83;84;85;86;87;88;89;90;91;92;93;94;95;96;97;98;99},{100000;130000;160000;190000;220000;250000;300000;350000;400000;450000;500000;600000;700000;800000;900000;1000000;1500000;2000000;3000000;4000000;5000000;6500000;8000000;10000000;12500000;15000000;20000000;25000000;30000000;35000000;40000000;55000000;70000000;80000000;90000000;110000000;130000000;160000000;190000000;220000000;250000000;280000000;310000000;340000000;400000000})</f>
        <v>4000000</v>
      </c>
      <c r="J194" s="7" t="n">
        <f aca="false">I194*S194*T194*U194</f>
        <v>3456000</v>
      </c>
      <c r="K194" s="3"/>
      <c r="L194" s="3"/>
      <c r="M194" s="3"/>
      <c r="N194" s="9" t="n">
        <v>0</v>
      </c>
      <c r="O194" s="4" t="n">
        <v>0</v>
      </c>
      <c r="P194" s="5" t="n">
        <f aca="false">IF(COUNTIF([1]Base_Jugadores!J$2:J$500,B194)&gt;0,1,0)</f>
        <v>0</v>
      </c>
      <c r="Q194" s="10" t="b">
        <f aca="false">--(COUNTIFS(
   [1]Fichajes_Realizados!A$2:A$5000,A194,
   [1]Fichajes_Realizados!G$2:G$5000,$X$3
)&gt;0)</f>
        <v>0</v>
      </c>
      <c r="R194" s="5" t="n">
        <f aca="false">_xlfn.XLOOKUP(C194, [1]Estado_Equipos!A$2:A$500, [1]Estado_Equipos!J$2:J$500, "")</f>
        <v>71</v>
      </c>
      <c r="S194" s="5" t="n">
        <f aca="false">IF(H194&lt;=16,1.45,
IF(H194&gt;=41,0.3,
CHOOSE(ROUNDDOWN((H194-16)/2,0)+1,
1.45,1.38,1.3,1.23,1.17,1.15,1.12,1.05,0.95,0.8,0.6,0.4,0.3)))</f>
        <v>0.6</v>
      </c>
      <c r="T194" s="5" t="n">
        <f aca="false">CHOOSE(N194+1,1.2,1,0.85,0.7)</f>
        <v>1.2</v>
      </c>
      <c r="U194" s="5" t="n">
        <f aca="false">IF(F194="PO",0.6,
IF(F194="CT",0.75,
IF(F194="LI",0.8,
IF(F194="LD",0.8,
IF(F194="MCD",0.85,
IF(F194="MC",0.95,
IF(F194="MO",1.05,
IF(F194="EI",1.1,
IF(F194="ED",1.1,
IF(F194="SD",1.15,
IF(F194="DC",1.2,0)))))))))))</f>
        <v>1.2</v>
      </c>
    </row>
    <row r="195" customFormat="false" ht="16.4" hidden="false" customHeight="false" outlineLevel="0" collapsed="false">
      <c r="A195" s="1" t="n">
        <v>194</v>
      </c>
      <c r="B195" s="5" t="str">
        <f aca="false">[1]Base_Jugadores!B195</f>
        <v>Leandro Cabrera</v>
      </c>
      <c r="C195" s="5" t="str">
        <f aca="false">IFERROR(
   _xlfn.XLOOKUP(VALUE(A195),[1]Fichajes_Realizados!A$2:A$50000,[1]Fichajes_Realizados!D$2:D$50000,,0,-1),
   _xlfn.XLOOKUP(VALUE(A195),[1]Base_Jugadores!A$2:A$50000,[1]Base_Jugadores!C$2:C$50000)
)</f>
        <v>RCD Espanyol</v>
      </c>
      <c r="D195" s="5" t="str">
        <f aca="false">[1]Base_Jugadores!D195</f>
        <v>Uruguay</v>
      </c>
      <c r="E195" s="3"/>
      <c r="F195" s="5" t="str">
        <f aca="false">[1]Base_Jugadores!E195</f>
        <v>CT</v>
      </c>
      <c r="G195" s="5" t="n">
        <f aca="false">[1]Base_Jugadores!F195</f>
        <v>74</v>
      </c>
      <c r="H195" s="5" t="n">
        <f aca="false">[1]Base_Jugadores!G195</f>
        <v>34</v>
      </c>
      <c r="I195" s="7" t="n">
        <f aca="false" t="array" ref="I195:I195">_xlfn.XLOOKUP(G195,{55;56;57;58;59;60;61;62;63;64;65;66;67;68;69;70;71;72;73;74;75;76;77;78;79;80;81;82;83;84;85;86;87;88;89;90;91;92;93;94;95;96;97;98;99},{100000;130000;160000;190000;220000;250000;300000;350000;400000;450000;500000;600000;700000;800000;900000;1000000;1500000;2000000;3000000;4000000;5000000;6500000;8000000;10000000;12500000;15000000;20000000;25000000;30000000;35000000;40000000;55000000;70000000;80000000;90000000;110000000;130000000;160000000;190000000;220000000;250000000;280000000;310000000;340000000;400000000})</f>
        <v>4000000</v>
      </c>
      <c r="J195" s="7" t="n">
        <f aca="false">I195*S195*T195*U195</f>
        <v>2880000</v>
      </c>
      <c r="K195" s="3"/>
      <c r="L195" s="3"/>
      <c r="M195" s="3"/>
      <c r="N195" s="9" t="n">
        <v>0</v>
      </c>
      <c r="O195" s="4" t="n">
        <v>0</v>
      </c>
      <c r="P195" s="5" t="n">
        <f aca="false">IF(COUNTIF([1]Base_Jugadores!J$2:J$500,B195)&gt;0,1,0)</f>
        <v>0</v>
      </c>
      <c r="Q195" s="10" t="b">
        <f aca="false">--(COUNTIFS(
   [1]Fichajes_Realizados!A$2:A$5000,A195,
   [1]Fichajes_Realizados!G$2:G$5000,$X$3
)&gt;0)</f>
        <v>0</v>
      </c>
      <c r="R195" s="5" t="n">
        <f aca="false">_xlfn.XLOOKUP(C195, [1]Estado_Equipos!A$2:A$500, [1]Estado_Equipos!J$2:J$500, "")</f>
        <v>71</v>
      </c>
      <c r="S195" s="5" t="n">
        <f aca="false">IF(H195&lt;=16,1.45,
IF(H195&gt;=41,0.3,
CHOOSE(ROUNDDOWN((H195-16)/2,0)+1,
1.45,1.38,1.3,1.23,1.17,1.15,1.12,1.05,0.95,0.8,0.6,0.4,0.3)))</f>
        <v>0.8</v>
      </c>
      <c r="T195" s="5" t="n">
        <f aca="false">CHOOSE(N195+1,1.2,1,0.85,0.7)</f>
        <v>1.2</v>
      </c>
      <c r="U195" s="5" t="n">
        <f aca="false">IF(F195="PO",0.6,
IF(F195="CT",0.75,
IF(F195="LI",0.8,
IF(F195="LD",0.8,
IF(F195="MCD",0.85,
IF(F195="MC",0.95,
IF(F195="MO",1.05,
IF(F195="EI",1.1,
IF(F195="ED",1.1,
IF(F195="SD",1.15,
IF(F195="DC",1.2,0)))))))))))</f>
        <v>0.75</v>
      </c>
    </row>
    <row r="196" customFormat="false" ht="16.4" hidden="false" customHeight="false" outlineLevel="0" collapsed="false">
      <c r="A196" s="1" t="n">
        <v>195</v>
      </c>
      <c r="B196" s="5" t="str">
        <f aca="false">[1]Base_Jugadores!B196</f>
        <v>Luca Koleosho</v>
      </c>
      <c r="C196" s="5" t="str">
        <f aca="false">IFERROR(
   _xlfn.XLOOKUP(VALUE(A196),[1]Fichajes_Realizados!A$2:A$50000,[1]Fichajes_Realizados!D$2:D$50000,,0,-1),
   _xlfn.XLOOKUP(VALUE(A196),[1]Base_Jugadores!A$2:A$50000,[1]Base_Jugadores!C$2:C$50000)
)</f>
        <v>RCD Espanyol</v>
      </c>
      <c r="D196" s="5" t="str">
        <f aca="false">[1]Base_Jugadores!D196</f>
        <v>Italia</v>
      </c>
      <c r="E196" s="3"/>
      <c r="F196" s="5" t="str">
        <f aca="false">[1]Base_Jugadores!E196</f>
        <v>ED</v>
      </c>
      <c r="G196" s="5" t="n">
        <f aca="false">[1]Base_Jugadores!F196</f>
        <v>73</v>
      </c>
      <c r="H196" s="5" t="n">
        <f aca="false">[1]Base_Jugadores!G196</f>
        <v>21</v>
      </c>
      <c r="I196" s="7" t="n">
        <f aca="false" t="array" ref="I196:I196">_xlfn.XLOOKUP(G196,{55;56;57;58;59;60;61;62;63;64;65;66;67;68;69;70;71;72;73;74;75;76;77;78;79;80;81;82;83;84;85;86;87;88;89;90;91;92;93;94;95;96;97;98;99},{100000;130000;160000;190000;220000;250000;300000;350000;400000;450000;500000;600000;700000;800000;900000;1000000;1500000;2000000;3000000;4000000;5000000;6500000;8000000;10000000;12500000;15000000;20000000;25000000;30000000;35000000;40000000;55000000;70000000;80000000;90000000;110000000;130000000;160000000;190000000;220000000;250000000;280000000;310000000;340000000;400000000})</f>
        <v>3000000</v>
      </c>
      <c r="J196" s="7" t="n">
        <f aca="false">I196*S196*T196*U196</f>
        <v>5148000</v>
      </c>
      <c r="K196" s="3"/>
      <c r="L196" s="3"/>
      <c r="M196" s="3"/>
      <c r="N196" s="9" t="n">
        <v>0</v>
      </c>
      <c r="O196" s="4" t="n">
        <v>0</v>
      </c>
      <c r="P196" s="5" t="n">
        <f aca="false">IF(COUNTIF([1]Base_Jugadores!J$2:J$500,B196)&gt;0,1,0)</f>
        <v>0</v>
      </c>
      <c r="Q196" s="10" t="b">
        <f aca="false">--(COUNTIFS(
   [1]Fichajes_Realizados!A$2:A$5000,A196,
   [1]Fichajes_Realizados!G$2:G$5000,$X$3
)&gt;0)</f>
        <v>0</v>
      </c>
      <c r="R196" s="5" t="n">
        <f aca="false">_xlfn.XLOOKUP(C196, [1]Estado_Equipos!A$2:A$500, [1]Estado_Equipos!J$2:J$500, "")</f>
        <v>71</v>
      </c>
      <c r="S196" s="5" t="n">
        <f aca="false">IF(H196&lt;=16,1.45,
IF(H196&gt;=41,0.3,
CHOOSE(ROUNDDOWN((H196-16)/2,0)+1,
1.45,1.38,1.3,1.23,1.17,1.15,1.12,1.05,0.95,0.8,0.6,0.4,0.3)))</f>
        <v>1.3</v>
      </c>
      <c r="T196" s="5" t="n">
        <f aca="false">CHOOSE(N196+1,1.2,1,0.85,0.7)</f>
        <v>1.2</v>
      </c>
      <c r="U196" s="5" t="n">
        <f aca="false">IF(F196="PO",0.6,
IF(F196="CT",0.75,
IF(F196="LI",0.8,
IF(F196="LD",0.8,
IF(F196="MCD",0.85,
IF(F196="MC",0.95,
IF(F196="MO",1.05,
IF(F196="EI",1.1,
IF(F196="ED",1.1,
IF(F196="SD",1.15,
IF(F196="DC",1.2,0)))))))))))</f>
        <v>1.1</v>
      </c>
    </row>
    <row r="197" customFormat="false" ht="16.4" hidden="false" customHeight="false" outlineLevel="0" collapsed="false">
      <c r="A197" s="1" t="n">
        <v>196</v>
      </c>
      <c r="B197" s="5" t="str">
        <f aca="false">[1]Base_Jugadores!B197</f>
        <v>Marko Dmitrovic</v>
      </c>
      <c r="C197" s="5" t="str">
        <f aca="false">IFERROR(
   _xlfn.XLOOKUP(VALUE(A197),[1]Fichajes_Realizados!A$2:A$50000,[1]Fichajes_Realizados!D$2:D$50000,,0,-1),
   _xlfn.XLOOKUP(VALUE(A197),[1]Base_Jugadores!A$2:A$50000,[1]Base_Jugadores!C$2:C$50000)
)</f>
        <v>RCD Espanyol</v>
      </c>
      <c r="D197" s="5" t="str">
        <f aca="false">[1]Base_Jugadores!D197</f>
        <v>Serbia</v>
      </c>
      <c r="E197" s="3"/>
      <c r="F197" s="5" t="str">
        <f aca="false">[1]Base_Jugadores!E197</f>
        <v>PO</v>
      </c>
      <c r="G197" s="5" t="n">
        <f aca="false">[1]Base_Jugadores!F197</f>
        <v>78</v>
      </c>
      <c r="H197" s="5" t="n">
        <f aca="false">[1]Base_Jugadores!G197</f>
        <v>33</v>
      </c>
      <c r="I197" s="7" t="n">
        <f aca="false" t="array" ref="I197:I197">_xlfn.XLOOKUP(G197,{55;56;57;58;59;60;61;62;63;64;65;66;67;68;69;70;71;72;73;74;75;76;77;78;79;80;81;82;83;84;85;86;87;88;89;90;91;92;93;94;95;96;97;98;99},{100000;130000;160000;190000;220000;250000;300000;350000;400000;450000;500000;600000;700000;800000;900000;1000000;1500000;2000000;3000000;4000000;5000000;6500000;8000000;10000000;12500000;15000000;20000000;25000000;30000000;35000000;40000000;55000000;70000000;80000000;90000000;110000000;130000000;160000000;190000000;220000000;250000000;280000000;310000000;340000000;400000000})</f>
        <v>10000000</v>
      </c>
      <c r="J197" s="7" t="n">
        <f aca="false">I197*S197*T197*U197</f>
        <v>6840000</v>
      </c>
      <c r="K197" s="3"/>
      <c r="L197" s="3"/>
      <c r="M197" s="3"/>
      <c r="N197" s="9" t="n">
        <v>0</v>
      </c>
      <c r="O197" s="4" t="n">
        <v>0</v>
      </c>
      <c r="P197" s="5" t="n">
        <f aca="false">IF(COUNTIF([1]Base_Jugadores!J$2:J$500,B197)&gt;0,1,0)</f>
        <v>0</v>
      </c>
      <c r="Q197" s="10" t="b">
        <f aca="false">--(COUNTIFS(
   [1]Fichajes_Realizados!A$2:A$5000,A197,
   [1]Fichajes_Realizados!G$2:G$5000,$X$3
)&gt;0)</f>
        <v>0</v>
      </c>
      <c r="R197" s="5" t="n">
        <f aca="false">_xlfn.XLOOKUP(C197, [1]Estado_Equipos!A$2:A$500, [1]Estado_Equipos!J$2:J$500, "")</f>
        <v>71</v>
      </c>
      <c r="S197" s="5" t="n">
        <f aca="false">IF(H197&lt;=16,1.45,
IF(H197&gt;=41,0.3,
CHOOSE(ROUNDDOWN((H197-16)/2,0)+1,
1.45,1.38,1.3,1.23,1.17,1.15,1.12,1.05,0.95,0.8,0.6,0.4,0.3)))</f>
        <v>0.95</v>
      </c>
      <c r="T197" s="5" t="n">
        <f aca="false">CHOOSE(N197+1,1.2,1,0.85,0.7)</f>
        <v>1.2</v>
      </c>
      <c r="U197" s="5" t="n">
        <f aca="false">IF(F197="PO",0.6,
IF(F197="CT",0.75,
IF(F197="LI",0.8,
IF(F197="LD",0.8,
IF(F197="MCD",0.85,
IF(F197="MC",0.95,
IF(F197="MO",1.05,
IF(F197="EI",1.1,
IF(F197="ED",1.1,
IF(F197="SD",1.15,
IF(F197="DC",1.2,0)))))))))))</f>
        <v>0.6</v>
      </c>
    </row>
    <row r="198" customFormat="false" ht="16.4" hidden="false" customHeight="false" outlineLevel="0" collapsed="false">
      <c r="A198" s="1" t="n">
        <v>197</v>
      </c>
      <c r="B198" s="5" t="str">
        <f aca="false">[1]Base_Jugadores!B198</f>
        <v>Miguel Rubio</v>
      </c>
      <c r="C198" s="5" t="str">
        <f aca="false">IFERROR(
   _xlfn.XLOOKUP(VALUE(A198),[1]Fichajes_Realizados!A$2:A$50000,[1]Fichajes_Realizados!D$2:D$50000,,0,-1),
   _xlfn.XLOOKUP(VALUE(A198),[1]Base_Jugadores!A$2:A$50000,[1]Base_Jugadores!C$2:C$50000)
)</f>
        <v>RCD Espanyol</v>
      </c>
      <c r="D198" s="5" t="str">
        <f aca="false">[1]Base_Jugadores!D198</f>
        <v>España</v>
      </c>
      <c r="E198" s="3"/>
      <c r="F198" s="5" t="str">
        <f aca="false">[1]Base_Jugadores!E198</f>
        <v>CT</v>
      </c>
      <c r="G198" s="5" t="n">
        <f aca="false">[1]Base_Jugadores!F198</f>
        <v>68</v>
      </c>
      <c r="H198" s="5" t="n">
        <f aca="false">[1]Base_Jugadores!G198</f>
        <v>27</v>
      </c>
      <c r="I198" s="7" t="n">
        <f aca="false" t="array" ref="I198:I198">_xlfn.XLOOKUP(G198,{55;56;57;58;59;60;61;62;63;64;65;66;67;68;69;70;71;72;73;74;75;76;77;78;79;80;81;82;83;84;85;86;87;88;89;90;91;92;93;94;95;96;97;98;99},{100000;130000;160000;190000;220000;250000;300000;350000;400000;450000;500000;600000;700000;800000;900000;1000000;1500000;2000000;3000000;4000000;5000000;6500000;8000000;10000000;12500000;15000000;20000000;25000000;30000000;35000000;40000000;55000000;70000000;80000000;90000000;110000000;130000000;160000000;190000000;220000000;250000000;280000000;310000000;340000000;400000000})</f>
        <v>800000</v>
      </c>
      <c r="J198" s="7" t="n">
        <f aca="false">I198*S198*T198*U198</f>
        <v>586500</v>
      </c>
      <c r="K198" s="3"/>
      <c r="L198" s="3"/>
      <c r="M198" s="3"/>
      <c r="N198" s="9" t="n">
        <v>2</v>
      </c>
      <c r="O198" s="4" t="n">
        <v>0</v>
      </c>
      <c r="P198" s="5" t="n">
        <f aca="false">IF(COUNTIF([1]Base_Jugadores!J$2:J$500,B198)&gt;0,1,0)</f>
        <v>0</v>
      </c>
      <c r="Q198" s="10" t="b">
        <f aca="false">--(COUNTIFS(
   [1]Fichajes_Realizados!A$2:A$5000,A198,
   [1]Fichajes_Realizados!G$2:G$5000,$X$3
)&gt;0)</f>
        <v>0</v>
      </c>
      <c r="R198" s="5" t="n">
        <f aca="false">_xlfn.XLOOKUP(C198, [1]Estado_Equipos!A$2:A$500, [1]Estado_Equipos!J$2:J$500, "")</f>
        <v>71</v>
      </c>
      <c r="S198" s="5" t="n">
        <f aca="false">IF(H198&lt;=16,1.45,
IF(H198&gt;=41,0.3,
CHOOSE(ROUNDDOWN((H198-16)/2,0)+1,
1.45,1.38,1.3,1.23,1.17,1.15,1.12,1.05,0.95,0.8,0.6,0.4,0.3)))</f>
        <v>1.15</v>
      </c>
      <c r="T198" s="5" t="n">
        <f aca="false">CHOOSE(N198+1,1.2,1,0.85,0.7)</f>
        <v>0.85</v>
      </c>
      <c r="U198" s="5" t="n">
        <f aca="false">IF(F198="PO",0.6,
IF(F198="CT",0.75,
IF(F198="LI",0.8,
IF(F198="LD",0.8,
IF(F198="MCD",0.85,
IF(F198="MC",0.95,
IF(F198="MO",1.05,
IF(F198="EI",1.1,
IF(F198="ED",1.1,
IF(F198="SD",1.15,
IF(F198="DC",1.2,0)))))))))))</f>
        <v>0.75</v>
      </c>
    </row>
    <row r="199" customFormat="false" ht="16.4" hidden="false" customHeight="false" outlineLevel="0" collapsed="false">
      <c r="A199" s="1" t="n">
        <v>198</v>
      </c>
      <c r="B199" s="5" t="str">
        <f aca="false">[1]Base_Jugadores!B199</f>
        <v>Omar El Hilali</v>
      </c>
      <c r="C199" s="5" t="str">
        <f aca="false">IFERROR(
   _xlfn.XLOOKUP(VALUE(A199),[1]Fichajes_Realizados!A$2:A$50000,[1]Fichajes_Realizados!D$2:D$50000,,0,-1),
   _xlfn.XLOOKUP(VALUE(A199),[1]Base_Jugadores!A$2:A$50000,[1]Base_Jugadores!C$2:C$50000)
)</f>
        <v>RCD Espanyol</v>
      </c>
      <c r="D199" s="5" t="str">
        <f aca="false">[1]Base_Jugadores!D199</f>
        <v>Marruecos</v>
      </c>
      <c r="E199" s="3"/>
      <c r="F199" s="5" t="str">
        <f aca="false">[1]Base_Jugadores!E199</f>
        <v>LD</v>
      </c>
      <c r="G199" s="5" t="n">
        <f aca="false">[1]Base_Jugadores!F199</f>
        <v>74</v>
      </c>
      <c r="H199" s="5" t="n">
        <f aca="false">[1]Base_Jugadores!G199</f>
        <v>22</v>
      </c>
      <c r="I199" s="7" t="n">
        <f aca="false" t="array" ref="I199:I199">_xlfn.XLOOKUP(G199,{55;56;57;58;59;60;61;62;63;64;65;66;67;68;69;70;71;72;73;74;75;76;77;78;79;80;81;82;83;84;85;86;87;88;89;90;91;92;93;94;95;96;97;98;99},{100000;130000;160000;190000;220000;250000;300000;350000;400000;450000;500000;600000;700000;800000;900000;1000000;1500000;2000000;3000000;4000000;5000000;6500000;8000000;10000000;12500000;15000000;20000000;25000000;30000000;35000000;40000000;55000000;70000000;80000000;90000000;110000000;130000000;160000000;190000000;220000000;250000000;280000000;310000000;340000000;400000000})</f>
        <v>4000000</v>
      </c>
      <c r="J199" s="7" t="n">
        <f aca="false">I199*S199*T199*U199</f>
        <v>4723200</v>
      </c>
      <c r="K199" s="3"/>
      <c r="L199" s="3"/>
      <c r="M199" s="3"/>
      <c r="N199" s="9" t="n">
        <v>0</v>
      </c>
      <c r="O199" s="4" t="n">
        <v>0</v>
      </c>
      <c r="P199" s="5" t="n">
        <f aca="false">IF(COUNTIF([1]Base_Jugadores!J$2:J$500,B199)&gt;0,1,0)</f>
        <v>0</v>
      </c>
      <c r="Q199" s="10" t="b">
        <f aca="false">--(COUNTIFS(
   [1]Fichajes_Realizados!A$2:A$5000,A199,
   [1]Fichajes_Realizados!G$2:G$5000,$X$3
)&gt;0)</f>
        <v>0</v>
      </c>
      <c r="R199" s="5" t="n">
        <f aca="false">_xlfn.XLOOKUP(C199, [1]Estado_Equipos!A$2:A$500, [1]Estado_Equipos!J$2:J$500, "")</f>
        <v>71</v>
      </c>
      <c r="S199" s="5" t="n">
        <f aca="false">IF(H199&lt;=16,1.45,
IF(H199&gt;=41,0.3,
CHOOSE(ROUNDDOWN((H199-16)/2,0)+1,
1.45,1.38,1.3,1.23,1.17,1.15,1.12,1.05,0.95,0.8,0.6,0.4,0.3)))</f>
        <v>1.23</v>
      </c>
      <c r="T199" s="5" t="n">
        <f aca="false">CHOOSE(N199+1,1.2,1,0.85,0.7)</f>
        <v>1.2</v>
      </c>
      <c r="U199" s="5" t="n">
        <f aca="false">IF(F199="PO",0.6,
IF(F199="CT",0.75,
IF(F199="LI",0.8,
IF(F199="LD",0.8,
IF(F199="MCD",0.85,
IF(F199="MC",0.95,
IF(F199="MO",1.05,
IF(F199="EI",1.1,
IF(F199="ED",1.1,
IF(F199="SD",1.15,
IF(F199="DC",1.2,0)))))))))))</f>
        <v>0.8</v>
      </c>
    </row>
    <row r="200" customFormat="false" ht="16.4" hidden="false" customHeight="false" outlineLevel="0" collapsed="false">
      <c r="A200" s="1" t="n">
        <v>199</v>
      </c>
      <c r="B200" s="5" t="str">
        <f aca="false">[1]Base_Jugadores!B200</f>
        <v>Pere Milla</v>
      </c>
      <c r="C200" s="5" t="str">
        <f aca="false">IFERROR(
   _xlfn.XLOOKUP(VALUE(A200),[1]Fichajes_Realizados!A$2:A$50000,[1]Fichajes_Realizados!D$2:D$50000,,0,-1),
   _xlfn.XLOOKUP(VALUE(A200),[1]Base_Jugadores!A$2:A$50000,[1]Base_Jugadores!C$2:C$50000)
)</f>
        <v>RCD Espanyol</v>
      </c>
      <c r="D200" s="5" t="str">
        <f aca="false">[1]Base_Jugadores!D200</f>
        <v>España</v>
      </c>
      <c r="E200" s="3"/>
      <c r="F200" s="5" t="str">
        <f aca="false">[1]Base_Jugadores!E200</f>
        <v>EI</v>
      </c>
      <c r="G200" s="5" t="n">
        <f aca="false">[1]Base_Jugadores!F200</f>
        <v>74</v>
      </c>
      <c r="H200" s="5" t="n">
        <f aca="false">[1]Base_Jugadores!G200</f>
        <v>33</v>
      </c>
      <c r="I200" s="7" t="n">
        <f aca="false" t="array" ref="I200:I200">_xlfn.XLOOKUP(G200,{55;56;57;58;59;60;61;62;63;64;65;66;67;68;69;70;71;72;73;74;75;76;77;78;79;80;81;82;83;84;85;86;87;88;89;90;91;92;93;94;95;96;97;98;99},{100000;130000;160000;190000;220000;250000;300000;350000;400000;450000;500000;600000;700000;800000;900000;1000000;1500000;2000000;3000000;4000000;5000000;6500000;8000000;10000000;12500000;15000000;20000000;25000000;30000000;35000000;40000000;55000000;70000000;80000000;90000000;110000000;130000000;160000000;190000000;220000000;250000000;280000000;310000000;340000000;400000000})</f>
        <v>4000000</v>
      </c>
      <c r="J200" s="7" t="n">
        <f aca="false">I200*S200*T200*U200</f>
        <v>4180000</v>
      </c>
      <c r="K200" s="3"/>
      <c r="L200" s="3"/>
      <c r="M200" s="3"/>
      <c r="N200" s="9" t="n">
        <v>1</v>
      </c>
      <c r="O200" s="4" t="n">
        <v>0</v>
      </c>
      <c r="P200" s="5" t="n">
        <f aca="false">IF(COUNTIF([1]Base_Jugadores!J$2:J$500,B200)&gt;0,1,0)</f>
        <v>0</v>
      </c>
      <c r="Q200" s="10" t="b">
        <f aca="false">--(COUNTIFS(
   [1]Fichajes_Realizados!A$2:A$5000,A200,
   [1]Fichajes_Realizados!G$2:G$5000,$X$3
)&gt;0)</f>
        <v>0</v>
      </c>
      <c r="R200" s="5" t="n">
        <f aca="false">_xlfn.XLOOKUP(C200, [1]Estado_Equipos!A$2:A$500, [1]Estado_Equipos!J$2:J$500, "")</f>
        <v>71</v>
      </c>
      <c r="S200" s="5" t="n">
        <f aca="false">IF(H200&lt;=16,1.45,
IF(H200&gt;=41,0.3,
CHOOSE(ROUNDDOWN((H200-16)/2,0)+1,
1.45,1.38,1.3,1.23,1.17,1.15,1.12,1.05,0.95,0.8,0.6,0.4,0.3)))</f>
        <v>0.95</v>
      </c>
      <c r="T200" s="5" t="n">
        <f aca="false">CHOOSE(N200+1,1.2,1,0.85,0.7)</f>
        <v>1</v>
      </c>
      <c r="U200" s="5" t="n">
        <f aca="false">IF(F200="PO",0.6,
IF(F200="CT",0.75,
IF(F200="LI",0.8,
IF(F200="LD",0.8,
IF(F200="MCD",0.85,
IF(F200="MC",0.95,
IF(F200="MO",1.05,
IF(F200="EI",1.1,
IF(F200="ED",1.1,
IF(F200="SD",1.15,
IF(F200="DC",1.2,0)))))))))))</f>
        <v>1.1</v>
      </c>
    </row>
    <row r="201" customFormat="false" ht="16.4" hidden="false" customHeight="false" outlineLevel="0" collapsed="false">
      <c r="A201" s="1" t="n">
        <v>200</v>
      </c>
      <c r="B201" s="5" t="str">
        <f aca="false">[1]Base_Jugadores!B201</f>
        <v>Pol Lozano</v>
      </c>
      <c r="C201" s="5" t="str">
        <f aca="false">IFERROR(
   _xlfn.XLOOKUP(VALUE(A201),[1]Fichajes_Realizados!A$2:A$50000,[1]Fichajes_Realizados!D$2:D$50000,,0,-1),
   _xlfn.XLOOKUP(VALUE(A201),[1]Base_Jugadores!A$2:A$50000,[1]Base_Jugadores!C$2:C$50000)
)</f>
        <v>RCD Espanyol</v>
      </c>
      <c r="D201" s="5" t="str">
        <f aca="false">[1]Base_Jugadores!D201</f>
        <v>España</v>
      </c>
      <c r="E201" s="3"/>
      <c r="F201" s="5" t="str">
        <f aca="false">[1]Base_Jugadores!E201</f>
        <v>MC</v>
      </c>
      <c r="G201" s="5" t="n">
        <f aca="false">[1]Base_Jugadores!F201</f>
        <v>71</v>
      </c>
      <c r="H201" s="5" t="n">
        <f aca="false">[1]Base_Jugadores!G201</f>
        <v>26</v>
      </c>
      <c r="I201" s="7" t="n">
        <f aca="false" t="array" ref="I201:I201">_xlfn.XLOOKUP(G201,{55;56;57;58;59;60;61;62;63;64;65;66;67;68;69;70;71;72;73;74;75;76;77;78;79;80;81;82;83;84;85;86;87;88;89;90;91;92;93;94;95;96;97;98;99},{100000;130000;160000;190000;220000;250000;300000;350000;400000;450000;500000;600000;700000;800000;900000;1000000;1500000;2000000;3000000;4000000;5000000;6500000;8000000;10000000;12500000;15000000;20000000;25000000;30000000;35000000;40000000;55000000;70000000;80000000;90000000;110000000;130000000;160000000;190000000;220000000;250000000;280000000;310000000;340000000;400000000})</f>
        <v>1500000</v>
      </c>
      <c r="J201" s="7" t="n">
        <f aca="false">I201*S201*T201*U201</f>
        <v>1638750</v>
      </c>
      <c r="K201" s="3"/>
      <c r="L201" s="3"/>
      <c r="M201" s="3"/>
      <c r="N201" s="9" t="n">
        <v>1</v>
      </c>
      <c r="O201" s="4" t="n">
        <v>0</v>
      </c>
      <c r="P201" s="5" t="n">
        <f aca="false">IF(COUNTIF([1]Base_Jugadores!J$2:J$500,B201)&gt;0,1,0)</f>
        <v>0</v>
      </c>
      <c r="Q201" s="10" t="b">
        <f aca="false">--(COUNTIFS(
   [1]Fichajes_Realizados!A$2:A$5000,A201,
   [1]Fichajes_Realizados!G$2:G$5000,$X$3
)&gt;0)</f>
        <v>0</v>
      </c>
      <c r="R201" s="5" t="n">
        <f aca="false">_xlfn.XLOOKUP(C201, [1]Estado_Equipos!A$2:A$500, [1]Estado_Equipos!J$2:J$500, "")</f>
        <v>71</v>
      </c>
      <c r="S201" s="5" t="n">
        <f aca="false">IF(H201&lt;=16,1.45,
IF(H201&gt;=41,0.3,
CHOOSE(ROUNDDOWN((H201-16)/2,0)+1,
1.45,1.38,1.3,1.23,1.17,1.15,1.12,1.05,0.95,0.8,0.6,0.4,0.3)))</f>
        <v>1.15</v>
      </c>
      <c r="T201" s="5" t="n">
        <f aca="false">CHOOSE(N201+1,1.2,1,0.85,0.7)</f>
        <v>1</v>
      </c>
      <c r="U201" s="5" t="n">
        <f aca="false">IF(F201="PO",0.6,
IF(F201="CT",0.75,
IF(F201="LI",0.8,
IF(F201="LD",0.8,
IF(F201="MCD",0.85,
IF(F201="MC",0.95,
IF(F201="MO",1.05,
IF(F201="EI",1.1,
IF(F201="ED",1.1,
IF(F201="SD",1.15,
IF(F201="DC",1.2,0)))))))))))</f>
        <v>0.95</v>
      </c>
    </row>
    <row r="202" customFormat="false" ht="16.4" hidden="false" customHeight="false" outlineLevel="0" collapsed="false">
      <c r="A202" s="1" t="n">
        <v>201</v>
      </c>
      <c r="B202" s="5" t="str">
        <f aca="false">[1]Base_Jugadores!B202</f>
        <v>Ramón Terrats</v>
      </c>
      <c r="C202" s="5" t="str">
        <f aca="false">IFERROR(
   _xlfn.XLOOKUP(VALUE(A202),[1]Fichajes_Realizados!A$2:A$50000,[1]Fichajes_Realizados!D$2:D$50000,,0,-1),
   _xlfn.XLOOKUP(VALUE(A202),[1]Base_Jugadores!A$2:A$50000,[1]Base_Jugadores!C$2:C$50000)
)</f>
        <v>RCD Espanyol</v>
      </c>
      <c r="D202" s="5" t="str">
        <f aca="false">[1]Base_Jugadores!D202</f>
        <v>España</v>
      </c>
      <c r="E202" s="3"/>
      <c r="F202" s="5" t="str">
        <f aca="false">[1]Base_Jugadores!E202</f>
        <v>MC</v>
      </c>
      <c r="G202" s="5" t="n">
        <f aca="false">[1]Base_Jugadores!F202</f>
        <v>73</v>
      </c>
      <c r="H202" s="5" t="n">
        <f aca="false">[1]Base_Jugadores!G202</f>
        <v>25</v>
      </c>
      <c r="I202" s="7" t="n">
        <f aca="false" t="array" ref="I202:I202">_xlfn.XLOOKUP(G202,{55;56;57;58;59;60;61;62;63;64;65;66;67;68;69;70;71;72;73;74;75;76;77;78;79;80;81;82;83;84;85;86;87;88;89;90;91;92;93;94;95;96;97;98;99},{100000;130000;160000;190000;220000;250000;300000;350000;400000;450000;500000;600000;700000;800000;900000;1000000;1500000;2000000;3000000;4000000;5000000;6500000;8000000;10000000;12500000;15000000;20000000;25000000;30000000;35000000;40000000;55000000;70000000;80000000;90000000;110000000;130000000;160000000;190000000;220000000;250000000;280000000;310000000;340000000;400000000})</f>
        <v>3000000</v>
      </c>
      <c r="J202" s="7" t="n">
        <f aca="false">I202*S202*T202*U202</f>
        <v>4001400</v>
      </c>
      <c r="K202" s="3"/>
      <c r="L202" s="3"/>
      <c r="M202" s="3"/>
      <c r="N202" s="9" t="n">
        <v>0</v>
      </c>
      <c r="O202" s="4" t="n">
        <v>0</v>
      </c>
      <c r="P202" s="5" t="n">
        <f aca="false">IF(COUNTIF([1]Base_Jugadores!J$2:J$500,B202)&gt;0,1,0)</f>
        <v>0</v>
      </c>
      <c r="Q202" s="10" t="b">
        <f aca="false">--(COUNTIFS(
   [1]Fichajes_Realizados!A$2:A$5000,A202,
   [1]Fichajes_Realizados!G$2:G$5000,$X$3
)&gt;0)</f>
        <v>0</v>
      </c>
      <c r="R202" s="5" t="n">
        <f aca="false">_xlfn.XLOOKUP(C202, [1]Estado_Equipos!A$2:A$500, [1]Estado_Equipos!J$2:J$500, "")</f>
        <v>71</v>
      </c>
      <c r="S202" s="5" t="n">
        <f aca="false">IF(H202&lt;=16,1.45,
IF(H202&gt;=41,0.3,
CHOOSE(ROUNDDOWN((H202-16)/2,0)+1,
1.45,1.38,1.3,1.23,1.17,1.15,1.12,1.05,0.95,0.8,0.6,0.4,0.3)))</f>
        <v>1.17</v>
      </c>
      <c r="T202" s="5" t="n">
        <f aca="false">CHOOSE(N202+1,1.2,1,0.85,0.7)</f>
        <v>1.2</v>
      </c>
      <c r="U202" s="5" t="n">
        <f aca="false">IF(F202="PO",0.6,
IF(F202="CT",0.75,
IF(F202="LI",0.8,
IF(F202="LD",0.8,
IF(F202="MCD",0.85,
IF(F202="MC",0.95,
IF(F202="MO",1.05,
IF(F202="EI",1.1,
IF(F202="ED",1.1,
IF(F202="SD",1.15,
IF(F202="DC",1.2,0)))))))))))</f>
        <v>0.95</v>
      </c>
    </row>
    <row r="203" customFormat="false" ht="16.4" hidden="false" customHeight="false" outlineLevel="0" collapsed="false">
      <c r="A203" s="1" t="n">
        <v>202</v>
      </c>
      <c r="B203" s="5" t="str">
        <f aca="false">[1]Base_Jugadores!B203</f>
        <v>Roberto Fernández</v>
      </c>
      <c r="C203" s="5" t="str">
        <f aca="false">IFERROR(
   _xlfn.XLOOKUP(VALUE(A203),[1]Fichajes_Realizados!A$2:A$50000,[1]Fichajes_Realizados!D$2:D$50000,,0,-1),
   _xlfn.XLOOKUP(VALUE(A203),[1]Base_Jugadores!A$2:A$50000,[1]Base_Jugadores!C$2:C$50000)
)</f>
        <v>RCD Espanyol</v>
      </c>
      <c r="D203" s="5" t="str">
        <f aca="false">[1]Base_Jugadores!D203</f>
        <v>España</v>
      </c>
      <c r="E203" s="3"/>
      <c r="F203" s="5" t="str">
        <f aca="false">[1]Base_Jugadores!E203</f>
        <v>DC</v>
      </c>
      <c r="G203" s="5" t="n">
        <f aca="false">[1]Base_Jugadores!F203</f>
        <v>72</v>
      </c>
      <c r="H203" s="5" t="n">
        <f aca="false">[1]Base_Jugadores!G203</f>
        <v>23</v>
      </c>
      <c r="I203" s="7" t="n">
        <f aca="false" t="array" ref="I203:I203">_xlfn.XLOOKUP(G203,{55;56;57;58;59;60;61;62;63;64;65;66;67;68;69;70;71;72;73;74;75;76;77;78;79;80;81;82;83;84;85;86;87;88;89;90;91;92;93;94;95;96;97;98;99},{100000;130000;160000;190000;220000;250000;300000;350000;400000;450000;500000;600000;700000;800000;900000;1000000;1500000;2000000;3000000;4000000;5000000;6500000;8000000;10000000;12500000;15000000;20000000;25000000;30000000;35000000;40000000;55000000;70000000;80000000;90000000;110000000;130000000;160000000;190000000;220000000;250000000;280000000;310000000;340000000;400000000})</f>
        <v>2000000</v>
      </c>
      <c r="J203" s="7" t="n">
        <f aca="false">I203*S203*T203*U203</f>
        <v>3542400</v>
      </c>
      <c r="K203" s="3"/>
      <c r="L203" s="3"/>
      <c r="M203" s="3"/>
      <c r="N203" s="9" t="n">
        <v>0</v>
      </c>
      <c r="O203" s="4" t="n">
        <v>0</v>
      </c>
      <c r="P203" s="5" t="n">
        <f aca="false">IF(COUNTIF([1]Base_Jugadores!J$2:J$500,B203)&gt;0,1,0)</f>
        <v>0</v>
      </c>
      <c r="Q203" s="10" t="b">
        <f aca="false">--(COUNTIFS(
   [1]Fichajes_Realizados!A$2:A$5000,A203,
   [1]Fichajes_Realizados!G$2:G$5000,$X$3
)&gt;0)</f>
        <v>0</v>
      </c>
      <c r="R203" s="5" t="n">
        <f aca="false">_xlfn.XLOOKUP(C203, [1]Estado_Equipos!A$2:A$500, [1]Estado_Equipos!J$2:J$500, "")</f>
        <v>71</v>
      </c>
      <c r="S203" s="5" t="n">
        <f aca="false">IF(H203&lt;=16,1.45,
IF(H203&gt;=41,0.3,
CHOOSE(ROUNDDOWN((H203-16)/2,0)+1,
1.45,1.38,1.3,1.23,1.17,1.15,1.12,1.05,0.95,0.8,0.6,0.4,0.3)))</f>
        <v>1.23</v>
      </c>
      <c r="T203" s="5" t="n">
        <f aca="false">CHOOSE(N203+1,1.2,1,0.85,0.7)</f>
        <v>1.2</v>
      </c>
      <c r="U203" s="5" t="n">
        <f aca="false">IF(F203="PO",0.6,
IF(F203="CT",0.75,
IF(F203="LI",0.8,
IF(F203="LD",0.8,
IF(F203="MCD",0.85,
IF(F203="MC",0.95,
IF(F203="MO",1.05,
IF(F203="EI",1.1,
IF(F203="ED",1.1,
IF(F203="SD",1.15,
IF(F203="DC",1.2,0)))))))))))</f>
        <v>1.2</v>
      </c>
    </row>
    <row r="204" customFormat="false" ht="16.4" hidden="false" customHeight="false" outlineLevel="0" collapsed="false">
      <c r="A204" s="1" t="n">
        <v>203</v>
      </c>
      <c r="B204" s="5" t="str">
        <f aca="false">[1]Base_Jugadores!B204</f>
        <v>Rubén Sánchez</v>
      </c>
      <c r="C204" s="5" t="str">
        <f aca="false">IFERROR(
   _xlfn.XLOOKUP(VALUE(A204),[1]Fichajes_Realizados!A$2:A$50000,[1]Fichajes_Realizados!D$2:D$50000,,0,-1),
   _xlfn.XLOOKUP(VALUE(A204),[1]Base_Jugadores!A$2:A$50000,[1]Base_Jugadores!C$2:C$50000)
)</f>
        <v>RCD Espanyol</v>
      </c>
      <c r="D204" s="5" t="str">
        <f aca="false">[1]Base_Jugadores!D204</f>
        <v>España</v>
      </c>
      <c r="E204" s="3"/>
      <c r="F204" s="5" t="str">
        <f aca="false">[1]Base_Jugadores!E204</f>
        <v>LD</v>
      </c>
      <c r="G204" s="5" t="n">
        <f aca="false">[1]Base_Jugadores!F204</f>
        <v>70</v>
      </c>
      <c r="H204" s="5" t="n">
        <f aca="false">[1]Base_Jugadores!G204</f>
        <v>24</v>
      </c>
      <c r="I204" s="7" t="n">
        <f aca="false" t="array" ref="I204:I204">_xlfn.XLOOKUP(G204,{55;56;57;58;59;60;61;62;63;64;65;66;67;68;69;70;71;72;73;74;75;76;77;78;79;80;81;82;83;84;85;86;87;88;89;90;91;92;93;94;95;96;97;98;99},{100000;130000;160000;190000;220000;250000;300000;350000;400000;450000;500000;600000;700000;800000;900000;1000000;1500000;2000000;3000000;4000000;5000000;6500000;8000000;10000000;12500000;15000000;20000000;25000000;30000000;35000000;40000000;55000000;70000000;80000000;90000000;110000000;130000000;160000000;190000000;220000000;250000000;280000000;310000000;340000000;400000000})</f>
        <v>1000000</v>
      </c>
      <c r="J204" s="7" t="n">
        <f aca="false">I204*S204*T204*U204</f>
        <v>936000</v>
      </c>
      <c r="K204" s="3"/>
      <c r="L204" s="3"/>
      <c r="M204" s="3"/>
      <c r="N204" s="9" t="n">
        <v>1</v>
      </c>
      <c r="O204" s="4" t="n">
        <v>0</v>
      </c>
      <c r="P204" s="5" t="n">
        <f aca="false">IF(COUNTIF([1]Base_Jugadores!J$2:J$500,B204)&gt;0,1,0)</f>
        <v>0</v>
      </c>
      <c r="Q204" s="10" t="b">
        <f aca="false">--(COUNTIFS(
   [1]Fichajes_Realizados!A$2:A$5000,A204,
   [1]Fichajes_Realizados!G$2:G$5000,$X$3
)&gt;0)</f>
        <v>0</v>
      </c>
      <c r="R204" s="5" t="n">
        <f aca="false">_xlfn.XLOOKUP(C204, [1]Estado_Equipos!A$2:A$500, [1]Estado_Equipos!J$2:J$500, "")</f>
        <v>71</v>
      </c>
      <c r="S204" s="5" t="n">
        <f aca="false">IF(H204&lt;=16,1.45,
IF(H204&gt;=41,0.3,
CHOOSE(ROUNDDOWN((H204-16)/2,0)+1,
1.45,1.38,1.3,1.23,1.17,1.15,1.12,1.05,0.95,0.8,0.6,0.4,0.3)))</f>
        <v>1.17</v>
      </c>
      <c r="T204" s="5" t="n">
        <f aca="false">CHOOSE(N204+1,1.2,1,0.85,0.7)</f>
        <v>1</v>
      </c>
      <c r="U204" s="5" t="n">
        <f aca="false">IF(F204="PO",0.6,
IF(F204="CT",0.75,
IF(F204="LI",0.8,
IF(F204="LD",0.8,
IF(F204="MCD",0.85,
IF(F204="MC",0.95,
IF(F204="MO",1.05,
IF(F204="EI",1.1,
IF(F204="ED",1.1,
IF(F204="SD",1.15,
IF(F204="DC",1.2,0)))))))))))</f>
        <v>0.8</v>
      </c>
    </row>
    <row r="205" customFormat="false" ht="16.4" hidden="false" customHeight="false" outlineLevel="0" collapsed="false">
      <c r="A205" s="1" t="n">
        <v>204</v>
      </c>
      <c r="B205" s="5" t="str">
        <f aca="false">[1]Base_Jugadores!B205</f>
        <v>Tyrhys Dolan</v>
      </c>
      <c r="C205" s="5" t="str">
        <f aca="false">IFERROR(
   _xlfn.XLOOKUP(VALUE(A205),[1]Fichajes_Realizados!A$2:A$50000,[1]Fichajes_Realizados!D$2:D$50000,,0,-1),
   _xlfn.XLOOKUP(VALUE(A205),[1]Base_Jugadores!A$2:A$50000,[1]Base_Jugadores!C$2:C$50000)
)</f>
        <v>RCD Espanyol</v>
      </c>
      <c r="D205" s="5" t="str">
        <f aca="false">[1]Base_Jugadores!D205</f>
        <v>Inglaterra</v>
      </c>
      <c r="E205" s="3"/>
      <c r="F205" s="5" t="str">
        <f aca="false">[1]Base_Jugadores!E205</f>
        <v>ED</v>
      </c>
      <c r="G205" s="5" t="n">
        <f aca="false">[1]Base_Jugadores!F205</f>
        <v>69</v>
      </c>
      <c r="H205" s="5" t="n">
        <f aca="false">[1]Base_Jugadores!G205</f>
        <v>24</v>
      </c>
      <c r="I205" s="7" t="n">
        <f aca="false" t="array" ref="I205:I205">_xlfn.XLOOKUP(G205,{55;56;57;58;59;60;61;62;63;64;65;66;67;68;69;70;71;72;73;74;75;76;77;78;79;80;81;82;83;84;85;86;87;88;89;90;91;92;93;94;95;96;97;98;99},{100000;130000;160000;190000;220000;250000;300000;350000;400000;450000;500000;600000;700000;800000;900000;1000000;1500000;2000000;3000000;4000000;5000000;6500000;8000000;10000000;12500000;15000000;20000000;25000000;30000000;35000000;40000000;55000000;70000000;80000000;90000000;110000000;130000000;160000000;190000000;220000000;250000000;280000000;310000000;340000000;400000000})</f>
        <v>900000</v>
      </c>
      <c r="J205" s="7" t="n">
        <f aca="false">I205*S205*T205*U205</f>
        <v>984555</v>
      </c>
      <c r="K205" s="3"/>
      <c r="L205" s="3"/>
      <c r="M205" s="3"/>
      <c r="N205" s="9" t="n">
        <v>2</v>
      </c>
      <c r="O205" s="4" t="n">
        <v>0</v>
      </c>
      <c r="P205" s="5" t="n">
        <f aca="false">IF(COUNTIF([1]Base_Jugadores!J$2:J$500,B205)&gt;0,1,0)</f>
        <v>0</v>
      </c>
      <c r="Q205" s="10" t="b">
        <f aca="false">--(COUNTIFS(
   [1]Fichajes_Realizados!A$2:A$5000,A205,
   [1]Fichajes_Realizados!G$2:G$5000,$X$3
)&gt;0)</f>
        <v>0</v>
      </c>
      <c r="R205" s="5" t="n">
        <f aca="false">_xlfn.XLOOKUP(C205, [1]Estado_Equipos!A$2:A$500, [1]Estado_Equipos!J$2:J$500, "")</f>
        <v>71</v>
      </c>
      <c r="S205" s="5" t="n">
        <f aca="false">IF(H205&lt;=16,1.45,
IF(H205&gt;=41,0.3,
CHOOSE(ROUNDDOWN((H205-16)/2,0)+1,
1.45,1.38,1.3,1.23,1.17,1.15,1.12,1.05,0.95,0.8,0.6,0.4,0.3)))</f>
        <v>1.17</v>
      </c>
      <c r="T205" s="5" t="n">
        <f aca="false">CHOOSE(N205+1,1.2,1,0.85,0.7)</f>
        <v>0.85</v>
      </c>
      <c r="U205" s="5" t="n">
        <f aca="false">IF(F205="PO",0.6,
IF(F205="CT",0.75,
IF(F205="LI",0.8,
IF(F205="LD",0.8,
IF(F205="MCD",0.85,
IF(F205="MC",0.95,
IF(F205="MO",1.05,
IF(F205="EI",1.1,
IF(F205="ED",1.1,
IF(F205="SD",1.15,
IF(F205="DC",1.2,0)))))))))))</f>
        <v>1.1</v>
      </c>
    </row>
    <row r="206" customFormat="false" ht="16.4" hidden="false" customHeight="false" outlineLevel="0" collapsed="false">
      <c r="A206" s="1" t="n">
        <v>205</v>
      </c>
      <c r="B206" s="5" t="str">
        <f aca="false">[1]Base_Jugadores!B206</f>
        <v>Urko González</v>
      </c>
      <c r="C206" s="5" t="str">
        <f aca="false">IFERROR(
   _xlfn.XLOOKUP(VALUE(A206),[1]Fichajes_Realizados!A$2:A$50000,[1]Fichajes_Realizados!D$2:D$50000,,0,-1),
   _xlfn.XLOOKUP(VALUE(A206),[1]Base_Jugadores!A$2:A$50000,[1]Base_Jugadores!C$2:C$50000)
)</f>
        <v>RCD Espanyol</v>
      </c>
      <c r="D206" s="5" t="str">
        <f aca="false">[1]Base_Jugadores!D206</f>
        <v>España</v>
      </c>
      <c r="E206" s="3"/>
      <c r="F206" s="5" t="str">
        <f aca="false">[1]Base_Jugadores!E206</f>
        <v>MCD</v>
      </c>
      <c r="G206" s="5" t="n">
        <f aca="false">[1]Base_Jugadores!F206</f>
        <v>66</v>
      </c>
      <c r="H206" s="5" t="n">
        <f aca="false">[1]Base_Jugadores!G206</f>
        <v>24</v>
      </c>
      <c r="I206" s="7" t="n">
        <f aca="false" t="array" ref="I206:I206">_xlfn.XLOOKUP(G206,{55;56;57;58;59;60;61;62;63;64;65;66;67;68;69;70;71;72;73;74;75;76;77;78;79;80;81;82;83;84;85;86;87;88;89;90;91;92;93;94;95;96;97;98;99},{100000;130000;160000;190000;220000;250000;300000;350000;400000;450000;500000;600000;700000;800000;900000;1000000;1500000;2000000;3000000;4000000;5000000;6500000;8000000;10000000;12500000;15000000;20000000;25000000;30000000;35000000;40000000;55000000;70000000;80000000;90000000;110000000;130000000;160000000;190000000;220000000;250000000;280000000;310000000;340000000;400000000})</f>
        <v>600000</v>
      </c>
      <c r="J206" s="7" t="n">
        <f aca="false">I206*S206*T206*U206</f>
        <v>507195</v>
      </c>
      <c r="K206" s="3"/>
      <c r="L206" s="3"/>
      <c r="M206" s="3"/>
      <c r="N206" s="9" t="n">
        <v>2</v>
      </c>
      <c r="O206" s="4" t="n">
        <v>0</v>
      </c>
      <c r="P206" s="5" t="n">
        <f aca="false">IF(COUNTIF([1]Base_Jugadores!J$2:J$500,B206)&gt;0,1,0)</f>
        <v>0</v>
      </c>
      <c r="Q206" s="10" t="b">
        <f aca="false">--(COUNTIFS(
   [1]Fichajes_Realizados!A$2:A$5000,A206,
   [1]Fichajes_Realizados!G$2:G$5000,$X$3
)&gt;0)</f>
        <v>0</v>
      </c>
      <c r="R206" s="5" t="n">
        <f aca="false">_xlfn.XLOOKUP(C206, [1]Estado_Equipos!A$2:A$500, [1]Estado_Equipos!J$2:J$500, "")</f>
        <v>71</v>
      </c>
      <c r="S206" s="5" t="n">
        <f aca="false">IF(H206&lt;=16,1.45,
IF(H206&gt;=41,0.3,
CHOOSE(ROUNDDOWN((H206-16)/2,0)+1,
1.45,1.38,1.3,1.23,1.17,1.15,1.12,1.05,0.95,0.8,0.6,0.4,0.3)))</f>
        <v>1.17</v>
      </c>
      <c r="T206" s="5" t="n">
        <f aca="false">CHOOSE(N206+1,1.2,1,0.85,0.7)</f>
        <v>0.85</v>
      </c>
      <c r="U206" s="5" t="n">
        <f aca="false">IF(F206="PO",0.6,
IF(F206="CT",0.75,
IF(F206="LI",0.8,
IF(F206="LD",0.8,
IF(F206="MCD",0.85,
IF(F206="MC",0.95,
IF(F206="MO",1.05,
IF(F206="EI",1.1,
IF(F206="ED",1.1,
IF(F206="SD",1.15,
IF(F206="DC",1.2,0)))))))))))</f>
        <v>0.85</v>
      </c>
    </row>
    <row r="207" customFormat="false" ht="16.4" hidden="false" customHeight="false" outlineLevel="0" collapsed="false">
      <c r="A207" s="1" t="n">
        <v>206</v>
      </c>
      <c r="B207" s="5" t="str">
        <f aca="false">[1]Base_Jugadores!B207</f>
        <v>Xavi Pleguezuelo</v>
      </c>
      <c r="C207" s="5" t="str">
        <f aca="false">IFERROR(
   _xlfn.XLOOKUP(VALUE(A207),[1]Fichajes_Realizados!A$2:A$50000,[1]Fichajes_Realizados!D$2:D$50000,,0,-1),
   _xlfn.XLOOKUP(VALUE(A207),[1]Base_Jugadores!A$2:A$50000,[1]Base_Jugadores!C$2:C$50000)
)</f>
        <v>RCD Espanyol</v>
      </c>
      <c r="D207" s="5" t="str">
        <f aca="false">[1]Base_Jugadores!D207</f>
        <v>España</v>
      </c>
      <c r="E207" s="3"/>
      <c r="F207" s="5" t="str">
        <f aca="false">[1]Base_Jugadores!E207</f>
        <v>LI</v>
      </c>
      <c r="G207" s="5" t="n">
        <f aca="false">[1]Base_Jugadores!F207</f>
        <v>66</v>
      </c>
      <c r="H207" s="5" t="n">
        <f aca="false">[1]Base_Jugadores!G207</f>
        <v>22</v>
      </c>
      <c r="I207" s="7" t="n">
        <f aca="false" t="array" ref="I207:I207">_xlfn.XLOOKUP(G207,{55;56;57;58;59;60;61;62;63;64;65;66;67;68;69;70;71;72;73;74;75;76;77;78;79;80;81;82;83;84;85;86;87;88;89;90;91;92;93;94;95;96;97;98;99},{100000;130000;160000;190000;220000;250000;300000;350000;400000;450000;500000;600000;700000;800000;900000;1000000;1500000;2000000;3000000;4000000;5000000;6500000;8000000;10000000;12500000;15000000;20000000;25000000;30000000;35000000;40000000;55000000;70000000;80000000;90000000;110000000;130000000;160000000;190000000;220000000;250000000;280000000;310000000;340000000;400000000})</f>
        <v>600000</v>
      </c>
      <c r="J207" s="7" t="n">
        <f aca="false">I207*S207*T207*U207</f>
        <v>501840</v>
      </c>
      <c r="K207" s="3"/>
      <c r="L207" s="3"/>
      <c r="M207" s="3"/>
      <c r="N207" s="9" t="n">
        <v>2</v>
      </c>
      <c r="O207" s="4" t="n">
        <v>0</v>
      </c>
      <c r="P207" s="5" t="n">
        <f aca="false">IF(COUNTIF([1]Base_Jugadores!J$2:J$500,B207)&gt;0,1,0)</f>
        <v>0</v>
      </c>
      <c r="Q207" s="10" t="b">
        <f aca="false">--(COUNTIFS(
   [1]Fichajes_Realizados!A$2:A$5000,A207,
   [1]Fichajes_Realizados!G$2:G$5000,$X$3
)&gt;0)</f>
        <v>0</v>
      </c>
      <c r="R207" s="5" t="n">
        <f aca="false">_xlfn.XLOOKUP(C207, [1]Estado_Equipos!A$2:A$500, [1]Estado_Equipos!J$2:J$500, "")</f>
        <v>71</v>
      </c>
      <c r="S207" s="5" t="n">
        <f aca="false">IF(H207&lt;=16,1.45,
IF(H207&gt;=41,0.3,
CHOOSE(ROUNDDOWN((H207-16)/2,0)+1,
1.45,1.38,1.3,1.23,1.17,1.15,1.12,1.05,0.95,0.8,0.6,0.4,0.3)))</f>
        <v>1.23</v>
      </c>
      <c r="T207" s="5" t="n">
        <f aca="false">CHOOSE(N207+1,1.2,1,0.85,0.7)</f>
        <v>0.85</v>
      </c>
      <c r="U207" s="5" t="n">
        <f aca="false">IF(F207="PO",0.6,
IF(F207="CT",0.75,
IF(F207="LI",0.8,
IF(F207="LD",0.8,
IF(F207="MCD",0.85,
IF(F207="MC",0.95,
IF(F207="MO",1.05,
IF(F207="EI",1.1,
IF(F207="ED",1.1,
IF(F207="SD",1.15,
IF(F207="DC",1.2,0)))))))))))</f>
        <v>0.8</v>
      </c>
    </row>
    <row r="208" customFormat="false" ht="16.4" hidden="false" customHeight="false" outlineLevel="0" collapsed="false">
      <c r="A208" s="1" t="n">
        <v>207</v>
      </c>
      <c r="B208" s="5" t="str">
        <f aca="false">[1]Base_Jugadores!B208</f>
        <v>Abdel Abqar</v>
      </c>
      <c r="C208" s="5" t="str">
        <f aca="false">IFERROR(
   _xlfn.XLOOKUP(VALUE(A208),[1]Fichajes_Realizados!A$2:A$50000,[1]Fichajes_Realizados!D$2:D$50000,,0,-1),
   _xlfn.XLOOKUP(VALUE(A208),[1]Base_Jugadores!A$2:A$50000,[1]Base_Jugadores!C$2:C$50000)
)</f>
        <v>Getafe CF</v>
      </c>
      <c r="D208" s="5" t="str">
        <f aca="false">[1]Base_Jugadores!D208</f>
        <v>Marruecos</v>
      </c>
      <c r="E208" s="3"/>
      <c r="F208" s="5" t="str">
        <f aca="false">[1]Base_Jugadores!E208</f>
        <v>CT</v>
      </c>
      <c r="G208" s="5" t="n">
        <f aca="false">[1]Base_Jugadores!F208</f>
        <v>72</v>
      </c>
      <c r="H208" s="5" t="n">
        <f aca="false">[1]Base_Jugadores!G208</f>
        <v>26</v>
      </c>
      <c r="I208" s="7" t="n">
        <f aca="false" t="array" ref="I208:I208">_xlfn.XLOOKUP(G208,{55;56;57;58;59;60;61;62;63;64;65;66;67;68;69;70;71;72;73;74;75;76;77;78;79;80;81;82;83;84;85;86;87;88;89;90;91;92;93;94;95;96;97;98;99},{100000;130000;160000;190000;220000;250000;300000;350000;400000;450000;500000;600000;700000;800000;900000;1000000;1500000;2000000;3000000;4000000;5000000;6500000;8000000;10000000;12500000;15000000;20000000;25000000;30000000;35000000;40000000;55000000;70000000;80000000;90000000;110000000;130000000;160000000;190000000;220000000;250000000;280000000;310000000;340000000;400000000})</f>
        <v>2000000</v>
      </c>
      <c r="J208" s="7" t="n">
        <f aca="false">I208*S208*T208*U208</f>
        <v>2070000</v>
      </c>
      <c r="K208" s="3"/>
      <c r="L208" s="3"/>
      <c r="M208" s="3"/>
      <c r="N208" s="9" t="n">
        <v>0</v>
      </c>
      <c r="O208" s="4" t="n">
        <v>0</v>
      </c>
      <c r="P208" s="5" t="n">
        <f aca="false">IF(COUNTIF([1]Base_Jugadores!J$2:J$500,B208)&gt;0,1,0)</f>
        <v>0</v>
      </c>
      <c r="Q208" s="10" t="b">
        <f aca="false">--(COUNTIFS(
   [1]Fichajes_Realizados!A$2:A$5000,A208,
   [1]Fichajes_Realizados!G$2:G$5000,$X$3
)&gt;0)</f>
        <v>0</v>
      </c>
      <c r="R208" s="5" t="n">
        <f aca="false">_xlfn.XLOOKUP(C208, [1]Estado_Equipos!A$2:A$500, [1]Estado_Equipos!J$2:J$500, "")</f>
        <v>72</v>
      </c>
      <c r="S208" s="5" t="n">
        <f aca="false">IF(H208&lt;=16,1.45,
IF(H208&gt;=41,0.3,
CHOOSE(ROUNDDOWN((H208-16)/2,0)+1,
1.45,1.38,1.3,1.23,1.17,1.15,1.12,1.05,0.95,0.8,0.6,0.4,0.3)))</f>
        <v>1.15</v>
      </c>
      <c r="T208" s="5" t="n">
        <f aca="false">CHOOSE(N208+1,1.2,1,0.85,0.7)</f>
        <v>1.2</v>
      </c>
      <c r="U208" s="5" t="n">
        <f aca="false">IF(F208="PO",0.6,
IF(F208="CT",0.75,
IF(F208="LI",0.8,
IF(F208="LD",0.8,
IF(F208="MCD",0.85,
IF(F208="MC",0.95,
IF(F208="MO",1.05,
IF(F208="EI",1.1,
IF(F208="ED",1.1,
IF(F208="SD",1.15,
IF(F208="DC",1.2,0)))))))))))</f>
        <v>0.75</v>
      </c>
    </row>
    <row r="209" customFormat="false" ht="16.4" hidden="false" customHeight="false" outlineLevel="0" collapsed="false">
      <c r="A209" s="1" t="n">
        <v>208</v>
      </c>
      <c r="B209" s="5" t="str">
        <f aca="false">[1]Base_Jugadores!B209</f>
        <v>Abu Kamara</v>
      </c>
      <c r="C209" s="5" t="str">
        <f aca="false">IFERROR(
   _xlfn.XLOOKUP(VALUE(A209),[1]Fichajes_Realizados!A$2:A$50000,[1]Fichajes_Realizados!D$2:D$50000,,0,-1),
   _xlfn.XLOOKUP(VALUE(A209),[1]Base_Jugadores!A$2:A$50000,[1]Base_Jugadores!C$2:C$50000)
)</f>
        <v>Getafe CF</v>
      </c>
      <c r="D209" s="5" t="str">
        <f aca="false">[1]Base_Jugadores!D209</f>
        <v>Inglaterra</v>
      </c>
      <c r="E209" s="3"/>
      <c r="F209" s="5" t="str">
        <f aca="false">[1]Base_Jugadores!E209</f>
        <v>ED</v>
      </c>
      <c r="G209" s="5" t="n">
        <f aca="false">[1]Base_Jugadores!F209</f>
        <v>69</v>
      </c>
      <c r="H209" s="5" t="n">
        <f aca="false">[1]Base_Jugadores!G209</f>
        <v>22</v>
      </c>
      <c r="I209" s="7" t="n">
        <f aca="false" t="array" ref="I209:I209">_xlfn.XLOOKUP(G209,{55;56;57;58;59;60;61;62;63;64;65;66;67;68;69;70;71;72;73;74;75;76;77;78;79;80;81;82;83;84;85;86;87;88;89;90;91;92;93;94;95;96;97;98;99},{100000;130000;160000;190000;220000;250000;300000;350000;400000;450000;500000;600000;700000;800000;900000;1000000;1500000;2000000;3000000;4000000;5000000;6500000;8000000;10000000;12500000;15000000;20000000;25000000;30000000;35000000;40000000;55000000;70000000;80000000;90000000;110000000;130000000;160000000;190000000;220000000;250000000;280000000;310000000;340000000;400000000})</f>
        <v>900000</v>
      </c>
      <c r="J209" s="7" t="n">
        <f aca="false">I209*S209*T209*U209</f>
        <v>1035045</v>
      </c>
      <c r="K209" s="3"/>
      <c r="L209" s="3"/>
      <c r="M209" s="3"/>
      <c r="N209" s="9" t="n">
        <v>2</v>
      </c>
      <c r="O209" s="4" t="n">
        <v>0</v>
      </c>
      <c r="P209" s="5" t="n">
        <f aca="false">IF(COUNTIF([1]Base_Jugadores!J$2:J$500,B209)&gt;0,1,0)</f>
        <v>0</v>
      </c>
      <c r="Q209" s="10" t="b">
        <f aca="false">--(COUNTIFS(
   [1]Fichajes_Realizados!A$2:A$5000,A209,
   [1]Fichajes_Realizados!G$2:G$5000,$X$3
)&gt;0)</f>
        <v>0</v>
      </c>
      <c r="R209" s="5" t="n">
        <f aca="false">_xlfn.XLOOKUP(C209, [1]Estado_Equipos!A$2:A$500, [1]Estado_Equipos!J$2:J$500, "")</f>
        <v>72</v>
      </c>
      <c r="S209" s="5" t="n">
        <f aca="false">IF(H209&lt;=16,1.45,
IF(H209&gt;=41,0.3,
CHOOSE(ROUNDDOWN((H209-16)/2,0)+1,
1.45,1.38,1.3,1.23,1.17,1.15,1.12,1.05,0.95,0.8,0.6,0.4,0.3)))</f>
        <v>1.23</v>
      </c>
      <c r="T209" s="5" t="n">
        <f aca="false">CHOOSE(N209+1,1.2,1,0.85,0.7)</f>
        <v>0.85</v>
      </c>
      <c r="U209" s="5" t="n">
        <f aca="false">IF(F209="PO",0.6,
IF(F209="CT",0.75,
IF(F209="LI",0.8,
IF(F209="LD",0.8,
IF(F209="MCD",0.85,
IF(F209="MC",0.95,
IF(F209="MO",1.05,
IF(F209="EI",1.1,
IF(F209="ED",1.1,
IF(F209="SD",1.15,
IF(F209="DC",1.2,0)))))))))))</f>
        <v>1.1</v>
      </c>
    </row>
    <row r="210" customFormat="false" ht="16.4" hidden="false" customHeight="false" outlineLevel="0" collapsed="false">
      <c r="A210" s="1" t="n">
        <v>209</v>
      </c>
      <c r="B210" s="5" t="str">
        <f aca="false">[1]Base_Jugadores!B210</f>
        <v>Adrián Liso</v>
      </c>
      <c r="C210" s="5" t="str">
        <f aca="false">IFERROR(
   _xlfn.XLOOKUP(VALUE(A210),[1]Fichajes_Realizados!A$2:A$50000,[1]Fichajes_Realizados!D$2:D$50000,,0,-1),
   _xlfn.XLOOKUP(VALUE(A210),[1]Base_Jugadores!A$2:A$50000,[1]Base_Jugadores!C$2:C$50000)
)</f>
        <v>Getafe CF</v>
      </c>
      <c r="D210" s="5" t="str">
        <f aca="false">[1]Base_Jugadores!D210</f>
        <v>España</v>
      </c>
      <c r="E210" s="3"/>
      <c r="F210" s="5" t="str">
        <f aca="false">[1]Base_Jugadores!E210</f>
        <v>EI</v>
      </c>
      <c r="G210" s="5" t="n">
        <f aca="false">[1]Base_Jugadores!F210</f>
        <v>69</v>
      </c>
      <c r="H210" s="5" t="n">
        <f aca="false">[1]Base_Jugadores!G210</f>
        <v>20</v>
      </c>
      <c r="I210" s="7" t="n">
        <f aca="false" t="array" ref="I210:I210">_xlfn.XLOOKUP(G210,{55;56;57;58;59;60;61;62;63;64;65;66;67;68;69;70;71;72;73;74;75;76;77;78;79;80;81;82;83;84;85;86;87;88;89;90;91;92;93;94;95;96;97;98;99},{100000;130000;160000;190000;220000;250000;300000;350000;400000;450000;500000;600000;700000;800000;900000;1000000;1500000;2000000;3000000;4000000;5000000;6500000;8000000;10000000;12500000;15000000;20000000;25000000;30000000;35000000;40000000;55000000;70000000;80000000;90000000;110000000;130000000;160000000;190000000;220000000;250000000;280000000;310000000;340000000;400000000})</f>
        <v>900000</v>
      </c>
      <c r="J210" s="7" t="n">
        <f aca="false">I210*S210*T210*U210</f>
        <v>1093950</v>
      </c>
      <c r="K210" s="3"/>
      <c r="L210" s="3"/>
      <c r="M210" s="3"/>
      <c r="N210" s="9" t="n">
        <v>2</v>
      </c>
      <c r="O210" s="4" t="n">
        <v>0</v>
      </c>
      <c r="P210" s="5" t="n">
        <f aca="false">IF(COUNTIF([1]Base_Jugadores!J$2:J$500,B210)&gt;0,1,0)</f>
        <v>0</v>
      </c>
      <c r="Q210" s="10" t="b">
        <f aca="false">--(COUNTIFS(
   [1]Fichajes_Realizados!A$2:A$5000,A210,
   [1]Fichajes_Realizados!G$2:G$5000,$X$3
)&gt;0)</f>
        <v>0</v>
      </c>
      <c r="R210" s="5" t="n">
        <f aca="false">_xlfn.XLOOKUP(C210, [1]Estado_Equipos!A$2:A$500, [1]Estado_Equipos!J$2:J$500, "")</f>
        <v>72</v>
      </c>
      <c r="S210" s="5" t="n">
        <f aca="false">IF(H210&lt;=16,1.45,
IF(H210&gt;=41,0.3,
CHOOSE(ROUNDDOWN((H210-16)/2,0)+1,
1.45,1.38,1.3,1.23,1.17,1.15,1.12,1.05,0.95,0.8,0.6,0.4,0.3)))</f>
        <v>1.3</v>
      </c>
      <c r="T210" s="5" t="n">
        <f aca="false">CHOOSE(N210+1,1.2,1,0.85,0.7)</f>
        <v>0.85</v>
      </c>
      <c r="U210" s="5" t="n">
        <f aca="false">IF(F210="PO",0.6,
IF(F210="CT",0.75,
IF(F210="LI",0.8,
IF(F210="LD",0.8,
IF(F210="MCD",0.85,
IF(F210="MC",0.95,
IF(F210="MO",1.05,
IF(F210="EI",1.1,
IF(F210="ED",1.1,
IF(F210="SD",1.15,
IF(F210="DC",1.2,0)))))))))))</f>
        <v>1.1</v>
      </c>
    </row>
    <row r="211" customFormat="false" ht="16.4" hidden="false" customHeight="false" outlineLevel="0" collapsed="false">
      <c r="A211" s="1" t="n">
        <v>210</v>
      </c>
      <c r="B211" s="5" t="str">
        <f aca="false">[1]Base_Jugadores!B211</f>
        <v>Alberto Risco</v>
      </c>
      <c r="C211" s="5" t="str">
        <f aca="false">IFERROR(
   _xlfn.XLOOKUP(VALUE(A211),[1]Fichajes_Realizados!A$2:A$50000,[1]Fichajes_Realizados!D$2:D$50000,,0,-1),
   _xlfn.XLOOKUP(VALUE(A211),[1]Base_Jugadores!A$2:A$50000,[1]Base_Jugadores!C$2:C$50000)
)</f>
        <v>Getafe CF</v>
      </c>
      <c r="D211" s="5" t="str">
        <f aca="false">[1]Base_Jugadores!D211</f>
        <v>España</v>
      </c>
      <c r="E211" s="3"/>
      <c r="F211" s="5" t="str">
        <f aca="false">[1]Base_Jugadores!E211</f>
        <v>MO</v>
      </c>
      <c r="G211" s="5" t="n">
        <f aca="false">[1]Base_Jugadores!F211</f>
        <v>59</v>
      </c>
      <c r="H211" s="5" t="n">
        <f aca="false">[1]Base_Jugadores!G211</f>
        <v>20</v>
      </c>
      <c r="I211" s="7" t="n">
        <f aca="false" t="array" ref="I211:I211">_xlfn.XLOOKUP(G211,{55;56;57;58;59;60;61;62;63;64;65;66;67;68;69;70;71;72;73;74;75;76;77;78;79;80;81;82;83;84;85;86;87;88;89;90;91;92;93;94;95;96;97;98;99},{100000;130000;160000;190000;220000;250000;300000;350000;400000;450000;500000;600000;700000;800000;900000;1000000;1500000;2000000;3000000;4000000;5000000;6500000;8000000;10000000;12500000;15000000;20000000;25000000;30000000;35000000;40000000;55000000;70000000;80000000;90000000;110000000;130000000;160000000;190000000;220000000;250000000;280000000;310000000;340000000;400000000})</f>
        <v>220000</v>
      </c>
      <c r="J211" s="7" t="n">
        <f aca="false">I211*S211*T211*U211</f>
        <v>255255</v>
      </c>
      <c r="K211" s="3"/>
      <c r="L211" s="3"/>
      <c r="M211" s="3"/>
      <c r="N211" s="9" t="n">
        <v>2</v>
      </c>
      <c r="O211" s="4" t="n">
        <v>1</v>
      </c>
      <c r="P211" s="5" t="n">
        <f aca="false">IF(COUNTIF([1]Base_Jugadores!J$2:J$500,B211)&gt;0,1,0)</f>
        <v>0</v>
      </c>
      <c r="Q211" s="10" t="b">
        <f aca="false">--(COUNTIFS(
   [1]Fichajes_Realizados!A$2:A$5000,A211,
   [1]Fichajes_Realizados!G$2:G$5000,$X$3
)&gt;0)</f>
        <v>0</v>
      </c>
      <c r="R211" s="5" t="n">
        <f aca="false">_xlfn.XLOOKUP(C211, [1]Estado_Equipos!A$2:A$500, [1]Estado_Equipos!J$2:J$500, "")</f>
        <v>72</v>
      </c>
      <c r="S211" s="5" t="n">
        <f aca="false">IF(H211&lt;=16,1.45,
IF(H211&gt;=41,0.3,
CHOOSE(ROUNDDOWN((H211-16)/2,0)+1,
1.45,1.38,1.3,1.23,1.17,1.15,1.12,1.05,0.95,0.8,0.6,0.4,0.3)))</f>
        <v>1.3</v>
      </c>
      <c r="T211" s="5" t="n">
        <f aca="false">CHOOSE(N211+1,1.2,1,0.85,0.7)</f>
        <v>0.85</v>
      </c>
      <c r="U211" s="5" t="n">
        <f aca="false">IF(F211="PO",0.6,
IF(F211="CT",0.75,
IF(F211="LI",0.8,
IF(F211="LD",0.8,
IF(F211="MCD",0.85,
IF(F211="MC",0.95,
IF(F211="MO",1.05,
IF(F211="EI",1.1,
IF(F211="ED",1.1,
IF(F211="SD",1.15,
IF(F211="DC",1.2,0)))))))))))</f>
        <v>1.05</v>
      </c>
    </row>
    <row r="212" customFormat="false" ht="16.4" hidden="false" customHeight="false" outlineLevel="0" collapsed="false">
      <c r="A212" s="1" t="n">
        <v>211</v>
      </c>
      <c r="B212" s="5" t="str">
        <f aca="false">[1]Base_Jugadores!B212</f>
        <v>Álex Sancris</v>
      </c>
      <c r="C212" s="5" t="str">
        <f aca="false">IFERROR(
   _xlfn.XLOOKUP(VALUE(A212),[1]Fichajes_Realizados!A$2:A$50000,[1]Fichajes_Realizados!D$2:D$50000,,0,-1),
   _xlfn.XLOOKUP(VALUE(A212),[1]Base_Jugadores!A$2:A$50000,[1]Base_Jugadores!C$2:C$50000)
)</f>
        <v>Getafe CF</v>
      </c>
      <c r="D212" s="5" t="str">
        <f aca="false">[1]Base_Jugadores!D212</f>
        <v>España</v>
      </c>
      <c r="E212" s="3"/>
      <c r="F212" s="5" t="str">
        <f aca="false">[1]Base_Jugadores!E212</f>
        <v>ED</v>
      </c>
      <c r="G212" s="5" t="n">
        <f aca="false">[1]Base_Jugadores!F212</f>
        <v>73</v>
      </c>
      <c r="H212" s="5" t="n">
        <f aca="false">[1]Base_Jugadores!G212</f>
        <v>28</v>
      </c>
      <c r="I212" s="7" t="n">
        <f aca="false" t="array" ref="I212:I212">_xlfn.XLOOKUP(G212,{55;56;57;58;59;60;61;62;63;64;65;66;67;68;69;70;71;72;73;74;75;76;77;78;79;80;81;82;83;84;85;86;87;88;89;90;91;92;93;94;95;96;97;98;99},{100000;130000;160000;190000;220000;250000;300000;350000;400000;450000;500000;600000;700000;800000;900000;1000000;1500000;2000000;3000000;4000000;5000000;6500000;8000000;10000000;12500000;15000000;20000000;25000000;30000000;35000000;40000000;55000000;70000000;80000000;90000000;110000000;130000000;160000000;190000000;220000000;250000000;280000000;310000000;340000000;400000000})</f>
        <v>3000000</v>
      </c>
      <c r="J212" s="7" t="n">
        <f aca="false">I212*S212*T212*U212</f>
        <v>3696000</v>
      </c>
      <c r="K212" s="3"/>
      <c r="L212" s="3"/>
      <c r="M212" s="3"/>
      <c r="N212" s="9" t="n">
        <v>1</v>
      </c>
      <c r="O212" s="4" t="n">
        <v>0</v>
      </c>
      <c r="P212" s="5" t="n">
        <f aca="false">IF(COUNTIF([1]Base_Jugadores!J$2:J$500,B212)&gt;0,1,0)</f>
        <v>0</v>
      </c>
      <c r="Q212" s="10" t="b">
        <f aca="false">--(COUNTIFS(
   [1]Fichajes_Realizados!A$2:A$5000,A212,
   [1]Fichajes_Realizados!G$2:G$5000,$X$3
)&gt;0)</f>
        <v>0</v>
      </c>
      <c r="R212" s="5" t="n">
        <f aca="false">_xlfn.XLOOKUP(C212, [1]Estado_Equipos!A$2:A$500, [1]Estado_Equipos!J$2:J$500, "")</f>
        <v>72</v>
      </c>
      <c r="S212" s="5" t="n">
        <f aca="false">IF(H212&lt;=16,1.45,
IF(H212&gt;=41,0.3,
CHOOSE(ROUNDDOWN((H212-16)/2,0)+1,
1.45,1.38,1.3,1.23,1.17,1.15,1.12,1.05,0.95,0.8,0.6,0.4,0.3)))</f>
        <v>1.12</v>
      </c>
      <c r="T212" s="5" t="n">
        <f aca="false">CHOOSE(N212+1,1.2,1,0.85,0.7)</f>
        <v>1</v>
      </c>
      <c r="U212" s="5" t="n">
        <f aca="false">IF(F212="PO",0.6,
IF(F212="CT",0.75,
IF(F212="LI",0.8,
IF(F212="LD",0.8,
IF(F212="MCD",0.85,
IF(F212="MC",0.95,
IF(F212="MO",1.05,
IF(F212="EI",1.1,
IF(F212="ED",1.1,
IF(F212="SD",1.15,
IF(F212="DC",1.2,0)))))))))))</f>
        <v>1.1</v>
      </c>
    </row>
    <row r="213" customFormat="false" ht="16.4" hidden="false" customHeight="false" outlineLevel="0" collapsed="false">
      <c r="A213" s="1" t="n">
        <v>212</v>
      </c>
      <c r="B213" s="5" t="str">
        <f aca="false">[1]Base_Jugadores!B213</f>
        <v>Allan Nyom</v>
      </c>
      <c r="C213" s="5" t="str">
        <f aca="false">IFERROR(
   _xlfn.XLOOKUP(VALUE(A213),[1]Fichajes_Realizados!A$2:A$50000,[1]Fichajes_Realizados!D$2:D$50000,,0,-1),
   _xlfn.XLOOKUP(VALUE(A213),[1]Base_Jugadores!A$2:A$50000,[1]Base_Jugadores!C$2:C$50000)
)</f>
        <v>Getafe CF</v>
      </c>
      <c r="D213" s="5" t="str">
        <f aca="false">[1]Base_Jugadores!D213</f>
        <v>Camerún</v>
      </c>
      <c r="E213" s="3"/>
      <c r="F213" s="5" t="str">
        <f aca="false">[1]Base_Jugadores!E213</f>
        <v>LD</v>
      </c>
      <c r="G213" s="5" t="n">
        <f aca="false">[1]Base_Jugadores!F213</f>
        <v>73</v>
      </c>
      <c r="H213" s="5" t="n">
        <f aca="false">[1]Base_Jugadores!G213</f>
        <v>37</v>
      </c>
      <c r="I213" s="7" t="n">
        <f aca="false" t="array" ref="I213:I213">_xlfn.XLOOKUP(G213,{55;56;57;58;59;60;61;62;63;64;65;66;67;68;69;70;71;72;73;74;75;76;77;78;79;80;81;82;83;84;85;86;87;88;89;90;91;92;93;94;95;96;97;98;99},{100000;130000;160000;190000;220000;250000;300000;350000;400000;450000;500000;600000;700000;800000;900000;1000000;1500000;2000000;3000000;4000000;5000000;6500000;8000000;10000000;12500000;15000000;20000000;25000000;30000000;35000000;40000000;55000000;70000000;80000000;90000000;110000000;130000000;160000000;190000000;220000000;250000000;280000000;310000000;340000000;400000000})</f>
        <v>3000000</v>
      </c>
      <c r="J213" s="7" t="n">
        <f aca="false">I213*S213*T213*U213</f>
        <v>1440000</v>
      </c>
      <c r="K213" s="3"/>
      <c r="L213" s="3"/>
      <c r="M213" s="3"/>
      <c r="N213" s="9" t="n">
        <v>1</v>
      </c>
      <c r="O213" s="4" t="n">
        <v>0</v>
      </c>
      <c r="P213" s="5" t="n">
        <f aca="false">IF(COUNTIF([1]Base_Jugadores!J$2:J$500,B213)&gt;0,1,0)</f>
        <v>0</v>
      </c>
      <c r="Q213" s="10" t="b">
        <f aca="false">--(COUNTIFS(
   [1]Fichajes_Realizados!A$2:A$5000,A213,
   [1]Fichajes_Realizados!G$2:G$5000,$X$3
)&gt;0)</f>
        <v>0</v>
      </c>
      <c r="R213" s="5" t="n">
        <f aca="false">_xlfn.XLOOKUP(C213, [1]Estado_Equipos!A$2:A$500, [1]Estado_Equipos!J$2:J$500, "")</f>
        <v>72</v>
      </c>
      <c r="S213" s="5" t="n">
        <f aca="false">IF(H213&lt;=16,1.45,
IF(H213&gt;=41,0.3,
CHOOSE(ROUNDDOWN((H213-16)/2,0)+1,
1.45,1.38,1.3,1.23,1.17,1.15,1.12,1.05,0.95,0.8,0.6,0.4,0.3)))</f>
        <v>0.6</v>
      </c>
      <c r="T213" s="5" t="n">
        <f aca="false">CHOOSE(N213+1,1.2,1,0.85,0.7)</f>
        <v>1</v>
      </c>
      <c r="U213" s="5" t="n">
        <f aca="false">IF(F213="PO",0.6,
IF(F213="CT",0.75,
IF(F213="LI",0.8,
IF(F213="LD",0.8,
IF(F213="MCD",0.85,
IF(F213="MC",0.95,
IF(F213="MO",1.05,
IF(F213="EI",1.1,
IF(F213="ED",1.1,
IF(F213="SD",1.15,
IF(F213="DC",1.2,0)))))))))))</f>
        <v>0.8</v>
      </c>
    </row>
    <row r="214" customFormat="false" ht="16.4" hidden="false" customHeight="false" outlineLevel="0" collapsed="false">
      <c r="A214" s="1" t="n">
        <v>213</v>
      </c>
      <c r="B214" s="5" t="str">
        <f aca="false">[1]Base_Jugadores!B214</f>
        <v>Borja Mayoral</v>
      </c>
      <c r="C214" s="5" t="str">
        <f aca="false">IFERROR(
   _xlfn.XLOOKUP(VALUE(A214),[1]Fichajes_Realizados!A$2:A$50000,[1]Fichajes_Realizados!D$2:D$50000,,0,-1),
   _xlfn.XLOOKUP(VALUE(A214),[1]Base_Jugadores!A$2:A$50000,[1]Base_Jugadores!C$2:C$50000)
)</f>
        <v>Getafe CF</v>
      </c>
      <c r="D214" s="5" t="str">
        <f aca="false">[1]Base_Jugadores!D214</f>
        <v>España</v>
      </c>
      <c r="E214" s="3"/>
      <c r="F214" s="5" t="str">
        <f aca="false">[1]Base_Jugadores!E214</f>
        <v>DC</v>
      </c>
      <c r="G214" s="5" t="n">
        <f aca="false">[1]Base_Jugadores!F214</f>
        <v>79</v>
      </c>
      <c r="H214" s="5" t="n">
        <f aca="false">[1]Base_Jugadores!G214</f>
        <v>28</v>
      </c>
      <c r="I214" s="7" t="n">
        <f aca="false" t="array" ref="I214:I214">_xlfn.XLOOKUP(G214,{55;56;57;58;59;60;61;62;63;64;65;66;67;68;69;70;71;72;73;74;75;76;77;78;79;80;81;82;83;84;85;86;87;88;89;90;91;92;93;94;95;96;97;98;99},{100000;130000;160000;190000;220000;250000;300000;350000;400000;450000;500000;600000;700000;800000;900000;1000000;1500000;2000000;3000000;4000000;5000000;6500000;8000000;10000000;12500000;15000000;20000000;25000000;30000000;35000000;40000000;55000000;70000000;80000000;90000000;110000000;130000000;160000000;190000000;220000000;250000000;280000000;310000000;340000000;400000000})</f>
        <v>12500000</v>
      </c>
      <c r="J214" s="7" t="n">
        <f aca="false">I214*S214*T214*U214</f>
        <v>20160000</v>
      </c>
      <c r="K214" s="3"/>
      <c r="L214" s="3"/>
      <c r="M214" s="3"/>
      <c r="N214" s="9" t="n">
        <v>0</v>
      </c>
      <c r="O214" s="4" t="n">
        <v>0</v>
      </c>
      <c r="P214" s="5" t="n">
        <f aca="false">IF(COUNTIF([1]Base_Jugadores!J$2:J$500,B214)&gt;0,1,0)</f>
        <v>0</v>
      </c>
      <c r="Q214" s="10" t="b">
        <f aca="false">--(COUNTIFS(
   [1]Fichajes_Realizados!A$2:A$5000,A214,
   [1]Fichajes_Realizados!G$2:G$5000,$X$3
)&gt;0)</f>
        <v>0</v>
      </c>
      <c r="R214" s="5" t="n">
        <f aca="false">_xlfn.XLOOKUP(C214, [1]Estado_Equipos!A$2:A$500, [1]Estado_Equipos!J$2:J$500, "")</f>
        <v>72</v>
      </c>
      <c r="S214" s="5" t="n">
        <f aca="false">IF(H214&lt;=16,1.45,
IF(H214&gt;=41,0.3,
CHOOSE(ROUNDDOWN((H214-16)/2,0)+1,
1.45,1.38,1.3,1.23,1.17,1.15,1.12,1.05,0.95,0.8,0.6,0.4,0.3)))</f>
        <v>1.12</v>
      </c>
      <c r="T214" s="5" t="n">
        <f aca="false">CHOOSE(N214+1,1.2,1,0.85,0.7)</f>
        <v>1.2</v>
      </c>
      <c r="U214" s="5" t="n">
        <f aca="false">IF(F214="PO",0.6,
IF(F214="CT",0.75,
IF(F214="LI",0.8,
IF(F214="LD",0.8,
IF(F214="MCD",0.85,
IF(F214="MC",0.95,
IF(F214="MO",1.05,
IF(F214="EI",1.1,
IF(F214="ED",1.1,
IF(F214="SD",1.15,
IF(F214="DC",1.2,0)))))))))))</f>
        <v>1.2</v>
      </c>
    </row>
    <row r="215" customFormat="false" ht="16.4" hidden="false" customHeight="false" outlineLevel="0" collapsed="false">
      <c r="A215" s="1" t="n">
        <v>214</v>
      </c>
      <c r="B215" s="5" t="str">
        <f aca="false">[1]Base_Jugadores!B215</f>
        <v>Coba da Costa</v>
      </c>
      <c r="C215" s="5" t="str">
        <f aca="false">IFERROR(
   _xlfn.XLOOKUP(VALUE(A215),[1]Fichajes_Realizados!A$2:A$50000,[1]Fichajes_Realizados!D$2:D$50000,,0,-1),
   _xlfn.XLOOKUP(VALUE(A215),[1]Base_Jugadores!A$2:A$50000,[1]Base_Jugadores!C$2:C$50000)
)</f>
        <v>Getafe CF</v>
      </c>
      <c r="D215" s="5" t="str">
        <f aca="false">[1]Base_Jugadores!D215</f>
        <v>Guinea-Bissau</v>
      </c>
      <c r="E215" s="3"/>
      <c r="F215" s="5" t="str">
        <f aca="false">[1]Base_Jugadores!E215</f>
        <v>EI</v>
      </c>
      <c r="G215" s="5" t="n">
        <f aca="false">[1]Base_Jugadores!F215</f>
        <v>65</v>
      </c>
      <c r="H215" s="5" t="n">
        <f aca="false">[1]Base_Jugadores!G215</f>
        <v>23</v>
      </c>
      <c r="I215" s="7" t="n">
        <f aca="false" t="array" ref="I215:I215">_xlfn.XLOOKUP(G215,{55;56;57;58;59;60;61;62;63;64;65;66;67;68;69;70;71;72;73;74;75;76;77;78;79;80;81;82;83;84;85;86;87;88;89;90;91;92;93;94;95;96;97;98;99},{100000;130000;160000;190000;220000;250000;300000;350000;400000;450000;500000;600000;700000;800000;900000;1000000;1500000;2000000;3000000;4000000;5000000;6500000;8000000;10000000;12500000;15000000;20000000;25000000;30000000;35000000;40000000;55000000;70000000;80000000;90000000;110000000;130000000;160000000;190000000;220000000;250000000;280000000;310000000;340000000;400000000})</f>
        <v>500000</v>
      </c>
      <c r="J215" s="7" t="n">
        <f aca="false">I215*S215*T215*U215</f>
        <v>575025</v>
      </c>
      <c r="K215" s="3"/>
      <c r="L215" s="3"/>
      <c r="M215" s="3"/>
      <c r="N215" s="9" t="n">
        <v>2</v>
      </c>
      <c r="O215" s="4" t="n">
        <v>0</v>
      </c>
      <c r="P215" s="5" t="n">
        <f aca="false">IF(COUNTIF([1]Base_Jugadores!J$2:J$500,B215)&gt;0,1,0)</f>
        <v>0</v>
      </c>
      <c r="Q215" s="10" t="b">
        <f aca="false">--(COUNTIFS(
   [1]Fichajes_Realizados!A$2:A$5000,A215,
   [1]Fichajes_Realizados!G$2:G$5000,$X$3
)&gt;0)</f>
        <v>0</v>
      </c>
      <c r="R215" s="5" t="n">
        <f aca="false">_xlfn.XLOOKUP(C215, [1]Estado_Equipos!A$2:A$500, [1]Estado_Equipos!J$2:J$500, "")</f>
        <v>72</v>
      </c>
      <c r="S215" s="5" t="n">
        <f aca="false">IF(H215&lt;=16,1.45,
IF(H215&gt;=41,0.3,
CHOOSE(ROUNDDOWN((H215-16)/2,0)+1,
1.45,1.38,1.3,1.23,1.17,1.15,1.12,1.05,0.95,0.8,0.6,0.4,0.3)))</f>
        <v>1.23</v>
      </c>
      <c r="T215" s="5" t="n">
        <f aca="false">CHOOSE(N215+1,1.2,1,0.85,0.7)</f>
        <v>0.85</v>
      </c>
      <c r="U215" s="5" t="n">
        <f aca="false">IF(F215="PO",0.6,
IF(F215="CT",0.75,
IF(F215="LI",0.8,
IF(F215="LD",0.8,
IF(F215="MCD",0.85,
IF(F215="MC",0.95,
IF(F215="MO",1.05,
IF(F215="EI",1.1,
IF(F215="ED",1.1,
IF(F215="SD",1.15,
IF(F215="DC",1.2,0)))))))))))</f>
        <v>1.1</v>
      </c>
    </row>
    <row r="216" customFormat="false" ht="16.4" hidden="false" customHeight="false" outlineLevel="0" collapsed="false">
      <c r="A216" s="1" t="n">
        <v>215</v>
      </c>
      <c r="B216" s="5" t="str">
        <f aca="false">[1]Base_Jugadores!B216</f>
        <v>Dakonam Djené</v>
      </c>
      <c r="C216" s="5" t="str">
        <f aca="false">IFERROR(
   _xlfn.XLOOKUP(VALUE(A216),[1]Fichajes_Realizados!A$2:A$50000,[1]Fichajes_Realizados!D$2:D$50000,,0,-1),
   _xlfn.XLOOKUP(VALUE(A216),[1]Base_Jugadores!A$2:A$50000,[1]Base_Jugadores!C$2:C$50000)
)</f>
        <v>Getafe CF</v>
      </c>
      <c r="D216" s="5" t="str">
        <f aca="false">[1]Base_Jugadores!D216</f>
        <v>Togo</v>
      </c>
      <c r="E216" s="3"/>
      <c r="F216" s="5" t="str">
        <f aca="false">[1]Base_Jugadores!E216</f>
        <v>CT</v>
      </c>
      <c r="G216" s="5" t="n">
        <f aca="false">[1]Base_Jugadores!F216</f>
        <v>77</v>
      </c>
      <c r="H216" s="5" t="n">
        <f aca="false">[1]Base_Jugadores!G216</f>
        <v>34</v>
      </c>
      <c r="I216" s="7" t="n">
        <f aca="false" t="array" ref="I216:I216">_xlfn.XLOOKUP(G216,{55;56;57;58;59;60;61;62;63;64;65;66;67;68;69;70;71;72;73;74;75;76;77;78;79;80;81;82;83;84;85;86;87;88;89;90;91;92;93;94;95;96;97;98;99},{100000;130000;160000;190000;220000;250000;300000;350000;400000;450000;500000;600000;700000;800000;900000;1000000;1500000;2000000;3000000;4000000;5000000;6500000;8000000;10000000;12500000;15000000;20000000;25000000;30000000;35000000;40000000;55000000;70000000;80000000;90000000;110000000;130000000;160000000;190000000;220000000;250000000;280000000;310000000;340000000;400000000})</f>
        <v>8000000</v>
      </c>
      <c r="J216" s="7" t="n">
        <f aca="false">I216*S216*T216*U216</f>
        <v>5760000</v>
      </c>
      <c r="K216" s="3"/>
      <c r="L216" s="3"/>
      <c r="M216" s="3"/>
      <c r="N216" s="9" t="n">
        <v>0</v>
      </c>
      <c r="O216" s="4" t="n">
        <v>0</v>
      </c>
      <c r="P216" s="5" t="n">
        <f aca="false">IF(COUNTIF([1]Base_Jugadores!J$2:J$500,B216)&gt;0,1,0)</f>
        <v>0</v>
      </c>
      <c r="Q216" s="10" t="b">
        <f aca="false">--(COUNTIFS(
   [1]Fichajes_Realizados!A$2:A$5000,A216,
   [1]Fichajes_Realizados!G$2:G$5000,$X$3
)&gt;0)</f>
        <v>0</v>
      </c>
      <c r="R216" s="5" t="n">
        <f aca="false">_xlfn.XLOOKUP(C216, [1]Estado_Equipos!A$2:A$500, [1]Estado_Equipos!J$2:J$500, "")</f>
        <v>72</v>
      </c>
      <c r="S216" s="5" t="n">
        <f aca="false">IF(H216&lt;=16,1.45,
IF(H216&gt;=41,0.3,
CHOOSE(ROUNDDOWN((H216-16)/2,0)+1,
1.45,1.38,1.3,1.23,1.17,1.15,1.12,1.05,0.95,0.8,0.6,0.4,0.3)))</f>
        <v>0.8</v>
      </c>
      <c r="T216" s="5" t="n">
        <f aca="false">CHOOSE(N216+1,1.2,1,0.85,0.7)</f>
        <v>1.2</v>
      </c>
      <c r="U216" s="5" t="n">
        <f aca="false">IF(F216="PO",0.6,
IF(F216="CT",0.75,
IF(F216="LI",0.8,
IF(F216="LD",0.8,
IF(F216="MCD",0.85,
IF(F216="MC",0.95,
IF(F216="MO",1.05,
IF(F216="EI",1.1,
IF(F216="ED",1.1,
IF(F216="SD",1.15,
IF(F216="DC",1.2,0)))))))))))</f>
        <v>0.75</v>
      </c>
    </row>
    <row r="217" customFormat="false" ht="16.4" hidden="false" customHeight="false" outlineLevel="0" collapsed="false">
      <c r="A217" s="1" t="n">
        <v>216</v>
      </c>
      <c r="B217" s="5" t="str">
        <f aca="false">[1]Base_Jugadores!B217</f>
        <v>David Soria</v>
      </c>
      <c r="C217" s="5" t="str">
        <f aca="false">IFERROR(
   _xlfn.XLOOKUP(VALUE(A217),[1]Fichajes_Realizados!A$2:A$50000,[1]Fichajes_Realizados!D$2:D$50000,,0,-1),
   _xlfn.XLOOKUP(VALUE(A217),[1]Base_Jugadores!A$2:A$50000,[1]Base_Jugadores!C$2:C$50000)
)</f>
        <v>Getafe CF</v>
      </c>
      <c r="D217" s="5" t="str">
        <f aca="false">[1]Base_Jugadores!D217</f>
        <v>España</v>
      </c>
      <c r="E217" s="3"/>
      <c r="F217" s="5" t="str">
        <f aca="false">[1]Base_Jugadores!E217</f>
        <v>PO</v>
      </c>
      <c r="G217" s="5" t="n">
        <f aca="false">[1]Base_Jugadores!F217</f>
        <v>81</v>
      </c>
      <c r="H217" s="5" t="n">
        <f aca="false">[1]Base_Jugadores!G217</f>
        <v>32</v>
      </c>
      <c r="I217" s="7" t="n">
        <f aca="false" t="array" ref="I217:I217">_xlfn.XLOOKUP(G217,{55;56;57;58;59;60;61;62;63;64;65;66;67;68;69;70;71;72;73;74;75;76;77;78;79;80;81;82;83;84;85;86;87;88;89;90;91;92;93;94;95;96;97;98;99},{100000;130000;160000;190000;220000;250000;300000;350000;400000;450000;500000;600000;700000;800000;900000;1000000;1500000;2000000;3000000;4000000;5000000;6500000;8000000;10000000;12500000;15000000;20000000;25000000;30000000;35000000;40000000;55000000;70000000;80000000;90000000;110000000;130000000;160000000;190000000;220000000;250000000;280000000;310000000;340000000;400000000})</f>
        <v>20000000</v>
      </c>
      <c r="J217" s="7" t="n">
        <f aca="false">I217*S217*T217*U217</f>
        <v>13680000</v>
      </c>
      <c r="K217" s="3"/>
      <c r="L217" s="3"/>
      <c r="M217" s="3"/>
      <c r="N217" s="9" t="n">
        <v>0</v>
      </c>
      <c r="O217" s="4" t="n">
        <v>0</v>
      </c>
      <c r="P217" s="5" t="n">
        <f aca="false">IF(COUNTIF([1]Base_Jugadores!J$2:J$500,B217)&gt;0,1,0)</f>
        <v>0</v>
      </c>
      <c r="Q217" s="10" t="b">
        <f aca="false">--(COUNTIFS(
   [1]Fichajes_Realizados!A$2:A$5000,A217,
   [1]Fichajes_Realizados!G$2:G$5000,$X$3
)&gt;0)</f>
        <v>0</v>
      </c>
      <c r="R217" s="5" t="n">
        <f aca="false">_xlfn.XLOOKUP(C217, [1]Estado_Equipos!A$2:A$500, [1]Estado_Equipos!J$2:J$500, "")</f>
        <v>72</v>
      </c>
      <c r="S217" s="5" t="n">
        <f aca="false">IF(H217&lt;=16,1.45,
IF(H217&gt;=41,0.3,
CHOOSE(ROUNDDOWN((H217-16)/2,0)+1,
1.45,1.38,1.3,1.23,1.17,1.15,1.12,1.05,0.95,0.8,0.6,0.4,0.3)))</f>
        <v>0.95</v>
      </c>
      <c r="T217" s="5" t="n">
        <f aca="false">CHOOSE(N217+1,1.2,1,0.85,0.7)</f>
        <v>1.2</v>
      </c>
      <c r="U217" s="5" t="n">
        <f aca="false">IF(F217="PO",0.6,
IF(F217="CT",0.75,
IF(F217="LI",0.8,
IF(F217="LD",0.8,
IF(F217="MCD",0.85,
IF(F217="MC",0.95,
IF(F217="MO",1.05,
IF(F217="EI",1.1,
IF(F217="ED",1.1,
IF(F217="SD",1.15,
IF(F217="DC",1.2,0)))))))))))</f>
        <v>0.6</v>
      </c>
    </row>
    <row r="218" customFormat="false" ht="16.4" hidden="false" customHeight="false" outlineLevel="0" collapsed="false">
      <c r="A218" s="1" t="n">
        <v>217</v>
      </c>
      <c r="B218" s="5" t="str">
        <f aca="false">[1]Base_Jugadores!B218</f>
        <v>Diego Rico</v>
      </c>
      <c r="C218" s="5" t="str">
        <f aca="false">IFERROR(
   _xlfn.XLOOKUP(VALUE(A218),[1]Fichajes_Realizados!A$2:A$50000,[1]Fichajes_Realizados!D$2:D$50000,,0,-1),
   _xlfn.XLOOKUP(VALUE(A218),[1]Base_Jugadores!A$2:A$50000,[1]Base_Jugadores!C$2:C$50000)
)</f>
        <v>Getafe CF</v>
      </c>
      <c r="D218" s="5" t="str">
        <f aca="false">[1]Base_Jugadores!D218</f>
        <v>España</v>
      </c>
      <c r="E218" s="3"/>
      <c r="F218" s="5" t="str">
        <f aca="false">[1]Base_Jugadores!E218</f>
        <v>LI</v>
      </c>
      <c r="G218" s="5" t="n">
        <f aca="false">[1]Base_Jugadores!F218</f>
        <v>78</v>
      </c>
      <c r="H218" s="5" t="n">
        <f aca="false">[1]Base_Jugadores!G218</f>
        <v>32</v>
      </c>
      <c r="I218" s="7" t="n">
        <f aca="false" t="array" ref="I218:I218">_xlfn.XLOOKUP(G218,{55;56;57;58;59;60;61;62;63;64;65;66;67;68;69;70;71;72;73;74;75;76;77;78;79;80;81;82;83;84;85;86;87;88;89;90;91;92;93;94;95;96;97;98;99},{100000;130000;160000;190000;220000;250000;300000;350000;400000;450000;500000;600000;700000;800000;900000;1000000;1500000;2000000;3000000;4000000;5000000;6500000;8000000;10000000;12500000;15000000;20000000;25000000;30000000;35000000;40000000;55000000;70000000;80000000;90000000;110000000;130000000;160000000;190000000;220000000;250000000;280000000;310000000;340000000;400000000})</f>
        <v>10000000</v>
      </c>
      <c r="J218" s="7" t="n">
        <f aca="false">I218*S218*T218*U218</f>
        <v>9120000</v>
      </c>
      <c r="K218" s="3"/>
      <c r="L218" s="3"/>
      <c r="M218" s="3"/>
      <c r="N218" s="9" t="n">
        <v>0</v>
      </c>
      <c r="O218" s="4" t="n">
        <v>0</v>
      </c>
      <c r="P218" s="5" t="n">
        <f aca="false">IF(COUNTIF([1]Base_Jugadores!J$2:J$500,B218)&gt;0,1,0)</f>
        <v>0</v>
      </c>
      <c r="Q218" s="10" t="b">
        <f aca="false">--(COUNTIFS(
   [1]Fichajes_Realizados!A$2:A$5000,A218,
   [1]Fichajes_Realizados!G$2:G$5000,$X$3
)&gt;0)</f>
        <v>0</v>
      </c>
      <c r="R218" s="5" t="n">
        <f aca="false">_xlfn.XLOOKUP(C218, [1]Estado_Equipos!A$2:A$500, [1]Estado_Equipos!J$2:J$500, "")</f>
        <v>72</v>
      </c>
      <c r="S218" s="5" t="n">
        <f aca="false">IF(H218&lt;=16,1.45,
IF(H218&gt;=41,0.3,
CHOOSE(ROUNDDOWN((H218-16)/2,0)+1,
1.45,1.38,1.3,1.23,1.17,1.15,1.12,1.05,0.95,0.8,0.6,0.4,0.3)))</f>
        <v>0.95</v>
      </c>
      <c r="T218" s="5" t="n">
        <f aca="false">CHOOSE(N218+1,1.2,1,0.85,0.7)</f>
        <v>1.2</v>
      </c>
      <c r="U218" s="5" t="n">
        <f aca="false">IF(F218="PO",0.6,
IF(F218="CT",0.75,
IF(F218="LI",0.8,
IF(F218="LD",0.8,
IF(F218="MCD",0.85,
IF(F218="MC",0.95,
IF(F218="MO",1.05,
IF(F218="EI",1.1,
IF(F218="ED",1.1,
IF(F218="SD",1.15,
IF(F218="DC",1.2,0)))))))))))</f>
        <v>0.8</v>
      </c>
    </row>
    <row r="219" customFormat="false" ht="16.4" hidden="false" customHeight="false" outlineLevel="0" collapsed="false">
      <c r="A219" s="1" t="n">
        <v>218</v>
      </c>
      <c r="B219" s="5" t="str">
        <f aca="false">[1]Base_Jugadores!B219</f>
        <v>Djordjije Medenica</v>
      </c>
      <c r="C219" s="5" t="str">
        <f aca="false">IFERROR(
   _xlfn.XLOOKUP(VALUE(A219),[1]Fichajes_Realizados!A$2:A$50000,[1]Fichajes_Realizados!D$2:D$50000,,0,-1),
   _xlfn.XLOOKUP(VALUE(A219),[1]Base_Jugadores!A$2:A$50000,[1]Base_Jugadores!C$2:C$50000)
)</f>
        <v>Getafe CF</v>
      </c>
      <c r="D219" s="5" t="str">
        <f aca="false">[1]Base_Jugadores!D219</f>
        <v>República Checa</v>
      </c>
      <c r="E219" s="3"/>
      <c r="F219" s="5" t="str">
        <f aca="false">[1]Base_Jugadores!E219</f>
        <v>PO</v>
      </c>
      <c r="G219" s="5" t="n">
        <f aca="false">[1]Base_Jugadores!F219</f>
        <v>59</v>
      </c>
      <c r="H219" s="5" t="n">
        <f aca="false">[1]Base_Jugadores!G219</f>
        <v>19</v>
      </c>
      <c r="I219" s="7" t="n">
        <f aca="false" t="array" ref="I219:I219">_xlfn.XLOOKUP(G219,{55;56;57;58;59;60;61;62;63;64;65;66;67;68;69;70;71;72;73;74;75;76;77;78;79;80;81;82;83;84;85;86;87;88;89;90;91;92;93;94;95;96;97;98;99},{100000;130000;160000;190000;220000;250000;300000;350000;400000;450000;500000;600000;700000;800000;900000;1000000;1500000;2000000;3000000;4000000;5000000;6500000;8000000;10000000;12500000;15000000;20000000;25000000;30000000;35000000;40000000;55000000;70000000;80000000;90000000;110000000;130000000;160000000;190000000;220000000;250000000;280000000;310000000;340000000;400000000})</f>
        <v>220000</v>
      </c>
      <c r="J219" s="7" t="n">
        <f aca="false">I219*S219*T219*U219</f>
        <v>154836</v>
      </c>
      <c r="K219" s="3"/>
      <c r="L219" s="3"/>
      <c r="M219" s="3"/>
      <c r="N219" s="9" t="n">
        <v>2</v>
      </c>
      <c r="O219" s="4" t="n">
        <v>1</v>
      </c>
      <c r="P219" s="5" t="n">
        <f aca="false">IF(COUNTIF([1]Base_Jugadores!J$2:J$500,B219)&gt;0,1,0)</f>
        <v>0</v>
      </c>
      <c r="Q219" s="10" t="b">
        <f aca="false">--(COUNTIFS(
   [1]Fichajes_Realizados!A$2:A$5000,A219,
   [1]Fichajes_Realizados!G$2:G$5000,$X$3
)&gt;0)</f>
        <v>0</v>
      </c>
      <c r="R219" s="5" t="n">
        <f aca="false">_xlfn.XLOOKUP(C219, [1]Estado_Equipos!A$2:A$500, [1]Estado_Equipos!J$2:J$500, "")</f>
        <v>72</v>
      </c>
      <c r="S219" s="5" t="n">
        <f aca="false">IF(H219&lt;=16,1.45,
IF(H219&gt;=41,0.3,
CHOOSE(ROUNDDOWN((H219-16)/2,0)+1,
1.45,1.38,1.3,1.23,1.17,1.15,1.12,1.05,0.95,0.8,0.6,0.4,0.3)))</f>
        <v>1.38</v>
      </c>
      <c r="T219" s="5" t="n">
        <f aca="false">CHOOSE(N219+1,1.2,1,0.85,0.7)</f>
        <v>0.85</v>
      </c>
      <c r="U219" s="5" t="n">
        <f aca="false">IF(F219="PO",0.6,
IF(F219="CT",0.75,
IF(F219="LI",0.8,
IF(F219="LD",0.8,
IF(F219="MCD",0.85,
IF(F219="MC",0.95,
IF(F219="MO",1.05,
IF(F219="EI",1.1,
IF(F219="ED",1.1,
IF(F219="SD",1.15,
IF(F219="DC",1.2,0)))))))))))</f>
        <v>0.6</v>
      </c>
    </row>
    <row r="220" customFormat="false" ht="16.4" hidden="false" customHeight="false" outlineLevel="0" collapsed="false">
      <c r="A220" s="1" t="n">
        <v>219</v>
      </c>
      <c r="B220" s="5" t="str">
        <f aca="false">[1]Base_Jugadores!B220</f>
        <v>Domingos Duarte</v>
      </c>
      <c r="C220" s="5" t="str">
        <f aca="false">IFERROR(
   _xlfn.XLOOKUP(VALUE(A220),[1]Fichajes_Realizados!A$2:A$50000,[1]Fichajes_Realizados!D$2:D$50000,,0,-1),
   _xlfn.XLOOKUP(VALUE(A220),[1]Base_Jugadores!A$2:A$50000,[1]Base_Jugadores!C$2:C$50000)
)</f>
        <v>Getafe CF</v>
      </c>
      <c r="D220" s="5" t="str">
        <f aca="false">[1]Base_Jugadores!D220</f>
        <v>Portugal</v>
      </c>
      <c r="E220" s="3"/>
      <c r="F220" s="5" t="str">
        <f aca="false">[1]Base_Jugadores!E220</f>
        <v>CT</v>
      </c>
      <c r="G220" s="5" t="n">
        <f aca="false">[1]Base_Jugadores!F220</f>
        <v>74</v>
      </c>
      <c r="H220" s="5" t="n">
        <f aca="false">[1]Base_Jugadores!G220</f>
        <v>30</v>
      </c>
      <c r="I220" s="7" t="n">
        <f aca="false" t="array" ref="I220:I220">_xlfn.XLOOKUP(G220,{55;56;57;58;59;60;61;62;63;64;65;66;67;68;69;70;71;72;73;74;75;76;77;78;79;80;81;82;83;84;85;86;87;88;89;90;91;92;93;94;95;96;97;98;99},{100000;130000;160000;190000;220000;250000;300000;350000;400000;450000;500000;600000;700000;800000;900000;1000000;1500000;2000000;3000000;4000000;5000000;6500000;8000000;10000000;12500000;15000000;20000000;25000000;30000000;35000000;40000000;55000000;70000000;80000000;90000000;110000000;130000000;160000000;190000000;220000000;250000000;280000000;310000000;340000000;400000000})</f>
        <v>4000000</v>
      </c>
      <c r="J220" s="7" t="n">
        <f aca="false">I220*S220*T220*U220</f>
        <v>3780000</v>
      </c>
      <c r="K220" s="3"/>
      <c r="L220" s="3"/>
      <c r="M220" s="3"/>
      <c r="N220" s="9" t="n">
        <v>0</v>
      </c>
      <c r="O220" s="4" t="n">
        <v>0</v>
      </c>
      <c r="P220" s="5" t="n">
        <f aca="false">IF(COUNTIF([1]Base_Jugadores!J$2:J$500,B220)&gt;0,1,0)</f>
        <v>0</v>
      </c>
      <c r="Q220" s="10" t="b">
        <f aca="false">--(COUNTIFS(
   [1]Fichajes_Realizados!A$2:A$5000,A220,
   [1]Fichajes_Realizados!G$2:G$5000,$X$3
)&gt;0)</f>
        <v>0</v>
      </c>
      <c r="R220" s="5" t="n">
        <f aca="false">_xlfn.XLOOKUP(C220, [1]Estado_Equipos!A$2:A$500, [1]Estado_Equipos!J$2:J$500, "")</f>
        <v>72</v>
      </c>
      <c r="S220" s="5" t="n">
        <f aca="false">IF(H220&lt;=16,1.45,
IF(H220&gt;=41,0.3,
CHOOSE(ROUNDDOWN((H220-16)/2,0)+1,
1.45,1.38,1.3,1.23,1.17,1.15,1.12,1.05,0.95,0.8,0.6,0.4,0.3)))</f>
        <v>1.05</v>
      </c>
      <c r="T220" s="5" t="n">
        <f aca="false">CHOOSE(N220+1,1.2,1,0.85,0.7)</f>
        <v>1.2</v>
      </c>
      <c r="U220" s="5" t="n">
        <f aca="false">IF(F220="PO",0.6,
IF(F220="CT",0.75,
IF(F220="LI",0.8,
IF(F220="LD",0.8,
IF(F220="MCD",0.85,
IF(F220="MC",0.95,
IF(F220="MO",1.05,
IF(F220="EI",1.1,
IF(F220="ED",1.1,
IF(F220="SD",1.15,
IF(F220="DC",1.2,0)))))))))))</f>
        <v>0.75</v>
      </c>
    </row>
    <row r="221" customFormat="false" ht="16.4" hidden="false" customHeight="false" outlineLevel="0" collapsed="false">
      <c r="A221" s="1" t="n">
        <v>220</v>
      </c>
      <c r="B221" s="5" t="str">
        <f aca="false">[1]Base_Jugadores!B221</f>
        <v>Gorka Rivera</v>
      </c>
      <c r="C221" s="5" t="str">
        <f aca="false">IFERROR(
   _xlfn.XLOOKUP(VALUE(A221),[1]Fichajes_Realizados!A$2:A$50000,[1]Fichajes_Realizados!D$2:D$50000,,0,-1),
   _xlfn.XLOOKUP(VALUE(A221),[1]Base_Jugadores!A$2:A$50000,[1]Base_Jugadores!C$2:C$50000)
)</f>
        <v>Getafe CF</v>
      </c>
      <c r="D221" s="5" t="str">
        <f aca="false">[1]Base_Jugadores!D221</f>
        <v>España</v>
      </c>
      <c r="E221" s="3"/>
      <c r="F221" s="5" t="str">
        <f aca="false">[1]Base_Jugadores!E221</f>
        <v>LI</v>
      </c>
      <c r="G221" s="5" t="n">
        <f aca="false">[1]Base_Jugadores!F221</f>
        <v>65</v>
      </c>
      <c r="H221" s="5" t="n">
        <f aca="false">[1]Base_Jugadores!G221</f>
        <v>21</v>
      </c>
      <c r="I221" s="7" t="n">
        <f aca="false" t="array" ref="I221:I221">_xlfn.XLOOKUP(G221,{55;56;57;58;59;60;61;62;63;64;65;66;67;68;69;70;71;72;73;74;75;76;77;78;79;80;81;82;83;84;85;86;87;88;89;90;91;92;93;94;95;96;97;98;99},{100000;130000;160000;190000;220000;250000;300000;350000;400000;450000;500000;600000;700000;800000;900000;1000000;1500000;2000000;3000000;4000000;5000000;6500000;8000000;10000000;12500000;15000000;20000000;25000000;30000000;35000000;40000000;55000000;70000000;80000000;90000000;110000000;130000000;160000000;190000000;220000000;250000000;280000000;310000000;340000000;400000000})</f>
        <v>500000</v>
      </c>
      <c r="J221" s="7" t="n">
        <f aca="false">I221*S221*T221*U221</f>
        <v>442000</v>
      </c>
      <c r="K221" s="3"/>
      <c r="L221" s="3"/>
      <c r="M221" s="3"/>
      <c r="N221" s="9" t="n">
        <v>2</v>
      </c>
      <c r="O221" s="4" t="n">
        <v>1</v>
      </c>
      <c r="P221" s="5" t="n">
        <f aca="false">IF(COUNTIF([1]Base_Jugadores!J$2:J$500,B221)&gt;0,1,0)</f>
        <v>0</v>
      </c>
      <c r="Q221" s="10" t="b">
        <f aca="false">--(COUNTIFS(
   [1]Fichajes_Realizados!A$2:A$5000,A221,
   [1]Fichajes_Realizados!G$2:G$5000,$X$3
)&gt;0)</f>
        <v>0</v>
      </c>
      <c r="R221" s="5" t="n">
        <f aca="false">_xlfn.XLOOKUP(C221, [1]Estado_Equipos!A$2:A$500, [1]Estado_Equipos!J$2:J$500, "")</f>
        <v>72</v>
      </c>
      <c r="S221" s="5" t="n">
        <f aca="false">IF(H221&lt;=16,1.45,
IF(H221&gt;=41,0.3,
CHOOSE(ROUNDDOWN((H221-16)/2,0)+1,
1.45,1.38,1.3,1.23,1.17,1.15,1.12,1.05,0.95,0.8,0.6,0.4,0.3)))</f>
        <v>1.3</v>
      </c>
      <c r="T221" s="5" t="n">
        <f aca="false">CHOOSE(N221+1,1.2,1,0.85,0.7)</f>
        <v>0.85</v>
      </c>
      <c r="U221" s="5" t="n">
        <f aca="false">IF(F221="PO",0.6,
IF(F221="CT",0.75,
IF(F221="LI",0.8,
IF(F221="LD",0.8,
IF(F221="MCD",0.85,
IF(F221="MC",0.95,
IF(F221="MO",1.05,
IF(F221="EI",1.1,
IF(F221="ED",1.1,
IF(F221="SD",1.15,
IF(F221="DC",1.2,0)))))))))))</f>
        <v>0.8</v>
      </c>
    </row>
    <row r="222" customFormat="false" ht="16.4" hidden="false" customHeight="false" outlineLevel="0" collapsed="false">
      <c r="A222" s="1" t="n">
        <v>221</v>
      </c>
      <c r="B222" s="5" t="str">
        <f aca="false">[1]Base_Jugadores!B222</f>
        <v>Ismael Bekhoucha</v>
      </c>
      <c r="C222" s="5" t="str">
        <f aca="false">IFERROR(
   _xlfn.XLOOKUP(VALUE(A222),[1]Fichajes_Realizados!A$2:A$50000,[1]Fichajes_Realizados!D$2:D$50000,,0,-1),
   _xlfn.XLOOKUP(VALUE(A222),[1]Base_Jugadores!A$2:A$50000,[1]Base_Jugadores!C$2:C$50000)
)</f>
        <v>Getafe CF</v>
      </c>
      <c r="D222" s="5" t="str">
        <f aca="false">[1]Base_Jugadores!D222</f>
        <v>Marruecos</v>
      </c>
      <c r="E222" s="3"/>
      <c r="F222" s="5" t="str">
        <f aca="false">[1]Base_Jugadores!E222</f>
        <v>LD</v>
      </c>
      <c r="G222" s="5" t="n">
        <f aca="false">[1]Base_Jugadores!F222</f>
        <v>59</v>
      </c>
      <c r="H222" s="5" t="n">
        <f aca="false">[1]Base_Jugadores!G222</f>
        <v>21</v>
      </c>
      <c r="I222" s="7" t="n">
        <f aca="false" t="array" ref="I222:I222">_xlfn.XLOOKUP(G222,{55;56;57;58;59;60;61;62;63;64;65;66;67;68;69;70;71;72;73;74;75;76;77;78;79;80;81;82;83;84;85;86;87;88;89;90;91;92;93;94;95;96;97;98;99},{100000;130000;160000;190000;220000;250000;300000;350000;400000;450000;500000;600000;700000;800000;900000;1000000;1500000;2000000;3000000;4000000;5000000;6500000;8000000;10000000;12500000;15000000;20000000;25000000;30000000;35000000;40000000;55000000;70000000;80000000;90000000;110000000;130000000;160000000;190000000;220000000;250000000;280000000;310000000;340000000;400000000})</f>
        <v>220000</v>
      </c>
      <c r="J222" s="7" t="n">
        <f aca="false">I222*S222*T222*U222</f>
        <v>194480</v>
      </c>
      <c r="K222" s="3"/>
      <c r="L222" s="3"/>
      <c r="M222" s="3"/>
      <c r="N222" s="9" t="n">
        <v>2</v>
      </c>
      <c r="O222" s="4" t="n">
        <v>1</v>
      </c>
      <c r="P222" s="5" t="n">
        <f aca="false">IF(COUNTIF([1]Base_Jugadores!J$2:J$500,B222)&gt;0,1,0)</f>
        <v>0</v>
      </c>
      <c r="Q222" s="10" t="b">
        <f aca="false">--(COUNTIFS(
   [1]Fichajes_Realizados!A$2:A$5000,A222,
   [1]Fichajes_Realizados!G$2:G$5000,$X$3
)&gt;0)</f>
        <v>0</v>
      </c>
      <c r="R222" s="5" t="n">
        <f aca="false">_xlfn.XLOOKUP(C222, [1]Estado_Equipos!A$2:A$500, [1]Estado_Equipos!J$2:J$500, "")</f>
        <v>72</v>
      </c>
      <c r="S222" s="5" t="n">
        <f aca="false">IF(H222&lt;=16,1.45,
IF(H222&gt;=41,0.3,
CHOOSE(ROUNDDOWN((H222-16)/2,0)+1,
1.45,1.38,1.3,1.23,1.17,1.15,1.12,1.05,0.95,0.8,0.6,0.4,0.3)))</f>
        <v>1.3</v>
      </c>
      <c r="T222" s="5" t="n">
        <f aca="false">CHOOSE(N222+1,1.2,1,0.85,0.7)</f>
        <v>0.85</v>
      </c>
      <c r="U222" s="5" t="n">
        <f aca="false">IF(F222="PO",0.6,
IF(F222="CT",0.75,
IF(F222="LI",0.8,
IF(F222="LD",0.8,
IF(F222="MCD",0.85,
IF(F222="MC",0.95,
IF(F222="MO",1.05,
IF(F222="EI",1.1,
IF(F222="ED",1.1,
IF(F222="SD",1.15,
IF(F222="DC",1.2,0)))))))))))</f>
        <v>0.8</v>
      </c>
    </row>
    <row r="223" customFormat="false" ht="16.4" hidden="false" customHeight="false" outlineLevel="0" collapsed="false">
      <c r="A223" s="1" t="n">
        <v>222</v>
      </c>
      <c r="B223" s="5" t="str">
        <f aca="false">[1]Base_Jugadores!B223</f>
        <v>Javi Muñoz</v>
      </c>
      <c r="C223" s="5" t="str">
        <f aca="false">IFERROR(
   _xlfn.XLOOKUP(VALUE(A223),[1]Fichajes_Realizados!A$2:A$50000,[1]Fichajes_Realizados!D$2:D$50000,,0,-1),
   _xlfn.XLOOKUP(VALUE(A223),[1]Base_Jugadores!A$2:A$50000,[1]Base_Jugadores!C$2:C$50000)
)</f>
        <v>Getafe CF</v>
      </c>
      <c r="D223" s="5" t="str">
        <f aca="false">[1]Base_Jugadores!D223</f>
        <v>España</v>
      </c>
      <c r="E223" s="3"/>
      <c r="F223" s="5" t="str">
        <f aca="false">[1]Base_Jugadores!E223</f>
        <v>MC</v>
      </c>
      <c r="G223" s="5" t="n">
        <f aca="false">[1]Base_Jugadores!F223</f>
        <v>74</v>
      </c>
      <c r="H223" s="5" t="n">
        <f aca="false">[1]Base_Jugadores!G223</f>
        <v>30</v>
      </c>
      <c r="I223" s="7" t="n">
        <f aca="false" t="array" ref="I223:I223">_xlfn.XLOOKUP(G223,{55;56;57;58;59;60;61;62;63;64;65;66;67;68;69;70;71;72;73;74;75;76;77;78;79;80;81;82;83;84;85;86;87;88;89;90;91;92;93;94;95;96;97;98;99},{100000;130000;160000;190000;220000;250000;300000;350000;400000;450000;500000;600000;700000;800000;900000;1000000;1500000;2000000;3000000;4000000;5000000;6500000;8000000;10000000;12500000;15000000;20000000;25000000;30000000;35000000;40000000;55000000;70000000;80000000;90000000;110000000;130000000;160000000;190000000;220000000;250000000;280000000;310000000;340000000;400000000})</f>
        <v>4000000</v>
      </c>
      <c r="J223" s="7" t="n">
        <f aca="false">I223*S223*T223*U223</f>
        <v>4788000</v>
      </c>
      <c r="K223" s="3"/>
      <c r="L223" s="3"/>
      <c r="M223" s="3"/>
      <c r="N223" s="9" t="n">
        <v>0</v>
      </c>
      <c r="O223" s="4" t="n">
        <v>0</v>
      </c>
      <c r="P223" s="5" t="n">
        <f aca="false">IF(COUNTIF([1]Base_Jugadores!J$2:J$500,B223)&gt;0,1,0)</f>
        <v>0</v>
      </c>
      <c r="Q223" s="10" t="b">
        <f aca="false">--(COUNTIFS(
   [1]Fichajes_Realizados!A$2:A$5000,A223,
   [1]Fichajes_Realizados!G$2:G$5000,$X$3
)&gt;0)</f>
        <v>0</v>
      </c>
      <c r="R223" s="5" t="n">
        <f aca="false">_xlfn.XLOOKUP(C223, [1]Estado_Equipos!A$2:A$500, [1]Estado_Equipos!J$2:J$500, "")</f>
        <v>72</v>
      </c>
      <c r="S223" s="5" t="n">
        <f aca="false">IF(H223&lt;=16,1.45,
IF(H223&gt;=41,0.3,
CHOOSE(ROUNDDOWN((H223-16)/2,0)+1,
1.45,1.38,1.3,1.23,1.17,1.15,1.12,1.05,0.95,0.8,0.6,0.4,0.3)))</f>
        <v>1.05</v>
      </c>
      <c r="T223" s="5" t="n">
        <f aca="false">CHOOSE(N223+1,1.2,1,0.85,0.7)</f>
        <v>1.2</v>
      </c>
      <c r="U223" s="5" t="n">
        <f aca="false">IF(F223="PO",0.6,
IF(F223="CT",0.75,
IF(F223="LI",0.8,
IF(F223="LD",0.8,
IF(F223="MCD",0.85,
IF(F223="MC",0.95,
IF(F223="MO",1.05,
IF(F223="EI",1.1,
IF(F223="ED",1.1,
IF(F223="SD",1.15,
IF(F223="DC",1.2,0)))))))))))</f>
        <v>0.95</v>
      </c>
    </row>
    <row r="224" customFormat="false" ht="16.4" hidden="false" customHeight="false" outlineLevel="0" collapsed="false">
      <c r="A224" s="1" t="n">
        <v>223</v>
      </c>
      <c r="B224" s="5" t="str">
        <f aca="false">[1]Base_Jugadores!B224</f>
        <v>Jiri Letacek</v>
      </c>
      <c r="C224" s="5" t="str">
        <f aca="false">IFERROR(
   _xlfn.XLOOKUP(VALUE(A224),[1]Fichajes_Realizados!A$2:A$50000,[1]Fichajes_Realizados!D$2:D$50000,,0,-1),
   _xlfn.XLOOKUP(VALUE(A224),[1]Base_Jugadores!A$2:A$50000,[1]Base_Jugadores!C$2:C$50000)
)</f>
        <v>Getafe CF</v>
      </c>
      <c r="D224" s="5" t="str">
        <f aca="false">[1]Base_Jugadores!D224</f>
        <v>República Checa</v>
      </c>
      <c r="E224" s="3"/>
      <c r="F224" s="5" t="str">
        <f aca="false">[1]Base_Jugadores!E224</f>
        <v>PO</v>
      </c>
      <c r="G224" s="5" t="n">
        <f aca="false">[1]Base_Jugadores!F224</f>
        <v>69</v>
      </c>
      <c r="H224" s="5" t="n">
        <f aca="false">[1]Base_Jugadores!G224</f>
        <v>26</v>
      </c>
      <c r="I224" s="7" t="n">
        <f aca="false" t="array" ref="I224:I224">_xlfn.XLOOKUP(G224,{55;56;57;58;59;60;61;62;63;64;65;66;67;68;69;70;71;72;73;74;75;76;77;78;79;80;81;82;83;84;85;86;87;88;89;90;91;92;93;94;95;96;97;98;99},{100000;130000;160000;190000;220000;250000;300000;350000;400000;450000;500000;600000;700000;800000;900000;1000000;1500000;2000000;3000000;4000000;5000000;6500000;8000000;10000000;12500000;15000000;20000000;25000000;30000000;35000000;40000000;55000000;70000000;80000000;90000000;110000000;130000000;160000000;190000000;220000000;250000000;280000000;310000000;340000000;400000000})</f>
        <v>900000</v>
      </c>
      <c r="J224" s="7" t="n">
        <f aca="false">I224*S224*T224*U224</f>
        <v>527850</v>
      </c>
      <c r="K224" s="3"/>
      <c r="L224" s="3"/>
      <c r="M224" s="3"/>
      <c r="N224" s="9" t="n">
        <v>2</v>
      </c>
      <c r="O224" s="4" t="n">
        <v>0</v>
      </c>
      <c r="P224" s="5" t="n">
        <f aca="false">IF(COUNTIF([1]Base_Jugadores!J$2:J$500,B224)&gt;0,1,0)</f>
        <v>0</v>
      </c>
      <c r="Q224" s="10" t="b">
        <f aca="false">--(COUNTIFS(
   [1]Fichajes_Realizados!A$2:A$5000,A224,
   [1]Fichajes_Realizados!G$2:G$5000,$X$3
)&gt;0)</f>
        <v>0</v>
      </c>
      <c r="R224" s="5" t="n">
        <f aca="false">_xlfn.XLOOKUP(C224, [1]Estado_Equipos!A$2:A$500, [1]Estado_Equipos!J$2:J$500, "")</f>
        <v>72</v>
      </c>
      <c r="S224" s="5" t="n">
        <f aca="false">IF(H224&lt;=16,1.45,
IF(H224&gt;=41,0.3,
CHOOSE(ROUNDDOWN((H224-16)/2,0)+1,
1.45,1.38,1.3,1.23,1.17,1.15,1.12,1.05,0.95,0.8,0.6,0.4,0.3)))</f>
        <v>1.15</v>
      </c>
      <c r="T224" s="5" t="n">
        <f aca="false">CHOOSE(N224+1,1.2,1,0.85,0.7)</f>
        <v>0.85</v>
      </c>
      <c r="U224" s="5" t="n">
        <f aca="false">IF(F224="PO",0.6,
IF(F224="CT",0.75,
IF(F224="LI",0.8,
IF(F224="LD",0.8,
IF(F224="MCD",0.85,
IF(F224="MC",0.95,
IF(F224="MO",1.05,
IF(F224="EI",1.1,
IF(F224="ED",1.1,
IF(F224="SD",1.15,
IF(F224="DC",1.2,0)))))))))))</f>
        <v>0.6</v>
      </c>
    </row>
    <row r="225" customFormat="false" ht="16.4" hidden="false" customHeight="false" outlineLevel="0" collapsed="false">
      <c r="A225" s="1" t="n">
        <v>224</v>
      </c>
      <c r="B225" s="5" t="str">
        <f aca="false">[1]Base_Jugadores!B225</f>
        <v>Juan Iglesias</v>
      </c>
      <c r="C225" s="5" t="str">
        <f aca="false">IFERROR(
   _xlfn.XLOOKUP(VALUE(A225),[1]Fichajes_Realizados!A$2:A$50000,[1]Fichajes_Realizados!D$2:D$50000,,0,-1),
   _xlfn.XLOOKUP(VALUE(A225),[1]Base_Jugadores!A$2:A$50000,[1]Base_Jugadores!C$2:C$50000)
)</f>
        <v>Getafe CF</v>
      </c>
      <c r="D225" s="5" t="str">
        <f aca="false">[1]Base_Jugadores!D225</f>
        <v>España</v>
      </c>
      <c r="E225" s="3"/>
      <c r="F225" s="5" t="str">
        <f aca="false">[1]Base_Jugadores!E225</f>
        <v>LD</v>
      </c>
      <c r="G225" s="5" t="n">
        <f aca="false">[1]Base_Jugadores!F225</f>
        <v>75</v>
      </c>
      <c r="H225" s="5" t="n">
        <f aca="false">[1]Base_Jugadores!G225</f>
        <v>27</v>
      </c>
      <c r="I225" s="7" t="n">
        <f aca="false" t="array" ref="I225:I225">_xlfn.XLOOKUP(G225,{55;56;57;58;59;60;61;62;63;64;65;66;67;68;69;70;71;72;73;74;75;76;77;78;79;80;81;82;83;84;85;86;87;88;89;90;91;92;93;94;95;96;97;98;99},{100000;130000;160000;190000;220000;250000;300000;350000;400000;450000;500000;600000;700000;800000;900000;1000000;1500000;2000000;3000000;4000000;5000000;6500000;8000000;10000000;12500000;15000000;20000000;25000000;30000000;35000000;40000000;55000000;70000000;80000000;90000000;110000000;130000000;160000000;190000000;220000000;250000000;280000000;310000000;340000000;400000000})</f>
        <v>5000000</v>
      </c>
      <c r="J225" s="7" t="n">
        <f aca="false">I225*S225*T225*U225</f>
        <v>4600000</v>
      </c>
      <c r="K225" s="3"/>
      <c r="L225" s="3"/>
      <c r="M225" s="3"/>
      <c r="N225" s="9" t="n">
        <v>1</v>
      </c>
      <c r="O225" s="4" t="n">
        <v>0</v>
      </c>
      <c r="P225" s="5" t="n">
        <f aca="false">IF(COUNTIF([1]Base_Jugadores!J$2:J$500,B225)&gt;0,1,0)</f>
        <v>0</v>
      </c>
      <c r="Q225" s="10" t="b">
        <f aca="false">--(COUNTIFS(
   [1]Fichajes_Realizados!A$2:A$5000,A225,
   [1]Fichajes_Realizados!G$2:G$5000,$X$3
)&gt;0)</f>
        <v>0</v>
      </c>
      <c r="R225" s="5" t="n">
        <f aca="false">_xlfn.XLOOKUP(C225, [1]Estado_Equipos!A$2:A$500, [1]Estado_Equipos!J$2:J$500, "")</f>
        <v>72</v>
      </c>
      <c r="S225" s="5" t="n">
        <f aca="false">IF(H225&lt;=16,1.45,
IF(H225&gt;=41,0.3,
CHOOSE(ROUNDDOWN((H225-16)/2,0)+1,
1.45,1.38,1.3,1.23,1.17,1.15,1.12,1.05,0.95,0.8,0.6,0.4,0.3)))</f>
        <v>1.15</v>
      </c>
      <c r="T225" s="5" t="n">
        <f aca="false">CHOOSE(N225+1,1.2,1,0.85,0.7)</f>
        <v>1</v>
      </c>
      <c r="U225" s="5" t="n">
        <f aca="false">IF(F225="PO",0.6,
IF(F225="CT",0.75,
IF(F225="LI",0.8,
IF(F225="LD",0.8,
IF(F225="MCD",0.85,
IF(F225="MC",0.95,
IF(F225="MO",1.05,
IF(F225="EI",1.1,
IF(F225="ED",1.1,
IF(F225="SD",1.15,
IF(F225="DC",1.2,0)))))))))))</f>
        <v>0.8</v>
      </c>
    </row>
    <row r="226" customFormat="false" ht="16.4" hidden="false" customHeight="false" outlineLevel="0" collapsed="false">
      <c r="A226" s="1" t="n">
        <v>225</v>
      </c>
      <c r="B226" s="5" t="str">
        <f aca="false">[1]Base_Jugadores!B226</f>
        <v>Juanmi</v>
      </c>
      <c r="C226" s="5" t="str">
        <f aca="false">IFERROR(
   _xlfn.XLOOKUP(VALUE(A226),[1]Fichajes_Realizados!A$2:A$50000,[1]Fichajes_Realizados!D$2:D$50000,,0,-1),
   _xlfn.XLOOKUP(VALUE(A226),[1]Base_Jugadores!A$2:A$50000,[1]Base_Jugadores!C$2:C$50000)
)</f>
        <v>Getafe CF</v>
      </c>
      <c r="D226" s="5" t="str">
        <f aca="false">[1]Base_Jugadores!D226</f>
        <v>España</v>
      </c>
      <c r="E226" s="3"/>
      <c r="F226" s="5" t="str">
        <f aca="false">[1]Base_Jugadores!E226</f>
        <v>EI</v>
      </c>
      <c r="G226" s="5" t="n">
        <f aca="false">[1]Base_Jugadores!F226</f>
        <v>79</v>
      </c>
      <c r="H226" s="5" t="n">
        <f aca="false">[1]Base_Jugadores!G226</f>
        <v>32</v>
      </c>
      <c r="I226" s="7" t="n">
        <f aca="false" t="array" ref="I226:I226">_xlfn.XLOOKUP(G226,{55;56;57;58;59;60;61;62;63;64;65;66;67;68;69;70;71;72;73;74;75;76;77;78;79;80;81;82;83;84;85;86;87;88;89;90;91;92;93;94;95;96;97;98;99},{100000;130000;160000;190000;220000;250000;300000;350000;400000;450000;500000;600000;700000;800000;900000;1000000;1500000;2000000;3000000;4000000;5000000;6500000;8000000;10000000;12500000;15000000;20000000;25000000;30000000;35000000;40000000;55000000;70000000;80000000;90000000;110000000;130000000;160000000;190000000;220000000;250000000;280000000;310000000;340000000;400000000})</f>
        <v>12500000</v>
      </c>
      <c r="J226" s="7" t="n">
        <f aca="false">I226*S226*T226*U226</f>
        <v>15675000</v>
      </c>
      <c r="K226" s="3"/>
      <c r="L226" s="3"/>
      <c r="M226" s="3"/>
      <c r="N226" s="9" t="n">
        <v>0</v>
      </c>
      <c r="O226" s="4" t="n">
        <v>0</v>
      </c>
      <c r="P226" s="5" t="n">
        <f aca="false">IF(COUNTIF([1]Base_Jugadores!J$2:J$500,B226)&gt;0,1,0)</f>
        <v>0</v>
      </c>
      <c r="Q226" s="10" t="b">
        <f aca="false">--(COUNTIFS(
   [1]Fichajes_Realizados!A$2:A$5000,A226,
   [1]Fichajes_Realizados!G$2:G$5000,$X$3
)&gt;0)</f>
        <v>0</v>
      </c>
      <c r="R226" s="5" t="n">
        <f aca="false">_xlfn.XLOOKUP(C226, [1]Estado_Equipos!A$2:A$500, [1]Estado_Equipos!J$2:J$500, "")</f>
        <v>72</v>
      </c>
      <c r="S226" s="5" t="n">
        <f aca="false">IF(H226&lt;=16,1.45,
IF(H226&gt;=41,0.3,
CHOOSE(ROUNDDOWN((H226-16)/2,0)+1,
1.45,1.38,1.3,1.23,1.17,1.15,1.12,1.05,0.95,0.8,0.6,0.4,0.3)))</f>
        <v>0.95</v>
      </c>
      <c r="T226" s="5" t="n">
        <f aca="false">CHOOSE(N226+1,1.2,1,0.85,0.7)</f>
        <v>1.2</v>
      </c>
      <c r="U226" s="5" t="n">
        <f aca="false">IF(F226="PO",0.6,
IF(F226="CT",0.75,
IF(F226="LI",0.8,
IF(F226="LD",0.8,
IF(F226="MCD",0.85,
IF(F226="MC",0.95,
IF(F226="MO",1.05,
IF(F226="EI",1.1,
IF(F226="ED",1.1,
IF(F226="SD",1.15,
IF(F226="DC",1.2,0)))))))))))</f>
        <v>1.1</v>
      </c>
    </row>
    <row r="227" customFormat="false" ht="16.4" hidden="false" customHeight="false" outlineLevel="0" collapsed="false">
      <c r="A227" s="1" t="n">
        <v>226</v>
      </c>
      <c r="B227" s="5" t="str">
        <f aca="false">[1]Base_Jugadores!B227</f>
        <v>Kiko Femenía</v>
      </c>
      <c r="C227" s="5" t="str">
        <f aca="false">IFERROR(
   _xlfn.XLOOKUP(VALUE(A227),[1]Fichajes_Realizados!A$2:A$50000,[1]Fichajes_Realizados!D$2:D$50000,,0,-1),
   _xlfn.XLOOKUP(VALUE(A227),[1]Base_Jugadores!A$2:A$50000,[1]Base_Jugadores!C$2:C$50000)
)</f>
        <v>Getafe CF</v>
      </c>
      <c r="D227" s="5" t="str">
        <f aca="false">[1]Base_Jugadores!D227</f>
        <v>España</v>
      </c>
      <c r="E227" s="3"/>
      <c r="F227" s="5" t="str">
        <f aca="false">[1]Base_Jugadores!E227</f>
        <v>LD</v>
      </c>
      <c r="G227" s="5" t="n">
        <f aca="false">[1]Base_Jugadores!F227</f>
        <v>75</v>
      </c>
      <c r="H227" s="5" t="n">
        <f aca="false">[1]Base_Jugadores!G227</f>
        <v>34</v>
      </c>
      <c r="I227" s="7" t="n">
        <f aca="false" t="array" ref="I227:I227">_xlfn.XLOOKUP(G227,{55;56;57;58;59;60;61;62;63;64;65;66;67;68;69;70;71;72;73;74;75;76;77;78;79;80;81;82;83;84;85;86;87;88;89;90;91;92;93;94;95;96;97;98;99},{100000;130000;160000;190000;220000;250000;300000;350000;400000;450000;500000;600000;700000;800000;900000;1000000;1500000;2000000;3000000;4000000;5000000;6500000;8000000;10000000;12500000;15000000;20000000;25000000;30000000;35000000;40000000;55000000;70000000;80000000;90000000;110000000;130000000;160000000;190000000;220000000;250000000;280000000;310000000;340000000;400000000})</f>
        <v>5000000</v>
      </c>
      <c r="J227" s="7" t="n">
        <f aca="false">I227*S227*T227*U227</f>
        <v>3840000</v>
      </c>
      <c r="K227" s="3"/>
      <c r="L227" s="3"/>
      <c r="M227" s="3"/>
      <c r="N227" s="9" t="n">
        <v>0</v>
      </c>
      <c r="O227" s="4" t="n">
        <v>0</v>
      </c>
      <c r="P227" s="5" t="n">
        <f aca="false">IF(COUNTIF([1]Base_Jugadores!J$2:J$500,B227)&gt;0,1,0)</f>
        <v>0</v>
      </c>
      <c r="Q227" s="10" t="b">
        <f aca="false">--(COUNTIFS(
   [1]Fichajes_Realizados!A$2:A$5000,A227,
   [1]Fichajes_Realizados!G$2:G$5000,$X$3
)&gt;0)</f>
        <v>0</v>
      </c>
      <c r="R227" s="5" t="n">
        <f aca="false">_xlfn.XLOOKUP(C227, [1]Estado_Equipos!A$2:A$500, [1]Estado_Equipos!J$2:J$500, "")</f>
        <v>72</v>
      </c>
      <c r="S227" s="5" t="n">
        <f aca="false">IF(H227&lt;=16,1.45,
IF(H227&gt;=41,0.3,
CHOOSE(ROUNDDOWN((H227-16)/2,0)+1,
1.45,1.38,1.3,1.23,1.17,1.15,1.12,1.05,0.95,0.8,0.6,0.4,0.3)))</f>
        <v>0.8</v>
      </c>
      <c r="T227" s="5" t="n">
        <f aca="false">CHOOSE(N227+1,1.2,1,0.85,0.7)</f>
        <v>1.2</v>
      </c>
      <c r="U227" s="5" t="n">
        <f aca="false">IF(F227="PO",0.6,
IF(F227="CT",0.75,
IF(F227="LI",0.8,
IF(F227="LD",0.8,
IF(F227="MCD",0.85,
IF(F227="MC",0.95,
IF(F227="MO",1.05,
IF(F227="EI",1.1,
IF(F227="ED",1.1,
IF(F227="SD",1.15,
IF(F227="DC",1.2,0)))))))))))</f>
        <v>0.8</v>
      </c>
    </row>
    <row r="228" customFormat="false" ht="16.4" hidden="false" customHeight="false" outlineLevel="0" collapsed="false">
      <c r="A228" s="1" t="n">
        <v>227</v>
      </c>
      <c r="B228" s="5" t="str">
        <f aca="false">[1]Base_Jugadores!B228</f>
        <v>Luis Milla</v>
      </c>
      <c r="C228" s="5" t="str">
        <f aca="false">IFERROR(
   _xlfn.XLOOKUP(VALUE(A228),[1]Fichajes_Realizados!A$2:A$50000,[1]Fichajes_Realizados!D$2:D$50000,,0,-1),
   _xlfn.XLOOKUP(VALUE(A228),[1]Base_Jugadores!A$2:A$50000,[1]Base_Jugadores!C$2:C$50000)
)</f>
        <v>Getafe CF</v>
      </c>
      <c r="D228" s="5" t="str">
        <f aca="false">[1]Base_Jugadores!D228</f>
        <v>España</v>
      </c>
      <c r="E228" s="3"/>
      <c r="F228" s="5" t="str">
        <f aca="false">[1]Base_Jugadores!E228</f>
        <v>MC</v>
      </c>
      <c r="G228" s="5" t="n">
        <f aca="false">[1]Base_Jugadores!F228</f>
        <v>78</v>
      </c>
      <c r="H228" s="5" t="n">
        <f aca="false">[1]Base_Jugadores!G228</f>
        <v>31</v>
      </c>
      <c r="I228" s="7" t="n">
        <f aca="false" t="array" ref="I228:I228">_xlfn.XLOOKUP(G228,{55;56;57;58;59;60;61;62;63;64;65;66;67;68;69;70;71;72;73;74;75;76;77;78;79;80;81;82;83;84;85;86;87;88;89;90;91;92;93;94;95;96;97;98;99},{100000;130000;160000;190000;220000;250000;300000;350000;400000;450000;500000;600000;700000;800000;900000;1000000;1500000;2000000;3000000;4000000;5000000;6500000;8000000;10000000;12500000;15000000;20000000;25000000;30000000;35000000;40000000;55000000;70000000;80000000;90000000;110000000;130000000;160000000;190000000;220000000;250000000;280000000;310000000;340000000;400000000})</f>
        <v>10000000</v>
      </c>
      <c r="J228" s="7" t="n">
        <f aca="false">I228*S228*T228*U228</f>
        <v>11970000</v>
      </c>
      <c r="K228" s="3"/>
      <c r="L228" s="3"/>
      <c r="M228" s="3"/>
      <c r="N228" s="9" t="n">
        <v>0</v>
      </c>
      <c r="O228" s="4" t="n">
        <v>0</v>
      </c>
      <c r="P228" s="5" t="n">
        <f aca="false">IF(COUNTIF([1]Base_Jugadores!J$2:J$500,B228)&gt;0,1,0)</f>
        <v>0</v>
      </c>
      <c r="Q228" s="10" t="b">
        <f aca="false">--(COUNTIFS(
   [1]Fichajes_Realizados!A$2:A$5000,A228,
   [1]Fichajes_Realizados!G$2:G$5000,$X$3
)&gt;0)</f>
        <v>0</v>
      </c>
      <c r="R228" s="5" t="n">
        <f aca="false">_xlfn.XLOOKUP(C228, [1]Estado_Equipos!A$2:A$500, [1]Estado_Equipos!J$2:J$500, "")</f>
        <v>72</v>
      </c>
      <c r="S228" s="5" t="n">
        <f aca="false">IF(H228&lt;=16,1.45,
IF(H228&gt;=41,0.3,
CHOOSE(ROUNDDOWN((H228-16)/2,0)+1,
1.45,1.38,1.3,1.23,1.17,1.15,1.12,1.05,0.95,0.8,0.6,0.4,0.3)))</f>
        <v>1.05</v>
      </c>
      <c r="T228" s="5" t="n">
        <f aca="false">CHOOSE(N228+1,1.2,1,0.85,0.7)</f>
        <v>1.2</v>
      </c>
      <c r="U228" s="5" t="n">
        <f aca="false">IF(F228="PO",0.6,
IF(F228="CT",0.75,
IF(F228="LI",0.8,
IF(F228="LD",0.8,
IF(F228="MCD",0.85,
IF(F228="MC",0.95,
IF(F228="MO",1.05,
IF(F228="EI",1.1,
IF(F228="ED",1.1,
IF(F228="SD",1.15,
IF(F228="DC",1.2,0)))))))))))</f>
        <v>0.95</v>
      </c>
    </row>
    <row r="229" customFormat="false" ht="16.4" hidden="false" customHeight="false" outlineLevel="0" collapsed="false">
      <c r="A229" s="1" t="n">
        <v>228</v>
      </c>
      <c r="B229" s="5" t="str">
        <f aca="false">[1]Base_Jugadores!B229</f>
        <v>Mario Martín</v>
      </c>
      <c r="C229" s="5" t="str">
        <f aca="false">IFERROR(
   _xlfn.XLOOKUP(VALUE(A229),[1]Fichajes_Realizados!A$2:A$50000,[1]Fichajes_Realizados!D$2:D$50000,,0,-1),
   _xlfn.XLOOKUP(VALUE(A229),[1]Base_Jugadores!A$2:A$50000,[1]Base_Jugadores!C$2:C$50000)
)</f>
        <v>Getafe CF</v>
      </c>
      <c r="D229" s="5" t="str">
        <f aca="false">[1]Base_Jugadores!D229</f>
        <v>España</v>
      </c>
      <c r="E229" s="3"/>
      <c r="F229" s="5" t="str">
        <f aca="false">[1]Base_Jugadores!E229</f>
        <v>MCD</v>
      </c>
      <c r="G229" s="5" t="n">
        <f aca="false">[1]Base_Jugadores!F229</f>
        <v>69</v>
      </c>
      <c r="H229" s="5" t="n">
        <f aca="false">[1]Base_Jugadores!G229</f>
        <v>21</v>
      </c>
      <c r="I229" s="7" t="n">
        <f aca="false" t="array" ref="I229:I229">_xlfn.XLOOKUP(G229,{55;56;57;58;59;60;61;62;63;64;65;66;67;68;69;70;71;72;73;74;75;76;77;78;79;80;81;82;83;84;85;86;87;88;89;90;91;92;93;94;95;96;97;98;99},{100000;130000;160000;190000;220000;250000;300000;350000;400000;450000;500000;600000;700000;800000;900000;1000000;1500000;2000000;3000000;4000000;5000000;6500000;8000000;10000000;12500000;15000000;20000000;25000000;30000000;35000000;40000000;55000000;70000000;80000000;90000000;110000000;130000000;160000000;190000000;220000000;250000000;280000000;310000000;340000000;400000000})</f>
        <v>900000</v>
      </c>
      <c r="J229" s="7" t="n">
        <f aca="false">I229*S229*T229*U229</f>
        <v>994500</v>
      </c>
      <c r="K229" s="3"/>
      <c r="L229" s="3"/>
      <c r="M229" s="3"/>
      <c r="N229" s="9" t="n">
        <v>1</v>
      </c>
      <c r="O229" s="4" t="n">
        <v>0</v>
      </c>
      <c r="P229" s="5" t="n">
        <f aca="false">IF(COUNTIF([1]Base_Jugadores!J$2:J$500,B229)&gt;0,1,0)</f>
        <v>0</v>
      </c>
      <c r="Q229" s="10" t="b">
        <f aca="false">--(COUNTIFS(
   [1]Fichajes_Realizados!A$2:A$5000,A229,
   [1]Fichajes_Realizados!G$2:G$5000,$X$3
)&gt;0)</f>
        <v>0</v>
      </c>
      <c r="R229" s="5" t="n">
        <f aca="false">_xlfn.XLOOKUP(C229, [1]Estado_Equipos!A$2:A$500, [1]Estado_Equipos!J$2:J$500, "")</f>
        <v>72</v>
      </c>
      <c r="S229" s="5" t="n">
        <f aca="false">IF(H229&lt;=16,1.45,
IF(H229&gt;=41,0.3,
CHOOSE(ROUNDDOWN((H229-16)/2,0)+1,
1.45,1.38,1.3,1.23,1.17,1.15,1.12,1.05,0.95,0.8,0.6,0.4,0.3)))</f>
        <v>1.3</v>
      </c>
      <c r="T229" s="5" t="n">
        <f aca="false">CHOOSE(N229+1,1.2,1,0.85,0.7)</f>
        <v>1</v>
      </c>
      <c r="U229" s="5" t="n">
        <f aca="false">IF(F229="PO",0.6,
IF(F229="CT",0.75,
IF(F229="LI",0.8,
IF(F229="LD",0.8,
IF(F229="MCD",0.85,
IF(F229="MC",0.95,
IF(F229="MO",1.05,
IF(F229="EI",1.1,
IF(F229="ED",1.1,
IF(F229="SD",1.15,
IF(F229="DC",1.2,0)))))))))))</f>
        <v>0.85</v>
      </c>
    </row>
    <row r="230" customFormat="false" ht="16.4" hidden="false" customHeight="false" outlineLevel="0" collapsed="false">
      <c r="A230" s="1" t="n">
        <v>229</v>
      </c>
      <c r="B230" s="5" t="str">
        <f aca="false">[1]Base_Jugadores!B230</f>
        <v>Mauro Arambarri</v>
      </c>
      <c r="C230" s="5" t="str">
        <f aca="false">IFERROR(
   _xlfn.XLOOKUP(VALUE(A230),[1]Fichajes_Realizados!A$2:A$50000,[1]Fichajes_Realizados!D$2:D$50000,,0,-1),
   _xlfn.XLOOKUP(VALUE(A230),[1]Base_Jugadores!A$2:A$50000,[1]Base_Jugadores!C$2:C$50000)
)</f>
        <v>Getafe CF</v>
      </c>
      <c r="D230" s="5" t="str">
        <f aca="false">[1]Base_Jugadores!D230</f>
        <v>Uruguay</v>
      </c>
      <c r="E230" s="3"/>
      <c r="F230" s="5" t="str">
        <f aca="false">[1]Base_Jugadores!E230</f>
        <v>MC</v>
      </c>
      <c r="G230" s="5" t="n">
        <f aca="false">[1]Base_Jugadores!F230</f>
        <v>78</v>
      </c>
      <c r="H230" s="5" t="n">
        <f aca="false">[1]Base_Jugadores!G230</f>
        <v>30</v>
      </c>
      <c r="I230" s="7" t="n">
        <f aca="false" t="array" ref="I230:I230">_xlfn.XLOOKUP(G230,{55;56;57;58;59;60;61;62;63;64;65;66;67;68;69;70;71;72;73;74;75;76;77;78;79;80;81;82;83;84;85;86;87;88;89;90;91;92;93;94;95;96;97;98;99},{100000;130000;160000;190000;220000;250000;300000;350000;400000;450000;500000;600000;700000;800000;900000;1000000;1500000;2000000;3000000;4000000;5000000;6500000;8000000;10000000;12500000;15000000;20000000;25000000;30000000;35000000;40000000;55000000;70000000;80000000;90000000;110000000;130000000;160000000;190000000;220000000;250000000;280000000;310000000;340000000;400000000})</f>
        <v>10000000</v>
      </c>
      <c r="J230" s="7" t="n">
        <f aca="false">I230*S230*T230*U230</f>
        <v>11970000</v>
      </c>
      <c r="K230" s="3"/>
      <c r="L230" s="3"/>
      <c r="M230" s="3"/>
      <c r="N230" s="9" t="n">
        <v>0</v>
      </c>
      <c r="O230" s="4" t="n">
        <v>0</v>
      </c>
      <c r="P230" s="5" t="n">
        <f aca="false">IF(COUNTIF([1]Base_Jugadores!J$2:J$500,B230)&gt;0,1,0)</f>
        <v>0</v>
      </c>
      <c r="Q230" s="10" t="b">
        <f aca="false">--(COUNTIFS(
   [1]Fichajes_Realizados!A$2:A$5000,A230,
   [1]Fichajes_Realizados!G$2:G$5000,$X$3
)&gt;0)</f>
        <v>0</v>
      </c>
      <c r="R230" s="5" t="n">
        <f aca="false">_xlfn.XLOOKUP(C230, [1]Estado_Equipos!A$2:A$500, [1]Estado_Equipos!J$2:J$500, "")</f>
        <v>72</v>
      </c>
      <c r="S230" s="5" t="n">
        <f aca="false">IF(H230&lt;=16,1.45,
IF(H230&gt;=41,0.3,
CHOOSE(ROUNDDOWN((H230-16)/2,0)+1,
1.45,1.38,1.3,1.23,1.17,1.15,1.12,1.05,0.95,0.8,0.6,0.4,0.3)))</f>
        <v>1.05</v>
      </c>
      <c r="T230" s="5" t="n">
        <f aca="false">CHOOSE(N230+1,1.2,1,0.85,0.7)</f>
        <v>1.2</v>
      </c>
      <c r="U230" s="5" t="n">
        <f aca="false">IF(F230="PO",0.6,
IF(F230="CT",0.75,
IF(F230="LI",0.8,
IF(F230="LD",0.8,
IF(F230="MCD",0.85,
IF(F230="MC",0.95,
IF(F230="MO",1.05,
IF(F230="EI",1.1,
IF(F230="ED",1.1,
IF(F230="SD",1.15,
IF(F230="DC",1.2,0)))))))))))</f>
        <v>0.95</v>
      </c>
    </row>
    <row r="231" customFormat="false" ht="16.4" hidden="false" customHeight="false" outlineLevel="0" collapsed="false">
      <c r="A231" s="1" t="n">
        <v>230</v>
      </c>
      <c r="B231" s="5" t="str">
        <f aca="false">[1]Base_Jugadores!B231</f>
        <v>Yvan Neyou</v>
      </c>
      <c r="C231" s="5" t="str">
        <f aca="false">IFERROR(
   _xlfn.XLOOKUP(VALUE(A231),[1]Fichajes_Realizados!A$2:A$50000,[1]Fichajes_Realizados!D$2:D$50000,,0,-1),
   _xlfn.XLOOKUP(VALUE(A231),[1]Base_Jugadores!A$2:A$50000,[1]Base_Jugadores!C$2:C$50000)
)</f>
        <v>Getafe CF</v>
      </c>
      <c r="D231" s="5" t="str">
        <f aca="false">[1]Base_Jugadores!D231</f>
        <v>Camerún</v>
      </c>
      <c r="E231" s="3"/>
      <c r="F231" s="5" t="str">
        <f aca="false">[1]Base_Jugadores!E231</f>
        <v>MCD</v>
      </c>
      <c r="G231" s="5" t="n">
        <f aca="false">[1]Base_Jugadores!F231</f>
        <v>72</v>
      </c>
      <c r="H231" s="5" t="n">
        <f aca="false">[1]Base_Jugadores!G231</f>
        <v>28</v>
      </c>
      <c r="I231" s="7" t="n">
        <f aca="false" t="array" ref="I231:I231">_xlfn.XLOOKUP(G231,{55;56;57;58;59;60;61;62;63;64;65;66;67;68;69;70;71;72;73;74;75;76;77;78;79;80;81;82;83;84;85;86;87;88;89;90;91;92;93;94;95;96;97;98;99},{100000;130000;160000;190000;220000;250000;300000;350000;400000;450000;500000;600000;700000;800000;900000;1000000;1500000;2000000;3000000;4000000;5000000;6500000;8000000;10000000;12500000;15000000;20000000;25000000;30000000;35000000;40000000;55000000;70000000;80000000;90000000;110000000;130000000;160000000;190000000;220000000;250000000;280000000;310000000;340000000;400000000})</f>
        <v>2000000</v>
      </c>
      <c r="J231" s="7" t="n">
        <f aca="false">I231*S231*T231*U231</f>
        <v>1904000</v>
      </c>
      <c r="K231" s="3"/>
      <c r="L231" s="3"/>
      <c r="M231" s="3"/>
      <c r="N231" s="9" t="n">
        <v>1</v>
      </c>
      <c r="O231" s="4" t="n">
        <v>0</v>
      </c>
      <c r="P231" s="5" t="n">
        <f aca="false">IF(COUNTIF([1]Base_Jugadores!J$2:J$500,B231)&gt;0,1,0)</f>
        <v>0</v>
      </c>
      <c r="Q231" s="10" t="b">
        <f aca="false">--(COUNTIFS(
   [1]Fichajes_Realizados!A$2:A$5000,A231,
   [1]Fichajes_Realizados!G$2:G$5000,$X$3
)&gt;0)</f>
        <v>0</v>
      </c>
      <c r="R231" s="5" t="n">
        <f aca="false">_xlfn.XLOOKUP(C231, [1]Estado_Equipos!A$2:A$500, [1]Estado_Equipos!J$2:J$500, "")</f>
        <v>72</v>
      </c>
      <c r="S231" s="5" t="n">
        <f aca="false">IF(H231&lt;=16,1.45,
IF(H231&gt;=41,0.3,
CHOOSE(ROUNDDOWN((H231-16)/2,0)+1,
1.45,1.38,1.3,1.23,1.17,1.15,1.12,1.05,0.95,0.8,0.6,0.4,0.3)))</f>
        <v>1.12</v>
      </c>
      <c r="T231" s="5" t="n">
        <f aca="false">CHOOSE(N231+1,1.2,1,0.85,0.7)</f>
        <v>1</v>
      </c>
      <c r="U231" s="5" t="n">
        <f aca="false">IF(F231="PO",0.6,
IF(F231="CT",0.75,
IF(F231="LI",0.8,
IF(F231="LD",0.8,
IF(F231="MCD",0.85,
IF(F231="MC",0.95,
IF(F231="MO",1.05,
IF(F231="EI",1.1,
IF(F231="ED",1.1,
IF(F231="SD",1.15,
IF(F231="DC",1.2,0)))))))))))</f>
        <v>0.85</v>
      </c>
    </row>
    <row r="232" customFormat="false" ht="16.4" hidden="false" customHeight="false" outlineLevel="0" collapsed="false">
      <c r="A232" s="1" t="n">
        <v>231</v>
      </c>
      <c r="B232" s="5" t="str">
        <f aca="false">[1]Base_Jugadores!B232</f>
        <v>Abel Ruiz</v>
      </c>
      <c r="C232" s="5" t="str">
        <f aca="false">IFERROR(
   _xlfn.XLOOKUP(VALUE(A232),[1]Fichajes_Realizados!A$2:A$50000,[1]Fichajes_Realizados!D$2:D$50000,,0,-1),
   _xlfn.XLOOKUP(VALUE(A232),[1]Base_Jugadores!A$2:A$50000,[1]Base_Jugadores!C$2:C$50000)
)</f>
        <v>Girona FC</v>
      </c>
      <c r="D232" s="5" t="str">
        <f aca="false">[1]Base_Jugadores!D232</f>
        <v>España</v>
      </c>
      <c r="E232" s="3"/>
      <c r="F232" s="5" t="str">
        <f aca="false">[1]Base_Jugadores!E232</f>
        <v>DC</v>
      </c>
      <c r="G232" s="5" t="n">
        <f aca="false">[1]Base_Jugadores!F232</f>
        <v>77</v>
      </c>
      <c r="H232" s="5" t="n">
        <f aca="false">[1]Base_Jugadores!G232</f>
        <v>25</v>
      </c>
      <c r="I232" s="7" t="n">
        <f aca="false" t="array" ref="I232:I232">_xlfn.XLOOKUP(G232,{55;56;57;58;59;60;61;62;63;64;65;66;67;68;69;70;71;72;73;74;75;76;77;78;79;80;81;82;83;84;85;86;87;88;89;90;91;92;93;94;95;96;97;98;99},{100000;130000;160000;190000;220000;250000;300000;350000;400000;450000;500000;600000;700000;800000;900000;1000000;1500000;2000000;3000000;4000000;5000000;6500000;8000000;10000000;12500000;15000000;20000000;25000000;30000000;35000000;40000000;55000000;70000000;80000000;90000000;110000000;130000000;160000000;190000000;220000000;250000000;280000000;310000000;340000000;400000000})</f>
        <v>8000000</v>
      </c>
      <c r="J232" s="7" t="n">
        <f aca="false">I232*S232*T232*U232</f>
        <v>13478400</v>
      </c>
      <c r="K232" s="3"/>
      <c r="L232" s="3"/>
      <c r="M232" s="3"/>
      <c r="N232" s="9" t="n">
        <v>0</v>
      </c>
      <c r="O232" s="4" t="n">
        <v>0</v>
      </c>
      <c r="P232" s="5" t="n">
        <f aca="false">IF(COUNTIF([1]Base_Jugadores!J$2:J$500,B232)&gt;0,1,0)</f>
        <v>0</v>
      </c>
      <c r="Q232" s="10" t="b">
        <f aca="false">--(COUNTIFS(
   [1]Fichajes_Realizados!A$2:A$5000,A232,
   [1]Fichajes_Realizados!G$2:G$5000,$X$3
)&gt;0)</f>
        <v>0</v>
      </c>
      <c r="R232" s="5" t="n">
        <f aca="false">_xlfn.XLOOKUP(C232, [1]Estado_Equipos!A$2:A$500, [1]Estado_Equipos!J$2:J$500, "")</f>
        <v>76</v>
      </c>
      <c r="S232" s="5" t="n">
        <f aca="false">IF(H232&lt;=16,1.45,
IF(H232&gt;=41,0.3,
CHOOSE(ROUNDDOWN((H232-16)/2,0)+1,
1.45,1.38,1.3,1.23,1.17,1.15,1.12,1.05,0.95,0.8,0.6,0.4,0.3)))</f>
        <v>1.17</v>
      </c>
      <c r="T232" s="5" t="n">
        <f aca="false">CHOOSE(N232+1,1.2,1,0.85,0.7)</f>
        <v>1.2</v>
      </c>
      <c r="U232" s="5" t="n">
        <f aca="false">IF(F232="PO",0.6,
IF(F232="CT",0.75,
IF(F232="LI",0.8,
IF(F232="LD",0.8,
IF(F232="MCD",0.85,
IF(F232="MC",0.95,
IF(F232="MO",1.05,
IF(F232="EI",1.1,
IF(F232="ED",1.1,
IF(F232="SD",1.15,
IF(F232="DC",1.2,0)))))))))))</f>
        <v>1.2</v>
      </c>
    </row>
    <row r="233" customFormat="false" ht="16.4" hidden="false" customHeight="false" outlineLevel="0" collapsed="false">
      <c r="A233" s="1" t="n">
        <v>232</v>
      </c>
      <c r="B233" s="5" t="str">
        <f aca="false">[1]Base_Jugadores!B233</f>
        <v>Alejandro Francés</v>
      </c>
      <c r="C233" s="5" t="str">
        <f aca="false">IFERROR(
   _xlfn.XLOOKUP(VALUE(A233),[1]Fichajes_Realizados!A$2:A$50000,[1]Fichajes_Realizados!D$2:D$50000,,0,-1),
   _xlfn.XLOOKUP(VALUE(A233),[1]Base_Jugadores!A$2:A$50000,[1]Base_Jugadores!C$2:C$50000)
)</f>
        <v>Girona FC</v>
      </c>
      <c r="D233" s="5" t="str">
        <f aca="false">[1]Base_Jugadores!D233</f>
        <v>España</v>
      </c>
      <c r="E233" s="3"/>
      <c r="F233" s="5" t="str">
        <f aca="false">[1]Base_Jugadores!E233</f>
        <v>CT</v>
      </c>
      <c r="G233" s="5" t="n">
        <f aca="false">[1]Base_Jugadores!F233</f>
        <v>75</v>
      </c>
      <c r="H233" s="5" t="n">
        <f aca="false">[1]Base_Jugadores!G233</f>
        <v>23</v>
      </c>
      <c r="I233" s="7" t="n">
        <f aca="false" t="array" ref="I233:I233">_xlfn.XLOOKUP(G233,{55;56;57;58;59;60;61;62;63;64;65;66;67;68;69;70;71;72;73;74;75;76;77;78;79;80;81;82;83;84;85;86;87;88;89;90;91;92;93;94;95;96;97;98;99},{100000;130000;160000;190000;220000;250000;300000;350000;400000;450000;500000;600000;700000;800000;900000;1000000;1500000;2000000;3000000;4000000;5000000;6500000;8000000;10000000;12500000;15000000;20000000;25000000;30000000;35000000;40000000;55000000;70000000;80000000;90000000;110000000;130000000;160000000;190000000;220000000;250000000;280000000;310000000;340000000;400000000})</f>
        <v>5000000</v>
      </c>
      <c r="J233" s="7" t="n">
        <f aca="false">I233*S233*T233*U233</f>
        <v>3920625</v>
      </c>
      <c r="K233" s="3"/>
      <c r="L233" s="3"/>
      <c r="M233" s="3"/>
      <c r="N233" s="9" t="n">
        <v>2</v>
      </c>
      <c r="O233" s="4" t="n">
        <v>0</v>
      </c>
      <c r="P233" s="5" t="n">
        <f aca="false">IF(COUNTIF([1]Base_Jugadores!J$2:J$500,B233)&gt;0,1,0)</f>
        <v>0</v>
      </c>
      <c r="Q233" s="10" t="b">
        <f aca="false">--(COUNTIFS(
   [1]Fichajes_Realizados!A$2:A$5000,A233,
   [1]Fichajes_Realizados!G$2:G$5000,$X$3
)&gt;0)</f>
        <v>0</v>
      </c>
      <c r="R233" s="5" t="n">
        <f aca="false">_xlfn.XLOOKUP(C233, [1]Estado_Equipos!A$2:A$500, [1]Estado_Equipos!J$2:J$500, "")</f>
        <v>76</v>
      </c>
      <c r="S233" s="5" t="n">
        <f aca="false">IF(H233&lt;=16,1.45,
IF(H233&gt;=41,0.3,
CHOOSE(ROUNDDOWN((H233-16)/2,0)+1,
1.45,1.38,1.3,1.23,1.17,1.15,1.12,1.05,0.95,0.8,0.6,0.4,0.3)))</f>
        <v>1.23</v>
      </c>
      <c r="T233" s="5" t="n">
        <f aca="false">CHOOSE(N233+1,1.2,1,0.85,0.7)</f>
        <v>0.85</v>
      </c>
      <c r="U233" s="5" t="n">
        <f aca="false">IF(F233="PO",0.6,
IF(F233="CT",0.75,
IF(F233="LI",0.8,
IF(F233="LD",0.8,
IF(F233="MCD",0.85,
IF(F233="MC",0.95,
IF(F233="MO",1.05,
IF(F233="EI",1.1,
IF(F233="ED",1.1,
IF(F233="SD",1.15,
IF(F233="DC",1.2,0)))))))))))</f>
        <v>0.75</v>
      </c>
    </row>
    <row r="234" customFormat="false" ht="16.4" hidden="false" customHeight="false" outlineLevel="0" collapsed="false">
      <c r="A234" s="1" t="n">
        <v>233</v>
      </c>
      <c r="B234" s="5" t="str">
        <f aca="false">[1]Base_Jugadores!B234</f>
        <v>Álex Moreno</v>
      </c>
      <c r="C234" s="5" t="str">
        <f aca="false">IFERROR(
   _xlfn.XLOOKUP(VALUE(A234),[1]Fichajes_Realizados!A$2:A$50000,[1]Fichajes_Realizados!D$2:D$50000,,0,-1),
   _xlfn.XLOOKUP(VALUE(A234),[1]Base_Jugadores!A$2:A$50000,[1]Base_Jugadores!C$2:C$50000)
)</f>
        <v>Girona FC</v>
      </c>
      <c r="D234" s="5" t="str">
        <f aca="false">[1]Base_Jugadores!D234</f>
        <v>España</v>
      </c>
      <c r="E234" s="3"/>
      <c r="F234" s="5" t="str">
        <f aca="false">[1]Base_Jugadores!E234</f>
        <v>LI</v>
      </c>
      <c r="G234" s="5" t="n">
        <f aca="false">[1]Base_Jugadores!F234</f>
        <v>79</v>
      </c>
      <c r="H234" s="5" t="n">
        <f aca="false">[1]Base_Jugadores!G234</f>
        <v>32</v>
      </c>
      <c r="I234" s="7" t="n">
        <f aca="false" t="array" ref="I234:I234">_xlfn.XLOOKUP(G234,{55;56;57;58;59;60;61;62;63;64;65;66;67;68;69;70;71;72;73;74;75;76;77;78;79;80;81;82;83;84;85;86;87;88;89;90;91;92;93;94;95;96;97;98;99},{100000;130000;160000;190000;220000;250000;300000;350000;400000;450000;500000;600000;700000;800000;900000;1000000;1500000;2000000;3000000;4000000;5000000;6500000;8000000;10000000;12500000;15000000;20000000;25000000;30000000;35000000;40000000;55000000;70000000;80000000;90000000;110000000;130000000;160000000;190000000;220000000;250000000;280000000;310000000;340000000;400000000})</f>
        <v>12500000</v>
      </c>
      <c r="J234" s="7" t="n">
        <f aca="false">I234*S234*T234*U234</f>
        <v>11400000</v>
      </c>
      <c r="K234" s="3"/>
      <c r="L234" s="3"/>
      <c r="M234" s="3"/>
      <c r="N234" s="9" t="n">
        <v>0</v>
      </c>
      <c r="O234" s="4" t="n">
        <v>0</v>
      </c>
      <c r="P234" s="5" t="n">
        <f aca="false">IF(COUNTIF([1]Base_Jugadores!J$2:J$500,B234)&gt;0,1,0)</f>
        <v>0</v>
      </c>
      <c r="Q234" s="10" t="b">
        <f aca="false">--(COUNTIFS(
   [1]Fichajes_Realizados!A$2:A$5000,A234,
   [1]Fichajes_Realizados!G$2:G$5000,$X$3
)&gt;0)</f>
        <v>0</v>
      </c>
      <c r="R234" s="5" t="n">
        <f aca="false">_xlfn.XLOOKUP(C234, [1]Estado_Equipos!A$2:A$500, [1]Estado_Equipos!J$2:J$500, "")</f>
        <v>76</v>
      </c>
      <c r="S234" s="5" t="n">
        <f aca="false">IF(H234&lt;=16,1.45,
IF(H234&gt;=41,0.3,
CHOOSE(ROUNDDOWN((H234-16)/2,0)+1,
1.45,1.38,1.3,1.23,1.17,1.15,1.12,1.05,0.95,0.8,0.6,0.4,0.3)))</f>
        <v>0.95</v>
      </c>
      <c r="T234" s="5" t="n">
        <f aca="false">CHOOSE(N234+1,1.2,1,0.85,0.7)</f>
        <v>1.2</v>
      </c>
      <c r="U234" s="5" t="n">
        <f aca="false">IF(F234="PO",0.6,
IF(F234="CT",0.75,
IF(F234="LI",0.8,
IF(F234="LD",0.8,
IF(F234="MCD",0.85,
IF(F234="MC",0.95,
IF(F234="MO",1.05,
IF(F234="EI",1.1,
IF(F234="ED",1.1,
IF(F234="SD",1.15,
IF(F234="DC",1.2,0)))))))))))</f>
        <v>0.8</v>
      </c>
    </row>
    <row r="235" customFormat="false" ht="16.4" hidden="false" customHeight="false" outlineLevel="0" collapsed="false">
      <c r="A235" s="1" t="n">
        <v>234</v>
      </c>
      <c r="B235" s="5" t="str">
        <f aca="false">[1]Base_Jugadores!B235</f>
        <v>Arnau Martínez</v>
      </c>
      <c r="C235" s="5" t="str">
        <f aca="false">IFERROR(
   _xlfn.XLOOKUP(VALUE(A235),[1]Fichajes_Realizados!A$2:A$50000,[1]Fichajes_Realizados!D$2:D$50000,,0,-1),
   _xlfn.XLOOKUP(VALUE(A235),[1]Base_Jugadores!A$2:A$50000,[1]Base_Jugadores!C$2:C$50000)
)</f>
        <v>Girona FC</v>
      </c>
      <c r="D235" s="5" t="str">
        <f aca="false">[1]Base_Jugadores!D235</f>
        <v>España</v>
      </c>
      <c r="E235" s="3"/>
      <c r="F235" s="5" t="str">
        <f aca="false">[1]Base_Jugadores!E235</f>
        <v>LD</v>
      </c>
      <c r="G235" s="5" t="n">
        <f aca="false">[1]Base_Jugadores!F235</f>
        <v>79</v>
      </c>
      <c r="H235" s="5" t="n">
        <f aca="false">[1]Base_Jugadores!G235</f>
        <v>22</v>
      </c>
      <c r="I235" s="7" t="n">
        <f aca="false" t="array" ref="I235:I235">_xlfn.XLOOKUP(G235,{55;56;57;58;59;60;61;62;63;64;65;66;67;68;69;70;71;72;73;74;75;76;77;78;79;80;81;82;83;84;85;86;87;88;89;90;91;92;93;94;95;96;97;98;99},{100000;130000;160000;190000;220000;250000;300000;350000;400000;450000;500000;600000;700000;800000;900000;1000000;1500000;2000000;3000000;4000000;5000000;6500000;8000000;10000000;12500000;15000000;20000000;25000000;30000000;35000000;40000000;55000000;70000000;80000000;90000000;110000000;130000000;160000000;190000000;220000000;250000000;280000000;310000000;340000000;400000000})</f>
        <v>12500000</v>
      </c>
      <c r="J235" s="7" t="n">
        <f aca="false">I235*S235*T235*U235</f>
        <v>14760000</v>
      </c>
      <c r="K235" s="3"/>
      <c r="L235" s="3"/>
      <c r="M235" s="3"/>
      <c r="N235" s="9" t="n">
        <v>0</v>
      </c>
      <c r="O235" s="4" t="n">
        <v>0</v>
      </c>
      <c r="P235" s="5" t="n">
        <f aca="false">IF(COUNTIF([1]Base_Jugadores!J$2:J$500,B235)&gt;0,1,0)</f>
        <v>0</v>
      </c>
      <c r="Q235" s="10" t="b">
        <f aca="false">--(COUNTIFS(
   [1]Fichajes_Realizados!A$2:A$5000,A235,
   [1]Fichajes_Realizados!G$2:G$5000,$X$3
)&gt;0)</f>
        <v>0</v>
      </c>
      <c r="R235" s="5" t="n">
        <f aca="false">_xlfn.XLOOKUP(C235, [1]Estado_Equipos!A$2:A$500, [1]Estado_Equipos!J$2:J$500, "")</f>
        <v>76</v>
      </c>
      <c r="S235" s="5" t="n">
        <f aca="false">IF(H235&lt;=16,1.45,
IF(H235&gt;=41,0.3,
CHOOSE(ROUNDDOWN((H235-16)/2,0)+1,
1.45,1.38,1.3,1.23,1.17,1.15,1.12,1.05,0.95,0.8,0.6,0.4,0.3)))</f>
        <v>1.23</v>
      </c>
      <c r="T235" s="5" t="n">
        <f aca="false">CHOOSE(N235+1,1.2,1,0.85,0.7)</f>
        <v>1.2</v>
      </c>
      <c r="U235" s="5" t="n">
        <f aca="false">IF(F235="PO",0.6,
IF(F235="CT",0.75,
IF(F235="LI",0.8,
IF(F235="LD",0.8,
IF(F235="MCD",0.85,
IF(F235="MC",0.95,
IF(F235="MO",1.05,
IF(F235="EI",1.1,
IF(F235="ED",1.1,
IF(F235="SD",1.15,
IF(F235="DC",1.2,0)))))))))))</f>
        <v>0.8</v>
      </c>
    </row>
    <row r="236" customFormat="false" ht="16.4" hidden="false" customHeight="false" outlineLevel="0" collapsed="false">
      <c r="A236" s="1" t="n">
        <v>235</v>
      </c>
      <c r="B236" s="5" t="str">
        <f aca="false">[1]Base_Jugadores!B236</f>
        <v>Axel Witsel</v>
      </c>
      <c r="C236" s="5" t="str">
        <f aca="false">IFERROR(
   _xlfn.XLOOKUP(VALUE(A236),[1]Fichajes_Realizados!A$2:A$50000,[1]Fichajes_Realizados!D$2:D$50000,,0,-1),
   _xlfn.XLOOKUP(VALUE(A236),[1]Base_Jugadores!A$2:A$50000,[1]Base_Jugadores!C$2:C$50000)
)</f>
        <v>Girona FC</v>
      </c>
      <c r="D236" s="5" t="str">
        <f aca="false">[1]Base_Jugadores!D236</f>
        <v>Bélgica</v>
      </c>
      <c r="E236" s="3"/>
      <c r="F236" s="5" t="str">
        <f aca="false">[1]Base_Jugadores!E236</f>
        <v>MCD</v>
      </c>
      <c r="G236" s="5" t="n">
        <f aca="false">[1]Base_Jugadores!F236</f>
        <v>83</v>
      </c>
      <c r="H236" s="5" t="n">
        <f aca="false">[1]Base_Jugadores!G236</f>
        <v>36</v>
      </c>
      <c r="I236" s="7" t="n">
        <f aca="false" t="array" ref="I236:I236">_xlfn.XLOOKUP(G236,{55;56;57;58;59;60;61;62;63;64;65;66;67;68;69;70;71;72;73;74;75;76;77;78;79;80;81;82;83;84;85;86;87;88;89;90;91;92;93;94;95;96;97;98;99},{100000;130000;160000;190000;220000;250000;300000;350000;400000;450000;500000;600000;700000;800000;900000;1000000;1500000;2000000;3000000;4000000;5000000;6500000;8000000;10000000;12500000;15000000;20000000;25000000;30000000;35000000;40000000;55000000;70000000;80000000;90000000;110000000;130000000;160000000;190000000;220000000;250000000;280000000;310000000;340000000;400000000})</f>
        <v>30000000</v>
      </c>
      <c r="J236" s="7" t="n">
        <f aca="false">I236*S236*T236*U236</f>
        <v>18360000</v>
      </c>
      <c r="K236" s="3"/>
      <c r="L236" s="3"/>
      <c r="M236" s="3"/>
      <c r="N236" s="9" t="n">
        <v>0</v>
      </c>
      <c r="O236" s="4" t="n">
        <v>0</v>
      </c>
      <c r="P236" s="5" t="n">
        <f aca="false">IF(COUNTIF([1]Base_Jugadores!J$2:J$500,B236)&gt;0,1,0)</f>
        <v>0</v>
      </c>
      <c r="Q236" s="10" t="b">
        <f aca="false">--(COUNTIFS(
   [1]Fichajes_Realizados!A$2:A$5000,A236,
   [1]Fichajes_Realizados!G$2:G$5000,$X$3
)&gt;0)</f>
        <v>0</v>
      </c>
      <c r="R236" s="5" t="n">
        <f aca="false">_xlfn.XLOOKUP(C236, [1]Estado_Equipos!A$2:A$500, [1]Estado_Equipos!J$2:J$500, "")</f>
        <v>76</v>
      </c>
      <c r="S236" s="5" t="n">
        <f aca="false">IF(H236&lt;=16,1.45,
IF(H236&gt;=41,0.3,
CHOOSE(ROUNDDOWN((H236-16)/2,0)+1,
1.45,1.38,1.3,1.23,1.17,1.15,1.12,1.05,0.95,0.8,0.6,0.4,0.3)))</f>
        <v>0.6</v>
      </c>
      <c r="T236" s="5" t="n">
        <f aca="false">CHOOSE(N236+1,1.2,1,0.85,0.7)</f>
        <v>1.2</v>
      </c>
      <c r="U236" s="5" t="n">
        <f aca="false">IF(F236="PO",0.6,
IF(F236="CT",0.75,
IF(F236="LI",0.8,
IF(F236="LD",0.8,
IF(F236="MCD",0.85,
IF(F236="MC",0.95,
IF(F236="MO",1.05,
IF(F236="EI",1.1,
IF(F236="ED",1.1,
IF(F236="SD",1.15,
IF(F236="DC",1.2,0)))))))))))</f>
        <v>0.85</v>
      </c>
    </row>
    <row r="237" customFormat="false" ht="16.4" hidden="false" customHeight="false" outlineLevel="0" collapsed="false">
      <c r="A237" s="1" t="n">
        <v>236</v>
      </c>
      <c r="B237" s="5" t="str">
        <f aca="false">[1]Base_Jugadores!B237</f>
        <v>Azzedine Ounahi</v>
      </c>
      <c r="C237" s="5" t="str">
        <f aca="false">IFERROR(
   _xlfn.XLOOKUP(VALUE(A237),[1]Fichajes_Realizados!A$2:A$50000,[1]Fichajes_Realizados!D$2:D$50000,,0,-1),
   _xlfn.XLOOKUP(VALUE(A237),[1]Base_Jugadores!A$2:A$50000,[1]Base_Jugadores!C$2:C$50000)
)</f>
        <v>Girona FC</v>
      </c>
      <c r="D237" s="5" t="str">
        <f aca="false">[1]Base_Jugadores!D237</f>
        <v>Marruecos</v>
      </c>
      <c r="E237" s="3"/>
      <c r="F237" s="5" t="str">
        <f aca="false">[1]Base_Jugadores!E237</f>
        <v>MC</v>
      </c>
      <c r="G237" s="5" t="n">
        <f aca="false">[1]Base_Jugadores!F237</f>
        <v>75</v>
      </c>
      <c r="H237" s="5" t="n">
        <f aca="false">[1]Base_Jugadores!G237</f>
        <v>25</v>
      </c>
      <c r="I237" s="7" t="n">
        <f aca="false" t="array" ref="I237:I237">_xlfn.XLOOKUP(G237,{55;56;57;58;59;60;61;62;63;64;65;66;67;68;69;70;71;72;73;74;75;76;77;78;79;80;81;82;83;84;85;86;87;88;89;90;91;92;93;94;95;96;97;98;99},{100000;130000;160000;190000;220000;250000;300000;350000;400000;450000;500000;600000;700000;800000;900000;1000000;1500000;2000000;3000000;4000000;5000000;6500000;8000000;10000000;12500000;15000000;20000000;25000000;30000000;35000000;40000000;55000000;70000000;80000000;90000000;110000000;130000000;160000000;190000000;220000000;250000000;280000000;310000000;340000000;400000000})</f>
        <v>5000000</v>
      </c>
      <c r="J237" s="7" t="n">
        <f aca="false">I237*S237*T237*U237</f>
        <v>5557500</v>
      </c>
      <c r="K237" s="3"/>
      <c r="L237" s="3"/>
      <c r="M237" s="3"/>
      <c r="N237" s="9" t="n">
        <v>1</v>
      </c>
      <c r="O237" s="4" t="n">
        <v>0</v>
      </c>
      <c r="P237" s="5" t="n">
        <f aca="false">IF(COUNTIF([1]Base_Jugadores!J$2:J$500,B237)&gt;0,1,0)</f>
        <v>0</v>
      </c>
      <c r="Q237" s="10" t="b">
        <f aca="false">--(COUNTIFS(
   [1]Fichajes_Realizados!A$2:A$5000,A237,
   [1]Fichajes_Realizados!G$2:G$5000,$X$3
)&gt;0)</f>
        <v>0</v>
      </c>
      <c r="R237" s="5" t="n">
        <f aca="false">_xlfn.XLOOKUP(C237, [1]Estado_Equipos!A$2:A$500, [1]Estado_Equipos!J$2:J$500, "")</f>
        <v>76</v>
      </c>
      <c r="S237" s="5" t="n">
        <f aca="false">IF(H237&lt;=16,1.45,
IF(H237&gt;=41,0.3,
CHOOSE(ROUNDDOWN((H237-16)/2,0)+1,
1.45,1.38,1.3,1.23,1.17,1.15,1.12,1.05,0.95,0.8,0.6,0.4,0.3)))</f>
        <v>1.17</v>
      </c>
      <c r="T237" s="5" t="n">
        <f aca="false">CHOOSE(N237+1,1.2,1,0.85,0.7)</f>
        <v>1</v>
      </c>
      <c r="U237" s="5" t="n">
        <f aca="false">IF(F237="PO",0.6,
IF(F237="CT",0.75,
IF(F237="LI",0.8,
IF(F237="LD",0.8,
IF(F237="MCD",0.85,
IF(F237="MC",0.95,
IF(F237="MO",1.05,
IF(F237="EI",1.1,
IF(F237="ED",1.1,
IF(F237="SD",1.15,
IF(F237="DC",1.2,0)))))))))))</f>
        <v>0.95</v>
      </c>
    </row>
    <row r="238" customFormat="false" ht="16.4" hidden="false" customHeight="false" outlineLevel="0" collapsed="false">
      <c r="A238" s="1" t="n">
        <v>237</v>
      </c>
      <c r="B238" s="5" t="str">
        <f aca="false">[1]Base_Jugadores!B238</f>
        <v>Bryan Gil</v>
      </c>
      <c r="C238" s="5" t="str">
        <f aca="false">IFERROR(
   _xlfn.XLOOKUP(VALUE(A238),[1]Fichajes_Realizados!A$2:A$50000,[1]Fichajes_Realizados!D$2:D$50000,,0,-1),
   _xlfn.XLOOKUP(VALUE(A238),[1]Base_Jugadores!A$2:A$50000,[1]Base_Jugadores!C$2:C$50000)
)</f>
        <v>Girona FC</v>
      </c>
      <c r="D238" s="5" t="str">
        <f aca="false">[1]Base_Jugadores!D238</f>
        <v>España</v>
      </c>
      <c r="E238" s="3"/>
      <c r="F238" s="5" t="str">
        <f aca="false">[1]Base_Jugadores!E238</f>
        <v>EI</v>
      </c>
      <c r="G238" s="5" t="n">
        <f aca="false">[1]Base_Jugadores!F238</f>
        <v>77</v>
      </c>
      <c r="H238" s="5" t="n">
        <f aca="false">[1]Base_Jugadores!G238</f>
        <v>24</v>
      </c>
      <c r="I238" s="7" t="n">
        <f aca="false" t="array" ref="I238:I238">_xlfn.XLOOKUP(G238,{55;56;57;58;59;60;61;62;63;64;65;66;67;68;69;70;71;72;73;74;75;76;77;78;79;80;81;82;83;84;85;86;87;88;89;90;91;92;93;94;95;96;97;98;99},{100000;130000;160000;190000;220000;250000;300000;350000;400000;450000;500000;600000;700000;800000;900000;1000000;1500000;2000000;3000000;4000000;5000000;6500000;8000000;10000000;12500000;15000000;20000000;25000000;30000000;35000000;40000000;55000000;70000000;80000000;90000000;110000000;130000000;160000000;190000000;220000000;250000000;280000000;310000000;340000000;400000000})</f>
        <v>8000000</v>
      </c>
      <c r="J238" s="7" t="n">
        <f aca="false">I238*S238*T238*U238</f>
        <v>12355200</v>
      </c>
      <c r="K238" s="3"/>
      <c r="L238" s="3"/>
      <c r="M238" s="3"/>
      <c r="N238" s="9" t="n">
        <v>0</v>
      </c>
      <c r="O238" s="4" t="n">
        <v>0</v>
      </c>
      <c r="P238" s="5" t="n">
        <f aca="false">IF(COUNTIF([1]Base_Jugadores!J$2:J$500,B238)&gt;0,1,0)</f>
        <v>0</v>
      </c>
      <c r="Q238" s="10" t="b">
        <f aca="false">--(COUNTIFS(
   [1]Fichajes_Realizados!A$2:A$5000,A238,
   [1]Fichajes_Realizados!G$2:G$5000,$X$3
)&gt;0)</f>
        <v>0</v>
      </c>
      <c r="R238" s="5" t="n">
        <f aca="false">_xlfn.XLOOKUP(C238, [1]Estado_Equipos!A$2:A$500, [1]Estado_Equipos!J$2:J$500, "")</f>
        <v>76</v>
      </c>
      <c r="S238" s="5" t="n">
        <f aca="false">IF(H238&lt;=16,1.45,
IF(H238&gt;=41,0.3,
CHOOSE(ROUNDDOWN((H238-16)/2,0)+1,
1.45,1.38,1.3,1.23,1.17,1.15,1.12,1.05,0.95,0.8,0.6,0.4,0.3)))</f>
        <v>1.17</v>
      </c>
      <c r="T238" s="5" t="n">
        <f aca="false">CHOOSE(N238+1,1.2,1,0.85,0.7)</f>
        <v>1.2</v>
      </c>
      <c r="U238" s="5" t="n">
        <f aca="false">IF(F238="PO",0.6,
IF(F238="CT",0.75,
IF(F238="LI",0.8,
IF(F238="LD",0.8,
IF(F238="MCD",0.85,
IF(F238="MC",0.95,
IF(F238="MO",1.05,
IF(F238="EI",1.1,
IF(F238="ED",1.1,
IF(F238="SD",1.15,
IF(F238="DC",1.2,0)))))))))))</f>
        <v>1.1</v>
      </c>
    </row>
    <row r="239" customFormat="false" ht="16.4" hidden="false" customHeight="false" outlineLevel="0" collapsed="false">
      <c r="A239" s="1" t="n">
        <v>238</v>
      </c>
      <c r="B239" s="5" t="str">
        <f aca="false">[1]Base_Jugadores!B239</f>
        <v>Cristhian Stuani</v>
      </c>
      <c r="C239" s="5" t="str">
        <f aca="false">IFERROR(
   _xlfn.XLOOKUP(VALUE(A239),[1]Fichajes_Realizados!A$2:A$50000,[1]Fichajes_Realizados!D$2:D$50000,,0,-1),
   _xlfn.XLOOKUP(VALUE(A239),[1]Base_Jugadores!A$2:A$50000,[1]Base_Jugadores!C$2:C$50000)
)</f>
        <v>Girona FC</v>
      </c>
      <c r="D239" s="5" t="str">
        <f aca="false">[1]Base_Jugadores!D239</f>
        <v>Uruguay</v>
      </c>
      <c r="E239" s="3"/>
      <c r="F239" s="5" t="str">
        <f aca="false">[1]Base_Jugadores!E239</f>
        <v>DC</v>
      </c>
      <c r="G239" s="5" t="n">
        <f aca="false">[1]Base_Jugadores!F239</f>
        <v>77</v>
      </c>
      <c r="H239" s="5" t="n">
        <f aca="false">[1]Base_Jugadores!G239</f>
        <v>39</v>
      </c>
      <c r="I239" s="7" t="n">
        <f aca="false" t="array" ref="I239:I239">_xlfn.XLOOKUP(G239,{55;56;57;58;59;60;61;62;63;64;65;66;67;68;69;70;71;72;73;74;75;76;77;78;79;80;81;82;83;84;85;86;87;88;89;90;91;92;93;94;95;96;97;98;99},{100000;130000;160000;190000;220000;250000;300000;350000;400000;450000;500000;600000;700000;800000;900000;1000000;1500000;2000000;3000000;4000000;5000000;6500000;8000000;10000000;12500000;15000000;20000000;25000000;30000000;35000000;40000000;55000000;70000000;80000000;90000000;110000000;130000000;160000000;190000000;220000000;250000000;280000000;310000000;340000000;400000000})</f>
        <v>8000000</v>
      </c>
      <c r="J239" s="7" t="n">
        <f aca="false">I239*S239*T239*U239</f>
        <v>3840000</v>
      </c>
      <c r="K239" s="3"/>
      <c r="L239" s="3"/>
      <c r="M239" s="3"/>
      <c r="N239" s="9" t="n">
        <v>1</v>
      </c>
      <c r="O239" s="4" t="n">
        <v>0</v>
      </c>
      <c r="P239" s="5" t="n">
        <f aca="false">IF(COUNTIF([1]Base_Jugadores!J$2:J$500,B239)&gt;0,1,0)</f>
        <v>0</v>
      </c>
      <c r="Q239" s="10" t="b">
        <f aca="false">--(COUNTIFS(
   [1]Fichajes_Realizados!A$2:A$5000,A239,
   [1]Fichajes_Realizados!G$2:G$5000,$X$3
)&gt;0)</f>
        <v>0</v>
      </c>
      <c r="R239" s="5" t="n">
        <f aca="false">_xlfn.XLOOKUP(C239, [1]Estado_Equipos!A$2:A$500, [1]Estado_Equipos!J$2:J$500, "")</f>
        <v>76</v>
      </c>
      <c r="S239" s="5" t="n">
        <f aca="false">IF(H239&lt;=16,1.45,
IF(H239&gt;=41,0.3,
CHOOSE(ROUNDDOWN((H239-16)/2,0)+1,
1.45,1.38,1.3,1.23,1.17,1.15,1.12,1.05,0.95,0.8,0.6,0.4,0.3)))</f>
        <v>0.4</v>
      </c>
      <c r="T239" s="5" t="n">
        <f aca="false">CHOOSE(N239+1,1.2,1,0.85,0.7)</f>
        <v>1</v>
      </c>
      <c r="U239" s="5" t="n">
        <f aca="false">IF(F239="PO",0.6,
IF(F239="CT",0.75,
IF(F239="LI",0.8,
IF(F239="LD",0.8,
IF(F239="MCD",0.85,
IF(F239="MC",0.95,
IF(F239="MO",1.05,
IF(F239="EI",1.1,
IF(F239="ED",1.1,
IF(F239="SD",1.15,
IF(F239="DC",1.2,0)))))))))))</f>
        <v>1.2</v>
      </c>
    </row>
    <row r="240" customFormat="false" ht="16.4" hidden="false" customHeight="false" outlineLevel="0" collapsed="false">
      <c r="A240" s="1" t="n">
        <v>239</v>
      </c>
      <c r="B240" s="5" t="str">
        <f aca="false">[1]Base_Jugadores!B240</f>
        <v>D. van de Beek</v>
      </c>
      <c r="C240" s="5" t="str">
        <f aca="false">IFERROR(
   _xlfn.XLOOKUP(VALUE(A240),[1]Fichajes_Realizados!A$2:A$50000,[1]Fichajes_Realizados!D$2:D$50000,,0,-1),
   _xlfn.XLOOKUP(VALUE(A240),[1]Base_Jugadores!A$2:A$50000,[1]Base_Jugadores!C$2:C$50000)
)</f>
        <v>Girona FC</v>
      </c>
      <c r="D240" s="5" t="str">
        <f aca="false">[1]Base_Jugadores!D240</f>
        <v>Países Bajos</v>
      </c>
      <c r="E240" s="3"/>
      <c r="F240" s="5" t="str">
        <f aca="false">[1]Base_Jugadores!E240</f>
        <v>MC</v>
      </c>
      <c r="G240" s="5" t="n">
        <f aca="false">[1]Base_Jugadores!F240</f>
        <v>75</v>
      </c>
      <c r="H240" s="5" t="n">
        <f aca="false">[1]Base_Jugadores!G240</f>
        <v>28</v>
      </c>
      <c r="I240" s="7" t="n">
        <f aca="false" t="array" ref="I240:I240">_xlfn.XLOOKUP(G240,{55;56;57;58;59;60;61;62;63;64;65;66;67;68;69;70;71;72;73;74;75;76;77;78;79;80;81;82;83;84;85;86;87;88;89;90;91;92;93;94;95;96;97;98;99},{100000;130000;160000;190000;220000;250000;300000;350000;400000;450000;500000;600000;700000;800000;900000;1000000;1500000;2000000;3000000;4000000;5000000;6500000;8000000;10000000;12500000;15000000;20000000;25000000;30000000;35000000;40000000;55000000;70000000;80000000;90000000;110000000;130000000;160000000;190000000;220000000;250000000;280000000;310000000;340000000;400000000})</f>
        <v>5000000</v>
      </c>
      <c r="J240" s="7" t="n">
        <f aca="false">I240*S240*T240*U240</f>
        <v>6384000</v>
      </c>
      <c r="K240" s="3"/>
      <c r="L240" s="3"/>
      <c r="M240" s="3"/>
      <c r="N240" s="9" t="n">
        <v>0</v>
      </c>
      <c r="O240" s="4" t="n">
        <v>0</v>
      </c>
      <c r="P240" s="5" t="n">
        <f aca="false">IF(COUNTIF([1]Base_Jugadores!J$2:J$500,B240)&gt;0,1,0)</f>
        <v>0</v>
      </c>
      <c r="Q240" s="10" t="b">
        <f aca="false">--(COUNTIFS(
   [1]Fichajes_Realizados!A$2:A$5000,A240,
   [1]Fichajes_Realizados!G$2:G$5000,$X$3
)&gt;0)</f>
        <v>0</v>
      </c>
      <c r="R240" s="5" t="n">
        <f aca="false">_xlfn.XLOOKUP(C240, [1]Estado_Equipos!A$2:A$500, [1]Estado_Equipos!J$2:J$500, "")</f>
        <v>76</v>
      </c>
      <c r="S240" s="5" t="n">
        <f aca="false">IF(H240&lt;=16,1.45,
IF(H240&gt;=41,0.3,
CHOOSE(ROUNDDOWN((H240-16)/2,0)+1,
1.45,1.38,1.3,1.23,1.17,1.15,1.12,1.05,0.95,0.8,0.6,0.4,0.3)))</f>
        <v>1.12</v>
      </c>
      <c r="T240" s="5" t="n">
        <f aca="false">CHOOSE(N240+1,1.2,1,0.85,0.7)</f>
        <v>1.2</v>
      </c>
      <c r="U240" s="5" t="n">
        <f aca="false">IF(F240="PO",0.6,
IF(F240="CT",0.75,
IF(F240="LI",0.8,
IF(F240="LD",0.8,
IF(F240="MCD",0.85,
IF(F240="MC",0.95,
IF(F240="MO",1.05,
IF(F240="EI",1.1,
IF(F240="ED",1.1,
IF(F240="SD",1.15,
IF(F240="DC",1.2,0)))))))))))</f>
        <v>0.95</v>
      </c>
    </row>
    <row r="241" customFormat="false" ht="16.4" hidden="false" customHeight="false" outlineLevel="0" collapsed="false">
      <c r="A241" s="1" t="n">
        <v>240</v>
      </c>
      <c r="B241" s="5" t="str">
        <f aca="false">[1]Base_Jugadores!B241</f>
        <v>Daley Blind</v>
      </c>
      <c r="C241" s="5" t="str">
        <f aca="false">IFERROR(
   _xlfn.XLOOKUP(VALUE(A241),[1]Fichajes_Realizados!A$2:A$50000,[1]Fichajes_Realizados!D$2:D$50000,,0,-1),
   _xlfn.XLOOKUP(VALUE(A241),[1]Base_Jugadores!A$2:A$50000,[1]Base_Jugadores!C$2:C$50000)
)</f>
        <v>Girona FC</v>
      </c>
      <c r="D241" s="5" t="str">
        <f aca="false">[1]Base_Jugadores!D241</f>
        <v>Países Bajos</v>
      </c>
      <c r="E241" s="3"/>
      <c r="F241" s="5" t="str">
        <f aca="false">[1]Base_Jugadores!E241</f>
        <v>CT</v>
      </c>
      <c r="G241" s="5" t="n">
        <f aca="false">[1]Base_Jugadores!F241</f>
        <v>80</v>
      </c>
      <c r="H241" s="5" t="n">
        <f aca="false">[1]Base_Jugadores!G241</f>
        <v>35</v>
      </c>
      <c r="I241" s="7" t="n">
        <f aca="false" t="array" ref="I241:I241">_xlfn.XLOOKUP(G241,{55;56;57;58;59;60;61;62;63;64;65;66;67;68;69;70;71;72;73;74;75;76;77;78;79;80;81;82;83;84;85;86;87;88;89;90;91;92;93;94;95;96;97;98;99},{100000;130000;160000;190000;220000;250000;300000;350000;400000;450000;500000;600000;700000;800000;900000;1000000;1500000;2000000;3000000;4000000;5000000;6500000;8000000;10000000;12500000;15000000;20000000;25000000;30000000;35000000;40000000;55000000;70000000;80000000;90000000;110000000;130000000;160000000;190000000;220000000;250000000;280000000;310000000;340000000;400000000})</f>
        <v>15000000</v>
      </c>
      <c r="J241" s="7" t="n">
        <f aca="false">I241*S241*T241*U241</f>
        <v>10800000</v>
      </c>
      <c r="K241" s="3"/>
      <c r="L241" s="3"/>
      <c r="M241" s="3"/>
      <c r="N241" s="9" t="n">
        <v>0</v>
      </c>
      <c r="O241" s="4" t="n">
        <v>0</v>
      </c>
      <c r="P241" s="5" t="n">
        <f aca="false">IF(COUNTIF([1]Base_Jugadores!J$2:J$500,B241)&gt;0,1,0)</f>
        <v>0</v>
      </c>
      <c r="Q241" s="10" t="b">
        <f aca="false">--(COUNTIFS(
   [1]Fichajes_Realizados!A$2:A$5000,A241,
   [1]Fichajes_Realizados!G$2:G$5000,$X$3
)&gt;0)</f>
        <v>0</v>
      </c>
      <c r="R241" s="5" t="n">
        <f aca="false">_xlfn.XLOOKUP(C241, [1]Estado_Equipos!A$2:A$500, [1]Estado_Equipos!J$2:J$500, "")</f>
        <v>76</v>
      </c>
      <c r="S241" s="5" t="n">
        <f aca="false">IF(H241&lt;=16,1.45,
IF(H241&gt;=41,0.3,
CHOOSE(ROUNDDOWN((H241-16)/2,0)+1,
1.45,1.38,1.3,1.23,1.17,1.15,1.12,1.05,0.95,0.8,0.6,0.4,0.3)))</f>
        <v>0.8</v>
      </c>
      <c r="T241" s="5" t="n">
        <f aca="false">CHOOSE(N241+1,1.2,1,0.85,0.7)</f>
        <v>1.2</v>
      </c>
      <c r="U241" s="5" t="n">
        <f aca="false">IF(F241="PO",0.6,
IF(F241="CT",0.75,
IF(F241="LI",0.8,
IF(F241="LD",0.8,
IF(F241="MCD",0.85,
IF(F241="MC",0.95,
IF(F241="MO",1.05,
IF(F241="EI",1.1,
IF(F241="ED",1.1,
IF(F241="SD",1.15,
IF(F241="DC",1.2,0)))))))))))</f>
        <v>0.75</v>
      </c>
    </row>
    <row r="242" customFormat="false" ht="16.4" hidden="false" customHeight="false" outlineLevel="0" collapsed="false">
      <c r="A242" s="1" t="n">
        <v>241</v>
      </c>
      <c r="B242" s="5" t="str">
        <f aca="false">[1]Base_Jugadores!B242</f>
        <v>David López S.</v>
      </c>
      <c r="C242" s="5" t="str">
        <f aca="false">IFERROR(
   _xlfn.XLOOKUP(VALUE(A242),[1]Fichajes_Realizados!A$2:A$50000,[1]Fichajes_Realizados!D$2:D$50000,,0,-1),
   _xlfn.XLOOKUP(VALUE(A242),[1]Base_Jugadores!A$2:A$50000,[1]Base_Jugadores!C$2:C$50000)
)</f>
        <v>Girona FC</v>
      </c>
      <c r="D242" s="5" t="str">
        <f aca="false">[1]Base_Jugadores!D242</f>
        <v>España</v>
      </c>
      <c r="E242" s="3"/>
      <c r="F242" s="5" t="str">
        <f aca="false">[1]Base_Jugadores!E242</f>
        <v>CT</v>
      </c>
      <c r="G242" s="5" t="n">
        <f aca="false">[1]Base_Jugadores!F242</f>
        <v>80</v>
      </c>
      <c r="H242" s="5" t="n">
        <f aca="false">[1]Base_Jugadores!G242</f>
        <v>36</v>
      </c>
      <c r="I242" s="7" t="n">
        <f aca="false" t="array" ref="I242:I242">_xlfn.XLOOKUP(G242,{55;56;57;58;59;60;61;62;63;64;65;66;67;68;69;70;71;72;73;74;75;76;77;78;79;80;81;82;83;84;85;86;87;88;89;90;91;92;93;94;95;96;97;98;99},{100000;130000;160000;190000;220000;250000;300000;350000;400000;450000;500000;600000;700000;800000;900000;1000000;1500000;2000000;3000000;4000000;5000000;6500000;8000000;10000000;12500000;15000000;20000000;25000000;30000000;35000000;40000000;55000000;70000000;80000000;90000000;110000000;130000000;160000000;190000000;220000000;250000000;280000000;310000000;340000000;400000000})</f>
        <v>15000000</v>
      </c>
      <c r="J242" s="7" t="n">
        <f aca="false">I242*S242*T242*U242</f>
        <v>8100000</v>
      </c>
      <c r="K242" s="3"/>
      <c r="L242" s="3"/>
      <c r="M242" s="3"/>
      <c r="N242" s="9" t="n">
        <v>0</v>
      </c>
      <c r="O242" s="4" t="n">
        <v>0</v>
      </c>
      <c r="P242" s="5" t="n">
        <f aca="false">IF(COUNTIF([1]Base_Jugadores!J$2:J$500,B242)&gt;0,1,0)</f>
        <v>0</v>
      </c>
      <c r="Q242" s="10" t="b">
        <f aca="false">--(COUNTIFS(
   [1]Fichajes_Realizados!A$2:A$5000,A242,
   [1]Fichajes_Realizados!G$2:G$5000,$X$3
)&gt;0)</f>
        <v>0</v>
      </c>
      <c r="R242" s="5" t="n">
        <f aca="false">_xlfn.XLOOKUP(C242, [1]Estado_Equipos!A$2:A$500, [1]Estado_Equipos!J$2:J$500, "")</f>
        <v>76</v>
      </c>
      <c r="S242" s="5" t="n">
        <f aca="false">IF(H242&lt;=16,1.45,
IF(H242&gt;=41,0.3,
CHOOSE(ROUNDDOWN((H242-16)/2,0)+1,
1.45,1.38,1.3,1.23,1.17,1.15,1.12,1.05,0.95,0.8,0.6,0.4,0.3)))</f>
        <v>0.6</v>
      </c>
      <c r="T242" s="5" t="n">
        <f aca="false">CHOOSE(N242+1,1.2,1,0.85,0.7)</f>
        <v>1.2</v>
      </c>
      <c r="U242" s="5" t="n">
        <f aca="false">IF(F242="PO",0.6,
IF(F242="CT",0.75,
IF(F242="LI",0.8,
IF(F242="LD",0.8,
IF(F242="MCD",0.85,
IF(F242="MC",0.95,
IF(F242="MO",1.05,
IF(F242="EI",1.1,
IF(F242="ED",1.1,
IF(F242="SD",1.15,
IF(F242="DC",1.2,0)))))))))))</f>
        <v>0.75</v>
      </c>
    </row>
    <row r="243" customFormat="false" ht="16.4" hidden="false" customHeight="false" outlineLevel="0" collapsed="false">
      <c r="A243" s="1" t="n">
        <v>242</v>
      </c>
      <c r="B243" s="5" t="str">
        <f aca="false">[1]Base_Jugadores!B243</f>
        <v>Dominik Livakovic</v>
      </c>
      <c r="C243" s="5" t="str">
        <f aca="false">IFERROR(
   _xlfn.XLOOKUP(VALUE(A243),[1]Fichajes_Realizados!A$2:A$50000,[1]Fichajes_Realizados!D$2:D$50000,,0,-1),
   _xlfn.XLOOKUP(VALUE(A243),[1]Base_Jugadores!A$2:A$50000,[1]Base_Jugadores!C$2:C$50000)
)</f>
        <v>Girona FC</v>
      </c>
      <c r="D243" s="5" t="str">
        <f aca="false">[1]Base_Jugadores!D243</f>
        <v>Croacia</v>
      </c>
      <c r="E243" s="3"/>
      <c r="F243" s="5" t="str">
        <f aca="false">[1]Base_Jugadores!E243</f>
        <v>PO</v>
      </c>
      <c r="G243" s="5" t="n">
        <f aca="false">[1]Base_Jugadores!F243</f>
        <v>81</v>
      </c>
      <c r="H243" s="5" t="n">
        <f aca="false">[1]Base_Jugadores!G243</f>
        <v>30</v>
      </c>
      <c r="I243" s="7" t="n">
        <f aca="false" t="array" ref="I243:I243">_xlfn.XLOOKUP(G243,{55;56;57;58;59;60;61;62;63;64;65;66;67;68;69;70;71;72;73;74;75;76;77;78;79;80;81;82;83;84;85;86;87;88;89;90;91;92;93;94;95;96;97;98;99},{100000;130000;160000;190000;220000;250000;300000;350000;400000;450000;500000;600000;700000;800000;900000;1000000;1500000;2000000;3000000;4000000;5000000;6500000;8000000;10000000;12500000;15000000;20000000;25000000;30000000;35000000;40000000;55000000;70000000;80000000;90000000;110000000;130000000;160000000;190000000;220000000;250000000;280000000;310000000;340000000;400000000})</f>
        <v>20000000</v>
      </c>
      <c r="J243" s="7" t="n">
        <f aca="false">I243*S243*T243*U243</f>
        <v>10710000</v>
      </c>
      <c r="K243" s="3"/>
      <c r="L243" s="3"/>
      <c r="M243" s="3"/>
      <c r="N243" s="9" t="n">
        <v>2</v>
      </c>
      <c r="O243" s="4" t="n">
        <v>0</v>
      </c>
      <c r="P243" s="5" t="n">
        <f aca="false">IF(COUNTIF([1]Base_Jugadores!J$2:J$500,B243)&gt;0,1,0)</f>
        <v>0</v>
      </c>
      <c r="Q243" s="10" t="b">
        <f aca="false">--(COUNTIFS(
   [1]Fichajes_Realizados!A$2:A$5000,A243,
   [1]Fichajes_Realizados!G$2:G$5000,$X$3
)&gt;0)</f>
        <v>0</v>
      </c>
      <c r="R243" s="5" t="n">
        <f aca="false">_xlfn.XLOOKUP(C243, [1]Estado_Equipos!A$2:A$500, [1]Estado_Equipos!J$2:J$500, "")</f>
        <v>76</v>
      </c>
      <c r="S243" s="5" t="n">
        <f aca="false">IF(H243&lt;=16,1.45,
IF(H243&gt;=41,0.3,
CHOOSE(ROUNDDOWN((H243-16)/2,0)+1,
1.45,1.38,1.3,1.23,1.17,1.15,1.12,1.05,0.95,0.8,0.6,0.4,0.3)))</f>
        <v>1.05</v>
      </c>
      <c r="T243" s="5" t="n">
        <f aca="false">CHOOSE(N243+1,1.2,1,0.85,0.7)</f>
        <v>0.85</v>
      </c>
      <c r="U243" s="5" t="n">
        <f aca="false">IF(F243="PO",0.6,
IF(F243="CT",0.75,
IF(F243="LI",0.8,
IF(F243="LD",0.8,
IF(F243="MCD",0.85,
IF(F243="MC",0.95,
IF(F243="MO",1.05,
IF(F243="EI",1.1,
IF(F243="ED",1.1,
IF(F243="SD",1.15,
IF(F243="DC",1.2,0)))))))))))</f>
        <v>0.6</v>
      </c>
    </row>
    <row r="244" customFormat="false" ht="16.4" hidden="false" customHeight="false" outlineLevel="0" collapsed="false">
      <c r="A244" s="1" t="n">
        <v>243</v>
      </c>
      <c r="B244" s="5" t="str">
        <f aca="false">[1]Base_Jugadores!B244</f>
        <v>Hugo Rincón</v>
      </c>
      <c r="C244" s="5" t="str">
        <f aca="false">IFERROR(
   _xlfn.XLOOKUP(VALUE(A244),[1]Fichajes_Realizados!A$2:A$50000,[1]Fichajes_Realizados!D$2:D$50000,,0,-1),
   _xlfn.XLOOKUP(VALUE(A244),[1]Base_Jugadores!A$2:A$50000,[1]Base_Jugadores!C$2:C$50000)
)</f>
        <v>Girona FC</v>
      </c>
      <c r="D244" s="5" t="str">
        <f aca="false">[1]Base_Jugadores!D244</f>
        <v>España</v>
      </c>
      <c r="E244" s="3"/>
      <c r="F244" s="5" t="str">
        <f aca="false">[1]Base_Jugadores!E244</f>
        <v>LD</v>
      </c>
      <c r="G244" s="5" t="n">
        <f aca="false">[1]Base_Jugadores!F244</f>
        <v>69</v>
      </c>
      <c r="H244" s="5" t="n">
        <f aca="false">[1]Base_Jugadores!G244</f>
        <v>22</v>
      </c>
      <c r="I244" s="7" t="n">
        <f aca="false" t="array" ref="I244:I244">_xlfn.XLOOKUP(G244,{55;56;57;58;59;60;61;62;63;64;65;66;67;68;69;70;71;72;73;74;75;76;77;78;79;80;81;82;83;84;85;86;87;88;89;90;91;92;93;94;95;96;97;98;99},{100000;130000;160000;190000;220000;250000;300000;350000;400000;450000;500000;600000;700000;800000;900000;1000000;1500000;2000000;3000000;4000000;5000000;6500000;8000000;10000000;12500000;15000000;20000000;25000000;30000000;35000000;40000000;55000000;70000000;80000000;90000000;110000000;130000000;160000000;190000000;220000000;250000000;280000000;310000000;340000000;400000000})</f>
        <v>900000</v>
      </c>
      <c r="J244" s="7" t="n">
        <f aca="false">I244*S244*T244*U244</f>
        <v>752760</v>
      </c>
      <c r="K244" s="3"/>
      <c r="L244" s="3"/>
      <c r="M244" s="3"/>
      <c r="N244" s="9" t="n">
        <v>2</v>
      </c>
      <c r="O244" s="4" t="n">
        <v>0</v>
      </c>
      <c r="P244" s="5" t="n">
        <f aca="false">IF(COUNTIF([1]Base_Jugadores!J$2:J$500,B244)&gt;0,1,0)</f>
        <v>1</v>
      </c>
      <c r="Q244" s="10" t="b">
        <f aca="false">--(COUNTIFS(
   [1]Fichajes_Realizados!A$2:A$5000,A244,
   [1]Fichajes_Realizados!G$2:G$5000,$X$3
)&gt;0)</f>
        <v>0</v>
      </c>
      <c r="R244" s="5" t="n">
        <f aca="false">_xlfn.XLOOKUP(C244, [1]Estado_Equipos!A$2:A$500, [1]Estado_Equipos!J$2:J$500, "")</f>
        <v>76</v>
      </c>
      <c r="S244" s="5" t="n">
        <f aca="false">IF(H244&lt;=16,1.45,
IF(H244&gt;=41,0.3,
CHOOSE(ROUNDDOWN((H244-16)/2,0)+1,
1.45,1.38,1.3,1.23,1.17,1.15,1.12,1.05,0.95,0.8,0.6,0.4,0.3)))</f>
        <v>1.23</v>
      </c>
      <c r="T244" s="5" t="n">
        <f aca="false">CHOOSE(N244+1,1.2,1,0.85,0.7)</f>
        <v>0.85</v>
      </c>
      <c r="U244" s="5" t="n">
        <f aca="false">IF(F244="PO",0.6,
IF(F244="CT",0.75,
IF(F244="LI",0.8,
IF(F244="LD",0.8,
IF(F244="MCD",0.85,
IF(F244="MC",0.95,
IF(F244="MO",1.05,
IF(F244="EI",1.1,
IF(F244="ED",1.1,
IF(F244="SD",1.15,
IF(F244="DC",1.2,0)))))))))))</f>
        <v>0.8</v>
      </c>
    </row>
    <row r="245" customFormat="false" ht="16.4" hidden="false" customHeight="false" outlineLevel="0" collapsed="false">
      <c r="A245" s="1" t="n">
        <v>244</v>
      </c>
      <c r="B245" s="5" t="str">
        <f aca="false">[1]Base_Jugadores!B245</f>
        <v>Iván Martín</v>
      </c>
      <c r="C245" s="5" t="str">
        <f aca="false">IFERROR(
   _xlfn.XLOOKUP(VALUE(A245),[1]Fichajes_Realizados!A$2:A$50000,[1]Fichajes_Realizados!D$2:D$50000,,0,-1),
   _xlfn.XLOOKUP(VALUE(A245),[1]Base_Jugadores!A$2:A$50000,[1]Base_Jugadores!C$2:C$50000)
)</f>
        <v>Girona FC</v>
      </c>
      <c r="D245" s="5" t="str">
        <f aca="false">[1]Base_Jugadores!D245</f>
        <v>España</v>
      </c>
      <c r="E245" s="3"/>
      <c r="F245" s="5" t="str">
        <f aca="false">[1]Base_Jugadores!E245</f>
        <v>MO</v>
      </c>
      <c r="G245" s="5" t="n">
        <f aca="false">[1]Base_Jugadores!F245</f>
        <v>80</v>
      </c>
      <c r="H245" s="5" t="n">
        <f aca="false">[1]Base_Jugadores!G245</f>
        <v>26</v>
      </c>
      <c r="I245" s="7" t="n">
        <f aca="false" t="array" ref="I245:I245">_xlfn.XLOOKUP(G245,{55;56;57;58;59;60;61;62;63;64;65;66;67;68;69;70;71;72;73;74;75;76;77;78;79;80;81;82;83;84;85;86;87;88;89;90;91;92;93;94;95;96;97;98;99},{100000;130000;160000;190000;220000;250000;300000;350000;400000;450000;500000;600000;700000;800000;900000;1000000;1500000;2000000;3000000;4000000;5000000;6500000;8000000;10000000;12500000;15000000;20000000;25000000;30000000;35000000;40000000;55000000;70000000;80000000;90000000;110000000;130000000;160000000;190000000;220000000;250000000;280000000;310000000;340000000;400000000})</f>
        <v>15000000</v>
      </c>
      <c r="J245" s="7" t="n">
        <f aca="false">I245*S245*T245*U245</f>
        <v>21735000</v>
      </c>
      <c r="K245" s="3"/>
      <c r="L245" s="3"/>
      <c r="M245" s="3"/>
      <c r="N245" s="9" t="n">
        <v>0</v>
      </c>
      <c r="O245" s="4" t="n">
        <v>0</v>
      </c>
      <c r="P245" s="5" t="n">
        <f aca="false">IF(COUNTIF([1]Base_Jugadores!J$2:J$500,B245)&gt;0,1,0)</f>
        <v>1</v>
      </c>
      <c r="Q245" s="10" t="b">
        <f aca="false">--(COUNTIFS(
   [1]Fichajes_Realizados!A$2:A$5000,A245,
   [1]Fichajes_Realizados!G$2:G$5000,$X$3
)&gt;0)</f>
        <v>0</v>
      </c>
      <c r="R245" s="5" t="n">
        <f aca="false">_xlfn.XLOOKUP(C245, [1]Estado_Equipos!A$2:A$500, [1]Estado_Equipos!J$2:J$500, "")</f>
        <v>76</v>
      </c>
      <c r="S245" s="5" t="n">
        <f aca="false">IF(H245&lt;=16,1.45,
IF(H245&gt;=41,0.3,
CHOOSE(ROUNDDOWN((H245-16)/2,0)+1,
1.45,1.38,1.3,1.23,1.17,1.15,1.12,1.05,0.95,0.8,0.6,0.4,0.3)))</f>
        <v>1.15</v>
      </c>
      <c r="T245" s="5" t="n">
        <f aca="false">CHOOSE(N245+1,1.2,1,0.85,0.7)</f>
        <v>1.2</v>
      </c>
      <c r="U245" s="5" t="n">
        <f aca="false">IF(F245="PO",0.6,
IF(F245="CT",0.75,
IF(F245="LI",0.8,
IF(F245="LD",0.8,
IF(F245="MCD",0.85,
IF(F245="MC",0.95,
IF(F245="MO",1.05,
IF(F245="EI",1.1,
IF(F245="ED",1.1,
IF(F245="SD",1.15,
IF(F245="DC",1.2,0)))))))))))</f>
        <v>1.05</v>
      </c>
    </row>
    <row r="246" customFormat="false" ht="16.4" hidden="false" customHeight="false" outlineLevel="0" collapsed="false">
      <c r="A246" s="1" t="n">
        <v>245</v>
      </c>
      <c r="B246" s="5" t="str">
        <f aca="false">[1]Base_Jugadores!B246</f>
        <v>Jhon Solís</v>
      </c>
      <c r="C246" s="5" t="str">
        <f aca="false">IFERROR(
   _xlfn.XLOOKUP(VALUE(A246),[1]Fichajes_Realizados!A$2:A$50000,[1]Fichajes_Realizados!D$2:D$50000,,0,-1),
   _xlfn.XLOOKUP(VALUE(A246),[1]Base_Jugadores!A$2:A$50000,[1]Base_Jugadores!C$2:C$50000)
)</f>
        <v>Girona FC</v>
      </c>
      <c r="D246" s="5" t="str">
        <f aca="false">[1]Base_Jugadores!D246</f>
        <v>Colombia</v>
      </c>
      <c r="E246" s="3"/>
      <c r="F246" s="5" t="str">
        <f aca="false">[1]Base_Jugadores!E246</f>
        <v>MC</v>
      </c>
      <c r="G246" s="5" t="n">
        <f aca="false">[1]Base_Jugadores!F246</f>
        <v>70</v>
      </c>
      <c r="H246" s="5" t="n">
        <f aca="false">[1]Base_Jugadores!G246</f>
        <v>21</v>
      </c>
      <c r="I246" s="7" t="n">
        <f aca="false" t="array" ref="I246:I246">_xlfn.XLOOKUP(G246,{55;56;57;58;59;60;61;62;63;64;65;66;67;68;69;70;71;72;73;74;75;76;77;78;79;80;81;82;83;84;85;86;87;88;89;90;91;92;93;94;95;96;97;98;99},{100000;130000;160000;190000;220000;250000;300000;350000;400000;450000;500000;600000;700000;800000;900000;1000000;1500000;2000000;3000000;4000000;5000000;6500000;8000000;10000000;12500000;15000000;20000000;25000000;30000000;35000000;40000000;55000000;70000000;80000000;90000000;110000000;130000000;160000000;190000000;220000000;250000000;280000000;310000000;340000000;400000000})</f>
        <v>1000000</v>
      </c>
      <c r="J246" s="7" t="n">
        <f aca="false">I246*S246*T246*U246</f>
        <v>1049750</v>
      </c>
      <c r="K246" s="3"/>
      <c r="L246" s="3"/>
      <c r="M246" s="3"/>
      <c r="N246" s="9" t="n">
        <v>2</v>
      </c>
      <c r="O246" s="4" t="n">
        <v>0</v>
      </c>
      <c r="P246" s="5" t="n">
        <f aca="false">IF(COUNTIF([1]Base_Jugadores!J$2:J$500,B246)&gt;0,1,0)</f>
        <v>0</v>
      </c>
      <c r="Q246" s="10" t="b">
        <f aca="false">--(COUNTIFS(
   [1]Fichajes_Realizados!A$2:A$5000,A246,
   [1]Fichajes_Realizados!G$2:G$5000,$X$3
)&gt;0)</f>
        <v>0</v>
      </c>
      <c r="R246" s="5" t="n">
        <f aca="false">_xlfn.XLOOKUP(C246, [1]Estado_Equipos!A$2:A$500, [1]Estado_Equipos!J$2:J$500, "")</f>
        <v>76</v>
      </c>
      <c r="S246" s="5" t="n">
        <f aca="false">IF(H246&lt;=16,1.45,
IF(H246&gt;=41,0.3,
CHOOSE(ROUNDDOWN((H246-16)/2,0)+1,
1.45,1.38,1.3,1.23,1.17,1.15,1.12,1.05,0.95,0.8,0.6,0.4,0.3)))</f>
        <v>1.3</v>
      </c>
      <c r="T246" s="5" t="n">
        <f aca="false">CHOOSE(N246+1,1.2,1,0.85,0.7)</f>
        <v>0.85</v>
      </c>
      <c r="U246" s="5" t="n">
        <f aca="false">IF(F246="PO",0.6,
IF(F246="CT",0.75,
IF(F246="LI",0.8,
IF(F246="LD",0.8,
IF(F246="MCD",0.85,
IF(F246="MC",0.95,
IF(F246="MO",1.05,
IF(F246="EI",1.1,
IF(F246="ED",1.1,
IF(F246="SD",1.15,
IF(F246="DC",1.2,0)))))))))))</f>
        <v>0.95</v>
      </c>
    </row>
    <row r="247" customFormat="false" ht="16.4" hidden="false" customHeight="false" outlineLevel="0" collapsed="false">
      <c r="A247" s="1" t="n">
        <v>246</v>
      </c>
      <c r="B247" s="5" t="str">
        <f aca="false">[1]Base_Jugadores!B247</f>
        <v>Joel Roca</v>
      </c>
      <c r="C247" s="5" t="str">
        <f aca="false">IFERROR(
   _xlfn.XLOOKUP(VALUE(A247),[1]Fichajes_Realizados!A$2:A$50000,[1]Fichajes_Realizados!D$2:D$50000,,0,-1),
   _xlfn.XLOOKUP(VALUE(A247),[1]Base_Jugadores!A$2:A$50000,[1]Base_Jugadores!C$2:C$50000)
)</f>
        <v>Girona FC</v>
      </c>
      <c r="D247" s="5" t="str">
        <f aca="false">[1]Base_Jugadores!D247</f>
        <v>España</v>
      </c>
      <c r="E247" s="3"/>
      <c r="F247" s="5" t="str">
        <f aca="false">[1]Base_Jugadores!E247</f>
        <v>EI</v>
      </c>
      <c r="G247" s="5" t="n">
        <f aca="false">[1]Base_Jugadores!F247</f>
        <v>66</v>
      </c>
      <c r="H247" s="5" t="n">
        <f aca="false">[1]Base_Jugadores!G247</f>
        <v>20</v>
      </c>
      <c r="I247" s="7" t="n">
        <f aca="false" t="array" ref="I247:I247">_xlfn.XLOOKUP(G247,{55;56;57;58;59;60;61;62;63;64;65;66;67;68;69;70;71;72;73;74;75;76;77;78;79;80;81;82;83;84;85;86;87;88;89;90;91;92;93;94;95;96;97;98;99},{100000;130000;160000;190000;220000;250000;300000;350000;400000;450000;500000;600000;700000;800000;900000;1000000;1500000;2000000;3000000;4000000;5000000;6500000;8000000;10000000;12500000;15000000;20000000;25000000;30000000;35000000;40000000;55000000;70000000;80000000;90000000;110000000;130000000;160000000;190000000;220000000;250000000;280000000;310000000;340000000;400000000})</f>
        <v>600000</v>
      </c>
      <c r="J247" s="7" t="n">
        <f aca="false">I247*S247*T247*U247</f>
        <v>729300</v>
      </c>
      <c r="K247" s="3"/>
      <c r="L247" s="3"/>
      <c r="M247" s="3"/>
      <c r="N247" s="9" t="n">
        <v>2</v>
      </c>
      <c r="O247" s="4" t="n">
        <v>0</v>
      </c>
      <c r="P247" s="5" t="n">
        <f aca="false">IF(COUNTIF([1]Base_Jugadores!J$2:J$500,B247)&gt;0,1,0)</f>
        <v>0</v>
      </c>
      <c r="Q247" s="10" t="b">
        <f aca="false">--(COUNTIFS(
   [1]Fichajes_Realizados!A$2:A$5000,A247,
   [1]Fichajes_Realizados!G$2:G$5000,$X$3
)&gt;0)</f>
        <v>0</v>
      </c>
      <c r="R247" s="5" t="n">
        <f aca="false">_xlfn.XLOOKUP(C247, [1]Estado_Equipos!A$2:A$500, [1]Estado_Equipos!J$2:J$500, "")</f>
        <v>76</v>
      </c>
      <c r="S247" s="5" t="n">
        <f aca="false">IF(H247&lt;=16,1.45,
IF(H247&gt;=41,0.3,
CHOOSE(ROUNDDOWN((H247-16)/2,0)+1,
1.45,1.38,1.3,1.23,1.17,1.15,1.12,1.05,0.95,0.8,0.6,0.4,0.3)))</f>
        <v>1.3</v>
      </c>
      <c r="T247" s="5" t="n">
        <f aca="false">CHOOSE(N247+1,1.2,1,0.85,0.7)</f>
        <v>0.85</v>
      </c>
      <c r="U247" s="5" t="n">
        <f aca="false">IF(F247="PO",0.6,
IF(F247="CT",0.75,
IF(F247="LI",0.8,
IF(F247="LD",0.8,
IF(F247="MCD",0.85,
IF(F247="MC",0.95,
IF(F247="MO",1.05,
IF(F247="EI",1.1,
IF(F247="ED",1.1,
IF(F247="SD",1.15,
IF(F247="DC",1.2,0)))))))))))</f>
        <v>1.1</v>
      </c>
    </row>
    <row r="248" customFormat="false" ht="16.4" hidden="false" customHeight="false" outlineLevel="0" collapsed="false">
      <c r="A248" s="1" t="n">
        <v>247</v>
      </c>
      <c r="B248" s="5" t="str">
        <f aca="false">[1]Base_Jugadores!B248</f>
        <v>Juan Carlos</v>
      </c>
      <c r="C248" s="5" t="str">
        <f aca="false">IFERROR(
   _xlfn.XLOOKUP(VALUE(A248),[1]Fichajes_Realizados!A$2:A$50000,[1]Fichajes_Realizados!D$2:D$50000,,0,-1),
   _xlfn.XLOOKUP(VALUE(A248),[1]Base_Jugadores!A$2:A$50000,[1]Base_Jugadores!C$2:C$50000)
)</f>
        <v>Girona FC</v>
      </c>
      <c r="D248" s="5" t="str">
        <f aca="false">[1]Base_Jugadores!D248</f>
        <v>España</v>
      </c>
      <c r="E248" s="3"/>
      <c r="F248" s="5" t="str">
        <f aca="false">[1]Base_Jugadores!E248</f>
        <v>PO</v>
      </c>
      <c r="G248" s="5" t="n">
        <f aca="false">[1]Base_Jugadores!F248</f>
        <v>73</v>
      </c>
      <c r="H248" s="5" t="n">
        <f aca="false">[1]Base_Jugadores!G248</f>
        <v>37</v>
      </c>
      <c r="I248" s="7" t="n">
        <f aca="false" t="array" ref="I248:I248">_xlfn.XLOOKUP(G248,{55;56;57;58;59;60;61;62;63;64;65;66;67;68;69;70;71;72;73;74;75;76;77;78;79;80;81;82;83;84;85;86;87;88;89;90;91;92;93;94;95;96;97;98;99},{100000;130000;160000;190000;220000;250000;300000;350000;400000;450000;500000;600000;700000;800000;900000;1000000;1500000;2000000;3000000;4000000;5000000;6500000;8000000;10000000;12500000;15000000;20000000;25000000;30000000;35000000;40000000;55000000;70000000;80000000;90000000;110000000;130000000;160000000;190000000;220000000;250000000;280000000;310000000;340000000;400000000})</f>
        <v>3000000</v>
      </c>
      <c r="J248" s="7" t="n">
        <f aca="false">I248*S248*T248*U248</f>
        <v>918000</v>
      </c>
      <c r="K248" s="3"/>
      <c r="L248" s="3"/>
      <c r="M248" s="3"/>
      <c r="N248" s="9" t="n">
        <v>2</v>
      </c>
      <c r="O248" s="4" t="n">
        <v>0</v>
      </c>
      <c r="P248" s="5" t="n">
        <f aca="false">IF(COUNTIF([1]Base_Jugadores!J$2:J$500,B248)&gt;0,1,0)</f>
        <v>0</v>
      </c>
      <c r="Q248" s="10" t="b">
        <f aca="false">--(COUNTIFS(
   [1]Fichajes_Realizados!A$2:A$5000,A248,
   [1]Fichajes_Realizados!G$2:G$5000,$X$3
)&gt;0)</f>
        <v>0</v>
      </c>
      <c r="R248" s="5" t="n">
        <f aca="false">_xlfn.XLOOKUP(C248, [1]Estado_Equipos!A$2:A$500, [1]Estado_Equipos!J$2:J$500, "")</f>
        <v>76</v>
      </c>
      <c r="S248" s="5" t="n">
        <f aca="false">IF(H248&lt;=16,1.45,
IF(H248&gt;=41,0.3,
CHOOSE(ROUNDDOWN((H248-16)/2,0)+1,
1.45,1.38,1.3,1.23,1.17,1.15,1.12,1.05,0.95,0.8,0.6,0.4,0.3)))</f>
        <v>0.6</v>
      </c>
      <c r="T248" s="5" t="n">
        <f aca="false">CHOOSE(N248+1,1.2,1,0.85,0.7)</f>
        <v>0.85</v>
      </c>
      <c r="U248" s="5" t="n">
        <f aca="false">IF(F248="PO",0.6,
IF(F248="CT",0.75,
IF(F248="LI",0.8,
IF(F248="LD",0.8,
IF(F248="MCD",0.85,
IF(F248="MC",0.95,
IF(F248="MO",1.05,
IF(F248="EI",1.1,
IF(F248="ED",1.1,
IF(F248="SD",1.15,
IF(F248="DC",1.2,0)))))))))))</f>
        <v>0.6</v>
      </c>
    </row>
    <row r="249" customFormat="false" ht="16.4" hidden="false" customHeight="false" outlineLevel="0" collapsed="false">
      <c r="A249" s="1" t="n">
        <v>248</v>
      </c>
      <c r="B249" s="5" t="str">
        <f aca="false">[1]Base_Jugadores!B249</f>
        <v>Paulo Gazzaniga</v>
      </c>
      <c r="C249" s="5" t="str">
        <f aca="false">IFERROR(
   _xlfn.XLOOKUP(VALUE(A249),[1]Fichajes_Realizados!A$2:A$50000,[1]Fichajes_Realizados!D$2:D$50000,,0,-1),
   _xlfn.XLOOKUP(VALUE(A249),[1]Base_Jugadores!A$2:A$50000,[1]Base_Jugadores!C$2:C$50000)
)</f>
        <v>Girona FC</v>
      </c>
      <c r="D249" s="5" t="str">
        <f aca="false">[1]Base_Jugadores!D249</f>
        <v>Argentina</v>
      </c>
      <c r="E249" s="3"/>
      <c r="F249" s="5" t="str">
        <f aca="false">[1]Base_Jugadores!E249</f>
        <v>PO</v>
      </c>
      <c r="G249" s="5" t="n">
        <f aca="false">[1]Base_Jugadores!F249</f>
        <v>82</v>
      </c>
      <c r="H249" s="5" t="n">
        <f aca="false">[1]Base_Jugadores!G249</f>
        <v>33</v>
      </c>
      <c r="I249" s="7" t="n">
        <f aca="false" t="array" ref="I249:I249">_xlfn.XLOOKUP(G249,{55;56;57;58;59;60;61;62;63;64;65;66;67;68;69;70;71;72;73;74;75;76;77;78;79;80;81;82;83;84;85;86;87;88;89;90;91;92;93;94;95;96;97;98;99},{100000;130000;160000;190000;220000;250000;300000;350000;400000;450000;500000;600000;700000;800000;900000;1000000;1500000;2000000;3000000;4000000;5000000;6500000;8000000;10000000;12500000;15000000;20000000;25000000;30000000;35000000;40000000;55000000;70000000;80000000;90000000;110000000;130000000;160000000;190000000;220000000;250000000;280000000;310000000;340000000;400000000})</f>
        <v>25000000</v>
      </c>
      <c r="J249" s="7" t="n">
        <f aca="false">I249*S249*T249*U249</f>
        <v>17100000</v>
      </c>
      <c r="K249" s="3"/>
      <c r="L249" s="3"/>
      <c r="M249" s="3"/>
      <c r="N249" s="9" t="n">
        <v>0</v>
      </c>
      <c r="O249" s="4" t="n">
        <v>0</v>
      </c>
      <c r="P249" s="5" t="n">
        <f aca="false">IF(COUNTIF([1]Base_Jugadores!J$2:J$500,B249)&gt;0,1,0)</f>
        <v>0</v>
      </c>
      <c r="Q249" s="10" t="b">
        <f aca="false">--(COUNTIFS(
   [1]Fichajes_Realizados!A$2:A$5000,A249,
   [1]Fichajes_Realizados!G$2:G$5000,$X$3
)&gt;0)</f>
        <v>0</v>
      </c>
      <c r="R249" s="5" t="n">
        <f aca="false">_xlfn.XLOOKUP(C249, [1]Estado_Equipos!A$2:A$500, [1]Estado_Equipos!J$2:J$500, "")</f>
        <v>76</v>
      </c>
      <c r="S249" s="5" t="n">
        <f aca="false">IF(H249&lt;=16,1.45,
IF(H249&gt;=41,0.3,
CHOOSE(ROUNDDOWN((H249-16)/2,0)+1,
1.45,1.38,1.3,1.23,1.17,1.15,1.12,1.05,0.95,0.8,0.6,0.4,0.3)))</f>
        <v>0.95</v>
      </c>
      <c r="T249" s="5" t="n">
        <f aca="false">CHOOSE(N249+1,1.2,1,0.85,0.7)</f>
        <v>1.2</v>
      </c>
      <c r="U249" s="5" t="n">
        <f aca="false">IF(F249="PO",0.6,
IF(F249="CT",0.75,
IF(F249="LI",0.8,
IF(F249="LD",0.8,
IF(F249="MCD",0.85,
IF(F249="MC",0.95,
IF(F249="MO",1.05,
IF(F249="EI",1.1,
IF(F249="ED",1.1,
IF(F249="SD",1.15,
IF(F249="DC",1.2,0)))))))))))</f>
        <v>0.6</v>
      </c>
    </row>
    <row r="250" customFormat="false" ht="16.4" hidden="false" customHeight="false" outlineLevel="0" collapsed="false">
      <c r="A250" s="1" t="n">
        <v>249</v>
      </c>
      <c r="B250" s="5" t="str">
        <f aca="false">[1]Base_Jugadores!B250</f>
        <v>Portu</v>
      </c>
      <c r="C250" s="5" t="str">
        <f aca="false">IFERROR(
   _xlfn.XLOOKUP(VALUE(A250),[1]Fichajes_Realizados!A$2:A$50000,[1]Fichajes_Realizados!D$2:D$50000,,0,-1),
   _xlfn.XLOOKUP(VALUE(A250),[1]Base_Jugadores!A$2:A$50000,[1]Base_Jugadores!C$2:C$50000)
)</f>
        <v>Girona FC</v>
      </c>
      <c r="D250" s="5" t="str">
        <f aca="false">[1]Base_Jugadores!D250</f>
        <v>España</v>
      </c>
      <c r="E250" s="3"/>
      <c r="F250" s="5" t="str">
        <f aca="false">[1]Base_Jugadores!E250</f>
        <v>ED</v>
      </c>
      <c r="G250" s="5" t="n">
        <f aca="false">[1]Base_Jugadores!F250</f>
        <v>77</v>
      </c>
      <c r="H250" s="5" t="n">
        <f aca="false">[1]Base_Jugadores!G250</f>
        <v>33</v>
      </c>
      <c r="I250" s="7" t="n">
        <f aca="false" t="array" ref="I250:I250">_xlfn.XLOOKUP(G250,{55;56;57;58;59;60;61;62;63;64;65;66;67;68;69;70;71;72;73;74;75;76;77;78;79;80;81;82;83;84;85;86;87;88;89;90;91;92;93;94;95;96;97;98;99},{100000;130000;160000;190000;220000;250000;300000;350000;400000;450000;500000;600000;700000;800000;900000;1000000;1500000;2000000;3000000;4000000;5000000;6500000;8000000;10000000;12500000;15000000;20000000;25000000;30000000;35000000;40000000;55000000;70000000;80000000;90000000;110000000;130000000;160000000;190000000;220000000;250000000;280000000;310000000;340000000;400000000})</f>
        <v>8000000</v>
      </c>
      <c r="J250" s="7" t="n">
        <f aca="false">I250*S250*T250*U250</f>
        <v>8360000</v>
      </c>
      <c r="K250" s="3"/>
      <c r="L250" s="3"/>
      <c r="M250" s="3"/>
      <c r="N250" s="9" t="n">
        <v>1</v>
      </c>
      <c r="O250" s="4" t="n">
        <v>0</v>
      </c>
      <c r="P250" s="5" t="n">
        <f aca="false">IF(COUNTIF([1]Base_Jugadores!J$2:J$500,B250)&gt;0,1,0)</f>
        <v>0</v>
      </c>
      <c r="Q250" s="10" t="b">
        <f aca="false">--(COUNTIFS(
   [1]Fichajes_Realizados!A$2:A$5000,A250,
   [1]Fichajes_Realizados!G$2:G$5000,$X$3
)&gt;0)</f>
        <v>0</v>
      </c>
      <c r="R250" s="5" t="n">
        <f aca="false">_xlfn.XLOOKUP(C250, [1]Estado_Equipos!A$2:A$500, [1]Estado_Equipos!J$2:J$500, "")</f>
        <v>76</v>
      </c>
      <c r="S250" s="5" t="n">
        <f aca="false">IF(H250&lt;=16,1.45,
IF(H250&gt;=41,0.3,
CHOOSE(ROUNDDOWN((H250-16)/2,0)+1,
1.45,1.38,1.3,1.23,1.17,1.15,1.12,1.05,0.95,0.8,0.6,0.4,0.3)))</f>
        <v>0.95</v>
      </c>
      <c r="T250" s="5" t="n">
        <f aca="false">CHOOSE(N250+1,1.2,1,0.85,0.7)</f>
        <v>1</v>
      </c>
      <c r="U250" s="5" t="n">
        <f aca="false">IF(F250="PO",0.6,
IF(F250="CT",0.75,
IF(F250="LI",0.8,
IF(F250="LD",0.8,
IF(F250="MCD",0.85,
IF(F250="MC",0.95,
IF(F250="MO",1.05,
IF(F250="EI",1.1,
IF(F250="ED",1.1,
IF(F250="SD",1.15,
IF(F250="DC",1.2,0)))))))))))</f>
        <v>1.1</v>
      </c>
    </row>
    <row r="251" customFormat="false" ht="16.4" hidden="false" customHeight="false" outlineLevel="0" collapsed="false">
      <c r="A251" s="1" t="n">
        <v>250</v>
      </c>
      <c r="B251" s="5" t="str">
        <f aca="false">[1]Base_Jugadores!B251</f>
        <v>Ricard Artero</v>
      </c>
      <c r="C251" s="5" t="str">
        <f aca="false">IFERROR(
   _xlfn.XLOOKUP(VALUE(A251),[1]Fichajes_Realizados!A$2:A$50000,[1]Fichajes_Realizados!D$2:D$50000,,0,-1),
   _xlfn.XLOOKUP(VALUE(A251),[1]Base_Jugadores!A$2:A$50000,[1]Base_Jugadores!C$2:C$50000)
)</f>
        <v>Girona FC</v>
      </c>
      <c r="D251" s="5" t="str">
        <f aca="false">[1]Base_Jugadores!D251</f>
        <v>España</v>
      </c>
      <c r="E251" s="3"/>
      <c r="F251" s="5" t="str">
        <f aca="false">[1]Base_Jugadores!E251</f>
        <v>MO</v>
      </c>
      <c r="G251" s="5" t="n">
        <f aca="false">[1]Base_Jugadores!F251</f>
        <v>65</v>
      </c>
      <c r="H251" s="5" t="n">
        <f aca="false">[1]Base_Jugadores!G251</f>
        <v>22</v>
      </c>
      <c r="I251" s="7" t="n">
        <f aca="false" t="array" ref="I251:I251">_xlfn.XLOOKUP(G251,{55;56;57;58;59;60;61;62;63;64;65;66;67;68;69;70;71;72;73;74;75;76;77;78;79;80;81;82;83;84;85;86;87;88;89;90;91;92;93;94;95;96;97;98;99},{100000;130000;160000;190000;220000;250000;300000;350000;400000;450000;500000;600000;700000;800000;900000;1000000;1500000;2000000;3000000;4000000;5000000;6500000;8000000;10000000;12500000;15000000;20000000;25000000;30000000;35000000;40000000;55000000;70000000;80000000;90000000;110000000;130000000;160000000;190000000;220000000;250000000;280000000;310000000;340000000;400000000})</f>
        <v>500000</v>
      </c>
      <c r="J251" s="7" t="n">
        <f aca="false">I251*S251*T251*U251</f>
        <v>548887.5</v>
      </c>
      <c r="K251" s="3"/>
      <c r="L251" s="3"/>
      <c r="M251" s="3"/>
      <c r="N251" s="9" t="n">
        <v>2</v>
      </c>
      <c r="O251" s="4" t="n">
        <v>1</v>
      </c>
      <c r="P251" s="5" t="n">
        <f aca="false">IF(COUNTIF([1]Base_Jugadores!J$2:J$500,B251)&gt;0,1,0)</f>
        <v>0</v>
      </c>
      <c r="Q251" s="10" t="b">
        <f aca="false">--(COUNTIFS(
   [1]Fichajes_Realizados!A$2:A$5000,A251,
   [1]Fichajes_Realizados!G$2:G$5000,$X$3
)&gt;0)</f>
        <v>0</v>
      </c>
      <c r="R251" s="5" t="n">
        <f aca="false">_xlfn.XLOOKUP(C251, [1]Estado_Equipos!A$2:A$500, [1]Estado_Equipos!J$2:J$500, "")</f>
        <v>76</v>
      </c>
      <c r="S251" s="5" t="n">
        <f aca="false">IF(H251&lt;=16,1.45,
IF(H251&gt;=41,0.3,
CHOOSE(ROUNDDOWN((H251-16)/2,0)+1,
1.45,1.38,1.3,1.23,1.17,1.15,1.12,1.05,0.95,0.8,0.6,0.4,0.3)))</f>
        <v>1.23</v>
      </c>
      <c r="T251" s="5" t="n">
        <f aca="false">CHOOSE(N251+1,1.2,1,0.85,0.7)</f>
        <v>0.85</v>
      </c>
      <c r="U251" s="5" t="n">
        <f aca="false">IF(F251="PO",0.6,
IF(F251="CT",0.75,
IF(F251="LI",0.8,
IF(F251="LD",0.8,
IF(F251="MCD",0.85,
IF(F251="MC",0.95,
IF(F251="MO",1.05,
IF(F251="EI",1.1,
IF(F251="ED",1.1,
IF(F251="SD",1.15,
IF(F251="DC",1.2,0)))))))))))</f>
        <v>1.05</v>
      </c>
    </row>
    <row r="252" customFormat="false" ht="16.4" hidden="false" customHeight="false" outlineLevel="0" collapsed="false">
      <c r="A252" s="1" t="n">
        <v>251</v>
      </c>
      <c r="B252" s="5" t="str">
        <f aca="false">[1]Base_Jugadores!B252</f>
        <v>Thomas Lemar</v>
      </c>
      <c r="C252" s="5" t="str">
        <f aca="false">IFERROR(
   _xlfn.XLOOKUP(VALUE(A252),[1]Fichajes_Realizados!A$2:A$50000,[1]Fichajes_Realizados!D$2:D$50000,,0,-1),
   _xlfn.XLOOKUP(VALUE(A252),[1]Base_Jugadores!A$2:A$50000,[1]Base_Jugadores!C$2:C$50000)
)</f>
        <v>Girona FC</v>
      </c>
      <c r="D252" s="5" t="str">
        <f aca="false">[1]Base_Jugadores!D252</f>
        <v>Francia</v>
      </c>
      <c r="E252" s="3"/>
      <c r="F252" s="5" t="str">
        <f aca="false">[1]Base_Jugadores!E252</f>
        <v>MO</v>
      </c>
      <c r="G252" s="5" t="n">
        <f aca="false">[1]Base_Jugadores!F252</f>
        <v>79</v>
      </c>
      <c r="H252" s="5" t="n">
        <f aca="false">[1]Base_Jugadores!G252</f>
        <v>30</v>
      </c>
      <c r="I252" s="7" t="n">
        <f aca="false" t="array" ref="I252:I252">_xlfn.XLOOKUP(G252,{55;56;57;58;59;60;61;62;63;64;65;66;67;68;69;70;71;72;73;74;75;76;77;78;79;80;81;82;83;84;85;86;87;88;89;90;91;92;93;94;95;96;97;98;99},{100000;130000;160000;190000;220000;250000;300000;350000;400000;450000;500000;600000;700000;800000;900000;1000000;1500000;2000000;3000000;4000000;5000000;6500000;8000000;10000000;12500000;15000000;20000000;25000000;30000000;35000000;40000000;55000000;70000000;80000000;90000000;110000000;130000000;160000000;190000000;220000000;250000000;280000000;310000000;340000000;400000000})</f>
        <v>12500000</v>
      </c>
      <c r="J252" s="7" t="n">
        <f aca="false">I252*S252*T252*U252</f>
        <v>13781250</v>
      </c>
      <c r="K252" s="3"/>
      <c r="L252" s="3"/>
      <c r="M252" s="3"/>
      <c r="N252" s="9" t="n">
        <v>1</v>
      </c>
      <c r="O252" s="4" t="n">
        <v>0</v>
      </c>
      <c r="P252" s="5" t="n">
        <f aca="false">IF(COUNTIF([1]Base_Jugadores!J$2:J$500,B252)&gt;0,1,0)</f>
        <v>0</v>
      </c>
      <c r="Q252" s="10" t="b">
        <f aca="false">--(COUNTIFS(
   [1]Fichajes_Realizados!A$2:A$5000,A252,
   [1]Fichajes_Realizados!G$2:G$5000,$X$3
)&gt;0)</f>
        <v>0</v>
      </c>
      <c r="R252" s="5" t="n">
        <f aca="false">_xlfn.XLOOKUP(C252, [1]Estado_Equipos!A$2:A$500, [1]Estado_Equipos!J$2:J$500, "")</f>
        <v>76</v>
      </c>
      <c r="S252" s="5" t="n">
        <f aca="false">IF(H252&lt;=16,1.45,
IF(H252&gt;=41,0.3,
CHOOSE(ROUNDDOWN((H252-16)/2,0)+1,
1.45,1.38,1.3,1.23,1.17,1.15,1.12,1.05,0.95,0.8,0.6,0.4,0.3)))</f>
        <v>1.05</v>
      </c>
      <c r="T252" s="5" t="n">
        <f aca="false">CHOOSE(N252+1,1.2,1,0.85,0.7)</f>
        <v>1</v>
      </c>
      <c r="U252" s="5" t="n">
        <f aca="false">IF(F252="PO",0.6,
IF(F252="CT",0.75,
IF(F252="LI",0.8,
IF(F252="LD",0.8,
IF(F252="MCD",0.85,
IF(F252="MC",0.95,
IF(F252="MO",1.05,
IF(F252="EI",1.1,
IF(F252="ED",1.1,
IF(F252="SD",1.15,
IF(F252="DC",1.2,0)))))))))))</f>
        <v>1.05</v>
      </c>
    </row>
    <row r="253" customFormat="false" ht="16.4" hidden="false" customHeight="false" outlineLevel="0" collapsed="false">
      <c r="A253" s="1" t="n">
        <v>252</v>
      </c>
      <c r="B253" s="5" t="str">
        <f aca="false">[1]Base_Jugadores!B253</f>
        <v>V. Krapyvtsov</v>
      </c>
      <c r="C253" s="5" t="str">
        <f aca="false">IFERROR(
   _xlfn.XLOOKUP(VALUE(A253),[1]Fichajes_Realizados!A$2:A$50000,[1]Fichajes_Realizados!D$2:D$50000,,0,-1),
   _xlfn.XLOOKUP(VALUE(A253),[1]Base_Jugadores!A$2:A$50000,[1]Base_Jugadores!C$2:C$50000)
)</f>
        <v>Girona FC</v>
      </c>
      <c r="D253" s="5" t="str">
        <f aca="false">[1]Base_Jugadores!D253</f>
        <v>Ucrania</v>
      </c>
      <c r="E253" s="3"/>
      <c r="F253" s="5" t="str">
        <f aca="false">[1]Base_Jugadores!E253</f>
        <v>PO</v>
      </c>
      <c r="G253" s="5" t="n">
        <f aca="false">[1]Base_Jugadores!F253</f>
        <v>62</v>
      </c>
      <c r="H253" s="5" t="n">
        <f aca="false">[1]Base_Jugadores!G253</f>
        <v>20</v>
      </c>
      <c r="I253" s="7" t="n">
        <f aca="false" t="array" ref="I253:I253">_xlfn.XLOOKUP(G253,{55;56;57;58;59;60;61;62;63;64;65;66;67;68;69;70;71;72;73;74;75;76;77;78;79;80;81;82;83;84;85;86;87;88;89;90;91;92;93;94;95;96;97;98;99},{100000;130000;160000;190000;220000;250000;300000;350000;400000;450000;500000;600000;700000;800000;900000;1000000;1500000;2000000;3000000;4000000;5000000;6500000;8000000;10000000;12500000;15000000;20000000;25000000;30000000;35000000;40000000;55000000;70000000;80000000;90000000;110000000;130000000;160000000;190000000;220000000;250000000;280000000;310000000;340000000;400000000})</f>
        <v>350000</v>
      </c>
      <c r="J253" s="7" t="n">
        <f aca="false">I253*S253*T253*U253</f>
        <v>232050</v>
      </c>
      <c r="K253" s="3"/>
      <c r="L253" s="3"/>
      <c r="M253" s="3"/>
      <c r="N253" s="9" t="n">
        <v>2</v>
      </c>
      <c r="O253" s="4" t="n">
        <v>0</v>
      </c>
      <c r="P253" s="5" t="n">
        <f aca="false">IF(COUNTIF([1]Base_Jugadores!J$2:J$500,B253)&gt;0,1,0)</f>
        <v>0</v>
      </c>
      <c r="Q253" s="10" t="b">
        <f aca="false">--(COUNTIFS(
   [1]Fichajes_Realizados!A$2:A$5000,A253,
   [1]Fichajes_Realizados!G$2:G$5000,$X$3
)&gt;0)</f>
        <v>0</v>
      </c>
      <c r="R253" s="5" t="n">
        <f aca="false">_xlfn.XLOOKUP(C253, [1]Estado_Equipos!A$2:A$500, [1]Estado_Equipos!J$2:J$500, "")</f>
        <v>76</v>
      </c>
      <c r="S253" s="5" t="n">
        <f aca="false">IF(H253&lt;=16,1.45,
IF(H253&gt;=41,0.3,
CHOOSE(ROUNDDOWN((H253-16)/2,0)+1,
1.45,1.38,1.3,1.23,1.17,1.15,1.12,1.05,0.95,0.8,0.6,0.4,0.3)))</f>
        <v>1.3</v>
      </c>
      <c r="T253" s="5" t="n">
        <f aca="false">CHOOSE(N253+1,1.2,1,0.85,0.7)</f>
        <v>0.85</v>
      </c>
      <c r="U253" s="5" t="n">
        <f aca="false">IF(F253="PO",0.6,
IF(F253="CT",0.75,
IF(F253="LI",0.8,
IF(F253="LD",0.8,
IF(F253="MCD",0.85,
IF(F253="MC",0.95,
IF(F253="MO",1.05,
IF(F253="EI",1.1,
IF(F253="ED",1.1,
IF(F253="SD",1.15,
IF(F253="DC",1.2,0)))))))))))</f>
        <v>0.6</v>
      </c>
    </row>
    <row r="254" customFormat="false" ht="16.4" hidden="false" customHeight="false" outlineLevel="0" collapsed="false">
      <c r="A254" s="1" t="n">
        <v>253</v>
      </c>
      <c r="B254" s="5" t="str">
        <f aca="false">[1]Base_Jugadores!B254</f>
        <v>V. Tsygankov</v>
      </c>
      <c r="C254" s="5" t="str">
        <f aca="false">IFERROR(
   _xlfn.XLOOKUP(VALUE(A254),[1]Fichajes_Realizados!A$2:A$50000,[1]Fichajes_Realizados!D$2:D$50000,,0,-1),
   _xlfn.XLOOKUP(VALUE(A254),[1]Base_Jugadores!A$2:A$50000,[1]Base_Jugadores!C$2:C$50000)
)</f>
        <v>Girona FC</v>
      </c>
      <c r="D254" s="5" t="str">
        <f aca="false">[1]Base_Jugadores!D254</f>
        <v>Ucrania</v>
      </c>
      <c r="E254" s="3"/>
      <c r="F254" s="5" t="str">
        <f aca="false">[1]Base_Jugadores!E254</f>
        <v>ED</v>
      </c>
      <c r="G254" s="5" t="n">
        <f aca="false">[1]Base_Jugadores!F254</f>
        <v>83</v>
      </c>
      <c r="H254" s="5" t="n">
        <f aca="false">[1]Base_Jugadores!G254</f>
        <v>28</v>
      </c>
      <c r="I254" s="7" t="n">
        <f aca="false" t="array" ref="I254:I254">_xlfn.XLOOKUP(G254,{55;56;57;58;59;60;61;62;63;64;65;66;67;68;69;70;71;72;73;74;75;76;77;78;79;80;81;82;83;84;85;86;87;88;89;90;91;92;93;94;95;96;97;98;99},{100000;130000;160000;190000;220000;250000;300000;350000;400000;450000;500000;600000;700000;800000;900000;1000000;1500000;2000000;3000000;4000000;5000000;6500000;8000000;10000000;12500000;15000000;20000000;25000000;30000000;35000000;40000000;55000000;70000000;80000000;90000000;110000000;130000000;160000000;190000000;220000000;250000000;280000000;310000000;340000000;400000000})</f>
        <v>30000000</v>
      </c>
      <c r="J254" s="7" t="n">
        <f aca="false">I254*S254*T254*U254</f>
        <v>44352000</v>
      </c>
      <c r="K254" s="3"/>
      <c r="L254" s="3"/>
      <c r="M254" s="3"/>
      <c r="N254" s="9" t="n">
        <v>0</v>
      </c>
      <c r="O254" s="4" t="n">
        <v>0</v>
      </c>
      <c r="P254" s="5" t="n">
        <f aca="false">IF(COUNTIF([1]Base_Jugadores!J$2:J$500,B254)&gt;0,1,0)</f>
        <v>0</v>
      </c>
      <c r="Q254" s="10" t="b">
        <f aca="false">--(COUNTIFS(
   [1]Fichajes_Realizados!A$2:A$5000,A254,
   [1]Fichajes_Realizados!G$2:G$5000,$X$3
)&gt;0)</f>
        <v>0</v>
      </c>
      <c r="R254" s="5" t="n">
        <f aca="false">_xlfn.XLOOKUP(C254, [1]Estado_Equipos!A$2:A$500, [1]Estado_Equipos!J$2:J$500, "")</f>
        <v>76</v>
      </c>
      <c r="S254" s="5" t="n">
        <f aca="false">IF(H254&lt;=16,1.45,
IF(H254&gt;=41,0.3,
CHOOSE(ROUNDDOWN((H254-16)/2,0)+1,
1.45,1.38,1.3,1.23,1.17,1.15,1.12,1.05,0.95,0.8,0.6,0.4,0.3)))</f>
        <v>1.12</v>
      </c>
      <c r="T254" s="5" t="n">
        <f aca="false">CHOOSE(N254+1,1.2,1,0.85,0.7)</f>
        <v>1.2</v>
      </c>
      <c r="U254" s="5" t="n">
        <f aca="false">IF(F254="PO",0.6,
IF(F254="CT",0.75,
IF(F254="LI",0.8,
IF(F254="LD",0.8,
IF(F254="MCD",0.85,
IF(F254="MC",0.95,
IF(F254="MO",1.05,
IF(F254="EI",1.1,
IF(F254="ED",1.1,
IF(F254="SD",1.15,
IF(F254="DC",1.2,0)))))))))))</f>
        <v>1.1</v>
      </c>
    </row>
    <row r="255" customFormat="false" ht="16.4" hidden="false" customHeight="false" outlineLevel="0" collapsed="false">
      <c r="A255" s="1" t="n">
        <v>254</v>
      </c>
      <c r="B255" s="5" t="str">
        <f aca="false">[1]Base_Jugadores!B255</f>
        <v>Vitor Reis</v>
      </c>
      <c r="C255" s="5" t="str">
        <f aca="false">IFERROR(
   _xlfn.XLOOKUP(VALUE(A255),[1]Fichajes_Realizados!A$2:A$50000,[1]Fichajes_Realizados!D$2:D$50000,,0,-1),
   _xlfn.XLOOKUP(VALUE(A255),[1]Base_Jugadores!A$2:A$50000,[1]Base_Jugadores!C$2:C$50000)
)</f>
        <v>Girona FC</v>
      </c>
      <c r="D255" s="5" t="str">
        <f aca="false">[1]Base_Jugadores!D255</f>
        <v>Brasil</v>
      </c>
      <c r="E255" s="3"/>
      <c r="F255" s="5" t="str">
        <f aca="false">[1]Base_Jugadores!E255</f>
        <v>CT</v>
      </c>
      <c r="G255" s="5" t="n">
        <f aca="false">[1]Base_Jugadores!F255</f>
        <v>70</v>
      </c>
      <c r="H255" s="5" t="n">
        <f aca="false">[1]Base_Jugadores!G255</f>
        <v>19</v>
      </c>
      <c r="I255" s="7" t="n">
        <f aca="false" t="array" ref="I255:I255">_xlfn.XLOOKUP(G255,{55;56;57;58;59;60;61;62;63;64;65;66;67;68;69;70;71;72;73;74;75;76;77;78;79;80;81;82;83;84;85;86;87;88;89;90;91;92;93;94;95;96;97;98;99},{100000;130000;160000;190000;220000;250000;300000;350000;400000;450000;500000;600000;700000;800000;900000;1000000;1500000;2000000;3000000;4000000;5000000;6500000;8000000;10000000;12500000;15000000;20000000;25000000;30000000;35000000;40000000;55000000;70000000;80000000;90000000;110000000;130000000;160000000;190000000;220000000;250000000;280000000;310000000;340000000;400000000})</f>
        <v>1000000</v>
      </c>
      <c r="J255" s="7" t="n">
        <f aca="false">I255*S255*T255*U255</f>
        <v>879750</v>
      </c>
      <c r="K255" s="3"/>
      <c r="L255" s="3"/>
      <c r="M255" s="3"/>
      <c r="N255" s="9" t="n">
        <v>2</v>
      </c>
      <c r="O255" s="4" t="n">
        <v>0</v>
      </c>
      <c r="P255" s="5" t="n">
        <f aca="false">IF(COUNTIF([1]Base_Jugadores!J$2:J$500,B255)&gt;0,1,0)</f>
        <v>0</v>
      </c>
      <c r="Q255" s="10" t="b">
        <f aca="false">--(COUNTIFS(
   [1]Fichajes_Realizados!A$2:A$5000,A255,
   [1]Fichajes_Realizados!G$2:G$5000,$X$3
)&gt;0)</f>
        <v>0</v>
      </c>
      <c r="R255" s="5" t="n">
        <f aca="false">_xlfn.XLOOKUP(C255, [1]Estado_Equipos!A$2:A$500, [1]Estado_Equipos!J$2:J$500, "")</f>
        <v>76</v>
      </c>
      <c r="S255" s="5" t="n">
        <f aca="false">IF(H255&lt;=16,1.45,
IF(H255&gt;=41,0.3,
CHOOSE(ROUNDDOWN((H255-16)/2,0)+1,
1.45,1.38,1.3,1.23,1.17,1.15,1.12,1.05,0.95,0.8,0.6,0.4,0.3)))</f>
        <v>1.38</v>
      </c>
      <c r="T255" s="5" t="n">
        <f aca="false">CHOOSE(N255+1,1.2,1,0.85,0.7)</f>
        <v>0.85</v>
      </c>
      <c r="U255" s="5" t="n">
        <f aca="false">IF(F255="PO",0.6,
IF(F255="CT",0.75,
IF(F255="LI",0.8,
IF(F255="LD",0.8,
IF(F255="MCD",0.85,
IF(F255="MC",0.95,
IF(F255="MO",1.05,
IF(F255="EI",1.1,
IF(F255="ED",1.1,
IF(F255="SD",1.15,
IF(F255="DC",1.2,0)))))))))))</f>
        <v>0.75</v>
      </c>
    </row>
    <row r="256" customFormat="false" ht="16.4" hidden="false" customHeight="false" outlineLevel="0" collapsed="false">
      <c r="A256" s="1" t="n">
        <v>255</v>
      </c>
      <c r="B256" s="5" t="str">
        <f aca="false">[1]Base_Jugadores!B256</f>
        <v>Vladyslav Vanat</v>
      </c>
      <c r="C256" s="5" t="str">
        <f aca="false">IFERROR(
   _xlfn.XLOOKUP(VALUE(A256),[1]Fichajes_Realizados!A$2:A$50000,[1]Fichajes_Realizados!D$2:D$50000,,0,-1),
   _xlfn.XLOOKUP(VALUE(A256),[1]Base_Jugadores!A$2:A$50000,[1]Base_Jugadores!C$2:C$50000)
)</f>
        <v>Girona FC</v>
      </c>
      <c r="D256" s="5" t="str">
        <f aca="false">[1]Base_Jugadores!D256</f>
        <v>Ucrania</v>
      </c>
      <c r="E256" s="3"/>
      <c r="F256" s="5" t="str">
        <f aca="false">[1]Base_Jugadores!E256</f>
        <v>DC</v>
      </c>
      <c r="G256" s="5" t="n">
        <f aca="false">[1]Base_Jugadores!F256</f>
        <v>74</v>
      </c>
      <c r="H256" s="5" t="n">
        <f aca="false">[1]Base_Jugadores!G256</f>
        <v>23</v>
      </c>
      <c r="I256" s="7" t="n">
        <f aca="false" t="array" ref="I256:I256">_xlfn.XLOOKUP(G256,{55;56;57;58;59;60;61;62;63;64;65;66;67;68;69;70;71;72;73;74;75;76;77;78;79;80;81;82;83;84;85;86;87;88;89;90;91;92;93;94;95;96;97;98;99},{100000;130000;160000;190000;220000;250000;300000;350000;400000;450000;500000;600000;700000;800000;900000;1000000;1500000;2000000;3000000;4000000;5000000;6500000;8000000;10000000;12500000;15000000;20000000;25000000;30000000;35000000;40000000;55000000;70000000;80000000;90000000;110000000;130000000;160000000;190000000;220000000;250000000;280000000;310000000;340000000;400000000})</f>
        <v>4000000</v>
      </c>
      <c r="J256" s="7" t="n">
        <f aca="false">I256*S256*T256*U256</f>
        <v>5018400</v>
      </c>
      <c r="K256" s="3"/>
      <c r="L256" s="3"/>
      <c r="M256" s="3"/>
      <c r="N256" s="9" t="n">
        <v>2</v>
      </c>
      <c r="O256" s="4" t="n">
        <v>0</v>
      </c>
      <c r="P256" s="5" t="n">
        <f aca="false">IF(COUNTIF([1]Base_Jugadores!J$2:J$500,B256)&gt;0,1,0)</f>
        <v>0</v>
      </c>
      <c r="Q256" s="10" t="b">
        <f aca="false">--(COUNTIFS(
   [1]Fichajes_Realizados!A$2:A$5000,A256,
   [1]Fichajes_Realizados!G$2:G$5000,$X$3
)&gt;0)</f>
        <v>0</v>
      </c>
      <c r="R256" s="5" t="n">
        <f aca="false">_xlfn.XLOOKUP(C256, [1]Estado_Equipos!A$2:A$500, [1]Estado_Equipos!J$2:J$500, "")</f>
        <v>76</v>
      </c>
      <c r="S256" s="5" t="n">
        <f aca="false">IF(H256&lt;=16,1.45,
IF(H256&gt;=41,0.3,
CHOOSE(ROUNDDOWN((H256-16)/2,0)+1,
1.45,1.38,1.3,1.23,1.17,1.15,1.12,1.05,0.95,0.8,0.6,0.4,0.3)))</f>
        <v>1.23</v>
      </c>
      <c r="T256" s="5" t="n">
        <f aca="false">CHOOSE(N256+1,1.2,1,0.85,0.7)</f>
        <v>0.85</v>
      </c>
      <c r="U256" s="5" t="n">
        <f aca="false">IF(F256="PO",0.6,
IF(F256="CT",0.75,
IF(F256="LI",0.8,
IF(F256="LD",0.8,
IF(F256="MCD",0.85,
IF(F256="MC",0.95,
IF(F256="MO",1.05,
IF(F256="EI",1.1,
IF(F256="ED",1.1,
IF(F256="SD",1.15,
IF(F256="DC",1.2,0)))))))))))</f>
        <v>1.2</v>
      </c>
    </row>
    <row r="257" customFormat="false" ht="16.4" hidden="false" customHeight="false" outlineLevel="0" collapsed="false">
      <c r="A257" s="1" t="n">
        <v>256</v>
      </c>
      <c r="B257" s="5" t="str">
        <f aca="false">[1]Base_Jugadores!B257</f>
        <v>Yáser Asprilla</v>
      </c>
      <c r="C257" s="5" t="str">
        <f aca="false">IFERROR(
   _xlfn.XLOOKUP(VALUE(A257),[1]Fichajes_Realizados!A$2:A$50000,[1]Fichajes_Realizados!D$2:D$50000,,0,-1),
   _xlfn.XLOOKUP(VALUE(A257),[1]Base_Jugadores!A$2:A$50000,[1]Base_Jugadores!C$2:C$50000)
)</f>
        <v>Girona FC</v>
      </c>
      <c r="D257" s="5" t="str">
        <f aca="false">[1]Base_Jugadores!D257</f>
        <v>Colombia</v>
      </c>
      <c r="E257" s="3"/>
      <c r="F257" s="5" t="str">
        <f aca="false">[1]Base_Jugadores!E257</f>
        <v>ED</v>
      </c>
      <c r="G257" s="5" t="n">
        <f aca="false">[1]Base_Jugadores!F257</f>
        <v>75</v>
      </c>
      <c r="H257" s="5" t="n">
        <f aca="false">[1]Base_Jugadores!G257</f>
        <v>22</v>
      </c>
      <c r="I257" s="7" t="n">
        <f aca="false" t="array" ref="I257:I257">_xlfn.XLOOKUP(G257,{55;56;57;58;59;60;61;62;63;64;65;66;67;68;69;70;71;72;73;74;75;76;77;78;79;80;81;82;83;84;85;86;87;88;89;90;91;92;93;94;95;96;97;98;99},{100000;130000;160000;190000;220000;250000;300000;350000;400000;450000;500000;600000;700000;800000;900000;1000000;1500000;2000000;3000000;4000000;5000000;6500000;8000000;10000000;12500000;15000000;20000000;25000000;30000000;35000000;40000000;55000000;70000000;80000000;90000000;110000000;130000000;160000000;190000000;220000000;250000000;280000000;310000000;340000000;400000000})</f>
        <v>5000000</v>
      </c>
      <c r="J257" s="7" t="n">
        <f aca="false">I257*S257*T257*U257</f>
        <v>6765000</v>
      </c>
      <c r="K257" s="3"/>
      <c r="L257" s="3"/>
      <c r="M257" s="3"/>
      <c r="N257" s="9" t="n">
        <v>1</v>
      </c>
      <c r="O257" s="4" t="n">
        <v>0</v>
      </c>
      <c r="P257" s="5" t="n">
        <f aca="false">IF(COUNTIF([1]Base_Jugadores!J$2:J$500,B257)&gt;0,1,0)</f>
        <v>0</v>
      </c>
      <c r="Q257" s="10" t="b">
        <f aca="false">--(COUNTIFS(
   [1]Fichajes_Realizados!A$2:A$5000,A257,
   [1]Fichajes_Realizados!G$2:G$5000,$X$3
)&gt;0)</f>
        <v>0</v>
      </c>
      <c r="R257" s="5" t="n">
        <f aca="false">_xlfn.XLOOKUP(C257, [1]Estado_Equipos!A$2:A$500, [1]Estado_Equipos!J$2:J$500, "")</f>
        <v>76</v>
      </c>
      <c r="S257" s="5" t="n">
        <f aca="false">IF(H257&lt;=16,1.45,
IF(H257&gt;=41,0.3,
CHOOSE(ROUNDDOWN((H257-16)/2,0)+1,
1.45,1.38,1.3,1.23,1.17,1.15,1.12,1.05,0.95,0.8,0.6,0.4,0.3)))</f>
        <v>1.23</v>
      </c>
      <c r="T257" s="5" t="n">
        <f aca="false">CHOOSE(N257+1,1.2,1,0.85,0.7)</f>
        <v>1</v>
      </c>
      <c r="U257" s="5" t="n">
        <f aca="false">IF(F257="PO",0.6,
IF(F257="CT",0.75,
IF(F257="LI",0.8,
IF(F257="LD",0.8,
IF(F257="MCD",0.85,
IF(F257="MC",0.95,
IF(F257="MO",1.05,
IF(F257="EI",1.1,
IF(F257="ED",1.1,
IF(F257="SD",1.15,
IF(F257="DC",1.2,0)))))))))))</f>
        <v>1.1</v>
      </c>
    </row>
    <row r="258" customFormat="false" ht="16.4" hidden="false" customHeight="false" outlineLevel="0" collapsed="false">
      <c r="A258" s="1" t="n">
        <v>257</v>
      </c>
      <c r="B258" s="5" t="str">
        <f aca="false">[1]Base_Jugadores!B258</f>
        <v>Andrés Cubas</v>
      </c>
      <c r="C258" s="5" t="str">
        <f aca="false">IFERROR(
   _xlfn.XLOOKUP(VALUE(A258),[1]Fichajes_Realizados!A$2:A$50000,[1]Fichajes_Realizados!D$2:D$50000,,0,-1),
   _xlfn.XLOOKUP(VALUE(A258),[1]Base_Jugadores!A$2:A$50000,[1]Base_Jugadores!C$2:C$50000)
)</f>
        <v>FC Hispano</v>
      </c>
      <c r="D258" s="5" t="str">
        <f aca="false">[1]Base_Jugadores!D258</f>
        <v>Paraguay</v>
      </c>
      <c r="E258" s="3"/>
      <c r="F258" s="5" t="str">
        <f aca="false">[1]Base_Jugadores!E258</f>
        <v>MCD</v>
      </c>
      <c r="G258" s="5" t="n">
        <f aca="false">[1]Base_Jugadores!F258</f>
        <v>74</v>
      </c>
      <c r="H258" s="5" t="n">
        <f aca="false">[1]Base_Jugadores!G258</f>
        <v>29</v>
      </c>
      <c r="I258" s="7" t="n">
        <f aca="false" t="array" ref="I258:I258">_xlfn.XLOOKUP(G258,{55;56;57;58;59;60;61;62;63;64;65;66;67;68;69;70;71;72;73;74;75;76;77;78;79;80;81;82;83;84;85;86;87;88;89;90;91;92;93;94;95;96;97;98;99},{100000;130000;160000;190000;220000;250000;300000;350000;400000;450000;500000;600000;700000;800000;900000;1000000;1500000;2000000;3000000;4000000;5000000;6500000;8000000;10000000;12500000;15000000;20000000;25000000;30000000;35000000;40000000;55000000;70000000;80000000;90000000;110000000;130000000;160000000;190000000;220000000;250000000;280000000;310000000;340000000;400000000})</f>
        <v>4000000</v>
      </c>
      <c r="J258" s="7" t="n">
        <f aca="false">I258*S258*T258*U258</f>
        <v>3808000</v>
      </c>
      <c r="K258" s="3"/>
      <c r="L258" s="3"/>
      <c r="M258" s="3"/>
      <c r="N258" s="9" t="n">
        <v>1</v>
      </c>
      <c r="O258" s="4" t="n">
        <v>0</v>
      </c>
      <c r="P258" s="5" t="n">
        <f aca="false">IF(COUNTIF([1]Base_Jugadores!J$2:J$500,B258)&gt;0,1,0)</f>
        <v>0</v>
      </c>
      <c r="Q258" s="10" t="b">
        <f aca="false">--(COUNTIFS(
   [1]Fichajes_Realizados!A$2:A$5000,A258,
   [1]Fichajes_Realizados!G$2:G$5000,$X$3
)&gt;0)</f>
        <v>0</v>
      </c>
      <c r="R258" s="5" t="n">
        <f aca="false">_xlfn.XLOOKUP(C258, [1]Estado_Equipos!A$2:A$500, [1]Estado_Equipos!J$2:J$500, "")</f>
        <v>74</v>
      </c>
      <c r="S258" s="5" t="n">
        <f aca="false">IF(H258&lt;=16,1.45,
IF(H258&gt;=41,0.3,
CHOOSE(ROUNDDOWN((H258-16)/2,0)+1,
1.45,1.38,1.3,1.23,1.17,1.15,1.12,1.05,0.95,0.8,0.6,0.4,0.3)))</f>
        <v>1.12</v>
      </c>
      <c r="T258" s="5" t="n">
        <f aca="false">CHOOSE(N258+1,1.2,1,0.85,0.7)</f>
        <v>1</v>
      </c>
      <c r="U258" s="5" t="n">
        <f aca="false">IF(F258="PO",0.6,
IF(F258="CT",0.75,
IF(F258="LI",0.8,
IF(F258="LD",0.8,
IF(F258="MCD",0.85,
IF(F258="MC",0.95,
IF(F258="MO",1.05,
IF(F258="EI",1.1,
IF(F258="ED",1.1,
IF(F258="SD",1.15,
IF(F258="DC",1.2,0)))))))))))</f>
        <v>0.85</v>
      </c>
    </row>
    <row r="259" customFormat="false" ht="16.4" hidden="false" customHeight="false" outlineLevel="0" collapsed="false">
      <c r="A259" s="1" t="n">
        <v>258</v>
      </c>
      <c r="B259" s="5" t="str">
        <f aca="false">[1]Base_Jugadores!B259</f>
        <v>Baiano de Sousa</v>
      </c>
      <c r="C259" s="5" t="str">
        <f aca="false">IFERROR(
   _xlfn.XLOOKUP(VALUE(A259),[1]Fichajes_Realizados!A$2:A$50000,[1]Fichajes_Realizados!D$2:D$50000,,0,-1),
   _xlfn.XLOOKUP(VALUE(A259),[1]Base_Jugadores!A$2:A$50000,[1]Base_Jugadores!C$2:C$50000)
)</f>
        <v>FC Hispano</v>
      </c>
      <c r="D259" s="5" t="str">
        <f aca="false">[1]Base_Jugadores!D259</f>
        <v>Brasil</v>
      </c>
      <c r="E259" s="3"/>
      <c r="F259" s="5" t="str">
        <f aca="false">[1]Base_Jugadores!E259</f>
        <v>LD</v>
      </c>
      <c r="G259" s="5" t="n">
        <f aca="false">[1]Base_Jugadores!F259</f>
        <v>70</v>
      </c>
      <c r="H259" s="5" t="n">
        <f aca="false">[1]Base_Jugadores!G259</f>
        <v>38</v>
      </c>
      <c r="I259" s="7" t="n">
        <f aca="false" t="array" ref="I259:I259">_xlfn.XLOOKUP(G259,{55;56;57;58;59;60;61;62;63;64;65;66;67;68;69;70;71;72;73;74;75;76;77;78;79;80;81;82;83;84;85;86;87;88;89;90;91;92;93;94;95;96;97;98;99},{100000;130000;160000;190000;220000;250000;300000;350000;400000;450000;500000;600000;700000;800000;900000;1000000;1500000;2000000;3000000;4000000;5000000;6500000;8000000;10000000;12500000;15000000;20000000;25000000;30000000;35000000;40000000;55000000;70000000;80000000;90000000;110000000;130000000;160000000;190000000;220000000;250000000;280000000;310000000;340000000;400000000})</f>
        <v>1000000</v>
      </c>
      <c r="J259" s="7" t="n">
        <f aca="false">I259*S259*T259*U259</f>
        <v>272000</v>
      </c>
      <c r="K259" s="3"/>
      <c r="L259" s="3"/>
      <c r="M259" s="3"/>
      <c r="N259" s="9" t="n">
        <v>2</v>
      </c>
      <c r="O259" s="4" t="n">
        <v>0</v>
      </c>
      <c r="P259" s="5" t="n">
        <f aca="false">IF(COUNTIF([1]Base_Jugadores!J$2:J$500,B259)&gt;0,1,0)</f>
        <v>0</v>
      </c>
      <c r="Q259" s="10" t="b">
        <f aca="false">--(COUNTIFS(
   [1]Fichajes_Realizados!A$2:A$5000,A259,
   [1]Fichajes_Realizados!G$2:G$5000,$X$3
)&gt;0)</f>
        <v>0</v>
      </c>
      <c r="R259" s="5" t="n">
        <f aca="false">_xlfn.XLOOKUP(C259, [1]Estado_Equipos!A$2:A$500, [1]Estado_Equipos!J$2:J$500, "")</f>
        <v>74</v>
      </c>
      <c r="S259" s="5" t="n">
        <f aca="false">IF(H259&lt;=16,1.45,
IF(H259&gt;=41,0.3,
CHOOSE(ROUNDDOWN((H259-16)/2,0)+1,
1.45,1.38,1.3,1.23,1.17,1.15,1.12,1.05,0.95,0.8,0.6,0.4,0.3)))</f>
        <v>0.4</v>
      </c>
      <c r="T259" s="5" t="n">
        <f aca="false">CHOOSE(N259+1,1.2,1,0.85,0.7)</f>
        <v>0.85</v>
      </c>
      <c r="U259" s="5" t="n">
        <f aca="false">IF(F259="PO",0.6,
IF(F259="CT",0.75,
IF(F259="LI",0.8,
IF(F259="LD",0.8,
IF(F259="MCD",0.85,
IF(F259="MC",0.95,
IF(F259="MO",1.05,
IF(F259="EI",1.1,
IF(F259="ED",1.1,
IF(F259="SD",1.15,
IF(F259="DC",1.2,0)))))))))))</f>
        <v>0.8</v>
      </c>
    </row>
    <row r="260" customFormat="false" ht="16.4" hidden="false" customHeight="false" outlineLevel="0" collapsed="false">
      <c r="A260" s="1" t="n">
        <v>259</v>
      </c>
      <c r="B260" s="5" t="str">
        <f aca="false">[1]Base_Jugadores!B260</f>
        <v>Ben Yedder</v>
      </c>
      <c r="C260" s="5" t="str">
        <f aca="false">IFERROR(
   _xlfn.XLOOKUP(VALUE(A260),[1]Fichajes_Realizados!A$2:A$50000,[1]Fichajes_Realizados!D$2:D$50000,,0,-1),
   _xlfn.XLOOKUP(VALUE(A260),[1]Base_Jugadores!A$2:A$50000,[1]Base_Jugadores!C$2:C$50000)
)</f>
        <v>FC Hispano</v>
      </c>
      <c r="D260" s="5" t="str">
        <f aca="false">[1]Base_Jugadores!D260</f>
        <v>Francia</v>
      </c>
      <c r="E260" s="3"/>
      <c r="F260" s="5" t="str">
        <f aca="false">[1]Base_Jugadores!E260</f>
        <v>DC</v>
      </c>
      <c r="G260" s="5" t="n">
        <f aca="false">[1]Base_Jugadores!F260</f>
        <v>82</v>
      </c>
      <c r="H260" s="5" t="n">
        <f aca="false">[1]Base_Jugadores!G260</f>
        <v>35</v>
      </c>
      <c r="I260" s="7" t="n">
        <f aca="false" t="array" ref="I260:I260">_xlfn.XLOOKUP(G260,{55;56;57;58;59;60;61;62;63;64;65;66;67;68;69;70;71;72;73;74;75;76;77;78;79;80;81;82;83;84;85;86;87;88;89;90;91;92;93;94;95;96;97;98;99},{100000;130000;160000;190000;220000;250000;300000;350000;400000;450000;500000;600000;700000;800000;900000;1000000;1500000;2000000;3000000;4000000;5000000;6500000;8000000;10000000;12500000;15000000;20000000;25000000;30000000;35000000;40000000;55000000;70000000;80000000;90000000;110000000;130000000;160000000;190000000;220000000;250000000;280000000;310000000;340000000;400000000})</f>
        <v>25000000</v>
      </c>
      <c r="J260" s="7" t="n">
        <f aca="false">I260*S260*T260*U260</f>
        <v>28800000</v>
      </c>
      <c r="K260" s="3"/>
      <c r="L260" s="3"/>
      <c r="M260" s="3"/>
      <c r="N260" s="9" t="n">
        <v>0</v>
      </c>
      <c r="O260" s="4" t="n">
        <v>0</v>
      </c>
      <c r="P260" s="5" t="n">
        <f aca="false">IF(COUNTIF([1]Base_Jugadores!J$2:J$500,B260)&gt;0,1,0)</f>
        <v>0</v>
      </c>
      <c r="Q260" s="10" t="b">
        <f aca="false">--(COUNTIFS(
   [1]Fichajes_Realizados!A$2:A$5000,A260,
   [1]Fichajes_Realizados!G$2:G$5000,$X$3
)&gt;0)</f>
        <v>0</v>
      </c>
      <c r="R260" s="5" t="n">
        <f aca="false">_xlfn.XLOOKUP(C260, [1]Estado_Equipos!A$2:A$500, [1]Estado_Equipos!J$2:J$500, "")</f>
        <v>74</v>
      </c>
      <c r="S260" s="5" t="n">
        <f aca="false">IF(H260&lt;=16,1.45,
IF(H260&gt;=41,0.3,
CHOOSE(ROUNDDOWN((H260-16)/2,0)+1,
1.45,1.38,1.3,1.23,1.17,1.15,1.12,1.05,0.95,0.8,0.6,0.4,0.3)))</f>
        <v>0.8</v>
      </c>
      <c r="T260" s="5" t="n">
        <f aca="false">CHOOSE(N260+1,1.2,1,0.85,0.7)</f>
        <v>1.2</v>
      </c>
      <c r="U260" s="5" t="n">
        <f aca="false">IF(F260="PO",0.6,
IF(F260="CT",0.75,
IF(F260="LI",0.8,
IF(F260="LD",0.8,
IF(F260="MCD",0.85,
IF(F260="MC",0.95,
IF(F260="MO",1.05,
IF(F260="EI",1.1,
IF(F260="ED",1.1,
IF(F260="SD",1.15,
IF(F260="DC",1.2,0)))))))))))</f>
        <v>1.2</v>
      </c>
    </row>
    <row r="261" customFormat="false" ht="16.4" hidden="false" customHeight="false" outlineLevel="0" collapsed="false">
      <c r="A261" s="1" t="n">
        <v>260</v>
      </c>
      <c r="B261" s="5" t="str">
        <f aca="false">[1]Base_Jugadores!B261</f>
        <v>Bernardo Folha</v>
      </c>
      <c r="C261" s="5" t="str">
        <f aca="false">IFERROR(
   _xlfn.XLOOKUP(VALUE(A261),[1]Fichajes_Realizados!A$2:A$50000,[1]Fichajes_Realizados!D$2:D$50000,,0,-1),
   _xlfn.XLOOKUP(VALUE(A261),[1]Base_Jugadores!A$2:A$50000,[1]Base_Jugadores!C$2:C$50000)
)</f>
        <v>FC Hispano</v>
      </c>
      <c r="D261" s="5" t="str">
        <f aca="false">[1]Base_Jugadores!D261</f>
        <v>Portugal</v>
      </c>
      <c r="E261" s="3"/>
      <c r="F261" s="5" t="str">
        <f aca="false">[1]Base_Jugadores!E261</f>
        <v>MC</v>
      </c>
      <c r="G261" s="5" t="n">
        <f aca="false">[1]Base_Jugadores!F261</f>
        <v>70</v>
      </c>
      <c r="H261" s="5" t="n">
        <f aca="false">[1]Base_Jugadores!G261</f>
        <v>23</v>
      </c>
      <c r="I261" s="7" t="n">
        <f aca="false" t="array" ref="I261:I261">_xlfn.XLOOKUP(G261,{55;56;57;58;59;60;61;62;63;64;65;66;67;68;69;70;71;72;73;74;75;76;77;78;79;80;81;82;83;84;85;86;87;88;89;90;91;92;93;94;95;96;97;98;99},{100000;130000;160000;190000;220000;250000;300000;350000;400000;450000;500000;600000;700000;800000;900000;1000000;1500000;2000000;3000000;4000000;5000000;6500000;8000000;10000000;12500000;15000000;20000000;25000000;30000000;35000000;40000000;55000000;70000000;80000000;90000000;110000000;130000000;160000000;190000000;220000000;250000000;280000000;310000000;340000000;400000000})</f>
        <v>1000000</v>
      </c>
      <c r="J261" s="7" t="n">
        <f aca="false">I261*S261*T261*U261</f>
        <v>993225</v>
      </c>
      <c r="K261" s="3"/>
      <c r="L261" s="3"/>
      <c r="M261" s="3"/>
      <c r="N261" s="9" t="n">
        <v>2</v>
      </c>
      <c r="O261" s="4" t="n">
        <v>0</v>
      </c>
      <c r="P261" s="5" t="n">
        <f aca="false">IF(COUNTIF([1]Base_Jugadores!J$2:J$500,B261)&gt;0,1,0)</f>
        <v>0</v>
      </c>
      <c r="Q261" s="10" t="b">
        <f aca="false">--(COUNTIFS(
   [1]Fichajes_Realizados!A$2:A$5000,A261,
   [1]Fichajes_Realizados!G$2:G$5000,$X$3
)&gt;0)</f>
        <v>0</v>
      </c>
      <c r="R261" s="5" t="n">
        <f aca="false">_xlfn.XLOOKUP(C261, [1]Estado_Equipos!A$2:A$500, [1]Estado_Equipos!J$2:J$500, "")</f>
        <v>74</v>
      </c>
      <c r="S261" s="5" t="n">
        <f aca="false">IF(H261&lt;=16,1.45,
IF(H261&gt;=41,0.3,
CHOOSE(ROUNDDOWN((H261-16)/2,0)+1,
1.45,1.38,1.3,1.23,1.17,1.15,1.12,1.05,0.95,0.8,0.6,0.4,0.3)))</f>
        <v>1.23</v>
      </c>
      <c r="T261" s="5" t="n">
        <f aca="false">CHOOSE(N261+1,1.2,1,0.85,0.7)</f>
        <v>0.85</v>
      </c>
      <c r="U261" s="5" t="n">
        <f aca="false">IF(F261="PO",0.6,
IF(F261="CT",0.75,
IF(F261="LI",0.8,
IF(F261="LD",0.8,
IF(F261="MCD",0.85,
IF(F261="MC",0.95,
IF(F261="MO",1.05,
IF(F261="EI",1.1,
IF(F261="ED",1.1,
IF(F261="SD",1.15,
IF(F261="DC",1.2,0)))))))))))</f>
        <v>0.95</v>
      </c>
    </row>
    <row r="262" customFormat="false" ht="16.4" hidden="false" customHeight="false" outlineLevel="0" collapsed="false">
      <c r="A262" s="1" t="n">
        <v>261</v>
      </c>
      <c r="B262" s="5" t="str">
        <f aca="false">[1]Base_Jugadores!B262</f>
        <v>Bruno Peres</v>
      </c>
      <c r="C262" s="5" t="str">
        <f aca="false">IFERROR(
   _xlfn.XLOOKUP(VALUE(A262),[1]Fichajes_Realizados!A$2:A$50000,[1]Fichajes_Realizados!D$2:D$50000,,0,-1),
   _xlfn.XLOOKUP(VALUE(A262),[1]Base_Jugadores!A$2:A$50000,[1]Base_Jugadores!C$2:C$50000)
)</f>
        <v>FC Hispano</v>
      </c>
      <c r="D262" s="5" t="str">
        <f aca="false">[1]Base_Jugadores!D262</f>
        <v>Brasil</v>
      </c>
      <c r="E262" s="3"/>
      <c r="F262" s="5" t="str">
        <f aca="false">[1]Base_Jugadores!E262</f>
        <v>LD</v>
      </c>
      <c r="G262" s="5" t="n">
        <f aca="false">[1]Base_Jugadores!F262</f>
        <v>75</v>
      </c>
      <c r="H262" s="5" t="n">
        <f aca="false">[1]Base_Jugadores!G262</f>
        <v>35</v>
      </c>
      <c r="I262" s="7" t="n">
        <f aca="false" t="array" ref="I262:I262">_xlfn.XLOOKUP(G262,{55;56;57;58;59;60;61;62;63;64;65;66;67;68;69;70;71;72;73;74;75;76;77;78;79;80;81;82;83;84;85;86;87;88;89;90;91;92;93;94;95;96;97;98;99},{100000;130000;160000;190000;220000;250000;300000;350000;400000;450000;500000;600000;700000;800000;900000;1000000;1500000;2000000;3000000;4000000;5000000;6500000;8000000;10000000;12500000;15000000;20000000;25000000;30000000;35000000;40000000;55000000;70000000;80000000;90000000;110000000;130000000;160000000;190000000;220000000;250000000;280000000;310000000;340000000;400000000})</f>
        <v>5000000</v>
      </c>
      <c r="J262" s="7" t="n">
        <f aca="false">I262*S262*T262*U262</f>
        <v>3840000</v>
      </c>
      <c r="K262" s="3"/>
      <c r="L262" s="3"/>
      <c r="M262" s="3"/>
      <c r="N262" s="9" t="n">
        <v>0</v>
      </c>
      <c r="O262" s="4" t="n">
        <v>0</v>
      </c>
      <c r="P262" s="5" t="n">
        <f aca="false">IF(COUNTIF([1]Base_Jugadores!J$2:J$500,B262)&gt;0,1,0)</f>
        <v>0</v>
      </c>
      <c r="Q262" s="10" t="b">
        <f aca="false">--(COUNTIFS(
   [1]Fichajes_Realizados!A$2:A$5000,A262,
   [1]Fichajes_Realizados!G$2:G$5000,$X$3
)&gt;0)</f>
        <v>0</v>
      </c>
      <c r="R262" s="5" t="n">
        <f aca="false">_xlfn.XLOOKUP(C262, [1]Estado_Equipos!A$2:A$500, [1]Estado_Equipos!J$2:J$500, "")</f>
        <v>74</v>
      </c>
      <c r="S262" s="5" t="n">
        <f aca="false">IF(H262&lt;=16,1.45,
IF(H262&gt;=41,0.3,
CHOOSE(ROUNDDOWN((H262-16)/2,0)+1,
1.45,1.38,1.3,1.23,1.17,1.15,1.12,1.05,0.95,0.8,0.6,0.4,0.3)))</f>
        <v>0.8</v>
      </c>
      <c r="T262" s="5" t="n">
        <f aca="false">CHOOSE(N262+1,1.2,1,0.85,0.7)</f>
        <v>1.2</v>
      </c>
      <c r="U262" s="5" t="n">
        <f aca="false">IF(F262="PO",0.6,
IF(F262="CT",0.75,
IF(F262="LI",0.8,
IF(F262="LD",0.8,
IF(F262="MCD",0.85,
IF(F262="MC",0.95,
IF(F262="MO",1.05,
IF(F262="EI",1.1,
IF(F262="ED",1.1,
IF(F262="SD",1.15,
IF(F262="DC",1.2,0)))))))))))</f>
        <v>0.8</v>
      </c>
    </row>
    <row r="263" customFormat="false" ht="16.4" hidden="false" customHeight="false" outlineLevel="0" collapsed="false">
      <c r="A263" s="1" t="n">
        <v>262</v>
      </c>
      <c r="B263" s="5" t="str">
        <f aca="false">[1]Base_Jugadores!B263</f>
        <v>Bryan Idowu</v>
      </c>
      <c r="C263" s="5" t="str">
        <f aca="false">IFERROR(
   _xlfn.XLOOKUP(VALUE(A263),[1]Fichajes_Realizados!A$2:A$50000,[1]Fichajes_Realizados!D$2:D$50000,,0,-1),
   _xlfn.XLOOKUP(VALUE(A263),[1]Base_Jugadores!A$2:A$50000,[1]Base_Jugadores!C$2:C$50000)
)</f>
        <v>FC Hispano</v>
      </c>
      <c r="D263" s="5" t="str">
        <f aca="false">[1]Base_Jugadores!D263</f>
        <v>Nigeria</v>
      </c>
      <c r="E263" s="3"/>
      <c r="F263" s="5" t="str">
        <f aca="false">[1]Base_Jugadores!E263</f>
        <v>LI</v>
      </c>
      <c r="G263" s="5" t="n">
        <f aca="false">[1]Base_Jugadores!F263</f>
        <v>75</v>
      </c>
      <c r="H263" s="5" t="n">
        <f aca="false">[1]Base_Jugadores!G263</f>
        <v>33</v>
      </c>
      <c r="I263" s="7" t="n">
        <f aca="false" t="array" ref="I263:I263">_xlfn.XLOOKUP(G263,{55;56;57;58;59;60;61;62;63;64;65;66;67;68;69;70;71;72;73;74;75;76;77;78;79;80;81;82;83;84;85;86;87;88;89;90;91;92;93;94;95;96;97;98;99},{100000;130000;160000;190000;220000;250000;300000;350000;400000;450000;500000;600000;700000;800000;900000;1000000;1500000;2000000;3000000;4000000;5000000;6500000;8000000;10000000;12500000;15000000;20000000;25000000;30000000;35000000;40000000;55000000;70000000;80000000;90000000;110000000;130000000;160000000;190000000;220000000;250000000;280000000;310000000;340000000;400000000})</f>
        <v>5000000</v>
      </c>
      <c r="J263" s="7" t="n">
        <f aca="false">I263*S263*T263*U263</f>
        <v>4560000</v>
      </c>
      <c r="K263" s="3"/>
      <c r="L263" s="3"/>
      <c r="M263" s="3"/>
      <c r="N263" s="9" t="n">
        <v>0</v>
      </c>
      <c r="O263" s="4" t="n">
        <v>0</v>
      </c>
      <c r="P263" s="5" t="n">
        <f aca="false">IF(COUNTIF([1]Base_Jugadores!J$2:J$500,B263)&gt;0,1,0)</f>
        <v>0</v>
      </c>
      <c r="Q263" s="10" t="b">
        <f aca="false">--(COUNTIFS(
   [1]Fichajes_Realizados!A$2:A$5000,A263,
   [1]Fichajes_Realizados!G$2:G$5000,$X$3
)&gt;0)</f>
        <v>0</v>
      </c>
      <c r="R263" s="5" t="n">
        <f aca="false">_xlfn.XLOOKUP(C263, [1]Estado_Equipos!A$2:A$500, [1]Estado_Equipos!J$2:J$500, "")</f>
        <v>74</v>
      </c>
      <c r="S263" s="5" t="n">
        <f aca="false">IF(H263&lt;=16,1.45,
IF(H263&gt;=41,0.3,
CHOOSE(ROUNDDOWN((H263-16)/2,0)+1,
1.45,1.38,1.3,1.23,1.17,1.15,1.12,1.05,0.95,0.8,0.6,0.4,0.3)))</f>
        <v>0.95</v>
      </c>
      <c r="T263" s="5" t="n">
        <f aca="false">CHOOSE(N263+1,1.2,1,0.85,0.7)</f>
        <v>1.2</v>
      </c>
      <c r="U263" s="5" t="n">
        <f aca="false">IF(F263="PO",0.6,
IF(F263="CT",0.75,
IF(F263="LI",0.8,
IF(F263="LD",0.8,
IF(F263="MCD",0.85,
IF(F263="MC",0.95,
IF(F263="MO",1.05,
IF(F263="EI",1.1,
IF(F263="ED",1.1,
IF(F263="SD",1.15,
IF(F263="DC",1.2,0)))))))))))</f>
        <v>0.8</v>
      </c>
    </row>
    <row r="264" customFormat="false" ht="16.4" hidden="false" customHeight="false" outlineLevel="0" collapsed="false">
      <c r="A264" s="1" t="n">
        <v>263</v>
      </c>
      <c r="B264" s="5" t="str">
        <f aca="false">[1]Base_Jugadores!B264</f>
        <v>Cristian Galano</v>
      </c>
      <c r="C264" s="5" t="str">
        <f aca="false">IFERROR(
   _xlfn.XLOOKUP(VALUE(A264),[1]Fichajes_Realizados!A$2:A$50000,[1]Fichajes_Realizados!D$2:D$50000,,0,-1),
   _xlfn.XLOOKUP(VALUE(A264),[1]Base_Jugadores!A$2:A$50000,[1]Base_Jugadores!C$2:C$50000)
)</f>
        <v>FC Hispano</v>
      </c>
      <c r="D264" s="5" t="str">
        <f aca="false">[1]Base_Jugadores!D264</f>
        <v>Italia</v>
      </c>
      <c r="E264" s="3"/>
      <c r="F264" s="5" t="str">
        <f aca="false">[1]Base_Jugadores!E264</f>
        <v>ED</v>
      </c>
      <c r="G264" s="5" t="n">
        <f aca="false">[1]Base_Jugadores!F264</f>
        <v>74</v>
      </c>
      <c r="H264" s="5" t="n">
        <f aca="false">[1]Base_Jugadores!G264</f>
        <v>34</v>
      </c>
      <c r="I264" s="7" t="n">
        <f aca="false" t="array" ref="I264:I264">_xlfn.XLOOKUP(G264,{55;56;57;58;59;60;61;62;63;64;65;66;67;68;69;70;71;72;73;74;75;76;77;78;79;80;81;82;83;84;85;86;87;88;89;90;91;92;93;94;95;96;97;98;99},{100000;130000;160000;190000;220000;250000;300000;350000;400000;450000;500000;600000;700000;800000;900000;1000000;1500000;2000000;3000000;4000000;5000000;6500000;8000000;10000000;12500000;15000000;20000000;25000000;30000000;35000000;40000000;55000000;70000000;80000000;90000000;110000000;130000000;160000000;190000000;220000000;250000000;280000000;310000000;340000000;400000000})</f>
        <v>4000000</v>
      </c>
      <c r="J264" s="7" t="n">
        <f aca="false">I264*S264*T264*U264</f>
        <v>2992000</v>
      </c>
      <c r="K264" s="3"/>
      <c r="L264" s="3"/>
      <c r="M264" s="3"/>
      <c r="N264" s="9" t="n">
        <v>2</v>
      </c>
      <c r="O264" s="4" t="n">
        <v>0</v>
      </c>
      <c r="P264" s="5" t="n">
        <f aca="false">IF(COUNTIF([1]Base_Jugadores!J$2:J$500,B264)&gt;0,1,0)</f>
        <v>0</v>
      </c>
      <c r="Q264" s="10" t="b">
        <f aca="false">--(COUNTIFS(
   [1]Fichajes_Realizados!A$2:A$5000,A264,
   [1]Fichajes_Realizados!G$2:G$5000,$X$3
)&gt;0)</f>
        <v>0</v>
      </c>
      <c r="R264" s="5" t="n">
        <f aca="false">_xlfn.XLOOKUP(C264, [1]Estado_Equipos!A$2:A$500, [1]Estado_Equipos!J$2:J$500, "")</f>
        <v>74</v>
      </c>
      <c r="S264" s="5" t="n">
        <f aca="false">IF(H264&lt;=16,1.45,
IF(H264&gt;=41,0.3,
CHOOSE(ROUNDDOWN((H264-16)/2,0)+1,
1.45,1.38,1.3,1.23,1.17,1.15,1.12,1.05,0.95,0.8,0.6,0.4,0.3)))</f>
        <v>0.8</v>
      </c>
      <c r="T264" s="5" t="n">
        <f aca="false">CHOOSE(N264+1,1.2,1,0.85,0.7)</f>
        <v>0.85</v>
      </c>
      <c r="U264" s="5" t="n">
        <f aca="false">IF(F264="PO",0.6,
IF(F264="CT",0.75,
IF(F264="LI",0.8,
IF(F264="LD",0.8,
IF(F264="MCD",0.85,
IF(F264="MC",0.95,
IF(F264="MO",1.05,
IF(F264="EI",1.1,
IF(F264="ED",1.1,
IF(F264="SD",1.15,
IF(F264="DC",1.2,0)))))))))))</f>
        <v>1.1</v>
      </c>
    </row>
    <row r="265" customFormat="false" ht="16.4" hidden="false" customHeight="false" outlineLevel="0" collapsed="false">
      <c r="A265" s="1" t="n">
        <v>264</v>
      </c>
      <c r="B265" s="5" t="str">
        <f aca="false">[1]Base_Jugadores!B265</f>
        <v>Enzo Roco</v>
      </c>
      <c r="C265" s="5" t="str">
        <f aca="false">IFERROR(
   _xlfn.XLOOKUP(VALUE(A265),[1]Fichajes_Realizados!A$2:A$50000,[1]Fichajes_Realizados!D$2:D$50000,,0,-1),
   _xlfn.XLOOKUP(VALUE(A265),[1]Base_Jugadores!A$2:A$50000,[1]Base_Jugadores!C$2:C$50000)
)</f>
        <v>FC Hispano</v>
      </c>
      <c r="D265" s="5" t="str">
        <f aca="false">[1]Base_Jugadores!D265</f>
        <v>Chile</v>
      </c>
      <c r="E265" s="3"/>
      <c r="F265" s="5" t="str">
        <f aca="false">[1]Base_Jugadores!E265</f>
        <v>CT</v>
      </c>
      <c r="G265" s="5" t="n">
        <f aca="false">[1]Base_Jugadores!F265</f>
        <v>72</v>
      </c>
      <c r="H265" s="5" t="n">
        <f aca="false">[1]Base_Jugadores!G265</f>
        <v>33</v>
      </c>
      <c r="I265" s="7" t="n">
        <f aca="false" t="array" ref="I265:I265">_xlfn.XLOOKUP(G265,{55;56;57;58;59;60;61;62;63;64;65;66;67;68;69;70;71;72;73;74;75;76;77;78;79;80;81;82;83;84;85;86;87;88;89;90;91;92;93;94;95;96;97;98;99},{100000;130000;160000;190000;220000;250000;300000;350000;400000;450000;500000;600000;700000;800000;900000;1000000;1500000;2000000;3000000;4000000;5000000;6500000;8000000;10000000;12500000;15000000;20000000;25000000;30000000;35000000;40000000;55000000;70000000;80000000;90000000;110000000;130000000;160000000;190000000;220000000;250000000;280000000;310000000;340000000;400000000})</f>
        <v>2000000</v>
      </c>
      <c r="J265" s="7" t="n">
        <f aca="false">I265*S265*T265*U265</f>
        <v>1211250</v>
      </c>
      <c r="K265" s="3"/>
      <c r="L265" s="3"/>
      <c r="M265" s="3"/>
      <c r="N265" s="9" t="n">
        <v>2</v>
      </c>
      <c r="O265" s="4" t="n">
        <v>0</v>
      </c>
      <c r="P265" s="5" t="n">
        <f aca="false">IF(COUNTIF([1]Base_Jugadores!J$2:J$500,B265)&gt;0,1,0)</f>
        <v>0</v>
      </c>
      <c r="Q265" s="10" t="b">
        <f aca="false">--(COUNTIFS(
   [1]Fichajes_Realizados!A$2:A$5000,A265,
   [1]Fichajes_Realizados!G$2:G$5000,$X$3
)&gt;0)</f>
        <v>0</v>
      </c>
      <c r="R265" s="5" t="n">
        <f aca="false">_xlfn.XLOOKUP(C265, [1]Estado_Equipos!A$2:A$500, [1]Estado_Equipos!J$2:J$500, "")</f>
        <v>74</v>
      </c>
      <c r="S265" s="5" t="n">
        <f aca="false">IF(H265&lt;=16,1.45,
IF(H265&gt;=41,0.3,
CHOOSE(ROUNDDOWN((H265-16)/2,0)+1,
1.45,1.38,1.3,1.23,1.17,1.15,1.12,1.05,0.95,0.8,0.6,0.4,0.3)))</f>
        <v>0.95</v>
      </c>
      <c r="T265" s="5" t="n">
        <f aca="false">CHOOSE(N265+1,1.2,1,0.85,0.7)</f>
        <v>0.85</v>
      </c>
      <c r="U265" s="5" t="n">
        <f aca="false">IF(F265="PO",0.6,
IF(F265="CT",0.75,
IF(F265="LI",0.8,
IF(F265="LD",0.8,
IF(F265="MCD",0.85,
IF(F265="MC",0.95,
IF(F265="MO",1.05,
IF(F265="EI",1.1,
IF(F265="ED",1.1,
IF(F265="SD",1.15,
IF(F265="DC",1.2,0)))))))))))</f>
        <v>0.75</v>
      </c>
    </row>
    <row r="266" customFormat="false" ht="16.4" hidden="false" customHeight="false" outlineLevel="0" collapsed="false">
      <c r="A266" s="1" t="n">
        <v>265</v>
      </c>
      <c r="B266" s="5" t="str">
        <f aca="false">[1]Base_Jugadores!B266</f>
        <v>Evander</v>
      </c>
      <c r="C266" s="5" t="str">
        <f aca="false">IFERROR(
   _xlfn.XLOOKUP(VALUE(A266),[1]Fichajes_Realizados!A$2:A$50000,[1]Fichajes_Realizados!D$2:D$50000,,0,-1),
   _xlfn.XLOOKUP(VALUE(A266),[1]Base_Jugadores!A$2:A$50000,[1]Base_Jugadores!C$2:C$50000)
)</f>
        <v>FC Hispano</v>
      </c>
      <c r="D266" s="5" t="str">
        <f aca="false">[1]Base_Jugadores!D266</f>
        <v>Brasil</v>
      </c>
      <c r="E266" s="3"/>
      <c r="F266" s="5" t="str">
        <f aca="false">[1]Base_Jugadores!E266</f>
        <v>MO</v>
      </c>
      <c r="G266" s="5" t="n">
        <f aca="false">[1]Base_Jugadores!F266</f>
        <v>78</v>
      </c>
      <c r="H266" s="5" t="n">
        <f aca="false">[1]Base_Jugadores!G266</f>
        <v>27</v>
      </c>
      <c r="I266" s="7" t="n">
        <f aca="false" t="array" ref="I266:I266">_xlfn.XLOOKUP(G266,{55;56;57;58;59;60;61;62;63;64;65;66;67;68;69;70;71;72;73;74;75;76;77;78;79;80;81;82;83;84;85;86;87;88;89;90;91;92;93;94;95;96;97;98;99},{100000;130000;160000;190000;220000;250000;300000;350000;400000;450000;500000;600000;700000;800000;900000;1000000;1500000;2000000;3000000;4000000;5000000;6500000;8000000;10000000;12500000;15000000;20000000;25000000;30000000;35000000;40000000;55000000;70000000;80000000;90000000;110000000;130000000;160000000;190000000;220000000;250000000;280000000;310000000;340000000;400000000})</f>
        <v>10000000</v>
      </c>
      <c r="J266" s="7" t="n">
        <f aca="false">I266*S266*T266*U266</f>
        <v>14490000</v>
      </c>
      <c r="K266" s="3"/>
      <c r="L266" s="3"/>
      <c r="M266" s="3"/>
      <c r="N266" s="9" t="n">
        <v>0</v>
      </c>
      <c r="O266" s="4" t="n">
        <v>0</v>
      </c>
      <c r="P266" s="5" t="n">
        <f aca="false">IF(COUNTIF([1]Base_Jugadores!J$2:J$500,B266)&gt;0,1,0)</f>
        <v>0</v>
      </c>
      <c r="Q266" s="10" t="b">
        <f aca="false">--(COUNTIFS(
   [1]Fichajes_Realizados!A$2:A$5000,A266,
   [1]Fichajes_Realizados!G$2:G$5000,$X$3
)&gt;0)</f>
        <v>0</v>
      </c>
      <c r="R266" s="5" t="n">
        <f aca="false">_xlfn.XLOOKUP(C266, [1]Estado_Equipos!A$2:A$500, [1]Estado_Equipos!J$2:J$500, "")</f>
        <v>74</v>
      </c>
      <c r="S266" s="5" t="n">
        <f aca="false">IF(H266&lt;=16,1.45,
IF(H266&gt;=41,0.3,
CHOOSE(ROUNDDOWN((H266-16)/2,0)+1,
1.45,1.38,1.3,1.23,1.17,1.15,1.12,1.05,0.95,0.8,0.6,0.4,0.3)))</f>
        <v>1.15</v>
      </c>
      <c r="T266" s="5" t="n">
        <f aca="false">CHOOSE(N266+1,1.2,1,0.85,0.7)</f>
        <v>1.2</v>
      </c>
      <c r="U266" s="5" t="n">
        <f aca="false">IF(F266="PO",0.6,
IF(F266="CT",0.75,
IF(F266="LI",0.8,
IF(F266="LD",0.8,
IF(F266="MCD",0.85,
IF(F266="MC",0.95,
IF(F266="MO",1.05,
IF(F266="EI",1.1,
IF(F266="ED",1.1,
IF(F266="SD",1.15,
IF(F266="DC",1.2,0)))))))))))</f>
        <v>1.05</v>
      </c>
    </row>
    <row r="267" customFormat="false" ht="16.4" hidden="false" customHeight="false" outlineLevel="0" collapsed="false">
      <c r="A267" s="1" t="n">
        <v>266</v>
      </c>
      <c r="B267" s="5" t="str">
        <f aca="false">[1]Base_Jugadores!B267</f>
        <v>Gian Nardelli</v>
      </c>
      <c r="C267" s="5" t="str">
        <f aca="false">IFERROR(
   _xlfn.XLOOKUP(VALUE(A267),[1]Fichajes_Realizados!A$2:A$50000,[1]Fichajes_Realizados!D$2:D$50000,,0,-1),
   _xlfn.XLOOKUP(VALUE(A267),[1]Base_Jugadores!A$2:A$50000,[1]Base_Jugadores!C$2:C$50000)
)</f>
        <v>FC Hispano</v>
      </c>
      <c r="D267" s="5" t="str">
        <f aca="false">[1]Base_Jugadores!D267</f>
        <v>Argentina</v>
      </c>
      <c r="E267" s="3"/>
      <c r="F267" s="5" t="str">
        <f aca="false">[1]Base_Jugadores!E267</f>
        <v>CT</v>
      </c>
      <c r="G267" s="5" t="n">
        <f aca="false">[1]Base_Jugadores!F267</f>
        <v>67</v>
      </c>
      <c r="H267" s="5" t="n">
        <f aca="false">[1]Base_Jugadores!G267</f>
        <v>25</v>
      </c>
      <c r="I267" s="7" t="n">
        <f aca="false" t="array" ref="I267:I267">_xlfn.XLOOKUP(G267,{55;56;57;58;59;60;61;62;63;64;65;66;67;68;69;70;71;72;73;74;75;76;77;78;79;80;81;82;83;84;85;86;87;88;89;90;91;92;93;94;95;96;97;98;99},{100000;130000;160000;190000;220000;250000;300000;350000;400000;450000;500000;600000;700000;800000;900000;1000000;1500000;2000000;3000000;4000000;5000000;6500000;8000000;10000000;12500000;15000000;20000000;25000000;30000000;35000000;40000000;55000000;70000000;80000000;90000000;110000000;130000000;160000000;190000000;220000000;250000000;280000000;310000000;340000000;400000000})</f>
        <v>700000</v>
      </c>
      <c r="J267" s="7" t="n">
        <f aca="false">I267*S267*T267*U267</f>
        <v>522112.5</v>
      </c>
      <c r="K267" s="3"/>
      <c r="L267" s="3"/>
      <c r="M267" s="3"/>
      <c r="N267" s="9" t="n">
        <v>2</v>
      </c>
      <c r="O267" s="4" t="n">
        <v>0</v>
      </c>
      <c r="P267" s="5" t="n">
        <f aca="false">IF(COUNTIF([1]Base_Jugadores!J$2:J$500,B267)&gt;0,1,0)</f>
        <v>0</v>
      </c>
      <c r="Q267" s="10" t="b">
        <f aca="false">--(COUNTIFS(
   [1]Fichajes_Realizados!A$2:A$5000,A267,
   [1]Fichajes_Realizados!G$2:G$5000,$X$3
)&gt;0)</f>
        <v>0</v>
      </c>
      <c r="R267" s="5" t="n">
        <f aca="false">_xlfn.XLOOKUP(C267, [1]Estado_Equipos!A$2:A$500, [1]Estado_Equipos!J$2:J$500, "")</f>
        <v>74</v>
      </c>
      <c r="S267" s="5" t="n">
        <f aca="false">IF(H267&lt;=16,1.45,
IF(H267&gt;=41,0.3,
CHOOSE(ROUNDDOWN((H267-16)/2,0)+1,
1.45,1.38,1.3,1.23,1.17,1.15,1.12,1.05,0.95,0.8,0.6,0.4,0.3)))</f>
        <v>1.17</v>
      </c>
      <c r="T267" s="5" t="n">
        <f aca="false">CHOOSE(N267+1,1.2,1,0.85,0.7)</f>
        <v>0.85</v>
      </c>
      <c r="U267" s="5" t="n">
        <f aca="false">IF(F267="PO",0.6,
IF(F267="CT",0.75,
IF(F267="LI",0.8,
IF(F267="LD",0.8,
IF(F267="MCD",0.85,
IF(F267="MC",0.95,
IF(F267="MO",1.05,
IF(F267="EI",1.1,
IF(F267="ED",1.1,
IF(F267="SD",1.15,
IF(F267="DC",1.2,0)))))))))))</f>
        <v>0.75</v>
      </c>
    </row>
    <row r="268" customFormat="false" ht="16.4" hidden="false" customHeight="false" outlineLevel="0" collapsed="false">
      <c r="A268" s="1" t="n">
        <v>267</v>
      </c>
      <c r="B268" s="5" t="str">
        <f aca="false">[1]Base_Jugadores!B268</f>
        <v>Gilberto Jr</v>
      </c>
      <c r="C268" s="5" t="str">
        <f aca="false">IFERROR(
   _xlfn.XLOOKUP(VALUE(A268),[1]Fichajes_Realizados!A$2:A$50000,[1]Fichajes_Realizados!D$2:D$50000,,0,-1),
   _xlfn.XLOOKUP(VALUE(A268),[1]Base_Jugadores!A$2:A$50000,[1]Base_Jugadores!C$2:C$50000)
)</f>
        <v>FC Hispano</v>
      </c>
      <c r="D268" s="5" t="str">
        <f aca="false">[1]Base_Jugadores!D268</f>
        <v>Brasil</v>
      </c>
      <c r="E268" s="3"/>
      <c r="F268" s="5" t="str">
        <f aca="false">[1]Base_Jugadores!E268</f>
        <v>MCD</v>
      </c>
      <c r="G268" s="5" t="n">
        <f aca="false">[1]Base_Jugadores!F268</f>
        <v>68</v>
      </c>
      <c r="H268" s="5" t="n">
        <f aca="false">[1]Base_Jugadores!G268</f>
        <v>37</v>
      </c>
      <c r="I268" s="7" t="n">
        <f aca="false" t="array" ref="I268:I268">_xlfn.XLOOKUP(G268,{55;56;57;58;59;60;61;62;63;64;65;66;67;68;69;70;71;72;73;74;75;76;77;78;79;80;81;82;83;84;85;86;87;88;89;90;91;92;93;94;95;96;97;98;99},{100000;130000;160000;190000;220000;250000;300000;350000;400000;450000;500000;600000;700000;800000;900000;1000000;1500000;2000000;3000000;4000000;5000000;6500000;8000000;10000000;12500000;15000000;20000000;25000000;30000000;35000000;40000000;55000000;70000000;80000000;90000000;110000000;130000000;160000000;190000000;220000000;250000000;280000000;310000000;340000000;400000000})</f>
        <v>800000</v>
      </c>
      <c r="J268" s="7" t="n">
        <f aca="false">I268*S268*T268*U268</f>
        <v>346800</v>
      </c>
      <c r="K268" s="3"/>
      <c r="L268" s="3"/>
      <c r="M268" s="3"/>
      <c r="N268" s="9" t="n">
        <v>2</v>
      </c>
      <c r="O268" s="4" t="n">
        <v>0</v>
      </c>
      <c r="P268" s="5" t="n">
        <f aca="false">IF(COUNTIF([1]Base_Jugadores!J$2:J$500,B268)&gt;0,1,0)</f>
        <v>0</v>
      </c>
      <c r="Q268" s="10" t="b">
        <f aca="false">--(COUNTIFS(
   [1]Fichajes_Realizados!A$2:A$5000,A268,
   [1]Fichajes_Realizados!G$2:G$5000,$X$3
)&gt;0)</f>
        <v>0</v>
      </c>
      <c r="R268" s="5" t="n">
        <f aca="false">_xlfn.XLOOKUP(C268, [1]Estado_Equipos!A$2:A$500, [1]Estado_Equipos!J$2:J$500, "")</f>
        <v>74</v>
      </c>
      <c r="S268" s="5" t="n">
        <f aca="false">IF(H268&lt;=16,1.45,
IF(H268&gt;=41,0.3,
CHOOSE(ROUNDDOWN((H268-16)/2,0)+1,
1.45,1.38,1.3,1.23,1.17,1.15,1.12,1.05,0.95,0.8,0.6,0.4,0.3)))</f>
        <v>0.6</v>
      </c>
      <c r="T268" s="5" t="n">
        <f aca="false">CHOOSE(N268+1,1.2,1,0.85,0.7)</f>
        <v>0.85</v>
      </c>
      <c r="U268" s="5" t="n">
        <f aca="false">IF(F268="PO",0.6,
IF(F268="CT",0.75,
IF(F268="LI",0.8,
IF(F268="LD",0.8,
IF(F268="MCD",0.85,
IF(F268="MC",0.95,
IF(F268="MO",1.05,
IF(F268="EI",1.1,
IF(F268="ED",1.1,
IF(F268="SD",1.15,
IF(F268="DC",1.2,0)))))))))))</f>
        <v>0.85</v>
      </c>
    </row>
    <row r="269" customFormat="false" ht="16.4" hidden="false" customHeight="false" outlineLevel="0" collapsed="false">
      <c r="A269" s="1" t="n">
        <v>268</v>
      </c>
      <c r="B269" s="5" t="str">
        <f aca="false">[1]Base_Jugadores!B269</f>
        <v>Jonas Gomes</v>
      </c>
      <c r="C269" s="5" t="str">
        <f aca="false">IFERROR(
   _xlfn.XLOOKUP(VALUE(A269),[1]Fichajes_Realizados!A$2:A$50000,[1]Fichajes_Realizados!D$2:D$50000,,0,-1),
   _xlfn.XLOOKUP(VALUE(A269),[1]Base_Jugadores!A$2:A$50000,[1]Base_Jugadores!C$2:C$50000)
)</f>
        <v>FC Hispano</v>
      </c>
      <c r="D269" s="5" t="str">
        <f aca="false">[1]Base_Jugadores!D269</f>
        <v>Brasil</v>
      </c>
      <c r="E269" s="3"/>
      <c r="F269" s="5" t="str">
        <f aca="false">[1]Base_Jugadores!E269</f>
        <v>MCD</v>
      </c>
      <c r="G269" s="5" t="n">
        <f aca="false">[1]Base_Jugadores!F269</f>
        <v>75</v>
      </c>
      <c r="H269" s="5" t="n">
        <f aca="false">[1]Base_Jugadores!G269</f>
        <v>34</v>
      </c>
      <c r="I269" s="7" t="n">
        <f aca="false" t="array" ref="I269:I269">_xlfn.XLOOKUP(G269,{55;56;57;58;59;60;61;62;63;64;65;66;67;68;69;70;71;72;73;74;75;76;77;78;79;80;81;82;83;84;85;86;87;88;89;90;91;92;93;94;95;96;97;98;99},{100000;130000;160000;190000;220000;250000;300000;350000;400000;450000;500000;600000;700000;800000;900000;1000000;1500000;2000000;3000000;4000000;5000000;6500000;8000000;10000000;12500000;15000000;20000000;25000000;30000000;35000000;40000000;55000000;70000000;80000000;90000000;110000000;130000000;160000000;190000000;220000000;250000000;280000000;310000000;340000000;400000000})</f>
        <v>5000000</v>
      </c>
      <c r="J269" s="7" t="n">
        <f aca="false">I269*S269*T269*U269</f>
        <v>4080000</v>
      </c>
      <c r="K269" s="3"/>
      <c r="L269" s="3"/>
      <c r="M269" s="3"/>
      <c r="N269" s="9" t="n">
        <v>0</v>
      </c>
      <c r="O269" s="4" t="n">
        <v>0</v>
      </c>
      <c r="P269" s="5" t="n">
        <f aca="false">IF(COUNTIF([1]Base_Jugadores!J$2:J$500,B269)&gt;0,1,0)</f>
        <v>0</v>
      </c>
      <c r="Q269" s="10" t="b">
        <f aca="false">--(COUNTIFS(
   [1]Fichajes_Realizados!A$2:A$5000,A269,
   [1]Fichajes_Realizados!G$2:G$5000,$X$3
)&gt;0)</f>
        <v>0</v>
      </c>
      <c r="R269" s="5" t="n">
        <f aca="false">_xlfn.XLOOKUP(C269, [1]Estado_Equipos!A$2:A$500, [1]Estado_Equipos!J$2:J$500, "")</f>
        <v>74</v>
      </c>
      <c r="S269" s="5" t="n">
        <f aca="false">IF(H269&lt;=16,1.45,
IF(H269&gt;=41,0.3,
CHOOSE(ROUNDDOWN((H269-16)/2,0)+1,
1.45,1.38,1.3,1.23,1.17,1.15,1.12,1.05,0.95,0.8,0.6,0.4,0.3)))</f>
        <v>0.8</v>
      </c>
      <c r="T269" s="5" t="n">
        <f aca="false">CHOOSE(N269+1,1.2,1,0.85,0.7)</f>
        <v>1.2</v>
      </c>
      <c r="U269" s="5" t="n">
        <f aca="false">IF(F269="PO",0.6,
IF(F269="CT",0.75,
IF(F269="LI",0.8,
IF(F269="LD",0.8,
IF(F269="MCD",0.85,
IF(F269="MC",0.95,
IF(F269="MO",1.05,
IF(F269="EI",1.1,
IF(F269="ED",1.1,
IF(F269="SD",1.15,
IF(F269="DC",1.2,0)))))))))))</f>
        <v>0.85</v>
      </c>
    </row>
    <row r="270" customFormat="false" ht="16.4" hidden="false" customHeight="false" outlineLevel="0" collapsed="false">
      <c r="A270" s="1" t="n">
        <v>269</v>
      </c>
      <c r="B270" s="5" t="str">
        <f aca="false">[1]Base_Jugadores!B270</f>
        <v>Julian Krahl</v>
      </c>
      <c r="C270" s="5" t="str">
        <f aca="false">IFERROR(
   _xlfn.XLOOKUP(VALUE(A270),[1]Fichajes_Realizados!A$2:A$50000,[1]Fichajes_Realizados!D$2:D$50000,,0,-1),
   _xlfn.XLOOKUP(VALUE(A270),[1]Base_Jugadores!A$2:A$50000,[1]Base_Jugadores!C$2:C$50000)
)</f>
        <v>FC Hispano</v>
      </c>
      <c r="D270" s="5" t="str">
        <f aca="false">[1]Base_Jugadores!D270</f>
        <v>Alemania</v>
      </c>
      <c r="E270" s="3"/>
      <c r="F270" s="5" t="str">
        <f aca="false">[1]Base_Jugadores!E270</f>
        <v>PO</v>
      </c>
      <c r="G270" s="5" t="n">
        <f aca="false">[1]Base_Jugadores!F270</f>
        <v>61</v>
      </c>
      <c r="H270" s="5" t="n">
        <f aca="false">[1]Base_Jugadores!G270</f>
        <v>25</v>
      </c>
      <c r="I270" s="7" t="n">
        <f aca="false" t="array" ref="I270:I270">_xlfn.XLOOKUP(G270,{55;56;57;58;59;60;61;62;63;64;65;66;67;68;69;70;71;72;73;74;75;76;77;78;79;80;81;82;83;84;85;86;87;88;89;90;91;92;93;94;95;96;97;98;99},{100000;130000;160000;190000;220000;250000;300000;350000;400000;450000;500000;600000;700000;800000;900000;1000000;1500000;2000000;3000000;4000000;5000000;6500000;8000000;10000000;12500000;15000000;20000000;25000000;30000000;35000000;40000000;55000000;70000000;80000000;90000000;110000000;130000000;160000000;190000000;220000000;250000000;280000000;310000000;340000000;400000000})</f>
        <v>300000</v>
      </c>
      <c r="J270" s="7" t="n">
        <f aca="false">I270*S270*T270*U270</f>
        <v>179010</v>
      </c>
      <c r="K270" s="3"/>
      <c r="L270" s="3"/>
      <c r="M270" s="3"/>
      <c r="N270" s="9" t="n">
        <v>2</v>
      </c>
      <c r="O270" s="4" t="n">
        <v>0</v>
      </c>
      <c r="P270" s="5" t="n">
        <f aca="false">IF(COUNTIF([1]Base_Jugadores!J$2:J$500,B270)&gt;0,1,0)</f>
        <v>0</v>
      </c>
      <c r="Q270" s="10" t="b">
        <f aca="false">--(COUNTIFS(
   [1]Fichajes_Realizados!A$2:A$5000,A270,
   [1]Fichajes_Realizados!G$2:G$5000,$X$3
)&gt;0)</f>
        <v>0</v>
      </c>
      <c r="R270" s="5" t="n">
        <f aca="false">_xlfn.XLOOKUP(C270, [1]Estado_Equipos!A$2:A$500, [1]Estado_Equipos!J$2:J$500, "")</f>
        <v>74</v>
      </c>
      <c r="S270" s="5" t="n">
        <f aca="false">IF(H270&lt;=16,1.45,
IF(H270&gt;=41,0.3,
CHOOSE(ROUNDDOWN((H270-16)/2,0)+1,
1.45,1.38,1.3,1.23,1.17,1.15,1.12,1.05,0.95,0.8,0.6,0.4,0.3)))</f>
        <v>1.17</v>
      </c>
      <c r="T270" s="5" t="n">
        <f aca="false">CHOOSE(N270+1,1.2,1,0.85,0.7)</f>
        <v>0.85</v>
      </c>
      <c r="U270" s="5" t="n">
        <f aca="false">IF(F270="PO",0.6,
IF(F270="CT",0.75,
IF(F270="LI",0.8,
IF(F270="LD",0.8,
IF(F270="MCD",0.85,
IF(F270="MC",0.95,
IF(F270="MO",1.05,
IF(F270="EI",1.1,
IF(F270="ED",1.1,
IF(F270="SD",1.15,
IF(F270="DC",1.2,0)))))))))))</f>
        <v>0.6</v>
      </c>
    </row>
    <row r="271" customFormat="false" ht="16.4" hidden="false" customHeight="false" outlineLevel="0" collapsed="false">
      <c r="A271" s="1" t="n">
        <v>270</v>
      </c>
      <c r="B271" s="5" t="str">
        <f aca="false">[1]Base_Jugadores!B271</f>
        <v>Julián Quiñones</v>
      </c>
      <c r="C271" s="5" t="str">
        <f aca="false">IFERROR(
   _xlfn.XLOOKUP(VALUE(A271),[1]Fichajes_Realizados!A$2:A$50000,[1]Fichajes_Realizados!D$2:D$50000,,0,-1),
   _xlfn.XLOOKUP(VALUE(A271),[1]Base_Jugadores!A$2:A$50000,[1]Base_Jugadores!C$2:C$50000)
)</f>
        <v>FC Hispano</v>
      </c>
      <c r="D271" s="5" t="str">
        <f aca="false">[1]Base_Jugadores!D271</f>
        <v>México</v>
      </c>
      <c r="E271" s="3"/>
      <c r="F271" s="5" t="str">
        <f aca="false">[1]Base_Jugadores!E271</f>
        <v>DC</v>
      </c>
      <c r="G271" s="5" t="n">
        <f aca="false">[1]Base_Jugadores!F271</f>
        <v>80</v>
      </c>
      <c r="H271" s="5" t="n">
        <f aca="false">[1]Base_Jugadores!G271</f>
        <v>28</v>
      </c>
      <c r="I271" s="7" t="n">
        <f aca="false" t="array" ref="I271:I271">_xlfn.XLOOKUP(G271,{55;56;57;58;59;60;61;62;63;64;65;66;67;68;69;70;71;72;73;74;75;76;77;78;79;80;81;82;83;84;85;86;87;88;89;90;91;92;93;94;95;96;97;98;99},{100000;130000;160000;190000;220000;250000;300000;350000;400000;450000;500000;600000;700000;800000;900000;1000000;1500000;2000000;3000000;4000000;5000000;6500000;8000000;10000000;12500000;15000000;20000000;25000000;30000000;35000000;40000000;55000000;70000000;80000000;90000000;110000000;130000000;160000000;190000000;220000000;250000000;280000000;310000000;340000000;400000000})</f>
        <v>15000000</v>
      </c>
      <c r="J271" s="7" t="n">
        <f aca="false">I271*S271*T271*U271</f>
        <v>24192000</v>
      </c>
      <c r="K271" s="3"/>
      <c r="L271" s="3"/>
      <c r="M271" s="3"/>
      <c r="N271" s="9" t="n">
        <v>0</v>
      </c>
      <c r="O271" s="4" t="n">
        <v>0</v>
      </c>
      <c r="P271" s="5" t="n">
        <f aca="false">IF(COUNTIF([1]Base_Jugadores!J$2:J$500,B271)&gt;0,1,0)</f>
        <v>0</v>
      </c>
      <c r="Q271" s="10" t="b">
        <f aca="false">--(COUNTIFS(
   [1]Fichajes_Realizados!A$2:A$5000,A271,
   [1]Fichajes_Realizados!G$2:G$5000,$X$3
)&gt;0)</f>
        <v>0</v>
      </c>
      <c r="R271" s="5" t="n">
        <f aca="false">_xlfn.XLOOKUP(C271, [1]Estado_Equipos!A$2:A$500, [1]Estado_Equipos!J$2:J$500, "")</f>
        <v>74</v>
      </c>
      <c r="S271" s="5" t="n">
        <f aca="false">IF(H271&lt;=16,1.45,
IF(H271&gt;=41,0.3,
CHOOSE(ROUNDDOWN((H271-16)/2,0)+1,
1.45,1.38,1.3,1.23,1.17,1.15,1.12,1.05,0.95,0.8,0.6,0.4,0.3)))</f>
        <v>1.12</v>
      </c>
      <c r="T271" s="5" t="n">
        <f aca="false">CHOOSE(N271+1,1.2,1,0.85,0.7)</f>
        <v>1.2</v>
      </c>
      <c r="U271" s="5" t="n">
        <f aca="false">IF(F271="PO",0.6,
IF(F271="CT",0.75,
IF(F271="LI",0.8,
IF(F271="LD",0.8,
IF(F271="MCD",0.85,
IF(F271="MC",0.95,
IF(F271="MO",1.05,
IF(F271="EI",1.1,
IF(F271="ED",1.1,
IF(F271="SD",1.15,
IF(F271="DC",1.2,0)))))))))))</f>
        <v>1.2</v>
      </c>
    </row>
    <row r="272" customFormat="false" ht="16.4" hidden="false" customHeight="false" outlineLevel="0" collapsed="false">
      <c r="A272" s="1" t="n">
        <v>271</v>
      </c>
      <c r="B272" s="5" t="str">
        <f aca="false">[1]Base_Jugadores!B272</f>
        <v>Marvin Schwäbe</v>
      </c>
      <c r="C272" s="5" t="str">
        <f aca="false">IFERROR(
   _xlfn.XLOOKUP(VALUE(A272),[1]Fichajes_Realizados!A$2:A$50000,[1]Fichajes_Realizados!D$2:D$50000,,0,-1),
   _xlfn.XLOOKUP(VALUE(A272),[1]Base_Jugadores!A$2:A$50000,[1]Base_Jugadores!C$2:C$50000)
)</f>
        <v>FC Hispano</v>
      </c>
      <c r="D272" s="5" t="str">
        <f aca="false">[1]Base_Jugadores!D272</f>
        <v>Alemania</v>
      </c>
      <c r="E272" s="3"/>
      <c r="F272" s="5" t="str">
        <f aca="false">[1]Base_Jugadores!E272</f>
        <v>PO</v>
      </c>
      <c r="G272" s="5" t="n">
        <f aca="false">[1]Base_Jugadores!F272</f>
        <v>77</v>
      </c>
      <c r="H272" s="5" t="n">
        <f aca="false">[1]Base_Jugadores!G272</f>
        <v>30</v>
      </c>
      <c r="I272" s="7" t="n">
        <f aca="false" t="array" ref="I272:I272">_xlfn.XLOOKUP(G272,{55;56;57;58;59;60;61;62;63;64;65;66;67;68;69;70;71;72;73;74;75;76;77;78;79;80;81;82;83;84;85;86;87;88;89;90;91;92;93;94;95;96;97;98;99},{100000;130000;160000;190000;220000;250000;300000;350000;400000;450000;500000;600000;700000;800000;900000;1000000;1500000;2000000;3000000;4000000;5000000;6500000;8000000;10000000;12500000;15000000;20000000;25000000;30000000;35000000;40000000;55000000;70000000;80000000;90000000;110000000;130000000;160000000;190000000;220000000;250000000;280000000;310000000;340000000;400000000})</f>
        <v>8000000</v>
      </c>
      <c r="J272" s="7" t="n">
        <f aca="false">I272*S272*T272*U272</f>
        <v>6048000</v>
      </c>
      <c r="K272" s="3"/>
      <c r="L272" s="3"/>
      <c r="M272" s="3"/>
      <c r="N272" s="9" t="n">
        <v>0</v>
      </c>
      <c r="O272" s="4" t="n">
        <v>0</v>
      </c>
      <c r="P272" s="5" t="n">
        <f aca="false">IF(COUNTIF([1]Base_Jugadores!J$2:J$500,B272)&gt;0,1,0)</f>
        <v>0</v>
      </c>
      <c r="Q272" s="10" t="b">
        <f aca="false">--(COUNTIFS(
   [1]Fichajes_Realizados!A$2:A$5000,A272,
   [1]Fichajes_Realizados!G$2:G$5000,$X$3
)&gt;0)</f>
        <v>0</v>
      </c>
      <c r="R272" s="5" t="n">
        <f aca="false">_xlfn.XLOOKUP(C272, [1]Estado_Equipos!A$2:A$500, [1]Estado_Equipos!J$2:J$500, "")</f>
        <v>74</v>
      </c>
      <c r="S272" s="5" t="n">
        <f aca="false">IF(H272&lt;=16,1.45,
IF(H272&gt;=41,0.3,
CHOOSE(ROUNDDOWN((H272-16)/2,0)+1,
1.45,1.38,1.3,1.23,1.17,1.15,1.12,1.05,0.95,0.8,0.6,0.4,0.3)))</f>
        <v>1.05</v>
      </c>
      <c r="T272" s="5" t="n">
        <f aca="false">CHOOSE(N272+1,1.2,1,0.85,0.7)</f>
        <v>1.2</v>
      </c>
      <c r="U272" s="5" t="n">
        <f aca="false">IF(F272="PO",0.6,
IF(F272="CT",0.75,
IF(F272="LI",0.8,
IF(F272="LD",0.8,
IF(F272="MCD",0.85,
IF(F272="MC",0.95,
IF(F272="MO",1.05,
IF(F272="EI",1.1,
IF(F272="ED",1.1,
IF(F272="SD",1.15,
IF(F272="DC",1.2,0)))))))))))</f>
        <v>0.6</v>
      </c>
    </row>
    <row r="273" customFormat="false" ht="16.4" hidden="false" customHeight="false" outlineLevel="0" collapsed="false">
      <c r="A273" s="1" t="n">
        <v>272</v>
      </c>
      <c r="B273" s="5" t="str">
        <f aca="false">[1]Base_Jugadores!B273</f>
        <v>Mateo Pavlović</v>
      </c>
      <c r="C273" s="5" t="str">
        <f aca="false">IFERROR(
   _xlfn.XLOOKUP(VALUE(A273),[1]Fichajes_Realizados!A$2:A$50000,[1]Fichajes_Realizados!D$2:D$50000,,0,-1),
   _xlfn.XLOOKUP(VALUE(A273),[1]Base_Jugadores!A$2:A$50000,[1]Base_Jugadores!C$2:C$50000)
)</f>
        <v>FC Hispano</v>
      </c>
      <c r="D273" s="5" t="str">
        <f aca="false">[1]Base_Jugadores!D273</f>
        <v>Croacia</v>
      </c>
      <c r="E273" s="3"/>
      <c r="F273" s="5" t="str">
        <f aca="false">[1]Base_Jugadores!E273</f>
        <v>CT</v>
      </c>
      <c r="G273" s="5" t="n">
        <f aca="false">[1]Base_Jugadores!F273</f>
        <v>75</v>
      </c>
      <c r="H273" s="5" t="n">
        <f aca="false">[1]Base_Jugadores!G273</f>
        <v>35</v>
      </c>
      <c r="I273" s="7" t="n">
        <f aca="false" t="array" ref="I273:I273">_xlfn.XLOOKUP(G273,{55;56;57;58;59;60;61;62;63;64;65;66;67;68;69;70;71;72;73;74;75;76;77;78;79;80;81;82;83;84;85;86;87;88;89;90;91;92;93;94;95;96;97;98;99},{100000;130000;160000;190000;220000;250000;300000;350000;400000;450000;500000;600000;700000;800000;900000;1000000;1500000;2000000;3000000;4000000;5000000;6500000;8000000;10000000;12500000;15000000;20000000;25000000;30000000;35000000;40000000;55000000;70000000;80000000;90000000;110000000;130000000;160000000;190000000;220000000;250000000;280000000;310000000;340000000;400000000})</f>
        <v>5000000</v>
      </c>
      <c r="J273" s="7" t="n">
        <f aca="false">I273*S273*T273*U273</f>
        <v>3600000</v>
      </c>
      <c r="K273" s="3"/>
      <c r="L273" s="3"/>
      <c r="M273" s="3"/>
      <c r="N273" s="9" t="n">
        <v>0</v>
      </c>
      <c r="O273" s="4" t="n">
        <v>0</v>
      </c>
      <c r="P273" s="5" t="n">
        <f aca="false">IF(COUNTIF([1]Base_Jugadores!J$2:J$500,B273)&gt;0,1,0)</f>
        <v>0</v>
      </c>
      <c r="Q273" s="10" t="b">
        <f aca="false">--(COUNTIFS(
   [1]Fichajes_Realizados!A$2:A$5000,A273,
   [1]Fichajes_Realizados!G$2:G$5000,$X$3
)&gt;0)</f>
        <v>0</v>
      </c>
      <c r="R273" s="5" t="n">
        <f aca="false">_xlfn.XLOOKUP(C273, [1]Estado_Equipos!A$2:A$500, [1]Estado_Equipos!J$2:J$500, "")</f>
        <v>74</v>
      </c>
      <c r="S273" s="5" t="n">
        <f aca="false">IF(H273&lt;=16,1.45,
IF(H273&gt;=41,0.3,
CHOOSE(ROUNDDOWN((H273-16)/2,0)+1,
1.45,1.38,1.3,1.23,1.17,1.15,1.12,1.05,0.95,0.8,0.6,0.4,0.3)))</f>
        <v>0.8</v>
      </c>
      <c r="T273" s="5" t="n">
        <f aca="false">CHOOSE(N273+1,1.2,1,0.85,0.7)</f>
        <v>1.2</v>
      </c>
      <c r="U273" s="5" t="n">
        <f aca="false">IF(F273="PO",0.6,
IF(F273="CT",0.75,
IF(F273="LI",0.8,
IF(F273="LD",0.8,
IF(F273="MCD",0.85,
IF(F273="MC",0.95,
IF(F273="MO",1.05,
IF(F273="EI",1.1,
IF(F273="ED",1.1,
IF(F273="SD",1.15,
IF(F273="DC",1.2,0)))))))))))</f>
        <v>0.75</v>
      </c>
    </row>
    <row r="274" customFormat="false" ht="16.4" hidden="false" customHeight="false" outlineLevel="0" collapsed="false">
      <c r="A274" s="1" t="n">
        <v>273</v>
      </c>
      <c r="B274" s="5" t="str">
        <f aca="false">[1]Base_Jugadores!B274</f>
        <v>Mbaye Diagne</v>
      </c>
      <c r="C274" s="5" t="str">
        <f aca="false">IFERROR(
   _xlfn.XLOOKUP(VALUE(A274),[1]Fichajes_Realizados!A$2:A$50000,[1]Fichajes_Realizados!D$2:D$50000,,0,-1),
   _xlfn.XLOOKUP(VALUE(A274),[1]Base_Jugadores!A$2:A$50000,[1]Base_Jugadores!C$2:C$50000)
)</f>
        <v>FC Hispano</v>
      </c>
      <c r="D274" s="5" t="str">
        <f aca="false">[1]Base_Jugadores!D274</f>
        <v>Senegal</v>
      </c>
      <c r="E274" s="3"/>
      <c r="F274" s="5" t="str">
        <f aca="false">[1]Base_Jugadores!E274</f>
        <v>DC</v>
      </c>
      <c r="G274" s="5" t="n">
        <f aca="false">[1]Base_Jugadores!F274</f>
        <v>75</v>
      </c>
      <c r="H274" s="5" t="n">
        <f aca="false">[1]Base_Jugadores!G274</f>
        <v>34</v>
      </c>
      <c r="I274" s="7" t="n">
        <f aca="false" t="array" ref="I274:I274">_xlfn.XLOOKUP(G274,{55;56;57;58;59;60;61;62;63;64;65;66;67;68;69;70;71;72;73;74;75;76;77;78;79;80;81;82;83;84;85;86;87;88;89;90;91;92;93;94;95;96;97;98;99},{100000;130000;160000;190000;220000;250000;300000;350000;400000;450000;500000;600000;700000;800000;900000;1000000;1500000;2000000;3000000;4000000;5000000;6500000;8000000;10000000;12500000;15000000;20000000;25000000;30000000;35000000;40000000;55000000;70000000;80000000;90000000;110000000;130000000;160000000;190000000;220000000;250000000;280000000;310000000;340000000;400000000})</f>
        <v>5000000</v>
      </c>
      <c r="J274" s="7" t="n">
        <f aca="false">I274*S274*T274*U274</f>
        <v>4800000</v>
      </c>
      <c r="K274" s="3"/>
      <c r="L274" s="3"/>
      <c r="M274" s="3"/>
      <c r="N274" s="9" t="n">
        <v>1</v>
      </c>
      <c r="O274" s="4" t="n">
        <v>0</v>
      </c>
      <c r="P274" s="5" t="n">
        <f aca="false">IF(COUNTIF([1]Base_Jugadores!J$2:J$500,B274)&gt;0,1,0)</f>
        <v>0</v>
      </c>
      <c r="Q274" s="10" t="b">
        <f aca="false">--(COUNTIFS(
   [1]Fichajes_Realizados!A$2:A$5000,A274,
   [1]Fichajes_Realizados!G$2:G$5000,$X$3
)&gt;0)</f>
        <v>0</v>
      </c>
      <c r="R274" s="5" t="n">
        <f aca="false">_xlfn.XLOOKUP(C274, [1]Estado_Equipos!A$2:A$500, [1]Estado_Equipos!J$2:J$500, "")</f>
        <v>74</v>
      </c>
      <c r="S274" s="5" t="n">
        <f aca="false">IF(H274&lt;=16,1.45,
IF(H274&gt;=41,0.3,
CHOOSE(ROUNDDOWN((H274-16)/2,0)+1,
1.45,1.38,1.3,1.23,1.17,1.15,1.12,1.05,0.95,0.8,0.6,0.4,0.3)))</f>
        <v>0.8</v>
      </c>
      <c r="T274" s="5" t="n">
        <f aca="false">CHOOSE(N274+1,1.2,1,0.85,0.7)</f>
        <v>1</v>
      </c>
      <c r="U274" s="5" t="n">
        <f aca="false">IF(F274="PO",0.6,
IF(F274="CT",0.75,
IF(F274="LI",0.8,
IF(F274="LD",0.8,
IF(F274="MCD",0.85,
IF(F274="MC",0.95,
IF(F274="MO",1.05,
IF(F274="EI",1.1,
IF(F274="ED",1.1,
IF(F274="SD",1.15,
IF(F274="DC",1.2,0)))))))))))</f>
        <v>1.2</v>
      </c>
    </row>
    <row r="275" customFormat="false" ht="16.4" hidden="false" customHeight="false" outlineLevel="0" collapsed="false">
      <c r="A275" s="1" t="n">
        <v>274</v>
      </c>
      <c r="B275" s="5" t="str">
        <f aca="false">[1]Base_Jugadores!B275</f>
        <v>Miguel Almirón</v>
      </c>
      <c r="C275" s="5" t="str">
        <f aca="false">IFERROR(
   _xlfn.XLOOKUP(VALUE(A275),[1]Fichajes_Realizados!A$2:A$50000,[1]Fichajes_Realizados!D$2:D$50000,,0,-1),
   _xlfn.XLOOKUP(VALUE(A275),[1]Base_Jugadores!A$2:A$50000,[1]Base_Jugadores!C$2:C$50000)
)</f>
        <v>FC Hispano</v>
      </c>
      <c r="D275" s="5" t="str">
        <f aca="false">[1]Base_Jugadores!D275</f>
        <v>Paraguay</v>
      </c>
      <c r="E275" s="3"/>
      <c r="F275" s="5" t="str">
        <f aca="false">[1]Base_Jugadores!E275</f>
        <v>ED</v>
      </c>
      <c r="G275" s="5" t="n">
        <f aca="false">[1]Base_Jugadores!F275</f>
        <v>78</v>
      </c>
      <c r="H275" s="5" t="n">
        <f aca="false">[1]Base_Jugadores!G275</f>
        <v>31</v>
      </c>
      <c r="I275" s="7" t="n">
        <f aca="false" t="array" ref="I275:I275">_xlfn.XLOOKUP(G275,{55;56;57;58;59;60;61;62;63;64;65;66;67;68;69;70;71;72;73;74;75;76;77;78;79;80;81;82;83;84;85;86;87;88;89;90;91;92;93;94;95;96;97;98;99},{100000;130000;160000;190000;220000;250000;300000;350000;400000;450000;500000;600000;700000;800000;900000;1000000;1500000;2000000;3000000;4000000;5000000;6500000;8000000;10000000;12500000;15000000;20000000;25000000;30000000;35000000;40000000;55000000;70000000;80000000;90000000;110000000;130000000;160000000;190000000;220000000;250000000;280000000;310000000;340000000;400000000})</f>
        <v>10000000</v>
      </c>
      <c r="J275" s="7" t="n">
        <f aca="false">I275*S275*T275*U275</f>
        <v>13860000</v>
      </c>
      <c r="K275" s="3"/>
      <c r="L275" s="3"/>
      <c r="M275" s="3"/>
      <c r="N275" s="9" t="n">
        <v>0</v>
      </c>
      <c r="O275" s="4" t="n">
        <v>0</v>
      </c>
      <c r="P275" s="5" t="n">
        <f aca="false">IF(COUNTIF([1]Base_Jugadores!J$2:J$500,B275)&gt;0,1,0)</f>
        <v>0</v>
      </c>
      <c r="Q275" s="10" t="b">
        <f aca="false">--(COUNTIFS(
   [1]Fichajes_Realizados!A$2:A$5000,A275,
   [1]Fichajes_Realizados!G$2:G$5000,$X$3
)&gt;0)</f>
        <v>0</v>
      </c>
      <c r="R275" s="5" t="n">
        <f aca="false">_xlfn.XLOOKUP(C275, [1]Estado_Equipos!A$2:A$500, [1]Estado_Equipos!J$2:J$500, "")</f>
        <v>74</v>
      </c>
      <c r="S275" s="5" t="n">
        <f aca="false">IF(H275&lt;=16,1.45,
IF(H275&gt;=41,0.3,
CHOOSE(ROUNDDOWN((H275-16)/2,0)+1,
1.45,1.38,1.3,1.23,1.17,1.15,1.12,1.05,0.95,0.8,0.6,0.4,0.3)))</f>
        <v>1.05</v>
      </c>
      <c r="T275" s="5" t="n">
        <f aca="false">CHOOSE(N275+1,1.2,1,0.85,0.7)</f>
        <v>1.2</v>
      </c>
      <c r="U275" s="5" t="n">
        <f aca="false">IF(F275="PO",0.6,
IF(F275="CT",0.75,
IF(F275="LI",0.8,
IF(F275="LD",0.8,
IF(F275="MCD",0.85,
IF(F275="MC",0.95,
IF(F275="MO",1.05,
IF(F275="EI",1.1,
IF(F275="ED",1.1,
IF(F275="SD",1.15,
IF(F275="DC",1.2,0)))))))))))</f>
        <v>1.1</v>
      </c>
    </row>
    <row r="276" customFormat="false" ht="16.4" hidden="false" customHeight="false" outlineLevel="0" collapsed="false">
      <c r="A276" s="1" t="n">
        <v>275</v>
      </c>
      <c r="B276" s="5" t="str">
        <f aca="false">[1]Base_Jugadores!B276</f>
        <v>Nani</v>
      </c>
      <c r="C276" s="5" t="str">
        <f aca="false">IFERROR(
   _xlfn.XLOOKUP(VALUE(A276),[1]Fichajes_Realizados!A$2:A$50000,[1]Fichajes_Realizados!D$2:D$50000,,0,-1),
   _xlfn.XLOOKUP(VALUE(A276),[1]Base_Jugadores!A$2:A$50000,[1]Base_Jugadores!C$2:C$50000)
)</f>
        <v>FC Hispano</v>
      </c>
      <c r="D276" s="5" t="str">
        <f aca="false">[1]Base_Jugadores!D276</f>
        <v>Portugal</v>
      </c>
      <c r="E276" s="3"/>
      <c r="F276" s="5" t="str">
        <f aca="false">[1]Base_Jugadores!E276</f>
        <v>EI</v>
      </c>
      <c r="G276" s="5" t="n">
        <f aca="false">[1]Base_Jugadores!F276</f>
        <v>73</v>
      </c>
      <c r="H276" s="5" t="n">
        <f aca="false">[1]Base_Jugadores!G276</f>
        <v>39</v>
      </c>
      <c r="I276" s="7" t="n">
        <f aca="false" t="array" ref="I276:I276">_xlfn.XLOOKUP(G276,{55;56;57;58;59;60;61;62;63;64;65;66;67;68;69;70;71;72;73;74;75;76;77;78;79;80;81;82;83;84;85;86;87;88;89;90;91;92;93;94;95;96;97;98;99},{100000;130000;160000;190000;220000;250000;300000;350000;400000;450000;500000;600000;700000;800000;900000;1000000;1500000;2000000;3000000;4000000;5000000;6500000;8000000;10000000;12500000;15000000;20000000;25000000;30000000;35000000;40000000;55000000;70000000;80000000;90000000;110000000;130000000;160000000;190000000;220000000;250000000;280000000;310000000;340000000;400000000})</f>
        <v>3000000</v>
      </c>
      <c r="J276" s="7" t="n">
        <f aca="false">I276*S276*T276*U276</f>
        <v>1320000</v>
      </c>
      <c r="K276" s="3"/>
      <c r="L276" s="3"/>
      <c r="M276" s="3"/>
      <c r="N276" s="9" t="n">
        <v>1</v>
      </c>
      <c r="O276" s="4" t="n">
        <v>0</v>
      </c>
      <c r="P276" s="5" t="n">
        <f aca="false">IF(COUNTIF([1]Base_Jugadores!J$2:J$500,B276)&gt;0,1,0)</f>
        <v>0</v>
      </c>
      <c r="Q276" s="10" t="b">
        <f aca="false">--(COUNTIFS(
   [1]Fichajes_Realizados!A$2:A$5000,A276,
   [1]Fichajes_Realizados!G$2:G$5000,$X$3
)&gt;0)</f>
        <v>0</v>
      </c>
      <c r="R276" s="5" t="n">
        <f aca="false">_xlfn.XLOOKUP(C276, [1]Estado_Equipos!A$2:A$500, [1]Estado_Equipos!J$2:J$500, "")</f>
        <v>74</v>
      </c>
      <c r="S276" s="5" t="n">
        <f aca="false">IF(H276&lt;=16,1.45,
IF(H276&gt;=41,0.3,
CHOOSE(ROUNDDOWN((H276-16)/2,0)+1,
1.45,1.38,1.3,1.23,1.17,1.15,1.12,1.05,0.95,0.8,0.6,0.4,0.3)))</f>
        <v>0.4</v>
      </c>
      <c r="T276" s="5" t="n">
        <f aca="false">CHOOSE(N276+1,1.2,1,0.85,0.7)</f>
        <v>1</v>
      </c>
      <c r="U276" s="5" t="n">
        <f aca="false">IF(F276="PO",0.6,
IF(F276="CT",0.75,
IF(F276="LI",0.8,
IF(F276="LD",0.8,
IF(F276="MCD",0.85,
IF(F276="MC",0.95,
IF(F276="MO",1.05,
IF(F276="EI",1.1,
IF(F276="ED",1.1,
IF(F276="SD",1.15,
IF(F276="DC",1.2,0)))))))))))</f>
        <v>1.1</v>
      </c>
    </row>
    <row r="277" customFormat="false" ht="16.4" hidden="false" customHeight="false" outlineLevel="0" collapsed="false">
      <c r="A277" s="1" t="n">
        <v>276</v>
      </c>
      <c r="B277" s="5" t="str">
        <f aca="false">[1]Base_Jugadores!B277</f>
        <v>Petr Ševčík</v>
      </c>
      <c r="C277" s="5" t="str">
        <f aca="false">IFERROR(
   _xlfn.XLOOKUP(VALUE(A277),[1]Fichajes_Realizados!A$2:A$50000,[1]Fichajes_Realizados!D$2:D$50000,,0,-1),
   _xlfn.XLOOKUP(VALUE(A277),[1]Base_Jugadores!A$2:A$50000,[1]Base_Jugadores!C$2:C$50000)
)</f>
        <v>FC Hispano</v>
      </c>
      <c r="D277" s="5" t="str">
        <f aca="false">[1]Base_Jugadores!D277</f>
        <v>República Checa</v>
      </c>
      <c r="E277" s="3"/>
      <c r="F277" s="5" t="str">
        <f aca="false">[1]Base_Jugadores!E277</f>
        <v>MC</v>
      </c>
      <c r="G277" s="5" t="n">
        <f aca="false">[1]Base_Jugadores!F277</f>
        <v>74</v>
      </c>
      <c r="H277" s="5" t="n">
        <f aca="false">[1]Base_Jugadores!G277</f>
        <v>31</v>
      </c>
      <c r="I277" s="7" t="n">
        <f aca="false" t="array" ref="I277:I277">_xlfn.XLOOKUP(G277,{55;56;57;58;59;60;61;62;63;64;65;66;67;68;69;70;71;72;73;74;75;76;77;78;79;80;81;82;83;84;85;86;87;88;89;90;91;92;93;94;95;96;97;98;99},{100000;130000;160000;190000;220000;250000;300000;350000;400000;450000;500000;600000;700000;800000;900000;1000000;1500000;2000000;3000000;4000000;5000000;6500000;8000000;10000000;12500000;15000000;20000000;25000000;30000000;35000000;40000000;55000000;70000000;80000000;90000000;110000000;130000000;160000000;190000000;220000000;250000000;280000000;310000000;340000000;400000000})</f>
        <v>4000000</v>
      </c>
      <c r="J277" s="7" t="n">
        <f aca="false">I277*S277*T277*U277</f>
        <v>3990000</v>
      </c>
      <c r="K277" s="3"/>
      <c r="L277" s="3"/>
      <c r="M277" s="3"/>
      <c r="N277" s="9" t="n">
        <v>1</v>
      </c>
      <c r="O277" s="4" t="n">
        <v>0</v>
      </c>
      <c r="P277" s="5" t="n">
        <f aca="false">IF(COUNTIF([1]Base_Jugadores!J$2:J$500,B277)&gt;0,1,0)</f>
        <v>0</v>
      </c>
      <c r="Q277" s="10" t="b">
        <f aca="false">--(COUNTIFS(
   [1]Fichajes_Realizados!A$2:A$5000,A277,
   [1]Fichajes_Realizados!G$2:G$5000,$X$3
)&gt;0)</f>
        <v>0</v>
      </c>
      <c r="R277" s="5" t="n">
        <f aca="false">_xlfn.XLOOKUP(C277, [1]Estado_Equipos!A$2:A$500, [1]Estado_Equipos!J$2:J$500, "")</f>
        <v>74</v>
      </c>
      <c r="S277" s="5" t="n">
        <f aca="false">IF(H277&lt;=16,1.45,
IF(H277&gt;=41,0.3,
CHOOSE(ROUNDDOWN((H277-16)/2,0)+1,
1.45,1.38,1.3,1.23,1.17,1.15,1.12,1.05,0.95,0.8,0.6,0.4,0.3)))</f>
        <v>1.05</v>
      </c>
      <c r="T277" s="5" t="n">
        <f aca="false">CHOOSE(N277+1,1.2,1,0.85,0.7)</f>
        <v>1</v>
      </c>
      <c r="U277" s="5" t="n">
        <f aca="false">IF(F277="PO",0.6,
IF(F277="CT",0.75,
IF(F277="LI",0.8,
IF(F277="LD",0.8,
IF(F277="MCD",0.85,
IF(F277="MC",0.95,
IF(F277="MO",1.05,
IF(F277="EI",1.1,
IF(F277="ED",1.1,
IF(F277="SD",1.15,
IF(F277="DC",1.2,0)))))))))))</f>
        <v>0.95</v>
      </c>
    </row>
    <row r="278" customFormat="false" ht="16.4" hidden="false" customHeight="false" outlineLevel="0" collapsed="false">
      <c r="A278" s="1" t="n">
        <v>277</v>
      </c>
      <c r="B278" s="5" t="str">
        <f aca="false">[1]Base_Jugadores!B278</f>
        <v>Tamkin Khalilzada</v>
      </c>
      <c r="C278" s="5" t="str">
        <f aca="false">IFERROR(
   _xlfn.XLOOKUP(VALUE(A278),[1]Fichajes_Realizados!A$2:A$50000,[1]Fichajes_Realizados!D$2:D$50000,,0,-1),
   _xlfn.XLOOKUP(VALUE(A278),[1]Base_Jugadores!A$2:A$50000,[1]Base_Jugadores!C$2:C$50000)
)</f>
        <v>FC Hispano</v>
      </c>
      <c r="D278" s="5" t="str">
        <f aca="false">[1]Base_Jugadores!D278</f>
        <v>Azerbaiyán</v>
      </c>
      <c r="E278" s="3"/>
      <c r="F278" s="5" t="str">
        <f aca="false">[1]Base_Jugadores!E278</f>
        <v>LI</v>
      </c>
      <c r="G278" s="5" t="n">
        <f aca="false">[1]Base_Jugadores!F278</f>
        <v>68</v>
      </c>
      <c r="H278" s="5" t="n">
        <f aca="false">[1]Base_Jugadores!G278</f>
        <v>32</v>
      </c>
      <c r="I278" s="7" t="n">
        <f aca="false" t="array" ref="I278:I278">_xlfn.XLOOKUP(G278,{55;56;57;58;59;60;61;62;63;64;65;66;67;68;69;70;71;72;73;74;75;76;77;78;79;80;81;82;83;84;85;86;87;88;89;90;91;92;93;94;95;96;97;98;99},{100000;130000;160000;190000;220000;250000;300000;350000;400000;450000;500000;600000;700000;800000;900000;1000000;1500000;2000000;3000000;4000000;5000000;6500000;8000000;10000000;12500000;15000000;20000000;25000000;30000000;35000000;40000000;55000000;70000000;80000000;90000000;110000000;130000000;160000000;190000000;220000000;250000000;280000000;310000000;340000000;400000000})</f>
        <v>800000</v>
      </c>
      <c r="J278" s="7" t="n">
        <f aca="false">I278*S278*T278*U278</f>
        <v>516800</v>
      </c>
      <c r="K278" s="3"/>
      <c r="L278" s="3"/>
      <c r="M278" s="3"/>
      <c r="N278" s="9" t="n">
        <v>2</v>
      </c>
      <c r="O278" s="4" t="n">
        <v>0</v>
      </c>
      <c r="P278" s="5" t="n">
        <f aca="false">IF(COUNTIF([1]Base_Jugadores!J$2:J$500,B278)&gt;0,1,0)</f>
        <v>0</v>
      </c>
      <c r="Q278" s="10" t="b">
        <f aca="false">--(COUNTIFS(
   [1]Fichajes_Realizados!A$2:A$5000,A278,
   [1]Fichajes_Realizados!G$2:G$5000,$X$3
)&gt;0)</f>
        <v>0</v>
      </c>
      <c r="R278" s="5" t="n">
        <f aca="false">_xlfn.XLOOKUP(C278, [1]Estado_Equipos!A$2:A$500, [1]Estado_Equipos!J$2:J$500, "")</f>
        <v>74</v>
      </c>
      <c r="S278" s="5" t="n">
        <f aca="false">IF(H278&lt;=16,1.45,
IF(H278&gt;=41,0.3,
CHOOSE(ROUNDDOWN((H278-16)/2,0)+1,
1.45,1.38,1.3,1.23,1.17,1.15,1.12,1.05,0.95,0.8,0.6,0.4,0.3)))</f>
        <v>0.95</v>
      </c>
      <c r="T278" s="5" t="n">
        <f aca="false">CHOOSE(N278+1,1.2,1,0.85,0.7)</f>
        <v>0.85</v>
      </c>
      <c r="U278" s="5" t="n">
        <f aca="false">IF(F278="PO",0.6,
IF(F278="CT",0.75,
IF(F278="LI",0.8,
IF(F278="LD",0.8,
IF(F278="MCD",0.85,
IF(F278="MC",0.95,
IF(F278="MO",1.05,
IF(F278="EI",1.1,
IF(F278="ED",1.1,
IF(F278="SD",1.15,
IF(F278="DC",1.2,0)))))))))))</f>
        <v>0.8</v>
      </c>
    </row>
    <row r="279" customFormat="false" ht="16.4" hidden="false" customHeight="false" outlineLevel="0" collapsed="false">
      <c r="A279" s="1" t="n">
        <v>278</v>
      </c>
      <c r="B279" s="5" t="str">
        <f aca="false">[1]Base_Jugadores!B279</f>
        <v>Thiago Martins</v>
      </c>
      <c r="C279" s="5" t="str">
        <f aca="false">IFERROR(
   _xlfn.XLOOKUP(VALUE(A279),[1]Fichajes_Realizados!A$2:A$50000,[1]Fichajes_Realizados!D$2:D$50000,,0,-1),
   _xlfn.XLOOKUP(VALUE(A279),[1]Base_Jugadores!A$2:A$50000,[1]Base_Jugadores!C$2:C$50000)
)</f>
        <v>FC Hispano</v>
      </c>
      <c r="D279" s="5" t="str">
        <f aca="false">[1]Base_Jugadores!D279</f>
        <v>Brasil</v>
      </c>
      <c r="E279" s="3"/>
      <c r="F279" s="5" t="str">
        <f aca="false">[1]Base_Jugadores!E279</f>
        <v>CT</v>
      </c>
      <c r="G279" s="5" t="n">
        <f aca="false">[1]Base_Jugadores!F279</f>
        <v>74</v>
      </c>
      <c r="H279" s="5" t="n">
        <f aca="false">[1]Base_Jugadores!G279</f>
        <v>30</v>
      </c>
      <c r="I279" s="7" t="n">
        <f aca="false" t="array" ref="I279:I279">_xlfn.XLOOKUP(G279,{55;56;57;58;59;60;61;62;63;64;65;66;67;68;69;70;71;72;73;74;75;76;77;78;79;80;81;82;83;84;85;86;87;88;89;90;91;92;93;94;95;96;97;98;99},{100000;130000;160000;190000;220000;250000;300000;350000;400000;450000;500000;600000;700000;800000;900000;1000000;1500000;2000000;3000000;4000000;5000000;6500000;8000000;10000000;12500000;15000000;20000000;25000000;30000000;35000000;40000000;55000000;70000000;80000000;90000000;110000000;130000000;160000000;190000000;220000000;250000000;280000000;310000000;340000000;400000000})</f>
        <v>4000000</v>
      </c>
      <c r="J279" s="7" t="n">
        <f aca="false">I279*S279*T279*U279</f>
        <v>3150000</v>
      </c>
      <c r="K279" s="3"/>
      <c r="L279" s="3"/>
      <c r="M279" s="3"/>
      <c r="N279" s="9" t="n">
        <v>1</v>
      </c>
      <c r="O279" s="4" t="n">
        <v>0</v>
      </c>
      <c r="P279" s="5" t="n">
        <f aca="false">IF(COUNTIF([1]Base_Jugadores!J$2:J$500,B279)&gt;0,1,0)</f>
        <v>0</v>
      </c>
      <c r="Q279" s="10" t="b">
        <f aca="false">--(COUNTIFS(
   [1]Fichajes_Realizados!A$2:A$5000,A279,
   [1]Fichajes_Realizados!G$2:G$5000,$X$3
)&gt;0)</f>
        <v>0</v>
      </c>
      <c r="R279" s="5" t="n">
        <f aca="false">_xlfn.XLOOKUP(C279, [1]Estado_Equipos!A$2:A$500, [1]Estado_Equipos!J$2:J$500, "")</f>
        <v>74</v>
      </c>
      <c r="S279" s="5" t="n">
        <f aca="false">IF(H279&lt;=16,1.45,
IF(H279&gt;=41,0.3,
CHOOSE(ROUNDDOWN((H279-16)/2,0)+1,
1.45,1.38,1.3,1.23,1.17,1.15,1.12,1.05,0.95,0.8,0.6,0.4,0.3)))</f>
        <v>1.05</v>
      </c>
      <c r="T279" s="5" t="n">
        <f aca="false">CHOOSE(N279+1,1.2,1,0.85,0.7)</f>
        <v>1</v>
      </c>
      <c r="U279" s="5" t="n">
        <f aca="false">IF(F279="PO",0.6,
IF(F279="CT",0.75,
IF(F279="LI",0.8,
IF(F279="LD",0.8,
IF(F279="MCD",0.85,
IF(F279="MC",0.95,
IF(F279="MO",1.05,
IF(F279="EI",1.1,
IF(F279="ED",1.1,
IF(F279="SD",1.15,
IF(F279="DC",1.2,0)))))))))))</f>
        <v>0.75</v>
      </c>
    </row>
    <row r="280" customFormat="false" ht="16.4" hidden="false" customHeight="false" outlineLevel="0" collapsed="false">
      <c r="A280" s="1" t="n">
        <v>279</v>
      </c>
      <c r="B280" s="5" t="str">
        <f aca="false">[1]Base_Jugadores!B280</f>
        <v>Timo Hübers</v>
      </c>
      <c r="C280" s="5" t="str">
        <f aca="false">IFERROR(
   _xlfn.XLOOKUP(VALUE(A280),[1]Fichajes_Realizados!A$2:A$50000,[1]Fichajes_Realizados!D$2:D$50000,,0,-1),
   _xlfn.XLOOKUP(VALUE(A280),[1]Base_Jugadores!A$2:A$50000,[1]Base_Jugadores!C$2:C$50000)
)</f>
        <v>FC Hispano</v>
      </c>
      <c r="D280" s="5" t="str">
        <f aca="false">[1]Base_Jugadores!D280</f>
        <v>Alemania</v>
      </c>
      <c r="E280" s="3"/>
      <c r="F280" s="5" t="str">
        <f aca="false">[1]Base_Jugadores!E280</f>
        <v>CT</v>
      </c>
      <c r="G280" s="5" t="n">
        <f aca="false">[1]Base_Jugadores!F280</f>
        <v>77</v>
      </c>
      <c r="H280" s="5" t="n">
        <f aca="false">[1]Base_Jugadores!G280</f>
        <v>29</v>
      </c>
      <c r="I280" s="7" t="n">
        <f aca="false" t="array" ref="I280:I280">_xlfn.XLOOKUP(G280,{55;56;57;58;59;60;61;62;63;64;65;66;67;68;69;70;71;72;73;74;75;76;77;78;79;80;81;82;83;84;85;86;87;88;89;90;91;92;93;94;95;96;97;98;99},{100000;130000;160000;190000;220000;250000;300000;350000;400000;450000;500000;600000;700000;800000;900000;1000000;1500000;2000000;3000000;4000000;5000000;6500000;8000000;10000000;12500000;15000000;20000000;25000000;30000000;35000000;40000000;55000000;70000000;80000000;90000000;110000000;130000000;160000000;190000000;220000000;250000000;280000000;310000000;340000000;400000000})</f>
        <v>8000000</v>
      </c>
      <c r="J280" s="7" t="n">
        <f aca="false">I280*S280*T280*U280</f>
        <v>8064000</v>
      </c>
      <c r="K280" s="3"/>
      <c r="L280" s="3"/>
      <c r="M280" s="3"/>
      <c r="N280" s="9" t="n">
        <v>0</v>
      </c>
      <c r="O280" s="4" t="n">
        <v>0</v>
      </c>
      <c r="P280" s="5" t="n">
        <f aca="false">IF(COUNTIF([1]Base_Jugadores!J$2:J$500,B280)&gt;0,1,0)</f>
        <v>0</v>
      </c>
      <c r="Q280" s="10" t="b">
        <f aca="false">--(COUNTIFS(
   [1]Fichajes_Realizados!A$2:A$5000,A280,
   [1]Fichajes_Realizados!G$2:G$5000,$X$3
)&gt;0)</f>
        <v>0</v>
      </c>
      <c r="R280" s="5" t="n">
        <f aca="false">_xlfn.XLOOKUP(C280, [1]Estado_Equipos!A$2:A$500, [1]Estado_Equipos!J$2:J$500, "")</f>
        <v>74</v>
      </c>
      <c r="S280" s="5" t="n">
        <f aca="false">IF(H280&lt;=16,1.45,
IF(H280&gt;=41,0.3,
CHOOSE(ROUNDDOWN((H280-16)/2,0)+1,
1.45,1.38,1.3,1.23,1.17,1.15,1.12,1.05,0.95,0.8,0.6,0.4,0.3)))</f>
        <v>1.12</v>
      </c>
      <c r="T280" s="5" t="n">
        <f aca="false">CHOOSE(N280+1,1.2,1,0.85,0.7)</f>
        <v>1.2</v>
      </c>
      <c r="U280" s="5" t="n">
        <f aca="false">IF(F280="PO",0.6,
IF(F280="CT",0.75,
IF(F280="LI",0.8,
IF(F280="LD",0.8,
IF(F280="MCD",0.85,
IF(F280="MC",0.95,
IF(F280="MO",1.05,
IF(F280="EI",1.1,
IF(F280="ED",1.1,
IF(F280="SD",1.15,
IF(F280="DC",1.2,0)))))))))))</f>
        <v>0.75</v>
      </c>
    </row>
    <row r="281" customFormat="false" ht="16.4" hidden="false" customHeight="false" outlineLevel="0" collapsed="false">
      <c r="A281" s="1" t="n">
        <v>280</v>
      </c>
      <c r="B281" s="5" t="str">
        <f aca="false">[1]Base_Jugadores!B281</f>
        <v>V. Shepelev</v>
      </c>
      <c r="C281" s="5" t="str">
        <f aca="false">IFERROR(
   _xlfn.XLOOKUP(VALUE(A281),[1]Fichajes_Realizados!A$2:A$50000,[1]Fichajes_Realizados!D$2:D$50000,,0,-1),
   _xlfn.XLOOKUP(VALUE(A281),[1]Base_Jugadores!A$2:A$50000,[1]Base_Jugadores!C$2:C$50000)
)</f>
        <v>FC Hispano</v>
      </c>
      <c r="D281" s="5" t="str">
        <f aca="false">[1]Base_Jugadores!D281</f>
        <v>Ucrania</v>
      </c>
      <c r="E281" s="3"/>
      <c r="F281" s="5" t="str">
        <f aca="false">[1]Base_Jugadores!E281</f>
        <v>MC</v>
      </c>
      <c r="G281" s="5" t="n">
        <f aca="false">[1]Base_Jugadores!F281</f>
        <v>75</v>
      </c>
      <c r="H281" s="5" t="n">
        <f aca="false">[1]Base_Jugadores!G281</f>
        <v>28</v>
      </c>
      <c r="I281" s="7" t="n">
        <f aca="false" t="array" ref="I281:I281">_xlfn.XLOOKUP(G281,{55;56;57;58;59;60;61;62;63;64;65;66;67;68;69;70;71;72;73;74;75;76;77;78;79;80;81;82;83;84;85;86;87;88;89;90;91;92;93;94;95;96;97;98;99},{100000;130000;160000;190000;220000;250000;300000;350000;400000;450000;500000;600000;700000;800000;900000;1000000;1500000;2000000;3000000;4000000;5000000;6500000;8000000;10000000;12500000;15000000;20000000;25000000;30000000;35000000;40000000;55000000;70000000;80000000;90000000;110000000;130000000;160000000;190000000;220000000;250000000;280000000;310000000;340000000;400000000})</f>
        <v>5000000</v>
      </c>
      <c r="J281" s="7" t="n">
        <f aca="false">I281*S281*T281*U281</f>
        <v>6384000</v>
      </c>
      <c r="K281" s="3"/>
      <c r="L281" s="3"/>
      <c r="M281" s="3"/>
      <c r="N281" s="9" t="n">
        <v>0</v>
      </c>
      <c r="O281" s="4" t="n">
        <v>0</v>
      </c>
      <c r="P281" s="5" t="n">
        <f aca="false">IF(COUNTIF([1]Base_Jugadores!J$2:J$500,B281)&gt;0,1,0)</f>
        <v>0</v>
      </c>
      <c r="Q281" s="10" t="b">
        <f aca="false">--(COUNTIFS(
   [1]Fichajes_Realizados!A$2:A$5000,A281,
   [1]Fichajes_Realizados!G$2:G$5000,$X$3
)&gt;0)</f>
        <v>0</v>
      </c>
      <c r="R281" s="5" t="n">
        <f aca="false">_xlfn.XLOOKUP(C281, [1]Estado_Equipos!A$2:A$500, [1]Estado_Equipos!J$2:J$500, "")</f>
        <v>74</v>
      </c>
      <c r="S281" s="5" t="n">
        <f aca="false">IF(H281&lt;=16,1.45,
IF(H281&gt;=41,0.3,
CHOOSE(ROUNDDOWN((H281-16)/2,0)+1,
1.45,1.38,1.3,1.23,1.17,1.15,1.12,1.05,0.95,0.8,0.6,0.4,0.3)))</f>
        <v>1.12</v>
      </c>
      <c r="T281" s="5" t="n">
        <f aca="false">CHOOSE(N281+1,1.2,1,0.85,0.7)</f>
        <v>1.2</v>
      </c>
      <c r="U281" s="5" t="n">
        <f aca="false">IF(F281="PO",0.6,
IF(F281="CT",0.75,
IF(F281="LI",0.8,
IF(F281="LD",0.8,
IF(F281="MCD",0.85,
IF(F281="MC",0.95,
IF(F281="MO",1.05,
IF(F281="EI",1.1,
IF(F281="ED",1.1,
IF(F281="SD",1.15,
IF(F281="DC",1.2,0)))))))))))</f>
        <v>0.95</v>
      </c>
    </row>
    <row r="282" customFormat="false" ht="16.4" hidden="false" customHeight="false" outlineLevel="0" collapsed="false">
      <c r="A282" s="1" t="n">
        <v>281</v>
      </c>
      <c r="B282" s="5" t="str">
        <f aca="false">[1]Base_Jugadores!B282</f>
        <v>A. Tchouaméni</v>
      </c>
      <c r="C282" s="5" t="str">
        <f aca="false">IFERROR(
   _xlfn.XLOOKUP(VALUE(A282),[1]Fichajes_Realizados!A$2:A$50000,[1]Fichajes_Realizados!D$2:D$50000,,0,-1),
   _xlfn.XLOOKUP(VALUE(A282),[1]Base_Jugadores!A$2:A$50000,[1]Base_Jugadores!C$2:C$50000)
)</f>
        <v>Real Madrid CF</v>
      </c>
      <c r="D282" s="5" t="str">
        <f aca="false">[1]Base_Jugadores!D282</f>
        <v>Francia</v>
      </c>
      <c r="E282" s="3"/>
      <c r="F282" s="5" t="str">
        <f aca="false">[1]Base_Jugadores!E282</f>
        <v>MCD</v>
      </c>
      <c r="G282" s="5" t="n">
        <f aca="false">[1]Base_Jugadores!F282</f>
        <v>84</v>
      </c>
      <c r="H282" s="5" t="n">
        <f aca="false">[1]Base_Jugadores!G282</f>
        <v>25</v>
      </c>
      <c r="I282" s="7" t="n">
        <f aca="false" t="array" ref="I282:I282">_xlfn.XLOOKUP(G282,{55;56;57;58;59;60;61;62;63;64;65;66;67;68;69;70;71;72;73;74;75;76;77;78;79;80;81;82;83;84;85;86;87;88;89;90;91;92;93;94;95;96;97;98;99},{100000;130000;160000;190000;220000;250000;300000;350000;400000;450000;500000;600000;700000;800000;900000;1000000;1500000;2000000;3000000;4000000;5000000;6500000;8000000;10000000;12500000;15000000;20000000;25000000;30000000;35000000;40000000;55000000;70000000;80000000;90000000;110000000;130000000;160000000;190000000;220000000;250000000;280000000;310000000;340000000;400000000})</f>
        <v>35000000</v>
      </c>
      <c r="J282" s="7" t="n">
        <f aca="false">I282*S282*T282*U282</f>
        <v>41769000</v>
      </c>
      <c r="K282" s="3"/>
      <c r="L282" s="3"/>
      <c r="M282" s="3"/>
      <c r="N282" s="9" t="n">
        <v>0</v>
      </c>
      <c r="O282" s="4" t="n">
        <v>0</v>
      </c>
      <c r="P282" s="5" t="n">
        <f aca="false">IF(COUNTIF([1]Base_Jugadores!J$2:J$500,B282)&gt;0,1,0)</f>
        <v>0</v>
      </c>
      <c r="Q282" s="10" t="b">
        <f aca="false">--(COUNTIFS(
   [1]Fichajes_Realizados!A$2:A$5000,A282,
   [1]Fichajes_Realizados!G$2:G$5000,$X$3
)&gt;0)</f>
        <v>0</v>
      </c>
      <c r="R282" s="5" t="n">
        <f aca="false">_xlfn.XLOOKUP(C282, [1]Estado_Equipos!A$2:A$500, [1]Estado_Equipos!J$2:J$500, "")</f>
        <v>85</v>
      </c>
      <c r="S282" s="5" t="n">
        <f aca="false">IF(H282&lt;=16,1.45,
IF(H282&gt;=41,0.3,
CHOOSE(ROUNDDOWN((H282-16)/2,0)+1,
1.45,1.38,1.3,1.23,1.17,1.15,1.12,1.05,0.95,0.8,0.6,0.4,0.3)))</f>
        <v>1.17</v>
      </c>
      <c r="T282" s="5" t="n">
        <f aca="false">CHOOSE(N282+1,1.2,1,0.85,0.7)</f>
        <v>1.2</v>
      </c>
      <c r="U282" s="5" t="n">
        <f aca="false">IF(F282="PO",0.6,
IF(F282="CT",0.75,
IF(F282="LI",0.8,
IF(F282="LD",0.8,
IF(F282="MCD",0.85,
IF(F282="MC",0.95,
IF(F282="MO",1.05,
IF(F282="EI",1.1,
IF(F282="ED",1.1,
IF(F282="SD",1.15,
IF(F282="DC",1.2,0)))))))))))</f>
        <v>0.85</v>
      </c>
    </row>
    <row r="283" customFormat="false" ht="16.4" hidden="false" customHeight="false" outlineLevel="0" collapsed="false">
      <c r="A283" s="1" t="n">
        <v>282</v>
      </c>
      <c r="B283" s="5" t="str">
        <f aca="false">[1]Base_Jugadores!B283</f>
        <v>Alexander-Arnold</v>
      </c>
      <c r="C283" s="5" t="str">
        <f aca="false">IFERROR(
   _xlfn.XLOOKUP(VALUE(A283),[1]Fichajes_Realizados!A$2:A$50000,[1]Fichajes_Realizados!D$2:D$50000,,0,-1),
   _xlfn.XLOOKUP(VALUE(A283),[1]Base_Jugadores!A$2:A$50000,[1]Base_Jugadores!C$2:C$50000)
)</f>
        <v>Real Madrid CF</v>
      </c>
      <c r="D283" s="5" t="str">
        <f aca="false">[1]Base_Jugadores!D283</f>
        <v>Inglaterra</v>
      </c>
      <c r="E283" s="3"/>
      <c r="F283" s="5" t="str">
        <f aca="false">[1]Base_Jugadores!E283</f>
        <v>LD</v>
      </c>
      <c r="G283" s="5" t="n">
        <f aca="false">[1]Base_Jugadores!F283</f>
        <v>86</v>
      </c>
      <c r="H283" s="5" t="n">
        <f aca="false">[1]Base_Jugadores!G283</f>
        <v>27</v>
      </c>
      <c r="I283" s="7" t="n">
        <f aca="false" t="array" ref="I283:I283">_xlfn.XLOOKUP(G283,{55;56;57;58;59;60;61;62;63;64;65;66;67;68;69;70;71;72;73;74;75;76;77;78;79;80;81;82;83;84;85;86;87;88;89;90;91;92;93;94;95;96;97;98;99},{100000;130000;160000;190000;220000;250000;300000;350000;400000;450000;500000;600000;700000;800000;900000;1000000;1500000;2000000;3000000;4000000;5000000;6500000;8000000;10000000;12500000;15000000;20000000;25000000;30000000;35000000;40000000;55000000;70000000;80000000;90000000;110000000;130000000;160000000;190000000;220000000;250000000;280000000;310000000;340000000;400000000})</f>
        <v>55000000</v>
      </c>
      <c r="J283" s="7" t="n">
        <f aca="false">I283*S283*T283*U283</f>
        <v>60720000</v>
      </c>
      <c r="K283" s="3"/>
      <c r="L283" s="3"/>
      <c r="M283" s="3"/>
      <c r="N283" s="9" t="n">
        <v>0</v>
      </c>
      <c r="O283" s="4" t="n">
        <v>0</v>
      </c>
      <c r="P283" s="5" t="n">
        <f aca="false">IF(COUNTIF([1]Base_Jugadores!J$2:J$500,B283)&gt;0,1,0)</f>
        <v>0</v>
      </c>
      <c r="Q283" s="10" t="b">
        <f aca="false">--(COUNTIFS(
   [1]Fichajes_Realizados!A$2:A$5000,A283,
   [1]Fichajes_Realizados!G$2:G$5000,$X$3
)&gt;0)</f>
        <v>0</v>
      </c>
      <c r="R283" s="5" t="n">
        <f aca="false">_xlfn.XLOOKUP(C283, [1]Estado_Equipos!A$2:A$500, [1]Estado_Equipos!J$2:J$500, "")</f>
        <v>85</v>
      </c>
      <c r="S283" s="5" t="n">
        <f aca="false">IF(H283&lt;=16,1.45,
IF(H283&gt;=41,0.3,
CHOOSE(ROUNDDOWN((H283-16)/2,0)+1,
1.45,1.38,1.3,1.23,1.17,1.15,1.12,1.05,0.95,0.8,0.6,0.4,0.3)))</f>
        <v>1.15</v>
      </c>
      <c r="T283" s="5" t="n">
        <f aca="false">CHOOSE(N283+1,1.2,1,0.85,0.7)</f>
        <v>1.2</v>
      </c>
      <c r="U283" s="5" t="n">
        <f aca="false">IF(F283="PO",0.6,
IF(F283="CT",0.75,
IF(F283="LI",0.8,
IF(F283="LD",0.8,
IF(F283="MCD",0.85,
IF(F283="MC",0.95,
IF(F283="MO",1.05,
IF(F283="EI",1.1,
IF(F283="ED",1.1,
IF(F283="SD",1.15,
IF(F283="DC",1.2,0)))))))))))</f>
        <v>0.8</v>
      </c>
    </row>
    <row r="284" customFormat="false" ht="16.4" hidden="false" customHeight="false" outlineLevel="0" collapsed="false">
      <c r="A284" s="1" t="n">
        <v>283</v>
      </c>
      <c r="B284" s="5" t="str">
        <f aca="false">[1]Base_Jugadores!B284</f>
        <v>Álvaro Carreras</v>
      </c>
      <c r="C284" s="5" t="str">
        <f aca="false">IFERROR(
   _xlfn.XLOOKUP(VALUE(A284),[1]Fichajes_Realizados!A$2:A$50000,[1]Fichajes_Realizados!D$2:D$50000,,0,-1),
   _xlfn.XLOOKUP(VALUE(A284),[1]Base_Jugadores!A$2:A$50000,[1]Base_Jugadores!C$2:C$50000)
)</f>
        <v>Real Madrid CF</v>
      </c>
      <c r="D284" s="5" t="str">
        <f aca="false">[1]Base_Jugadores!D284</f>
        <v>España</v>
      </c>
      <c r="E284" s="3"/>
      <c r="F284" s="5" t="str">
        <f aca="false">[1]Base_Jugadores!E284</f>
        <v>LI</v>
      </c>
      <c r="G284" s="5" t="n">
        <f aca="false">[1]Base_Jugadores!F284</f>
        <v>78</v>
      </c>
      <c r="H284" s="5" t="n">
        <f aca="false">[1]Base_Jugadores!G284</f>
        <v>22</v>
      </c>
      <c r="I284" s="7" t="n">
        <f aca="false" t="array" ref="I284:I284">_xlfn.XLOOKUP(G284,{55;56;57;58;59;60;61;62;63;64;65;66;67;68;69;70;71;72;73;74;75;76;77;78;79;80;81;82;83;84;85;86;87;88;89;90;91;92;93;94;95;96;97;98;99},{100000;130000;160000;190000;220000;250000;300000;350000;400000;450000;500000;600000;700000;800000;900000;1000000;1500000;2000000;3000000;4000000;5000000;6500000;8000000;10000000;12500000;15000000;20000000;25000000;30000000;35000000;40000000;55000000;70000000;80000000;90000000;110000000;130000000;160000000;190000000;220000000;250000000;280000000;310000000;340000000;400000000})</f>
        <v>10000000</v>
      </c>
      <c r="J284" s="7" t="n">
        <f aca="false">I284*S284*T284*U284</f>
        <v>8364000</v>
      </c>
      <c r="K284" s="3"/>
      <c r="L284" s="3"/>
      <c r="M284" s="3"/>
      <c r="N284" s="9" t="n">
        <v>2</v>
      </c>
      <c r="O284" s="4" t="n">
        <v>0</v>
      </c>
      <c r="P284" s="5" t="n">
        <f aca="false">IF(COUNTIF([1]Base_Jugadores!J$2:J$500,B284)&gt;0,1,0)</f>
        <v>0</v>
      </c>
      <c r="Q284" s="10" t="b">
        <f aca="false">--(COUNTIFS(
   [1]Fichajes_Realizados!A$2:A$5000,A284,
   [1]Fichajes_Realizados!G$2:G$5000,$X$3
)&gt;0)</f>
        <v>0</v>
      </c>
      <c r="R284" s="5" t="n">
        <f aca="false">_xlfn.XLOOKUP(C284, [1]Estado_Equipos!A$2:A$500, [1]Estado_Equipos!J$2:J$500, "")</f>
        <v>85</v>
      </c>
      <c r="S284" s="5" t="n">
        <f aca="false">IF(H284&lt;=16,1.45,
IF(H284&gt;=41,0.3,
CHOOSE(ROUNDDOWN((H284-16)/2,0)+1,
1.45,1.38,1.3,1.23,1.17,1.15,1.12,1.05,0.95,0.8,0.6,0.4,0.3)))</f>
        <v>1.23</v>
      </c>
      <c r="T284" s="5" t="n">
        <f aca="false">CHOOSE(N284+1,1.2,1,0.85,0.7)</f>
        <v>0.85</v>
      </c>
      <c r="U284" s="5" t="n">
        <f aca="false">IF(F284="PO",0.6,
IF(F284="CT",0.75,
IF(F284="LI",0.8,
IF(F284="LD",0.8,
IF(F284="MCD",0.85,
IF(F284="MC",0.95,
IF(F284="MO",1.05,
IF(F284="EI",1.1,
IF(F284="ED",1.1,
IF(F284="SD",1.15,
IF(F284="DC",1.2,0)))))))))))</f>
        <v>0.8</v>
      </c>
    </row>
    <row r="285" customFormat="false" ht="16.4" hidden="false" customHeight="false" outlineLevel="0" collapsed="false">
      <c r="A285" s="1" t="n">
        <v>284</v>
      </c>
      <c r="B285" s="5" t="str">
        <f aca="false">[1]Base_Jugadores!B285</f>
        <v>Andriy Lunin</v>
      </c>
      <c r="C285" s="5" t="str">
        <f aca="false">IFERROR(
   _xlfn.XLOOKUP(VALUE(A285),[1]Fichajes_Realizados!A$2:A$50000,[1]Fichajes_Realizados!D$2:D$50000,,0,-1),
   _xlfn.XLOOKUP(VALUE(A285),[1]Base_Jugadores!A$2:A$50000,[1]Base_Jugadores!C$2:C$50000)
)</f>
        <v>Real Madrid CF</v>
      </c>
      <c r="D285" s="5" t="str">
        <f aca="false">[1]Base_Jugadores!D285</f>
        <v>Ucrania</v>
      </c>
      <c r="E285" s="3"/>
      <c r="F285" s="5" t="str">
        <f aca="false">[1]Base_Jugadores!E285</f>
        <v>PO</v>
      </c>
      <c r="G285" s="5" t="n">
        <f aca="false">[1]Base_Jugadores!F285</f>
        <v>80</v>
      </c>
      <c r="H285" s="5" t="n">
        <f aca="false">[1]Base_Jugadores!G285</f>
        <v>26</v>
      </c>
      <c r="I285" s="7" t="n">
        <f aca="false" t="array" ref="I285:I285">_xlfn.XLOOKUP(G285,{55;56;57;58;59;60;61;62;63;64;65;66;67;68;69;70;71;72;73;74;75;76;77;78;79;80;81;82;83;84;85;86;87;88;89;90;91;92;93;94;95;96;97;98;99},{100000;130000;160000;190000;220000;250000;300000;350000;400000;450000;500000;600000;700000;800000;900000;1000000;1500000;2000000;3000000;4000000;5000000;6500000;8000000;10000000;12500000;15000000;20000000;25000000;30000000;35000000;40000000;55000000;70000000;80000000;90000000;110000000;130000000;160000000;190000000;220000000;250000000;280000000;310000000;340000000;400000000})</f>
        <v>15000000</v>
      </c>
      <c r="J285" s="7" t="n">
        <f aca="false">I285*S285*T285*U285</f>
        <v>8797500</v>
      </c>
      <c r="K285" s="3"/>
      <c r="L285" s="3"/>
      <c r="M285" s="3"/>
      <c r="N285" s="9" t="n">
        <v>2</v>
      </c>
      <c r="O285" s="4" t="n">
        <v>0</v>
      </c>
      <c r="P285" s="5" t="n">
        <f aca="false">IF(COUNTIF([1]Base_Jugadores!J$2:J$500,B285)&gt;0,1,0)</f>
        <v>0</v>
      </c>
      <c r="Q285" s="10" t="b">
        <f aca="false">--(COUNTIFS(
   [1]Fichajes_Realizados!A$2:A$5000,A285,
   [1]Fichajes_Realizados!G$2:G$5000,$X$3
)&gt;0)</f>
        <v>0</v>
      </c>
      <c r="R285" s="5" t="n">
        <f aca="false">_xlfn.XLOOKUP(C285, [1]Estado_Equipos!A$2:A$500, [1]Estado_Equipos!J$2:J$500, "")</f>
        <v>85</v>
      </c>
      <c r="S285" s="5" t="n">
        <f aca="false">IF(H285&lt;=16,1.45,
IF(H285&gt;=41,0.3,
CHOOSE(ROUNDDOWN((H285-16)/2,0)+1,
1.45,1.38,1.3,1.23,1.17,1.15,1.12,1.05,0.95,0.8,0.6,0.4,0.3)))</f>
        <v>1.15</v>
      </c>
      <c r="T285" s="5" t="n">
        <f aca="false">CHOOSE(N285+1,1.2,1,0.85,0.7)</f>
        <v>0.85</v>
      </c>
      <c r="U285" s="5" t="n">
        <f aca="false">IF(F285="PO",0.6,
IF(F285="CT",0.75,
IF(F285="LI",0.8,
IF(F285="LD",0.8,
IF(F285="MCD",0.85,
IF(F285="MC",0.95,
IF(F285="MO",1.05,
IF(F285="EI",1.1,
IF(F285="ED",1.1,
IF(F285="SD",1.15,
IF(F285="DC",1.2,0)))))))))))</f>
        <v>0.6</v>
      </c>
    </row>
    <row r="286" customFormat="false" ht="16.4" hidden="false" customHeight="false" outlineLevel="0" collapsed="false">
      <c r="A286" s="1" t="n">
        <v>285</v>
      </c>
      <c r="B286" s="5" t="str">
        <f aca="false">[1]Base_Jugadores!B286</f>
        <v>Antonio Rüdiger</v>
      </c>
      <c r="C286" s="5" t="str">
        <f aca="false">IFERROR(
   _xlfn.XLOOKUP(VALUE(A286),[1]Fichajes_Realizados!A$2:A$50000,[1]Fichajes_Realizados!D$2:D$50000,,0,-1),
   _xlfn.XLOOKUP(VALUE(A286),[1]Base_Jugadores!A$2:A$50000,[1]Base_Jugadores!C$2:C$50000)
)</f>
        <v>Real Madrid CF</v>
      </c>
      <c r="D286" s="5" t="str">
        <f aca="false">[1]Base_Jugadores!D286</f>
        <v>Alemania</v>
      </c>
      <c r="E286" s="3"/>
      <c r="F286" s="5" t="str">
        <f aca="false">[1]Base_Jugadores!E286</f>
        <v>CT</v>
      </c>
      <c r="G286" s="5" t="n">
        <f aca="false">[1]Base_Jugadores!F286</f>
        <v>87</v>
      </c>
      <c r="H286" s="5" t="n">
        <f aca="false">[1]Base_Jugadores!G286</f>
        <v>32</v>
      </c>
      <c r="I286" s="7" t="n">
        <f aca="false" t="array" ref="I286:I286">_xlfn.XLOOKUP(G286,{55;56;57;58;59;60;61;62;63;64;65;66;67;68;69;70;71;72;73;74;75;76;77;78;79;80;81;82;83;84;85;86;87;88;89;90;91;92;93;94;95;96;97;98;99},{100000;130000;160000;190000;220000;250000;300000;350000;400000;450000;500000;600000;700000;800000;900000;1000000;1500000;2000000;3000000;4000000;5000000;6500000;8000000;10000000;12500000;15000000;20000000;25000000;30000000;35000000;40000000;55000000;70000000;80000000;90000000;110000000;130000000;160000000;190000000;220000000;250000000;280000000;310000000;340000000;400000000})</f>
        <v>70000000</v>
      </c>
      <c r="J286" s="7" t="n">
        <f aca="false">I286*S286*T286*U286</f>
        <v>59850000</v>
      </c>
      <c r="K286" s="3"/>
      <c r="L286" s="3"/>
      <c r="M286" s="3"/>
      <c r="N286" s="9" t="n">
        <v>0</v>
      </c>
      <c r="O286" s="4" t="n">
        <v>0</v>
      </c>
      <c r="P286" s="5" t="n">
        <f aca="false">IF(COUNTIF([1]Base_Jugadores!J$2:J$500,B286)&gt;0,1,0)</f>
        <v>0</v>
      </c>
      <c r="Q286" s="10" t="b">
        <f aca="false">--(COUNTIFS(
   [1]Fichajes_Realizados!A$2:A$5000,A286,
   [1]Fichajes_Realizados!G$2:G$5000,$X$3
)&gt;0)</f>
        <v>0</v>
      </c>
      <c r="R286" s="5" t="n">
        <f aca="false">_xlfn.XLOOKUP(C286, [1]Estado_Equipos!A$2:A$500, [1]Estado_Equipos!J$2:J$500, "")</f>
        <v>85</v>
      </c>
      <c r="S286" s="5" t="n">
        <f aca="false">IF(H286&lt;=16,1.45,
IF(H286&gt;=41,0.3,
CHOOSE(ROUNDDOWN((H286-16)/2,0)+1,
1.45,1.38,1.3,1.23,1.17,1.15,1.12,1.05,0.95,0.8,0.6,0.4,0.3)))</f>
        <v>0.95</v>
      </c>
      <c r="T286" s="5" t="n">
        <f aca="false">CHOOSE(N286+1,1.2,1,0.85,0.7)</f>
        <v>1.2</v>
      </c>
      <c r="U286" s="5" t="n">
        <f aca="false">IF(F286="PO",0.6,
IF(F286="CT",0.75,
IF(F286="LI",0.8,
IF(F286="LD",0.8,
IF(F286="MCD",0.85,
IF(F286="MC",0.95,
IF(F286="MO",1.05,
IF(F286="EI",1.1,
IF(F286="ED",1.1,
IF(F286="SD",1.15,
IF(F286="DC",1.2,0)))))))))))</f>
        <v>0.75</v>
      </c>
    </row>
    <row r="287" customFormat="false" ht="16.4" hidden="false" customHeight="false" outlineLevel="0" collapsed="false">
      <c r="A287" s="1" t="n">
        <v>286</v>
      </c>
      <c r="B287" s="5" t="str">
        <f aca="false">[1]Base_Jugadores!B287</f>
        <v>Arda Güler</v>
      </c>
      <c r="C287" s="5" t="str">
        <f aca="false">IFERROR(
   _xlfn.XLOOKUP(VALUE(A287),[1]Fichajes_Realizados!A$2:A$50000,[1]Fichajes_Realizados!D$2:D$50000,,0,-1),
   _xlfn.XLOOKUP(VALUE(A287),[1]Base_Jugadores!A$2:A$50000,[1]Base_Jugadores!C$2:C$50000)
)</f>
        <v>Real Madrid CF</v>
      </c>
      <c r="D287" s="5" t="str">
        <f aca="false">[1]Base_Jugadores!D287</f>
        <v>Turquía</v>
      </c>
      <c r="E287" s="3"/>
      <c r="F287" s="5" t="str">
        <f aca="false">[1]Base_Jugadores!E287</f>
        <v>MO</v>
      </c>
      <c r="G287" s="5" t="n">
        <f aca="false">[1]Base_Jugadores!F287</f>
        <v>78</v>
      </c>
      <c r="H287" s="5" t="n">
        <f aca="false">[1]Base_Jugadores!G287</f>
        <v>20</v>
      </c>
      <c r="I287" s="7" t="n">
        <f aca="false" t="array" ref="I287:I287">_xlfn.XLOOKUP(G287,{55;56;57;58;59;60;61;62;63;64;65;66;67;68;69;70;71;72;73;74;75;76;77;78;79;80;81;82;83;84;85;86;87;88;89;90;91;92;93;94;95;96;97;98;99},{100000;130000;160000;190000;220000;250000;300000;350000;400000;450000;500000;600000;700000;800000;900000;1000000;1500000;2000000;3000000;4000000;5000000;6500000;8000000;10000000;12500000;15000000;20000000;25000000;30000000;35000000;40000000;55000000;70000000;80000000;90000000;110000000;130000000;160000000;190000000;220000000;250000000;280000000;310000000;340000000;400000000})</f>
        <v>10000000</v>
      </c>
      <c r="J287" s="7" t="n">
        <f aca="false">I287*S287*T287*U287</f>
        <v>11602500</v>
      </c>
      <c r="K287" s="3"/>
      <c r="L287" s="3"/>
      <c r="M287" s="3"/>
      <c r="N287" s="9" t="n">
        <v>2</v>
      </c>
      <c r="O287" s="4" t="n">
        <v>0</v>
      </c>
      <c r="P287" s="5" t="n">
        <f aca="false">IF(COUNTIF([1]Base_Jugadores!J$2:J$500,B287)&gt;0,1,0)</f>
        <v>0</v>
      </c>
      <c r="Q287" s="10" t="b">
        <f aca="false">--(COUNTIFS(
   [1]Fichajes_Realizados!A$2:A$5000,A287,
   [1]Fichajes_Realizados!G$2:G$5000,$X$3
)&gt;0)</f>
        <v>0</v>
      </c>
      <c r="R287" s="5" t="n">
        <f aca="false">_xlfn.XLOOKUP(C287, [1]Estado_Equipos!A$2:A$500, [1]Estado_Equipos!J$2:J$500, "")</f>
        <v>85</v>
      </c>
      <c r="S287" s="5" t="n">
        <f aca="false">IF(H287&lt;=16,1.45,
IF(H287&gt;=41,0.3,
CHOOSE(ROUNDDOWN((H287-16)/2,0)+1,
1.45,1.38,1.3,1.23,1.17,1.15,1.12,1.05,0.95,0.8,0.6,0.4,0.3)))</f>
        <v>1.3</v>
      </c>
      <c r="T287" s="5" t="n">
        <f aca="false">CHOOSE(N287+1,1.2,1,0.85,0.7)</f>
        <v>0.85</v>
      </c>
      <c r="U287" s="5" t="n">
        <f aca="false">IF(F287="PO",0.6,
IF(F287="CT",0.75,
IF(F287="LI",0.8,
IF(F287="LD",0.8,
IF(F287="MCD",0.85,
IF(F287="MC",0.95,
IF(F287="MO",1.05,
IF(F287="EI",1.1,
IF(F287="ED",1.1,
IF(F287="SD",1.15,
IF(F287="DC",1.2,0)))))))))))</f>
        <v>1.05</v>
      </c>
    </row>
    <row r="288" customFormat="false" ht="16.4" hidden="false" customHeight="false" outlineLevel="0" collapsed="false">
      <c r="A288" s="1" t="n">
        <v>287</v>
      </c>
      <c r="B288" s="5" t="str">
        <f aca="false">[1]Base_Jugadores!B288</f>
        <v>Brahim Díaz</v>
      </c>
      <c r="C288" s="5" t="str">
        <f aca="false">IFERROR(
   _xlfn.XLOOKUP(VALUE(A288),[1]Fichajes_Realizados!A$2:A$50000,[1]Fichajes_Realizados!D$2:D$50000,,0,-1),
   _xlfn.XLOOKUP(VALUE(A288),[1]Base_Jugadores!A$2:A$50000,[1]Base_Jugadores!C$2:C$50000)
)</f>
        <v>Real Madrid CF</v>
      </c>
      <c r="D288" s="5" t="str">
        <f aca="false">[1]Base_Jugadores!D288</f>
        <v>Marruecos</v>
      </c>
      <c r="E288" s="3"/>
      <c r="F288" s="5" t="str">
        <f aca="false">[1]Base_Jugadores!E288</f>
        <v>ED</v>
      </c>
      <c r="G288" s="5" t="n">
        <f aca="false">[1]Base_Jugadores!F288</f>
        <v>81</v>
      </c>
      <c r="H288" s="5" t="n">
        <f aca="false">[1]Base_Jugadores!G288</f>
        <v>26</v>
      </c>
      <c r="I288" s="7" t="n">
        <f aca="false" t="array" ref="I288:I288">_xlfn.XLOOKUP(G288,{55;56;57;58;59;60;61;62;63;64;65;66;67;68;69;70;71;72;73;74;75;76;77;78;79;80;81;82;83;84;85;86;87;88;89;90;91;92;93;94;95;96;97;98;99},{100000;130000;160000;190000;220000;250000;300000;350000;400000;450000;500000;600000;700000;800000;900000;1000000;1500000;2000000;3000000;4000000;5000000;6500000;8000000;10000000;12500000;15000000;20000000;25000000;30000000;35000000;40000000;55000000;70000000;80000000;90000000;110000000;130000000;160000000;190000000;220000000;250000000;280000000;310000000;340000000;400000000})</f>
        <v>20000000</v>
      </c>
      <c r="J288" s="7" t="n">
        <f aca="false">I288*S288*T288*U288</f>
        <v>25300000</v>
      </c>
      <c r="K288" s="3"/>
      <c r="L288" s="3"/>
      <c r="M288" s="3"/>
      <c r="N288" s="9" t="n">
        <v>1</v>
      </c>
      <c r="O288" s="4" t="n">
        <v>0</v>
      </c>
      <c r="P288" s="5" t="n">
        <f aca="false">IF(COUNTIF([1]Base_Jugadores!J$2:J$500,B288)&gt;0,1,0)</f>
        <v>0</v>
      </c>
      <c r="Q288" s="10" t="b">
        <f aca="false">--(COUNTIFS(
   [1]Fichajes_Realizados!A$2:A$5000,A288,
   [1]Fichajes_Realizados!G$2:G$5000,$X$3
)&gt;0)</f>
        <v>0</v>
      </c>
      <c r="R288" s="5" t="n">
        <f aca="false">_xlfn.XLOOKUP(C288, [1]Estado_Equipos!A$2:A$500, [1]Estado_Equipos!J$2:J$500, "")</f>
        <v>85</v>
      </c>
      <c r="S288" s="5" t="n">
        <f aca="false">IF(H288&lt;=16,1.45,
IF(H288&gt;=41,0.3,
CHOOSE(ROUNDDOWN((H288-16)/2,0)+1,
1.45,1.38,1.3,1.23,1.17,1.15,1.12,1.05,0.95,0.8,0.6,0.4,0.3)))</f>
        <v>1.15</v>
      </c>
      <c r="T288" s="5" t="n">
        <f aca="false">CHOOSE(N288+1,1.2,1,0.85,0.7)</f>
        <v>1</v>
      </c>
      <c r="U288" s="5" t="n">
        <f aca="false">IF(F288="PO",0.6,
IF(F288="CT",0.75,
IF(F288="LI",0.8,
IF(F288="LD",0.8,
IF(F288="MCD",0.85,
IF(F288="MC",0.95,
IF(F288="MO",1.05,
IF(F288="EI",1.1,
IF(F288="ED",1.1,
IF(F288="SD",1.15,
IF(F288="DC",1.2,0)))))))))))</f>
        <v>1.1</v>
      </c>
    </row>
    <row r="289" customFormat="false" ht="16.4" hidden="false" customHeight="false" outlineLevel="0" collapsed="false">
      <c r="A289" s="1" t="n">
        <v>288</v>
      </c>
      <c r="B289" s="5" t="str">
        <f aca="false">[1]Base_Jugadores!B289</f>
        <v>Dani Ceballos</v>
      </c>
      <c r="C289" s="5" t="str">
        <f aca="false">IFERROR(
   _xlfn.XLOOKUP(VALUE(A289),[1]Fichajes_Realizados!A$2:A$50000,[1]Fichajes_Realizados!D$2:D$50000,,0,-1),
   _xlfn.XLOOKUP(VALUE(A289),[1]Base_Jugadores!A$2:A$50000,[1]Base_Jugadores!C$2:C$50000)
)</f>
        <v>Real Madrid CF</v>
      </c>
      <c r="D289" s="5" t="str">
        <f aca="false">[1]Base_Jugadores!D289</f>
        <v>España</v>
      </c>
      <c r="E289" s="3"/>
      <c r="F289" s="5" t="str">
        <f aca="false">[1]Base_Jugadores!E289</f>
        <v>MC</v>
      </c>
      <c r="G289" s="5" t="n">
        <f aca="false">[1]Base_Jugadores!F289</f>
        <v>78</v>
      </c>
      <c r="H289" s="5" t="n">
        <f aca="false">[1]Base_Jugadores!G289</f>
        <v>29</v>
      </c>
      <c r="I289" s="7" t="n">
        <f aca="false" t="array" ref="I289:I289">_xlfn.XLOOKUP(G289,{55;56;57;58;59;60;61;62;63;64;65;66;67;68;69;70;71;72;73;74;75;76;77;78;79;80;81;82;83;84;85;86;87;88;89;90;91;92;93;94;95;96;97;98;99},{100000;130000;160000;190000;220000;250000;300000;350000;400000;450000;500000;600000;700000;800000;900000;1000000;1500000;2000000;3000000;4000000;5000000;6500000;8000000;10000000;12500000;15000000;20000000;25000000;30000000;35000000;40000000;55000000;70000000;80000000;90000000;110000000;130000000;160000000;190000000;220000000;250000000;280000000;310000000;340000000;400000000})</f>
        <v>10000000</v>
      </c>
      <c r="J289" s="7" t="n">
        <f aca="false">I289*S289*T289*U289</f>
        <v>9044000</v>
      </c>
      <c r="K289" s="3"/>
      <c r="L289" s="3"/>
      <c r="M289" s="3"/>
      <c r="N289" s="9" t="n">
        <v>2</v>
      </c>
      <c r="O289" s="4" t="n">
        <v>0</v>
      </c>
      <c r="P289" s="5" t="n">
        <f aca="false">IF(COUNTIF([1]Base_Jugadores!J$2:J$500,B289)&gt;0,1,0)</f>
        <v>0</v>
      </c>
      <c r="Q289" s="10" t="b">
        <f aca="false">--(COUNTIFS(
   [1]Fichajes_Realizados!A$2:A$5000,A289,
   [1]Fichajes_Realizados!G$2:G$5000,$X$3
)&gt;0)</f>
        <v>0</v>
      </c>
      <c r="R289" s="5" t="n">
        <f aca="false">_xlfn.XLOOKUP(C289, [1]Estado_Equipos!A$2:A$500, [1]Estado_Equipos!J$2:J$500, "")</f>
        <v>85</v>
      </c>
      <c r="S289" s="5" t="n">
        <f aca="false">IF(H289&lt;=16,1.45,
IF(H289&gt;=41,0.3,
CHOOSE(ROUNDDOWN((H289-16)/2,0)+1,
1.45,1.38,1.3,1.23,1.17,1.15,1.12,1.05,0.95,0.8,0.6,0.4,0.3)))</f>
        <v>1.12</v>
      </c>
      <c r="T289" s="5" t="n">
        <f aca="false">CHOOSE(N289+1,1.2,1,0.85,0.7)</f>
        <v>0.85</v>
      </c>
      <c r="U289" s="5" t="n">
        <f aca="false">IF(F289="PO",0.6,
IF(F289="CT",0.75,
IF(F289="LI",0.8,
IF(F289="LD",0.8,
IF(F289="MCD",0.85,
IF(F289="MC",0.95,
IF(F289="MO",1.05,
IF(F289="EI",1.1,
IF(F289="ED",1.1,
IF(F289="SD",1.15,
IF(F289="DC",1.2,0)))))))))))</f>
        <v>0.95</v>
      </c>
    </row>
    <row r="290" customFormat="false" ht="16.4" hidden="false" customHeight="false" outlineLevel="0" collapsed="false">
      <c r="A290" s="1" t="n">
        <v>289</v>
      </c>
      <c r="B290" s="5" t="str">
        <f aca="false">[1]Base_Jugadores!B290</f>
        <v>Daniel Carvajal</v>
      </c>
      <c r="C290" s="5" t="str">
        <f aca="false">IFERROR(
   _xlfn.XLOOKUP(VALUE(A290),[1]Fichajes_Realizados!A$2:A$50000,[1]Fichajes_Realizados!D$2:D$50000,,0,-1),
   _xlfn.XLOOKUP(VALUE(A290),[1]Base_Jugadores!A$2:A$50000,[1]Base_Jugadores!C$2:C$50000)
)</f>
        <v>Real Madrid CF</v>
      </c>
      <c r="D290" s="5" t="str">
        <f aca="false">[1]Base_Jugadores!D290</f>
        <v>España</v>
      </c>
      <c r="E290" s="3"/>
      <c r="F290" s="5" t="str">
        <f aca="false">[1]Base_Jugadores!E290</f>
        <v>LD</v>
      </c>
      <c r="G290" s="5" t="n">
        <f aca="false">[1]Base_Jugadores!F290</f>
        <v>86</v>
      </c>
      <c r="H290" s="5" t="n">
        <f aca="false">[1]Base_Jugadores!G290</f>
        <v>33</v>
      </c>
      <c r="I290" s="7" t="n">
        <f aca="false" t="array" ref="I290:I290">_xlfn.XLOOKUP(G290,{55;56;57;58;59;60;61;62;63;64;65;66;67;68;69;70;71;72;73;74;75;76;77;78;79;80;81;82;83;84;85;86;87;88;89;90;91;92;93;94;95;96;97;98;99},{100000;130000;160000;190000;220000;250000;300000;350000;400000;450000;500000;600000;700000;800000;900000;1000000;1500000;2000000;3000000;4000000;5000000;6500000;8000000;10000000;12500000;15000000;20000000;25000000;30000000;35000000;40000000;55000000;70000000;80000000;90000000;110000000;130000000;160000000;190000000;220000000;250000000;280000000;310000000;340000000;400000000})</f>
        <v>55000000</v>
      </c>
      <c r="J290" s="7" t="n">
        <f aca="false">I290*S290*T290*U290</f>
        <v>41800000</v>
      </c>
      <c r="K290" s="3"/>
      <c r="L290" s="3"/>
      <c r="M290" s="3"/>
      <c r="N290" s="9" t="n">
        <v>1</v>
      </c>
      <c r="O290" s="4" t="n">
        <v>0</v>
      </c>
      <c r="P290" s="5" t="n">
        <f aca="false">IF(COUNTIF([1]Base_Jugadores!J$2:J$500,B290)&gt;0,1,0)</f>
        <v>0</v>
      </c>
      <c r="Q290" s="10" t="b">
        <f aca="false">--(COUNTIFS(
   [1]Fichajes_Realizados!A$2:A$5000,A290,
   [1]Fichajes_Realizados!G$2:G$5000,$X$3
)&gt;0)</f>
        <v>0</v>
      </c>
      <c r="R290" s="5" t="n">
        <f aca="false">_xlfn.XLOOKUP(C290, [1]Estado_Equipos!A$2:A$500, [1]Estado_Equipos!J$2:J$500, "")</f>
        <v>85</v>
      </c>
      <c r="S290" s="5" t="n">
        <f aca="false">IF(H290&lt;=16,1.45,
IF(H290&gt;=41,0.3,
CHOOSE(ROUNDDOWN((H290-16)/2,0)+1,
1.45,1.38,1.3,1.23,1.17,1.15,1.12,1.05,0.95,0.8,0.6,0.4,0.3)))</f>
        <v>0.95</v>
      </c>
      <c r="T290" s="5" t="n">
        <f aca="false">CHOOSE(N290+1,1.2,1,0.85,0.7)</f>
        <v>1</v>
      </c>
      <c r="U290" s="5" t="n">
        <f aca="false">IF(F290="PO",0.6,
IF(F290="CT",0.75,
IF(F290="LI",0.8,
IF(F290="LD",0.8,
IF(F290="MCD",0.85,
IF(F290="MC",0.95,
IF(F290="MO",1.05,
IF(F290="EI",1.1,
IF(F290="ED",1.1,
IF(F290="SD",1.15,
IF(F290="DC",1.2,0)))))))))))</f>
        <v>0.8</v>
      </c>
    </row>
    <row r="291" customFormat="false" ht="16.4" hidden="false" customHeight="false" outlineLevel="0" collapsed="false">
      <c r="A291" s="1" t="n">
        <v>290</v>
      </c>
      <c r="B291" s="5" t="str">
        <f aca="false">[1]Base_Jugadores!B291</f>
        <v>Daniel Yáñez</v>
      </c>
      <c r="C291" s="5" t="str">
        <f aca="false">IFERROR(
   _xlfn.XLOOKUP(VALUE(A291),[1]Fichajes_Realizados!A$2:A$50000,[1]Fichajes_Realizados!D$2:D$50000,,0,-1),
   _xlfn.XLOOKUP(VALUE(A291),[1]Base_Jugadores!A$2:A$50000,[1]Base_Jugadores!C$2:C$50000)
)</f>
        <v>Real Madrid CF</v>
      </c>
      <c r="D291" s="5" t="str">
        <f aca="false">[1]Base_Jugadores!D291</f>
        <v>España</v>
      </c>
      <c r="E291" s="3"/>
      <c r="F291" s="5" t="str">
        <f aca="false">[1]Base_Jugadores!E291</f>
        <v>ED</v>
      </c>
      <c r="G291" s="5" t="n">
        <f aca="false">[1]Base_Jugadores!F291</f>
        <v>59</v>
      </c>
      <c r="H291" s="5" t="n">
        <f aca="false">[1]Base_Jugadores!G291</f>
        <v>18</v>
      </c>
      <c r="I291" s="7" t="n">
        <f aca="false" t="array" ref="I291:I291">_xlfn.XLOOKUP(G291,{55;56;57;58;59;60;61;62;63;64;65;66;67;68;69;70;71;72;73;74;75;76;77;78;79;80;81;82;83;84;85;86;87;88;89;90;91;92;93;94;95;96;97;98;99},{100000;130000;160000;190000;220000;250000;300000;350000;400000;450000;500000;600000;700000;800000;900000;1000000;1500000;2000000;3000000;4000000;5000000;6500000;8000000;10000000;12500000;15000000;20000000;25000000;30000000;35000000;40000000;55000000;70000000;80000000;90000000;110000000;130000000;160000000;190000000;220000000;250000000;280000000;310000000;340000000;400000000})</f>
        <v>220000</v>
      </c>
      <c r="J291" s="7" t="n">
        <f aca="false">I291*S291*T291*U291</f>
        <v>283866</v>
      </c>
      <c r="K291" s="3"/>
      <c r="L291" s="3"/>
      <c r="M291" s="3"/>
      <c r="N291" s="9" t="n">
        <v>2</v>
      </c>
      <c r="O291" s="4" t="n">
        <v>1</v>
      </c>
      <c r="P291" s="5" t="n">
        <f aca="false">IF(COUNTIF([1]Base_Jugadores!J$2:J$500,B291)&gt;0,1,0)</f>
        <v>0</v>
      </c>
      <c r="Q291" s="10" t="b">
        <f aca="false">--(COUNTIFS(
   [1]Fichajes_Realizados!A$2:A$5000,A291,
   [1]Fichajes_Realizados!G$2:G$5000,$X$3
)&gt;0)</f>
        <v>0</v>
      </c>
      <c r="R291" s="5" t="n">
        <f aca="false">_xlfn.XLOOKUP(C291, [1]Estado_Equipos!A$2:A$500, [1]Estado_Equipos!J$2:J$500, "")</f>
        <v>85</v>
      </c>
      <c r="S291" s="5" t="n">
        <f aca="false">IF(H291&lt;=16,1.45,
IF(H291&gt;=41,0.3,
CHOOSE(ROUNDDOWN((H291-16)/2,0)+1,
1.45,1.38,1.3,1.23,1.17,1.15,1.12,1.05,0.95,0.8,0.6,0.4,0.3)))</f>
        <v>1.38</v>
      </c>
      <c r="T291" s="5" t="n">
        <f aca="false">CHOOSE(N291+1,1.2,1,0.85,0.7)</f>
        <v>0.85</v>
      </c>
      <c r="U291" s="5" t="n">
        <f aca="false">IF(F291="PO",0.6,
IF(F291="CT",0.75,
IF(F291="LI",0.8,
IF(F291="LD",0.8,
IF(F291="MCD",0.85,
IF(F291="MC",0.95,
IF(F291="MO",1.05,
IF(F291="EI",1.1,
IF(F291="ED",1.1,
IF(F291="SD",1.15,
IF(F291="DC",1.2,0)))))))))))</f>
        <v>1.1</v>
      </c>
    </row>
    <row r="292" customFormat="false" ht="16.4" hidden="false" customHeight="false" outlineLevel="0" collapsed="false">
      <c r="A292" s="1" t="n">
        <v>291</v>
      </c>
      <c r="B292" s="5" t="str">
        <f aca="false">[1]Base_Jugadores!B292</f>
        <v>David Alaba</v>
      </c>
      <c r="C292" s="5" t="str">
        <f aca="false">IFERROR(
   _xlfn.XLOOKUP(VALUE(A292),[1]Fichajes_Realizados!A$2:A$50000,[1]Fichajes_Realizados!D$2:D$50000,,0,-1),
   _xlfn.XLOOKUP(VALUE(A292),[1]Base_Jugadores!A$2:A$50000,[1]Base_Jugadores!C$2:C$50000)
)</f>
        <v>Real Madrid CF</v>
      </c>
      <c r="D292" s="5" t="str">
        <f aca="false">[1]Base_Jugadores!D292</f>
        <v>Austria</v>
      </c>
      <c r="E292" s="3"/>
      <c r="F292" s="5" t="str">
        <f aca="false">[1]Base_Jugadores!E292</f>
        <v>CT</v>
      </c>
      <c r="G292" s="5" t="n">
        <f aca="false">[1]Base_Jugadores!F292</f>
        <v>85</v>
      </c>
      <c r="H292" s="5" t="n">
        <f aca="false">[1]Base_Jugadores!G292</f>
        <v>33</v>
      </c>
      <c r="I292" s="7" t="n">
        <f aca="false" t="array" ref="I292:I292">_xlfn.XLOOKUP(G292,{55;56;57;58;59;60;61;62;63;64;65;66;67;68;69;70;71;72;73;74;75;76;77;78;79;80;81;82;83;84;85;86;87;88;89;90;91;92;93;94;95;96;97;98;99},{100000;130000;160000;190000;220000;250000;300000;350000;400000;450000;500000;600000;700000;800000;900000;1000000;1500000;2000000;3000000;4000000;5000000;6500000;8000000;10000000;12500000;15000000;20000000;25000000;30000000;35000000;40000000;55000000;70000000;80000000;90000000;110000000;130000000;160000000;190000000;220000000;250000000;280000000;310000000;340000000;400000000})</f>
        <v>40000000</v>
      </c>
      <c r="J292" s="7" t="n">
        <f aca="false">I292*S292*T292*U292</f>
        <v>28500000</v>
      </c>
      <c r="K292" s="3"/>
      <c r="L292" s="3"/>
      <c r="M292" s="3"/>
      <c r="N292" s="9" t="n">
        <v>1</v>
      </c>
      <c r="O292" s="4" t="n">
        <v>0</v>
      </c>
      <c r="P292" s="5" t="n">
        <f aca="false">IF(COUNTIF([1]Base_Jugadores!J$2:J$500,B292)&gt;0,1,0)</f>
        <v>0</v>
      </c>
      <c r="Q292" s="10" t="b">
        <f aca="false">--(COUNTIFS(
   [1]Fichajes_Realizados!A$2:A$5000,A292,
   [1]Fichajes_Realizados!G$2:G$5000,$X$3
)&gt;0)</f>
        <v>0</v>
      </c>
      <c r="R292" s="5" t="n">
        <f aca="false">_xlfn.XLOOKUP(C292, [1]Estado_Equipos!A$2:A$500, [1]Estado_Equipos!J$2:J$500, "")</f>
        <v>85</v>
      </c>
      <c r="S292" s="5" t="n">
        <f aca="false">IF(H292&lt;=16,1.45,
IF(H292&gt;=41,0.3,
CHOOSE(ROUNDDOWN((H292-16)/2,0)+1,
1.45,1.38,1.3,1.23,1.17,1.15,1.12,1.05,0.95,0.8,0.6,0.4,0.3)))</f>
        <v>0.95</v>
      </c>
      <c r="T292" s="5" t="n">
        <f aca="false">CHOOSE(N292+1,1.2,1,0.85,0.7)</f>
        <v>1</v>
      </c>
      <c r="U292" s="5" t="n">
        <f aca="false">IF(F292="PO",0.6,
IF(F292="CT",0.75,
IF(F292="LI",0.8,
IF(F292="LD",0.8,
IF(F292="MCD",0.85,
IF(F292="MC",0.95,
IF(F292="MO",1.05,
IF(F292="EI",1.1,
IF(F292="ED",1.1,
IF(F292="SD",1.15,
IF(F292="DC",1.2,0)))))))))))</f>
        <v>0.75</v>
      </c>
    </row>
    <row r="293" customFormat="false" ht="16.4" hidden="false" customHeight="false" outlineLevel="0" collapsed="false">
      <c r="A293" s="1" t="n">
        <v>292</v>
      </c>
      <c r="B293" s="5" t="str">
        <f aca="false">[1]Base_Jugadores!B293</f>
        <v>Dean Huijsen</v>
      </c>
      <c r="C293" s="5" t="str">
        <f aca="false">IFERROR(
   _xlfn.XLOOKUP(VALUE(A293),[1]Fichajes_Realizados!A$2:A$50000,[1]Fichajes_Realizados!D$2:D$50000,,0,-1),
   _xlfn.XLOOKUP(VALUE(A293),[1]Base_Jugadores!A$2:A$50000,[1]Base_Jugadores!C$2:C$50000)
)</f>
        <v>Real Madrid CF</v>
      </c>
      <c r="D293" s="5" t="str">
        <f aca="false">[1]Base_Jugadores!D293</f>
        <v>España</v>
      </c>
      <c r="E293" s="3"/>
      <c r="F293" s="5" t="str">
        <f aca="false">[1]Base_Jugadores!E293</f>
        <v>CT</v>
      </c>
      <c r="G293" s="5" t="n">
        <f aca="false">[1]Base_Jugadores!F293</f>
        <v>78</v>
      </c>
      <c r="H293" s="5" t="n">
        <f aca="false">[1]Base_Jugadores!G293</f>
        <v>20</v>
      </c>
      <c r="I293" s="7" t="n">
        <f aca="false" t="array" ref="I293:I293">_xlfn.XLOOKUP(G293,{55;56;57;58;59;60;61;62;63;64;65;66;67;68;69;70;71;72;73;74;75;76;77;78;79;80;81;82;83;84;85;86;87;88;89;90;91;92;93;94;95;96;97;98;99},{100000;130000;160000;190000;220000;250000;300000;350000;400000;450000;500000;600000;700000;800000;900000;1000000;1500000;2000000;3000000;4000000;5000000;6500000;8000000;10000000;12500000;15000000;20000000;25000000;30000000;35000000;40000000;55000000;70000000;80000000;90000000;110000000;130000000;160000000;190000000;220000000;250000000;280000000;310000000;340000000;400000000})</f>
        <v>10000000</v>
      </c>
      <c r="J293" s="7" t="n">
        <f aca="false">I293*S293*T293*U293</f>
        <v>8287500</v>
      </c>
      <c r="K293" s="3"/>
      <c r="L293" s="3"/>
      <c r="M293" s="3"/>
      <c r="N293" s="9" t="n">
        <v>2</v>
      </c>
      <c r="O293" s="4" t="n">
        <v>0</v>
      </c>
      <c r="P293" s="5" t="n">
        <f aca="false">IF(COUNTIF([1]Base_Jugadores!J$2:J$500,B293)&gt;0,1,0)</f>
        <v>0</v>
      </c>
      <c r="Q293" s="10" t="b">
        <f aca="false">--(COUNTIFS(
   [1]Fichajes_Realizados!A$2:A$5000,A293,
   [1]Fichajes_Realizados!G$2:G$5000,$X$3
)&gt;0)</f>
        <v>0</v>
      </c>
      <c r="R293" s="5" t="n">
        <f aca="false">_xlfn.XLOOKUP(C293, [1]Estado_Equipos!A$2:A$500, [1]Estado_Equipos!J$2:J$500, "")</f>
        <v>85</v>
      </c>
      <c r="S293" s="5" t="n">
        <f aca="false">IF(H293&lt;=16,1.45,
IF(H293&gt;=41,0.3,
CHOOSE(ROUNDDOWN((H293-16)/2,0)+1,
1.45,1.38,1.3,1.23,1.17,1.15,1.12,1.05,0.95,0.8,0.6,0.4,0.3)))</f>
        <v>1.3</v>
      </c>
      <c r="T293" s="5" t="n">
        <f aca="false">CHOOSE(N293+1,1.2,1,0.85,0.7)</f>
        <v>0.85</v>
      </c>
      <c r="U293" s="5" t="n">
        <f aca="false">IF(F293="PO",0.6,
IF(F293="CT",0.75,
IF(F293="LI",0.8,
IF(F293="LD",0.8,
IF(F293="MCD",0.85,
IF(F293="MC",0.95,
IF(F293="MO",1.05,
IF(F293="EI",1.1,
IF(F293="ED",1.1,
IF(F293="SD",1.15,
IF(F293="DC",1.2,0)))))))))))</f>
        <v>0.75</v>
      </c>
    </row>
    <row r="294" customFormat="false" ht="16.4" hidden="false" customHeight="false" outlineLevel="0" collapsed="false">
      <c r="A294" s="1" t="n">
        <v>293</v>
      </c>
      <c r="B294" s="5" t="str">
        <f aca="false">[1]Base_Jugadores!B294</f>
        <v>Éder Militão</v>
      </c>
      <c r="C294" s="5" t="str">
        <f aca="false">IFERROR(
   _xlfn.XLOOKUP(VALUE(A294),[1]Fichajes_Realizados!A$2:A$50000,[1]Fichajes_Realizados!D$2:D$50000,,0,-1),
   _xlfn.XLOOKUP(VALUE(A294),[1]Base_Jugadores!A$2:A$50000,[1]Base_Jugadores!C$2:C$50000)
)</f>
        <v>Real Madrid CF</v>
      </c>
      <c r="D294" s="5" t="str">
        <f aca="false">[1]Base_Jugadores!D294</f>
        <v>Brasil</v>
      </c>
      <c r="E294" s="3"/>
      <c r="F294" s="5" t="str">
        <f aca="false">[1]Base_Jugadores!E294</f>
        <v>CT</v>
      </c>
      <c r="G294" s="5" t="n">
        <f aca="false">[1]Base_Jugadores!F294</f>
        <v>86</v>
      </c>
      <c r="H294" s="5" t="n">
        <f aca="false">[1]Base_Jugadores!G294</f>
        <v>27</v>
      </c>
      <c r="I294" s="7" t="n">
        <f aca="false" t="array" ref="I294:I294">_xlfn.XLOOKUP(G294,{55;56;57;58;59;60;61;62;63;64;65;66;67;68;69;70;71;72;73;74;75;76;77;78;79;80;81;82;83;84;85;86;87;88;89;90;91;92;93;94;95;96;97;98;99},{100000;130000;160000;190000;220000;250000;300000;350000;400000;450000;500000;600000;700000;800000;900000;1000000;1500000;2000000;3000000;4000000;5000000;6500000;8000000;10000000;12500000;15000000;20000000;25000000;30000000;35000000;40000000;55000000;70000000;80000000;90000000;110000000;130000000;160000000;190000000;220000000;250000000;280000000;310000000;340000000;400000000})</f>
        <v>55000000</v>
      </c>
      <c r="J294" s="7" t="n">
        <f aca="false">I294*S294*T294*U294</f>
        <v>56925000</v>
      </c>
      <c r="K294" s="3"/>
      <c r="L294" s="3"/>
      <c r="M294" s="3"/>
      <c r="N294" s="9" t="n">
        <v>0</v>
      </c>
      <c r="O294" s="4" t="n">
        <v>0</v>
      </c>
      <c r="P294" s="5" t="n">
        <f aca="false">IF(COUNTIF([1]Base_Jugadores!J$2:J$500,B294)&gt;0,1,0)</f>
        <v>0</v>
      </c>
      <c r="Q294" s="10" t="b">
        <f aca="false">--(COUNTIFS(
   [1]Fichajes_Realizados!A$2:A$5000,A294,
   [1]Fichajes_Realizados!G$2:G$5000,$X$3
)&gt;0)</f>
        <v>0</v>
      </c>
      <c r="R294" s="5" t="n">
        <f aca="false">_xlfn.XLOOKUP(C294, [1]Estado_Equipos!A$2:A$500, [1]Estado_Equipos!J$2:J$500, "")</f>
        <v>85</v>
      </c>
      <c r="S294" s="5" t="n">
        <f aca="false">IF(H294&lt;=16,1.45,
IF(H294&gt;=41,0.3,
CHOOSE(ROUNDDOWN((H294-16)/2,0)+1,
1.45,1.38,1.3,1.23,1.17,1.15,1.12,1.05,0.95,0.8,0.6,0.4,0.3)))</f>
        <v>1.15</v>
      </c>
      <c r="T294" s="5" t="n">
        <f aca="false">CHOOSE(N294+1,1.2,1,0.85,0.7)</f>
        <v>1.2</v>
      </c>
      <c r="U294" s="5" t="n">
        <f aca="false">IF(F294="PO",0.6,
IF(F294="CT",0.75,
IF(F294="LI",0.8,
IF(F294="LD",0.8,
IF(F294="MCD",0.85,
IF(F294="MC",0.95,
IF(F294="MO",1.05,
IF(F294="EI",1.1,
IF(F294="ED",1.1,
IF(F294="SD",1.15,
IF(F294="DC",1.2,0)))))))))))</f>
        <v>0.75</v>
      </c>
    </row>
    <row r="295" customFormat="false" ht="16.4" hidden="false" customHeight="false" outlineLevel="0" collapsed="false">
      <c r="A295" s="1" t="n">
        <v>294</v>
      </c>
      <c r="B295" s="5" t="str">
        <f aca="false">[1]Base_Jugadores!B295</f>
        <v>Eduardo Camavinga</v>
      </c>
      <c r="C295" s="5" t="str">
        <f aca="false">IFERROR(
   _xlfn.XLOOKUP(VALUE(A295),[1]Fichajes_Realizados!A$2:A$50000,[1]Fichajes_Realizados!D$2:D$50000,,0,-1),
   _xlfn.XLOOKUP(VALUE(A295),[1]Base_Jugadores!A$2:A$50000,[1]Base_Jugadores!C$2:C$50000)
)</f>
        <v>Real Madrid CF</v>
      </c>
      <c r="D295" s="5" t="str">
        <f aca="false">[1]Base_Jugadores!D295</f>
        <v>Francia</v>
      </c>
      <c r="E295" s="3"/>
      <c r="F295" s="5" t="str">
        <f aca="false">[1]Base_Jugadores!E295</f>
        <v>MC</v>
      </c>
      <c r="G295" s="5" t="n">
        <f aca="false">[1]Base_Jugadores!F295</f>
        <v>83</v>
      </c>
      <c r="H295" s="5" t="n">
        <f aca="false">[1]Base_Jugadores!G295</f>
        <v>23</v>
      </c>
      <c r="I295" s="7" t="n">
        <f aca="false" t="array" ref="I295:I295">_xlfn.XLOOKUP(G295,{55;56;57;58;59;60;61;62;63;64;65;66;67;68;69;70;71;72;73;74;75;76;77;78;79;80;81;82;83;84;85;86;87;88;89;90;91;92;93;94;95;96;97;98;99},{100000;130000;160000;190000;220000;250000;300000;350000;400000;450000;500000;600000;700000;800000;900000;1000000;1500000;2000000;3000000;4000000;5000000;6500000;8000000;10000000;12500000;15000000;20000000;25000000;30000000;35000000;40000000;55000000;70000000;80000000;90000000;110000000;130000000;160000000;190000000;220000000;250000000;280000000;310000000;340000000;400000000})</f>
        <v>30000000</v>
      </c>
      <c r="J295" s="7" t="n">
        <f aca="false">I295*S295*T295*U295</f>
        <v>35055000</v>
      </c>
      <c r="K295" s="3"/>
      <c r="L295" s="3"/>
      <c r="M295" s="3"/>
      <c r="N295" s="9" t="n">
        <v>1</v>
      </c>
      <c r="O295" s="4" t="n">
        <v>0</v>
      </c>
      <c r="P295" s="5" t="n">
        <f aca="false">IF(COUNTIF([1]Base_Jugadores!J$2:J$500,B295)&gt;0,1,0)</f>
        <v>0</v>
      </c>
      <c r="Q295" s="10" t="b">
        <f aca="false">--(COUNTIFS(
   [1]Fichajes_Realizados!A$2:A$5000,A295,
   [1]Fichajes_Realizados!G$2:G$5000,$X$3
)&gt;0)</f>
        <v>0</v>
      </c>
      <c r="R295" s="5" t="n">
        <f aca="false">_xlfn.XLOOKUP(C295, [1]Estado_Equipos!A$2:A$500, [1]Estado_Equipos!J$2:J$500, "")</f>
        <v>85</v>
      </c>
      <c r="S295" s="5" t="n">
        <f aca="false">IF(H295&lt;=16,1.45,
IF(H295&gt;=41,0.3,
CHOOSE(ROUNDDOWN((H295-16)/2,0)+1,
1.45,1.38,1.3,1.23,1.17,1.15,1.12,1.05,0.95,0.8,0.6,0.4,0.3)))</f>
        <v>1.23</v>
      </c>
      <c r="T295" s="5" t="n">
        <f aca="false">CHOOSE(N295+1,1.2,1,0.85,0.7)</f>
        <v>1</v>
      </c>
      <c r="U295" s="5" t="n">
        <f aca="false">IF(F295="PO",0.6,
IF(F295="CT",0.75,
IF(F295="LI",0.8,
IF(F295="LD",0.8,
IF(F295="MCD",0.85,
IF(F295="MC",0.95,
IF(F295="MO",1.05,
IF(F295="EI",1.1,
IF(F295="ED",1.1,
IF(F295="SD",1.15,
IF(F295="DC",1.2,0)))))))))))</f>
        <v>0.95</v>
      </c>
    </row>
    <row r="296" customFormat="false" ht="16.4" hidden="false" customHeight="false" outlineLevel="0" collapsed="false">
      <c r="A296" s="1" t="n">
        <v>295</v>
      </c>
      <c r="B296" s="5" t="str">
        <f aca="false">[1]Base_Jugadores!B296</f>
        <v>Endrick</v>
      </c>
      <c r="C296" s="5" t="str">
        <f aca="false">IFERROR(
   _xlfn.XLOOKUP(VALUE(A296),[1]Fichajes_Realizados!A$2:A$50000,[1]Fichajes_Realizados!D$2:D$50000,,0,-1),
   _xlfn.XLOOKUP(VALUE(A296),[1]Base_Jugadores!A$2:A$50000,[1]Base_Jugadores!C$2:C$50000)
)</f>
        <v>Real Madrid CF</v>
      </c>
      <c r="D296" s="5" t="str">
        <f aca="false">[1]Base_Jugadores!D296</f>
        <v>Brasil</v>
      </c>
      <c r="E296" s="3"/>
      <c r="F296" s="5" t="str">
        <f aca="false">[1]Base_Jugadores!E296</f>
        <v>DC</v>
      </c>
      <c r="G296" s="5" t="n">
        <f aca="false">[1]Base_Jugadores!F296</f>
        <v>77</v>
      </c>
      <c r="H296" s="5" t="n">
        <f aca="false">[1]Base_Jugadores!G296</f>
        <v>19</v>
      </c>
      <c r="I296" s="7" t="n">
        <f aca="false" t="array" ref="I296:I296">_xlfn.XLOOKUP(G296,{55;56;57;58;59;60;61;62;63;64;65;66;67;68;69;70;71;72;73;74;75;76;77;78;79;80;81;82;83;84;85;86;87;88;89;90;91;92;93;94;95;96;97;98;99},{100000;130000;160000;190000;220000;250000;300000;350000;400000;450000;500000;600000;700000;800000;900000;1000000;1500000;2000000;3000000;4000000;5000000;6500000;8000000;10000000;12500000;15000000;20000000;25000000;30000000;35000000;40000000;55000000;70000000;80000000;90000000;110000000;130000000;160000000;190000000;220000000;250000000;280000000;310000000;340000000;400000000})</f>
        <v>8000000</v>
      </c>
      <c r="J296" s="7" t="n">
        <f aca="false">I296*S296*T296*U296</f>
        <v>11260800</v>
      </c>
      <c r="K296" s="3"/>
      <c r="L296" s="3"/>
      <c r="M296" s="3"/>
      <c r="N296" s="9" t="n">
        <v>2</v>
      </c>
      <c r="O296" s="4" t="n">
        <v>0</v>
      </c>
      <c r="P296" s="5" t="n">
        <f aca="false">IF(COUNTIF([1]Base_Jugadores!J$2:J$500,B296)&gt;0,1,0)</f>
        <v>0</v>
      </c>
      <c r="Q296" s="10" t="b">
        <f aca="false">--(COUNTIFS(
   [1]Fichajes_Realizados!A$2:A$5000,A296,
   [1]Fichajes_Realizados!G$2:G$5000,$X$3
)&gt;0)</f>
        <v>0</v>
      </c>
      <c r="R296" s="5" t="n">
        <f aca="false">_xlfn.XLOOKUP(C296, [1]Estado_Equipos!A$2:A$500, [1]Estado_Equipos!J$2:J$500, "")</f>
        <v>85</v>
      </c>
      <c r="S296" s="5" t="n">
        <f aca="false">IF(H296&lt;=16,1.45,
IF(H296&gt;=41,0.3,
CHOOSE(ROUNDDOWN((H296-16)/2,0)+1,
1.45,1.38,1.3,1.23,1.17,1.15,1.12,1.05,0.95,0.8,0.6,0.4,0.3)))</f>
        <v>1.38</v>
      </c>
      <c r="T296" s="5" t="n">
        <f aca="false">CHOOSE(N296+1,1.2,1,0.85,0.7)</f>
        <v>0.85</v>
      </c>
      <c r="U296" s="5" t="n">
        <f aca="false">IF(F296="PO",0.6,
IF(F296="CT",0.75,
IF(F296="LI",0.8,
IF(F296="LD",0.8,
IF(F296="MCD",0.85,
IF(F296="MC",0.95,
IF(F296="MO",1.05,
IF(F296="EI",1.1,
IF(F296="ED",1.1,
IF(F296="SD",1.15,
IF(F296="DC",1.2,0)))))))))))</f>
        <v>1.2</v>
      </c>
    </row>
    <row r="297" customFormat="false" ht="16.4" hidden="false" customHeight="false" outlineLevel="0" collapsed="false">
      <c r="A297" s="1" t="n">
        <v>296</v>
      </c>
      <c r="B297" s="5" t="str">
        <f aca="false">[1]Base_Jugadores!B297</f>
        <v>Federico Valverde</v>
      </c>
      <c r="C297" s="5" t="str">
        <f aca="false">IFERROR(
   _xlfn.XLOOKUP(VALUE(A297),[1]Fichajes_Realizados!A$2:A$50000,[1]Fichajes_Realizados!D$2:D$50000,,0,-1),
   _xlfn.XLOOKUP(VALUE(A297),[1]Base_Jugadores!A$2:A$50000,[1]Base_Jugadores!C$2:C$50000)
)</f>
        <v>Real Madrid CF</v>
      </c>
      <c r="D297" s="5" t="str">
        <f aca="false">[1]Base_Jugadores!D297</f>
        <v>Uruguay</v>
      </c>
      <c r="E297" s="3"/>
      <c r="F297" s="5" t="str">
        <f aca="false">[1]Base_Jugadores!E297</f>
        <v>MC</v>
      </c>
      <c r="G297" s="5" t="n">
        <f aca="false">[1]Base_Jugadores!F297</f>
        <v>87</v>
      </c>
      <c r="H297" s="5" t="n">
        <f aca="false">[1]Base_Jugadores!G297</f>
        <v>27</v>
      </c>
      <c r="I297" s="7" t="n">
        <f aca="false" t="array" ref="I297:I297">_xlfn.XLOOKUP(G297,{55;56;57;58;59;60;61;62;63;64;65;66;67;68;69;70;71;72;73;74;75;76;77;78;79;80;81;82;83;84;85;86;87;88;89;90;91;92;93;94;95;96;97;98;99},{100000;130000;160000;190000;220000;250000;300000;350000;400000;450000;500000;600000;700000;800000;900000;1000000;1500000;2000000;3000000;4000000;5000000;6500000;8000000;10000000;12500000;15000000;20000000;25000000;30000000;35000000;40000000;55000000;70000000;80000000;90000000;110000000;130000000;160000000;190000000;220000000;250000000;280000000;310000000;340000000;400000000})</f>
        <v>70000000</v>
      </c>
      <c r="J297" s="7" t="n">
        <f aca="false">I297*S297*T297*U297</f>
        <v>91770000</v>
      </c>
      <c r="K297" s="3"/>
      <c r="L297" s="3"/>
      <c r="M297" s="3"/>
      <c r="N297" s="9" t="n">
        <v>0</v>
      </c>
      <c r="O297" s="4" t="n">
        <v>0</v>
      </c>
      <c r="P297" s="5" t="n">
        <f aca="false">IF(COUNTIF([1]Base_Jugadores!J$2:J$500,B297)&gt;0,1,0)</f>
        <v>0</v>
      </c>
      <c r="Q297" s="10" t="b">
        <f aca="false">--(COUNTIFS(
   [1]Fichajes_Realizados!A$2:A$5000,A297,
   [1]Fichajes_Realizados!G$2:G$5000,$X$3
)&gt;0)</f>
        <v>0</v>
      </c>
      <c r="R297" s="5" t="n">
        <f aca="false">_xlfn.XLOOKUP(C297, [1]Estado_Equipos!A$2:A$500, [1]Estado_Equipos!J$2:J$500, "")</f>
        <v>85</v>
      </c>
      <c r="S297" s="5" t="n">
        <f aca="false">IF(H297&lt;=16,1.45,
IF(H297&gt;=41,0.3,
CHOOSE(ROUNDDOWN((H297-16)/2,0)+1,
1.45,1.38,1.3,1.23,1.17,1.15,1.12,1.05,0.95,0.8,0.6,0.4,0.3)))</f>
        <v>1.15</v>
      </c>
      <c r="T297" s="5" t="n">
        <f aca="false">CHOOSE(N297+1,1.2,1,0.85,0.7)</f>
        <v>1.2</v>
      </c>
      <c r="U297" s="5" t="n">
        <f aca="false">IF(F297="PO",0.6,
IF(F297="CT",0.75,
IF(F297="LI",0.8,
IF(F297="LD",0.8,
IF(F297="MCD",0.85,
IF(F297="MC",0.95,
IF(F297="MO",1.05,
IF(F297="EI",1.1,
IF(F297="ED",1.1,
IF(F297="SD",1.15,
IF(F297="DC",1.2,0)))))))))))</f>
        <v>0.95</v>
      </c>
    </row>
    <row r="298" customFormat="false" ht="16.4" hidden="false" customHeight="false" outlineLevel="0" collapsed="false">
      <c r="A298" s="1" t="n">
        <v>297</v>
      </c>
      <c r="B298" s="5" t="str">
        <f aca="false">[1]Base_Jugadores!B298</f>
        <v>Ferland Mendy</v>
      </c>
      <c r="C298" s="5" t="str">
        <f aca="false">IFERROR(
   _xlfn.XLOOKUP(VALUE(A298),[1]Fichajes_Realizados!A$2:A$50000,[1]Fichajes_Realizados!D$2:D$50000,,0,-1),
   _xlfn.XLOOKUP(VALUE(A298),[1]Base_Jugadores!A$2:A$50000,[1]Base_Jugadores!C$2:C$50000)
)</f>
        <v>Real Madrid CF</v>
      </c>
      <c r="D298" s="5" t="str">
        <f aca="false">[1]Base_Jugadores!D298</f>
        <v>Francia</v>
      </c>
      <c r="E298" s="3"/>
      <c r="F298" s="5" t="str">
        <f aca="false">[1]Base_Jugadores!E298</f>
        <v>LI</v>
      </c>
      <c r="G298" s="5" t="n">
        <f aca="false">[1]Base_Jugadores!F298</f>
        <v>82</v>
      </c>
      <c r="H298" s="5" t="n">
        <f aca="false">[1]Base_Jugadores!G298</f>
        <v>30</v>
      </c>
      <c r="I298" s="7" t="n">
        <f aca="false" t="array" ref="I298:I298">_xlfn.XLOOKUP(G298,{55;56;57;58;59;60;61;62;63;64;65;66;67;68;69;70;71;72;73;74;75;76;77;78;79;80;81;82;83;84;85;86;87;88;89;90;91;92;93;94;95;96;97;98;99},{100000;130000;160000;190000;220000;250000;300000;350000;400000;450000;500000;600000;700000;800000;900000;1000000;1500000;2000000;3000000;4000000;5000000;6500000;8000000;10000000;12500000;15000000;20000000;25000000;30000000;35000000;40000000;55000000;70000000;80000000;90000000;110000000;130000000;160000000;190000000;220000000;250000000;280000000;310000000;340000000;400000000})</f>
        <v>25000000</v>
      </c>
      <c r="J298" s="7" t="n">
        <f aca="false">I298*S298*T298*U298</f>
        <v>25200000</v>
      </c>
      <c r="K298" s="3"/>
      <c r="L298" s="3"/>
      <c r="M298" s="3"/>
      <c r="N298" s="9" t="n">
        <v>0</v>
      </c>
      <c r="O298" s="4" t="n">
        <v>0</v>
      </c>
      <c r="P298" s="5" t="n">
        <f aca="false">IF(COUNTIF([1]Base_Jugadores!J$2:J$500,B298)&gt;0,1,0)</f>
        <v>0</v>
      </c>
      <c r="Q298" s="10" t="b">
        <f aca="false">--(COUNTIFS(
   [1]Fichajes_Realizados!A$2:A$5000,A298,
   [1]Fichajes_Realizados!G$2:G$5000,$X$3
)&gt;0)</f>
        <v>0</v>
      </c>
      <c r="R298" s="5" t="n">
        <f aca="false">_xlfn.XLOOKUP(C298, [1]Estado_Equipos!A$2:A$500, [1]Estado_Equipos!J$2:J$500, "")</f>
        <v>85</v>
      </c>
      <c r="S298" s="5" t="n">
        <f aca="false">IF(H298&lt;=16,1.45,
IF(H298&gt;=41,0.3,
CHOOSE(ROUNDDOWN((H298-16)/2,0)+1,
1.45,1.38,1.3,1.23,1.17,1.15,1.12,1.05,0.95,0.8,0.6,0.4,0.3)))</f>
        <v>1.05</v>
      </c>
      <c r="T298" s="5" t="n">
        <f aca="false">CHOOSE(N298+1,1.2,1,0.85,0.7)</f>
        <v>1.2</v>
      </c>
      <c r="U298" s="5" t="n">
        <f aca="false">IF(F298="PO",0.6,
IF(F298="CT",0.75,
IF(F298="LI",0.8,
IF(F298="LD",0.8,
IF(F298="MCD",0.85,
IF(F298="MC",0.95,
IF(F298="MO",1.05,
IF(F298="EI",1.1,
IF(F298="ED",1.1,
IF(F298="SD",1.15,
IF(F298="DC",1.2,0)))))))))))</f>
        <v>0.8</v>
      </c>
    </row>
    <row r="299" customFormat="false" ht="16.4" hidden="false" customHeight="false" outlineLevel="0" collapsed="false">
      <c r="A299" s="1" t="n">
        <v>298</v>
      </c>
      <c r="B299" s="5" t="str">
        <f aca="false">[1]Base_Jugadores!B299</f>
        <v>Fran García T.</v>
      </c>
      <c r="C299" s="5" t="str">
        <f aca="false">IFERROR(
   _xlfn.XLOOKUP(VALUE(A299),[1]Fichajes_Realizados!A$2:A$50000,[1]Fichajes_Realizados!D$2:D$50000,,0,-1),
   _xlfn.XLOOKUP(VALUE(A299),[1]Base_Jugadores!A$2:A$50000,[1]Base_Jugadores!C$2:C$50000)
)</f>
        <v>Real Madrid CF</v>
      </c>
      <c r="D299" s="5" t="str">
        <f aca="false">[1]Base_Jugadores!D299</f>
        <v>España</v>
      </c>
      <c r="E299" s="3"/>
      <c r="F299" s="5" t="str">
        <f aca="false">[1]Base_Jugadores!E299</f>
        <v>LI</v>
      </c>
      <c r="G299" s="5" t="n">
        <f aca="false">[1]Base_Jugadores!F299</f>
        <v>78</v>
      </c>
      <c r="H299" s="5" t="n">
        <f aca="false">[1]Base_Jugadores!G299</f>
        <v>26</v>
      </c>
      <c r="I299" s="7" t="n">
        <f aca="false" t="array" ref="I299:I299">_xlfn.XLOOKUP(G299,{55;56;57;58;59;60;61;62;63;64;65;66;67;68;69;70;71;72;73;74;75;76;77;78;79;80;81;82;83;84;85;86;87;88;89;90;91;92;93;94;95;96;97;98;99},{100000;130000;160000;190000;220000;250000;300000;350000;400000;450000;500000;600000;700000;800000;900000;1000000;1500000;2000000;3000000;4000000;5000000;6500000;8000000;10000000;12500000;15000000;20000000;25000000;30000000;35000000;40000000;55000000;70000000;80000000;90000000;110000000;130000000;160000000;190000000;220000000;250000000;280000000;310000000;340000000;400000000})</f>
        <v>10000000</v>
      </c>
      <c r="J299" s="7" t="n">
        <f aca="false">I299*S299*T299*U299</f>
        <v>9200000</v>
      </c>
      <c r="K299" s="3"/>
      <c r="L299" s="3"/>
      <c r="M299" s="3"/>
      <c r="N299" s="9" t="n">
        <v>1</v>
      </c>
      <c r="O299" s="4" t="n">
        <v>0</v>
      </c>
      <c r="P299" s="5" t="n">
        <f aca="false">IF(COUNTIF([1]Base_Jugadores!J$2:J$500,B299)&gt;0,1,0)</f>
        <v>0</v>
      </c>
      <c r="Q299" s="10" t="b">
        <f aca="false">--(COUNTIFS(
   [1]Fichajes_Realizados!A$2:A$5000,A299,
   [1]Fichajes_Realizados!G$2:G$5000,$X$3
)&gt;0)</f>
        <v>0</v>
      </c>
      <c r="R299" s="5" t="n">
        <f aca="false">_xlfn.XLOOKUP(C299, [1]Estado_Equipos!A$2:A$500, [1]Estado_Equipos!J$2:J$500, "")</f>
        <v>85</v>
      </c>
      <c r="S299" s="5" t="n">
        <f aca="false">IF(H299&lt;=16,1.45,
IF(H299&gt;=41,0.3,
CHOOSE(ROUNDDOWN((H299-16)/2,0)+1,
1.45,1.38,1.3,1.23,1.17,1.15,1.12,1.05,0.95,0.8,0.6,0.4,0.3)))</f>
        <v>1.15</v>
      </c>
      <c r="T299" s="5" t="n">
        <f aca="false">CHOOSE(N299+1,1.2,1,0.85,0.7)</f>
        <v>1</v>
      </c>
      <c r="U299" s="5" t="n">
        <f aca="false">IF(F299="PO",0.6,
IF(F299="CT",0.75,
IF(F299="LI",0.8,
IF(F299="LD",0.8,
IF(F299="MCD",0.85,
IF(F299="MC",0.95,
IF(F299="MO",1.05,
IF(F299="EI",1.1,
IF(F299="ED",1.1,
IF(F299="SD",1.15,
IF(F299="DC",1.2,0)))))))))))</f>
        <v>0.8</v>
      </c>
    </row>
    <row r="300" customFormat="false" ht="16.4" hidden="false" customHeight="false" outlineLevel="0" collapsed="false">
      <c r="A300" s="1" t="n">
        <v>299</v>
      </c>
      <c r="B300" s="5" t="str">
        <f aca="false">[1]Base_Jugadores!B300</f>
        <v>Fran González</v>
      </c>
      <c r="C300" s="5" t="str">
        <f aca="false">IFERROR(
   _xlfn.XLOOKUP(VALUE(A300),[1]Fichajes_Realizados!A$2:A$50000,[1]Fichajes_Realizados!D$2:D$50000,,0,-1),
   _xlfn.XLOOKUP(VALUE(A300),[1]Base_Jugadores!A$2:A$50000,[1]Base_Jugadores!C$2:C$50000)
)</f>
        <v>Real Madrid CF</v>
      </c>
      <c r="D300" s="5" t="str">
        <f aca="false">[1]Base_Jugadores!D300</f>
        <v>España</v>
      </c>
      <c r="E300" s="3"/>
      <c r="F300" s="5" t="str">
        <f aca="false">[1]Base_Jugadores!E300</f>
        <v>PO</v>
      </c>
      <c r="G300" s="5" t="n">
        <f aca="false">[1]Base_Jugadores!F300</f>
        <v>72</v>
      </c>
      <c r="H300" s="5" t="n">
        <f aca="false">[1]Base_Jugadores!G300</f>
        <v>20</v>
      </c>
      <c r="I300" s="7" t="n">
        <f aca="false" t="array" ref="I300:I300">_xlfn.XLOOKUP(G300,{55;56;57;58;59;60;61;62;63;64;65;66;67;68;69;70;71;72;73;74;75;76;77;78;79;80;81;82;83;84;85;86;87;88;89;90;91;92;93;94;95;96;97;98;99},{100000;130000;160000;190000;220000;250000;300000;350000;400000;450000;500000;600000;700000;800000;900000;1000000;1500000;2000000;3000000;4000000;5000000;6500000;8000000;10000000;12500000;15000000;20000000;25000000;30000000;35000000;40000000;55000000;70000000;80000000;90000000;110000000;130000000;160000000;190000000;220000000;250000000;280000000;310000000;340000000;400000000})</f>
        <v>2000000</v>
      </c>
      <c r="J300" s="7" t="n">
        <f aca="false">I300*S300*T300*U300</f>
        <v>1326000</v>
      </c>
      <c r="K300" s="3"/>
      <c r="L300" s="3"/>
      <c r="M300" s="3"/>
      <c r="N300" s="9" t="n">
        <v>2</v>
      </c>
      <c r="O300" s="4" t="n">
        <v>1</v>
      </c>
      <c r="P300" s="5" t="n">
        <f aca="false">IF(COUNTIF([1]Base_Jugadores!J$2:J$500,B300)&gt;0,1,0)</f>
        <v>0</v>
      </c>
      <c r="Q300" s="10" t="b">
        <f aca="false">--(COUNTIFS(
   [1]Fichajes_Realizados!A$2:A$5000,A300,
   [1]Fichajes_Realizados!G$2:G$5000,$X$3
)&gt;0)</f>
        <v>0</v>
      </c>
      <c r="R300" s="5" t="n">
        <f aca="false">_xlfn.XLOOKUP(C300, [1]Estado_Equipos!A$2:A$500, [1]Estado_Equipos!J$2:J$500, "")</f>
        <v>85</v>
      </c>
      <c r="S300" s="5" t="n">
        <f aca="false">IF(H300&lt;=16,1.45,
IF(H300&gt;=41,0.3,
CHOOSE(ROUNDDOWN((H300-16)/2,0)+1,
1.45,1.38,1.3,1.23,1.17,1.15,1.12,1.05,0.95,0.8,0.6,0.4,0.3)))</f>
        <v>1.3</v>
      </c>
      <c r="T300" s="5" t="n">
        <f aca="false">CHOOSE(N300+1,1.2,1,0.85,0.7)</f>
        <v>0.85</v>
      </c>
      <c r="U300" s="5" t="n">
        <f aca="false">IF(F300="PO",0.6,
IF(F300="CT",0.75,
IF(F300="LI",0.8,
IF(F300="LD",0.8,
IF(F300="MCD",0.85,
IF(F300="MC",0.95,
IF(F300="MO",1.05,
IF(F300="EI",1.1,
IF(F300="ED",1.1,
IF(F300="SD",1.15,
IF(F300="DC",1.2,0)))))))))))</f>
        <v>0.6</v>
      </c>
    </row>
    <row r="301" customFormat="false" ht="16.4" hidden="false" customHeight="false" outlineLevel="0" collapsed="false">
      <c r="A301" s="1" t="n">
        <v>300</v>
      </c>
      <c r="B301" s="5" t="str">
        <f aca="false">[1]Base_Jugadores!B301</f>
        <v>Franco Mastantuono</v>
      </c>
      <c r="C301" s="5" t="str">
        <f aca="false">IFERROR(
   _xlfn.XLOOKUP(VALUE(A301),[1]Fichajes_Realizados!A$2:A$50000,[1]Fichajes_Realizados!D$2:D$50000,,0,-1),
   _xlfn.XLOOKUP(VALUE(A301),[1]Base_Jugadores!A$2:A$50000,[1]Base_Jugadores!C$2:C$50000)
)</f>
        <v>Real Madrid CF</v>
      </c>
      <c r="D301" s="5" t="str">
        <f aca="false">[1]Base_Jugadores!D301</f>
        <v>Argentina</v>
      </c>
      <c r="E301" s="3"/>
      <c r="F301" s="5" t="str">
        <f aca="false">[1]Base_Jugadores!E301</f>
        <v>ED</v>
      </c>
      <c r="G301" s="5" t="n">
        <f aca="false">[1]Base_Jugadores!F301</f>
        <v>75</v>
      </c>
      <c r="H301" s="5" t="n">
        <f aca="false">[1]Base_Jugadores!G301</f>
        <v>18</v>
      </c>
      <c r="I301" s="7" t="n">
        <f aca="false" t="array" ref="I301:I301">_xlfn.XLOOKUP(G301,{55;56;57;58;59;60;61;62;63;64;65;66;67;68;69;70;71;72;73;74;75;76;77;78;79;80;81;82;83;84;85;86;87;88;89;90;91;92;93;94;95;96;97;98;99},{100000;130000;160000;190000;220000;250000;300000;350000;400000;450000;500000;600000;700000;800000;900000;1000000;1500000;2000000;3000000;4000000;5000000;6500000;8000000;10000000;12500000;15000000;20000000;25000000;30000000;35000000;40000000;55000000;70000000;80000000;90000000;110000000;130000000;160000000;190000000;220000000;250000000;280000000;310000000;340000000;400000000})</f>
        <v>5000000</v>
      </c>
      <c r="J301" s="7" t="n">
        <f aca="false">I301*S301*T301*U301</f>
        <v>6451500</v>
      </c>
      <c r="K301" s="3"/>
      <c r="L301" s="3"/>
      <c r="M301" s="3"/>
      <c r="N301" s="9" t="n">
        <v>2</v>
      </c>
      <c r="O301" s="4" t="n">
        <v>1</v>
      </c>
      <c r="P301" s="5" t="n">
        <f aca="false">IF(COUNTIF([1]Base_Jugadores!J$2:J$500,B301)&gt;0,1,0)</f>
        <v>0</v>
      </c>
      <c r="Q301" s="10" t="b">
        <f aca="false">--(COUNTIFS(
   [1]Fichajes_Realizados!A$2:A$5000,A301,
   [1]Fichajes_Realizados!G$2:G$5000,$X$3
)&gt;0)</f>
        <v>0</v>
      </c>
      <c r="R301" s="5" t="n">
        <f aca="false">_xlfn.XLOOKUP(C301, [1]Estado_Equipos!A$2:A$500, [1]Estado_Equipos!J$2:J$500, "")</f>
        <v>85</v>
      </c>
      <c r="S301" s="5" t="n">
        <f aca="false">IF(H301&lt;=16,1.45,
IF(H301&gt;=41,0.3,
CHOOSE(ROUNDDOWN((H301-16)/2,0)+1,
1.45,1.38,1.3,1.23,1.17,1.15,1.12,1.05,0.95,0.8,0.6,0.4,0.3)))</f>
        <v>1.38</v>
      </c>
      <c r="T301" s="5" t="n">
        <f aca="false">CHOOSE(N301+1,1.2,1,0.85,0.7)</f>
        <v>0.85</v>
      </c>
      <c r="U301" s="5" t="n">
        <f aca="false">IF(F301="PO",0.6,
IF(F301="CT",0.75,
IF(F301="LI",0.8,
IF(F301="LD",0.8,
IF(F301="MCD",0.85,
IF(F301="MC",0.95,
IF(F301="MO",1.05,
IF(F301="EI",1.1,
IF(F301="ED",1.1,
IF(F301="SD",1.15,
IF(F301="DC",1.2,0)))))))))))</f>
        <v>1.1</v>
      </c>
    </row>
    <row r="302" customFormat="false" ht="16.4" hidden="false" customHeight="false" outlineLevel="0" collapsed="false">
      <c r="A302" s="1" t="n">
        <v>301</v>
      </c>
      <c r="B302" s="5" t="str">
        <f aca="false">[1]Base_Jugadores!B302</f>
        <v>Gonzalo García</v>
      </c>
      <c r="C302" s="5" t="str">
        <f aca="false">IFERROR(
   _xlfn.XLOOKUP(VALUE(A302),[1]Fichajes_Realizados!A$2:A$50000,[1]Fichajes_Realizados!D$2:D$50000,,0,-1),
   _xlfn.XLOOKUP(VALUE(A302),[1]Base_Jugadores!A$2:A$50000,[1]Base_Jugadores!C$2:C$50000)
)</f>
        <v>Real Madrid CF</v>
      </c>
      <c r="D302" s="5" t="str">
        <f aca="false">[1]Base_Jugadores!D302</f>
        <v>España</v>
      </c>
      <c r="E302" s="3"/>
      <c r="F302" s="5" t="str">
        <f aca="false">[1]Base_Jugadores!E302</f>
        <v>DC</v>
      </c>
      <c r="G302" s="5" t="n">
        <f aca="false">[1]Base_Jugadores!F302</f>
        <v>64</v>
      </c>
      <c r="H302" s="5" t="n">
        <f aca="false">[1]Base_Jugadores!G302</f>
        <v>21</v>
      </c>
      <c r="I302" s="7" t="n">
        <f aca="false" t="array" ref="I302:I302">_xlfn.XLOOKUP(G302,{55;56;57;58;59;60;61;62;63;64;65;66;67;68;69;70;71;72;73;74;75;76;77;78;79;80;81;82;83;84;85;86;87;88;89;90;91;92;93;94;95;96;97;98;99},{100000;130000;160000;190000;220000;250000;300000;350000;400000;450000;500000;600000;700000;800000;900000;1000000;1500000;2000000;3000000;4000000;5000000;6500000;8000000;10000000;12500000;15000000;20000000;25000000;30000000;35000000;40000000;55000000;70000000;80000000;90000000;110000000;130000000;160000000;190000000;220000000;250000000;280000000;310000000;340000000;400000000})</f>
        <v>450000</v>
      </c>
      <c r="J302" s="7" t="n">
        <f aca="false">I302*S302*T302*U302</f>
        <v>596700</v>
      </c>
      <c r="K302" s="3"/>
      <c r="L302" s="3"/>
      <c r="M302" s="3"/>
      <c r="N302" s="9" t="n">
        <v>2</v>
      </c>
      <c r="O302" s="4" t="n">
        <v>0</v>
      </c>
      <c r="P302" s="5" t="n">
        <f aca="false">IF(COUNTIF([1]Base_Jugadores!J$2:J$500,B302)&gt;0,1,0)</f>
        <v>0</v>
      </c>
      <c r="Q302" s="10" t="b">
        <f aca="false">--(COUNTIFS(
   [1]Fichajes_Realizados!A$2:A$5000,A302,
   [1]Fichajes_Realizados!G$2:G$5000,$X$3
)&gt;0)</f>
        <v>0</v>
      </c>
      <c r="R302" s="5" t="n">
        <f aca="false">_xlfn.XLOOKUP(C302, [1]Estado_Equipos!A$2:A$500, [1]Estado_Equipos!J$2:J$500, "")</f>
        <v>85</v>
      </c>
      <c r="S302" s="5" t="n">
        <f aca="false">IF(H302&lt;=16,1.45,
IF(H302&gt;=41,0.3,
CHOOSE(ROUNDDOWN((H302-16)/2,0)+1,
1.45,1.38,1.3,1.23,1.17,1.15,1.12,1.05,0.95,0.8,0.6,0.4,0.3)))</f>
        <v>1.3</v>
      </c>
      <c r="T302" s="5" t="n">
        <f aca="false">CHOOSE(N302+1,1.2,1,0.85,0.7)</f>
        <v>0.85</v>
      </c>
      <c r="U302" s="5" t="n">
        <f aca="false">IF(F302="PO",0.6,
IF(F302="CT",0.75,
IF(F302="LI",0.8,
IF(F302="LD",0.8,
IF(F302="MCD",0.85,
IF(F302="MC",0.95,
IF(F302="MO",1.05,
IF(F302="EI",1.1,
IF(F302="ED",1.1,
IF(F302="SD",1.15,
IF(F302="DC",1.2,0)))))))))))</f>
        <v>1.2</v>
      </c>
    </row>
    <row r="303" customFormat="false" ht="16.4" hidden="false" customHeight="false" outlineLevel="0" collapsed="false">
      <c r="A303" s="1" t="n">
        <v>302</v>
      </c>
      <c r="B303" s="5" t="str">
        <f aca="false">[1]Base_Jugadores!B303</f>
        <v>Jude Bellingham</v>
      </c>
      <c r="C303" s="5" t="str">
        <f aca="false">IFERROR(
   _xlfn.XLOOKUP(VALUE(A303),[1]Fichajes_Realizados!A$2:A$50000,[1]Fichajes_Realizados!D$2:D$50000,,0,-1),
   _xlfn.XLOOKUP(VALUE(A303),[1]Base_Jugadores!A$2:A$50000,[1]Base_Jugadores!C$2:C$50000)
)</f>
        <v>Real Madrid CF</v>
      </c>
      <c r="D303" s="5" t="str">
        <f aca="false">[1]Base_Jugadores!D303</f>
        <v>Inglaterra</v>
      </c>
      <c r="E303" s="3"/>
      <c r="F303" s="5" t="str">
        <f aca="false">[1]Base_Jugadores!E303</f>
        <v>MO</v>
      </c>
      <c r="G303" s="5" t="n">
        <f aca="false">[1]Base_Jugadores!F303</f>
        <v>89</v>
      </c>
      <c r="H303" s="5" t="n">
        <f aca="false">[1]Base_Jugadores!G303</f>
        <v>22</v>
      </c>
      <c r="I303" s="7" t="n">
        <f aca="false" t="array" ref="I303:I303">_xlfn.XLOOKUP(G303,{55;56;57;58;59;60;61;62;63;64;65;66;67;68;69;70;71;72;73;74;75;76;77;78;79;80;81;82;83;84;85;86;87;88;89;90;91;92;93;94;95;96;97;98;99},{100000;130000;160000;190000;220000;250000;300000;350000;400000;450000;500000;600000;700000;800000;900000;1000000;1500000;2000000;3000000;4000000;5000000;6500000;8000000;10000000;12500000;15000000;20000000;25000000;30000000;35000000;40000000;55000000;70000000;80000000;90000000;110000000;130000000;160000000;190000000;220000000;250000000;280000000;310000000;340000000;400000000})</f>
        <v>90000000</v>
      </c>
      <c r="J303" s="7" t="n">
        <f aca="false">I303*S303*T303*U303</f>
        <v>139482000</v>
      </c>
      <c r="K303" s="3"/>
      <c r="L303" s="3"/>
      <c r="M303" s="3"/>
      <c r="N303" s="9" t="n">
        <v>0</v>
      </c>
      <c r="O303" s="4" t="n">
        <v>0</v>
      </c>
      <c r="P303" s="5" t="n">
        <f aca="false">IF(COUNTIF([1]Base_Jugadores!J$2:J$500,B303)&gt;0,1,0)</f>
        <v>0</v>
      </c>
      <c r="Q303" s="10" t="b">
        <f aca="false">--(COUNTIFS(
   [1]Fichajes_Realizados!A$2:A$5000,A303,
   [1]Fichajes_Realizados!G$2:G$5000,$X$3
)&gt;0)</f>
        <v>0</v>
      </c>
      <c r="R303" s="5" t="n">
        <f aca="false">_xlfn.XLOOKUP(C303, [1]Estado_Equipos!A$2:A$500, [1]Estado_Equipos!J$2:J$500, "")</f>
        <v>85</v>
      </c>
      <c r="S303" s="5" t="n">
        <f aca="false">IF(H303&lt;=16,1.45,
IF(H303&gt;=41,0.3,
CHOOSE(ROUNDDOWN((H303-16)/2,0)+1,
1.45,1.38,1.3,1.23,1.17,1.15,1.12,1.05,0.95,0.8,0.6,0.4,0.3)))</f>
        <v>1.23</v>
      </c>
      <c r="T303" s="5" t="n">
        <f aca="false">CHOOSE(N303+1,1.2,1,0.85,0.7)</f>
        <v>1.2</v>
      </c>
      <c r="U303" s="5" t="n">
        <f aca="false">IF(F303="PO",0.6,
IF(F303="CT",0.75,
IF(F303="LI",0.8,
IF(F303="LD",0.8,
IF(F303="MCD",0.85,
IF(F303="MC",0.95,
IF(F303="MO",1.05,
IF(F303="EI",1.1,
IF(F303="ED",1.1,
IF(F303="SD",1.15,
IF(F303="DC",1.2,0)))))))))))</f>
        <v>1.05</v>
      </c>
    </row>
    <row r="304" customFormat="false" ht="16.4" hidden="false" customHeight="false" outlineLevel="0" collapsed="false">
      <c r="A304" s="1" t="n">
        <v>303</v>
      </c>
      <c r="B304" s="5" t="str">
        <f aca="false">[1]Base_Jugadores!B304</f>
        <v>Kylian Mbappé</v>
      </c>
      <c r="C304" s="5" t="str">
        <f aca="false">IFERROR(
   _xlfn.XLOOKUP(VALUE(A304),[1]Fichajes_Realizados!A$2:A$50000,[1]Fichajes_Realizados!D$2:D$50000,,0,-1),
   _xlfn.XLOOKUP(VALUE(A304),[1]Base_Jugadores!A$2:A$50000,[1]Base_Jugadores!C$2:C$50000)
)</f>
        <v>Real Madrid CF</v>
      </c>
      <c r="D304" s="5" t="str">
        <f aca="false">[1]Base_Jugadores!D304</f>
        <v>Francia</v>
      </c>
      <c r="E304" s="3"/>
      <c r="F304" s="5" t="str">
        <f aca="false">[1]Base_Jugadores!E304</f>
        <v>DC</v>
      </c>
      <c r="G304" s="5" t="n">
        <f aca="false">[1]Base_Jugadores!F304</f>
        <v>91</v>
      </c>
      <c r="H304" s="5" t="n">
        <f aca="false">[1]Base_Jugadores!G304</f>
        <v>27</v>
      </c>
      <c r="I304" s="7" t="n">
        <f aca="false" t="array" ref="I304:I304">_xlfn.XLOOKUP(G304,{55;56;57;58;59;60;61;62;63;64;65;66;67;68;69;70;71;72;73;74;75;76;77;78;79;80;81;82;83;84;85;86;87;88;89;90;91;92;93;94;95;96;97;98;99},{100000;130000;160000;190000;220000;250000;300000;350000;400000;450000;500000;600000;700000;800000;900000;1000000;1500000;2000000;3000000;4000000;5000000;6500000;8000000;10000000;12500000;15000000;20000000;25000000;30000000;35000000;40000000;55000000;70000000;80000000;90000000;110000000;130000000;160000000;190000000;220000000;250000000;280000000;310000000;340000000;400000000})</f>
        <v>130000000</v>
      </c>
      <c r="J304" s="7" t="n">
        <f aca="false">I304*S304*T304*U304</f>
        <v>215280000</v>
      </c>
      <c r="K304" s="3"/>
      <c r="L304" s="3"/>
      <c r="M304" s="3"/>
      <c r="N304" s="9" t="n">
        <v>0</v>
      </c>
      <c r="O304" s="4" t="n">
        <v>0</v>
      </c>
      <c r="P304" s="5" t="n">
        <f aca="false">IF(COUNTIF([1]Base_Jugadores!J$2:J$500,B304)&gt;0,1,0)</f>
        <v>0</v>
      </c>
      <c r="Q304" s="10" t="b">
        <f aca="false">--(COUNTIFS(
   [1]Fichajes_Realizados!A$2:A$5000,A304,
   [1]Fichajes_Realizados!G$2:G$5000,$X$3
)&gt;0)</f>
        <v>0</v>
      </c>
      <c r="R304" s="5" t="n">
        <f aca="false">_xlfn.XLOOKUP(C304, [1]Estado_Equipos!A$2:A$500, [1]Estado_Equipos!J$2:J$500, "")</f>
        <v>85</v>
      </c>
      <c r="S304" s="5" t="n">
        <f aca="false">IF(H304&lt;=16,1.45,
IF(H304&gt;=41,0.3,
CHOOSE(ROUNDDOWN((H304-16)/2,0)+1,
1.45,1.38,1.3,1.23,1.17,1.15,1.12,1.05,0.95,0.8,0.6,0.4,0.3)))</f>
        <v>1.15</v>
      </c>
      <c r="T304" s="5" t="n">
        <f aca="false">CHOOSE(N304+1,1.2,1,0.85,0.7)</f>
        <v>1.2</v>
      </c>
      <c r="U304" s="5" t="n">
        <f aca="false">IF(F304="PO",0.6,
IF(F304="CT",0.75,
IF(F304="LI",0.8,
IF(F304="LD",0.8,
IF(F304="MCD",0.85,
IF(F304="MC",0.95,
IF(F304="MO",1.05,
IF(F304="EI",1.1,
IF(F304="ED",1.1,
IF(F304="SD",1.15,
IF(F304="DC",1.2,0)))))))))))</f>
        <v>1.2</v>
      </c>
    </row>
    <row r="305" customFormat="false" ht="16.4" hidden="false" customHeight="false" outlineLevel="0" collapsed="false">
      <c r="A305" s="1" t="n">
        <v>304</v>
      </c>
      <c r="B305" s="5" t="str">
        <f aca="false">[1]Base_Jugadores!B305</f>
        <v>Raúl Asencio</v>
      </c>
      <c r="C305" s="5" t="str">
        <f aca="false">IFERROR(
   _xlfn.XLOOKUP(VALUE(A305),[1]Fichajes_Realizados!A$2:A$50000,[1]Fichajes_Realizados!D$2:D$50000,,0,-1),
   _xlfn.XLOOKUP(VALUE(A305),[1]Base_Jugadores!A$2:A$50000,[1]Base_Jugadores!C$2:C$50000)
)</f>
        <v>Real Madrid CF</v>
      </c>
      <c r="D305" s="5" t="str">
        <f aca="false">[1]Base_Jugadores!D305</f>
        <v>España</v>
      </c>
      <c r="E305" s="3"/>
      <c r="F305" s="5" t="str">
        <f aca="false">[1]Base_Jugadores!E305</f>
        <v>CT</v>
      </c>
      <c r="G305" s="5" t="n">
        <f aca="false">[1]Base_Jugadores!F305</f>
        <v>76</v>
      </c>
      <c r="H305" s="5" t="n">
        <f aca="false">[1]Base_Jugadores!G305</f>
        <v>22</v>
      </c>
      <c r="I305" s="7" t="n">
        <f aca="false" t="array" ref="I305:I305">_xlfn.XLOOKUP(G305,{55;56;57;58;59;60;61;62;63;64;65;66;67;68;69;70;71;72;73;74;75;76;77;78;79;80;81;82;83;84;85;86;87;88;89;90;91;92;93;94;95;96;97;98;99},{100000;130000;160000;190000;220000;250000;300000;350000;400000;450000;500000;600000;700000;800000;900000;1000000;1500000;2000000;3000000;4000000;5000000;6500000;8000000;10000000;12500000;15000000;20000000;25000000;30000000;35000000;40000000;55000000;70000000;80000000;90000000;110000000;130000000;160000000;190000000;220000000;250000000;280000000;310000000;340000000;400000000})</f>
        <v>6500000</v>
      </c>
      <c r="J305" s="7" t="n">
        <f aca="false">I305*S305*T305*U305</f>
        <v>5096812.5</v>
      </c>
      <c r="K305" s="3"/>
      <c r="L305" s="3"/>
      <c r="M305" s="3"/>
      <c r="N305" s="9" t="n">
        <v>2</v>
      </c>
      <c r="O305" s="4" t="n">
        <v>0</v>
      </c>
      <c r="P305" s="5" t="n">
        <f aca="false">IF(COUNTIF([1]Base_Jugadores!J$2:J$500,B305)&gt;0,1,0)</f>
        <v>0</v>
      </c>
      <c r="Q305" s="10" t="b">
        <f aca="false">--(COUNTIFS(
   [1]Fichajes_Realizados!A$2:A$5000,A305,
   [1]Fichajes_Realizados!G$2:G$5000,$X$3
)&gt;0)</f>
        <v>0</v>
      </c>
      <c r="R305" s="5" t="n">
        <f aca="false">_xlfn.XLOOKUP(C305, [1]Estado_Equipos!A$2:A$500, [1]Estado_Equipos!J$2:J$500, "")</f>
        <v>85</v>
      </c>
      <c r="S305" s="5" t="n">
        <f aca="false">IF(H305&lt;=16,1.45,
IF(H305&gt;=41,0.3,
CHOOSE(ROUNDDOWN((H305-16)/2,0)+1,
1.45,1.38,1.3,1.23,1.17,1.15,1.12,1.05,0.95,0.8,0.6,0.4,0.3)))</f>
        <v>1.23</v>
      </c>
      <c r="T305" s="5" t="n">
        <f aca="false">CHOOSE(N305+1,1.2,1,0.85,0.7)</f>
        <v>0.85</v>
      </c>
      <c r="U305" s="5" t="n">
        <f aca="false">IF(F305="PO",0.6,
IF(F305="CT",0.75,
IF(F305="LI",0.8,
IF(F305="LD",0.8,
IF(F305="MCD",0.85,
IF(F305="MC",0.95,
IF(F305="MO",1.05,
IF(F305="EI",1.1,
IF(F305="ED",1.1,
IF(F305="SD",1.15,
IF(F305="DC",1.2,0)))))))))))</f>
        <v>0.75</v>
      </c>
    </row>
    <row r="306" customFormat="false" ht="16.4" hidden="false" customHeight="false" outlineLevel="0" collapsed="false">
      <c r="A306" s="1" t="n">
        <v>305</v>
      </c>
      <c r="B306" s="5" t="str">
        <f aca="false">[1]Base_Jugadores!B306</f>
        <v>Rodrygo</v>
      </c>
      <c r="C306" s="5" t="str">
        <f aca="false">IFERROR(
   _xlfn.XLOOKUP(VALUE(A306),[1]Fichajes_Realizados!A$2:A$50000,[1]Fichajes_Realizados!D$2:D$50000,,0,-1),
   _xlfn.XLOOKUP(VALUE(A306),[1]Base_Jugadores!A$2:A$50000,[1]Base_Jugadores!C$2:C$50000)
)</f>
        <v>Real Madrid CF</v>
      </c>
      <c r="D306" s="5" t="str">
        <f aca="false">[1]Base_Jugadores!D306</f>
        <v>Brasil</v>
      </c>
      <c r="E306" s="3"/>
      <c r="F306" s="5" t="str">
        <f aca="false">[1]Base_Jugadores!E306</f>
        <v>ED</v>
      </c>
      <c r="G306" s="5" t="n">
        <f aca="false">[1]Base_Jugadores!F306</f>
        <v>86</v>
      </c>
      <c r="H306" s="5" t="n">
        <f aca="false">[1]Base_Jugadores!G306</f>
        <v>24</v>
      </c>
      <c r="I306" s="7" t="n">
        <f aca="false" t="array" ref="I306:I306">_xlfn.XLOOKUP(G306,{55;56;57;58;59;60;61;62;63;64;65;66;67;68;69;70;71;72;73;74;75;76;77;78;79;80;81;82;83;84;85;86;87;88;89;90;91;92;93;94;95;96;97;98;99},{100000;130000;160000;190000;220000;250000;300000;350000;400000;450000;500000;600000;700000;800000;900000;1000000;1500000;2000000;3000000;4000000;5000000;6500000;8000000;10000000;12500000;15000000;20000000;25000000;30000000;35000000;40000000;55000000;70000000;80000000;90000000;110000000;130000000;160000000;190000000;220000000;250000000;280000000;310000000;340000000;400000000})</f>
        <v>55000000</v>
      </c>
      <c r="J306" s="7" t="n">
        <f aca="false">I306*S306*T306*U306</f>
        <v>84942000</v>
      </c>
      <c r="K306" s="3"/>
      <c r="L306" s="3"/>
      <c r="M306" s="3"/>
      <c r="N306" s="9" t="n">
        <v>0</v>
      </c>
      <c r="O306" s="4" t="n">
        <v>0</v>
      </c>
      <c r="P306" s="5" t="n">
        <f aca="false">IF(COUNTIF([1]Base_Jugadores!J$2:J$500,B306)&gt;0,1,0)</f>
        <v>0</v>
      </c>
      <c r="Q306" s="10" t="b">
        <f aca="false">--(COUNTIFS(
   [1]Fichajes_Realizados!A$2:A$5000,A306,
   [1]Fichajes_Realizados!G$2:G$5000,$X$3
)&gt;0)</f>
        <v>0</v>
      </c>
      <c r="R306" s="5" t="n">
        <f aca="false">_xlfn.XLOOKUP(C306, [1]Estado_Equipos!A$2:A$500, [1]Estado_Equipos!J$2:J$500, "")</f>
        <v>85</v>
      </c>
      <c r="S306" s="5" t="n">
        <f aca="false">IF(H306&lt;=16,1.45,
IF(H306&gt;=41,0.3,
CHOOSE(ROUNDDOWN((H306-16)/2,0)+1,
1.45,1.38,1.3,1.23,1.17,1.15,1.12,1.05,0.95,0.8,0.6,0.4,0.3)))</f>
        <v>1.17</v>
      </c>
      <c r="T306" s="5" t="n">
        <f aca="false">CHOOSE(N306+1,1.2,1,0.85,0.7)</f>
        <v>1.2</v>
      </c>
      <c r="U306" s="5" t="n">
        <f aca="false">IF(F306="PO",0.6,
IF(F306="CT",0.75,
IF(F306="LI",0.8,
IF(F306="LD",0.8,
IF(F306="MCD",0.85,
IF(F306="MC",0.95,
IF(F306="MO",1.05,
IF(F306="EI",1.1,
IF(F306="ED",1.1,
IF(F306="SD",1.15,
IF(F306="DC",1.2,0)))))))))))</f>
        <v>1.1</v>
      </c>
    </row>
    <row r="307" customFormat="false" ht="16.4" hidden="false" customHeight="false" outlineLevel="0" collapsed="false">
      <c r="A307" s="1" t="n">
        <v>306</v>
      </c>
      <c r="B307" s="5" t="str">
        <f aca="false">[1]Base_Jugadores!B307</f>
        <v>Sergio Mestre</v>
      </c>
      <c r="C307" s="5" t="str">
        <f aca="false">IFERROR(
   _xlfn.XLOOKUP(VALUE(A307),[1]Fichajes_Realizados!A$2:A$50000,[1]Fichajes_Realizados!D$2:D$50000,,0,-1),
   _xlfn.XLOOKUP(VALUE(A307),[1]Base_Jugadores!A$2:A$50000,[1]Base_Jugadores!C$2:C$50000)
)</f>
        <v>Real Madrid CF</v>
      </c>
      <c r="D307" s="5" t="str">
        <f aca="false">[1]Base_Jugadores!D307</f>
        <v>España</v>
      </c>
      <c r="E307" s="3"/>
      <c r="F307" s="5" t="str">
        <f aca="false">[1]Base_Jugadores!E307</f>
        <v>PO</v>
      </c>
      <c r="G307" s="5" t="n">
        <f aca="false">[1]Base_Jugadores!F307</f>
        <v>67</v>
      </c>
      <c r="H307" s="5" t="n">
        <f aca="false">[1]Base_Jugadores!G307</f>
        <v>20</v>
      </c>
      <c r="I307" s="7" t="n">
        <f aca="false" t="array" ref="I307:I307">_xlfn.XLOOKUP(G307,{55;56;57;58;59;60;61;62;63;64;65;66;67;68;69;70;71;72;73;74;75;76;77;78;79;80;81;82;83;84;85;86;87;88;89;90;91;92;93;94;95;96;97;98;99},{100000;130000;160000;190000;220000;250000;300000;350000;400000;450000;500000;600000;700000;800000;900000;1000000;1500000;2000000;3000000;4000000;5000000;6500000;8000000;10000000;12500000;15000000;20000000;25000000;30000000;35000000;40000000;55000000;70000000;80000000;90000000;110000000;130000000;160000000;190000000;220000000;250000000;280000000;310000000;340000000;400000000})</f>
        <v>700000</v>
      </c>
      <c r="J307" s="7" t="n">
        <f aca="false">I307*S307*T307*U307</f>
        <v>464100</v>
      </c>
      <c r="K307" s="3"/>
      <c r="L307" s="3"/>
      <c r="M307" s="3"/>
      <c r="N307" s="9" t="n">
        <v>2</v>
      </c>
      <c r="O307" s="4" t="n">
        <v>1</v>
      </c>
      <c r="P307" s="5" t="n">
        <f aca="false">IF(COUNTIF([1]Base_Jugadores!J$2:J$500,B307)&gt;0,1,0)</f>
        <v>0</v>
      </c>
      <c r="Q307" s="10" t="b">
        <f aca="false">--(COUNTIFS(
   [1]Fichajes_Realizados!A$2:A$5000,A307,
   [1]Fichajes_Realizados!G$2:G$5000,$X$3
)&gt;0)</f>
        <v>0</v>
      </c>
      <c r="R307" s="5" t="n">
        <f aca="false">_xlfn.XLOOKUP(C307, [1]Estado_Equipos!A$2:A$500, [1]Estado_Equipos!J$2:J$500, "")</f>
        <v>85</v>
      </c>
      <c r="S307" s="5" t="n">
        <f aca="false">IF(H307&lt;=16,1.45,
IF(H307&gt;=41,0.3,
CHOOSE(ROUNDDOWN((H307-16)/2,0)+1,
1.45,1.38,1.3,1.23,1.17,1.15,1.12,1.05,0.95,0.8,0.6,0.4,0.3)))</f>
        <v>1.3</v>
      </c>
      <c r="T307" s="5" t="n">
        <f aca="false">CHOOSE(N307+1,1.2,1,0.85,0.7)</f>
        <v>0.85</v>
      </c>
      <c r="U307" s="5" t="n">
        <f aca="false">IF(F307="PO",0.6,
IF(F307="CT",0.75,
IF(F307="LI",0.8,
IF(F307="LD",0.8,
IF(F307="MCD",0.85,
IF(F307="MC",0.95,
IF(F307="MO",1.05,
IF(F307="EI",1.1,
IF(F307="ED",1.1,
IF(F307="SD",1.15,
IF(F307="DC",1.2,0)))))))))))</f>
        <v>0.6</v>
      </c>
    </row>
    <row r="308" customFormat="false" ht="16.4" hidden="false" customHeight="false" outlineLevel="0" collapsed="false">
      <c r="A308" s="1" t="n">
        <v>307</v>
      </c>
      <c r="B308" s="5" t="str">
        <f aca="false">[1]Base_Jugadores!B308</f>
        <v>Thibaut Courtois</v>
      </c>
      <c r="C308" s="5" t="str">
        <f aca="false">IFERROR(
   _xlfn.XLOOKUP(VALUE(A308),[1]Fichajes_Realizados!A$2:A$50000,[1]Fichajes_Realizados!D$2:D$50000,,0,-1),
   _xlfn.XLOOKUP(VALUE(A308),[1]Base_Jugadores!A$2:A$50000,[1]Base_Jugadores!C$2:C$50000)
)</f>
        <v>Real Madrid CF</v>
      </c>
      <c r="D308" s="5" t="str">
        <f aca="false">[1]Base_Jugadores!D308</f>
        <v>Bélgica</v>
      </c>
      <c r="E308" s="3"/>
      <c r="F308" s="5" t="str">
        <f aca="false">[1]Base_Jugadores!E308</f>
        <v>PO</v>
      </c>
      <c r="G308" s="5" t="n">
        <f aca="false">[1]Base_Jugadores!F308</f>
        <v>91</v>
      </c>
      <c r="H308" s="5" t="n">
        <f aca="false">[1]Base_Jugadores!G308</f>
        <v>33</v>
      </c>
      <c r="I308" s="7" t="n">
        <f aca="false" t="array" ref="I308:I308">_xlfn.XLOOKUP(G308,{55;56;57;58;59;60;61;62;63;64;65;66;67;68;69;70;71;72;73;74;75;76;77;78;79;80;81;82;83;84;85;86;87;88;89;90;91;92;93;94;95;96;97;98;99},{100000;130000;160000;190000;220000;250000;300000;350000;400000;450000;500000;600000;700000;800000;900000;1000000;1500000;2000000;3000000;4000000;5000000;6500000;8000000;10000000;12500000;15000000;20000000;25000000;30000000;35000000;40000000;55000000;70000000;80000000;90000000;110000000;130000000;160000000;190000000;220000000;250000000;280000000;310000000;340000000;400000000})</f>
        <v>130000000</v>
      </c>
      <c r="J308" s="7" t="n">
        <f aca="false">I308*S308*T308*U308</f>
        <v>88920000</v>
      </c>
      <c r="K308" s="3"/>
      <c r="L308" s="3"/>
      <c r="M308" s="3"/>
      <c r="N308" s="9" t="n">
        <v>0</v>
      </c>
      <c r="O308" s="4" t="n">
        <v>0</v>
      </c>
      <c r="P308" s="5" t="n">
        <f aca="false">IF(COUNTIF([1]Base_Jugadores!J$2:J$500,B308)&gt;0,1,0)</f>
        <v>0</v>
      </c>
      <c r="Q308" s="10" t="b">
        <f aca="false">--(COUNTIFS(
   [1]Fichajes_Realizados!A$2:A$5000,A308,
   [1]Fichajes_Realizados!G$2:G$5000,$X$3
)&gt;0)</f>
        <v>0</v>
      </c>
      <c r="R308" s="5" t="n">
        <f aca="false">_xlfn.XLOOKUP(C308, [1]Estado_Equipos!A$2:A$500, [1]Estado_Equipos!J$2:J$500, "")</f>
        <v>85</v>
      </c>
      <c r="S308" s="5" t="n">
        <f aca="false">IF(H308&lt;=16,1.45,
IF(H308&gt;=41,0.3,
CHOOSE(ROUNDDOWN((H308-16)/2,0)+1,
1.45,1.38,1.3,1.23,1.17,1.15,1.12,1.05,0.95,0.8,0.6,0.4,0.3)))</f>
        <v>0.95</v>
      </c>
      <c r="T308" s="5" t="n">
        <f aca="false">CHOOSE(N308+1,1.2,1,0.85,0.7)</f>
        <v>1.2</v>
      </c>
      <c r="U308" s="5" t="n">
        <f aca="false">IF(F308="PO",0.6,
IF(F308="CT",0.75,
IF(F308="LI",0.8,
IF(F308="LD",0.8,
IF(F308="MCD",0.85,
IF(F308="MC",0.95,
IF(F308="MO",1.05,
IF(F308="EI",1.1,
IF(F308="ED",1.1,
IF(F308="SD",1.15,
IF(F308="DC",1.2,0)))))))))))</f>
        <v>0.6</v>
      </c>
    </row>
    <row r="309" customFormat="false" ht="16.4" hidden="false" customHeight="false" outlineLevel="0" collapsed="false">
      <c r="A309" s="1" t="n">
        <v>308</v>
      </c>
      <c r="B309" s="5" t="str">
        <f aca="false">[1]Base_Jugadores!B309</f>
        <v>Vinícius Júnior</v>
      </c>
      <c r="C309" s="5" t="str">
        <f aca="false">IFERROR(
   _xlfn.XLOOKUP(VALUE(A309),[1]Fichajes_Realizados!A$2:A$50000,[1]Fichajes_Realizados!D$2:D$50000,,0,-1),
   _xlfn.XLOOKUP(VALUE(A309),[1]Base_Jugadores!A$2:A$50000,[1]Base_Jugadores!C$2:C$50000)
)</f>
        <v>Real Madrid CF</v>
      </c>
      <c r="D309" s="5" t="str">
        <f aca="false">[1]Base_Jugadores!D309</f>
        <v>Brasil</v>
      </c>
      <c r="E309" s="3"/>
      <c r="F309" s="5" t="str">
        <f aca="false">[1]Base_Jugadores!E309</f>
        <v>EI</v>
      </c>
      <c r="G309" s="5" t="n">
        <f aca="false">[1]Base_Jugadores!F309</f>
        <v>90</v>
      </c>
      <c r="H309" s="5" t="n">
        <f aca="false">[1]Base_Jugadores!G309</f>
        <v>25</v>
      </c>
      <c r="I309" s="7" t="n">
        <f aca="false" t="array" ref="I309:I309">_xlfn.XLOOKUP(G309,{55;56;57;58;59;60;61;62;63;64;65;66;67;68;69;70;71;72;73;74;75;76;77;78;79;80;81;82;83;84;85;86;87;88;89;90;91;92;93;94;95;96;97;98;99},{100000;130000;160000;190000;220000;250000;300000;350000;400000;450000;500000;600000;700000;800000;900000;1000000;1500000;2000000;3000000;4000000;5000000;6500000;8000000;10000000;12500000;15000000;20000000;25000000;30000000;35000000;40000000;55000000;70000000;80000000;90000000;110000000;130000000;160000000;190000000;220000000;250000000;280000000;310000000;340000000;400000000})</f>
        <v>110000000</v>
      </c>
      <c r="J309" s="7" t="n">
        <f aca="false">I309*S309*T309*U309</f>
        <v>169884000</v>
      </c>
      <c r="K309" s="3"/>
      <c r="L309" s="3"/>
      <c r="M309" s="3"/>
      <c r="N309" s="9" t="n">
        <v>0</v>
      </c>
      <c r="O309" s="4" t="n">
        <v>0</v>
      </c>
      <c r="P309" s="5" t="n">
        <f aca="false">IF(COUNTIF([1]Base_Jugadores!J$2:J$500,B309)&gt;0,1,0)</f>
        <v>0</v>
      </c>
      <c r="Q309" s="10" t="b">
        <f aca="false">--(COUNTIFS(
   [1]Fichajes_Realizados!A$2:A$5000,A309,
   [1]Fichajes_Realizados!G$2:G$5000,$X$3
)&gt;0)</f>
        <v>0</v>
      </c>
      <c r="R309" s="5" t="n">
        <f aca="false">_xlfn.XLOOKUP(C309, [1]Estado_Equipos!A$2:A$500, [1]Estado_Equipos!J$2:J$500, "")</f>
        <v>85</v>
      </c>
      <c r="S309" s="5" t="n">
        <f aca="false">IF(H309&lt;=16,1.45,
IF(H309&gt;=41,0.3,
CHOOSE(ROUNDDOWN((H309-16)/2,0)+1,
1.45,1.38,1.3,1.23,1.17,1.15,1.12,1.05,0.95,0.8,0.6,0.4,0.3)))</f>
        <v>1.17</v>
      </c>
      <c r="T309" s="5" t="n">
        <f aca="false">CHOOSE(N309+1,1.2,1,0.85,0.7)</f>
        <v>1.2</v>
      </c>
      <c r="U309" s="5" t="n">
        <f aca="false">IF(F309="PO",0.6,
IF(F309="CT",0.75,
IF(F309="LI",0.8,
IF(F309="LD",0.8,
IF(F309="MCD",0.85,
IF(F309="MC",0.95,
IF(F309="MO",1.05,
IF(F309="EI",1.1,
IF(F309="ED",1.1,
IF(F309="SD",1.15,
IF(F309="DC",1.2,0)))))))))))</f>
        <v>1.1</v>
      </c>
    </row>
    <row r="310" customFormat="false" ht="16.4" hidden="false" customHeight="false" outlineLevel="0" collapsed="false">
      <c r="A310" s="1" t="n">
        <v>309</v>
      </c>
      <c r="B310" s="5" t="str">
        <f aca="false">[1]Base_Jugadores!B310</f>
        <v>Abdón Prats</v>
      </c>
      <c r="C310" s="5" t="str">
        <f aca="false">IFERROR(
   _xlfn.XLOOKUP(VALUE(A310),[1]Fichajes_Realizados!A$2:A$50000,[1]Fichajes_Realizados!D$2:D$50000,,0,-1),
   _xlfn.XLOOKUP(VALUE(A310),[1]Base_Jugadores!A$2:A$50000,[1]Base_Jugadores!C$2:C$50000)
)</f>
        <v>RCD Mallorca</v>
      </c>
      <c r="D310" s="5" t="str">
        <f aca="false">[1]Base_Jugadores!D310</f>
        <v>España</v>
      </c>
      <c r="E310" s="3"/>
      <c r="F310" s="5" t="str">
        <f aca="false">[1]Base_Jugadores!E310</f>
        <v>DC</v>
      </c>
      <c r="G310" s="5" t="n">
        <f aca="false">[1]Base_Jugadores!F310</f>
        <v>73</v>
      </c>
      <c r="H310" s="5" t="n">
        <f aca="false">[1]Base_Jugadores!G310</f>
        <v>33</v>
      </c>
      <c r="I310" s="7" t="n">
        <f aca="false" t="array" ref="I310:I310">_xlfn.XLOOKUP(G310,{55;56;57;58;59;60;61;62;63;64;65;66;67;68;69;70;71;72;73;74;75;76;77;78;79;80;81;82;83;84;85;86;87;88;89;90;91;92;93;94;95;96;97;98;99},{100000;130000;160000;190000;220000;250000;300000;350000;400000;450000;500000;600000;700000;800000;900000;1000000;1500000;2000000;3000000;4000000;5000000;6500000;8000000;10000000;12500000;15000000;20000000;25000000;30000000;35000000;40000000;55000000;70000000;80000000;90000000;110000000;130000000;160000000;190000000;220000000;250000000;280000000;310000000;340000000;400000000})</f>
        <v>3000000</v>
      </c>
      <c r="J310" s="7" t="n">
        <f aca="false">I310*S310*T310*U310</f>
        <v>2907000</v>
      </c>
      <c r="K310" s="3"/>
      <c r="L310" s="3"/>
      <c r="M310" s="3"/>
      <c r="N310" s="9" t="n">
        <v>2</v>
      </c>
      <c r="O310" s="4" t="n">
        <v>0</v>
      </c>
      <c r="P310" s="5" t="n">
        <f aca="false">IF(COUNTIF([1]Base_Jugadores!J$2:J$500,B310)&gt;0,1,0)</f>
        <v>0</v>
      </c>
      <c r="Q310" s="10" t="b">
        <f aca="false">--(COUNTIFS(
   [1]Fichajes_Realizados!A$2:A$5000,A310,
   [1]Fichajes_Realizados!G$2:G$5000,$X$3
)&gt;0)</f>
        <v>0</v>
      </c>
      <c r="R310" s="5" t="n">
        <f aca="false">_xlfn.XLOOKUP(C310, [1]Estado_Equipos!A$2:A$500, [1]Estado_Equipos!J$2:J$500, "")</f>
        <v>74</v>
      </c>
      <c r="S310" s="5" t="n">
        <f aca="false">IF(H310&lt;=16,1.45,
IF(H310&gt;=41,0.3,
CHOOSE(ROUNDDOWN((H310-16)/2,0)+1,
1.45,1.38,1.3,1.23,1.17,1.15,1.12,1.05,0.95,0.8,0.6,0.4,0.3)))</f>
        <v>0.95</v>
      </c>
      <c r="T310" s="5" t="n">
        <f aca="false">CHOOSE(N310+1,1.2,1,0.85,0.7)</f>
        <v>0.85</v>
      </c>
      <c r="U310" s="5" t="n">
        <f aca="false">IF(F310="PO",0.6,
IF(F310="CT",0.75,
IF(F310="LI",0.8,
IF(F310="LD",0.8,
IF(F310="MCD",0.85,
IF(F310="MC",0.95,
IF(F310="MO",1.05,
IF(F310="EI",1.1,
IF(F310="ED",1.1,
IF(F310="SD",1.15,
IF(F310="DC",1.2,0)))))))))))</f>
        <v>1.2</v>
      </c>
    </row>
    <row r="311" customFormat="false" ht="16.4" hidden="false" customHeight="false" outlineLevel="0" collapsed="false">
      <c r="A311" s="1" t="n">
        <v>310</v>
      </c>
      <c r="B311" s="5" t="str">
        <f aca="false">[1]Base_Jugadores!B311</f>
        <v>Antonio Raíllo</v>
      </c>
      <c r="C311" s="5" t="str">
        <f aca="false">IFERROR(
   _xlfn.XLOOKUP(VALUE(A311),[1]Fichajes_Realizados!A$2:A$50000,[1]Fichajes_Realizados!D$2:D$50000,,0,-1),
   _xlfn.XLOOKUP(VALUE(A311),[1]Base_Jugadores!A$2:A$50000,[1]Base_Jugadores!C$2:C$50000)
)</f>
        <v>RCD Mallorca</v>
      </c>
      <c r="D311" s="5" t="str">
        <f aca="false">[1]Base_Jugadores!D311</f>
        <v>España</v>
      </c>
      <c r="E311" s="3"/>
      <c r="F311" s="5" t="str">
        <f aca="false">[1]Base_Jugadores!E311</f>
        <v>CT</v>
      </c>
      <c r="G311" s="5" t="n">
        <f aca="false">[1]Base_Jugadores!F311</f>
        <v>77</v>
      </c>
      <c r="H311" s="5" t="n">
        <f aca="false">[1]Base_Jugadores!G311</f>
        <v>34</v>
      </c>
      <c r="I311" s="7" t="n">
        <f aca="false" t="array" ref="I311:I311">_xlfn.XLOOKUP(G311,{55;56;57;58;59;60;61;62;63;64;65;66;67;68;69;70;71;72;73;74;75;76;77;78;79;80;81;82;83;84;85;86;87;88;89;90;91;92;93;94;95;96;97;98;99},{100000;130000;160000;190000;220000;250000;300000;350000;400000;450000;500000;600000;700000;800000;900000;1000000;1500000;2000000;3000000;4000000;5000000;6500000;8000000;10000000;12500000;15000000;20000000;25000000;30000000;35000000;40000000;55000000;70000000;80000000;90000000;110000000;130000000;160000000;190000000;220000000;250000000;280000000;310000000;340000000;400000000})</f>
        <v>8000000</v>
      </c>
      <c r="J311" s="7" t="n">
        <f aca="false">I311*S311*T311*U311</f>
        <v>5760000</v>
      </c>
      <c r="K311" s="3"/>
      <c r="L311" s="3"/>
      <c r="M311" s="3"/>
      <c r="N311" s="9" t="n">
        <v>0</v>
      </c>
      <c r="O311" s="4" t="n">
        <v>0</v>
      </c>
      <c r="P311" s="5" t="n">
        <f aca="false">IF(COUNTIF([1]Base_Jugadores!J$2:J$500,B311)&gt;0,1,0)</f>
        <v>0</v>
      </c>
      <c r="Q311" s="10" t="b">
        <f aca="false">--(COUNTIFS(
   [1]Fichajes_Realizados!A$2:A$5000,A311,
   [1]Fichajes_Realizados!G$2:G$5000,$X$3
)&gt;0)</f>
        <v>0</v>
      </c>
      <c r="R311" s="5" t="n">
        <f aca="false">_xlfn.XLOOKUP(C311, [1]Estado_Equipos!A$2:A$500, [1]Estado_Equipos!J$2:J$500, "")</f>
        <v>74</v>
      </c>
      <c r="S311" s="5" t="n">
        <f aca="false">IF(H311&lt;=16,1.45,
IF(H311&gt;=41,0.3,
CHOOSE(ROUNDDOWN((H311-16)/2,0)+1,
1.45,1.38,1.3,1.23,1.17,1.15,1.12,1.05,0.95,0.8,0.6,0.4,0.3)))</f>
        <v>0.8</v>
      </c>
      <c r="T311" s="5" t="n">
        <f aca="false">CHOOSE(N311+1,1.2,1,0.85,0.7)</f>
        <v>1.2</v>
      </c>
      <c r="U311" s="5" t="n">
        <f aca="false">IF(F311="PO",0.6,
IF(F311="CT",0.75,
IF(F311="LI",0.8,
IF(F311="LD",0.8,
IF(F311="MCD",0.85,
IF(F311="MC",0.95,
IF(F311="MO",1.05,
IF(F311="EI",1.1,
IF(F311="ED",1.1,
IF(F311="SD",1.15,
IF(F311="DC",1.2,0)))))))))))</f>
        <v>0.75</v>
      </c>
    </row>
    <row r="312" customFormat="false" ht="16.4" hidden="false" customHeight="false" outlineLevel="0" collapsed="false">
      <c r="A312" s="1" t="n">
        <v>311</v>
      </c>
      <c r="B312" s="5" t="str">
        <f aca="false">[1]Base_Jugadores!B312</f>
        <v>Antonio Sánchez</v>
      </c>
      <c r="C312" s="5" t="str">
        <f aca="false">IFERROR(
   _xlfn.XLOOKUP(VALUE(A312),[1]Fichajes_Realizados!A$2:A$50000,[1]Fichajes_Realizados!D$2:D$50000,,0,-1),
   _xlfn.XLOOKUP(VALUE(A312),[1]Base_Jugadores!A$2:A$50000,[1]Base_Jugadores!C$2:C$50000)
)</f>
        <v>RCD Mallorca</v>
      </c>
      <c r="D312" s="5" t="str">
        <f aca="false">[1]Base_Jugadores!D312</f>
        <v>España</v>
      </c>
      <c r="E312" s="3"/>
      <c r="F312" s="5" t="str">
        <f aca="false">[1]Base_Jugadores!E312</f>
        <v>MC</v>
      </c>
      <c r="G312" s="5" t="n">
        <f aca="false">[1]Base_Jugadores!F312</f>
        <v>74</v>
      </c>
      <c r="H312" s="5" t="n">
        <f aca="false">[1]Base_Jugadores!G312</f>
        <v>28</v>
      </c>
      <c r="I312" s="7" t="n">
        <f aca="false" t="array" ref="I312:I312">_xlfn.XLOOKUP(G312,{55;56;57;58;59;60;61;62;63;64;65;66;67;68;69;70;71;72;73;74;75;76;77;78;79;80;81;82;83;84;85;86;87;88;89;90;91;92;93;94;95;96;97;98;99},{100000;130000;160000;190000;220000;250000;300000;350000;400000;450000;500000;600000;700000;800000;900000;1000000;1500000;2000000;3000000;4000000;5000000;6500000;8000000;10000000;12500000;15000000;20000000;25000000;30000000;35000000;40000000;55000000;70000000;80000000;90000000;110000000;130000000;160000000;190000000;220000000;250000000;280000000;310000000;340000000;400000000})</f>
        <v>4000000</v>
      </c>
      <c r="J312" s="7" t="n">
        <f aca="false">I312*S312*T312*U312</f>
        <v>3617600</v>
      </c>
      <c r="K312" s="3"/>
      <c r="L312" s="3"/>
      <c r="M312" s="3"/>
      <c r="N312" s="9" t="n">
        <v>2</v>
      </c>
      <c r="O312" s="4" t="n">
        <v>0</v>
      </c>
      <c r="P312" s="5" t="n">
        <f aca="false">IF(COUNTIF([1]Base_Jugadores!J$2:J$500,B312)&gt;0,1,0)</f>
        <v>0</v>
      </c>
      <c r="Q312" s="10" t="b">
        <f aca="false">--(COUNTIFS(
   [1]Fichajes_Realizados!A$2:A$5000,A312,
   [1]Fichajes_Realizados!G$2:G$5000,$X$3
)&gt;0)</f>
        <v>0</v>
      </c>
      <c r="R312" s="5" t="n">
        <f aca="false">_xlfn.XLOOKUP(C312, [1]Estado_Equipos!A$2:A$500, [1]Estado_Equipos!J$2:J$500, "")</f>
        <v>74</v>
      </c>
      <c r="S312" s="5" t="n">
        <f aca="false">IF(H312&lt;=16,1.45,
IF(H312&gt;=41,0.3,
CHOOSE(ROUNDDOWN((H312-16)/2,0)+1,
1.45,1.38,1.3,1.23,1.17,1.15,1.12,1.05,0.95,0.8,0.6,0.4,0.3)))</f>
        <v>1.12</v>
      </c>
      <c r="T312" s="5" t="n">
        <f aca="false">CHOOSE(N312+1,1.2,1,0.85,0.7)</f>
        <v>0.85</v>
      </c>
      <c r="U312" s="5" t="n">
        <f aca="false">IF(F312="PO",0.6,
IF(F312="CT",0.75,
IF(F312="LI",0.8,
IF(F312="LD",0.8,
IF(F312="MCD",0.85,
IF(F312="MC",0.95,
IF(F312="MO",1.05,
IF(F312="EI",1.1,
IF(F312="ED",1.1,
IF(F312="SD",1.15,
IF(F312="DC",1.2,0)))))))))))</f>
        <v>0.95</v>
      </c>
    </row>
    <row r="313" customFormat="false" ht="16.4" hidden="false" customHeight="false" outlineLevel="0" collapsed="false">
      <c r="A313" s="1" t="n">
        <v>312</v>
      </c>
      <c r="B313" s="5" t="str">
        <f aca="false">[1]Base_Jugadores!B313</f>
        <v>Dani Rodríguez V.</v>
      </c>
      <c r="C313" s="5" t="str">
        <f aca="false">IFERROR(
   _xlfn.XLOOKUP(VALUE(A313),[1]Fichajes_Realizados!A$2:A$50000,[1]Fichajes_Realizados!D$2:D$50000,,0,-1),
   _xlfn.XLOOKUP(VALUE(A313),[1]Base_Jugadores!A$2:A$50000,[1]Base_Jugadores!C$2:C$50000)
)</f>
        <v>RCD Mallorca</v>
      </c>
      <c r="D313" s="5" t="str">
        <f aca="false">[1]Base_Jugadores!D313</f>
        <v>España</v>
      </c>
      <c r="E313" s="3"/>
      <c r="F313" s="5" t="str">
        <f aca="false">[1]Base_Jugadores!E313</f>
        <v>MO</v>
      </c>
      <c r="G313" s="5" t="n">
        <f aca="false">[1]Base_Jugadores!F313</f>
        <v>78</v>
      </c>
      <c r="H313" s="5" t="n">
        <f aca="false">[1]Base_Jugadores!G313</f>
        <v>37</v>
      </c>
      <c r="I313" s="7" t="n">
        <f aca="false" t="array" ref="I313:I313">_xlfn.XLOOKUP(G313,{55;56;57;58;59;60;61;62;63;64;65;66;67;68;69;70;71;72;73;74;75;76;77;78;79;80;81;82;83;84;85;86;87;88;89;90;91;92;93;94;95;96;97;98;99},{100000;130000;160000;190000;220000;250000;300000;350000;400000;450000;500000;600000;700000;800000;900000;1000000;1500000;2000000;3000000;4000000;5000000;6500000;8000000;10000000;12500000;15000000;20000000;25000000;30000000;35000000;40000000;55000000;70000000;80000000;90000000;110000000;130000000;160000000;190000000;220000000;250000000;280000000;310000000;340000000;400000000})</f>
        <v>10000000</v>
      </c>
      <c r="J313" s="7" t="n">
        <f aca="false">I313*S313*T313*U313</f>
        <v>7560000</v>
      </c>
      <c r="K313" s="3"/>
      <c r="L313" s="3"/>
      <c r="M313" s="3"/>
      <c r="N313" s="9" t="n">
        <v>0</v>
      </c>
      <c r="O313" s="4" t="n">
        <v>0</v>
      </c>
      <c r="P313" s="5" t="n">
        <f aca="false">IF(COUNTIF([1]Base_Jugadores!J$2:J$500,B313)&gt;0,1,0)</f>
        <v>0</v>
      </c>
      <c r="Q313" s="10" t="b">
        <f aca="false">--(COUNTIFS(
   [1]Fichajes_Realizados!A$2:A$5000,A313,
   [1]Fichajes_Realizados!G$2:G$5000,$X$3
)&gt;0)</f>
        <v>0</v>
      </c>
      <c r="R313" s="5" t="n">
        <f aca="false">_xlfn.XLOOKUP(C313, [1]Estado_Equipos!A$2:A$500, [1]Estado_Equipos!J$2:J$500, "")</f>
        <v>74</v>
      </c>
      <c r="S313" s="5" t="n">
        <f aca="false">IF(H313&lt;=16,1.45,
IF(H313&gt;=41,0.3,
CHOOSE(ROUNDDOWN((H313-16)/2,0)+1,
1.45,1.38,1.3,1.23,1.17,1.15,1.12,1.05,0.95,0.8,0.6,0.4,0.3)))</f>
        <v>0.6</v>
      </c>
      <c r="T313" s="5" t="n">
        <f aca="false">CHOOSE(N313+1,1.2,1,0.85,0.7)</f>
        <v>1.2</v>
      </c>
      <c r="U313" s="5" t="n">
        <f aca="false">IF(F313="PO",0.6,
IF(F313="CT",0.75,
IF(F313="LI",0.8,
IF(F313="LD",0.8,
IF(F313="MCD",0.85,
IF(F313="MC",0.95,
IF(F313="MO",1.05,
IF(F313="EI",1.1,
IF(F313="ED",1.1,
IF(F313="SD",1.15,
IF(F313="DC",1.2,0)))))))))))</f>
        <v>1.05</v>
      </c>
    </row>
    <row r="314" customFormat="false" ht="16.4" hidden="false" customHeight="false" outlineLevel="0" collapsed="false">
      <c r="A314" s="1" t="n">
        <v>313</v>
      </c>
      <c r="B314" s="5" t="str">
        <f aca="false">[1]Base_Jugadores!B314</f>
        <v>David López G.</v>
      </c>
      <c r="C314" s="5" t="str">
        <f aca="false">IFERROR(
   _xlfn.XLOOKUP(VALUE(A314),[1]Fichajes_Realizados!A$2:A$50000,[1]Fichajes_Realizados!D$2:D$50000,,0,-1),
   _xlfn.XLOOKUP(VALUE(A314),[1]Base_Jugadores!A$2:A$50000,[1]Base_Jugadores!C$2:C$50000)
)</f>
        <v>RCD Mallorca</v>
      </c>
      <c r="D314" s="5" t="str">
        <f aca="false">[1]Base_Jugadores!D314</f>
        <v>España</v>
      </c>
      <c r="E314" s="3"/>
      <c r="F314" s="5" t="str">
        <f aca="false">[1]Base_Jugadores!E314</f>
        <v>CT</v>
      </c>
      <c r="G314" s="5" t="n">
        <f aca="false">[1]Base_Jugadores!F314</f>
        <v>67</v>
      </c>
      <c r="H314" s="5" t="n">
        <f aca="false">[1]Base_Jugadores!G314</f>
        <v>22</v>
      </c>
      <c r="I314" s="7" t="n">
        <f aca="false" t="array" ref="I314:I314">_xlfn.XLOOKUP(G314,{55;56;57;58;59;60;61;62;63;64;65;66;67;68;69;70;71;72;73;74;75;76;77;78;79;80;81;82;83;84;85;86;87;88;89;90;91;92;93;94;95;96;97;98;99},{100000;130000;160000;190000;220000;250000;300000;350000;400000;450000;500000;600000;700000;800000;900000;1000000;1500000;2000000;3000000;4000000;5000000;6500000;8000000;10000000;12500000;15000000;20000000;25000000;30000000;35000000;40000000;55000000;70000000;80000000;90000000;110000000;130000000;160000000;190000000;220000000;250000000;280000000;310000000;340000000;400000000})</f>
        <v>700000</v>
      </c>
      <c r="J314" s="7" t="n">
        <f aca="false">I314*S314*T314*U314</f>
        <v>548887.5</v>
      </c>
      <c r="K314" s="3"/>
      <c r="L314" s="3"/>
      <c r="M314" s="3"/>
      <c r="N314" s="9" t="n">
        <v>2</v>
      </c>
      <c r="O314" s="4" t="n">
        <v>1</v>
      </c>
      <c r="P314" s="5" t="n">
        <f aca="false">IF(COUNTIF([1]Base_Jugadores!J$2:J$500,B314)&gt;0,1,0)</f>
        <v>0</v>
      </c>
      <c r="Q314" s="10" t="b">
        <f aca="false">--(COUNTIFS(
   [1]Fichajes_Realizados!A$2:A$5000,A314,
   [1]Fichajes_Realizados!G$2:G$5000,$X$3
)&gt;0)</f>
        <v>0</v>
      </c>
      <c r="R314" s="5" t="n">
        <f aca="false">_xlfn.XLOOKUP(C314, [1]Estado_Equipos!A$2:A$500, [1]Estado_Equipos!J$2:J$500, "")</f>
        <v>74</v>
      </c>
      <c r="S314" s="5" t="n">
        <f aca="false">IF(H314&lt;=16,1.45,
IF(H314&gt;=41,0.3,
CHOOSE(ROUNDDOWN((H314-16)/2,0)+1,
1.45,1.38,1.3,1.23,1.17,1.15,1.12,1.05,0.95,0.8,0.6,0.4,0.3)))</f>
        <v>1.23</v>
      </c>
      <c r="T314" s="5" t="n">
        <f aca="false">CHOOSE(N314+1,1.2,1,0.85,0.7)</f>
        <v>0.85</v>
      </c>
      <c r="U314" s="5" t="n">
        <f aca="false">IF(F314="PO",0.6,
IF(F314="CT",0.75,
IF(F314="LI",0.8,
IF(F314="LD",0.8,
IF(F314="MCD",0.85,
IF(F314="MC",0.95,
IF(F314="MO",1.05,
IF(F314="EI",1.1,
IF(F314="ED",1.1,
IF(F314="SD",1.15,
IF(F314="DC",1.2,0)))))))))))</f>
        <v>0.75</v>
      </c>
    </row>
    <row r="315" customFormat="false" ht="16.4" hidden="false" customHeight="false" outlineLevel="0" collapsed="false">
      <c r="A315" s="1" t="n">
        <v>314</v>
      </c>
      <c r="B315" s="5" t="str">
        <f aca="false">[1]Base_Jugadores!B315</f>
        <v>Iván Cuéllar</v>
      </c>
      <c r="C315" s="5" t="str">
        <f aca="false">IFERROR(
   _xlfn.XLOOKUP(VALUE(A315),[1]Fichajes_Realizados!A$2:A$50000,[1]Fichajes_Realizados!D$2:D$50000,,0,-1),
   _xlfn.XLOOKUP(VALUE(A315),[1]Base_Jugadores!A$2:A$50000,[1]Base_Jugadores!C$2:C$50000)
)</f>
        <v>RCD Mallorca</v>
      </c>
      <c r="D315" s="5" t="str">
        <f aca="false">[1]Base_Jugadores!D315</f>
        <v>España</v>
      </c>
      <c r="E315" s="3"/>
      <c r="F315" s="5" t="str">
        <f aca="false">[1]Base_Jugadores!E315</f>
        <v>PO</v>
      </c>
      <c r="G315" s="5" t="n">
        <f aca="false">[1]Base_Jugadores!F315</f>
        <v>68</v>
      </c>
      <c r="H315" s="5" t="n">
        <f aca="false">[1]Base_Jugadores!G315</f>
        <v>41</v>
      </c>
      <c r="I315" s="7" t="n">
        <f aca="false" t="array" ref="I315:I315">_xlfn.XLOOKUP(G315,{55;56;57;58;59;60;61;62;63;64;65;66;67;68;69;70;71;72;73;74;75;76;77;78;79;80;81;82;83;84;85;86;87;88;89;90;91;92;93;94;95;96;97;98;99},{100000;130000;160000;190000;220000;250000;300000;350000;400000;450000;500000;600000;700000;800000;900000;1000000;1500000;2000000;3000000;4000000;5000000;6500000;8000000;10000000;12500000;15000000;20000000;25000000;30000000;35000000;40000000;55000000;70000000;80000000;90000000;110000000;130000000;160000000;190000000;220000000;250000000;280000000;310000000;340000000;400000000})</f>
        <v>800000</v>
      </c>
      <c r="J315" s="7" t="n">
        <f aca="false">I315*S315*T315*U315</f>
        <v>122400</v>
      </c>
      <c r="K315" s="3"/>
      <c r="L315" s="3"/>
      <c r="M315" s="3"/>
      <c r="N315" s="9" t="n">
        <v>2</v>
      </c>
      <c r="O315" s="4" t="n">
        <v>0</v>
      </c>
      <c r="P315" s="5" t="n">
        <f aca="false">IF(COUNTIF([1]Base_Jugadores!J$2:J$500,B315)&gt;0,1,0)</f>
        <v>0</v>
      </c>
      <c r="Q315" s="10" t="b">
        <f aca="false">--(COUNTIFS(
   [1]Fichajes_Realizados!A$2:A$5000,A315,
   [1]Fichajes_Realizados!G$2:G$5000,$X$3
)&gt;0)</f>
        <v>0</v>
      </c>
      <c r="R315" s="5" t="n">
        <f aca="false">_xlfn.XLOOKUP(C315, [1]Estado_Equipos!A$2:A$500, [1]Estado_Equipos!J$2:J$500, "")</f>
        <v>74</v>
      </c>
      <c r="S315" s="5" t="n">
        <f aca="false">IF(H315&lt;=16,1.45,
IF(H315&gt;=41,0.3,
CHOOSE(ROUNDDOWN((H315-16)/2,0)+1,
1.45,1.38,1.3,1.23,1.17,1.15,1.12,1.05,0.95,0.8,0.6,0.4,0.3)))</f>
        <v>0.3</v>
      </c>
      <c r="T315" s="5" t="n">
        <f aca="false">CHOOSE(N315+1,1.2,1,0.85,0.7)</f>
        <v>0.85</v>
      </c>
      <c r="U315" s="5" t="n">
        <f aca="false">IF(F315="PO",0.6,
IF(F315="CT",0.75,
IF(F315="LI",0.8,
IF(F315="LD",0.8,
IF(F315="MCD",0.85,
IF(F315="MC",0.95,
IF(F315="MO",1.05,
IF(F315="EI",1.1,
IF(F315="ED",1.1,
IF(F315="SD",1.15,
IF(F315="DC",1.2,0)))))))))))</f>
        <v>0.6</v>
      </c>
    </row>
    <row r="316" customFormat="false" ht="16.4" hidden="false" customHeight="false" outlineLevel="0" collapsed="false">
      <c r="A316" s="1" t="n">
        <v>315</v>
      </c>
      <c r="B316" s="5" t="str">
        <f aca="false">[1]Base_Jugadores!B316</f>
        <v>Javi Llabrés</v>
      </c>
      <c r="C316" s="5" t="str">
        <f aca="false">IFERROR(
   _xlfn.XLOOKUP(VALUE(A316),[1]Fichajes_Realizados!A$2:A$50000,[1]Fichajes_Realizados!D$2:D$50000,,0,-1),
   _xlfn.XLOOKUP(VALUE(A316),[1]Base_Jugadores!A$2:A$50000,[1]Base_Jugadores!C$2:C$50000)
)</f>
        <v>RCD Mallorca</v>
      </c>
      <c r="D316" s="5" t="str">
        <f aca="false">[1]Base_Jugadores!D316</f>
        <v>España</v>
      </c>
      <c r="E316" s="3"/>
      <c r="F316" s="5" t="str">
        <f aca="false">[1]Base_Jugadores!E316</f>
        <v>EI</v>
      </c>
      <c r="G316" s="5" t="n">
        <f aca="false">[1]Base_Jugadores!F316</f>
        <v>70</v>
      </c>
      <c r="H316" s="5" t="n">
        <f aca="false">[1]Base_Jugadores!G316</f>
        <v>23</v>
      </c>
      <c r="I316" s="7" t="n">
        <f aca="false" t="array" ref="I316:I316">_xlfn.XLOOKUP(G316,{55;56;57;58;59;60;61;62;63;64;65;66;67;68;69;70;71;72;73;74;75;76;77;78;79;80;81;82;83;84;85;86;87;88;89;90;91;92;93;94;95;96;97;98;99},{100000;130000;160000;190000;220000;250000;300000;350000;400000;450000;500000;600000;700000;800000;900000;1000000;1500000;2000000;3000000;4000000;5000000;6500000;8000000;10000000;12500000;15000000;20000000;25000000;30000000;35000000;40000000;55000000;70000000;80000000;90000000;110000000;130000000;160000000;190000000;220000000;250000000;280000000;310000000;340000000;400000000})</f>
        <v>1000000</v>
      </c>
      <c r="J316" s="7" t="n">
        <f aca="false">I316*S316*T316*U316</f>
        <v>1150050</v>
      </c>
      <c r="K316" s="3"/>
      <c r="L316" s="3"/>
      <c r="M316" s="3"/>
      <c r="N316" s="9" t="n">
        <v>2</v>
      </c>
      <c r="O316" s="4" t="n">
        <v>0</v>
      </c>
      <c r="P316" s="5" t="n">
        <f aca="false">IF(COUNTIF([1]Base_Jugadores!J$2:J$500,B316)&gt;0,1,0)</f>
        <v>0</v>
      </c>
      <c r="Q316" s="10" t="b">
        <f aca="false">--(COUNTIFS(
   [1]Fichajes_Realizados!A$2:A$5000,A316,
   [1]Fichajes_Realizados!G$2:G$5000,$X$3
)&gt;0)</f>
        <v>0</v>
      </c>
      <c r="R316" s="5" t="n">
        <f aca="false">_xlfn.XLOOKUP(C316, [1]Estado_Equipos!A$2:A$500, [1]Estado_Equipos!J$2:J$500, "")</f>
        <v>74</v>
      </c>
      <c r="S316" s="5" t="n">
        <f aca="false">IF(H316&lt;=16,1.45,
IF(H316&gt;=41,0.3,
CHOOSE(ROUNDDOWN((H316-16)/2,0)+1,
1.45,1.38,1.3,1.23,1.17,1.15,1.12,1.05,0.95,0.8,0.6,0.4,0.3)))</f>
        <v>1.23</v>
      </c>
      <c r="T316" s="5" t="n">
        <f aca="false">CHOOSE(N316+1,1.2,1,0.85,0.7)</f>
        <v>0.85</v>
      </c>
      <c r="U316" s="5" t="n">
        <f aca="false">IF(F316="PO",0.6,
IF(F316="CT",0.75,
IF(F316="LI",0.8,
IF(F316="LD",0.8,
IF(F316="MCD",0.85,
IF(F316="MC",0.95,
IF(F316="MO",1.05,
IF(F316="EI",1.1,
IF(F316="ED",1.1,
IF(F316="SD",1.15,
IF(F316="DC",1.2,0)))))))))))</f>
        <v>1.1</v>
      </c>
    </row>
    <row r="317" customFormat="false" ht="16.4" hidden="false" customHeight="false" outlineLevel="0" collapsed="false">
      <c r="A317" s="1" t="n">
        <v>316</v>
      </c>
      <c r="B317" s="5" t="str">
        <f aca="false">[1]Base_Jugadores!B317</f>
        <v>Johan Mojica</v>
      </c>
      <c r="C317" s="5" t="str">
        <f aca="false">IFERROR(
   _xlfn.XLOOKUP(VALUE(A317),[1]Fichajes_Realizados!A$2:A$50000,[1]Fichajes_Realizados!D$2:D$50000,,0,-1),
   _xlfn.XLOOKUP(VALUE(A317),[1]Base_Jugadores!A$2:A$50000,[1]Base_Jugadores!C$2:C$50000)
)</f>
        <v>RCD Mallorca</v>
      </c>
      <c r="D317" s="5" t="str">
        <f aca="false">[1]Base_Jugadores!D317</f>
        <v>Colombia</v>
      </c>
      <c r="E317" s="3"/>
      <c r="F317" s="5" t="str">
        <f aca="false">[1]Base_Jugadores!E317</f>
        <v>LI</v>
      </c>
      <c r="G317" s="5" t="n">
        <f aca="false">[1]Base_Jugadores!F317</f>
        <v>77</v>
      </c>
      <c r="H317" s="5" t="n">
        <f aca="false">[1]Base_Jugadores!G317</f>
        <v>33</v>
      </c>
      <c r="I317" s="7" t="n">
        <f aca="false" t="array" ref="I317:I317">_xlfn.XLOOKUP(G317,{55;56;57;58;59;60;61;62;63;64;65;66;67;68;69;70;71;72;73;74;75;76;77;78;79;80;81;82;83;84;85;86;87;88;89;90;91;92;93;94;95;96;97;98;99},{100000;130000;160000;190000;220000;250000;300000;350000;400000;450000;500000;600000;700000;800000;900000;1000000;1500000;2000000;3000000;4000000;5000000;6500000;8000000;10000000;12500000;15000000;20000000;25000000;30000000;35000000;40000000;55000000;70000000;80000000;90000000;110000000;130000000;160000000;190000000;220000000;250000000;280000000;310000000;340000000;400000000})</f>
        <v>8000000</v>
      </c>
      <c r="J317" s="7" t="n">
        <f aca="false">I317*S317*T317*U317</f>
        <v>7296000</v>
      </c>
      <c r="K317" s="3"/>
      <c r="L317" s="3"/>
      <c r="M317" s="3"/>
      <c r="N317" s="9" t="n">
        <v>0</v>
      </c>
      <c r="O317" s="4" t="n">
        <v>0</v>
      </c>
      <c r="P317" s="5" t="n">
        <f aca="false">IF(COUNTIF([1]Base_Jugadores!J$2:J$500,B317)&gt;0,1,0)</f>
        <v>0</v>
      </c>
      <c r="Q317" s="10" t="b">
        <f aca="false">--(COUNTIFS(
   [1]Fichajes_Realizados!A$2:A$5000,A317,
   [1]Fichajes_Realizados!G$2:G$5000,$X$3
)&gt;0)</f>
        <v>0</v>
      </c>
      <c r="R317" s="5" t="n">
        <f aca="false">_xlfn.XLOOKUP(C317, [1]Estado_Equipos!A$2:A$500, [1]Estado_Equipos!J$2:J$500, "")</f>
        <v>74</v>
      </c>
      <c r="S317" s="5" t="n">
        <f aca="false">IF(H317&lt;=16,1.45,
IF(H317&gt;=41,0.3,
CHOOSE(ROUNDDOWN((H317-16)/2,0)+1,
1.45,1.38,1.3,1.23,1.17,1.15,1.12,1.05,0.95,0.8,0.6,0.4,0.3)))</f>
        <v>0.95</v>
      </c>
      <c r="T317" s="5" t="n">
        <f aca="false">CHOOSE(N317+1,1.2,1,0.85,0.7)</f>
        <v>1.2</v>
      </c>
      <c r="U317" s="5" t="n">
        <f aca="false">IF(F317="PO",0.6,
IF(F317="CT",0.75,
IF(F317="LI",0.8,
IF(F317="LD",0.8,
IF(F317="MCD",0.85,
IF(F317="MC",0.95,
IF(F317="MO",1.05,
IF(F317="EI",1.1,
IF(F317="ED",1.1,
IF(F317="SD",1.15,
IF(F317="DC",1.2,0)))))))))))</f>
        <v>0.8</v>
      </c>
    </row>
    <row r="318" customFormat="false" ht="16.4" hidden="false" customHeight="false" outlineLevel="0" collapsed="false">
      <c r="A318" s="1" t="n">
        <v>317</v>
      </c>
      <c r="B318" s="5" t="str">
        <f aca="false">[1]Base_Jugadores!B318</f>
        <v>Leo Román</v>
      </c>
      <c r="C318" s="5" t="str">
        <f aca="false">IFERROR(
   _xlfn.XLOOKUP(VALUE(A318),[1]Fichajes_Realizados!A$2:A$50000,[1]Fichajes_Realizados!D$2:D$50000,,0,-1),
   _xlfn.XLOOKUP(VALUE(A318),[1]Base_Jugadores!A$2:A$50000,[1]Base_Jugadores!C$2:C$50000)
)</f>
        <v>RCD Mallorca</v>
      </c>
      <c r="D318" s="5" t="str">
        <f aca="false">[1]Base_Jugadores!D318</f>
        <v>España</v>
      </c>
      <c r="E318" s="3"/>
      <c r="F318" s="5" t="str">
        <f aca="false">[1]Base_Jugadores!E318</f>
        <v>PO</v>
      </c>
      <c r="G318" s="5" t="n">
        <f aca="false">[1]Base_Jugadores!F318</f>
        <v>75</v>
      </c>
      <c r="H318" s="5" t="n">
        <f aca="false">[1]Base_Jugadores!G318</f>
        <v>25</v>
      </c>
      <c r="I318" s="7" t="n">
        <f aca="false" t="array" ref="I318:I318">_xlfn.XLOOKUP(G318,{55;56;57;58;59;60;61;62;63;64;65;66;67;68;69;70;71;72;73;74;75;76;77;78;79;80;81;82;83;84;85;86;87;88;89;90;91;92;93;94;95;96;97;98;99},{100000;130000;160000;190000;220000;250000;300000;350000;400000;450000;500000;600000;700000;800000;900000;1000000;1500000;2000000;3000000;4000000;5000000;6500000;8000000;10000000;12500000;15000000;20000000;25000000;30000000;35000000;40000000;55000000;70000000;80000000;90000000;110000000;130000000;160000000;190000000;220000000;250000000;280000000;310000000;340000000;400000000})</f>
        <v>5000000</v>
      </c>
      <c r="J318" s="7" t="n">
        <f aca="false">I318*S318*T318*U318</f>
        <v>4212000</v>
      </c>
      <c r="K318" s="3"/>
      <c r="L318" s="3"/>
      <c r="M318" s="3"/>
      <c r="N318" s="9" t="n">
        <v>0</v>
      </c>
      <c r="O318" s="4" t="n">
        <v>0</v>
      </c>
      <c r="P318" s="5" t="n">
        <f aca="false">IF(COUNTIF([1]Base_Jugadores!J$2:J$500,B318)&gt;0,1,0)</f>
        <v>0</v>
      </c>
      <c r="Q318" s="10" t="b">
        <f aca="false">--(COUNTIFS(
   [1]Fichajes_Realizados!A$2:A$5000,A318,
   [1]Fichajes_Realizados!G$2:G$5000,$X$3
)&gt;0)</f>
        <v>0</v>
      </c>
      <c r="R318" s="5" t="n">
        <f aca="false">_xlfn.XLOOKUP(C318, [1]Estado_Equipos!A$2:A$500, [1]Estado_Equipos!J$2:J$500, "")</f>
        <v>74</v>
      </c>
      <c r="S318" s="5" t="n">
        <f aca="false">IF(H318&lt;=16,1.45,
IF(H318&gt;=41,0.3,
CHOOSE(ROUNDDOWN((H318-16)/2,0)+1,
1.45,1.38,1.3,1.23,1.17,1.15,1.12,1.05,0.95,0.8,0.6,0.4,0.3)))</f>
        <v>1.17</v>
      </c>
      <c r="T318" s="5" t="n">
        <f aca="false">CHOOSE(N318+1,1.2,1,0.85,0.7)</f>
        <v>1.2</v>
      </c>
      <c r="U318" s="5" t="n">
        <f aca="false">IF(F318="PO",0.6,
IF(F318="CT",0.75,
IF(F318="LI",0.8,
IF(F318="LD",0.8,
IF(F318="MCD",0.85,
IF(F318="MC",0.95,
IF(F318="MO",1.05,
IF(F318="EI",1.1,
IF(F318="ED",1.1,
IF(F318="SD",1.15,
IF(F318="DC",1.2,0)))))))))))</f>
        <v>0.6</v>
      </c>
    </row>
    <row r="319" customFormat="false" ht="16.4" hidden="false" customHeight="false" outlineLevel="0" collapsed="false">
      <c r="A319" s="1" t="n">
        <v>318</v>
      </c>
      <c r="B319" s="5" t="str">
        <f aca="false">[1]Base_Jugadores!B319</f>
        <v>Lucas Bergström</v>
      </c>
      <c r="C319" s="5" t="str">
        <f aca="false">IFERROR(
   _xlfn.XLOOKUP(VALUE(A319),[1]Fichajes_Realizados!A$2:A$50000,[1]Fichajes_Realizados!D$2:D$50000,,0,-1),
   _xlfn.XLOOKUP(VALUE(A319),[1]Base_Jugadores!A$2:A$50000,[1]Base_Jugadores!C$2:C$50000)
)</f>
        <v>RCD Mallorca</v>
      </c>
      <c r="D319" s="5" t="str">
        <f aca="false">[1]Base_Jugadores!D319</f>
        <v>Finlandia</v>
      </c>
      <c r="E319" s="3"/>
      <c r="F319" s="5" t="str">
        <f aca="false">[1]Base_Jugadores!E319</f>
        <v>PO</v>
      </c>
      <c r="G319" s="5" t="n">
        <f aca="false">[1]Base_Jugadores!F319</f>
        <v>68</v>
      </c>
      <c r="H319" s="5" t="n">
        <f aca="false">[1]Base_Jugadores!G319</f>
        <v>23</v>
      </c>
      <c r="I319" s="7" t="n">
        <f aca="false" t="array" ref="I319:I319">_xlfn.XLOOKUP(G319,{55;56;57;58;59;60;61;62;63;64;65;66;67;68;69;70;71;72;73;74;75;76;77;78;79;80;81;82;83;84;85;86;87;88;89;90;91;92;93;94;95;96;97;98;99},{100000;130000;160000;190000;220000;250000;300000;350000;400000;450000;500000;600000;700000;800000;900000;1000000;1500000;2000000;3000000;4000000;5000000;6500000;8000000;10000000;12500000;15000000;20000000;25000000;30000000;35000000;40000000;55000000;70000000;80000000;90000000;110000000;130000000;160000000;190000000;220000000;250000000;280000000;310000000;340000000;400000000})</f>
        <v>800000</v>
      </c>
      <c r="J319" s="7" t="n">
        <f aca="false">I319*S319*T319*U319</f>
        <v>501840</v>
      </c>
      <c r="K319" s="3"/>
      <c r="L319" s="3"/>
      <c r="M319" s="3"/>
      <c r="N319" s="9" t="n">
        <v>2</v>
      </c>
      <c r="O319" s="4" t="n">
        <v>0</v>
      </c>
      <c r="P319" s="5" t="n">
        <f aca="false">IF(COUNTIF([1]Base_Jugadores!J$2:J$500,B319)&gt;0,1,0)</f>
        <v>0</v>
      </c>
      <c r="Q319" s="10" t="b">
        <f aca="false">--(COUNTIFS(
   [1]Fichajes_Realizados!A$2:A$5000,A319,
   [1]Fichajes_Realizados!G$2:G$5000,$X$3
)&gt;0)</f>
        <v>0</v>
      </c>
      <c r="R319" s="5" t="n">
        <f aca="false">_xlfn.XLOOKUP(C319, [1]Estado_Equipos!A$2:A$500, [1]Estado_Equipos!J$2:J$500, "")</f>
        <v>74</v>
      </c>
      <c r="S319" s="5" t="n">
        <f aca="false">IF(H319&lt;=16,1.45,
IF(H319&gt;=41,0.3,
CHOOSE(ROUNDDOWN((H319-16)/2,0)+1,
1.45,1.38,1.3,1.23,1.17,1.15,1.12,1.05,0.95,0.8,0.6,0.4,0.3)))</f>
        <v>1.23</v>
      </c>
      <c r="T319" s="5" t="n">
        <f aca="false">CHOOSE(N319+1,1.2,1,0.85,0.7)</f>
        <v>0.85</v>
      </c>
      <c r="U319" s="5" t="n">
        <f aca="false">IF(F319="PO",0.6,
IF(F319="CT",0.75,
IF(F319="LI",0.8,
IF(F319="LD",0.8,
IF(F319="MCD",0.85,
IF(F319="MC",0.95,
IF(F319="MO",1.05,
IF(F319="EI",1.1,
IF(F319="ED",1.1,
IF(F319="SD",1.15,
IF(F319="DC",1.2,0)))))))))))</f>
        <v>0.6</v>
      </c>
    </row>
    <row r="320" customFormat="false" ht="16.4" hidden="false" customHeight="false" outlineLevel="0" collapsed="false">
      <c r="A320" s="1" t="n">
        <v>319</v>
      </c>
      <c r="B320" s="5" t="str">
        <f aca="false">[1]Base_Jugadores!B320</f>
        <v>Manu Morlanes</v>
      </c>
      <c r="C320" s="5" t="str">
        <f aca="false">IFERROR(
   _xlfn.XLOOKUP(VALUE(A320),[1]Fichajes_Realizados!A$2:A$50000,[1]Fichajes_Realizados!D$2:D$50000,,0,-1),
   _xlfn.XLOOKUP(VALUE(A320),[1]Base_Jugadores!A$2:A$50000,[1]Base_Jugadores!C$2:C$50000)
)</f>
        <v>RCD Mallorca</v>
      </c>
      <c r="D320" s="5" t="str">
        <f aca="false">[1]Base_Jugadores!D320</f>
        <v>España</v>
      </c>
      <c r="E320" s="3"/>
      <c r="F320" s="5" t="str">
        <f aca="false">[1]Base_Jugadores!E320</f>
        <v>MC</v>
      </c>
      <c r="G320" s="5" t="n">
        <f aca="false">[1]Base_Jugadores!F320</f>
        <v>74</v>
      </c>
      <c r="H320" s="5" t="n">
        <f aca="false">[1]Base_Jugadores!G320</f>
        <v>26</v>
      </c>
      <c r="I320" s="7" t="n">
        <f aca="false" t="array" ref="I320:I320">_xlfn.XLOOKUP(G320,{55;56;57;58;59;60;61;62;63;64;65;66;67;68;69;70;71;72;73;74;75;76;77;78;79;80;81;82;83;84;85;86;87;88;89;90;91;92;93;94;95;96;97;98;99},{100000;130000;160000;190000;220000;250000;300000;350000;400000;450000;500000;600000;700000;800000;900000;1000000;1500000;2000000;3000000;4000000;5000000;6500000;8000000;10000000;12500000;15000000;20000000;25000000;30000000;35000000;40000000;55000000;70000000;80000000;90000000;110000000;130000000;160000000;190000000;220000000;250000000;280000000;310000000;340000000;400000000})</f>
        <v>4000000</v>
      </c>
      <c r="J320" s="7" t="n">
        <f aca="false">I320*S320*T320*U320</f>
        <v>4370000</v>
      </c>
      <c r="K320" s="3"/>
      <c r="L320" s="3"/>
      <c r="M320" s="3"/>
      <c r="N320" s="9" t="n">
        <v>1</v>
      </c>
      <c r="O320" s="4" t="n">
        <v>0</v>
      </c>
      <c r="P320" s="5" t="n">
        <f aca="false">IF(COUNTIF([1]Base_Jugadores!J$2:J$500,B320)&gt;0,1,0)</f>
        <v>0</v>
      </c>
      <c r="Q320" s="10" t="b">
        <f aca="false">--(COUNTIFS(
   [1]Fichajes_Realizados!A$2:A$5000,A320,
   [1]Fichajes_Realizados!G$2:G$5000,$X$3
)&gt;0)</f>
        <v>0</v>
      </c>
      <c r="R320" s="5" t="n">
        <f aca="false">_xlfn.XLOOKUP(C320, [1]Estado_Equipos!A$2:A$500, [1]Estado_Equipos!J$2:J$500, "")</f>
        <v>74</v>
      </c>
      <c r="S320" s="5" t="n">
        <f aca="false">IF(H320&lt;=16,1.45,
IF(H320&gt;=41,0.3,
CHOOSE(ROUNDDOWN((H320-16)/2,0)+1,
1.45,1.38,1.3,1.23,1.17,1.15,1.12,1.05,0.95,0.8,0.6,0.4,0.3)))</f>
        <v>1.15</v>
      </c>
      <c r="T320" s="5" t="n">
        <f aca="false">CHOOSE(N320+1,1.2,1,0.85,0.7)</f>
        <v>1</v>
      </c>
      <c r="U320" s="5" t="n">
        <f aca="false">IF(F320="PO",0.6,
IF(F320="CT",0.75,
IF(F320="LI",0.8,
IF(F320="LD",0.8,
IF(F320="MCD",0.85,
IF(F320="MC",0.95,
IF(F320="MO",1.05,
IF(F320="EI",1.1,
IF(F320="ED",1.1,
IF(F320="SD",1.15,
IF(F320="DC",1.2,0)))))))))))</f>
        <v>0.95</v>
      </c>
    </row>
    <row r="321" customFormat="false" ht="16.4" hidden="false" customHeight="false" outlineLevel="0" collapsed="false">
      <c r="A321" s="1" t="n">
        <v>320</v>
      </c>
      <c r="B321" s="5" t="str">
        <f aca="false">[1]Base_Jugadores!B321</f>
        <v>Marash Kumbulla</v>
      </c>
      <c r="C321" s="5" t="str">
        <f aca="false">IFERROR(
   _xlfn.XLOOKUP(VALUE(A321),[1]Fichajes_Realizados!A$2:A$50000,[1]Fichajes_Realizados!D$2:D$50000,,0,-1),
   _xlfn.XLOOKUP(VALUE(A321),[1]Base_Jugadores!A$2:A$50000,[1]Base_Jugadores!C$2:C$50000)
)</f>
        <v>RCD Mallorca</v>
      </c>
      <c r="D321" s="5" t="str">
        <f aca="false">[1]Base_Jugadores!D321</f>
        <v>Albania</v>
      </c>
      <c r="E321" s="3"/>
      <c r="F321" s="5" t="str">
        <f aca="false">[1]Base_Jugadores!E321</f>
        <v>CT</v>
      </c>
      <c r="G321" s="5" t="n">
        <f aca="false">[1]Base_Jugadores!F321</f>
        <v>75</v>
      </c>
      <c r="H321" s="5" t="n">
        <f aca="false">[1]Base_Jugadores!G321</f>
        <v>25</v>
      </c>
      <c r="I321" s="7" t="n">
        <f aca="false" t="array" ref="I321:I321">_xlfn.XLOOKUP(G321,{55;56;57;58;59;60;61;62;63;64;65;66;67;68;69;70;71;72;73;74;75;76;77;78;79;80;81;82;83;84;85;86;87;88;89;90;91;92;93;94;95;96;97;98;99},{100000;130000;160000;190000;220000;250000;300000;350000;400000;450000;500000;600000;700000;800000;900000;1000000;1500000;2000000;3000000;4000000;5000000;6500000;8000000;10000000;12500000;15000000;20000000;25000000;30000000;35000000;40000000;55000000;70000000;80000000;90000000;110000000;130000000;160000000;190000000;220000000;250000000;280000000;310000000;340000000;400000000})</f>
        <v>5000000</v>
      </c>
      <c r="J321" s="7" t="n">
        <f aca="false">I321*S321*T321*U321</f>
        <v>4387500</v>
      </c>
      <c r="K321" s="3"/>
      <c r="L321" s="3"/>
      <c r="M321" s="3"/>
      <c r="N321" s="9" t="n">
        <v>1</v>
      </c>
      <c r="O321" s="4" t="n">
        <v>0</v>
      </c>
      <c r="P321" s="5" t="n">
        <f aca="false">IF(COUNTIF([1]Base_Jugadores!J$2:J$500,B321)&gt;0,1,0)</f>
        <v>0</v>
      </c>
      <c r="Q321" s="10" t="b">
        <f aca="false">--(COUNTIFS(
   [1]Fichajes_Realizados!A$2:A$5000,A321,
   [1]Fichajes_Realizados!G$2:G$5000,$X$3
)&gt;0)</f>
        <v>0</v>
      </c>
      <c r="R321" s="5" t="n">
        <f aca="false">_xlfn.XLOOKUP(C321, [1]Estado_Equipos!A$2:A$500, [1]Estado_Equipos!J$2:J$500, "")</f>
        <v>74</v>
      </c>
      <c r="S321" s="5" t="n">
        <f aca="false">IF(H321&lt;=16,1.45,
IF(H321&gt;=41,0.3,
CHOOSE(ROUNDDOWN((H321-16)/2,0)+1,
1.45,1.38,1.3,1.23,1.17,1.15,1.12,1.05,0.95,0.8,0.6,0.4,0.3)))</f>
        <v>1.17</v>
      </c>
      <c r="T321" s="5" t="n">
        <f aca="false">CHOOSE(N321+1,1.2,1,0.85,0.7)</f>
        <v>1</v>
      </c>
      <c r="U321" s="5" t="n">
        <f aca="false">IF(F321="PO",0.6,
IF(F321="CT",0.75,
IF(F321="LI",0.8,
IF(F321="LD",0.8,
IF(F321="MCD",0.85,
IF(F321="MC",0.95,
IF(F321="MO",1.05,
IF(F321="EI",1.1,
IF(F321="ED",1.1,
IF(F321="SD",1.15,
IF(F321="DC",1.2,0)))))))))))</f>
        <v>0.75</v>
      </c>
    </row>
    <row r="322" customFormat="false" ht="16.4" hidden="false" customHeight="false" outlineLevel="0" collapsed="false">
      <c r="A322" s="1" t="n">
        <v>321</v>
      </c>
      <c r="B322" s="5" t="str">
        <f aca="false">[1]Base_Jugadores!B322</f>
        <v>Marc Domènech G.</v>
      </c>
      <c r="C322" s="5" t="str">
        <f aca="false">IFERROR(
   _xlfn.XLOOKUP(VALUE(A322),[1]Fichajes_Realizados!A$2:A$50000,[1]Fichajes_Realizados!D$2:D$50000,,0,-1),
   _xlfn.XLOOKUP(VALUE(A322),[1]Base_Jugadores!A$2:A$50000,[1]Base_Jugadores!C$2:C$50000)
)</f>
        <v>RCD Mallorca</v>
      </c>
      <c r="D322" s="5" t="str">
        <f aca="false">[1]Base_Jugadores!D322</f>
        <v>España</v>
      </c>
      <c r="E322" s="3"/>
      <c r="F322" s="5" t="str">
        <f aca="false">[1]Base_Jugadores!E322</f>
        <v>DC</v>
      </c>
      <c r="G322" s="5" t="n">
        <f aca="false">[1]Base_Jugadores!F322</f>
        <v>61</v>
      </c>
      <c r="H322" s="5" t="n">
        <f aca="false">[1]Base_Jugadores!G322</f>
        <v>19</v>
      </c>
      <c r="I322" s="7" t="n">
        <f aca="false" t="array" ref="I322:I322">_xlfn.XLOOKUP(G322,{55;56;57;58;59;60;61;62;63;64;65;66;67;68;69;70;71;72;73;74;75;76;77;78;79;80;81;82;83;84;85;86;87;88;89;90;91;92;93;94;95;96;97;98;99},{100000;130000;160000;190000;220000;250000;300000;350000;400000;450000;500000;600000;700000;800000;900000;1000000;1500000;2000000;3000000;4000000;5000000;6500000;8000000;10000000;12500000;15000000;20000000;25000000;30000000;35000000;40000000;55000000;70000000;80000000;90000000;110000000;130000000;160000000;190000000;220000000;250000000;280000000;310000000;340000000;400000000})</f>
        <v>300000</v>
      </c>
      <c r="J322" s="7" t="n">
        <f aca="false">I322*S322*T322*U322</f>
        <v>422280</v>
      </c>
      <c r="K322" s="3"/>
      <c r="L322" s="3"/>
      <c r="M322" s="3"/>
      <c r="N322" s="9" t="n">
        <v>2</v>
      </c>
      <c r="O322" s="4" t="n">
        <v>1</v>
      </c>
      <c r="P322" s="5" t="n">
        <f aca="false">IF(COUNTIF([1]Base_Jugadores!J$2:J$500,B322)&gt;0,1,0)</f>
        <v>0</v>
      </c>
      <c r="Q322" s="10" t="b">
        <f aca="false">--(COUNTIFS(
   [1]Fichajes_Realizados!A$2:A$5000,A322,
   [1]Fichajes_Realizados!G$2:G$5000,$X$3
)&gt;0)</f>
        <v>0</v>
      </c>
      <c r="R322" s="5" t="n">
        <f aca="false">_xlfn.XLOOKUP(C322, [1]Estado_Equipos!A$2:A$500, [1]Estado_Equipos!J$2:J$500, "")</f>
        <v>74</v>
      </c>
      <c r="S322" s="5" t="n">
        <f aca="false">IF(H322&lt;=16,1.45,
IF(H322&gt;=41,0.3,
CHOOSE(ROUNDDOWN((H322-16)/2,0)+1,
1.45,1.38,1.3,1.23,1.17,1.15,1.12,1.05,0.95,0.8,0.6,0.4,0.3)))</f>
        <v>1.38</v>
      </c>
      <c r="T322" s="5" t="n">
        <f aca="false">CHOOSE(N322+1,1.2,1,0.85,0.7)</f>
        <v>0.85</v>
      </c>
      <c r="U322" s="5" t="n">
        <f aca="false">IF(F322="PO",0.6,
IF(F322="CT",0.75,
IF(F322="LI",0.8,
IF(F322="LD",0.8,
IF(F322="MCD",0.85,
IF(F322="MC",0.95,
IF(F322="MO",1.05,
IF(F322="EI",1.1,
IF(F322="ED",1.1,
IF(F322="SD",1.15,
IF(F322="DC",1.2,0)))))))))))</f>
        <v>1.2</v>
      </c>
    </row>
    <row r="323" customFormat="false" ht="16.4" hidden="false" customHeight="false" outlineLevel="0" collapsed="false">
      <c r="A323" s="1" t="n">
        <v>322</v>
      </c>
      <c r="B323" s="5" t="str">
        <f aca="false">[1]Base_Jugadores!B323</f>
        <v>Martin Valjent</v>
      </c>
      <c r="C323" s="5" t="str">
        <f aca="false">IFERROR(
   _xlfn.XLOOKUP(VALUE(A323),[1]Fichajes_Realizados!A$2:A$50000,[1]Fichajes_Realizados!D$2:D$50000,,0,-1),
   _xlfn.XLOOKUP(VALUE(A323),[1]Base_Jugadores!A$2:A$50000,[1]Base_Jugadores!C$2:C$50000)
)</f>
        <v>RCD Mallorca</v>
      </c>
      <c r="D323" s="5" t="str">
        <f aca="false">[1]Base_Jugadores!D323</f>
        <v>Eslovaquia</v>
      </c>
      <c r="E323" s="3"/>
      <c r="F323" s="5" t="str">
        <f aca="false">[1]Base_Jugadores!E323</f>
        <v>CT</v>
      </c>
      <c r="G323" s="5" t="n">
        <f aca="false">[1]Base_Jugadores!F323</f>
        <v>77</v>
      </c>
      <c r="H323" s="5" t="n">
        <f aca="false">[1]Base_Jugadores!G323</f>
        <v>30</v>
      </c>
      <c r="I323" s="7" t="n">
        <f aca="false" t="array" ref="I323:I323">_xlfn.XLOOKUP(G323,{55;56;57;58;59;60;61;62;63;64;65;66;67;68;69;70;71;72;73;74;75;76;77;78;79;80;81;82;83;84;85;86;87;88;89;90;91;92;93;94;95;96;97;98;99},{100000;130000;160000;190000;220000;250000;300000;350000;400000;450000;500000;600000;700000;800000;900000;1000000;1500000;2000000;3000000;4000000;5000000;6500000;8000000;10000000;12500000;15000000;20000000;25000000;30000000;35000000;40000000;55000000;70000000;80000000;90000000;110000000;130000000;160000000;190000000;220000000;250000000;280000000;310000000;340000000;400000000})</f>
        <v>8000000</v>
      </c>
      <c r="J323" s="7" t="n">
        <f aca="false">I323*S323*T323*U323</f>
        <v>7560000</v>
      </c>
      <c r="K323" s="3"/>
      <c r="L323" s="3"/>
      <c r="M323" s="3"/>
      <c r="N323" s="9" t="n">
        <v>0</v>
      </c>
      <c r="O323" s="4" t="n">
        <v>0</v>
      </c>
      <c r="P323" s="5" t="n">
        <f aca="false">IF(COUNTIF([1]Base_Jugadores!J$2:J$500,B323)&gt;0,1,0)</f>
        <v>0</v>
      </c>
      <c r="Q323" s="10" t="b">
        <f aca="false">--(COUNTIFS(
   [1]Fichajes_Realizados!A$2:A$5000,A323,
   [1]Fichajes_Realizados!G$2:G$5000,$X$3
)&gt;0)</f>
        <v>0</v>
      </c>
      <c r="R323" s="5" t="n">
        <f aca="false">_xlfn.XLOOKUP(C323, [1]Estado_Equipos!A$2:A$500, [1]Estado_Equipos!J$2:J$500, "")</f>
        <v>74</v>
      </c>
      <c r="S323" s="5" t="n">
        <f aca="false">IF(H323&lt;=16,1.45,
IF(H323&gt;=41,0.3,
CHOOSE(ROUNDDOWN((H323-16)/2,0)+1,
1.45,1.38,1.3,1.23,1.17,1.15,1.12,1.05,0.95,0.8,0.6,0.4,0.3)))</f>
        <v>1.05</v>
      </c>
      <c r="T323" s="5" t="n">
        <f aca="false">CHOOSE(N323+1,1.2,1,0.85,0.7)</f>
        <v>1.2</v>
      </c>
      <c r="U323" s="5" t="n">
        <f aca="false">IF(F323="PO",0.6,
IF(F323="CT",0.75,
IF(F323="LI",0.8,
IF(F323="LD",0.8,
IF(F323="MCD",0.85,
IF(F323="MC",0.95,
IF(F323="MO",1.05,
IF(F323="EI",1.1,
IF(F323="ED",1.1,
IF(F323="SD",1.15,
IF(F323="DC",1.2,0)))))))))))</f>
        <v>0.75</v>
      </c>
    </row>
    <row r="324" customFormat="false" ht="16.4" hidden="false" customHeight="false" outlineLevel="0" collapsed="false">
      <c r="A324" s="1" t="n">
        <v>323</v>
      </c>
      <c r="B324" s="5" t="str">
        <f aca="false">[1]Base_Jugadores!B324</f>
        <v>Mateo Joseph</v>
      </c>
      <c r="C324" s="5" t="str">
        <f aca="false">IFERROR(
   _xlfn.XLOOKUP(VALUE(A324),[1]Fichajes_Realizados!A$2:A$50000,[1]Fichajes_Realizados!D$2:D$50000,,0,-1),
   _xlfn.XLOOKUP(VALUE(A324),[1]Base_Jugadores!A$2:A$50000,[1]Base_Jugadores!C$2:C$50000)
)</f>
        <v>RCD Mallorca</v>
      </c>
      <c r="D324" s="5" t="str">
        <f aca="false">[1]Base_Jugadores!D324</f>
        <v>España</v>
      </c>
      <c r="E324" s="3"/>
      <c r="F324" s="5" t="str">
        <f aca="false">[1]Base_Jugadores!E324</f>
        <v>DC</v>
      </c>
      <c r="G324" s="5" t="n">
        <f aca="false">[1]Base_Jugadores!F324</f>
        <v>70</v>
      </c>
      <c r="H324" s="5" t="n">
        <f aca="false">[1]Base_Jugadores!G324</f>
        <v>22</v>
      </c>
      <c r="I324" s="7" t="n">
        <f aca="false" t="array" ref="I324:I324">_xlfn.XLOOKUP(G324,{55;56;57;58;59;60;61;62;63;64;65;66;67;68;69;70;71;72;73;74;75;76;77;78;79;80;81;82;83;84;85;86;87;88;89;90;91;92;93;94;95;96;97;98;99},{100000;130000;160000;190000;220000;250000;300000;350000;400000;450000;500000;600000;700000;800000;900000;1000000;1500000;2000000;3000000;4000000;5000000;6500000;8000000;10000000;12500000;15000000;20000000;25000000;30000000;35000000;40000000;55000000;70000000;80000000;90000000;110000000;130000000;160000000;190000000;220000000;250000000;280000000;310000000;340000000;400000000})</f>
        <v>1000000</v>
      </c>
      <c r="J324" s="7" t="n">
        <f aca="false">I324*S324*T324*U324</f>
        <v>1771200</v>
      </c>
      <c r="K324" s="3"/>
      <c r="L324" s="3"/>
      <c r="M324" s="3"/>
      <c r="N324" s="9" t="n">
        <v>0</v>
      </c>
      <c r="O324" s="4" t="n">
        <v>0</v>
      </c>
      <c r="P324" s="5" t="n">
        <f aca="false">IF(COUNTIF([1]Base_Jugadores!J$2:J$500,B324)&gt;0,1,0)</f>
        <v>0</v>
      </c>
      <c r="Q324" s="10" t="b">
        <f aca="false">--(COUNTIFS(
   [1]Fichajes_Realizados!A$2:A$5000,A324,
   [1]Fichajes_Realizados!G$2:G$5000,$X$3
)&gt;0)</f>
        <v>0</v>
      </c>
      <c r="R324" s="5" t="n">
        <f aca="false">_xlfn.XLOOKUP(C324, [1]Estado_Equipos!A$2:A$500, [1]Estado_Equipos!J$2:J$500, "")</f>
        <v>74</v>
      </c>
      <c r="S324" s="5" t="n">
        <f aca="false">IF(H324&lt;=16,1.45,
IF(H324&gt;=41,0.3,
CHOOSE(ROUNDDOWN((H324-16)/2,0)+1,
1.45,1.38,1.3,1.23,1.17,1.15,1.12,1.05,0.95,0.8,0.6,0.4,0.3)))</f>
        <v>1.23</v>
      </c>
      <c r="T324" s="5" t="n">
        <f aca="false">CHOOSE(N324+1,1.2,1,0.85,0.7)</f>
        <v>1.2</v>
      </c>
      <c r="U324" s="5" t="n">
        <f aca="false">IF(F324="PO",0.6,
IF(F324="CT",0.75,
IF(F324="LI",0.8,
IF(F324="LD",0.8,
IF(F324="MCD",0.85,
IF(F324="MC",0.95,
IF(F324="MO",1.05,
IF(F324="EI",1.1,
IF(F324="ED",1.1,
IF(F324="SD",1.15,
IF(F324="DC",1.2,0)))))))))))</f>
        <v>1.2</v>
      </c>
    </row>
    <row r="325" customFormat="false" ht="16.4" hidden="false" customHeight="false" outlineLevel="0" collapsed="false">
      <c r="A325" s="1" t="n">
        <v>324</v>
      </c>
      <c r="B325" s="5" t="str">
        <f aca="false">[1]Base_Jugadores!B325</f>
        <v>Mateu Morey</v>
      </c>
      <c r="C325" s="5" t="str">
        <f aca="false">IFERROR(
   _xlfn.XLOOKUP(VALUE(A325),[1]Fichajes_Realizados!A$2:A$50000,[1]Fichajes_Realizados!D$2:D$50000,,0,-1),
   _xlfn.XLOOKUP(VALUE(A325),[1]Base_Jugadores!A$2:A$50000,[1]Base_Jugadores!C$2:C$50000)
)</f>
        <v>RCD Mallorca</v>
      </c>
      <c r="D325" s="5" t="str">
        <f aca="false">[1]Base_Jugadores!D325</f>
        <v>España</v>
      </c>
      <c r="E325" s="3"/>
      <c r="F325" s="5" t="str">
        <f aca="false">[1]Base_Jugadores!E325</f>
        <v>LD</v>
      </c>
      <c r="G325" s="5" t="n">
        <f aca="false">[1]Base_Jugadores!F325</f>
        <v>72</v>
      </c>
      <c r="H325" s="5" t="n">
        <f aca="false">[1]Base_Jugadores!G325</f>
        <v>25</v>
      </c>
      <c r="I325" s="7" t="n">
        <f aca="false" t="array" ref="I325:I325">_xlfn.XLOOKUP(G325,{55;56;57;58;59;60;61;62;63;64;65;66;67;68;69;70;71;72;73;74;75;76;77;78;79;80;81;82;83;84;85;86;87;88;89;90;91;92;93;94;95;96;97;98;99},{100000;130000;160000;190000;220000;250000;300000;350000;400000;450000;500000;600000;700000;800000;900000;1000000;1500000;2000000;3000000;4000000;5000000;6500000;8000000;10000000;12500000;15000000;20000000;25000000;30000000;35000000;40000000;55000000;70000000;80000000;90000000;110000000;130000000;160000000;190000000;220000000;250000000;280000000;310000000;340000000;400000000})</f>
        <v>2000000</v>
      </c>
      <c r="J325" s="7" t="n">
        <f aca="false">I325*S325*T325*U325</f>
        <v>1591200</v>
      </c>
      <c r="K325" s="3"/>
      <c r="L325" s="3"/>
      <c r="M325" s="3"/>
      <c r="N325" s="9" t="n">
        <v>2</v>
      </c>
      <c r="O325" s="4" t="n">
        <v>0</v>
      </c>
      <c r="P325" s="5" t="n">
        <f aca="false">IF(COUNTIF([1]Base_Jugadores!J$2:J$500,B325)&gt;0,1,0)</f>
        <v>0</v>
      </c>
      <c r="Q325" s="10" t="b">
        <f aca="false">--(COUNTIFS(
   [1]Fichajes_Realizados!A$2:A$5000,A325,
   [1]Fichajes_Realizados!G$2:G$5000,$X$3
)&gt;0)</f>
        <v>0</v>
      </c>
      <c r="R325" s="5" t="n">
        <f aca="false">_xlfn.XLOOKUP(C325, [1]Estado_Equipos!A$2:A$500, [1]Estado_Equipos!J$2:J$500, "")</f>
        <v>74</v>
      </c>
      <c r="S325" s="5" t="n">
        <f aca="false">IF(H325&lt;=16,1.45,
IF(H325&gt;=41,0.3,
CHOOSE(ROUNDDOWN((H325-16)/2,0)+1,
1.45,1.38,1.3,1.23,1.17,1.15,1.12,1.05,0.95,0.8,0.6,0.4,0.3)))</f>
        <v>1.17</v>
      </c>
      <c r="T325" s="5" t="n">
        <f aca="false">CHOOSE(N325+1,1.2,1,0.85,0.7)</f>
        <v>0.85</v>
      </c>
      <c r="U325" s="5" t="n">
        <f aca="false">IF(F325="PO",0.6,
IF(F325="CT",0.75,
IF(F325="LI",0.8,
IF(F325="LD",0.8,
IF(F325="MCD",0.85,
IF(F325="MC",0.95,
IF(F325="MO",1.05,
IF(F325="EI",1.1,
IF(F325="ED",1.1,
IF(F325="SD",1.15,
IF(F325="DC",1.2,0)))))))))))</f>
        <v>0.8</v>
      </c>
    </row>
    <row r="326" customFormat="false" ht="16.4" hidden="false" customHeight="false" outlineLevel="0" collapsed="false">
      <c r="A326" s="1" t="n">
        <v>325</v>
      </c>
      <c r="B326" s="5" t="str">
        <f aca="false">[1]Base_Jugadores!B326</f>
        <v>Omar Mascarell</v>
      </c>
      <c r="C326" s="5" t="str">
        <f aca="false">IFERROR(
   _xlfn.XLOOKUP(VALUE(A326),[1]Fichajes_Realizados!A$2:A$50000,[1]Fichajes_Realizados!D$2:D$50000,,0,-1),
   _xlfn.XLOOKUP(VALUE(A326),[1]Base_Jugadores!A$2:A$50000,[1]Base_Jugadores!C$2:C$50000)
)</f>
        <v>RCD Mallorca</v>
      </c>
      <c r="D326" s="5" t="str">
        <f aca="false">[1]Base_Jugadores!D326</f>
        <v>Guinea Ecuatorial</v>
      </c>
      <c r="E326" s="3"/>
      <c r="F326" s="5" t="str">
        <f aca="false">[1]Base_Jugadores!E326</f>
        <v>MCD</v>
      </c>
      <c r="G326" s="5" t="n">
        <f aca="false">[1]Base_Jugadores!F326</f>
        <v>75</v>
      </c>
      <c r="H326" s="5" t="n">
        <f aca="false">[1]Base_Jugadores!G326</f>
        <v>32</v>
      </c>
      <c r="I326" s="7" t="n">
        <f aca="false" t="array" ref="I326:I326">_xlfn.XLOOKUP(G326,{55;56;57;58;59;60;61;62;63;64;65;66;67;68;69;70;71;72;73;74;75;76;77;78;79;80;81;82;83;84;85;86;87;88;89;90;91;92;93;94;95;96;97;98;99},{100000;130000;160000;190000;220000;250000;300000;350000;400000;450000;500000;600000;700000;800000;900000;1000000;1500000;2000000;3000000;4000000;5000000;6500000;8000000;10000000;12500000;15000000;20000000;25000000;30000000;35000000;40000000;55000000;70000000;80000000;90000000;110000000;130000000;160000000;190000000;220000000;250000000;280000000;310000000;340000000;400000000})</f>
        <v>5000000</v>
      </c>
      <c r="J326" s="7" t="n">
        <f aca="false">I326*S326*T326*U326</f>
        <v>4845000</v>
      </c>
      <c r="K326" s="3"/>
      <c r="L326" s="3"/>
      <c r="M326" s="3"/>
      <c r="N326" s="9" t="n">
        <v>0</v>
      </c>
      <c r="O326" s="4" t="n">
        <v>0</v>
      </c>
      <c r="P326" s="5" t="n">
        <f aca="false">IF(COUNTIF([1]Base_Jugadores!J$2:J$500,B326)&gt;0,1,0)</f>
        <v>0</v>
      </c>
      <c r="Q326" s="10" t="b">
        <f aca="false">--(COUNTIFS(
   [1]Fichajes_Realizados!A$2:A$5000,A326,
   [1]Fichajes_Realizados!G$2:G$5000,$X$3
)&gt;0)</f>
        <v>0</v>
      </c>
      <c r="R326" s="5" t="n">
        <f aca="false">_xlfn.XLOOKUP(C326, [1]Estado_Equipos!A$2:A$500, [1]Estado_Equipos!J$2:J$500, "")</f>
        <v>74</v>
      </c>
      <c r="S326" s="5" t="n">
        <f aca="false">IF(H326&lt;=16,1.45,
IF(H326&gt;=41,0.3,
CHOOSE(ROUNDDOWN((H326-16)/2,0)+1,
1.45,1.38,1.3,1.23,1.17,1.15,1.12,1.05,0.95,0.8,0.6,0.4,0.3)))</f>
        <v>0.95</v>
      </c>
      <c r="T326" s="5" t="n">
        <f aca="false">CHOOSE(N326+1,1.2,1,0.85,0.7)</f>
        <v>1.2</v>
      </c>
      <c r="U326" s="5" t="n">
        <f aca="false">IF(F326="PO",0.6,
IF(F326="CT",0.75,
IF(F326="LI",0.8,
IF(F326="LD",0.8,
IF(F326="MCD",0.85,
IF(F326="MC",0.95,
IF(F326="MO",1.05,
IF(F326="EI",1.1,
IF(F326="ED",1.1,
IF(F326="SD",1.15,
IF(F326="DC",1.2,0)))))))))))</f>
        <v>0.85</v>
      </c>
    </row>
    <row r="327" customFormat="false" ht="16.4" hidden="false" customHeight="false" outlineLevel="0" collapsed="false">
      <c r="A327" s="1" t="n">
        <v>326</v>
      </c>
      <c r="B327" s="5" t="str">
        <f aca="false">[1]Base_Jugadores!B327</f>
        <v>Pablo Maffeo</v>
      </c>
      <c r="C327" s="5" t="str">
        <f aca="false">IFERROR(
   _xlfn.XLOOKUP(VALUE(A327),[1]Fichajes_Realizados!A$2:A$50000,[1]Fichajes_Realizados!D$2:D$50000,,0,-1),
   _xlfn.XLOOKUP(VALUE(A327),[1]Base_Jugadores!A$2:A$50000,[1]Base_Jugadores!C$2:C$50000)
)</f>
        <v>RCD Mallorca</v>
      </c>
      <c r="D327" s="5" t="str">
        <f aca="false">[1]Base_Jugadores!D327</f>
        <v>Argentina</v>
      </c>
      <c r="E327" s="3"/>
      <c r="F327" s="5" t="str">
        <f aca="false">[1]Base_Jugadores!E327</f>
        <v>LD</v>
      </c>
      <c r="G327" s="5" t="n">
        <f aca="false">[1]Base_Jugadores!F327</f>
        <v>79</v>
      </c>
      <c r="H327" s="5" t="n">
        <f aca="false">[1]Base_Jugadores!G327</f>
        <v>28</v>
      </c>
      <c r="I327" s="7" t="n">
        <f aca="false" t="array" ref="I327:I327">_xlfn.XLOOKUP(G327,{55;56;57;58;59;60;61;62;63;64;65;66;67;68;69;70;71;72;73;74;75;76;77;78;79;80;81;82;83;84;85;86;87;88;89;90;91;92;93;94;95;96;97;98;99},{100000;130000;160000;190000;220000;250000;300000;350000;400000;450000;500000;600000;700000;800000;900000;1000000;1500000;2000000;3000000;4000000;5000000;6500000;8000000;10000000;12500000;15000000;20000000;25000000;30000000;35000000;40000000;55000000;70000000;80000000;90000000;110000000;130000000;160000000;190000000;220000000;250000000;280000000;310000000;340000000;400000000})</f>
        <v>12500000</v>
      </c>
      <c r="J327" s="7" t="n">
        <f aca="false">I327*S327*T327*U327</f>
        <v>13440000</v>
      </c>
      <c r="K327" s="3"/>
      <c r="L327" s="3"/>
      <c r="M327" s="3"/>
      <c r="N327" s="9" t="n">
        <v>0</v>
      </c>
      <c r="O327" s="4" t="n">
        <v>0</v>
      </c>
      <c r="P327" s="5" t="n">
        <f aca="false">IF(COUNTIF([1]Base_Jugadores!J$2:J$500,B327)&gt;0,1,0)</f>
        <v>0</v>
      </c>
      <c r="Q327" s="10" t="b">
        <f aca="false">--(COUNTIFS(
   [1]Fichajes_Realizados!A$2:A$5000,A327,
   [1]Fichajes_Realizados!G$2:G$5000,$X$3
)&gt;0)</f>
        <v>0</v>
      </c>
      <c r="R327" s="5" t="n">
        <f aca="false">_xlfn.XLOOKUP(C327, [1]Estado_Equipos!A$2:A$500, [1]Estado_Equipos!J$2:J$500, "")</f>
        <v>74</v>
      </c>
      <c r="S327" s="5" t="n">
        <f aca="false">IF(H327&lt;=16,1.45,
IF(H327&gt;=41,0.3,
CHOOSE(ROUNDDOWN((H327-16)/2,0)+1,
1.45,1.38,1.3,1.23,1.17,1.15,1.12,1.05,0.95,0.8,0.6,0.4,0.3)))</f>
        <v>1.12</v>
      </c>
      <c r="T327" s="5" t="n">
        <f aca="false">CHOOSE(N327+1,1.2,1,0.85,0.7)</f>
        <v>1.2</v>
      </c>
      <c r="U327" s="5" t="n">
        <f aca="false">IF(F327="PO",0.6,
IF(F327="CT",0.75,
IF(F327="LI",0.8,
IF(F327="LD",0.8,
IF(F327="MCD",0.85,
IF(F327="MC",0.95,
IF(F327="MO",1.05,
IF(F327="EI",1.1,
IF(F327="ED",1.1,
IF(F327="SD",1.15,
IF(F327="DC",1.2,0)))))))))))</f>
        <v>0.8</v>
      </c>
    </row>
    <row r="328" customFormat="false" ht="16.4" hidden="false" customHeight="false" outlineLevel="0" collapsed="false">
      <c r="A328" s="1" t="n">
        <v>327</v>
      </c>
      <c r="B328" s="5" t="str">
        <f aca="false">[1]Base_Jugadores!B328</f>
        <v>Pablo Torre</v>
      </c>
      <c r="C328" s="5" t="str">
        <f aca="false">IFERROR(
   _xlfn.XLOOKUP(VALUE(A328),[1]Fichajes_Realizados!A$2:A$50000,[1]Fichajes_Realizados!D$2:D$50000,,0,-1),
   _xlfn.XLOOKUP(VALUE(A328),[1]Base_Jugadores!A$2:A$50000,[1]Base_Jugadores!C$2:C$50000)
)</f>
        <v>RCD Mallorca</v>
      </c>
      <c r="D328" s="5" t="str">
        <f aca="false">[1]Base_Jugadores!D328</f>
        <v>España</v>
      </c>
      <c r="E328" s="3"/>
      <c r="F328" s="5" t="str">
        <f aca="false">[1]Base_Jugadores!E328</f>
        <v>MO</v>
      </c>
      <c r="G328" s="5" t="n">
        <f aca="false">[1]Base_Jugadores!F328</f>
        <v>74</v>
      </c>
      <c r="H328" s="5" t="n">
        <f aca="false">[1]Base_Jugadores!G328</f>
        <v>22</v>
      </c>
      <c r="I328" s="7" t="n">
        <f aca="false" t="array" ref="I328:I328">_xlfn.XLOOKUP(G328,{55;56;57;58;59;60;61;62;63;64;65;66;67;68;69;70;71;72;73;74;75;76;77;78;79;80;81;82;83;84;85;86;87;88;89;90;91;92;93;94;95;96;97;98;99},{100000;130000;160000;190000;220000;250000;300000;350000;400000;450000;500000;600000;700000;800000;900000;1000000;1500000;2000000;3000000;4000000;5000000;6500000;8000000;10000000;12500000;15000000;20000000;25000000;30000000;35000000;40000000;55000000;70000000;80000000;90000000;110000000;130000000;160000000;190000000;220000000;250000000;280000000;310000000;340000000;400000000})</f>
        <v>4000000</v>
      </c>
      <c r="J328" s="7" t="n">
        <f aca="false">I328*S328*T328*U328</f>
        <v>5166000</v>
      </c>
      <c r="K328" s="3"/>
      <c r="L328" s="3"/>
      <c r="M328" s="3"/>
      <c r="N328" s="9" t="n">
        <v>1</v>
      </c>
      <c r="O328" s="4" t="n">
        <v>0</v>
      </c>
      <c r="P328" s="5" t="n">
        <f aca="false">IF(COUNTIF([1]Base_Jugadores!J$2:J$500,B328)&gt;0,1,0)</f>
        <v>0</v>
      </c>
      <c r="Q328" s="10" t="b">
        <f aca="false">--(COUNTIFS(
   [1]Fichajes_Realizados!A$2:A$5000,A328,
   [1]Fichajes_Realizados!G$2:G$5000,$X$3
)&gt;0)</f>
        <v>0</v>
      </c>
      <c r="R328" s="5" t="n">
        <f aca="false">_xlfn.XLOOKUP(C328, [1]Estado_Equipos!A$2:A$500, [1]Estado_Equipos!J$2:J$500, "")</f>
        <v>74</v>
      </c>
      <c r="S328" s="5" t="n">
        <f aca="false">IF(H328&lt;=16,1.45,
IF(H328&gt;=41,0.3,
CHOOSE(ROUNDDOWN((H328-16)/2,0)+1,
1.45,1.38,1.3,1.23,1.17,1.15,1.12,1.05,0.95,0.8,0.6,0.4,0.3)))</f>
        <v>1.23</v>
      </c>
      <c r="T328" s="5" t="n">
        <f aca="false">CHOOSE(N328+1,1.2,1,0.85,0.7)</f>
        <v>1</v>
      </c>
      <c r="U328" s="5" t="n">
        <f aca="false">IF(F328="PO",0.6,
IF(F328="CT",0.75,
IF(F328="LI",0.8,
IF(F328="LD",0.8,
IF(F328="MCD",0.85,
IF(F328="MC",0.95,
IF(F328="MO",1.05,
IF(F328="EI",1.1,
IF(F328="ED",1.1,
IF(F328="SD",1.15,
IF(F328="DC",1.2,0)))))))))))</f>
        <v>1.05</v>
      </c>
    </row>
    <row r="329" customFormat="false" ht="16.4" hidden="false" customHeight="false" outlineLevel="0" collapsed="false">
      <c r="A329" s="1" t="n">
        <v>328</v>
      </c>
      <c r="B329" s="5" t="str">
        <f aca="false">[1]Base_Jugadores!B329</f>
        <v>Samú Costa</v>
      </c>
      <c r="C329" s="5" t="str">
        <f aca="false">IFERROR(
   _xlfn.XLOOKUP(VALUE(A329),[1]Fichajes_Realizados!A$2:A$50000,[1]Fichajes_Realizados!D$2:D$50000,,0,-1),
   _xlfn.XLOOKUP(VALUE(A329),[1]Base_Jugadores!A$2:A$50000,[1]Base_Jugadores!C$2:C$50000)
)</f>
        <v>RCD Mallorca</v>
      </c>
      <c r="D329" s="5" t="str">
        <f aca="false">[1]Base_Jugadores!D329</f>
        <v>Portugal</v>
      </c>
      <c r="E329" s="3"/>
      <c r="F329" s="5" t="str">
        <f aca="false">[1]Base_Jugadores!E329</f>
        <v>MCD</v>
      </c>
      <c r="G329" s="5" t="n">
        <f aca="false">[1]Base_Jugadores!F329</f>
        <v>75</v>
      </c>
      <c r="H329" s="5" t="n">
        <f aca="false">[1]Base_Jugadores!G329</f>
        <v>25</v>
      </c>
      <c r="I329" s="7" t="n">
        <f aca="false" t="array" ref="I329:I329">_xlfn.XLOOKUP(G329,{55;56;57;58;59;60;61;62;63;64;65;66;67;68;69;70;71;72;73;74;75;76;77;78;79;80;81;82;83;84;85;86;87;88;89;90;91;92;93;94;95;96;97;98;99},{100000;130000;160000;190000;220000;250000;300000;350000;400000;450000;500000;600000;700000;800000;900000;1000000;1500000;2000000;3000000;4000000;5000000;6500000;8000000;10000000;12500000;15000000;20000000;25000000;30000000;35000000;40000000;55000000;70000000;80000000;90000000;110000000;130000000;160000000;190000000;220000000;250000000;280000000;310000000;340000000;400000000})</f>
        <v>5000000</v>
      </c>
      <c r="J329" s="7" t="n">
        <f aca="false">I329*S329*T329*U329</f>
        <v>4972500</v>
      </c>
      <c r="K329" s="3"/>
      <c r="L329" s="3"/>
      <c r="M329" s="3"/>
      <c r="N329" s="9" t="n">
        <v>1</v>
      </c>
      <c r="O329" s="4" t="n">
        <v>0</v>
      </c>
      <c r="P329" s="5" t="n">
        <f aca="false">IF(COUNTIF([1]Base_Jugadores!J$2:J$500,B329)&gt;0,1,0)</f>
        <v>0</v>
      </c>
      <c r="Q329" s="10" t="b">
        <f aca="false">--(COUNTIFS(
   [1]Fichajes_Realizados!A$2:A$5000,A329,
   [1]Fichajes_Realizados!G$2:G$5000,$X$3
)&gt;0)</f>
        <v>0</v>
      </c>
      <c r="R329" s="5" t="n">
        <f aca="false">_xlfn.XLOOKUP(C329, [1]Estado_Equipos!A$2:A$500, [1]Estado_Equipos!J$2:J$500, "")</f>
        <v>74</v>
      </c>
      <c r="S329" s="5" t="n">
        <f aca="false">IF(H329&lt;=16,1.45,
IF(H329&gt;=41,0.3,
CHOOSE(ROUNDDOWN((H329-16)/2,0)+1,
1.45,1.38,1.3,1.23,1.17,1.15,1.12,1.05,0.95,0.8,0.6,0.4,0.3)))</f>
        <v>1.17</v>
      </c>
      <c r="T329" s="5" t="n">
        <f aca="false">CHOOSE(N329+1,1.2,1,0.85,0.7)</f>
        <v>1</v>
      </c>
      <c r="U329" s="5" t="n">
        <f aca="false">IF(F329="PO",0.6,
IF(F329="CT",0.75,
IF(F329="LI",0.8,
IF(F329="LD",0.8,
IF(F329="MCD",0.85,
IF(F329="MC",0.95,
IF(F329="MO",1.05,
IF(F329="EI",1.1,
IF(F329="ED",1.1,
IF(F329="SD",1.15,
IF(F329="DC",1.2,0)))))))))))</f>
        <v>0.85</v>
      </c>
    </row>
    <row r="330" customFormat="false" ht="16.4" hidden="false" customHeight="false" outlineLevel="0" collapsed="false">
      <c r="A330" s="1" t="n">
        <v>329</v>
      </c>
      <c r="B330" s="5" t="str">
        <f aca="false">[1]Base_Jugadores!B330</f>
        <v>Sergi Darder</v>
      </c>
      <c r="C330" s="5" t="str">
        <f aca="false">IFERROR(
   _xlfn.XLOOKUP(VALUE(A330),[1]Fichajes_Realizados!A$2:A$50000,[1]Fichajes_Realizados!D$2:D$50000,,0,-1),
   _xlfn.XLOOKUP(VALUE(A330),[1]Base_Jugadores!A$2:A$50000,[1]Base_Jugadores!C$2:C$50000)
)</f>
        <v>RCD Mallorca</v>
      </c>
      <c r="D330" s="5" t="str">
        <f aca="false">[1]Base_Jugadores!D330</f>
        <v>España</v>
      </c>
      <c r="E330" s="3"/>
      <c r="F330" s="5" t="str">
        <f aca="false">[1]Base_Jugadores!E330</f>
        <v>MC</v>
      </c>
      <c r="G330" s="5" t="n">
        <f aca="false">[1]Base_Jugadores!F330</f>
        <v>82</v>
      </c>
      <c r="H330" s="5" t="n">
        <f aca="false">[1]Base_Jugadores!G330</f>
        <v>32</v>
      </c>
      <c r="I330" s="7" t="n">
        <f aca="false" t="array" ref="I330:I330">_xlfn.XLOOKUP(G330,{55;56;57;58;59;60;61;62;63;64;65;66;67;68;69;70;71;72;73;74;75;76;77;78;79;80;81;82;83;84;85;86;87;88;89;90;91;92;93;94;95;96;97;98;99},{100000;130000;160000;190000;220000;250000;300000;350000;400000;450000;500000;600000;700000;800000;900000;1000000;1500000;2000000;3000000;4000000;5000000;6500000;8000000;10000000;12500000;15000000;20000000;25000000;30000000;35000000;40000000;55000000;70000000;80000000;90000000;110000000;130000000;160000000;190000000;220000000;250000000;280000000;310000000;340000000;400000000})</f>
        <v>25000000</v>
      </c>
      <c r="J330" s="7" t="n">
        <f aca="false">I330*S330*T330*U330</f>
        <v>27075000</v>
      </c>
      <c r="K330" s="3"/>
      <c r="L330" s="3"/>
      <c r="M330" s="3"/>
      <c r="N330" s="9" t="n">
        <v>0</v>
      </c>
      <c r="O330" s="4" t="n">
        <v>0</v>
      </c>
      <c r="P330" s="5" t="n">
        <f aca="false">IF(COUNTIF([1]Base_Jugadores!J$2:J$500,B330)&gt;0,1,0)</f>
        <v>0</v>
      </c>
      <c r="Q330" s="10" t="b">
        <f aca="false">--(COUNTIFS(
   [1]Fichajes_Realizados!A$2:A$5000,A330,
   [1]Fichajes_Realizados!G$2:G$5000,$X$3
)&gt;0)</f>
        <v>0</v>
      </c>
      <c r="R330" s="5" t="n">
        <f aca="false">_xlfn.XLOOKUP(C330, [1]Estado_Equipos!A$2:A$500, [1]Estado_Equipos!J$2:J$500, "")</f>
        <v>74</v>
      </c>
      <c r="S330" s="5" t="n">
        <f aca="false">IF(H330&lt;=16,1.45,
IF(H330&gt;=41,0.3,
CHOOSE(ROUNDDOWN((H330-16)/2,0)+1,
1.45,1.38,1.3,1.23,1.17,1.15,1.12,1.05,0.95,0.8,0.6,0.4,0.3)))</f>
        <v>0.95</v>
      </c>
      <c r="T330" s="5" t="n">
        <f aca="false">CHOOSE(N330+1,1.2,1,0.85,0.7)</f>
        <v>1.2</v>
      </c>
      <c r="U330" s="5" t="n">
        <f aca="false">IF(F330="PO",0.6,
IF(F330="CT",0.75,
IF(F330="LI",0.8,
IF(F330="LD",0.8,
IF(F330="MCD",0.85,
IF(F330="MC",0.95,
IF(F330="MO",1.05,
IF(F330="EI",1.1,
IF(F330="ED",1.1,
IF(F330="SD",1.15,
IF(F330="DC",1.2,0)))))))))))</f>
        <v>0.95</v>
      </c>
    </row>
    <row r="331" customFormat="false" ht="16.4" hidden="false" customHeight="false" outlineLevel="0" collapsed="false">
      <c r="A331" s="1" t="n">
        <v>330</v>
      </c>
      <c r="B331" s="5" t="str">
        <f aca="false">[1]Base_Jugadores!B331</f>
        <v>Takuma Asano</v>
      </c>
      <c r="C331" s="5" t="str">
        <f aca="false">IFERROR(
   _xlfn.XLOOKUP(VALUE(A331),[1]Fichajes_Realizados!A$2:A$50000,[1]Fichajes_Realizados!D$2:D$50000,,0,-1),
   _xlfn.XLOOKUP(VALUE(A331),[1]Base_Jugadores!A$2:A$50000,[1]Base_Jugadores!C$2:C$50000)
)</f>
        <v>RCD Mallorca</v>
      </c>
      <c r="D331" s="5" t="str">
        <f aca="false">[1]Base_Jugadores!D331</f>
        <v>Japón</v>
      </c>
      <c r="E331" s="3"/>
      <c r="F331" s="5" t="str">
        <f aca="false">[1]Base_Jugadores!E331</f>
        <v>ED</v>
      </c>
      <c r="G331" s="5" t="n">
        <f aca="false">[1]Base_Jugadores!F331</f>
        <v>75</v>
      </c>
      <c r="H331" s="5" t="n">
        <f aca="false">[1]Base_Jugadores!G331</f>
        <v>31</v>
      </c>
      <c r="I331" s="7" t="n">
        <f aca="false" t="array" ref="I331:I331">_xlfn.XLOOKUP(G331,{55;56;57;58;59;60;61;62;63;64;65;66;67;68;69;70;71;72;73;74;75;76;77;78;79;80;81;82;83;84;85;86;87;88;89;90;91;92;93;94;95;96;97;98;99},{100000;130000;160000;190000;220000;250000;300000;350000;400000;450000;500000;600000;700000;800000;900000;1000000;1500000;2000000;3000000;4000000;5000000;6500000;8000000;10000000;12500000;15000000;20000000;25000000;30000000;35000000;40000000;55000000;70000000;80000000;90000000;110000000;130000000;160000000;190000000;220000000;250000000;280000000;310000000;340000000;400000000})</f>
        <v>5000000</v>
      </c>
      <c r="J331" s="7" t="n">
        <f aca="false">I331*S331*T331*U331</f>
        <v>6930000</v>
      </c>
      <c r="K331" s="3"/>
      <c r="L331" s="3"/>
      <c r="M331" s="3"/>
      <c r="N331" s="9" t="n">
        <v>0</v>
      </c>
      <c r="O331" s="4" t="n">
        <v>0</v>
      </c>
      <c r="P331" s="5" t="n">
        <f aca="false">IF(COUNTIF([1]Base_Jugadores!J$2:J$500,B331)&gt;0,1,0)</f>
        <v>0</v>
      </c>
      <c r="Q331" s="10" t="b">
        <f aca="false">--(COUNTIFS(
   [1]Fichajes_Realizados!A$2:A$5000,A331,
   [1]Fichajes_Realizados!G$2:G$5000,$X$3
)&gt;0)</f>
        <v>0</v>
      </c>
      <c r="R331" s="5" t="n">
        <f aca="false">_xlfn.XLOOKUP(C331, [1]Estado_Equipos!A$2:A$500, [1]Estado_Equipos!J$2:J$500, "")</f>
        <v>74</v>
      </c>
      <c r="S331" s="5" t="n">
        <f aca="false">IF(H331&lt;=16,1.45,
IF(H331&gt;=41,0.3,
CHOOSE(ROUNDDOWN((H331-16)/2,0)+1,
1.45,1.38,1.3,1.23,1.17,1.15,1.12,1.05,0.95,0.8,0.6,0.4,0.3)))</f>
        <v>1.05</v>
      </c>
      <c r="T331" s="5" t="n">
        <f aca="false">CHOOSE(N331+1,1.2,1,0.85,0.7)</f>
        <v>1.2</v>
      </c>
      <c r="U331" s="5" t="n">
        <f aca="false">IF(F331="PO",0.6,
IF(F331="CT",0.75,
IF(F331="LI",0.8,
IF(F331="LD",0.8,
IF(F331="MCD",0.85,
IF(F331="MC",0.95,
IF(F331="MO",1.05,
IF(F331="EI",1.1,
IF(F331="ED",1.1,
IF(F331="SD",1.15,
IF(F331="DC",1.2,0)))))))))))</f>
        <v>1.1</v>
      </c>
    </row>
    <row r="332" customFormat="false" ht="16.4" hidden="false" customHeight="false" outlineLevel="0" collapsed="false">
      <c r="A332" s="1" t="n">
        <v>331</v>
      </c>
      <c r="B332" s="5" t="str">
        <f aca="false">[1]Base_Jugadores!B332</f>
        <v>Toni Lato</v>
      </c>
      <c r="C332" s="5" t="str">
        <f aca="false">IFERROR(
   _xlfn.XLOOKUP(VALUE(A332),[1]Fichajes_Realizados!A$2:A$50000,[1]Fichajes_Realizados!D$2:D$50000,,0,-1),
   _xlfn.XLOOKUP(VALUE(A332),[1]Base_Jugadores!A$2:A$50000,[1]Base_Jugadores!C$2:C$50000)
)</f>
        <v>RCD Mallorca</v>
      </c>
      <c r="D332" s="5" t="str">
        <f aca="false">[1]Base_Jugadores!D332</f>
        <v>España</v>
      </c>
      <c r="E332" s="3"/>
      <c r="F332" s="5" t="str">
        <f aca="false">[1]Base_Jugadores!E332</f>
        <v>LI</v>
      </c>
      <c r="G332" s="5" t="n">
        <f aca="false">[1]Base_Jugadores!F332</f>
        <v>74</v>
      </c>
      <c r="H332" s="5" t="n">
        <f aca="false">[1]Base_Jugadores!G332</f>
        <v>28</v>
      </c>
      <c r="I332" s="7" t="n">
        <f aca="false" t="array" ref="I332:I332">_xlfn.XLOOKUP(G332,{55;56;57;58;59;60;61;62;63;64;65;66;67;68;69;70;71;72;73;74;75;76;77;78;79;80;81;82;83;84;85;86;87;88;89;90;91;92;93;94;95;96;97;98;99},{100000;130000;160000;190000;220000;250000;300000;350000;400000;450000;500000;600000;700000;800000;900000;1000000;1500000;2000000;3000000;4000000;5000000;6500000;8000000;10000000;12500000;15000000;20000000;25000000;30000000;35000000;40000000;55000000;70000000;80000000;90000000;110000000;130000000;160000000;190000000;220000000;250000000;280000000;310000000;340000000;400000000})</f>
        <v>4000000</v>
      </c>
      <c r="J332" s="7" t="n">
        <f aca="false">I332*S332*T332*U332</f>
        <v>3584000</v>
      </c>
      <c r="K332" s="3"/>
      <c r="L332" s="3"/>
      <c r="M332" s="3"/>
      <c r="N332" s="9" t="n">
        <v>1</v>
      </c>
      <c r="O332" s="4" t="n">
        <v>0</v>
      </c>
      <c r="P332" s="5" t="n">
        <f aca="false">IF(COUNTIF([1]Base_Jugadores!J$2:J$500,B332)&gt;0,1,0)</f>
        <v>0</v>
      </c>
      <c r="Q332" s="10" t="b">
        <f aca="false">--(COUNTIFS(
   [1]Fichajes_Realizados!A$2:A$5000,A332,
   [1]Fichajes_Realizados!G$2:G$5000,$X$3
)&gt;0)</f>
        <v>0</v>
      </c>
      <c r="R332" s="5" t="n">
        <f aca="false">_xlfn.XLOOKUP(C332, [1]Estado_Equipos!A$2:A$500, [1]Estado_Equipos!J$2:J$500, "")</f>
        <v>74</v>
      </c>
      <c r="S332" s="5" t="n">
        <f aca="false">IF(H332&lt;=16,1.45,
IF(H332&gt;=41,0.3,
CHOOSE(ROUNDDOWN((H332-16)/2,0)+1,
1.45,1.38,1.3,1.23,1.17,1.15,1.12,1.05,0.95,0.8,0.6,0.4,0.3)))</f>
        <v>1.12</v>
      </c>
      <c r="T332" s="5" t="n">
        <f aca="false">CHOOSE(N332+1,1.2,1,0.85,0.7)</f>
        <v>1</v>
      </c>
      <c r="U332" s="5" t="n">
        <f aca="false">IF(F332="PO",0.6,
IF(F332="CT",0.75,
IF(F332="LI",0.8,
IF(F332="LD",0.8,
IF(F332="MCD",0.85,
IF(F332="MC",0.95,
IF(F332="MO",1.05,
IF(F332="EI",1.1,
IF(F332="ED",1.1,
IF(F332="SD",1.15,
IF(F332="DC",1.2,0)))))))))))</f>
        <v>0.8</v>
      </c>
    </row>
    <row r="333" customFormat="false" ht="16.4" hidden="false" customHeight="false" outlineLevel="0" collapsed="false">
      <c r="A333" s="1" t="n">
        <v>332</v>
      </c>
      <c r="B333" s="5" t="str">
        <f aca="false">[1]Base_Jugadores!B333</f>
        <v>Vedat Muriqi</v>
      </c>
      <c r="C333" s="5" t="str">
        <f aca="false">IFERROR(
   _xlfn.XLOOKUP(VALUE(A333),[1]Fichajes_Realizados!A$2:A$50000,[1]Fichajes_Realizados!D$2:D$50000,,0,-1),
   _xlfn.XLOOKUP(VALUE(A333),[1]Base_Jugadores!A$2:A$50000,[1]Base_Jugadores!C$2:C$50000)
)</f>
        <v>RCD Mallorca</v>
      </c>
      <c r="D333" s="5" t="str">
        <f aca="false">[1]Base_Jugadores!D333</f>
        <v>Kosovo</v>
      </c>
      <c r="E333" s="3"/>
      <c r="F333" s="5" t="str">
        <f aca="false">[1]Base_Jugadores!E333</f>
        <v>DC</v>
      </c>
      <c r="G333" s="5" t="n">
        <f aca="false">[1]Base_Jugadores!F333</f>
        <v>80</v>
      </c>
      <c r="H333" s="5" t="n">
        <f aca="false">[1]Base_Jugadores!G333</f>
        <v>31</v>
      </c>
      <c r="I333" s="7" t="n">
        <f aca="false" t="array" ref="I333:I333">_xlfn.XLOOKUP(G333,{55;56;57;58;59;60;61;62;63;64;65;66;67;68;69;70;71;72;73;74;75;76;77;78;79;80;81;82;83;84;85;86;87;88;89;90;91;92;93;94;95;96;97;98;99},{100000;130000;160000;190000;220000;250000;300000;350000;400000;450000;500000;600000;700000;800000;900000;1000000;1500000;2000000;3000000;4000000;5000000;6500000;8000000;10000000;12500000;15000000;20000000;25000000;30000000;35000000;40000000;55000000;70000000;80000000;90000000;110000000;130000000;160000000;190000000;220000000;250000000;280000000;310000000;340000000;400000000})</f>
        <v>15000000</v>
      </c>
      <c r="J333" s="7" t="n">
        <f aca="false">I333*S333*T333*U333</f>
        <v>22680000</v>
      </c>
      <c r="K333" s="3"/>
      <c r="L333" s="3"/>
      <c r="M333" s="3"/>
      <c r="N333" s="9" t="n">
        <v>0</v>
      </c>
      <c r="O333" s="4" t="n">
        <v>0</v>
      </c>
      <c r="P333" s="5" t="n">
        <f aca="false">IF(COUNTIF([1]Base_Jugadores!J$2:J$500,B333)&gt;0,1,0)</f>
        <v>0</v>
      </c>
      <c r="Q333" s="10" t="b">
        <f aca="false">--(COUNTIFS(
   [1]Fichajes_Realizados!A$2:A$5000,A333,
   [1]Fichajes_Realizados!G$2:G$5000,$X$3
)&gt;0)</f>
        <v>0</v>
      </c>
      <c r="R333" s="5" t="n">
        <f aca="false">_xlfn.XLOOKUP(C333, [1]Estado_Equipos!A$2:A$500, [1]Estado_Equipos!J$2:J$500, "")</f>
        <v>74</v>
      </c>
      <c r="S333" s="5" t="n">
        <f aca="false">IF(H333&lt;=16,1.45,
IF(H333&gt;=41,0.3,
CHOOSE(ROUNDDOWN((H333-16)/2,0)+1,
1.45,1.38,1.3,1.23,1.17,1.15,1.12,1.05,0.95,0.8,0.6,0.4,0.3)))</f>
        <v>1.05</v>
      </c>
      <c r="T333" s="5" t="n">
        <f aca="false">CHOOSE(N333+1,1.2,1,0.85,0.7)</f>
        <v>1.2</v>
      </c>
      <c r="U333" s="5" t="n">
        <f aca="false">IF(F333="PO",0.6,
IF(F333="CT",0.75,
IF(F333="LI",0.8,
IF(F333="LD",0.8,
IF(F333="MCD",0.85,
IF(F333="MC",0.95,
IF(F333="MO",1.05,
IF(F333="EI",1.1,
IF(F333="ED",1.1,
IF(F333="SD",1.15,
IF(F333="DC",1.2,0)))))))))))</f>
        <v>1.2</v>
      </c>
    </row>
    <row r="334" customFormat="false" ht="16.4" hidden="false" customHeight="false" outlineLevel="0" collapsed="false">
      <c r="A334" s="1" t="n">
        <v>333</v>
      </c>
      <c r="B334" s="5" t="str">
        <f aca="false">[1]Base_Jugadores!B334</f>
        <v>Adri Giménez</v>
      </c>
      <c r="C334" s="5" t="str">
        <f aca="false">IFERROR(
   _xlfn.XLOOKUP(VALUE(A334),[1]Fichajes_Realizados!A$2:A$50000,[1]Fichajes_Realizados!D$2:D$50000,,0,-1),
   _xlfn.XLOOKUP(VALUE(A334),[1]Base_Jugadores!A$2:A$50000,[1]Base_Jugadores!C$2:C$50000)
)</f>
        <v>Mercadona FC</v>
      </c>
      <c r="D334" s="5" t="str">
        <f aca="false">[1]Base_Jugadores!D334</f>
        <v>Argentina</v>
      </c>
      <c r="E334" s="3"/>
      <c r="F334" s="5" t="str">
        <f aca="false">[1]Base_Jugadores!E334</f>
        <v>ED</v>
      </c>
      <c r="G334" s="5" t="n">
        <f aca="false">[1]Base_Jugadores!F334</f>
        <v>82</v>
      </c>
      <c r="H334" s="5" t="n">
        <f aca="false">[1]Base_Jugadores!G334</f>
        <v>30</v>
      </c>
      <c r="I334" s="7" t="n">
        <f aca="false" t="array" ref="I334:I334">_xlfn.XLOOKUP(G334,{55;56;57;58;59;60;61;62;63;64;65;66;67;68;69;70;71;72;73;74;75;76;77;78;79;80;81;82;83;84;85;86;87;88;89;90;91;92;93;94;95;96;97;98;99},{100000;130000;160000;190000;220000;250000;300000;350000;400000;450000;500000;600000;700000;800000;900000;1000000;1500000;2000000;3000000;4000000;5000000;6500000;8000000;10000000;12500000;15000000;20000000;25000000;30000000;35000000;40000000;55000000;70000000;80000000;90000000;110000000;130000000;160000000;190000000;220000000;250000000;280000000;310000000;340000000;400000000})</f>
        <v>25000000</v>
      </c>
      <c r="J334" s="7" t="n">
        <f aca="false">I334*S334*T334*U334</f>
        <v>34650000</v>
      </c>
      <c r="K334" s="3"/>
      <c r="L334" s="3"/>
      <c r="M334" s="3"/>
      <c r="N334" s="9" t="n">
        <v>0</v>
      </c>
      <c r="O334" s="4" t="n">
        <v>0</v>
      </c>
      <c r="P334" s="5" t="n">
        <f aca="false">IF(COUNTIF([1]Base_Jugadores!J$2:J$500,B334)&gt;0,1,0)</f>
        <v>0</v>
      </c>
      <c r="Q334" s="10" t="b">
        <f aca="false">--(COUNTIFS(
   [1]Fichajes_Realizados!A$2:A$5000,A334,
   [1]Fichajes_Realizados!G$2:G$5000,$X$3
)&gt;0)</f>
        <v>0</v>
      </c>
      <c r="R334" s="5" t="n">
        <f aca="false">_xlfn.XLOOKUP(C334, [1]Estado_Equipos!A$2:A$500, [1]Estado_Equipos!J$2:J$500, "")</f>
        <v>74</v>
      </c>
      <c r="S334" s="5" t="n">
        <f aca="false">IF(H334&lt;=16,1.45,
IF(H334&gt;=41,0.3,
CHOOSE(ROUNDDOWN((H334-16)/2,0)+1,
1.45,1.38,1.3,1.23,1.17,1.15,1.12,1.05,0.95,0.8,0.6,0.4,0.3)))</f>
        <v>1.05</v>
      </c>
      <c r="T334" s="5" t="n">
        <f aca="false">CHOOSE(N334+1,1.2,1,0.85,0.7)</f>
        <v>1.2</v>
      </c>
      <c r="U334" s="5" t="n">
        <f aca="false">IF(F334="PO",0.6,
IF(F334="CT",0.75,
IF(F334="LI",0.8,
IF(F334="LD",0.8,
IF(F334="MCD",0.85,
IF(F334="MC",0.95,
IF(F334="MO",1.05,
IF(F334="EI",1.1,
IF(F334="ED",1.1,
IF(F334="SD",1.15,
IF(F334="DC",1.2,0)))))))))))</f>
        <v>1.1</v>
      </c>
    </row>
    <row r="335" customFormat="false" ht="16.4" hidden="false" customHeight="false" outlineLevel="0" collapsed="false">
      <c r="A335" s="1" t="n">
        <v>334</v>
      </c>
      <c r="B335" s="5" t="str">
        <f aca="false">[1]Base_Jugadores!B335</f>
        <v>Aitor Alhaja</v>
      </c>
      <c r="C335" s="5" t="str">
        <f aca="false">IFERROR(
   _xlfn.XLOOKUP(VALUE(A335),[1]Fichajes_Realizados!A$2:A$50000,[1]Fichajes_Realizados!D$2:D$50000,,0,-1),
   _xlfn.XLOOKUP(VALUE(A335),[1]Base_Jugadores!A$2:A$50000,[1]Base_Jugadores!C$2:C$50000)
)</f>
        <v>Mercadona FC</v>
      </c>
      <c r="D335" s="5" t="str">
        <f aca="false">[1]Base_Jugadores!D335</f>
        <v>Alemania</v>
      </c>
      <c r="E335" s="3"/>
      <c r="F335" s="5" t="str">
        <f aca="false">[1]Base_Jugadores!E335</f>
        <v>EI</v>
      </c>
      <c r="G335" s="5" t="n">
        <f aca="false">[1]Base_Jugadores!F335</f>
        <v>77</v>
      </c>
      <c r="H335" s="5" t="n">
        <f aca="false">[1]Base_Jugadores!G335</f>
        <v>32</v>
      </c>
      <c r="I335" s="7" t="n">
        <f aca="false" t="array" ref="I335:I335">_xlfn.XLOOKUP(G335,{55;56;57;58;59;60;61;62;63;64;65;66;67;68;69;70;71;72;73;74;75;76;77;78;79;80;81;82;83;84;85;86;87;88;89;90;91;92;93;94;95;96;97;98;99},{100000;130000;160000;190000;220000;250000;300000;350000;400000;450000;500000;600000;700000;800000;900000;1000000;1500000;2000000;3000000;4000000;5000000;6500000;8000000;10000000;12500000;15000000;20000000;25000000;30000000;35000000;40000000;55000000;70000000;80000000;90000000;110000000;130000000;160000000;190000000;220000000;250000000;280000000;310000000;340000000;400000000})</f>
        <v>8000000</v>
      </c>
      <c r="J335" s="7" t="n">
        <f aca="false">I335*S335*T335*U335</f>
        <v>10032000</v>
      </c>
      <c r="K335" s="3"/>
      <c r="L335" s="3"/>
      <c r="M335" s="3"/>
      <c r="N335" s="9" t="n">
        <v>0</v>
      </c>
      <c r="O335" s="4" t="n">
        <v>0</v>
      </c>
      <c r="P335" s="5" t="n">
        <f aca="false">IF(COUNTIF([1]Base_Jugadores!J$2:J$500,B335)&gt;0,1,0)</f>
        <v>0</v>
      </c>
      <c r="Q335" s="10" t="b">
        <f aca="false">--(COUNTIFS(
   [1]Fichajes_Realizados!A$2:A$5000,A335,
   [1]Fichajes_Realizados!G$2:G$5000,$X$3
)&gt;0)</f>
        <v>0</v>
      </c>
      <c r="R335" s="5" t="n">
        <f aca="false">_xlfn.XLOOKUP(C335, [1]Estado_Equipos!A$2:A$500, [1]Estado_Equipos!J$2:J$500, "")</f>
        <v>74</v>
      </c>
      <c r="S335" s="5" t="n">
        <f aca="false">IF(H335&lt;=16,1.45,
IF(H335&gt;=41,0.3,
CHOOSE(ROUNDDOWN((H335-16)/2,0)+1,
1.45,1.38,1.3,1.23,1.17,1.15,1.12,1.05,0.95,0.8,0.6,0.4,0.3)))</f>
        <v>0.95</v>
      </c>
      <c r="T335" s="5" t="n">
        <f aca="false">CHOOSE(N335+1,1.2,1,0.85,0.7)</f>
        <v>1.2</v>
      </c>
      <c r="U335" s="5" t="n">
        <f aca="false">IF(F335="PO",0.6,
IF(F335="CT",0.75,
IF(F335="LI",0.8,
IF(F335="LD",0.8,
IF(F335="MCD",0.85,
IF(F335="MC",0.95,
IF(F335="MO",1.05,
IF(F335="EI",1.1,
IF(F335="ED",1.1,
IF(F335="SD",1.15,
IF(F335="DC",1.2,0)))))))))))</f>
        <v>1.1</v>
      </c>
    </row>
    <row r="336" customFormat="false" ht="16.4" hidden="false" customHeight="false" outlineLevel="0" collapsed="false">
      <c r="A336" s="1" t="n">
        <v>335</v>
      </c>
      <c r="B336" s="5" t="str">
        <f aca="false">[1]Base_Jugadores!B336</f>
        <v>Albert Ortega</v>
      </c>
      <c r="C336" s="5" t="str">
        <f aca="false">IFERROR(
   _xlfn.XLOOKUP(VALUE(A336),[1]Fichajes_Realizados!A$2:A$50000,[1]Fichajes_Realizados!D$2:D$50000,,0,-1),
   _xlfn.XLOOKUP(VALUE(A336),[1]Base_Jugadores!A$2:A$50000,[1]Base_Jugadores!C$2:C$50000)
)</f>
        <v>Mercadona FC</v>
      </c>
      <c r="D336" s="5" t="str">
        <f aca="false">[1]Base_Jugadores!D336</f>
        <v>España</v>
      </c>
      <c r="E336" s="3"/>
      <c r="F336" s="5" t="str">
        <f aca="false">[1]Base_Jugadores!E336</f>
        <v>MCD</v>
      </c>
      <c r="G336" s="5" t="n">
        <f aca="false">[1]Base_Jugadores!F336</f>
        <v>79</v>
      </c>
      <c r="H336" s="5" t="n">
        <f aca="false">[1]Base_Jugadores!G336</f>
        <v>34</v>
      </c>
      <c r="I336" s="7" t="n">
        <f aca="false" t="array" ref="I336:I336">_xlfn.XLOOKUP(G336,{55;56;57;58;59;60;61;62;63;64;65;66;67;68;69;70;71;72;73;74;75;76;77;78;79;80;81;82;83;84;85;86;87;88;89;90;91;92;93;94;95;96;97;98;99},{100000;130000;160000;190000;220000;250000;300000;350000;400000;450000;500000;600000;700000;800000;900000;1000000;1500000;2000000;3000000;4000000;5000000;6500000;8000000;10000000;12500000;15000000;20000000;25000000;30000000;35000000;40000000;55000000;70000000;80000000;90000000;110000000;130000000;160000000;190000000;220000000;250000000;280000000;310000000;340000000;400000000})</f>
        <v>12500000</v>
      </c>
      <c r="J336" s="7" t="n">
        <f aca="false">I336*S336*T336*U336</f>
        <v>10200000</v>
      </c>
      <c r="K336" s="3"/>
      <c r="L336" s="3"/>
      <c r="M336" s="3"/>
      <c r="N336" s="9" t="n">
        <v>0</v>
      </c>
      <c r="O336" s="4" t="n">
        <v>0</v>
      </c>
      <c r="P336" s="5" t="n">
        <f aca="false">IF(COUNTIF([1]Base_Jugadores!J$2:J$500,B336)&gt;0,1,0)</f>
        <v>0</v>
      </c>
      <c r="Q336" s="10" t="b">
        <f aca="false">--(COUNTIFS(
   [1]Fichajes_Realizados!A$2:A$5000,A336,
   [1]Fichajes_Realizados!G$2:G$5000,$X$3
)&gt;0)</f>
        <v>0</v>
      </c>
      <c r="R336" s="5" t="n">
        <f aca="false">_xlfn.XLOOKUP(C336, [1]Estado_Equipos!A$2:A$500, [1]Estado_Equipos!J$2:J$500, "")</f>
        <v>74</v>
      </c>
      <c r="S336" s="5" t="n">
        <f aca="false">IF(H336&lt;=16,1.45,
IF(H336&gt;=41,0.3,
CHOOSE(ROUNDDOWN((H336-16)/2,0)+1,
1.45,1.38,1.3,1.23,1.17,1.15,1.12,1.05,0.95,0.8,0.6,0.4,0.3)))</f>
        <v>0.8</v>
      </c>
      <c r="T336" s="5" t="n">
        <f aca="false">CHOOSE(N336+1,1.2,1,0.85,0.7)</f>
        <v>1.2</v>
      </c>
      <c r="U336" s="5" t="n">
        <f aca="false">IF(F336="PO",0.6,
IF(F336="CT",0.75,
IF(F336="LI",0.8,
IF(F336="LD",0.8,
IF(F336="MCD",0.85,
IF(F336="MC",0.95,
IF(F336="MO",1.05,
IF(F336="EI",1.1,
IF(F336="ED",1.1,
IF(F336="SD",1.15,
IF(F336="DC",1.2,0)))))))))))</f>
        <v>0.85</v>
      </c>
    </row>
    <row r="337" customFormat="false" ht="16.4" hidden="false" customHeight="false" outlineLevel="0" collapsed="false">
      <c r="A337" s="1" t="n">
        <v>336</v>
      </c>
      <c r="B337" s="5" t="str">
        <f aca="false">[1]Base_Jugadores!B337</f>
        <v>Antonio Molano</v>
      </c>
      <c r="C337" s="5" t="str">
        <f aca="false">IFERROR(
   _xlfn.XLOOKUP(VALUE(A337),[1]Fichajes_Realizados!A$2:A$50000,[1]Fichajes_Realizados!D$2:D$50000,,0,-1),
   _xlfn.XLOOKUP(VALUE(A337),[1]Base_Jugadores!A$2:A$50000,[1]Base_Jugadores!C$2:C$50000)
)</f>
        <v>Mercadona FC</v>
      </c>
      <c r="D337" s="5" t="str">
        <f aca="false">[1]Base_Jugadores!D337</f>
        <v>Ecuador</v>
      </c>
      <c r="E337" s="3"/>
      <c r="F337" s="5" t="str">
        <f aca="false">[1]Base_Jugadores!E337</f>
        <v>EI</v>
      </c>
      <c r="G337" s="5" t="n">
        <f aca="false">[1]Base_Jugadores!F337</f>
        <v>74</v>
      </c>
      <c r="H337" s="5" t="n">
        <f aca="false">[1]Base_Jugadores!G337</f>
        <v>31</v>
      </c>
      <c r="I337" s="7" t="n">
        <f aca="false" t="array" ref="I337:I337">_xlfn.XLOOKUP(G337,{55;56;57;58;59;60;61;62;63;64;65;66;67;68;69;70;71;72;73;74;75;76;77;78;79;80;81;82;83;84;85;86;87;88;89;90;91;92;93;94;95;96;97;98;99},{100000;130000;160000;190000;220000;250000;300000;350000;400000;450000;500000;600000;700000;800000;900000;1000000;1500000;2000000;3000000;4000000;5000000;6500000;8000000;10000000;12500000;15000000;20000000;25000000;30000000;35000000;40000000;55000000;70000000;80000000;90000000;110000000;130000000;160000000;190000000;220000000;250000000;280000000;310000000;340000000;400000000})</f>
        <v>4000000</v>
      </c>
      <c r="J337" s="7" t="n">
        <f aca="false">I337*S337*T337*U337</f>
        <v>4620000</v>
      </c>
      <c r="K337" s="3"/>
      <c r="L337" s="3"/>
      <c r="M337" s="3"/>
      <c r="N337" s="9" t="n">
        <v>1</v>
      </c>
      <c r="O337" s="4" t="n">
        <v>0</v>
      </c>
      <c r="P337" s="5" t="n">
        <f aca="false">IF(COUNTIF([1]Base_Jugadores!J$2:J$500,B337)&gt;0,1,0)</f>
        <v>0</v>
      </c>
      <c r="Q337" s="10" t="b">
        <f aca="false">--(COUNTIFS(
   [1]Fichajes_Realizados!A$2:A$5000,A337,
   [1]Fichajes_Realizados!G$2:G$5000,$X$3
)&gt;0)</f>
        <v>0</v>
      </c>
      <c r="R337" s="5" t="n">
        <f aca="false">_xlfn.XLOOKUP(C337, [1]Estado_Equipos!A$2:A$500, [1]Estado_Equipos!J$2:J$500, "")</f>
        <v>74</v>
      </c>
      <c r="S337" s="5" t="n">
        <f aca="false">IF(H337&lt;=16,1.45,
IF(H337&gt;=41,0.3,
CHOOSE(ROUNDDOWN((H337-16)/2,0)+1,
1.45,1.38,1.3,1.23,1.17,1.15,1.12,1.05,0.95,0.8,0.6,0.4,0.3)))</f>
        <v>1.05</v>
      </c>
      <c r="T337" s="5" t="n">
        <f aca="false">CHOOSE(N337+1,1.2,1,0.85,0.7)</f>
        <v>1</v>
      </c>
      <c r="U337" s="5" t="n">
        <f aca="false">IF(F337="PO",0.6,
IF(F337="CT",0.75,
IF(F337="LI",0.8,
IF(F337="LD",0.8,
IF(F337="MCD",0.85,
IF(F337="MC",0.95,
IF(F337="MO",1.05,
IF(F337="EI",1.1,
IF(F337="ED",1.1,
IF(F337="SD",1.15,
IF(F337="DC",1.2,0)))))))))))</f>
        <v>1.1</v>
      </c>
    </row>
    <row r="338" customFormat="false" ht="16.4" hidden="false" customHeight="false" outlineLevel="0" collapsed="false">
      <c r="A338" s="1" t="n">
        <v>337</v>
      </c>
      <c r="B338" s="5" t="str">
        <f aca="false">[1]Base_Jugadores!B338</f>
        <v>Botella</v>
      </c>
      <c r="C338" s="5" t="str">
        <f aca="false">IFERROR(
   _xlfn.XLOOKUP(VALUE(A338),[1]Fichajes_Realizados!A$2:A$50000,[1]Fichajes_Realizados!D$2:D$50000,,0,-1),
   _xlfn.XLOOKUP(VALUE(A338),[1]Base_Jugadores!A$2:A$50000,[1]Base_Jugadores!C$2:C$50000)
)</f>
        <v>Mercadona FC</v>
      </c>
      <c r="D338" s="5" t="str">
        <f aca="false">[1]Base_Jugadores!D338</f>
        <v>Eslovaquia</v>
      </c>
      <c r="E338" s="3"/>
      <c r="F338" s="5" t="str">
        <f aca="false">[1]Base_Jugadores!E338</f>
        <v>CT</v>
      </c>
      <c r="G338" s="5" t="n">
        <f aca="false">[1]Base_Jugadores!F338</f>
        <v>70</v>
      </c>
      <c r="H338" s="5" t="n">
        <f aca="false">[1]Base_Jugadores!G338</f>
        <v>41</v>
      </c>
      <c r="I338" s="7" t="n">
        <f aca="false" t="array" ref="I338:I338">_xlfn.XLOOKUP(G338,{55;56;57;58;59;60;61;62;63;64;65;66;67;68;69;70;71;72;73;74;75;76;77;78;79;80;81;82;83;84;85;86;87;88;89;90;91;92;93;94;95;96;97;98;99},{100000;130000;160000;190000;220000;250000;300000;350000;400000;450000;500000;600000;700000;800000;900000;1000000;1500000;2000000;3000000;4000000;5000000;6500000;8000000;10000000;12500000;15000000;20000000;25000000;30000000;35000000;40000000;55000000;70000000;80000000;90000000;110000000;130000000;160000000;190000000;220000000;250000000;280000000;310000000;340000000;400000000})</f>
        <v>1000000</v>
      </c>
      <c r="J338" s="7" t="n">
        <f aca="false">I338*S338*T338*U338</f>
        <v>191250</v>
      </c>
      <c r="K338" s="3"/>
      <c r="L338" s="3"/>
      <c r="M338" s="3"/>
      <c r="N338" s="9" t="n">
        <v>2</v>
      </c>
      <c r="O338" s="4" t="n">
        <v>0</v>
      </c>
      <c r="P338" s="5" t="n">
        <f aca="false">IF(COUNTIF([1]Base_Jugadores!J$2:J$500,B338)&gt;0,1,0)</f>
        <v>0</v>
      </c>
      <c r="Q338" s="10" t="b">
        <f aca="false">--(COUNTIFS(
   [1]Fichajes_Realizados!A$2:A$5000,A338,
   [1]Fichajes_Realizados!G$2:G$5000,$X$3
)&gt;0)</f>
        <v>0</v>
      </c>
      <c r="R338" s="5" t="n">
        <f aca="false">_xlfn.XLOOKUP(C338, [1]Estado_Equipos!A$2:A$500, [1]Estado_Equipos!J$2:J$500, "")</f>
        <v>74</v>
      </c>
      <c r="S338" s="5" t="n">
        <f aca="false">IF(H338&lt;=16,1.45,
IF(H338&gt;=41,0.3,
CHOOSE(ROUNDDOWN((H338-16)/2,0)+1,
1.45,1.38,1.3,1.23,1.17,1.15,1.12,1.05,0.95,0.8,0.6,0.4,0.3)))</f>
        <v>0.3</v>
      </c>
      <c r="T338" s="5" t="n">
        <f aca="false">CHOOSE(N338+1,1.2,1,0.85,0.7)</f>
        <v>0.85</v>
      </c>
      <c r="U338" s="5" t="n">
        <f aca="false">IF(F338="PO",0.6,
IF(F338="CT",0.75,
IF(F338="LI",0.8,
IF(F338="LD",0.8,
IF(F338="MCD",0.85,
IF(F338="MC",0.95,
IF(F338="MO",1.05,
IF(F338="EI",1.1,
IF(F338="ED",1.1,
IF(F338="SD",1.15,
IF(F338="DC",1.2,0)))))))))))</f>
        <v>0.75</v>
      </c>
    </row>
    <row r="339" customFormat="false" ht="16.4" hidden="false" customHeight="false" outlineLevel="0" collapsed="false">
      <c r="A339" s="1" t="n">
        <v>338</v>
      </c>
      <c r="B339" s="5" t="str">
        <f aca="false">[1]Base_Jugadores!B339</f>
        <v>Carlos Gutiérrez</v>
      </c>
      <c r="C339" s="5" t="str">
        <f aca="false">IFERROR(
   _xlfn.XLOOKUP(VALUE(A339),[1]Fichajes_Realizados!A$2:A$50000,[1]Fichajes_Realizados!D$2:D$50000,,0,-1),
   _xlfn.XLOOKUP(VALUE(A339),[1]Base_Jugadores!A$2:A$50000,[1]Base_Jugadores!C$2:C$50000)
)</f>
        <v>Mercadona FC</v>
      </c>
      <c r="D339" s="5" t="str">
        <f aca="false">[1]Base_Jugadores!D339</f>
        <v>Bélgica</v>
      </c>
      <c r="E339" s="3"/>
      <c r="F339" s="5" t="str">
        <f aca="false">[1]Base_Jugadores!E339</f>
        <v>DC</v>
      </c>
      <c r="G339" s="5" t="n">
        <f aca="false">[1]Base_Jugadores!F339</f>
        <v>77</v>
      </c>
      <c r="H339" s="5" t="n">
        <f aca="false">[1]Base_Jugadores!G339</f>
        <v>28</v>
      </c>
      <c r="I339" s="7" t="n">
        <f aca="false" t="array" ref="I339:I339">_xlfn.XLOOKUP(G339,{55;56;57;58;59;60;61;62;63;64;65;66;67;68;69;70;71;72;73;74;75;76;77;78;79;80;81;82;83;84;85;86;87;88;89;90;91;92;93;94;95;96;97;98;99},{100000;130000;160000;190000;220000;250000;300000;350000;400000;450000;500000;600000;700000;800000;900000;1000000;1500000;2000000;3000000;4000000;5000000;6500000;8000000;10000000;12500000;15000000;20000000;25000000;30000000;35000000;40000000;55000000;70000000;80000000;90000000;110000000;130000000;160000000;190000000;220000000;250000000;280000000;310000000;340000000;400000000})</f>
        <v>8000000</v>
      </c>
      <c r="J339" s="7" t="n">
        <f aca="false">I339*S339*T339*U339</f>
        <v>12902400</v>
      </c>
      <c r="K339" s="3"/>
      <c r="L339" s="3"/>
      <c r="M339" s="3"/>
      <c r="N339" s="9" t="n">
        <v>0</v>
      </c>
      <c r="O339" s="4" t="n">
        <v>0</v>
      </c>
      <c r="P339" s="5" t="n">
        <f aca="false">IF(COUNTIF([1]Base_Jugadores!J$2:J$500,B339)&gt;0,1,0)</f>
        <v>0</v>
      </c>
      <c r="Q339" s="10" t="b">
        <f aca="false">--(COUNTIFS(
   [1]Fichajes_Realizados!A$2:A$5000,A339,
   [1]Fichajes_Realizados!G$2:G$5000,$X$3
)&gt;0)</f>
        <v>0</v>
      </c>
      <c r="R339" s="5" t="n">
        <f aca="false">_xlfn.XLOOKUP(C339, [1]Estado_Equipos!A$2:A$500, [1]Estado_Equipos!J$2:J$500, "")</f>
        <v>74</v>
      </c>
      <c r="S339" s="5" t="n">
        <f aca="false">IF(H339&lt;=16,1.45,
IF(H339&gt;=41,0.3,
CHOOSE(ROUNDDOWN((H339-16)/2,0)+1,
1.45,1.38,1.3,1.23,1.17,1.15,1.12,1.05,0.95,0.8,0.6,0.4,0.3)))</f>
        <v>1.12</v>
      </c>
      <c r="T339" s="5" t="n">
        <f aca="false">CHOOSE(N339+1,1.2,1,0.85,0.7)</f>
        <v>1.2</v>
      </c>
      <c r="U339" s="5" t="n">
        <f aca="false">IF(F339="PO",0.6,
IF(F339="CT",0.75,
IF(F339="LI",0.8,
IF(F339="LD",0.8,
IF(F339="MCD",0.85,
IF(F339="MC",0.95,
IF(F339="MO",1.05,
IF(F339="EI",1.1,
IF(F339="ED",1.1,
IF(F339="SD",1.15,
IF(F339="DC",1.2,0)))))))))))</f>
        <v>1.2</v>
      </c>
    </row>
    <row r="340" customFormat="false" ht="16.4" hidden="false" customHeight="false" outlineLevel="0" collapsed="false">
      <c r="A340" s="1" t="n">
        <v>339</v>
      </c>
      <c r="B340" s="5" t="str">
        <f aca="false">[1]Base_Jugadores!B340</f>
        <v>David Pablo</v>
      </c>
      <c r="C340" s="5" t="str">
        <f aca="false">IFERROR(
   _xlfn.XLOOKUP(VALUE(A340),[1]Fichajes_Realizados!A$2:A$50000,[1]Fichajes_Realizados!D$2:D$50000,,0,-1),
   _xlfn.XLOOKUP(VALUE(A340),[1]Base_Jugadores!A$2:A$50000,[1]Base_Jugadores!C$2:C$50000)
)</f>
        <v>Mercadona FC</v>
      </c>
      <c r="D340" s="5" t="str">
        <f aca="false">[1]Base_Jugadores!D340</f>
        <v>Italia</v>
      </c>
      <c r="E340" s="3"/>
      <c r="F340" s="5" t="str">
        <f aca="false">[1]Base_Jugadores!E340</f>
        <v>LD</v>
      </c>
      <c r="G340" s="5" t="n">
        <f aca="false">[1]Base_Jugadores!F340</f>
        <v>67</v>
      </c>
      <c r="H340" s="5" t="n">
        <f aca="false">[1]Base_Jugadores!G340</f>
        <v>36</v>
      </c>
      <c r="I340" s="7" t="n">
        <f aca="false" t="array" ref="I340:I340">_xlfn.XLOOKUP(G340,{55;56;57;58;59;60;61;62;63;64;65;66;67;68;69;70;71;72;73;74;75;76;77;78;79;80;81;82;83;84;85;86;87;88;89;90;91;92;93;94;95;96;97;98;99},{100000;130000;160000;190000;220000;250000;300000;350000;400000;450000;500000;600000;700000;800000;900000;1000000;1500000;2000000;3000000;4000000;5000000;6500000;8000000;10000000;12500000;15000000;20000000;25000000;30000000;35000000;40000000;55000000;70000000;80000000;90000000;110000000;130000000;160000000;190000000;220000000;250000000;280000000;310000000;340000000;400000000})</f>
        <v>700000</v>
      </c>
      <c r="J340" s="7" t="n">
        <f aca="false">I340*S340*T340*U340</f>
        <v>285600</v>
      </c>
      <c r="K340" s="3"/>
      <c r="L340" s="3"/>
      <c r="M340" s="3"/>
      <c r="N340" s="9" t="n">
        <v>2</v>
      </c>
      <c r="O340" s="4" t="n">
        <v>0</v>
      </c>
      <c r="P340" s="5" t="n">
        <f aca="false">IF(COUNTIF([1]Base_Jugadores!J$2:J$500,B340)&gt;0,1,0)</f>
        <v>0</v>
      </c>
      <c r="Q340" s="10" t="b">
        <f aca="false">--(COUNTIFS(
   [1]Fichajes_Realizados!A$2:A$5000,A340,
   [1]Fichajes_Realizados!G$2:G$5000,$X$3
)&gt;0)</f>
        <v>0</v>
      </c>
      <c r="R340" s="5" t="n">
        <f aca="false">_xlfn.XLOOKUP(C340, [1]Estado_Equipos!A$2:A$500, [1]Estado_Equipos!J$2:J$500, "")</f>
        <v>74</v>
      </c>
      <c r="S340" s="5" t="n">
        <f aca="false">IF(H340&lt;=16,1.45,
IF(H340&gt;=41,0.3,
CHOOSE(ROUNDDOWN((H340-16)/2,0)+1,
1.45,1.38,1.3,1.23,1.17,1.15,1.12,1.05,0.95,0.8,0.6,0.4,0.3)))</f>
        <v>0.6</v>
      </c>
      <c r="T340" s="5" t="n">
        <f aca="false">CHOOSE(N340+1,1.2,1,0.85,0.7)</f>
        <v>0.85</v>
      </c>
      <c r="U340" s="5" t="n">
        <f aca="false">IF(F340="PO",0.6,
IF(F340="CT",0.75,
IF(F340="LI",0.8,
IF(F340="LD",0.8,
IF(F340="MCD",0.85,
IF(F340="MC",0.95,
IF(F340="MO",1.05,
IF(F340="EI",1.1,
IF(F340="ED",1.1,
IF(F340="SD",1.15,
IF(F340="DC",1.2,0)))))))))))</f>
        <v>0.8</v>
      </c>
    </row>
    <row r="341" customFormat="false" ht="16.4" hidden="false" customHeight="false" outlineLevel="0" collapsed="false">
      <c r="A341" s="1" t="n">
        <v>340</v>
      </c>
      <c r="B341" s="5" t="str">
        <f aca="false">[1]Base_Jugadores!B341</f>
        <v>Encargao Manolo</v>
      </c>
      <c r="C341" s="5" t="str">
        <f aca="false">IFERROR(
   _xlfn.XLOOKUP(VALUE(A341),[1]Fichajes_Realizados!A$2:A$50000,[1]Fichajes_Realizados!D$2:D$50000,,0,-1),
   _xlfn.XLOOKUP(VALUE(A341),[1]Base_Jugadores!A$2:A$50000,[1]Base_Jugadores!C$2:C$50000)
)</f>
        <v>Mercadona FC</v>
      </c>
      <c r="D341" s="5" t="str">
        <f aca="false">[1]Base_Jugadores!D341</f>
        <v>Grecia</v>
      </c>
      <c r="E341" s="3"/>
      <c r="F341" s="5" t="str">
        <f aca="false">[1]Base_Jugadores!E341</f>
        <v>SD</v>
      </c>
      <c r="G341" s="5" t="n">
        <f aca="false">[1]Base_Jugadores!F341</f>
        <v>75</v>
      </c>
      <c r="H341" s="5" t="n">
        <f aca="false">[1]Base_Jugadores!G341</f>
        <v>30</v>
      </c>
      <c r="I341" s="7" t="n">
        <f aca="false" t="array" ref="I341:I341">_xlfn.XLOOKUP(G341,{55;56;57;58;59;60;61;62;63;64;65;66;67;68;69;70;71;72;73;74;75;76;77;78;79;80;81;82;83;84;85;86;87;88;89;90;91;92;93;94;95;96;97;98;99},{100000;130000;160000;190000;220000;250000;300000;350000;400000;450000;500000;600000;700000;800000;900000;1000000;1500000;2000000;3000000;4000000;5000000;6500000;8000000;10000000;12500000;15000000;20000000;25000000;30000000;35000000;40000000;55000000;70000000;80000000;90000000;110000000;130000000;160000000;190000000;220000000;250000000;280000000;310000000;340000000;400000000})</f>
        <v>5000000</v>
      </c>
      <c r="J341" s="7" t="n">
        <f aca="false">I341*S341*T341*U341</f>
        <v>6037500</v>
      </c>
      <c r="K341" s="3"/>
      <c r="L341" s="3"/>
      <c r="M341" s="3"/>
      <c r="N341" s="9" t="n">
        <v>1</v>
      </c>
      <c r="O341" s="4" t="n">
        <v>0</v>
      </c>
      <c r="P341" s="5" t="n">
        <f aca="false">IF(COUNTIF([1]Base_Jugadores!J$2:J$500,B341)&gt;0,1,0)</f>
        <v>0</v>
      </c>
      <c r="Q341" s="10" t="b">
        <f aca="false">--(COUNTIFS(
   [1]Fichajes_Realizados!A$2:A$5000,A341,
   [1]Fichajes_Realizados!G$2:G$5000,$X$3
)&gt;0)</f>
        <v>0</v>
      </c>
      <c r="R341" s="5" t="n">
        <f aca="false">_xlfn.XLOOKUP(C341, [1]Estado_Equipos!A$2:A$500, [1]Estado_Equipos!J$2:J$500, "")</f>
        <v>74</v>
      </c>
      <c r="S341" s="5" t="n">
        <f aca="false">IF(H341&lt;=16,1.45,
IF(H341&gt;=41,0.3,
CHOOSE(ROUNDDOWN((H341-16)/2,0)+1,
1.45,1.38,1.3,1.23,1.17,1.15,1.12,1.05,0.95,0.8,0.6,0.4,0.3)))</f>
        <v>1.05</v>
      </c>
      <c r="T341" s="5" t="n">
        <f aca="false">CHOOSE(N341+1,1.2,1,0.85,0.7)</f>
        <v>1</v>
      </c>
      <c r="U341" s="5" t="n">
        <f aca="false">IF(F341="PO",0.6,
IF(F341="CT",0.75,
IF(F341="LI",0.8,
IF(F341="LD",0.8,
IF(F341="MCD",0.85,
IF(F341="MC",0.95,
IF(F341="MO",1.05,
IF(F341="EI",1.1,
IF(F341="ED",1.1,
IF(F341="SD",1.15,
IF(F341="DC",1.2,0)))))))))))</f>
        <v>1.15</v>
      </c>
    </row>
    <row r="342" customFormat="false" ht="16.4" hidden="false" customHeight="false" outlineLevel="0" collapsed="false">
      <c r="A342" s="1" t="n">
        <v>341</v>
      </c>
      <c r="B342" s="5" t="str">
        <f aca="false">[1]Base_Jugadores!B342</f>
        <v>Fake Carlos</v>
      </c>
      <c r="C342" s="5" t="str">
        <f aca="false">IFERROR(
   _xlfn.XLOOKUP(VALUE(A342),[1]Fichajes_Realizados!A$2:A$50000,[1]Fichajes_Realizados!D$2:D$50000,,0,-1),
   _xlfn.XLOOKUP(VALUE(A342),[1]Base_Jugadores!A$2:A$50000,[1]Base_Jugadores!C$2:C$50000)
)</f>
        <v>Mercadona FC</v>
      </c>
      <c r="D342" s="5" t="str">
        <f aca="false">[1]Base_Jugadores!D342</f>
        <v>Argentina</v>
      </c>
      <c r="E342" s="3"/>
      <c r="F342" s="5" t="str">
        <f aca="false">[1]Base_Jugadores!E342</f>
        <v>CT</v>
      </c>
      <c r="G342" s="5" t="n">
        <f aca="false">[1]Base_Jugadores!F342</f>
        <v>74</v>
      </c>
      <c r="H342" s="5" t="n">
        <f aca="false">[1]Base_Jugadores!G342</f>
        <v>35</v>
      </c>
      <c r="I342" s="7" t="n">
        <f aca="false" t="array" ref="I342:I342">_xlfn.XLOOKUP(G342,{55;56;57;58;59;60;61;62;63;64;65;66;67;68;69;70;71;72;73;74;75;76;77;78;79;80;81;82;83;84;85;86;87;88;89;90;91;92;93;94;95;96;97;98;99},{100000;130000;160000;190000;220000;250000;300000;350000;400000;450000;500000;600000;700000;800000;900000;1000000;1500000;2000000;3000000;4000000;5000000;6500000;8000000;10000000;12500000;15000000;20000000;25000000;30000000;35000000;40000000;55000000;70000000;80000000;90000000;110000000;130000000;160000000;190000000;220000000;250000000;280000000;310000000;340000000;400000000})</f>
        <v>4000000</v>
      </c>
      <c r="J342" s="7" t="n">
        <f aca="false">I342*S342*T342*U342</f>
        <v>2400000</v>
      </c>
      <c r="K342" s="3"/>
      <c r="L342" s="3"/>
      <c r="M342" s="3"/>
      <c r="N342" s="9" t="n">
        <v>1</v>
      </c>
      <c r="O342" s="4" t="n">
        <v>0</v>
      </c>
      <c r="P342" s="5" t="n">
        <f aca="false">IF(COUNTIF([1]Base_Jugadores!J$2:J$500,B342)&gt;0,1,0)</f>
        <v>0</v>
      </c>
      <c r="Q342" s="10" t="b">
        <f aca="false">--(COUNTIFS(
   [1]Fichajes_Realizados!A$2:A$5000,A342,
   [1]Fichajes_Realizados!G$2:G$5000,$X$3
)&gt;0)</f>
        <v>0</v>
      </c>
      <c r="R342" s="5" t="n">
        <f aca="false">_xlfn.XLOOKUP(C342, [1]Estado_Equipos!A$2:A$500, [1]Estado_Equipos!J$2:J$500, "")</f>
        <v>74</v>
      </c>
      <c r="S342" s="5" t="n">
        <f aca="false">IF(H342&lt;=16,1.45,
IF(H342&gt;=41,0.3,
CHOOSE(ROUNDDOWN((H342-16)/2,0)+1,
1.45,1.38,1.3,1.23,1.17,1.15,1.12,1.05,0.95,0.8,0.6,0.4,0.3)))</f>
        <v>0.8</v>
      </c>
      <c r="T342" s="5" t="n">
        <f aca="false">CHOOSE(N342+1,1.2,1,0.85,0.7)</f>
        <v>1</v>
      </c>
      <c r="U342" s="5" t="n">
        <f aca="false">IF(F342="PO",0.6,
IF(F342="CT",0.75,
IF(F342="LI",0.8,
IF(F342="LD",0.8,
IF(F342="MCD",0.85,
IF(F342="MC",0.95,
IF(F342="MO",1.05,
IF(F342="EI",1.1,
IF(F342="ED",1.1,
IF(F342="SD",1.15,
IF(F342="DC",1.2,0)))))))))))</f>
        <v>0.75</v>
      </c>
    </row>
    <row r="343" customFormat="false" ht="16.4" hidden="false" customHeight="false" outlineLevel="0" collapsed="false">
      <c r="A343" s="1" t="n">
        <v>342</v>
      </c>
      <c r="B343" s="5" t="str">
        <f aca="false">[1]Base_Jugadores!B343</f>
        <v>Iván Page</v>
      </c>
      <c r="C343" s="5" t="str">
        <f aca="false">IFERROR(
   _xlfn.XLOOKUP(VALUE(A343),[1]Fichajes_Realizados!A$2:A$50000,[1]Fichajes_Realizados!D$2:D$50000,,0,-1),
   _xlfn.XLOOKUP(VALUE(A343),[1]Base_Jugadores!A$2:A$50000,[1]Base_Jugadores!C$2:C$50000)
)</f>
        <v>Mercadona FC</v>
      </c>
      <c r="D343" s="5" t="str">
        <f aca="false">[1]Base_Jugadores!D343</f>
        <v>Rusia</v>
      </c>
      <c r="E343" s="3"/>
      <c r="F343" s="5" t="str">
        <f aca="false">[1]Base_Jugadores!E343</f>
        <v>MO</v>
      </c>
      <c r="G343" s="5" t="n">
        <f aca="false">[1]Base_Jugadores!F343</f>
        <v>80</v>
      </c>
      <c r="H343" s="5" t="n">
        <f aca="false">[1]Base_Jugadores!G343</f>
        <v>30</v>
      </c>
      <c r="I343" s="7" t="n">
        <f aca="false" t="array" ref="I343:I343">_xlfn.XLOOKUP(G343,{55;56;57;58;59;60;61;62;63;64;65;66;67;68;69;70;71;72;73;74;75;76;77;78;79;80;81;82;83;84;85;86;87;88;89;90;91;92;93;94;95;96;97;98;99},{100000;130000;160000;190000;220000;250000;300000;350000;400000;450000;500000;600000;700000;800000;900000;1000000;1500000;2000000;3000000;4000000;5000000;6500000;8000000;10000000;12500000;15000000;20000000;25000000;30000000;35000000;40000000;55000000;70000000;80000000;90000000;110000000;130000000;160000000;190000000;220000000;250000000;280000000;310000000;340000000;400000000})</f>
        <v>15000000</v>
      </c>
      <c r="J343" s="7" t="n">
        <f aca="false">I343*S343*T343*U343</f>
        <v>19845000</v>
      </c>
      <c r="K343" s="3"/>
      <c r="L343" s="3"/>
      <c r="M343" s="3"/>
      <c r="N343" s="9" t="n">
        <v>0</v>
      </c>
      <c r="O343" s="4" t="n">
        <v>0</v>
      </c>
      <c r="P343" s="5" t="n">
        <f aca="false">IF(COUNTIF([1]Base_Jugadores!J$2:J$500,B343)&gt;0,1,0)</f>
        <v>0</v>
      </c>
      <c r="Q343" s="10" t="b">
        <f aca="false">--(COUNTIFS(
   [1]Fichajes_Realizados!A$2:A$5000,A343,
   [1]Fichajes_Realizados!G$2:G$5000,$X$3
)&gt;0)</f>
        <v>0</v>
      </c>
      <c r="R343" s="5" t="n">
        <f aca="false">_xlfn.XLOOKUP(C343, [1]Estado_Equipos!A$2:A$500, [1]Estado_Equipos!J$2:J$500, "")</f>
        <v>74</v>
      </c>
      <c r="S343" s="5" t="n">
        <f aca="false">IF(H343&lt;=16,1.45,
IF(H343&gt;=41,0.3,
CHOOSE(ROUNDDOWN((H343-16)/2,0)+1,
1.45,1.38,1.3,1.23,1.17,1.15,1.12,1.05,0.95,0.8,0.6,0.4,0.3)))</f>
        <v>1.05</v>
      </c>
      <c r="T343" s="5" t="n">
        <f aca="false">CHOOSE(N343+1,1.2,1,0.85,0.7)</f>
        <v>1.2</v>
      </c>
      <c r="U343" s="5" t="n">
        <f aca="false">IF(F343="PO",0.6,
IF(F343="CT",0.75,
IF(F343="LI",0.8,
IF(F343="LD",0.8,
IF(F343="MCD",0.85,
IF(F343="MC",0.95,
IF(F343="MO",1.05,
IF(F343="EI",1.1,
IF(F343="ED",1.1,
IF(F343="SD",1.15,
IF(F343="DC",1.2,0)))))))))))</f>
        <v>1.05</v>
      </c>
    </row>
    <row r="344" customFormat="false" ht="16.4" hidden="false" customHeight="false" outlineLevel="0" collapsed="false">
      <c r="A344" s="1" t="n">
        <v>343</v>
      </c>
      <c r="B344" s="5" t="str">
        <f aca="false">[1]Base_Jugadores!B344</f>
        <v>Javi Casanova</v>
      </c>
      <c r="C344" s="5" t="str">
        <f aca="false">IFERROR(
   _xlfn.XLOOKUP(VALUE(A344),[1]Fichajes_Realizados!A$2:A$50000,[1]Fichajes_Realizados!D$2:D$50000,,0,-1),
   _xlfn.XLOOKUP(VALUE(A344),[1]Base_Jugadores!A$2:A$50000,[1]Base_Jugadores!C$2:C$50000)
)</f>
        <v>Mercadona FC</v>
      </c>
      <c r="D344" s="5" t="str">
        <f aca="false">[1]Base_Jugadores!D344</f>
        <v>Islandia</v>
      </c>
      <c r="E344" s="3"/>
      <c r="F344" s="5" t="str">
        <f aca="false">[1]Base_Jugadores!E344</f>
        <v>CT</v>
      </c>
      <c r="G344" s="5" t="n">
        <f aca="false">[1]Base_Jugadores!F344</f>
        <v>75</v>
      </c>
      <c r="H344" s="5" t="n">
        <f aca="false">[1]Base_Jugadores!G344</f>
        <v>39</v>
      </c>
      <c r="I344" s="7" t="n">
        <f aca="false" t="array" ref="I344:I344">_xlfn.XLOOKUP(G344,{55;56;57;58;59;60;61;62;63;64;65;66;67;68;69;70;71;72;73;74;75;76;77;78;79;80;81;82;83;84;85;86;87;88;89;90;91;92;93;94;95;96;97;98;99},{100000;130000;160000;190000;220000;250000;300000;350000;400000;450000;500000;600000;700000;800000;900000;1000000;1500000;2000000;3000000;4000000;5000000;6500000;8000000;10000000;12500000;15000000;20000000;25000000;30000000;35000000;40000000;55000000;70000000;80000000;90000000;110000000;130000000;160000000;190000000;220000000;250000000;280000000;310000000;340000000;400000000})</f>
        <v>5000000</v>
      </c>
      <c r="J344" s="7" t="n">
        <f aca="false">I344*S344*T344*U344</f>
        <v>1800000</v>
      </c>
      <c r="K344" s="3"/>
      <c r="L344" s="3"/>
      <c r="M344" s="3"/>
      <c r="N344" s="9" t="n">
        <v>0</v>
      </c>
      <c r="O344" s="4" t="n">
        <v>0</v>
      </c>
      <c r="P344" s="5" t="n">
        <f aca="false">IF(COUNTIF([1]Base_Jugadores!J$2:J$500,B344)&gt;0,1,0)</f>
        <v>0</v>
      </c>
      <c r="Q344" s="10" t="b">
        <f aca="false">--(COUNTIFS(
   [1]Fichajes_Realizados!A$2:A$5000,A344,
   [1]Fichajes_Realizados!G$2:G$5000,$X$3
)&gt;0)</f>
        <v>0</v>
      </c>
      <c r="R344" s="5" t="n">
        <f aca="false">_xlfn.XLOOKUP(C344, [1]Estado_Equipos!A$2:A$500, [1]Estado_Equipos!J$2:J$500, "")</f>
        <v>74</v>
      </c>
      <c r="S344" s="5" t="n">
        <f aca="false">IF(H344&lt;=16,1.45,
IF(H344&gt;=41,0.3,
CHOOSE(ROUNDDOWN((H344-16)/2,0)+1,
1.45,1.38,1.3,1.23,1.17,1.15,1.12,1.05,0.95,0.8,0.6,0.4,0.3)))</f>
        <v>0.4</v>
      </c>
      <c r="T344" s="5" t="n">
        <f aca="false">CHOOSE(N344+1,1.2,1,0.85,0.7)</f>
        <v>1.2</v>
      </c>
      <c r="U344" s="5" t="n">
        <f aca="false">IF(F344="PO",0.6,
IF(F344="CT",0.75,
IF(F344="LI",0.8,
IF(F344="LD",0.8,
IF(F344="MCD",0.85,
IF(F344="MC",0.95,
IF(F344="MO",1.05,
IF(F344="EI",1.1,
IF(F344="ED",1.1,
IF(F344="SD",1.15,
IF(F344="DC",1.2,0)))))))))))</f>
        <v>0.75</v>
      </c>
    </row>
    <row r="345" customFormat="false" ht="16.4" hidden="false" customHeight="false" outlineLevel="0" collapsed="false">
      <c r="A345" s="1" t="n">
        <v>344</v>
      </c>
      <c r="B345" s="5" t="str">
        <f aca="false">[1]Base_Jugadores!B345</f>
        <v>Javi Repartidor</v>
      </c>
      <c r="C345" s="5" t="str">
        <f aca="false">IFERROR(
   _xlfn.XLOOKUP(VALUE(A345),[1]Fichajes_Realizados!A$2:A$50000,[1]Fichajes_Realizados!D$2:D$50000,,0,-1),
   _xlfn.XLOOKUP(VALUE(A345),[1]Base_Jugadores!A$2:A$50000,[1]Base_Jugadores!C$2:C$50000)
)</f>
        <v>Mercadona FC</v>
      </c>
      <c r="D345" s="5" t="str">
        <f aca="false">[1]Base_Jugadores!D345</f>
        <v>México</v>
      </c>
      <c r="E345" s="3"/>
      <c r="F345" s="5" t="str">
        <f aca="false">[1]Base_Jugadores!E345</f>
        <v>ED</v>
      </c>
      <c r="G345" s="5" t="n">
        <f aca="false">[1]Base_Jugadores!F345</f>
        <v>68</v>
      </c>
      <c r="H345" s="5" t="n">
        <f aca="false">[1]Base_Jugadores!G345</f>
        <v>22</v>
      </c>
      <c r="I345" s="7" t="n">
        <f aca="false" t="array" ref="I345:I345">_xlfn.XLOOKUP(G345,{55;56;57;58;59;60;61;62;63;64;65;66;67;68;69;70;71;72;73;74;75;76;77;78;79;80;81;82;83;84;85;86;87;88;89;90;91;92;93;94;95;96;97;98;99},{100000;130000;160000;190000;220000;250000;300000;350000;400000;450000;500000;600000;700000;800000;900000;1000000;1500000;2000000;3000000;4000000;5000000;6500000;8000000;10000000;12500000;15000000;20000000;25000000;30000000;35000000;40000000;55000000;70000000;80000000;90000000;110000000;130000000;160000000;190000000;220000000;250000000;280000000;310000000;340000000;400000000})</f>
        <v>800000</v>
      </c>
      <c r="J345" s="7" t="n">
        <f aca="false">I345*S345*T345*U345</f>
        <v>920040</v>
      </c>
      <c r="K345" s="3"/>
      <c r="L345" s="3"/>
      <c r="M345" s="3"/>
      <c r="N345" s="9" t="n">
        <v>2</v>
      </c>
      <c r="O345" s="4" t="n">
        <v>0</v>
      </c>
      <c r="P345" s="5" t="n">
        <f aca="false">IF(COUNTIF([1]Base_Jugadores!J$2:J$500,B345)&gt;0,1,0)</f>
        <v>0</v>
      </c>
      <c r="Q345" s="10" t="b">
        <f aca="false">--(COUNTIFS(
   [1]Fichajes_Realizados!A$2:A$5000,A345,
   [1]Fichajes_Realizados!G$2:G$5000,$X$3
)&gt;0)</f>
        <v>0</v>
      </c>
      <c r="R345" s="5" t="n">
        <f aca="false">_xlfn.XLOOKUP(C345, [1]Estado_Equipos!A$2:A$500, [1]Estado_Equipos!J$2:J$500, "")</f>
        <v>74</v>
      </c>
      <c r="S345" s="5" t="n">
        <f aca="false">IF(H345&lt;=16,1.45,
IF(H345&gt;=41,0.3,
CHOOSE(ROUNDDOWN((H345-16)/2,0)+1,
1.45,1.38,1.3,1.23,1.17,1.15,1.12,1.05,0.95,0.8,0.6,0.4,0.3)))</f>
        <v>1.23</v>
      </c>
      <c r="T345" s="5" t="n">
        <f aca="false">CHOOSE(N345+1,1.2,1,0.85,0.7)</f>
        <v>0.85</v>
      </c>
      <c r="U345" s="5" t="n">
        <f aca="false">IF(F345="PO",0.6,
IF(F345="CT",0.75,
IF(F345="LI",0.8,
IF(F345="LD",0.8,
IF(F345="MCD",0.85,
IF(F345="MC",0.95,
IF(F345="MO",1.05,
IF(F345="EI",1.1,
IF(F345="ED",1.1,
IF(F345="SD",1.15,
IF(F345="DC",1.2,0)))))))))))</f>
        <v>1.1</v>
      </c>
    </row>
    <row r="346" customFormat="false" ht="16.4" hidden="false" customHeight="false" outlineLevel="0" collapsed="false">
      <c r="A346" s="1" t="n">
        <v>345</v>
      </c>
      <c r="B346" s="5" t="str">
        <f aca="false">[1]Base_Jugadores!B346</f>
        <v>Javi Valero</v>
      </c>
      <c r="C346" s="5" t="str">
        <f aca="false">IFERROR(
   _xlfn.XLOOKUP(VALUE(A346),[1]Fichajes_Realizados!A$2:A$50000,[1]Fichajes_Realizados!D$2:D$50000,,0,-1),
   _xlfn.XLOOKUP(VALUE(A346),[1]Base_Jugadores!A$2:A$50000,[1]Base_Jugadores!C$2:C$50000)
)</f>
        <v>Mercadona FC</v>
      </c>
      <c r="D346" s="5" t="str">
        <f aca="false">[1]Base_Jugadores!D346</f>
        <v>España</v>
      </c>
      <c r="E346" s="3"/>
      <c r="F346" s="5" t="str">
        <f aca="false">[1]Base_Jugadores!E346</f>
        <v>EI</v>
      </c>
      <c r="G346" s="5" t="n">
        <f aca="false">[1]Base_Jugadores!F346</f>
        <v>71</v>
      </c>
      <c r="H346" s="5" t="n">
        <f aca="false">[1]Base_Jugadores!G346</f>
        <v>27</v>
      </c>
      <c r="I346" s="7" t="n">
        <f aca="false" t="array" ref="I346:I346">_xlfn.XLOOKUP(G346,{55;56;57;58;59;60;61;62;63;64;65;66;67;68;69;70;71;72;73;74;75;76;77;78;79;80;81;82;83;84;85;86;87;88;89;90;91;92;93;94;95;96;97;98;99},{100000;130000;160000;190000;220000;250000;300000;350000;400000;450000;500000;600000;700000;800000;900000;1000000;1500000;2000000;3000000;4000000;5000000;6500000;8000000;10000000;12500000;15000000;20000000;25000000;30000000;35000000;40000000;55000000;70000000;80000000;90000000;110000000;130000000;160000000;190000000;220000000;250000000;280000000;310000000;340000000;400000000})</f>
        <v>1500000</v>
      </c>
      <c r="J346" s="7" t="n">
        <f aca="false">I346*S346*T346*U346</f>
        <v>1612875</v>
      </c>
      <c r="K346" s="3"/>
      <c r="L346" s="3"/>
      <c r="M346" s="3"/>
      <c r="N346" s="9" t="n">
        <v>2</v>
      </c>
      <c r="O346" s="4" t="n">
        <v>0</v>
      </c>
      <c r="P346" s="5" t="n">
        <f aca="false">IF(COUNTIF([1]Base_Jugadores!J$2:J$500,B346)&gt;0,1,0)</f>
        <v>0</v>
      </c>
      <c r="Q346" s="10" t="b">
        <f aca="false">--(COUNTIFS(
   [1]Fichajes_Realizados!A$2:A$5000,A346,
   [1]Fichajes_Realizados!G$2:G$5000,$X$3
)&gt;0)</f>
        <v>0</v>
      </c>
      <c r="R346" s="5" t="n">
        <f aca="false">_xlfn.XLOOKUP(C346, [1]Estado_Equipos!A$2:A$500, [1]Estado_Equipos!J$2:J$500, "")</f>
        <v>74</v>
      </c>
      <c r="S346" s="5" t="n">
        <f aca="false">IF(H346&lt;=16,1.45,
IF(H346&gt;=41,0.3,
CHOOSE(ROUNDDOWN((H346-16)/2,0)+1,
1.45,1.38,1.3,1.23,1.17,1.15,1.12,1.05,0.95,0.8,0.6,0.4,0.3)))</f>
        <v>1.15</v>
      </c>
      <c r="T346" s="5" t="n">
        <f aca="false">CHOOSE(N346+1,1.2,1,0.85,0.7)</f>
        <v>0.85</v>
      </c>
      <c r="U346" s="5" t="n">
        <f aca="false">IF(F346="PO",0.6,
IF(F346="CT",0.75,
IF(F346="LI",0.8,
IF(F346="LD",0.8,
IF(F346="MCD",0.85,
IF(F346="MC",0.95,
IF(F346="MO",1.05,
IF(F346="EI",1.1,
IF(F346="ED",1.1,
IF(F346="SD",1.15,
IF(F346="DC",1.2,0)))))))))))</f>
        <v>1.1</v>
      </c>
    </row>
    <row r="347" customFormat="false" ht="16.4" hidden="false" customHeight="false" outlineLevel="0" collapsed="false">
      <c r="A347" s="1" t="n">
        <v>346</v>
      </c>
      <c r="B347" s="5" t="str">
        <f aca="false">[1]Base_Jugadores!B347</f>
        <v>Jordi Darriba</v>
      </c>
      <c r="C347" s="5" t="str">
        <f aca="false">IFERROR(
   _xlfn.XLOOKUP(VALUE(A347),[1]Fichajes_Realizados!A$2:A$50000,[1]Fichajes_Realizados!D$2:D$50000,,0,-1),
   _xlfn.XLOOKUP(VALUE(A347),[1]Base_Jugadores!A$2:A$50000,[1]Base_Jugadores!C$2:C$50000)
)</f>
        <v>Mercadona FC</v>
      </c>
      <c r="D347" s="5" t="str">
        <f aca="false">[1]Base_Jugadores!D347</f>
        <v>España</v>
      </c>
      <c r="E347" s="3"/>
      <c r="F347" s="5" t="str">
        <f aca="false">[1]Base_Jugadores!E347</f>
        <v>PO</v>
      </c>
      <c r="G347" s="5" t="n">
        <f aca="false">[1]Base_Jugadores!F347</f>
        <v>61</v>
      </c>
      <c r="H347" s="5" t="n">
        <f aca="false">[1]Base_Jugadores!G347</f>
        <v>26</v>
      </c>
      <c r="I347" s="7" t="n">
        <f aca="false" t="array" ref="I347:I347">_xlfn.XLOOKUP(G347,{55;56;57;58;59;60;61;62;63;64;65;66;67;68;69;70;71;72;73;74;75;76;77;78;79;80;81;82;83;84;85;86;87;88;89;90;91;92;93;94;95;96;97;98;99},{100000;130000;160000;190000;220000;250000;300000;350000;400000;450000;500000;600000;700000;800000;900000;1000000;1500000;2000000;3000000;4000000;5000000;6500000;8000000;10000000;12500000;15000000;20000000;25000000;30000000;35000000;40000000;55000000;70000000;80000000;90000000;110000000;130000000;160000000;190000000;220000000;250000000;280000000;310000000;340000000;400000000})</f>
        <v>300000</v>
      </c>
      <c r="J347" s="7" t="n">
        <f aca="false">I347*S347*T347*U347</f>
        <v>175950</v>
      </c>
      <c r="K347" s="3"/>
      <c r="L347" s="3"/>
      <c r="M347" s="3"/>
      <c r="N347" s="9" t="n">
        <v>2</v>
      </c>
      <c r="O347" s="4" t="n">
        <v>0</v>
      </c>
      <c r="P347" s="5" t="n">
        <f aca="false">IF(COUNTIF([1]Base_Jugadores!J$2:J$500,B347)&gt;0,1,0)</f>
        <v>0</v>
      </c>
      <c r="Q347" s="10" t="b">
        <f aca="false">--(COUNTIFS(
   [1]Fichajes_Realizados!A$2:A$5000,A347,
   [1]Fichajes_Realizados!G$2:G$5000,$X$3
)&gt;0)</f>
        <v>0</v>
      </c>
      <c r="R347" s="5" t="n">
        <f aca="false">_xlfn.XLOOKUP(C347, [1]Estado_Equipos!A$2:A$500, [1]Estado_Equipos!J$2:J$500, "")</f>
        <v>74</v>
      </c>
      <c r="S347" s="5" t="n">
        <f aca="false">IF(H347&lt;=16,1.45,
IF(H347&gt;=41,0.3,
CHOOSE(ROUNDDOWN((H347-16)/2,0)+1,
1.45,1.38,1.3,1.23,1.17,1.15,1.12,1.05,0.95,0.8,0.6,0.4,0.3)))</f>
        <v>1.15</v>
      </c>
      <c r="T347" s="5" t="n">
        <f aca="false">CHOOSE(N347+1,1.2,1,0.85,0.7)</f>
        <v>0.85</v>
      </c>
      <c r="U347" s="5" t="n">
        <f aca="false">IF(F347="PO",0.6,
IF(F347="CT",0.75,
IF(F347="LI",0.8,
IF(F347="LD",0.8,
IF(F347="MCD",0.85,
IF(F347="MC",0.95,
IF(F347="MO",1.05,
IF(F347="EI",1.1,
IF(F347="ED",1.1,
IF(F347="SD",1.15,
IF(F347="DC",1.2,0)))))))))))</f>
        <v>0.6</v>
      </c>
    </row>
    <row r="348" customFormat="false" ht="16.4" hidden="false" customHeight="false" outlineLevel="0" collapsed="false">
      <c r="A348" s="1" t="n">
        <v>347</v>
      </c>
      <c r="B348" s="5" t="str">
        <f aca="false">[1]Base_Jugadores!B348</f>
        <v>Jordi Ledesma</v>
      </c>
      <c r="C348" s="5" t="str">
        <f aca="false">IFERROR(
   _xlfn.XLOOKUP(VALUE(A348),[1]Fichajes_Realizados!A$2:A$50000,[1]Fichajes_Realizados!D$2:D$50000,,0,-1),
   _xlfn.XLOOKUP(VALUE(A348),[1]Base_Jugadores!A$2:A$50000,[1]Base_Jugadores!C$2:C$50000)
)</f>
        <v>Mercadona FC</v>
      </c>
      <c r="D348" s="5" t="str">
        <f aca="false">[1]Base_Jugadores!D348</f>
        <v>Paraguay</v>
      </c>
      <c r="E348" s="3"/>
      <c r="F348" s="5" t="str">
        <f aca="false">[1]Base_Jugadores!E348</f>
        <v>LD</v>
      </c>
      <c r="G348" s="5" t="n">
        <f aca="false">[1]Base_Jugadores!F348</f>
        <v>75</v>
      </c>
      <c r="H348" s="5" t="n">
        <f aca="false">[1]Base_Jugadores!G348</f>
        <v>35</v>
      </c>
      <c r="I348" s="7" t="n">
        <f aca="false" t="array" ref="I348:I348">_xlfn.XLOOKUP(G348,{55;56;57;58;59;60;61;62;63;64;65;66;67;68;69;70;71;72;73;74;75;76;77;78;79;80;81;82;83;84;85;86;87;88;89;90;91;92;93;94;95;96;97;98;99},{100000;130000;160000;190000;220000;250000;300000;350000;400000;450000;500000;600000;700000;800000;900000;1000000;1500000;2000000;3000000;4000000;5000000;6500000;8000000;10000000;12500000;15000000;20000000;25000000;30000000;35000000;40000000;55000000;70000000;80000000;90000000;110000000;130000000;160000000;190000000;220000000;250000000;280000000;310000000;340000000;400000000})</f>
        <v>5000000</v>
      </c>
      <c r="J348" s="7" t="n">
        <f aca="false">I348*S348*T348*U348</f>
        <v>3840000</v>
      </c>
      <c r="K348" s="3"/>
      <c r="L348" s="3"/>
      <c r="M348" s="3"/>
      <c r="N348" s="9" t="n">
        <v>0</v>
      </c>
      <c r="O348" s="4" t="n">
        <v>0</v>
      </c>
      <c r="P348" s="5" t="n">
        <f aca="false">IF(COUNTIF([1]Base_Jugadores!J$2:J$500,B348)&gt;0,1,0)</f>
        <v>0</v>
      </c>
      <c r="Q348" s="10" t="b">
        <f aca="false">--(COUNTIFS(
   [1]Fichajes_Realizados!A$2:A$5000,A348,
   [1]Fichajes_Realizados!G$2:G$5000,$X$3
)&gt;0)</f>
        <v>0</v>
      </c>
      <c r="R348" s="5" t="n">
        <f aca="false">_xlfn.XLOOKUP(C348, [1]Estado_Equipos!A$2:A$500, [1]Estado_Equipos!J$2:J$500, "")</f>
        <v>74</v>
      </c>
      <c r="S348" s="5" t="n">
        <f aca="false">IF(H348&lt;=16,1.45,
IF(H348&gt;=41,0.3,
CHOOSE(ROUNDDOWN((H348-16)/2,0)+1,
1.45,1.38,1.3,1.23,1.17,1.15,1.12,1.05,0.95,0.8,0.6,0.4,0.3)))</f>
        <v>0.8</v>
      </c>
      <c r="T348" s="5" t="n">
        <f aca="false">CHOOSE(N348+1,1.2,1,0.85,0.7)</f>
        <v>1.2</v>
      </c>
      <c r="U348" s="5" t="n">
        <f aca="false">IF(F348="PO",0.6,
IF(F348="CT",0.75,
IF(F348="LI",0.8,
IF(F348="LD",0.8,
IF(F348="MCD",0.85,
IF(F348="MC",0.95,
IF(F348="MO",1.05,
IF(F348="EI",1.1,
IF(F348="ED",1.1,
IF(F348="SD",1.15,
IF(F348="DC",1.2,0)))))))))))</f>
        <v>0.8</v>
      </c>
    </row>
    <row r="349" customFormat="false" ht="16.4" hidden="false" customHeight="false" outlineLevel="0" collapsed="false">
      <c r="A349" s="1" t="n">
        <v>348</v>
      </c>
      <c r="B349" s="5" t="str">
        <f aca="false">[1]Base_Jugadores!B349</f>
        <v>Jordi Parejo</v>
      </c>
      <c r="C349" s="5" t="str">
        <f aca="false">IFERROR(
   _xlfn.XLOOKUP(VALUE(A349),[1]Fichajes_Realizados!A$2:A$50000,[1]Fichajes_Realizados!D$2:D$50000,,0,-1),
   _xlfn.XLOOKUP(VALUE(A349),[1]Base_Jugadores!A$2:A$50000,[1]Base_Jugadores!C$2:C$50000)
)</f>
        <v>Mercadona FC</v>
      </c>
      <c r="D349" s="5" t="str">
        <f aca="false">[1]Base_Jugadores!D349</f>
        <v>Colombia</v>
      </c>
      <c r="E349" s="3"/>
      <c r="F349" s="5" t="str">
        <f aca="false">[1]Base_Jugadores!E349</f>
        <v>MCD</v>
      </c>
      <c r="G349" s="5" t="n">
        <f aca="false">[1]Base_Jugadores!F349</f>
        <v>72</v>
      </c>
      <c r="H349" s="5" t="n">
        <f aca="false">[1]Base_Jugadores!G349</f>
        <v>39</v>
      </c>
      <c r="I349" s="7" t="n">
        <f aca="false" t="array" ref="I349:I349">_xlfn.XLOOKUP(G349,{55;56;57;58;59;60;61;62;63;64;65;66;67;68;69;70;71;72;73;74;75;76;77;78;79;80;81;82;83;84;85;86;87;88;89;90;91;92;93;94;95;96;97;98;99},{100000;130000;160000;190000;220000;250000;300000;350000;400000;450000;500000;600000;700000;800000;900000;1000000;1500000;2000000;3000000;4000000;5000000;6500000;8000000;10000000;12500000;15000000;20000000;25000000;30000000;35000000;40000000;55000000;70000000;80000000;90000000;110000000;130000000;160000000;190000000;220000000;250000000;280000000;310000000;340000000;400000000})</f>
        <v>2000000</v>
      </c>
      <c r="J349" s="7" t="n">
        <f aca="false">I349*S349*T349*U349</f>
        <v>578000</v>
      </c>
      <c r="K349" s="3"/>
      <c r="L349" s="3"/>
      <c r="M349" s="3"/>
      <c r="N349" s="9" t="n">
        <v>2</v>
      </c>
      <c r="O349" s="4" t="n">
        <v>0</v>
      </c>
      <c r="P349" s="5" t="n">
        <f aca="false">IF(COUNTIF([1]Base_Jugadores!J$2:J$500,B349)&gt;0,1,0)</f>
        <v>0</v>
      </c>
      <c r="Q349" s="10" t="b">
        <f aca="false">--(COUNTIFS(
   [1]Fichajes_Realizados!A$2:A$5000,A349,
   [1]Fichajes_Realizados!G$2:G$5000,$X$3
)&gt;0)</f>
        <v>0</v>
      </c>
      <c r="R349" s="5" t="n">
        <f aca="false">_xlfn.XLOOKUP(C349, [1]Estado_Equipos!A$2:A$500, [1]Estado_Equipos!J$2:J$500, "")</f>
        <v>74</v>
      </c>
      <c r="S349" s="5" t="n">
        <f aca="false">IF(H349&lt;=16,1.45,
IF(H349&gt;=41,0.3,
CHOOSE(ROUNDDOWN((H349-16)/2,0)+1,
1.45,1.38,1.3,1.23,1.17,1.15,1.12,1.05,0.95,0.8,0.6,0.4,0.3)))</f>
        <v>0.4</v>
      </c>
      <c r="T349" s="5" t="n">
        <f aca="false">CHOOSE(N349+1,1.2,1,0.85,0.7)</f>
        <v>0.85</v>
      </c>
      <c r="U349" s="5" t="n">
        <f aca="false">IF(F349="PO",0.6,
IF(F349="CT",0.75,
IF(F349="LI",0.8,
IF(F349="LD",0.8,
IF(F349="MCD",0.85,
IF(F349="MC",0.95,
IF(F349="MO",1.05,
IF(F349="EI",1.1,
IF(F349="ED",1.1,
IF(F349="SD",1.15,
IF(F349="DC",1.2,0)))))))))))</f>
        <v>0.85</v>
      </c>
    </row>
    <row r="350" customFormat="false" ht="16.4" hidden="false" customHeight="false" outlineLevel="0" collapsed="false">
      <c r="A350" s="1" t="n">
        <v>349</v>
      </c>
      <c r="B350" s="5" t="str">
        <f aca="false">[1]Base_Jugadores!B350</f>
        <v>Juanma Cano</v>
      </c>
      <c r="C350" s="5" t="str">
        <f aca="false">IFERROR(
   _xlfn.XLOOKUP(VALUE(A350),[1]Fichajes_Realizados!A$2:A$50000,[1]Fichajes_Realizados!D$2:D$50000,,0,-1),
   _xlfn.XLOOKUP(VALUE(A350),[1]Base_Jugadores!A$2:A$50000,[1]Base_Jugadores!C$2:C$50000)
)</f>
        <v>Mercadona FC</v>
      </c>
      <c r="D350" s="5" t="str">
        <f aca="false">[1]Base_Jugadores!D350</f>
        <v>Portugal</v>
      </c>
      <c r="E350" s="3"/>
      <c r="F350" s="5" t="str">
        <f aca="false">[1]Base_Jugadores!E350</f>
        <v>DC</v>
      </c>
      <c r="G350" s="5" t="n">
        <f aca="false">[1]Base_Jugadores!F350</f>
        <v>73</v>
      </c>
      <c r="H350" s="5" t="n">
        <f aca="false">[1]Base_Jugadores!G350</f>
        <v>32</v>
      </c>
      <c r="I350" s="7" t="n">
        <f aca="false" t="array" ref="I350:I350">_xlfn.XLOOKUP(G350,{55;56;57;58;59;60;61;62;63;64;65;66;67;68;69;70;71;72;73;74;75;76;77;78;79;80;81;82;83;84;85;86;87;88;89;90;91;92;93;94;95;96;97;98;99},{100000;130000;160000;190000;220000;250000;300000;350000;400000;450000;500000;600000;700000;800000;900000;1000000;1500000;2000000;3000000;4000000;5000000;6500000;8000000;10000000;12500000;15000000;20000000;25000000;30000000;35000000;40000000;55000000;70000000;80000000;90000000;110000000;130000000;160000000;190000000;220000000;250000000;280000000;310000000;340000000;400000000})</f>
        <v>3000000</v>
      </c>
      <c r="J350" s="7" t="n">
        <f aca="false">I350*S350*T350*U350</f>
        <v>2907000</v>
      </c>
      <c r="K350" s="3"/>
      <c r="L350" s="3"/>
      <c r="M350" s="3"/>
      <c r="N350" s="9" t="n">
        <v>2</v>
      </c>
      <c r="O350" s="4" t="n">
        <v>0</v>
      </c>
      <c r="P350" s="5" t="n">
        <f aca="false">IF(COUNTIF([1]Base_Jugadores!J$2:J$500,B350)&gt;0,1,0)</f>
        <v>0</v>
      </c>
      <c r="Q350" s="10" t="b">
        <f aca="false">--(COUNTIFS(
   [1]Fichajes_Realizados!A$2:A$5000,A350,
   [1]Fichajes_Realizados!G$2:G$5000,$X$3
)&gt;0)</f>
        <v>0</v>
      </c>
      <c r="R350" s="5" t="n">
        <f aca="false">_xlfn.XLOOKUP(C350, [1]Estado_Equipos!A$2:A$500, [1]Estado_Equipos!J$2:J$500, "")</f>
        <v>74</v>
      </c>
      <c r="S350" s="5" t="n">
        <f aca="false">IF(H350&lt;=16,1.45,
IF(H350&gt;=41,0.3,
CHOOSE(ROUNDDOWN((H350-16)/2,0)+1,
1.45,1.38,1.3,1.23,1.17,1.15,1.12,1.05,0.95,0.8,0.6,0.4,0.3)))</f>
        <v>0.95</v>
      </c>
      <c r="T350" s="5" t="n">
        <f aca="false">CHOOSE(N350+1,1.2,1,0.85,0.7)</f>
        <v>0.85</v>
      </c>
      <c r="U350" s="5" t="n">
        <f aca="false">IF(F350="PO",0.6,
IF(F350="CT",0.75,
IF(F350="LI",0.8,
IF(F350="LD",0.8,
IF(F350="MCD",0.85,
IF(F350="MC",0.95,
IF(F350="MO",1.05,
IF(F350="EI",1.1,
IF(F350="ED",1.1,
IF(F350="SD",1.15,
IF(F350="DC",1.2,0)))))))))))</f>
        <v>1.2</v>
      </c>
    </row>
    <row r="351" customFormat="false" ht="16.4" hidden="false" customHeight="false" outlineLevel="0" collapsed="false">
      <c r="A351" s="1" t="n">
        <v>350</v>
      </c>
      <c r="B351" s="5" t="str">
        <f aca="false">[1]Base_Jugadores!B351</f>
        <v>Maicol Salazar</v>
      </c>
      <c r="C351" s="5" t="str">
        <f aca="false">IFERROR(
   _xlfn.XLOOKUP(VALUE(A351),[1]Fichajes_Realizados!A$2:A$50000,[1]Fichajes_Realizados!D$2:D$50000,,0,-1),
   _xlfn.XLOOKUP(VALUE(A351),[1]Base_Jugadores!A$2:A$50000,[1]Base_Jugadores!C$2:C$50000)
)</f>
        <v>Mercadona FC</v>
      </c>
      <c r="D351" s="5" t="str">
        <f aca="false">[1]Base_Jugadores!D351</f>
        <v>Uruguay</v>
      </c>
      <c r="E351" s="3"/>
      <c r="F351" s="5" t="str">
        <f aca="false">[1]Base_Jugadores!E351</f>
        <v>CT</v>
      </c>
      <c r="G351" s="5" t="n">
        <f aca="false">[1]Base_Jugadores!F351</f>
        <v>75</v>
      </c>
      <c r="H351" s="5" t="n">
        <f aca="false">[1]Base_Jugadores!G351</f>
        <v>24</v>
      </c>
      <c r="I351" s="7" t="n">
        <f aca="false" t="array" ref="I351:I351">_xlfn.XLOOKUP(G351,{55;56;57;58;59;60;61;62;63;64;65;66;67;68;69;70;71;72;73;74;75;76;77;78;79;80;81;82;83;84;85;86;87;88;89;90;91;92;93;94;95;96;97;98;99},{100000;130000;160000;190000;220000;250000;300000;350000;400000;450000;500000;600000;700000;800000;900000;1000000;1500000;2000000;3000000;4000000;5000000;6500000;8000000;10000000;12500000;15000000;20000000;25000000;30000000;35000000;40000000;55000000;70000000;80000000;90000000;110000000;130000000;160000000;190000000;220000000;250000000;280000000;310000000;340000000;400000000})</f>
        <v>5000000</v>
      </c>
      <c r="J351" s="7" t="n">
        <f aca="false">I351*S351*T351*U351</f>
        <v>5265000</v>
      </c>
      <c r="K351" s="3"/>
      <c r="L351" s="3"/>
      <c r="M351" s="3"/>
      <c r="N351" s="9" t="n">
        <v>0</v>
      </c>
      <c r="O351" s="4" t="n">
        <v>0</v>
      </c>
      <c r="P351" s="5" t="n">
        <f aca="false">IF(COUNTIF([1]Base_Jugadores!J$2:J$500,B351)&gt;0,1,0)</f>
        <v>0</v>
      </c>
      <c r="Q351" s="10" t="b">
        <f aca="false">--(COUNTIFS(
   [1]Fichajes_Realizados!A$2:A$5000,A351,
   [1]Fichajes_Realizados!G$2:G$5000,$X$3
)&gt;0)</f>
        <v>0</v>
      </c>
      <c r="R351" s="5" t="n">
        <f aca="false">_xlfn.XLOOKUP(C351, [1]Estado_Equipos!A$2:A$500, [1]Estado_Equipos!J$2:J$500, "")</f>
        <v>74</v>
      </c>
      <c r="S351" s="5" t="n">
        <f aca="false">IF(H351&lt;=16,1.45,
IF(H351&gt;=41,0.3,
CHOOSE(ROUNDDOWN((H351-16)/2,0)+1,
1.45,1.38,1.3,1.23,1.17,1.15,1.12,1.05,0.95,0.8,0.6,0.4,0.3)))</f>
        <v>1.17</v>
      </c>
      <c r="T351" s="5" t="n">
        <f aca="false">CHOOSE(N351+1,1.2,1,0.85,0.7)</f>
        <v>1.2</v>
      </c>
      <c r="U351" s="5" t="n">
        <f aca="false">IF(F351="PO",0.6,
IF(F351="CT",0.75,
IF(F351="LI",0.8,
IF(F351="LD",0.8,
IF(F351="MCD",0.85,
IF(F351="MC",0.95,
IF(F351="MO",1.05,
IF(F351="EI",1.1,
IF(F351="ED",1.1,
IF(F351="SD",1.15,
IF(F351="DC",1.2,0)))))))))))</f>
        <v>0.75</v>
      </c>
    </row>
    <row r="352" customFormat="false" ht="16.4" hidden="false" customHeight="false" outlineLevel="0" collapsed="false">
      <c r="A352" s="1" t="n">
        <v>351</v>
      </c>
      <c r="B352" s="5" t="str">
        <f aca="false">[1]Base_Jugadores!B352</f>
        <v>Marc Fernández</v>
      </c>
      <c r="C352" s="5" t="str">
        <f aca="false">IFERROR(
   _xlfn.XLOOKUP(VALUE(A352),[1]Fichajes_Realizados!A$2:A$50000,[1]Fichajes_Realizados!D$2:D$50000,,0,-1),
   _xlfn.XLOOKUP(VALUE(A352),[1]Base_Jugadores!A$2:A$50000,[1]Base_Jugadores!C$2:C$50000)
)</f>
        <v>Mercadona FC</v>
      </c>
      <c r="D352" s="5" t="str">
        <f aca="false">[1]Base_Jugadores!D352</f>
        <v>Alemania</v>
      </c>
      <c r="E352" s="3"/>
      <c r="F352" s="5" t="str">
        <f aca="false">[1]Base_Jugadores!E352</f>
        <v>ED</v>
      </c>
      <c r="G352" s="5" t="n">
        <f aca="false">[1]Base_Jugadores!F352</f>
        <v>77</v>
      </c>
      <c r="H352" s="5" t="n">
        <f aca="false">[1]Base_Jugadores!G352</f>
        <v>28</v>
      </c>
      <c r="I352" s="7" t="n">
        <f aca="false" t="array" ref="I352:I352">_xlfn.XLOOKUP(G352,{55;56;57;58;59;60;61;62;63;64;65;66;67;68;69;70;71;72;73;74;75;76;77;78;79;80;81;82;83;84;85;86;87;88;89;90;91;92;93;94;95;96;97;98;99},{100000;130000;160000;190000;220000;250000;300000;350000;400000;450000;500000;600000;700000;800000;900000;1000000;1500000;2000000;3000000;4000000;5000000;6500000;8000000;10000000;12500000;15000000;20000000;25000000;30000000;35000000;40000000;55000000;70000000;80000000;90000000;110000000;130000000;160000000;190000000;220000000;250000000;280000000;310000000;340000000;400000000})</f>
        <v>8000000</v>
      </c>
      <c r="J352" s="7" t="n">
        <f aca="false">I352*S352*T352*U352</f>
        <v>9856000</v>
      </c>
      <c r="K352" s="3"/>
      <c r="L352" s="3"/>
      <c r="M352" s="3"/>
      <c r="N352" s="9" t="n">
        <v>1</v>
      </c>
      <c r="O352" s="4" t="n">
        <v>0</v>
      </c>
      <c r="P352" s="5" t="n">
        <f aca="false">IF(COUNTIF([1]Base_Jugadores!J$2:J$500,B352)&gt;0,1,0)</f>
        <v>0</v>
      </c>
      <c r="Q352" s="10" t="b">
        <f aca="false">--(COUNTIFS(
   [1]Fichajes_Realizados!A$2:A$5000,A352,
   [1]Fichajes_Realizados!G$2:G$5000,$X$3
)&gt;0)</f>
        <v>0</v>
      </c>
      <c r="R352" s="5" t="n">
        <f aca="false">_xlfn.XLOOKUP(C352, [1]Estado_Equipos!A$2:A$500, [1]Estado_Equipos!J$2:J$500, "")</f>
        <v>74</v>
      </c>
      <c r="S352" s="5" t="n">
        <f aca="false">IF(H352&lt;=16,1.45,
IF(H352&gt;=41,0.3,
CHOOSE(ROUNDDOWN((H352-16)/2,0)+1,
1.45,1.38,1.3,1.23,1.17,1.15,1.12,1.05,0.95,0.8,0.6,0.4,0.3)))</f>
        <v>1.12</v>
      </c>
      <c r="T352" s="5" t="n">
        <f aca="false">CHOOSE(N352+1,1.2,1,0.85,0.7)</f>
        <v>1</v>
      </c>
      <c r="U352" s="5" t="n">
        <f aca="false">IF(F352="PO",0.6,
IF(F352="CT",0.75,
IF(F352="LI",0.8,
IF(F352="LD",0.8,
IF(F352="MCD",0.85,
IF(F352="MC",0.95,
IF(F352="MO",1.05,
IF(F352="EI",1.1,
IF(F352="ED",1.1,
IF(F352="SD",1.15,
IF(F352="DC",1.2,0)))))))))))</f>
        <v>1.1</v>
      </c>
    </row>
    <row r="353" customFormat="false" ht="16.4" hidden="false" customHeight="false" outlineLevel="0" collapsed="false">
      <c r="A353" s="1" t="n">
        <v>352</v>
      </c>
      <c r="B353" s="5" t="str">
        <f aca="false">[1]Base_Jugadores!B353</f>
        <v>Sergi Pintado</v>
      </c>
      <c r="C353" s="5" t="str">
        <f aca="false">IFERROR(
   _xlfn.XLOOKUP(VALUE(A353),[1]Fichajes_Realizados!A$2:A$50000,[1]Fichajes_Realizados!D$2:D$50000,,0,-1),
   _xlfn.XLOOKUP(VALUE(A353),[1]Base_Jugadores!A$2:A$50000,[1]Base_Jugadores!C$2:C$50000)
)</f>
        <v>Mercadona FC</v>
      </c>
      <c r="D353" s="5" t="str">
        <f aca="false">[1]Base_Jugadores!D353</f>
        <v>Portugal</v>
      </c>
      <c r="E353" s="3"/>
      <c r="F353" s="5" t="str">
        <f aca="false">[1]Base_Jugadores!E353</f>
        <v>EI</v>
      </c>
      <c r="G353" s="5" t="n">
        <f aca="false">[1]Base_Jugadores!F353</f>
        <v>77</v>
      </c>
      <c r="H353" s="5" t="n">
        <f aca="false">[1]Base_Jugadores!G353</f>
        <v>32</v>
      </c>
      <c r="I353" s="7" t="n">
        <f aca="false" t="array" ref="I353:I353">_xlfn.XLOOKUP(G353,{55;56;57;58;59;60;61;62;63;64;65;66;67;68;69;70;71;72;73;74;75;76;77;78;79;80;81;82;83;84;85;86;87;88;89;90;91;92;93;94;95;96;97;98;99},{100000;130000;160000;190000;220000;250000;300000;350000;400000;450000;500000;600000;700000;800000;900000;1000000;1500000;2000000;3000000;4000000;5000000;6500000;8000000;10000000;12500000;15000000;20000000;25000000;30000000;35000000;40000000;55000000;70000000;80000000;90000000;110000000;130000000;160000000;190000000;220000000;250000000;280000000;310000000;340000000;400000000})</f>
        <v>8000000</v>
      </c>
      <c r="J353" s="7" t="n">
        <f aca="false">I353*S353*T353*U353</f>
        <v>10032000</v>
      </c>
      <c r="K353" s="3"/>
      <c r="L353" s="3"/>
      <c r="M353" s="3"/>
      <c r="N353" s="9" t="n">
        <v>0</v>
      </c>
      <c r="O353" s="4" t="n">
        <v>0</v>
      </c>
      <c r="P353" s="5" t="n">
        <f aca="false">IF(COUNTIF([1]Base_Jugadores!J$2:J$500,B353)&gt;0,1,0)</f>
        <v>0</v>
      </c>
      <c r="Q353" s="10" t="b">
        <f aca="false">--(COUNTIFS(
   [1]Fichajes_Realizados!A$2:A$5000,A353,
   [1]Fichajes_Realizados!G$2:G$5000,$X$3
)&gt;0)</f>
        <v>0</v>
      </c>
      <c r="R353" s="5" t="n">
        <f aca="false">_xlfn.XLOOKUP(C353, [1]Estado_Equipos!A$2:A$500, [1]Estado_Equipos!J$2:J$500, "")</f>
        <v>74</v>
      </c>
      <c r="S353" s="5" t="n">
        <f aca="false">IF(H353&lt;=16,1.45,
IF(H353&gt;=41,0.3,
CHOOSE(ROUNDDOWN((H353-16)/2,0)+1,
1.45,1.38,1.3,1.23,1.17,1.15,1.12,1.05,0.95,0.8,0.6,0.4,0.3)))</f>
        <v>0.95</v>
      </c>
      <c r="T353" s="5" t="n">
        <f aca="false">CHOOSE(N353+1,1.2,1,0.85,0.7)</f>
        <v>1.2</v>
      </c>
      <c r="U353" s="5" t="n">
        <f aca="false">IF(F353="PO",0.6,
IF(F353="CT",0.75,
IF(F353="LI",0.8,
IF(F353="LD",0.8,
IF(F353="MCD",0.85,
IF(F353="MC",0.95,
IF(F353="MO",1.05,
IF(F353="EI",1.1,
IF(F353="ED",1.1,
IF(F353="SD",1.15,
IF(F353="DC",1.2,0)))))))))))</f>
        <v>1.1</v>
      </c>
    </row>
    <row r="354" customFormat="false" ht="16.4" hidden="false" customHeight="false" outlineLevel="0" collapsed="false">
      <c r="A354" s="1" t="n">
        <v>353</v>
      </c>
      <c r="B354" s="5" t="str">
        <f aca="false">[1]Base_Jugadores!B354</f>
        <v>Sergio Balderas</v>
      </c>
      <c r="C354" s="5" t="str">
        <f aca="false">IFERROR(
   _xlfn.XLOOKUP(VALUE(A354),[1]Fichajes_Realizados!A$2:A$50000,[1]Fichajes_Realizados!D$2:D$50000,,0,-1),
   _xlfn.XLOOKUP(VALUE(A354),[1]Base_Jugadores!A$2:A$50000,[1]Base_Jugadores!C$2:C$50000)
)</f>
        <v>Mercadona FC</v>
      </c>
      <c r="D354" s="5" t="str">
        <f aca="false">[1]Base_Jugadores!D354</f>
        <v>Suiza</v>
      </c>
      <c r="E354" s="3"/>
      <c r="F354" s="5" t="str">
        <f aca="false">[1]Base_Jugadores!E354</f>
        <v>PO</v>
      </c>
      <c r="G354" s="5" t="n">
        <f aca="false">[1]Base_Jugadores!F354</f>
        <v>77</v>
      </c>
      <c r="H354" s="5" t="n">
        <f aca="false">[1]Base_Jugadores!G354</f>
        <v>35</v>
      </c>
      <c r="I354" s="7" t="n">
        <f aca="false" t="array" ref="I354:I354">_xlfn.XLOOKUP(G354,{55;56;57;58;59;60;61;62;63;64;65;66;67;68;69;70;71;72;73;74;75;76;77;78;79;80;81;82;83;84;85;86;87;88;89;90;91;92;93;94;95;96;97;98;99},{100000;130000;160000;190000;220000;250000;300000;350000;400000;450000;500000;600000;700000;800000;900000;1000000;1500000;2000000;3000000;4000000;5000000;6500000;8000000;10000000;12500000;15000000;20000000;25000000;30000000;35000000;40000000;55000000;70000000;80000000;90000000;110000000;130000000;160000000;190000000;220000000;250000000;280000000;310000000;340000000;400000000})</f>
        <v>8000000</v>
      </c>
      <c r="J354" s="7" t="n">
        <f aca="false">I354*S354*T354*U354</f>
        <v>4608000</v>
      </c>
      <c r="K354" s="3"/>
      <c r="L354" s="3"/>
      <c r="M354" s="3"/>
      <c r="N354" s="9" t="n">
        <v>0</v>
      </c>
      <c r="O354" s="4" t="n">
        <v>0</v>
      </c>
      <c r="P354" s="5" t="n">
        <f aca="false">IF(COUNTIF([1]Base_Jugadores!J$2:J$500,B354)&gt;0,1,0)</f>
        <v>0</v>
      </c>
      <c r="Q354" s="10" t="b">
        <f aca="false">--(COUNTIFS(
   [1]Fichajes_Realizados!A$2:A$5000,A354,
   [1]Fichajes_Realizados!G$2:G$5000,$X$3
)&gt;0)</f>
        <v>0</v>
      </c>
      <c r="R354" s="5" t="n">
        <f aca="false">_xlfn.XLOOKUP(C354, [1]Estado_Equipos!A$2:A$500, [1]Estado_Equipos!J$2:J$500, "")</f>
        <v>74</v>
      </c>
      <c r="S354" s="5" t="n">
        <f aca="false">IF(H354&lt;=16,1.45,
IF(H354&gt;=41,0.3,
CHOOSE(ROUNDDOWN((H354-16)/2,0)+1,
1.45,1.38,1.3,1.23,1.17,1.15,1.12,1.05,0.95,0.8,0.6,0.4,0.3)))</f>
        <v>0.8</v>
      </c>
      <c r="T354" s="5" t="n">
        <f aca="false">CHOOSE(N354+1,1.2,1,0.85,0.7)</f>
        <v>1.2</v>
      </c>
      <c r="U354" s="5" t="n">
        <f aca="false">IF(F354="PO",0.6,
IF(F354="CT",0.75,
IF(F354="LI",0.8,
IF(F354="LD",0.8,
IF(F354="MCD",0.85,
IF(F354="MC",0.95,
IF(F354="MO",1.05,
IF(F354="EI",1.1,
IF(F354="ED",1.1,
IF(F354="SD",1.15,
IF(F354="DC",1.2,0)))))))))))</f>
        <v>0.6</v>
      </c>
    </row>
    <row r="355" customFormat="false" ht="16.4" hidden="false" customHeight="false" outlineLevel="0" collapsed="false">
      <c r="A355" s="1" t="n">
        <v>354</v>
      </c>
      <c r="B355" s="5" t="str">
        <f aca="false">[1]Base_Jugadores!B355</f>
        <v>Sergio Penya</v>
      </c>
      <c r="C355" s="5" t="str">
        <f aca="false">IFERROR(
   _xlfn.XLOOKUP(VALUE(A355),[1]Fichajes_Realizados!A$2:A$50000,[1]Fichajes_Realizados!D$2:D$50000,,0,-1),
   _xlfn.XLOOKUP(VALUE(A355),[1]Base_Jugadores!A$2:A$50000,[1]Base_Jugadores!C$2:C$50000)
)</f>
        <v>Mercadona FC</v>
      </c>
      <c r="D355" s="5" t="str">
        <f aca="false">[1]Base_Jugadores!D355</f>
        <v>Países Bajos</v>
      </c>
      <c r="E355" s="3"/>
      <c r="F355" s="5" t="str">
        <f aca="false">[1]Base_Jugadores!E355</f>
        <v>LI</v>
      </c>
      <c r="G355" s="5" t="n">
        <f aca="false">[1]Base_Jugadores!F355</f>
        <v>68</v>
      </c>
      <c r="H355" s="5" t="n">
        <f aca="false">[1]Base_Jugadores!G355</f>
        <v>31</v>
      </c>
      <c r="I355" s="7" t="n">
        <f aca="false" t="array" ref="I355:I355">_xlfn.XLOOKUP(G355,{55;56;57;58;59;60;61;62;63;64;65;66;67;68;69;70;71;72;73;74;75;76;77;78;79;80;81;82;83;84;85;86;87;88;89;90;91;92;93;94;95;96;97;98;99},{100000;130000;160000;190000;220000;250000;300000;350000;400000;450000;500000;600000;700000;800000;900000;1000000;1500000;2000000;3000000;4000000;5000000;6500000;8000000;10000000;12500000;15000000;20000000;25000000;30000000;35000000;40000000;55000000;70000000;80000000;90000000;110000000;130000000;160000000;190000000;220000000;250000000;280000000;310000000;340000000;400000000})</f>
        <v>800000</v>
      </c>
      <c r="J355" s="7" t="n">
        <f aca="false">I355*S355*T355*U355</f>
        <v>571200</v>
      </c>
      <c r="K355" s="3"/>
      <c r="L355" s="3"/>
      <c r="M355" s="3"/>
      <c r="N355" s="9" t="n">
        <v>2</v>
      </c>
      <c r="O355" s="4" t="n">
        <v>0</v>
      </c>
      <c r="P355" s="5" t="n">
        <f aca="false">IF(COUNTIF([1]Base_Jugadores!J$2:J$500,B355)&gt;0,1,0)</f>
        <v>0</v>
      </c>
      <c r="Q355" s="10" t="b">
        <f aca="false">--(COUNTIFS(
   [1]Fichajes_Realizados!A$2:A$5000,A355,
   [1]Fichajes_Realizados!G$2:G$5000,$X$3
)&gt;0)</f>
        <v>0</v>
      </c>
      <c r="R355" s="5" t="n">
        <f aca="false">_xlfn.XLOOKUP(C355, [1]Estado_Equipos!A$2:A$500, [1]Estado_Equipos!J$2:J$500, "")</f>
        <v>74</v>
      </c>
      <c r="S355" s="5" t="n">
        <f aca="false">IF(H355&lt;=16,1.45,
IF(H355&gt;=41,0.3,
CHOOSE(ROUNDDOWN((H355-16)/2,0)+1,
1.45,1.38,1.3,1.23,1.17,1.15,1.12,1.05,0.95,0.8,0.6,0.4,0.3)))</f>
        <v>1.05</v>
      </c>
      <c r="T355" s="5" t="n">
        <f aca="false">CHOOSE(N355+1,1.2,1,0.85,0.7)</f>
        <v>0.85</v>
      </c>
      <c r="U355" s="5" t="n">
        <f aca="false">IF(F355="PO",0.6,
IF(F355="CT",0.75,
IF(F355="LI",0.8,
IF(F355="LD",0.8,
IF(F355="MCD",0.85,
IF(F355="MC",0.95,
IF(F355="MO",1.05,
IF(F355="EI",1.1,
IF(F355="ED",1.1,
IF(F355="SD",1.15,
IF(F355="DC",1.2,0)))))))))))</f>
        <v>0.8</v>
      </c>
    </row>
    <row r="356" customFormat="false" ht="16.4" hidden="false" customHeight="false" outlineLevel="0" collapsed="false">
      <c r="A356" s="1" t="n">
        <v>355</v>
      </c>
      <c r="B356" s="5" t="str">
        <f aca="false">[1]Base_Jugadores!B356</f>
        <v>Uri Martínez</v>
      </c>
      <c r="C356" s="5" t="str">
        <f aca="false">IFERROR(
   _xlfn.XLOOKUP(VALUE(A356),[1]Fichajes_Realizados!A$2:A$50000,[1]Fichajes_Realizados!D$2:D$50000,,0,-1),
   _xlfn.XLOOKUP(VALUE(A356),[1]Base_Jugadores!A$2:A$50000,[1]Base_Jugadores!C$2:C$50000)
)</f>
        <v>Mercadona FC</v>
      </c>
      <c r="D356" s="5" t="str">
        <f aca="false">[1]Base_Jugadores!D356</f>
        <v>España</v>
      </c>
      <c r="E356" s="3"/>
      <c r="F356" s="5" t="str">
        <f aca="false">[1]Base_Jugadores!E356</f>
        <v>LI</v>
      </c>
      <c r="G356" s="5" t="n">
        <f aca="false">[1]Base_Jugadores!F356</f>
        <v>75</v>
      </c>
      <c r="H356" s="5" t="n">
        <f aca="false">[1]Base_Jugadores!G356</f>
        <v>32</v>
      </c>
      <c r="I356" s="7" t="n">
        <f aca="false" t="array" ref="I356:I356">_xlfn.XLOOKUP(G356,{55;56;57;58;59;60;61;62;63;64;65;66;67;68;69;70;71;72;73;74;75;76;77;78;79;80;81;82;83;84;85;86;87;88;89;90;91;92;93;94;95;96;97;98;99},{100000;130000;160000;190000;220000;250000;300000;350000;400000;450000;500000;600000;700000;800000;900000;1000000;1500000;2000000;3000000;4000000;5000000;6500000;8000000;10000000;12500000;15000000;20000000;25000000;30000000;35000000;40000000;55000000;70000000;80000000;90000000;110000000;130000000;160000000;190000000;220000000;250000000;280000000;310000000;340000000;400000000})</f>
        <v>5000000</v>
      </c>
      <c r="J356" s="7" t="n">
        <f aca="false">I356*S356*T356*U356</f>
        <v>4560000</v>
      </c>
      <c r="K356" s="3"/>
      <c r="L356" s="3"/>
      <c r="M356" s="3"/>
      <c r="N356" s="9" t="n">
        <v>0</v>
      </c>
      <c r="O356" s="4" t="n">
        <v>0</v>
      </c>
      <c r="P356" s="5" t="n">
        <f aca="false">IF(COUNTIF([1]Base_Jugadores!J$2:J$500,B356)&gt;0,1,0)</f>
        <v>0</v>
      </c>
      <c r="Q356" s="10" t="b">
        <f aca="false">--(COUNTIFS(
   [1]Fichajes_Realizados!A$2:A$5000,A356,
   [1]Fichajes_Realizados!G$2:G$5000,$X$3
)&gt;0)</f>
        <v>0</v>
      </c>
      <c r="R356" s="5" t="n">
        <f aca="false">_xlfn.XLOOKUP(C356, [1]Estado_Equipos!A$2:A$500, [1]Estado_Equipos!J$2:J$500, "")</f>
        <v>74</v>
      </c>
      <c r="S356" s="5" t="n">
        <f aca="false">IF(H356&lt;=16,1.45,
IF(H356&gt;=41,0.3,
CHOOSE(ROUNDDOWN((H356-16)/2,0)+1,
1.45,1.38,1.3,1.23,1.17,1.15,1.12,1.05,0.95,0.8,0.6,0.4,0.3)))</f>
        <v>0.95</v>
      </c>
      <c r="T356" s="5" t="n">
        <f aca="false">CHOOSE(N356+1,1.2,1,0.85,0.7)</f>
        <v>1.2</v>
      </c>
      <c r="U356" s="5" t="n">
        <f aca="false">IF(F356="PO",0.6,
IF(F356="CT",0.75,
IF(F356="LI",0.8,
IF(F356="LD",0.8,
IF(F356="MCD",0.85,
IF(F356="MC",0.95,
IF(F356="MO",1.05,
IF(F356="EI",1.1,
IF(F356="ED",1.1,
IF(F356="SD",1.15,
IF(F356="DC",1.2,0)))))))))))</f>
        <v>0.8</v>
      </c>
    </row>
    <row r="357" customFormat="false" ht="16.4" hidden="false" customHeight="false" outlineLevel="0" collapsed="false">
      <c r="A357" s="1" t="n">
        <v>356</v>
      </c>
      <c r="B357" s="5" t="str">
        <f aca="false">[1]Base_Jugadores!B357</f>
        <v>Youseff Segarro</v>
      </c>
      <c r="C357" s="5" t="str">
        <f aca="false">IFERROR(
   _xlfn.XLOOKUP(VALUE(A357),[1]Fichajes_Realizados!A$2:A$50000,[1]Fichajes_Realizados!D$2:D$50000,,0,-1),
   _xlfn.XLOOKUP(VALUE(A357),[1]Base_Jugadores!A$2:A$50000,[1]Base_Jugadores!C$2:C$50000)
)</f>
        <v>Mercadona FC</v>
      </c>
      <c r="D357" s="5" t="str">
        <f aca="false">[1]Base_Jugadores!D357</f>
        <v>Argentina</v>
      </c>
      <c r="E357" s="3"/>
      <c r="F357" s="5" t="str">
        <f aca="false">[1]Base_Jugadores!E357</f>
        <v>MC</v>
      </c>
      <c r="G357" s="5" t="n">
        <f aca="false">[1]Base_Jugadores!F357</f>
        <v>74</v>
      </c>
      <c r="H357" s="5" t="n">
        <f aca="false">[1]Base_Jugadores!G357</f>
        <v>38</v>
      </c>
      <c r="I357" s="7" t="n">
        <f aca="false" t="array" ref="I357:I357">_xlfn.XLOOKUP(G357,{55;56;57;58;59;60;61;62;63;64;65;66;67;68;69;70;71;72;73;74;75;76;77;78;79;80;81;82;83;84;85;86;87;88;89;90;91;92;93;94;95;96;97;98;99},{100000;130000;160000;190000;220000;250000;300000;350000;400000;450000;500000;600000;700000;800000;900000;1000000;1500000;2000000;3000000;4000000;5000000;6500000;8000000;10000000;12500000;15000000;20000000;25000000;30000000;35000000;40000000;55000000;70000000;80000000;90000000;110000000;130000000;160000000;190000000;220000000;250000000;280000000;310000000;340000000;400000000})</f>
        <v>4000000</v>
      </c>
      <c r="J357" s="7" t="n">
        <f aca="false">I357*S357*T357*U357</f>
        <v>1520000</v>
      </c>
      <c r="K357" s="3"/>
      <c r="L357" s="3"/>
      <c r="M357" s="3"/>
      <c r="N357" s="9" t="n">
        <v>1</v>
      </c>
      <c r="O357" s="4" t="n">
        <v>0</v>
      </c>
      <c r="P357" s="5" t="n">
        <f aca="false">IF(COUNTIF([1]Base_Jugadores!J$2:J$500,B357)&gt;0,1,0)</f>
        <v>0</v>
      </c>
      <c r="Q357" s="10" t="b">
        <f aca="false">--(COUNTIFS(
   [1]Fichajes_Realizados!A$2:A$5000,A357,
   [1]Fichajes_Realizados!G$2:G$5000,$X$3
)&gt;0)</f>
        <v>0</v>
      </c>
      <c r="R357" s="5" t="n">
        <f aca="false">_xlfn.XLOOKUP(C357, [1]Estado_Equipos!A$2:A$500, [1]Estado_Equipos!J$2:J$500, "")</f>
        <v>74</v>
      </c>
      <c r="S357" s="5" t="n">
        <f aca="false">IF(H357&lt;=16,1.45,
IF(H357&gt;=41,0.3,
CHOOSE(ROUNDDOWN((H357-16)/2,0)+1,
1.45,1.38,1.3,1.23,1.17,1.15,1.12,1.05,0.95,0.8,0.6,0.4,0.3)))</f>
        <v>0.4</v>
      </c>
      <c r="T357" s="5" t="n">
        <f aca="false">CHOOSE(N357+1,1.2,1,0.85,0.7)</f>
        <v>1</v>
      </c>
      <c r="U357" s="5" t="n">
        <f aca="false">IF(F357="PO",0.6,
IF(F357="CT",0.75,
IF(F357="LI",0.8,
IF(F357="LD",0.8,
IF(F357="MCD",0.85,
IF(F357="MC",0.95,
IF(F357="MO",1.05,
IF(F357="EI",1.1,
IF(F357="ED",1.1,
IF(F357="SD",1.15,
IF(F357="DC",1.2,0)))))))))))</f>
        <v>0.95</v>
      </c>
    </row>
    <row r="358" customFormat="false" ht="16.4" hidden="false" customHeight="false" outlineLevel="0" collapsed="false">
      <c r="A358" s="1" t="n">
        <v>357</v>
      </c>
      <c r="B358" s="5" t="str">
        <f aca="false">[1]Base_Jugadores!B358</f>
        <v>Abel Bretones</v>
      </c>
      <c r="C358" s="5" t="str">
        <f aca="false">IFERROR(
   _xlfn.XLOOKUP(VALUE(A358),[1]Fichajes_Realizados!A$2:A$50000,[1]Fichajes_Realizados!D$2:D$50000,,0,-1),
   _xlfn.XLOOKUP(VALUE(A358),[1]Base_Jugadores!A$2:A$50000,[1]Base_Jugadores!C$2:C$50000)
)</f>
        <v>CA Osasuna</v>
      </c>
      <c r="D358" s="5" t="str">
        <f aca="false">[1]Base_Jugadores!D358</f>
        <v>España</v>
      </c>
      <c r="E358" s="3"/>
      <c r="F358" s="5" t="str">
        <f aca="false">[1]Base_Jugadores!E358</f>
        <v>LI</v>
      </c>
      <c r="G358" s="5" t="n">
        <f aca="false">[1]Base_Jugadores!F358</f>
        <v>72</v>
      </c>
      <c r="H358" s="5" t="n">
        <f aca="false">[1]Base_Jugadores!G358</f>
        <v>25</v>
      </c>
      <c r="I358" s="7" t="n">
        <f aca="false" t="array" ref="I358:I358">_xlfn.XLOOKUP(G358,{55;56;57;58;59;60;61;62;63;64;65;66;67;68;69;70;71;72;73;74;75;76;77;78;79;80;81;82;83;84;85;86;87;88;89;90;91;92;93;94;95;96;97;98;99},{100000;130000;160000;190000;220000;250000;300000;350000;400000;450000;500000;600000;700000;800000;900000;1000000;1500000;2000000;3000000;4000000;5000000;6500000;8000000;10000000;12500000;15000000;20000000;25000000;30000000;35000000;40000000;55000000;70000000;80000000;90000000;110000000;130000000;160000000;190000000;220000000;250000000;280000000;310000000;340000000;400000000})</f>
        <v>2000000</v>
      </c>
      <c r="J358" s="7" t="n">
        <f aca="false">I358*S358*T358*U358</f>
        <v>1872000</v>
      </c>
      <c r="K358" s="3"/>
      <c r="L358" s="3"/>
      <c r="M358" s="3"/>
      <c r="N358" s="9" t="n">
        <v>1</v>
      </c>
      <c r="O358" s="4" t="n">
        <v>0</v>
      </c>
      <c r="P358" s="5" t="n">
        <f aca="false">IF(COUNTIF([1]Base_Jugadores!J$2:J$500,B358)&gt;0,1,0)</f>
        <v>0</v>
      </c>
      <c r="Q358" s="10" t="b">
        <f aca="false">--(COUNTIFS(
   [1]Fichajes_Realizados!A$2:A$5000,A358,
   [1]Fichajes_Realizados!G$2:G$5000,$X$3
)&gt;0)</f>
        <v>0</v>
      </c>
      <c r="R358" s="5" t="n">
        <f aca="false">_xlfn.XLOOKUP(C358, [1]Estado_Equipos!A$2:A$500, [1]Estado_Equipos!J$2:J$500, "")</f>
        <v>73</v>
      </c>
      <c r="S358" s="5" t="n">
        <f aca="false">IF(H358&lt;=16,1.45,
IF(H358&gt;=41,0.3,
CHOOSE(ROUNDDOWN((H358-16)/2,0)+1,
1.45,1.38,1.3,1.23,1.17,1.15,1.12,1.05,0.95,0.8,0.6,0.4,0.3)))</f>
        <v>1.17</v>
      </c>
      <c r="T358" s="5" t="n">
        <f aca="false">CHOOSE(N358+1,1.2,1,0.85,0.7)</f>
        <v>1</v>
      </c>
      <c r="U358" s="5" t="n">
        <f aca="false">IF(F358="PO",0.6,
IF(F358="CT",0.75,
IF(F358="LI",0.8,
IF(F358="LD",0.8,
IF(F358="MCD",0.85,
IF(F358="MC",0.95,
IF(F358="MO",1.05,
IF(F358="EI",1.1,
IF(F358="ED",1.1,
IF(F358="SD",1.15,
IF(F358="DC",1.2,0)))))))))))</f>
        <v>0.8</v>
      </c>
    </row>
    <row r="359" customFormat="false" ht="16.4" hidden="false" customHeight="false" outlineLevel="0" collapsed="false">
      <c r="A359" s="1" t="n">
        <v>358</v>
      </c>
      <c r="B359" s="5" t="str">
        <f aca="false">[1]Base_Jugadores!B359</f>
        <v>Aimar Oroz</v>
      </c>
      <c r="C359" s="5" t="str">
        <f aca="false">IFERROR(
   _xlfn.XLOOKUP(VALUE(A359),[1]Fichajes_Realizados!A$2:A$50000,[1]Fichajes_Realizados!D$2:D$50000,,0,-1),
   _xlfn.XLOOKUP(VALUE(A359),[1]Base_Jugadores!A$2:A$50000,[1]Base_Jugadores!C$2:C$50000)
)</f>
        <v>CA Osasuna</v>
      </c>
      <c r="D359" s="5" t="str">
        <f aca="false">[1]Base_Jugadores!D359</f>
        <v>España</v>
      </c>
      <c r="E359" s="3"/>
      <c r="F359" s="5" t="str">
        <f aca="false">[1]Base_Jugadores!E359</f>
        <v>MO</v>
      </c>
      <c r="G359" s="5" t="n">
        <f aca="false">[1]Base_Jugadores!F359</f>
        <v>75</v>
      </c>
      <c r="H359" s="5" t="n">
        <f aca="false">[1]Base_Jugadores!G359</f>
        <v>24</v>
      </c>
      <c r="I359" s="7" t="n">
        <f aca="false" t="array" ref="I359:I359">_xlfn.XLOOKUP(G359,{55;56;57;58;59;60;61;62;63;64;65;66;67;68;69;70;71;72;73;74;75;76;77;78;79;80;81;82;83;84;85;86;87;88;89;90;91;92;93;94;95;96;97;98;99},{100000;130000;160000;190000;220000;250000;300000;350000;400000;450000;500000;600000;700000;800000;900000;1000000;1500000;2000000;3000000;4000000;5000000;6500000;8000000;10000000;12500000;15000000;20000000;25000000;30000000;35000000;40000000;55000000;70000000;80000000;90000000;110000000;130000000;160000000;190000000;220000000;250000000;280000000;310000000;340000000;400000000})</f>
        <v>5000000</v>
      </c>
      <c r="J359" s="7" t="n">
        <f aca="false">I359*S359*T359*U359</f>
        <v>7371000</v>
      </c>
      <c r="K359" s="3"/>
      <c r="L359" s="3"/>
      <c r="M359" s="3"/>
      <c r="N359" s="9" t="n">
        <v>0</v>
      </c>
      <c r="O359" s="4" t="n">
        <v>0</v>
      </c>
      <c r="P359" s="5" t="n">
        <f aca="false">IF(COUNTIF([1]Base_Jugadores!J$2:J$500,B359)&gt;0,1,0)</f>
        <v>1</v>
      </c>
      <c r="Q359" s="10" t="b">
        <f aca="false">--(COUNTIFS(
   [1]Fichajes_Realizados!A$2:A$5000,A359,
   [1]Fichajes_Realizados!G$2:G$5000,$X$3
)&gt;0)</f>
        <v>0</v>
      </c>
      <c r="R359" s="5" t="n">
        <f aca="false">_xlfn.XLOOKUP(C359, [1]Estado_Equipos!A$2:A$500, [1]Estado_Equipos!J$2:J$500, "")</f>
        <v>73</v>
      </c>
      <c r="S359" s="5" t="n">
        <f aca="false">IF(H359&lt;=16,1.45,
IF(H359&gt;=41,0.3,
CHOOSE(ROUNDDOWN((H359-16)/2,0)+1,
1.45,1.38,1.3,1.23,1.17,1.15,1.12,1.05,0.95,0.8,0.6,0.4,0.3)))</f>
        <v>1.17</v>
      </c>
      <c r="T359" s="5" t="n">
        <f aca="false">CHOOSE(N359+1,1.2,1,0.85,0.7)</f>
        <v>1.2</v>
      </c>
      <c r="U359" s="5" t="n">
        <f aca="false">IF(F359="PO",0.6,
IF(F359="CT",0.75,
IF(F359="LI",0.8,
IF(F359="LD",0.8,
IF(F359="MCD",0.85,
IF(F359="MC",0.95,
IF(F359="MO",1.05,
IF(F359="EI",1.1,
IF(F359="ED",1.1,
IF(F359="SD",1.15,
IF(F359="DC",1.2,0)))))))))))</f>
        <v>1.05</v>
      </c>
    </row>
    <row r="360" customFormat="false" ht="16.4" hidden="false" customHeight="false" outlineLevel="0" collapsed="false">
      <c r="A360" s="1" t="n">
        <v>359</v>
      </c>
      <c r="B360" s="5" t="str">
        <f aca="false">[1]Base_Jugadores!B360</f>
        <v>Aitor Fernández</v>
      </c>
      <c r="C360" s="5" t="str">
        <f aca="false">IFERROR(
   _xlfn.XLOOKUP(VALUE(A360),[1]Fichajes_Realizados!A$2:A$50000,[1]Fichajes_Realizados!D$2:D$50000,,0,-1),
   _xlfn.XLOOKUP(VALUE(A360),[1]Base_Jugadores!A$2:A$50000,[1]Base_Jugadores!C$2:C$50000)
)</f>
        <v>CA Osasuna</v>
      </c>
      <c r="D360" s="5" t="str">
        <f aca="false">[1]Base_Jugadores!D360</f>
        <v>España</v>
      </c>
      <c r="E360" s="3"/>
      <c r="F360" s="5" t="str">
        <f aca="false">[1]Base_Jugadores!E360</f>
        <v>PO</v>
      </c>
      <c r="G360" s="5" t="n">
        <f aca="false">[1]Base_Jugadores!F360</f>
        <v>77</v>
      </c>
      <c r="H360" s="5" t="n">
        <f aca="false">[1]Base_Jugadores!G360</f>
        <v>34</v>
      </c>
      <c r="I360" s="7" t="n">
        <f aca="false" t="array" ref="I360:I360">_xlfn.XLOOKUP(G360,{55;56;57;58;59;60;61;62;63;64;65;66;67;68;69;70;71;72;73;74;75;76;77;78;79;80;81;82;83;84;85;86;87;88;89;90;91;92;93;94;95;96;97;98;99},{100000;130000;160000;190000;220000;250000;300000;350000;400000;450000;500000;600000;700000;800000;900000;1000000;1500000;2000000;3000000;4000000;5000000;6500000;8000000;10000000;12500000;15000000;20000000;25000000;30000000;35000000;40000000;55000000;70000000;80000000;90000000;110000000;130000000;160000000;190000000;220000000;250000000;280000000;310000000;340000000;400000000})</f>
        <v>8000000</v>
      </c>
      <c r="J360" s="7" t="n">
        <f aca="false">I360*S360*T360*U360</f>
        <v>3264000</v>
      </c>
      <c r="K360" s="3"/>
      <c r="L360" s="3"/>
      <c r="M360" s="3"/>
      <c r="N360" s="9" t="n">
        <v>2</v>
      </c>
      <c r="O360" s="4" t="n">
        <v>0</v>
      </c>
      <c r="P360" s="5" t="n">
        <f aca="false">IF(COUNTIF([1]Base_Jugadores!J$2:J$500,B360)&gt;0,1,0)</f>
        <v>1</v>
      </c>
      <c r="Q360" s="10" t="b">
        <f aca="false">--(COUNTIFS(
   [1]Fichajes_Realizados!A$2:A$5000,A360,
   [1]Fichajes_Realizados!G$2:G$5000,$X$3
)&gt;0)</f>
        <v>0</v>
      </c>
      <c r="R360" s="5" t="n">
        <f aca="false">_xlfn.XLOOKUP(C360, [1]Estado_Equipos!A$2:A$500, [1]Estado_Equipos!J$2:J$500, "")</f>
        <v>73</v>
      </c>
      <c r="S360" s="5" t="n">
        <f aca="false">IF(H360&lt;=16,1.45,
IF(H360&gt;=41,0.3,
CHOOSE(ROUNDDOWN((H360-16)/2,0)+1,
1.45,1.38,1.3,1.23,1.17,1.15,1.12,1.05,0.95,0.8,0.6,0.4,0.3)))</f>
        <v>0.8</v>
      </c>
      <c r="T360" s="5" t="n">
        <f aca="false">CHOOSE(N360+1,1.2,1,0.85,0.7)</f>
        <v>0.85</v>
      </c>
      <c r="U360" s="5" t="n">
        <f aca="false">IF(F360="PO",0.6,
IF(F360="CT",0.75,
IF(F360="LI",0.8,
IF(F360="LD",0.8,
IF(F360="MCD",0.85,
IF(F360="MC",0.95,
IF(F360="MO",1.05,
IF(F360="EI",1.1,
IF(F360="ED",1.1,
IF(F360="SD",1.15,
IF(F360="DC",1.2,0)))))))))))</f>
        <v>0.6</v>
      </c>
    </row>
    <row r="361" customFormat="false" ht="16.4" hidden="false" customHeight="false" outlineLevel="0" collapsed="false">
      <c r="A361" s="1" t="n">
        <v>360</v>
      </c>
      <c r="B361" s="5" t="str">
        <f aca="false">[1]Base_Jugadores!B361</f>
        <v>Alejandro Catena</v>
      </c>
      <c r="C361" s="5" t="str">
        <f aca="false">IFERROR(
   _xlfn.XLOOKUP(VALUE(A361),[1]Fichajes_Realizados!A$2:A$50000,[1]Fichajes_Realizados!D$2:D$50000,,0,-1),
   _xlfn.XLOOKUP(VALUE(A361),[1]Base_Jugadores!A$2:A$50000,[1]Base_Jugadores!C$2:C$50000)
)</f>
        <v>CA Osasuna</v>
      </c>
      <c r="D361" s="5" t="str">
        <f aca="false">[1]Base_Jugadores!D361</f>
        <v>España</v>
      </c>
      <c r="E361" s="3"/>
      <c r="F361" s="5" t="str">
        <f aca="false">[1]Base_Jugadores!E361</f>
        <v>CT</v>
      </c>
      <c r="G361" s="5" t="n">
        <f aca="false">[1]Base_Jugadores!F361</f>
        <v>79</v>
      </c>
      <c r="H361" s="5" t="n">
        <f aca="false">[1]Base_Jugadores!G361</f>
        <v>31</v>
      </c>
      <c r="I361" s="7" t="n">
        <f aca="false" t="array" ref="I361:I361">_xlfn.XLOOKUP(G361,{55;56;57;58;59;60;61;62;63;64;65;66;67;68;69;70;71;72;73;74;75;76;77;78;79;80;81;82;83;84;85;86;87;88;89;90;91;92;93;94;95;96;97;98;99},{100000;130000;160000;190000;220000;250000;300000;350000;400000;450000;500000;600000;700000;800000;900000;1000000;1500000;2000000;3000000;4000000;5000000;6500000;8000000;10000000;12500000;15000000;20000000;25000000;30000000;35000000;40000000;55000000;70000000;80000000;90000000;110000000;130000000;160000000;190000000;220000000;250000000;280000000;310000000;340000000;400000000})</f>
        <v>12500000</v>
      </c>
      <c r="J361" s="7" t="n">
        <f aca="false">I361*S361*T361*U361</f>
        <v>11812500</v>
      </c>
      <c r="K361" s="3"/>
      <c r="L361" s="3"/>
      <c r="M361" s="3"/>
      <c r="N361" s="9" t="n">
        <v>0</v>
      </c>
      <c r="O361" s="4" t="n">
        <v>0</v>
      </c>
      <c r="P361" s="5" t="n">
        <f aca="false">IF(COUNTIF([1]Base_Jugadores!J$2:J$500,B361)&gt;0,1,0)</f>
        <v>0</v>
      </c>
      <c r="Q361" s="10" t="b">
        <f aca="false">--(COUNTIFS(
   [1]Fichajes_Realizados!A$2:A$5000,A361,
   [1]Fichajes_Realizados!G$2:G$5000,$X$3
)&gt;0)</f>
        <v>0</v>
      </c>
      <c r="R361" s="5" t="n">
        <f aca="false">_xlfn.XLOOKUP(C361, [1]Estado_Equipos!A$2:A$500, [1]Estado_Equipos!J$2:J$500, "")</f>
        <v>73</v>
      </c>
      <c r="S361" s="5" t="n">
        <f aca="false">IF(H361&lt;=16,1.45,
IF(H361&gt;=41,0.3,
CHOOSE(ROUNDDOWN((H361-16)/2,0)+1,
1.45,1.38,1.3,1.23,1.17,1.15,1.12,1.05,0.95,0.8,0.6,0.4,0.3)))</f>
        <v>1.05</v>
      </c>
      <c r="T361" s="5" t="n">
        <f aca="false">CHOOSE(N361+1,1.2,1,0.85,0.7)</f>
        <v>1.2</v>
      </c>
      <c r="U361" s="5" t="n">
        <f aca="false">IF(F361="PO",0.6,
IF(F361="CT",0.75,
IF(F361="LI",0.8,
IF(F361="LD",0.8,
IF(F361="MCD",0.85,
IF(F361="MC",0.95,
IF(F361="MO",1.05,
IF(F361="EI",1.1,
IF(F361="ED",1.1,
IF(F361="SD",1.15,
IF(F361="DC",1.2,0)))))))))))</f>
        <v>0.75</v>
      </c>
    </row>
    <row r="362" customFormat="false" ht="16.4" hidden="false" customHeight="false" outlineLevel="0" collapsed="false">
      <c r="A362" s="1" t="n">
        <v>361</v>
      </c>
      <c r="B362" s="5" t="str">
        <f aca="false">[1]Base_Jugadores!B362</f>
        <v>Ante Budimir</v>
      </c>
      <c r="C362" s="5" t="str">
        <f aca="false">IFERROR(
   _xlfn.XLOOKUP(VALUE(A362),[1]Fichajes_Realizados!A$2:A$50000,[1]Fichajes_Realizados!D$2:D$50000,,0,-1),
   _xlfn.XLOOKUP(VALUE(A362),[1]Base_Jugadores!A$2:A$50000,[1]Base_Jugadores!C$2:C$50000)
)</f>
        <v>CA Osasuna</v>
      </c>
      <c r="D362" s="5" t="str">
        <f aca="false">[1]Base_Jugadores!D362</f>
        <v>Croacia</v>
      </c>
      <c r="E362" s="3"/>
      <c r="F362" s="5" t="str">
        <f aca="false">[1]Base_Jugadores!E362</f>
        <v>DC</v>
      </c>
      <c r="G362" s="5" t="n">
        <f aca="false">[1]Base_Jugadores!F362</f>
        <v>78</v>
      </c>
      <c r="H362" s="5" t="n">
        <f aca="false">[1]Base_Jugadores!G362</f>
        <v>34</v>
      </c>
      <c r="I362" s="7" t="n">
        <f aca="false" t="array" ref="I362:I362">_xlfn.XLOOKUP(G362,{55;56;57;58;59;60;61;62;63;64;65;66;67;68;69;70;71;72;73;74;75;76;77;78;79;80;81;82;83;84;85;86;87;88;89;90;91;92;93;94;95;96;97;98;99},{100000;130000;160000;190000;220000;250000;300000;350000;400000;450000;500000;600000;700000;800000;900000;1000000;1500000;2000000;3000000;4000000;5000000;6500000;8000000;10000000;12500000;15000000;20000000;25000000;30000000;35000000;40000000;55000000;70000000;80000000;90000000;110000000;130000000;160000000;190000000;220000000;250000000;280000000;310000000;340000000;400000000})</f>
        <v>10000000</v>
      </c>
      <c r="J362" s="7" t="n">
        <f aca="false">I362*S362*T362*U362</f>
        <v>11520000</v>
      </c>
      <c r="K362" s="3"/>
      <c r="L362" s="3"/>
      <c r="M362" s="3"/>
      <c r="N362" s="9" t="n">
        <v>0</v>
      </c>
      <c r="O362" s="4" t="n">
        <v>0</v>
      </c>
      <c r="P362" s="5" t="n">
        <f aca="false">IF(COUNTIF([1]Base_Jugadores!J$2:J$500,B362)&gt;0,1,0)</f>
        <v>0</v>
      </c>
      <c r="Q362" s="10" t="b">
        <f aca="false">--(COUNTIFS(
   [1]Fichajes_Realizados!A$2:A$5000,A362,
   [1]Fichajes_Realizados!G$2:G$5000,$X$3
)&gt;0)</f>
        <v>0</v>
      </c>
      <c r="R362" s="5" t="n">
        <f aca="false">_xlfn.XLOOKUP(C362, [1]Estado_Equipos!A$2:A$500, [1]Estado_Equipos!J$2:J$500, "")</f>
        <v>73</v>
      </c>
      <c r="S362" s="5" t="n">
        <f aca="false">IF(H362&lt;=16,1.45,
IF(H362&gt;=41,0.3,
CHOOSE(ROUNDDOWN((H362-16)/2,0)+1,
1.45,1.38,1.3,1.23,1.17,1.15,1.12,1.05,0.95,0.8,0.6,0.4,0.3)))</f>
        <v>0.8</v>
      </c>
      <c r="T362" s="5" t="n">
        <f aca="false">CHOOSE(N362+1,1.2,1,0.85,0.7)</f>
        <v>1.2</v>
      </c>
      <c r="U362" s="5" t="n">
        <f aca="false">IF(F362="PO",0.6,
IF(F362="CT",0.75,
IF(F362="LI",0.8,
IF(F362="LD",0.8,
IF(F362="MCD",0.85,
IF(F362="MC",0.95,
IF(F362="MO",1.05,
IF(F362="EI",1.1,
IF(F362="ED",1.1,
IF(F362="SD",1.15,
IF(F362="DC",1.2,0)))))))))))</f>
        <v>1.2</v>
      </c>
    </row>
    <row r="363" customFormat="false" ht="16.4" hidden="false" customHeight="false" outlineLevel="0" collapsed="false">
      <c r="A363" s="1" t="n">
        <v>362</v>
      </c>
      <c r="B363" s="5" t="str">
        <f aca="false">[1]Base_Jugadores!B363</f>
        <v>Asier Osambela</v>
      </c>
      <c r="C363" s="5" t="str">
        <f aca="false">IFERROR(
   _xlfn.XLOOKUP(VALUE(A363),[1]Fichajes_Realizados!A$2:A$50000,[1]Fichajes_Realizados!D$2:D$50000,,0,-1),
   _xlfn.XLOOKUP(VALUE(A363),[1]Base_Jugadores!A$2:A$50000,[1]Base_Jugadores!C$2:C$50000)
)</f>
        <v>CA Osasuna</v>
      </c>
      <c r="D363" s="5" t="str">
        <f aca="false">[1]Base_Jugadores!D363</f>
        <v>España</v>
      </c>
      <c r="E363" s="3"/>
      <c r="F363" s="5" t="str">
        <f aca="false">[1]Base_Jugadores!E363</f>
        <v>MC</v>
      </c>
      <c r="G363" s="5" t="n">
        <f aca="false">[1]Base_Jugadores!F363</f>
        <v>64</v>
      </c>
      <c r="H363" s="5" t="n">
        <f aca="false">[1]Base_Jugadores!G363</f>
        <v>21</v>
      </c>
      <c r="I363" s="7" t="n">
        <f aca="false" t="array" ref="I363:I363">_xlfn.XLOOKUP(G363,{55;56;57;58;59;60;61;62;63;64;65;66;67;68;69;70;71;72;73;74;75;76;77;78;79;80;81;82;83;84;85;86;87;88;89;90;91;92;93;94;95;96;97;98;99},{100000;130000;160000;190000;220000;250000;300000;350000;400000;450000;500000;600000;700000;800000;900000;1000000;1500000;2000000;3000000;4000000;5000000;6500000;8000000;10000000;12500000;15000000;20000000;25000000;30000000;35000000;40000000;55000000;70000000;80000000;90000000;110000000;130000000;160000000;190000000;220000000;250000000;280000000;310000000;340000000;400000000})</f>
        <v>450000</v>
      </c>
      <c r="J363" s="7" t="n">
        <f aca="false">I363*S363*T363*U363</f>
        <v>472387.5</v>
      </c>
      <c r="K363" s="3"/>
      <c r="L363" s="3"/>
      <c r="M363" s="3"/>
      <c r="N363" s="9" t="n">
        <v>2</v>
      </c>
      <c r="O363" s="4" t="n">
        <v>1</v>
      </c>
      <c r="P363" s="5" t="n">
        <f aca="false">IF(COUNTIF([1]Base_Jugadores!J$2:J$500,B363)&gt;0,1,0)</f>
        <v>1</v>
      </c>
      <c r="Q363" s="10" t="b">
        <f aca="false">--(COUNTIFS(
   [1]Fichajes_Realizados!A$2:A$5000,A363,
   [1]Fichajes_Realizados!G$2:G$5000,$X$3
)&gt;0)</f>
        <v>0</v>
      </c>
      <c r="R363" s="5" t="n">
        <f aca="false">_xlfn.XLOOKUP(C363, [1]Estado_Equipos!A$2:A$500, [1]Estado_Equipos!J$2:J$500, "")</f>
        <v>73</v>
      </c>
      <c r="S363" s="5" t="n">
        <f aca="false">IF(H363&lt;=16,1.45,
IF(H363&gt;=41,0.3,
CHOOSE(ROUNDDOWN((H363-16)/2,0)+1,
1.45,1.38,1.3,1.23,1.17,1.15,1.12,1.05,0.95,0.8,0.6,0.4,0.3)))</f>
        <v>1.3</v>
      </c>
      <c r="T363" s="5" t="n">
        <f aca="false">CHOOSE(N363+1,1.2,1,0.85,0.7)</f>
        <v>0.85</v>
      </c>
      <c r="U363" s="5" t="n">
        <f aca="false">IF(F363="PO",0.6,
IF(F363="CT",0.75,
IF(F363="LI",0.8,
IF(F363="LD",0.8,
IF(F363="MCD",0.85,
IF(F363="MC",0.95,
IF(F363="MO",1.05,
IF(F363="EI",1.1,
IF(F363="ED",1.1,
IF(F363="SD",1.15,
IF(F363="DC",1.2,0)))))))))))</f>
        <v>0.95</v>
      </c>
    </row>
    <row r="364" customFormat="false" ht="16.4" hidden="false" customHeight="false" outlineLevel="0" collapsed="false">
      <c r="A364" s="1" t="n">
        <v>363</v>
      </c>
      <c r="B364" s="5" t="str">
        <f aca="false">[1]Base_Jugadores!B364</f>
        <v>D. Stamatakis</v>
      </c>
      <c r="C364" s="5" t="str">
        <f aca="false">IFERROR(
   _xlfn.XLOOKUP(VALUE(A364),[1]Fichajes_Realizados!A$2:A$50000,[1]Fichajes_Realizados!D$2:D$50000,,0,-1),
   _xlfn.XLOOKUP(VALUE(A364),[1]Base_Jugadores!A$2:A$50000,[1]Base_Jugadores!C$2:C$50000)
)</f>
        <v>CA Osasuna</v>
      </c>
      <c r="D364" s="5" t="str">
        <f aca="false">[1]Base_Jugadores!D364</f>
        <v>Grecia</v>
      </c>
      <c r="E364" s="3"/>
      <c r="F364" s="5" t="str">
        <f aca="false">[1]Base_Jugadores!E364</f>
        <v>PO</v>
      </c>
      <c r="G364" s="5" t="n">
        <f aca="false">[1]Base_Jugadores!F364</f>
        <v>61</v>
      </c>
      <c r="H364" s="5" t="n">
        <f aca="false">[1]Base_Jugadores!G364</f>
        <v>22</v>
      </c>
      <c r="I364" s="7" t="n">
        <f aca="false" t="array" ref="I364:I364">_xlfn.XLOOKUP(G364,{55;56;57;58;59;60;61;62;63;64;65;66;67;68;69;70;71;72;73;74;75;76;77;78;79;80;81;82;83;84;85;86;87;88;89;90;91;92;93;94;95;96;97;98;99},{100000;130000;160000;190000;220000;250000;300000;350000;400000;450000;500000;600000;700000;800000;900000;1000000;1500000;2000000;3000000;4000000;5000000;6500000;8000000;10000000;12500000;15000000;20000000;25000000;30000000;35000000;40000000;55000000;70000000;80000000;90000000;110000000;130000000;160000000;190000000;220000000;250000000;280000000;310000000;340000000;400000000})</f>
        <v>300000</v>
      </c>
      <c r="J364" s="7" t="n">
        <f aca="false">I364*S364*T364*U364</f>
        <v>188190</v>
      </c>
      <c r="K364" s="3"/>
      <c r="L364" s="3"/>
      <c r="M364" s="3"/>
      <c r="N364" s="9" t="n">
        <v>2</v>
      </c>
      <c r="O364" s="4" t="n">
        <v>1</v>
      </c>
      <c r="P364" s="5" t="n">
        <f aca="false">IF(COUNTIF([1]Base_Jugadores!J$2:J$500,B364)&gt;0,1,0)</f>
        <v>0</v>
      </c>
      <c r="Q364" s="10" t="b">
        <f aca="false">--(COUNTIFS(
   [1]Fichajes_Realizados!A$2:A$5000,A364,
   [1]Fichajes_Realizados!G$2:G$5000,$X$3
)&gt;0)</f>
        <v>0</v>
      </c>
      <c r="R364" s="5" t="n">
        <f aca="false">_xlfn.XLOOKUP(C364, [1]Estado_Equipos!A$2:A$500, [1]Estado_Equipos!J$2:J$500, "")</f>
        <v>73</v>
      </c>
      <c r="S364" s="5" t="n">
        <f aca="false">IF(H364&lt;=16,1.45,
IF(H364&gt;=41,0.3,
CHOOSE(ROUNDDOWN((H364-16)/2,0)+1,
1.45,1.38,1.3,1.23,1.17,1.15,1.12,1.05,0.95,0.8,0.6,0.4,0.3)))</f>
        <v>1.23</v>
      </c>
      <c r="T364" s="5" t="n">
        <f aca="false">CHOOSE(N364+1,1.2,1,0.85,0.7)</f>
        <v>0.85</v>
      </c>
      <c r="U364" s="5" t="n">
        <f aca="false">IF(F364="PO",0.6,
IF(F364="CT",0.75,
IF(F364="LI",0.8,
IF(F364="LD",0.8,
IF(F364="MCD",0.85,
IF(F364="MC",0.95,
IF(F364="MO",1.05,
IF(F364="EI",1.1,
IF(F364="ED",1.1,
IF(F364="SD",1.15,
IF(F364="DC",1.2,0)))))))))))</f>
        <v>0.6</v>
      </c>
    </row>
    <row r="365" customFormat="false" ht="16.4" hidden="false" customHeight="false" outlineLevel="0" collapsed="false">
      <c r="A365" s="1" t="n">
        <v>364</v>
      </c>
      <c r="B365" s="5" t="str">
        <f aca="false">[1]Base_Jugadores!B365</f>
        <v>Enzo Boyomo</v>
      </c>
      <c r="C365" s="5" t="str">
        <f aca="false">IFERROR(
   _xlfn.XLOOKUP(VALUE(A365),[1]Fichajes_Realizados!A$2:A$50000,[1]Fichajes_Realizados!D$2:D$50000,,0,-1),
   _xlfn.XLOOKUP(VALUE(A365),[1]Base_Jugadores!A$2:A$50000,[1]Base_Jugadores!C$2:C$50000)
)</f>
        <v>CA Osasuna</v>
      </c>
      <c r="D365" s="5" t="str">
        <f aca="false">[1]Base_Jugadores!D365</f>
        <v>Camerún</v>
      </c>
      <c r="E365" s="3"/>
      <c r="F365" s="5" t="str">
        <f aca="false">[1]Base_Jugadores!E365</f>
        <v>CT</v>
      </c>
      <c r="G365" s="5" t="n">
        <f aca="false">[1]Base_Jugadores!F365</f>
        <v>74</v>
      </c>
      <c r="H365" s="5" t="n">
        <f aca="false">[1]Base_Jugadores!G365</f>
        <v>24</v>
      </c>
      <c r="I365" s="7" t="n">
        <f aca="false" t="array" ref="I365:I365">_xlfn.XLOOKUP(G365,{55;56;57;58;59;60;61;62;63;64;65;66;67;68;69;70;71;72;73;74;75;76;77;78;79;80;81;82;83;84;85;86;87;88;89;90;91;92;93;94;95;96;97;98;99},{100000;130000;160000;190000;220000;250000;300000;350000;400000;450000;500000;600000;700000;800000;900000;1000000;1500000;2000000;3000000;4000000;5000000;6500000;8000000;10000000;12500000;15000000;20000000;25000000;30000000;35000000;40000000;55000000;70000000;80000000;90000000;110000000;130000000;160000000;190000000;220000000;250000000;280000000;310000000;340000000;400000000})</f>
        <v>4000000</v>
      </c>
      <c r="J365" s="7" t="n">
        <f aca="false">I365*S365*T365*U365</f>
        <v>4212000</v>
      </c>
      <c r="K365" s="3"/>
      <c r="L365" s="3"/>
      <c r="M365" s="3"/>
      <c r="N365" s="9" t="n">
        <v>0</v>
      </c>
      <c r="O365" s="4" t="n">
        <v>0</v>
      </c>
      <c r="P365" s="5" t="n">
        <f aca="false">IF(COUNTIF([1]Base_Jugadores!J$2:J$500,B365)&gt;0,1,0)</f>
        <v>0</v>
      </c>
      <c r="Q365" s="10" t="b">
        <f aca="false">--(COUNTIFS(
   [1]Fichajes_Realizados!A$2:A$5000,A365,
   [1]Fichajes_Realizados!G$2:G$5000,$X$3
)&gt;0)</f>
        <v>0</v>
      </c>
      <c r="R365" s="5" t="n">
        <f aca="false">_xlfn.XLOOKUP(C365, [1]Estado_Equipos!A$2:A$500, [1]Estado_Equipos!J$2:J$500, "")</f>
        <v>73</v>
      </c>
      <c r="S365" s="5" t="n">
        <f aca="false">IF(H365&lt;=16,1.45,
IF(H365&gt;=41,0.3,
CHOOSE(ROUNDDOWN((H365-16)/2,0)+1,
1.45,1.38,1.3,1.23,1.17,1.15,1.12,1.05,0.95,0.8,0.6,0.4,0.3)))</f>
        <v>1.17</v>
      </c>
      <c r="T365" s="5" t="n">
        <f aca="false">CHOOSE(N365+1,1.2,1,0.85,0.7)</f>
        <v>1.2</v>
      </c>
      <c r="U365" s="5" t="n">
        <f aca="false">IF(F365="PO",0.6,
IF(F365="CT",0.75,
IF(F365="LI",0.8,
IF(F365="LD",0.8,
IF(F365="MCD",0.85,
IF(F365="MC",0.95,
IF(F365="MO",1.05,
IF(F365="EI",1.1,
IF(F365="ED",1.1,
IF(F365="SD",1.15,
IF(F365="DC",1.2,0)))))))))))</f>
        <v>0.75</v>
      </c>
    </row>
    <row r="366" customFormat="false" ht="16.4" hidden="false" customHeight="false" outlineLevel="0" collapsed="false">
      <c r="A366" s="1" t="n">
        <v>365</v>
      </c>
      <c r="B366" s="5" t="str">
        <f aca="false">[1]Base_Jugadores!B366</f>
        <v>Iker Benito</v>
      </c>
      <c r="C366" s="5" t="str">
        <f aca="false">IFERROR(
   _xlfn.XLOOKUP(VALUE(A366),[1]Fichajes_Realizados!A$2:A$50000,[1]Fichajes_Realizados!D$2:D$50000,,0,-1),
   _xlfn.XLOOKUP(VALUE(A366),[1]Base_Jugadores!A$2:A$50000,[1]Base_Jugadores!C$2:C$50000)
)</f>
        <v>CA Osasuna</v>
      </c>
      <c r="D366" s="5" t="str">
        <f aca="false">[1]Base_Jugadores!D366</f>
        <v>España</v>
      </c>
      <c r="E366" s="3"/>
      <c r="F366" s="5" t="str">
        <f aca="false">[1]Base_Jugadores!E366</f>
        <v>ED</v>
      </c>
      <c r="G366" s="5" t="n">
        <f aca="false">[1]Base_Jugadores!F366</f>
        <v>67</v>
      </c>
      <c r="H366" s="5" t="n">
        <f aca="false">[1]Base_Jugadores!G366</f>
        <v>23</v>
      </c>
      <c r="I366" s="7" t="n">
        <f aca="false" t="array" ref="I366:I366">_xlfn.XLOOKUP(G366,{55;56;57;58;59;60;61;62;63;64;65;66;67;68;69;70;71;72;73;74;75;76;77;78;79;80;81;82;83;84;85;86;87;88;89;90;91;92;93;94;95;96;97;98;99},{100000;130000;160000;190000;220000;250000;300000;350000;400000;450000;500000;600000;700000;800000;900000;1000000;1500000;2000000;3000000;4000000;5000000;6500000;8000000;10000000;12500000;15000000;20000000;25000000;30000000;35000000;40000000;55000000;70000000;80000000;90000000;110000000;130000000;160000000;190000000;220000000;250000000;280000000;310000000;340000000;400000000})</f>
        <v>700000</v>
      </c>
      <c r="J366" s="7" t="n">
        <f aca="false">I366*S366*T366*U366</f>
        <v>805035</v>
      </c>
      <c r="K366" s="3"/>
      <c r="L366" s="3"/>
      <c r="M366" s="3"/>
      <c r="N366" s="9" t="n">
        <v>2</v>
      </c>
      <c r="O366" s="4" t="n">
        <v>0</v>
      </c>
      <c r="P366" s="5" t="n">
        <f aca="false">IF(COUNTIF([1]Base_Jugadores!J$2:J$500,B366)&gt;0,1,0)</f>
        <v>0</v>
      </c>
      <c r="Q366" s="10" t="b">
        <f aca="false">--(COUNTIFS(
   [1]Fichajes_Realizados!A$2:A$5000,A366,
   [1]Fichajes_Realizados!G$2:G$5000,$X$3
)&gt;0)</f>
        <v>0</v>
      </c>
      <c r="R366" s="5" t="n">
        <f aca="false">_xlfn.XLOOKUP(C366, [1]Estado_Equipos!A$2:A$500, [1]Estado_Equipos!J$2:J$500, "")</f>
        <v>73</v>
      </c>
      <c r="S366" s="5" t="n">
        <f aca="false">IF(H366&lt;=16,1.45,
IF(H366&gt;=41,0.3,
CHOOSE(ROUNDDOWN((H366-16)/2,0)+1,
1.45,1.38,1.3,1.23,1.17,1.15,1.12,1.05,0.95,0.8,0.6,0.4,0.3)))</f>
        <v>1.23</v>
      </c>
      <c r="T366" s="5" t="n">
        <f aca="false">CHOOSE(N366+1,1.2,1,0.85,0.7)</f>
        <v>0.85</v>
      </c>
      <c r="U366" s="5" t="n">
        <f aca="false">IF(F366="PO",0.6,
IF(F366="CT",0.75,
IF(F366="LI",0.8,
IF(F366="LD",0.8,
IF(F366="MCD",0.85,
IF(F366="MC",0.95,
IF(F366="MO",1.05,
IF(F366="EI",1.1,
IF(F366="ED",1.1,
IF(F366="SD",1.15,
IF(F366="DC",1.2,0)))))))))))</f>
        <v>1.1</v>
      </c>
    </row>
    <row r="367" customFormat="false" ht="16.4" hidden="false" customHeight="false" outlineLevel="0" collapsed="false">
      <c r="A367" s="1" t="n">
        <v>366</v>
      </c>
      <c r="B367" s="5" t="str">
        <f aca="false">[1]Base_Jugadores!B367</f>
        <v>Iker Muñoz C.</v>
      </c>
      <c r="C367" s="5" t="str">
        <f aca="false">IFERROR(
   _xlfn.XLOOKUP(VALUE(A367),[1]Fichajes_Realizados!A$2:A$50000,[1]Fichajes_Realizados!D$2:D$50000,,0,-1),
   _xlfn.XLOOKUP(VALUE(A367),[1]Base_Jugadores!A$2:A$50000,[1]Base_Jugadores!C$2:C$50000)
)</f>
        <v>CA Osasuna</v>
      </c>
      <c r="D367" s="5" t="str">
        <f aca="false">[1]Base_Jugadores!D367</f>
        <v>España</v>
      </c>
      <c r="E367" s="3"/>
      <c r="F367" s="5" t="str">
        <f aca="false">[1]Base_Jugadores!E367</f>
        <v>MCD</v>
      </c>
      <c r="G367" s="5" t="n">
        <f aca="false">[1]Base_Jugadores!F367</f>
        <v>68</v>
      </c>
      <c r="H367" s="5" t="n">
        <f aca="false">[1]Base_Jugadores!G367</f>
        <v>23</v>
      </c>
      <c r="I367" s="7" t="n">
        <f aca="false" t="array" ref="I367:I367">_xlfn.XLOOKUP(G367,{55;56;57;58;59;60;61;62;63;64;65;66;67;68;69;70;71;72;73;74;75;76;77;78;79;80;81;82;83;84;85;86;87;88;89;90;91;92;93;94;95;96;97;98;99},{100000;130000;160000;190000;220000;250000;300000;350000;400000;450000;500000;600000;700000;800000;900000;1000000;1500000;2000000;3000000;4000000;5000000;6500000;8000000;10000000;12500000;15000000;20000000;25000000;30000000;35000000;40000000;55000000;70000000;80000000;90000000;110000000;130000000;160000000;190000000;220000000;250000000;280000000;310000000;340000000;400000000})</f>
        <v>800000</v>
      </c>
      <c r="J367" s="7" t="n">
        <f aca="false">I367*S367*T367*U367</f>
        <v>710940</v>
      </c>
      <c r="K367" s="3"/>
      <c r="L367" s="3"/>
      <c r="M367" s="3"/>
      <c r="N367" s="9" t="n">
        <v>2</v>
      </c>
      <c r="O367" s="4" t="n">
        <v>0</v>
      </c>
      <c r="P367" s="5" t="n">
        <f aca="false">IF(COUNTIF([1]Base_Jugadores!J$2:J$500,B367)&gt;0,1,0)</f>
        <v>0</v>
      </c>
      <c r="Q367" s="10" t="b">
        <f aca="false">--(COUNTIFS(
   [1]Fichajes_Realizados!A$2:A$5000,A367,
   [1]Fichajes_Realizados!G$2:G$5000,$X$3
)&gt;0)</f>
        <v>0</v>
      </c>
      <c r="R367" s="5" t="n">
        <f aca="false">_xlfn.XLOOKUP(C367, [1]Estado_Equipos!A$2:A$500, [1]Estado_Equipos!J$2:J$500, "")</f>
        <v>73</v>
      </c>
      <c r="S367" s="5" t="n">
        <f aca="false">IF(H367&lt;=16,1.45,
IF(H367&gt;=41,0.3,
CHOOSE(ROUNDDOWN((H367-16)/2,0)+1,
1.45,1.38,1.3,1.23,1.17,1.15,1.12,1.05,0.95,0.8,0.6,0.4,0.3)))</f>
        <v>1.23</v>
      </c>
      <c r="T367" s="5" t="n">
        <f aca="false">CHOOSE(N367+1,1.2,1,0.85,0.7)</f>
        <v>0.85</v>
      </c>
      <c r="U367" s="5" t="n">
        <f aca="false">IF(F367="PO",0.6,
IF(F367="CT",0.75,
IF(F367="LI",0.8,
IF(F367="LD",0.8,
IF(F367="MCD",0.85,
IF(F367="MC",0.95,
IF(F367="MO",1.05,
IF(F367="EI",1.1,
IF(F367="ED",1.1,
IF(F367="SD",1.15,
IF(F367="DC",1.2,0)))))))))))</f>
        <v>0.85</v>
      </c>
    </row>
    <row r="368" customFormat="false" ht="16.4" hidden="false" customHeight="false" outlineLevel="0" collapsed="false">
      <c r="A368" s="1" t="n">
        <v>367</v>
      </c>
      <c r="B368" s="5" t="str">
        <f aca="false">[1]Base_Jugadores!B368</f>
        <v>Iñigo Arguibide</v>
      </c>
      <c r="C368" s="5" t="str">
        <f aca="false">IFERROR(
   _xlfn.XLOOKUP(VALUE(A368),[1]Fichajes_Realizados!A$2:A$50000,[1]Fichajes_Realizados!D$2:D$50000,,0,-1),
   _xlfn.XLOOKUP(VALUE(A368),[1]Base_Jugadores!A$2:A$50000,[1]Base_Jugadores!C$2:C$50000)
)</f>
        <v>CA Osasuna</v>
      </c>
      <c r="D368" s="5" t="str">
        <f aca="false">[1]Base_Jugadores!D368</f>
        <v>España</v>
      </c>
      <c r="E368" s="3"/>
      <c r="F368" s="5" t="str">
        <f aca="false">[1]Base_Jugadores!E368</f>
        <v>LD</v>
      </c>
      <c r="G368" s="5" t="n">
        <f aca="false">[1]Base_Jugadores!F368</f>
        <v>62</v>
      </c>
      <c r="H368" s="5" t="n">
        <f aca="false">[1]Base_Jugadores!G368</f>
        <v>20</v>
      </c>
      <c r="I368" s="7" t="n">
        <f aca="false" t="array" ref="I368:I368">_xlfn.XLOOKUP(G368,{55;56;57;58;59;60;61;62;63;64;65;66;67;68;69;70;71;72;73;74;75;76;77;78;79;80;81;82;83;84;85;86;87;88;89;90;91;92;93;94;95;96;97;98;99},{100000;130000;160000;190000;220000;250000;300000;350000;400000;450000;500000;600000;700000;800000;900000;1000000;1500000;2000000;3000000;4000000;5000000;6500000;8000000;10000000;12500000;15000000;20000000;25000000;30000000;35000000;40000000;55000000;70000000;80000000;90000000;110000000;130000000;160000000;190000000;220000000;250000000;280000000;310000000;340000000;400000000})</f>
        <v>350000</v>
      </c>
      <c r="J368" s="7" t="n">
        <f aca="false">I368*S368*T368*U368</f>
        <v>309400</v>
      </c>
      <c r="K368" s="3"/>
      <c r="L368" s="3"/>
      <c r="M368" s="3"/>
      <c r="N368" s="9" t="n">
        <v>2</v>
      </c>
      <c r="O368" s="4" t="n">
        <v>1</v>
      </c>
      <c r="P368" s="5" t="n">
        <f aca="false">IF(COUNTIF([1]Base_Jugadores!J$2:J$500,B368)&gt;0,1,0)</f>
        <v>0</v>
      </c>
      <c r="Q368" s="10" t="b">
        <f aca="false">--(COUNTIFS(
   [1]Fichajes_Realizados!A$2:A$5000,A368,
   [1]Fichajes_Realizados!G$2:G$5000,$X$3
)&gt;0)</f>
        <v>0</v>
      </c>
      <c r="R368" s="5" t="n">
        <f aca="false">_xlfn.XLOOKUP(C368, [1]Estado_Equipos!A$2:A$500, [1]Estado_Equipos!J$2:J$500, "")</f>
        <v>73</v>
      </c>
      <c r="S368" s="5" t="n">
        <f aca="false">IF(H368&lt;=16,1.45,
IF(H368&gt;=41,0.3,
CHOOSE(ROUNDDOWN((H368-16)/2,0)+1,
1.45,1.38,1.3,1.23,1.17,1.15,1.12,1.05,0.95,0.8,0.6,0.4,0.3)))</f>
        <v>1.3</v>
      </c>
      <c r="T368" s="5" t="n">
        <f aca="false">CHOOSE(N368+1,1.2,1,0.85,0.7)</f>
        <v>0.85</v>
      </c>
      <c r="U368" s="5" t="n">
        <f aca="false">IF(F368="PO",0.6,
IF(F368="CT",0.75,
IF(F368="LI",0.8,
IF(F368="LD",0.8,
IF(F368="MCD",0.85,
IF(F368="MC",0.95,
IF(F368="MO",1.05,
IF(F368="EI",1.1,
IF(F368="ED",1.1,
IF(F368="SD",1.15,
IF(F368="DC",1.2,0)))))))))))</f>
        <v>0.8</v>
      </c>
    </row>
    <row r="369" customFormat="false" ht="16.4" hidden="false" customHeight="false" outlineLevel="0" collapsed="false">
      <c r="A369" s="1" t="n">
        <v>368</v>
      </c>
      <c r="B369" s="5" t="str">
        <f aca="false">[1]Base_Jugadores!B369</f>
        <v>Jon Moncayola</v>
      </c>
      <c r="C369" s="5" t="str">
        <f aca="false">IFERROR(
   _xlfn.XLOOKUP(VALUE(A369),[1]Fichajes_Realizados!A$2:A$50000,[1]Fichajes_Realizados!D$2:D$50000,,0,-1),
   _xlfn.XLOOKUP(VALUE(A369),[1]Base_Jugadores!A$2:A$50000,[1]Base_Jugadores!C$2:C$50000)
)</f>
        <v>CA Osasuna</v>
      </c>
      <c r="D369" s="5" t="str">
        <f aca="false">[1]Base_Jugadores!D369</f>
        <v>España</v>
      </c>
      <c r="E369" s="3"/>
      <c r="F369" s="5" t="str">
        <f aca="false">[1]Base_Jugadores!E369</f>
        <v>MC</v>
      </c>
      <c r="G369" s="5" t="n">
        <f aca="false">[1]Base_Jugadores!F369</f>
        <v>79</v>
      </c>
      <c r="H369" s="5" t="n">
        <f aca="false">[1]Base_Jugadores!G369</f>
        <v>27</v>
      </c>
      <c r="I369" s="7" t="n">
        <f aca="false" t="array" ref="I369:I369">_xlfn.XLOOKUP(G369,{55;56;57;58;59;60;61;62;63;64;65;66;67;68;69;70;71;72;73;74;75;76;77;78;79;80;81;82;83;84;85;86;87;88;89;90;91;92;93;94;95;96;97;98;99},{100000;130000;160000;190000;220000;250000;300000;350000;400000;450000;500000;600000;700000;800000;900000;1000000;1500000;2000000;3000000;4000000;5000000;6500000;8000000;10000000;12500000;15000000;20000000;25000000;30000000;35000000;40000000;55000000;70000000;80000000;90000000;110000000;130000000;160000000;190000000;220000000;250000000;280000000;310000000;340000000;400000000})</f>
        <v>12500000</v>
      </c>
      <c r="J369" s="7" t="n">
        <f aca="false">I369*S369*T369*U369</f>
        <v>16387500</v>
      </c>
      <c r="K369" s="3"/>
      <c r="L369" s="3"/>
      <c r="M369" s="3"/>
      <c r="N369" s="9" t="n">
        <v>0</v>
      </c>
      <c r="O369" s="4" t="n">
        <v>0</v>
      </c>
      <c r="P369" s="5" t="n">
        <f aca="false">IF(COUNTIF([1]Base_Jugadores!J$2:J$500,B369)&gt;0,1,0)</f>
        <v>1</v>
      </c>
      <c r="Q369" s="10" t="b">
        <f aca="false">--(COUNTIFS(
   [1]Fichajes_Realizados!A$2:A$5000,A369,
   [1]Fichajes_Realizados!G$2:G$5000,$X$3
)&gt;0)</f>
        <v>0</v>
      </c>
      <c r="R369" s="5" t="n">
        <f aca="false">_xlfn.XLOOKUP(C369, [1]Estado_Equipos!A$2:A$500, [1]Estado_Equipos!J$2:J$500, "")</f>
        <v>73</v>
      </c>
      <c r="S369" s="5" t="n">
        <f aca="false">IF(H369&lt;=16,1.45,
IF(H369&gt;=41,0.3,
CHOOSE(ROUNDDOWN((H369-16)/2,0)+1,
1.45,1.38,1.3,1.23,1.17,1.15,1.12,1.05,0.95,0.8,0.6,0.4,0.3)))</f>
        <v>1.15</v>
      </c>
      <c r="T369" s="5" t="n">
        <f aca="false">CHOOSE(N369+1,1.2,1,0.85,0.7)</f>
        <v>1.2</v>
      </c>
      <c r="U369" s="5" t="n">
        <f aca="false">IF(F369="PO",0.6,
IF(F369="CT",0.75,
IF(F369="LI",0.8,
IF(F369="LD",0.8,
IF(F369="MCD",0.85,
IF(F369="MC",0.95,
IF(F369="MO",1.05,
IF(F369="EI",1.1,
IF(F369="ED",1.1,
IF(F369="SD",1.15,
IF(F369="DC",1.2,0)))))))))))</f>
        <v>0.95</v>
      </c>
    </row>
    <row r="370" customFormat="false" ht="16.4" hidden="false" customHeight="false" outlineLevel="0" collapsed="false">
      <c r="A370" s="1" t="n">
        <v>369</v>
      </c>
      <c r="B370" s="5" t="str">
        <f aca="false">[1]Base_Jugadores!B370</f>
        <v>Jorge Herrando</v>
      </c>
      <c r="C370" s="5" t="str">
        <f aca="false">IFERROR(
   _xlfn.XLOOKUP(VALUE(A370),[1]Fichajes_Realizados!A$2:A$50000,[1]Fichajes_Realizados!D$2:D$50000,,0,-1),
   _xlfn.XLOOKUP(VALUE(A370),[1]Base_Jugadores!A$2:A$50000,[1]Base_Jugadores!C$2:C$50000)
)</f>
        <v>CA Osasuna</v>
      </c>
      <c r="D370" s="5" t="str">
        <f aca="false">[1]Base_Jugadores!D370</f>
        <v>España</v>
      </c>
      <c r="E370" s="3"/>
      <c r="F370" s="5" t="str">
        <f aca="false">[1]Base_Jugadores!E370</f>
        <v>CT</v>
      </c>
      <c r="G370" s="5" t="n">
        <f aca="false">[1]Base_Jugadores!F370</f>
        <v>72</v>
      </c>
      <c r="H370" s="5" t="n">
        <f aca="false">[1]Base_Jugadores!G370</f>
        <v>24</v>
      </c>
      <c r="I370" s="7" t="n">
        <f aca="false" t="array" ref="I370:I370">_xlfn.XLOOKUP(G370,{55;56;57;58;59;60;61;62;63;64;65;66;67;68;69;70;71;72;73;74;75;76;77;78;79;80;81;82;83;84;85;86;87;88;89;90;91;92;93;94;95;96;97;98;99},{100000;130000;160000;190000;220000;250000;300000;350000;400000;450000;500000;600000;700000;800000;900000;1000000;1500000;2000000;3000000;4000000;5000000;6500000;8000000;10000000;12500000;15000000;20000000;25000000;30000000;35000000;40000000;55000000;70000000;80000000;90000000;110000000;130000000;160000000;190000000;220000000;250000000;280000000;310000000;340000000;400000000})</f>
        <v>2000000</v>
      </c>
      <c r="J370" s="7" t="n">
        <f aca="false">I370*S370*T370*U370</f>
        <v>1755000</v>
      </c>
      <c r="K370" s="3"/>
      <c r="L370" s="3"/>
      <c r="M370" s="3"/>
      <c r="N370" s="9" t="n">
        <v>1</v>
      </c>
      <c r="O370" s="4" t="n">
        <v>0</v>
      </c>
      <c r="P370" s="5" t="n">
        <f aca="false">IF(COUNTIF([1]Base_Jugadores!J$2:J$500,B370)&gt;0,1,0)</f>
        <v>0</v>
      </c>
      <c r="Q370" s="10" t="b">
        <f aca="false">--(COUNTIFS(
   [1]Fichajes_Realizados!A$2:A$5000,A370,
   [1]Fichajes_Realizados!G$2:G$5000,$X$3
)&gt;0)</f>
        <v>0</v>
      </c>
      <c r="R370" s="5" t="n">
        <f aca="false">_xlfn.XLOOKUP(C370, [1]Estado_Equipos!A$2:A$500, [1]Estado_Equipos!J$2:J$500, "")</f>
        <v>73</v>
      </c>
      <c r="S370" s="5" t="n">
        <f aca="false">IF(H370&lt;=16,1.45,
IF(H370&gt;=41,0.3,
CHOOSE(ROUNDDOWN((H370-16)/2,0)+1,
1.45,1.38,1.3,1.23,1.17,1.15,1.12,1.05,0.95,0.8,0.6,0.4,0.3)))</f>
        <v>1.17</v>
      </c>
      <c r="T370" s="5" t="n">
        <f aca="false">CHOOSE(N370+1,1.2,1,0.85,0.7)</f>
        <v>1</v>
      </c>
      <c r="U370" s="5" t="n">
        <f aca="false">IF(F370="PO",0.6,
IF(F370="CT",0.75,
IF(F370="LI",0.8,
IF(F370="LD",0.8,
IF(F370="MCD",0.85,
IF(F370="MC",0.95,
IF(F370="MO",1.05,
IF(F370="EI",1.1,
IF(F370="ED",1.1,
IF(F370="SD",1.15,
IF(F370="DC",1.2,0)))))))))))</f>
        <v>0.75</v>
      </c>
    </row>
    <row r="371" customFormat="false" ht="16.4" hidden="false" customHeight="false" outlineLevel="0" collapsed="false">
      <c r="A371" s="1" t="n">
        <v>370</v>
      </c>
      <c r="B371" s="5" t="str">
        <f aca="false">[1]Base_Jugadores!B371</f>
        <v>Juan Cruz Á.</v>
      </c>
      <c r="C371" s="5" t="str">
        <f aca="false">IFERROR(
   _xlfn.XLOOKUP(VALUE(A371),[1]Fichajes_Realizados!A$2:A$50000,[1]Fichajes_Realizados!D$2:D$50000,,0,-1),
   _xlfn.XLOOKUP(VALUE(A371),[1]Base_Jugadores!A$2:A$50000,[1]Base_Jugadores!C$2:C$50000)
)</f>
        <v>CA Osasuna</v>
      </c>
      <c r="D371" s="5" t="str">
        <f aca="false">[1]Base_Jugadores!D371</f>
        <v>España</v>
      </c>
      <c r="E371" s="3"/>
      <c r="F371" s="5" t="str">
        <f aca="false">[1]Base_Jugadores!E371</f>
        <v>LI</v>
      </c>
      <c r="G371" s="5" t="n">
        <f aca="false">[1]Base_Jugadores!F371</f>
        <v>75</v>
      </c>
      <c r="H371" s="5" t="n">
        <f aca="false">[1]Base_Jugadores!G371</f>
        <v>33</v>
      </c>
      <c r="I371" s="7" t="n">
        <f aca="false" t="array" ref="I371:I371">_xlfn.XLOOKUP(G371,{55;56;57;58;59;60;61;62;63;64;65;66;67;68;69;70;71;72;73;74;75;76;77;78;79;80;81;82;83;84;85;86;87;88;89;90;91;92;93;94;95;96;97;98;99},{100000;130000;160000;190000;220000;250000;300000;350000;400000;450000;500000;600000;700000;800000;900000;1000000;1500000;2000000;3000000;4000000;5000000;6500000;8000000;10000000;12500000;15000000;20000000;25000000;30000000;35000000;40000000;55000000;70000000;80000000;90000000;110000000;130000000;160000000;190000000;220000000;250000000;280000000;310000000;340000000;400000000})</f>
        <v>5000000</v>
      </c>
      <c r="J371" s="7" t="n">
        <f aca="false">I371*S371*T371*U371</f>
        <v>4560000</v>
      </c>
      <c r="K371" s="3"/>
      <c r="L371" s="3"/>
      <c r="M371" s="3"/>
      <c r="N371" s="9" t="n">
        <v>0</v>
      </c>
      <c r="O371" s="4" t="n">
        <v>0</v>
      </c>
      <c r="P371" s="5" t="n">
        <f aca="false">IF(COUNTIF([1]Base_Jugadores!J$2:J$500,B371)&gt;0,1,0)</f>
        <v>0</v>
      </c>
      <c r="Q371" s="10" t="b">
        <f aca="false">--(COUNTIFS(
   [1]Fichajes_Realizados!A$2:A$5000,A371,
   [1]Fichajes_Realizados!G$2:G$5000,$X$3
)&gt;0)</f>
        <v>0</v>
      </c>
      <c r="R371" s="5" t="n">
        <f aca="false">_xlfn.XLOOKUP(C371, [1]Estado_Equipos!A$2:A$500, [1]Estado_Equipos!J$2:J$500, "")</f>
        <v>73</v>
      </c>
      <c r="S371" s="5" t="n">
        <f aca="false">IF(H371&lt;=16,1.45,
IF(H371&gt;=41,0.3,
CHOOSE(ROUNDDOWN((H371-16)/2,0)+1,
1.45,1.38,1.3,1.23,1.17,1.15,1.12,1.05,0.95,0.8,0.6,0.4,0.3)))</f>
        <v>0.95</v>
      </c>
      <c r="T371" s="5" t="n">
        <f aca="false">CHOOSE(N371+1,1.2,1,0.85,0.7)</f>
        <v>1.2</v>
      </c>
      <c r="U371" s="5" t="n">
        <f aca="false">IF(F371="PO",0.6,
IF(F371="CT",0.75,
IF(F371="LI",0.8,
IF(F371="LD",0.8,
IF(F371="MCD",0.85,
IF(F371="MC",0.95,
IF(F371="MO",1.05,
IF(F371="EI",1.1,
IF(F371="ED",1.1,
IF(F371="SD",1.15,
IF(F371="DC",1.2,0)))))))))))</f>
        <v>0.8</v>
      </c>
    </row>
    <row r="372" customFormat="false" ht="16.4" hidden="false" customHeight="false" outlineLevel="0" collapsed="false">
      <c r="A372" s="1" t="n">
        <v>371</v>
      </c>
      <c r="B372" s="5" t="str">
        <f aca="false">[1]Base_Jugadores!B372</f>
        <v>Kike Barja</v>
      </c>
      <c r="C372" s="5" t="str">
        <f aca="false">IFERROR(
   _xlfn.XLOOKUP(VALUE(A372),[1]Fichajes_Realizados!A$2:A$50000,[1]Fichajes_Realizados!D$2:D$50000,,0,-1),
   _xlfn.XLOOKUP(VALUE(A372),[1]Base_Jugadores!A$2:A$50000,[1]Base_Jugadores!C$2:C$50000)
)</f>
        <v>CA Osasuna</v>
      </c>
      <c r="D372" s="5" t="str">
        <f aca="false">[1]Base_Jugadores!D372</f>
        <v>España</v>
      </c>
      <c r="E372" s="3"/>
      <c r="F372" s="5" t="str">
        <f aca="false">[1]Base_Jugadores!E372</f>
        <v>ED</v>
      </c>
      <c r="G372" s="5" t="n">
        <f aca="false">[1]Base_Jugadores!F372</f>
        <v>75</v>
      </c>
      <c r="H372" s="5" t="n">
        <f aca="false">[1]Base_Jugadores!G372</f>
        <v>28</v>
      </c>
      <c r="I372" s="7" t="n">
        <f aca="false" t="array" ref="I372:I372">_xlfn.XLOOKUP(G372,{55;56;57;58;59;60;61;62;63;64;65;66;67;68;69;70;71;72;73;74;75;76;77;78;79;80;81;82;83;84;85;86;87;88;89;90;91;92;93;94;95;96;97;98;99},{100000;130000;160000;190000;220000;250000;300000;350000;400000;450000;500000;600000;700000;800000;900000;1000000;1500000;2000000;3000000;4000000;5000000;6500000;8000000;10000000;12500000;15000000;20000000;25000000;30000000;35000000;40000000;55000000;70000000;80000000;90000000;110000000;130000000;160000000;190000000;220000000;250000000;280000000;310000000;340000000;400000000})</f>
        <v>5000000</v>
      </c>
      <c r="J372" s="7" t="n">
        <f aca="false">I372*S372*T372*U372</f>
        <v>6160000</v>
      </c>
      <c r="K372" s="3"/>
      <c r="L372" s="3"/>
      <c r="M372" s="3"/>
      <c r="N372" s="9" t="n">
        <v>1</v>
      </c>
      <c r="O372" s="4" t="n">
        <v>0</v>
      </c>
      <c r="P372" s="5" t="n">
        <f aca="false">IF(COUNTIF([1]Base_Jugadores!J$2:J$500,B372)&gt;0,1,0)</f>
        <v>0</v>
      </c>
      <c r="Q372" s="10" t="b">
        <f aca="false">--(COUNTIFS(
   [1]Fichajes_Realizados!A$2:A$5000,A372,
   [1]Fichajes_Realizados!G$2:G$5000,$X$3
)&gt;0)</f>
        <v>0</v>
      </c>
      <c r="R372" s="5" t="n">
        <f aca="false">_xlfn.XLOOKUP(C372, [1]Estado_Equipos!A$2:A$500, [1]Estado_Equipos!J$2:J$500, "")</f>
        <v>73</v>
      </c>
      <c r="S372" s="5" t="n">
        <f aca="false">IF(H372&lt;=16,1.45,
IF(H372&gt;=41,0.3,
CHOOSE(ROUNDDOWN((H372-16)/2,0)+1,
1.45,1.38,1.3,1.23,1.17,1.15,1.12,1.05,0.95,0.8,0.6,0.4,0.3)))</f>
        <v>1.12</v>
      </c>
      <c r="T372" s="5" t="n">
        <f aca="false">CHOOSE(N372+1,1.2,1,0.85,0.7)</f>
        <v>1</v>
      </c>
      <c r="U372" s="5" t="n">
        <f aca="false">IF(F372="PO",0.6,
IF(F372="CT",0.75,
IF(F372="LI",0.8,
IF(F372="LD",0.8,
IF(F372="MCD",0.85,
IF(F372="MC",0.95,
IF(F372="MO",1.05,
IF(F372="EI",1.1,
IF(F372="ED",1.1,
IF(F372="SD",1.15,
IF(F372="DC",1.2,0)))))))))))</f>
        <v>1.1</v>
      </c>
    </row>
    <row r="373" customFormat="false" ht="16.4" hidden="false" customHeight="false" outlineLevel="0" collapsed="false">
      <c r="A373" s="1" t="n">
        <v>372</v>
      </c>
      <c r="B373" s="5" t="str">
        <f aca="false">[1]Base_Jugadores!B373</f>
        <v>Lucas Torró</v>
      </c>
      <c r="C373" s="5" t="str">
        <f aca="false">IFERROR(
   _xlfn.XLOOKUP(VALUE(A373),[1]Fichajes_Realizados!A$2:A$50000,[1]Fichajes_Realizados!D$2:D$50000,,0,-1),
   _xlfn.XLOOKUP(VALUE(A373),[1]Base_Jugadores!A$2:A$50000,[1]Base_Jugadores!C$2:C$50000)
)</f>
        <v>CA Osasuna</v>
      </c>
      <c r="D373" s="5" t="str">
        <f aca="false">[1]Base_Jugadores!D373</f>
        <v>España</v>
      </c>
      <c r="E373" s="3"/>
      <c r="F373" s="5" t="str">
        <f aca="false">[1]Base_Jugadores!E373</f>
        <v>MCD</v>
      </c>
      <c r="G373" s="5" t="n">
        <f aca="false">[1]Base_Jugadores!F373</f>
        <v>77</v>
      </c>
      <c r="H373" s="5" t="n">
        <f aca="false">[1]Base_Jugadores!G373</f>
        <v>31</v>
      </c>
      <c r="I373" s="7" t="n">
        <f aca="false" t="array" ref="I373:I373">_xlfn.XLOOKUP(G373,{55;56;57;58;59;60;61;62;63;64;65;66;67;68;69;70;71;72;73;74;75;76;77;78;79;80;81;82;83;84;85;86;87;88;89;90;91;92;93;94;95;96;97;98;99},{100000;130000;160000;190000;220000;250000;300000;350000;400000;450000;500000;600000;700000;800000;900000;1000000;1500000;2000000;3000000;4000000;5000000;6500000;8000000;10000000;12500000;15000000;20000000;25000000;30000000;35000000;40000000;55000000;70000000;80000000;90000000;110000000;130000000;160000000;190000000;220000000;250000000;280000000;310000000;340000000;400000000})</f>
        <v>8000000</v>
      </c>
      <c r="J373" s="7" t="n">
        <f aca="false">I373*S373*T373*U373</f>
        <v>8568000</v>
      </c>
      <c r="K373" s="3"/>
      <c r="L373" s="3"/>
      <c r="M373" s="3"/>
      <c r="N373" s="9" t="n">
        <v>0</v>
      </c>
      <c r="O373" s="4" t="n">
        <v>0</v>
      </c>
      <c r="P373" s="5" t="n">
        <f aca="false">IF(COUNTIF([1]Base_Jugadores!J$2:J$500,B373)&gt;0,1,0)</f>
        <v>0</v>
      </c>
      <c r="Q373" s="10" t="b">
        <f aca="false">--(COUNTIFS(
   [1]Fichajes_Realizados!A$2:A$5000,A373,
   [1]Fichajes_Realizados!G$2:G$5000,$X$3
)&gt;0)</f>
        <v>0</v>
      </c>
      <c r="R373" s="5" t="n">
        <f aca="false">_xlfn.XLOOKUP(C373, [1]Estado_Equipos!A$2:A$500, [1]Estado_Equipos!J$2:J$500, "")</f>
        <v>73</v>
      </c>
      <c r="S373" s="5" t="n">
        <f aca="false">IF(H373&lt;=16,1.45,
IF(H373&gt;=41,0.3,
CHOOSE(ROUNDDOWN((H373-16)/2,0)+1,
1.45,1.38,1.3,1.23,1.17,1.15,1.12,1.05,0.95,0.8,0.6,0.4,0.3)))</f>
        <v>1.05</v>
      </c>
      <c r="T373" s="5" t="n">
        <f aca="false">CHOOSE(N373+1,1.2,1,0.85,0.7)</f>
        <v>1.2</v>
      </c>
      <c r="U373" s="5" t="n">
        <f aca="false">IF(F373="PO",0.6,
IF(F373="CT",0.75,
IF(F373="LI",0.8,
IF(F373="LD",0.8,
IF(F373="MCD",0.85,
IF(F373="MC",0.95,
IF(F373="MO",1.05,
IF(F373="EI",1.1,
IF(F373="ED",1.1,
IF(F373="SD",1.15,
IF(F373="DC",1.2,0)))))))))))</f>
        <v>0.85</v>
      </c>
    </row>
    <row r="374" customFormat="false" ht="16.4" hidden="false" customHeight="false" outlineLevel="0" collapsed="false">
      <c r="A374" s="1" t="n">
        <v>373</v>
      </c>
      <c r="B374" s="5" t="str">
        <f aca="false">[1]Base_Jugadores!B374</f>
        <v>Moi Gómez</v>
      </c>
      <c r="C374" s="5" t="str">
        <f aca="false">IFERROR(
   _xlfn.XLOOKUP(VALUE(A374),[1]Fichajes_Realizados!A$2:A$50000,[1]Fichajes_Realizados!D$2:D$50000,,0,-1),
   _xlfn.XLOOKUP(VALUE(A374),[1]Base_Jugadores!A$2:A$50000,[1]Base_Jugadores!C$2:C$50000)
)</f>
        <v>CA Osasuna</v>
      </c>
      <c r="D374" s="5" t="str">
        <f aca="false">[1]Base_Jugadores!D374</f>
        <v>España</v>
      </c>
      <c r="E374" s="3"/>
      <c r="F374" s="5" t="str">
        <f aca="false">[1]Base_Jugadores!E374</f>
        <v>MO</v>
      </c>
      <c r="G374" s="5" t="n">
        <f aca="false">[1]Base_Jugadores!F374</f>
        <v>81</v>
      </c>
      <c r="H374" s="5" t="n">
        <f aca="false">[1]Base_Jugadores!G374</f>
        <v>31</v>
      </c>
      <c r="I374" s="7" t="n">
        <f aca="false" t="array" ref="I374:I374">_xlfn.XLOOKUP(G374,{55;56;57;58;59;60;61;62;63;64;65;66;67;68;69;70;71;72;73;74;75;76;77;78;79;80;81;82;83;84;85;86;87;88;89;90;91;92;93;94;95;96;97;98;99},{100000;130000;160000;190000;220000;250000;300000;350000;400000;450000;500000;600000;700000;800000;900000;1000000;1500000;2000000;3000000;4000000;5000000;6500000;8000000;10000000;12500000;15000000;20000000;25000000;30000000;35000000;40000000;55000000;70000000;80000000;90000000;110000000;130000000;160000000;190000000;220000000;250000000;280000000;310000000;340000000;400000000})</f>
        <v>20000000</v>
      </c>
      <c r="J374" s="7" t="n">
        <f aca="false">I374*S374*T374*U374</f>
        <v>22050000</v>
      </c>
      <c r="K374" s="3"/>
      <c r="L374" s="3"/>
      <c r="M374" s="3"/>
      <c r="N374" s="9" t="n">
        <v>1</v>
      </c>
      <c r="O374" s="4" t="n">
        <v>0</v>
      </c>
      <c r="P374" s="5" t="n">
        <f aca="false">IF(COUNTIF([1]Base_Jugadores!J$2:J$500,B374)&gt;0,1,0)</f>
        <v>0</v>
      </c>
      <c r="Q374" s="10" t="b">
        <f aca="false">--(COUNTIFS(
   [1]Fichajes_Realizados!A$2:A$5000,A374,
   [1]Fichajes_Realizados!G$2:G$5000,$X$3
)&gt;0)</f>
        <v>0</v>
      </c>
      <c r="R374" s="5" t="n">
        <f aca="false">_xlfn.XLOOKUP(C374, [1]Estado_Equipos!A$2:A$500, [1]Estado_Equipos!J$2:J$500, "")</f>
        <v>73</v>
      </c>
      <c r="S374" s="5" t="n">
        <f aca="false">IF(H374&lt;=16,1.45,
IF(H374&gt;=41,0.3,
CHOOSE(ROUNDDOWN((H374-16)/2,0)+1,
1.45,1.38,1.3,1.23,1.17,1.15,1.12,1.05,0.95,0.8,0.6,0.4,0.3)))</f>
        <v>1.05</v>
      </c>
      <c r="T374" s="5" t="n">
        <f aca="false">CHOOSE(N374+1,1.2,1,0.85,0.7)</f>
        <v>1</v>
      </c>
      <c r="U374" s="5" t="n">
        <f aca="false">IF(F374="PO",0.6,
IF(F374="CT",0.75,
IF(F374="LI",0.8,
IF(F374="LD",0.8,
IF(F374="MCD",0.85,
IF(F374="MC",0.95,
IF(F374="MO",1.05,
IF(F374="EI",1.1,
IF(F374="ED",1.1,
IF(F374="SD",1.15,
IF(F374="DC",1.2,0)))))))))))</f>
        <v>1.05</v>
      </c>
    </row>
    <row r="375" customFormat="false" ht="16.4" hidden="false" customHeight="false" outlineLevel="0" collapsed="false">
      <c r="A375" s="1" t="n">
        <v>374</v>
      </c>
      <c r="B375" s="5" t="str">
        <f aca="false">[1]Base_Jugadores!B375</f>
        <v>Raúl Chasco</v>
      </c>
      <c r="C375" s="5" t="str">
        <f aca="false">IFERROR(
   _xlfn.XLOOKUP(VALUE(A375),[1]Fichajes_Realizados!A$2:A$50000,[1]Fichajes_Realizados!D$2:D$50000,,0,-1),
   _xlfn.XLOOKUP(VALUE(A375),[1]Base_Jugadores!A$2:A$50000,[1]Base_Jugadores!C$2:C$50000)
)</f>
        <v>CA Osasuna</v>
      </c>
      <c r="D375" s="5" t="str">
        <f aca="false">[1]Base_Jugadores!D375</f>
        <v>España</v>
      </c>
      <c r="E375" s="3"/>
      <c r="F375" s="5" t="str">
        <f aca="false">[1]Base_Jugadores!E375</f>
        <v>LI</v>
      </c>
      <c r="G375" s="5" t="n">
        <f aca="false">[1]Base_Jugadores!F375</f>
        <v>63</v>
      </c>
      <c r="H375" s="5" t="n">
        <f aca="false">[1]Base_Jugadores!G375</f>
        <v>22</v>
      </c>
      <c r="I375" s="7" t="n">
        <f aca="false" t="array" ref="I375:I375">_xlfn.XLOOKUP(G375,{55;56;57;58;59;60;61;62;63;64;65;66;67;68;69;70;71;72;73;74;75;76;77;78;79;80;81;82;83;84;85;86;87;88;89;90;91;92;93;94;95;96;97;98;99},{100000;130000;160000;190000;220000;250000;300000;350000;400000;450000;500000;600000;700000;800000;900000;1000000;1500000;2000000;3000000;4000000;5000000;6500000;8000000;10000000;12500000;15000000;20000000;25000000;30000000;35000000;40000000;55000000;70000000;80000000;90000000;110000000;130000000;160000000;190000000;220000000;250000000;280000000;310000000;340000000;400000000})</f>
        <v>400000</v>
      </c>
      <c r="J375" s="7" t="n">
        <f aca="false">I375*S375*T375*U375</f>
        <v>334560</v>
      </c>
      <c r="K375" s="3"/>
      <c r="L375" s="3"/>
      <c r="M375" s="3"/>
      <c r="N375" s="9" t="n">
        <v>2</v>
      </c>
      <c r="O375" s="4" t="n">
        <v>1</v>
      </c>
      <c r="P375" s="5" t="n">
        <f aca="false">IF(COUNTIF([1]Base_Jugadores!J$2:J$500,B375)&gt;0,1,0)</f>
        <v>0</v>
      </c>
      <c r="Q375" s="10" t="b">
        <f aca="false">--(COUNTIFS(
   [1]Fichajes_Realizados!A$2:A$5000,A375,
   [1]Fichajes_Realizados!G$2:G$5000,$X$3
)&gt;0)</f>
        <v>0</v>
      </c>
      <c r="R375" s="5" t="n">
        <f aca="false">_xlfn.XLOOKUP(C375, [1]Estado_Equipos!A$2:A$500, [1]Estado_Equipos!J$2:J$500, "")</f>
        <v>73</v>
      </c>
      <c r="S375" s="5" t="n">
        <f aca="false">IF(H375&lt;=16,1.45,
IF(H375&gt;=41,0.3,
CHOOSE(ROUNDDOWN((H375-16)/2,0)+1,
1.45,1.38,1.3,1.23,1.17,1.15,1.12,1.05,0.95,0.8,0.6,0.4,0.3)))</f>
        <v>1.23</v>
      </c>
      <c r="T375" s="5" t="n">
        <f aca="false">CHOOSE(N375+1,1.2,1,0.85,0.7)</f>
        <v>0.85</v>
      </c>
      <c r="U375" s="5" t="n">
        <f aca="false">IF(F375="PO",0.6,
IF(F375="CT",0.75,
IF(F375="LI",0.8,
IF(F375="LD",0.8,
IF(F375="MCD",0.85,
IF(F375="MC",0.95,
IF(F375="MO",1.05,
IF(F375="EI",1.1,
IF(F375="ED",1.1,
IF(F375="SD",1.15,
IF(F375="DC",1.2,0)))))))))))</f>
        <v>0.8</v>
      </c>
    </row>
    <row r="376" customFormat="false" ht="16.4" hidden="false" customHeight="false" outlineLevel="0" collapsed="false">
      <c r="A376" s="1" t="n">
        <v>375</v>
      </c>
      <c r="B376" s="5" t="str">
        <f aca="false">[1]Base_Jugadores!B376</f>
        <v>Raúl García</v>
      </c>
      <c r="C376" s="5" t="str">
        <f aca="false">IFERROR(
   _xlfn.XLOOKUP(VALUE(A376),[1]Fichajes_Realizados!A$2:A$50000,[1]Fichajes_Realizados!D$2:D$50000,,0,-1),
   _xlfn.XLOOKUP(VALUE(A376),[1]Base_Jugadores!A$2:A$50000,[1]Base_Jugadores!C$2:C$50000)
)</f>
        <v>CA Osasuna</v>
      </c>
      <c r="D376" s="5" t="str">
        <f aca="false">[1]Base_Jugadores!D376</f>
        <v>España</v>
      </c>
      <c r="E376" s="3"/>
      <c r="F376" s="5" t="str">
        <f aca="false">[1]Base_Jugadores!E376</f>
        <v>DC</v>
      </c>
      <c r="G376" s="5" t="n">
        <f aca="false">[1]Base_Jugadores!F376</f>
        <v>74</v>
      </c>
      <c r="H376" s="5" t="n">
        <f aca="false">[1]Base_Jugadores!G376</f>
        <v>25</v>
      </c>
      <c r="I376" s="7" t="n">
        <f aca="false" t="array" ref="I376:I376">_xlfn.XLOOKUP(G376,{55;56;57;58;59;60;61;62;63;64;65;66;67;68;69;70;71;72;73;74;75;76;77;78;79;80;81;82;83;84;85;86;87;88;89;90;91;92;93;94;95;96;97;98;99},{100000;130000;160000;190000;220000;250000;300000;350000;400000;450000;500000;600000;700000;800000;900000;1000000;1500000;2000000;3000000;4000000;5000000;6500000;8000000;10000000;12500000;15000000;20000000;25000000;30000000;35000000;40000000;55000000;70000000;80000000;90000000;110000000;130000000;160000000;190000000;220000000;250000000;280000000;310000000;340000000;400000000})</f>
        <v>4000000</v>
      </c>
      <c r="J376" s="7" t="n">
        <f aca="false">I376*S376*T376*U376</f>
        <v>5616000</v>
      </c>
      <c r="K376" s="3"/>
      <c r="L376" s="3"/>
      <c r="M376" s="3"/>
      <c r="N376" s="9" t="n">
        <v>1</v>
      </c>
      <c r="O376" s="4" t="n">
        <v>0</v>
      </c>
      <c r="P376" s="5" t="n">
        <f aca="false">IF(COUNTIF([1]Base_Jugadores!J$2:J$500,B376)&gt;0,1,0)</f>
        <v>1</v>
      </c>
      <c r="Q376" s="10" t="b">
        <f aca="false">--(COUNTIFS(
   [1]Fichajes_Realizados!A$2:A$5000,A376,
   [1]Fichajes_Realizados!G$2:G$5000,$X$3
)&gt;0)</f>
        <v>0</v>
      </c>
      <c r="R376" s="5" t="n">
        <f aca="false">_xlfn.XLOOKUP(C376, [1]Estado_Equipos!A$2:A$500, [1]Estado_Equipos!J$2:J$500, "")</f>
        <v>73</v>
      </c>
      <c r="S376" s="5" t="n">
        <f aca="false">IF(H376&lt;=16,1.45,
IF(H376&gt;=41,0.3,
CHOOSE(ROUNDDOWN((H376-16)/2,0)+1,
1.45,1.38,1.3,1.23,1.17,1.15,1.12,1.05,0.95,0.8,0.6,0.4,0.3)))</f>
        <v>1.17</v>
      </c>
      <c r="T376" s="5" t="n">
        <f aca="false">CHOOSE(N376+1,1.2,1,0.85,0.7)</f>
        <v>1</v>
      </c>
      <c r="U376" s="5" t="n">
        <f aca="false">IF(F376="PO",0.6,
IF(F376="CT",0.75,
IF(F376="LI",0.8,
IF(F376="LD",0.8,
IF(F376="MCD",0.85,
IF(F376="MC",0.95,
IF(F376="MO",1.05,
IF(F376="EI",1.1,
IF(F376="ED",1.1,
IF(F376="SD",1.15,
IF(F376="DC",1.2,0)))))))))))</f>
        <v>1.2</v>
      </c>
    </row>
    <row r="377" customFormat="false" ht="16.4" hidden="false" customHeight="false" outlineLevel="0" collapsed="false">
      <c r="A377" s="1" t="n">
        <v>376</v>
      </c>
      <c r="B377" s="5" t="str">
        <f aca="false">[1]Base_Jugadores!B377</f>
        <v>Rubén García</v>
      </c>
      <c r="C377" s="5" t="str">
        <f aca="false">IFERROR(
   _xlfn.XLOOKUP(VALUE(A377),[1]Fichajes_Realizados!A$2:A$50000,[1]Fichajes_Realizados!D$2:D$50000,,0,-1),
   _xlfn.XLOOKUP(VALUE(A377),[1]Base_Jugadores!A$2:A$50000,[1]Base_Jugadores!C$2:C$50000)
)</f>
        <v>CA Osasuna</v>
      </c>
      <c r="D377" s="5" t="str">
        <f aca="false">[1]Base_Jugadores!D377</f>
        <v>España</v>
      </c>
      <c r="E377" s="3"/>
      <c r="F377" s="5" t="str">
        <f aca="false">[1]Base_Jugadores!E377</f>
        <v>ED</v>
      </c>
      <c r="G377" s="5" t="n">
        <f aca="false">[1]Base_Jugadores!F377</f>
        <v>78</v>
      </c>
      <c r="H377" s="5" t="n">
        <f aca="false">[1]Base_Jugadores!G377</f>
        <v>32</v>
      </c>
      <c r="I377" s="7" t="n">
        <f aca="false" t="array" ref="I377:I377">_xlfn.XLOOKUP(G377,{55;56;57;58;59;60;61;62;63;64;65;66;67;68;69;70;71;72;73;74;75;76;77;78;79;80;81;82;83;84;85;86;87;88;89;90;91;92;93;94;95;96;97;98;99},{100000;130000;160000;190000;220000;250000;300000;350000;400000;450000;500000;600000;700000;800000;900000;1000000;1500000;2000000;3000000;4000000;5000000;6500000;8000000;10000000;12500000;15000000;20000000;25000000;30000000;35000000;40000000;55000000;70000000;80000000;90000000;110000000;130000000;160000000;190000000;220000000;250000000;280000000;310000000;340000000;400000000})</f>
        <v>10000000</v>
      </c>
      <c r="J377" s="7" t="n">
        <f aca="false">I377*S377*T377*U377</f>
        <v>12540000</v>
      </c>
      <c r="K377" s="3"/>
      <c r="L377" s="3"/>
      <c r="M377" s="3"/>
      <c r="N377" s="9" t="n">
        <v>0</v>
      </c>
      <c r="O377" s="4" t="n">
        <v>0</v>
      </c>
      <c r="P377" s="5" t="n">
        <f aca="false">IF(COUNTIF([1]Base_Jugadores!J$2:J$500,B377)&gt;0,1,0)</f>
        <v>1</v>
      </c>
      <c r="Q377" s="10" t="b">
        <f aca="false">--(COUNTIFS(
   [1]Fichajes_Realizados!A$2:A$5000,A377,
   [1]Fichajes_Realizados!G$2:G$5000,$X$3
)&gt;0)</f>
        <v>0</v>
      </c>
      <c r="R377" s="5" t="n">
        <f aca="false">_xlfn.XLOOKUP(C377, [1]Estado_Equipos!A$2:A$500, [1]Estado_Equipos!J$2:J$500, "")</f>
        <v>73</v>
      </c>
      <c r="S377" s="5" t="n">
        <f aca="false">IF(H377&lt;=16,1.45,
IF(H377&gt;=41,0.3,
CHOOSE(ROUNDDOWN((H377-16)/2,0)+1,
1.45,1.38,1.3,1.23,1.17,1.15,1.12,1.05,0.95,0.8,0.6,0.4,0.3)))</f>
        <v>0.95</v>
      </c>
      <c r="T377" s="5" t="n">
        <f aca="false">CHOOSE(N377+1,1.2,1,0.85,0.7)</f>
        <v>1.2</v>
      </c>
      <c r="U377" s="5" t="n">
        <f aca="false">IF(F377="PO",0.6,
IF(F377="CT",0.75,
IF(F377="LI",0.8,
IF(F377="LD",0.8,
IF(F377="MCD",0.85,
IF(F377="MC",0.95,
IF(F377="MO",1.05,
IF(F377="EI",1.1,
IF(F377="ED",1.1,
IF(F377="SD",1.15,
IF(F377="DC",1.2,0)))))))))))</f>
        <v>1.1</v>
      </c>
    </row>
    <row r="378" customFormat="false" ht="16.4" hidden="false" customHeight="false" outlineLevel="0" collapsed="false">
      <c r="A378" s="1" t="n">
        <v>377</v>
      </c>
      <c r="B378" s="5" t="str">
        <f aca="false">[1]Base_Jugadores!B378</f>
        <v>Sergio Herrera</v>
      </c>
      <c r="C378" s="5" t="str">
        <f aca="false">IFERROR(
   _xlfn.XLOOKUP(VALUE(A378),[1]Fichajes_Realizados!A$2:A$50000,[1]Fichajes_Realizados!D$2:D$50000,,0,-1),
   _xlfn.XLOOKUP(VALUE(A378),[1]Base_Jugadores!A$2:A$50000,[1]Base_Jugadores!C$2:C$50000)
)</f>
        <v>CA Osasuna</v>
      </c>
      <c r="D378" s="5" t="str">
        <f aca="false">[1]Base_Jugadores!D378</f>
        <v>España</v>
      </c>
      <c r="E378" s="3"/>
      <c r="F378" s="5" t="str">
        <f aca="false">[1]Base_Jugadores!E378</f>
        <v>PO</v>
      </c>
      <c r="G378" s="5" t="n">
        <f aca="false">[1]Base_Jugadores!F378</f>
        <v>78</v>
      </c>
      <c r="H378" s="5" t="n">
        <f aca="false">[1]Base_Jugadores!G378</f>
        <v>32</v>
      </c>
      <c r="I378" s="7" t="n">
        <f aca="false" t="array" ref="I378:I378">_xlfn.XLOOKUP(G378,{55;56;57;58;59;60;61;62;63;64;65;66;67;68;69;70;71;72;73;74;75;76;77;78;79;80;81;82;83;84;85;86;87;88;89;90;91;92;93;94;95;96;97;98;99},{100000;130000;160000;190000;220000;250000;300000;350000;400000;450000;500000;600000;700000;800000;900000;1000000;1500000;2000000;3000000;4000000;5000000;6500000;8000000;10000000;12500000;15000000;20000000;25000000;30000000;35000000;40000000;55000000;70000000;80000000;90000000;110000000;130000000;160000000;190000000;220000000;250000000;280000000;310000000;340000000;400000000})</f>
        <v>10000000</v>
      </c>
      <c r="J378" s="7" t="n">
        <f aca="false">I378*S378*T378*U378</f>
        <v>6840000</v>
      </c>
      <c r="K378" s="3"/>
      <c r="L378" s="3"/>
      <c r="M378" s="3"/>
      <c r="N378" s="9" t="n">
        <v>0</v>
      </c>
      <c r="O378" s="4" t="n">
        <v>0</v>
      </c>
      <c r="P378" s="5" t="n">
        <f aca="false">IF(COUNTIF([1]Base_Jugadores!J$2:J$500,B378)&gt;0,1,0)</f>
        <v>1</v>
      </c>
      <c r="Q378" s="10" t="b">
        <f aca="false">--(COUNTIFS(
   [1]Fichajes_Realizados!A$2:A$5000,A378,
   [1]Fichajes_Realizados!G$2:G$5000,$X$3
)&gt;0)</f>
        <v>0</v>
      </c>
      <c r="R378" s="5" t="n">
        <f aca="false">_xlfn.XLOOKUP(C378, [1]Estado_Equipos!A$2:A$500, [1]Estado_Equipos!J$2:J$500, "")</f>
        <v>73</v>
      </c>
      <c r="S378" s="5" t="n">
        <f aca="false">IF(H378&lt;=16,1.45,
IF(H378&gt;=41,0.3,
CHOOSE(ROUNDDOWN((H378-16)/2,0)+1,
1.45,1.38,1.3,1.23,1.17,1.15,1.12,1.05,0.95,0.8,0.6,0.4,0.3)))</f>
        <v>0.95</v>
      </c>
      <c r="T378" s="5" t="n">
        <f aca="false">CHOOSE(N378+1,1.2,1,0.85,0.7)</f>
        <v>1.2</v>
      </c>
      <c r="U378" s="5" t="n">
        <f aca="false">IF(F378="PO",0.6,
IF(F378="CT",0.75,
IF(F378="LI",0.8,
IF(F378="LD",0.8,
IF(F378="MCD",0.85,
IF(F378="MC",0.95,
IF(F378="MO",1.05,
IF(F378="EI",1.1,
IF(F378="ED",1.1,
IF(F378="SD",1.15,
IF(F378="DC",1.2,0)))))))))))</f>
        <v>0.6</v>
      </c>
    </row>
    <row r="379" customFormat="false" ht="16.4" hidden="false" customHeight="false" outlineLevel="0" collapsed="false">
      <c r="A379" s="1" t="n">
        <v>378</v>
      </c>
      <c r="B379" s="5" t="str">
        <f aca="false">[1]Base_Jugadores!B379</f>
        <v>Sheraldo Becker</v>
      </c>
      <c r="C379" s="5" t="str">
        <f aca="false">IFERROR(
   _xlfn.XLOOKUP(VALUE(A379),[1]Fichajes_Realizados!A$2:A$50000,[1]Fichajes_Realizados!D$2:D$50000,,0,-1),
   _xlfn.XLOOKUP(VALUE(A379),[1]Base_Jugadores!A$2:A$50000,[1]Base_Jugadores!C$2:C$50000)
)</f>
        <v>CA Osasuna</v>
      </c>
      <c r="D379" s="5" t="str">
        <f aca="false">[1]Base_Jugadores!D379</f>
        <v>Surinam</v>
      </c>
      <c r="E379" s="3"/>
      <c r="F379" s="5" t="str">
        <f aca="false">[1]Base_Jugadores!E379</f>
        <v>EI</v>
      </c>
      <c r="G379" s="5" t="n">
        <f aca="false">[1]Base_Jugadores!F379</f>
        <v>80</v>
      </c>
      <c r="H379" s="5" t="n">
        <f aca="false">[1]Base_Jugadores!G379</f>
        <v>30</v>
      </c>
      <c r="I379" s="7" t="n">
        <f aca="false" t="array" ref="I379:I379">_xlfn.XLOOKUP(G379,{55;56;57;58;59;60;61;62;63;64;65;66;67;68;69;70;71;72;73;74;75;76;77;78;79;80;81;82;83;84;85;86;87;88;89;90;91;92;93;94;95;96;97;98;99},{100000;130000;160000;190000;220000;250000;300000;350000;400000;450000;500000;600000;700000;800000;900000;1000000;1500000;2000000;3000000;4000000;5000000;6500000;8000000;10000000;12500000;15000000;20000000;25000000;30000000;35000000;40000000;55000000;70000000;80000000;90000000;110000000;130000000;160000000;190000000;220000000;250000000;280000000;310000000;340000000;400000000})</f>
        <v>15000000</v>
      </c>
      <c r="J379" s="7" t="n">
        <f aca="false">I379*S379*T379*U379</f>
        <v>20790000</v>
      </c>
      <c r="K379" s="3"/>
      <c r="L379" s="3"/>
      <c r="M379" s="3"/>
      <c r="N379" s="9" t="n">
        <v>0</v>
      </c>
      <c r="O379" s="4" t="n">
        <v>0</v>
      </c>
      <c r="P379" s="5" t="n">
        <f aca="false">IF(COUNTIF([1]Base_Jugadores!J$2:J$500,B379)&gt;0,1,0)</f>
        <v>0</v>
      </c>
      <c r="Q379" s="10" t="b">
        <f aca="false">--(COUNTIFS(
   [1]Fichajes_Realizados!A$2:A$5000,A379,
   [1]Fichajes_Realizados!G$2:G$5000,$X$3
)&gt;0)</f>
        <v>0</v>
      </c>
      <c r="R379" s="5" t="n">
        <f aca="false">_xlfn.XLOOKUP(C379, [1]Estado_Equipos!A$2:A$500, [1]Estado_Equipos!J$2:J$500, "")</f>
        <v>73</v>
      </c>
      <c r="S379" s="5" t="n">
        <f aca="false">IF(H379&lt;=16,1.45,
IF(H379&gt;=41,0.3,
CHOOSE(ROUNDDOWN((H379-16)/2,0)+1,
1.45,1.38,1.3,1.23,1.17,1.15,1.12,1.05,0.95,0.8,0.6,0.4,0.3)))</f>
        <v>1.05</v>
      </c>
      <c r="T379" s="5" t="n">
        <f aca="false">CHOOSE(N379+1,1.2,1,0.85,0.7)</f>
        <v>1.2</v>
      </c>
      <c r="U379" s="5" t="n">
        <f aca="false">IF(F379="PO",0.6,
IF(F379="CT",0.75,
IF(F379="LI",0.8,
IF(F379="LD",0.8,
IF(F379="MCD",0.85,
IF(F379="MC",0.95,
IF(F379="MO",1.05,
IF(F379="EI",1.1,
IF(F379="ED",1.1,
IF(F379="SD",1.15,
IF(F379="DC",1.2,0)))))))))))</f>
        <v>1.1</v>
      </c>
    </row>
    <row r="380" customFormat="false" ht="16.4" hidden="false" customHeight="false" outlineLevel="0" collapsed="false">
      <c r="A380" s="1" t="n">
        <v>379</v>
      </c>
      <c r="B380" s="5" t="str">
        <f aca="false">[1]Base_Jugadores!B380</f>
        <v>Valentin Rosier</v>
      </c>
      <c r="C380" s="5" t="str">
        <f aca="false">IFERROR(
   _xlfn.XLOOKUP(VALUE(A380),[1]Fichajes_Realizados!A$2:A$50000,[1]Fichajes_Realizados!D$2:D$50000,,0,-1),
   _xlfn.XLOOKUP(VALUE(A380),[1]Base_Jugadores!A$2:A$50000,[1]Base_Jugadores!C$2:C$50000)
)</f>
        <v>CA Osasuna</v>
      </c>
      <c r="D380" s="5" t="str">
        <f aca="false">[1]Base_Jugadores!D380</f>
        <v>Francia</v>
      </c>
      <c r="E380" s="3"/>
      <c r="F380" s="5" t="str">
        <f aca="false">[1]Base_Jugadores!E380</f>
        <v>LD</v>
      </c>
      <c r="G380" s="5" t="n">
        <f aca="false">[1]Base_Jugadores!F380</f>
        <v>74</v>
      </c>
      <c r="H380" s="5" t="n">
        <f aca="false">[1]Base_Jugadores!G380</f>
        <v>29</v>
      </c>
      <c r="I380" s="7" t="n">
        <f aca="false" t="array" ref="I380:I380">_xlfn.XLOOKUP(G380,{55;56;57;58;59;60;61;62;63;64;65;66;67;68;69;70;71;72;73;74;75;76;77;78;79;80;81;82;83;84;85;86;87;88;89;90;91;92;93;94;95;96;97;98;99},{100000;130000;160000;190000;220000;250000;300000;350000;400000;450000;500000;600000;700000;800000;900000;1000000;1500000;2000000;3000000;4000000;5000000;6500000;8000000;10000000;12500000;15000000;20000000;25000000;30000000;35000000;40000000;55000000;70000000;80000000;90000000;110000000;130000000;160000000;190000000;220000000;250000000;280000000;310000000;340000000;400000000})</f>
        <v>4000000</v>
      </c>
      <c r="J380" s="7" t="n">
        <f aca="false">I380*S380*T380*U380</f>
        <v>4300800</v>
      </c>
      <c r="K380" s="3"/>
      <c r="L380" s="3"/>
      <c r="M380" s="3"/>
      <c r="N380" s="9" t="n">
        <v>0</v>
      </c>
      <c r="O380" s="4" t="n">
        <v>0</v>
      </c>
      <c r="P380" s="5" t="n">
        <f aca="false">IF(COUNTIF([1]Base_Jugadores!J$2:J$500,B380)&gt;0,1,0)</f>
        <v>0</v>
      </c>
      <c r="Q380" s="10" t="b">
        <f aca="false">--(COUNTIFS(
   [1]Fichajes_Realizados!A$2:A$5000,A380,
   [1]Fichajes_Realizados!G$2:G$5000,$X$3
)&gt;0)</f>
        <v>0</v>
      </c>
      <c r="R380" s="5" t="n">
        <f aca="false">_xlfn.XLOOKUP(C380, [1]Estado_Equipos!A$2:A$500, [1]Estado_Equipos!J$2:J$500, "")</f>
        <v>73</v>
      </c>
      <c r="S380" s="5" t="n">
        <f aca="false">IF(H380&lt;=16,1.45,
IF(H380&gt;=41,0.3,
CHOOSE(ROUNDDOWN((H380-16)/2,0)+1,
1.45,1.38,1.3,1.23,1.17,1.15,1.12,1.05,0.95,0.8,0.6,0.4,0.3)))</f>
        <v>1.12</v>
      </c>
      <c r="T380" s="5" t="n">
        <f aca="false">CHOOSE(N380+1,1.2,1,0.85,0.7)</f>
        <v>1.2</v>
      </c>
      <c r="U380" s="5" t="n">
        <f aca="false">IF(F380="PO",0.6,
IF(F380="CT",0.75,
IF(F380="LI",0.8,
IF(F380="LD",0.8,
IF(F380="MCD",0.85,
IF(F380="MC",0.95,
IF(F380="MO",1.05,
IF(F380="EI",1.1,
IF(F380="ED",1.1,
IF(F380="SD",1.15,
IF(F380="DC",1.2,0)))))))))))</f>
        <v>0.8</v>
      </c>
    </row>
    <row r="381" customFormat="false" ht="16.4" hidden="false" customHeight="false" outlineLevel="0" collapsed="false">
      <c r="A381" s="1" t="n">
        <v>380</v>
      </c>
      <c r="B381" s="5" t="str">
        <f aca="false">[1]Base_Jugadores!B381</f>
        <v>Víctor Muñoz</v>
      </c>
      <c r="C381" s="5" t="str">
        <f aca="false">IFERROR(
   _xlfn.XLOOKUP(VALUE(A381),[1]Fichajes_Realizados!A$2:A$50000,[1]Fichajes_Realizados!D$2:D$50000,,0,-1),
   _xlfn.XLOOKUP(VALUE(A381),[1]Base_Jugadores!A$2:A$50000,[1]Base_Jugadores!C$2:C$50000)
)</f>
        <v>CA Osasuna</v>
      </c>
      <c r="D381" s="5" t="str">
        <f aca="false">[1]Base_Jugadores!D381</f>
        <v>España</v>
      </c>
      <c r="E381" s="3"/>
      <c r="F381" s="5" t="str">
        <f aca="false">[1]Base_Jugadores!E381</f>
        <v>EI</v>
      </c>
      <c r="G381" s="5" t="n">
        <f aca="false">[1]Base_Jugadores!F381</f>
        <v>60</v>
      </c>
      <c r="H381" s="5" t="n">
        <f aca="false">[1]Base_Jugadores!G381</f>
        <v>22</v>
      </c>
      <c r="I381" s="7" t="n">
        <f aca="false" t="array" ref="I381:I381">_xlfn.XLOOKUP(G381,{55;56;57;58;59;60;61;62;63;64;65;66;67;68;69;70;71;72;73;74;75;76;77;78;79;80;81;82;83;84;85;86;87;88;89;90;91;92;93;94;95;96;97;98;99},{100000;130000;160000;190000;220000;250000;300000;350000;400000;450000;500000;600000;700000;800000;900000;1000000;1500000;2000000;3000000;4000000;5000000;6500000;8000000;10000000;12500000;15000000;20000000;25000000;30000000;35000000;40000000;55000000;70000000;80000000;90000000;110000000;130000000;160000000;190000000;220000000;250000000;280000000;310000000;340000000;400000000})</f>
        <v>250000</v>
      </c>
      <c r="J381" s="7" t="n">
        <f aca="false">I381*S381*T381*U381</f>
        <v>287512.5</v>
      </c>
      <c r="K381" s="3"/>
      <c r="L381" s="3"/>
      <c r="M381" s="3"/>
      <c r="N381" s="9" t="n">
        <v>2</v>
      </c>
      <c r="O381" s="4" t="n">
        <v>0</v>
      </c>
      <c r="P381" s="5" t="n">
        <f aca="false">IF(COUNTIF([1]Base_Jugadores!J$2:J$500,B381)&gt;0,1,0)</f>
        <v>0</v>
      </c>
      <c r="Q381" s="10" t="b">
        <f aca="false">--(COUNTIFS(
   [1]Fichajes_Realizados!A$2:A$5000,A381,
   [1]Fichajes_Realizados!G$2:G$5000,$X$3
)&gt;0)</f>
        <v>0</v>
      </c>
      <c r="R381" s="5" t="n">
        <f aca="false">_xlfn.XLOOKUP(C381, [1]Estado_Equipos!A$2:A$500, [1]Estado_Equipos!J$2:J$500, "")</f>
        <v>73</v>
      </c>
      <c r="S381" s="5" t="n">
        <f aca="false">IF(H381&lt;=16,1.45,
IF(H381&gt;=41,0.3,
CHOOSE(ROUNDDOWN((H381-16)/2,0)+1,
1.45,1.38,1.3,1.23,1.17,1.15,1.12,1.05,0.95,0.8,0.6,0.4,0.3)))</f>
        <v>1.23</v>
      </c>
      <c r="T381" s="5" t="n">
        <f aca="false">CHOOSE(N381+1,1.2,1,0.85,0.7)</f>
        <v>0.85</v>
      </c>
      <c r="U381" s="5" t="n">
        <f aca="false">IF(F381="PO",0.6,
IF(F381="CT",0.75,
IF(F381="LI",0.8,
IF(F381="LD",0.8,
IF(F381="MCD",0.85,
IF(F381="MC",0.95,
IF(F381="MO",1.05,
IF(F381="EI",1.1,
IF(F381="ED",1.1,
IF(F381="SD",1.15,
IF(F381="DC",1.2,0)))))))))))</f>
        <v>1.1</v>
      </c>
    </row>
    <row r="382" customFormat="false" ht="16.4" hidden="false" customHeight="false" outlineLevel="0" collapsed="false">
      <c r="A382" s="1" t="n">
        <v>381</v>
      </c>
      <c r="B382" s="5" t="str">
        <f aca="false">[1]Base_Jugadores!B382</f>
        <v>Abdul Mumin</v>
      </c>
      <c r="C382" s="5" t="str">
        <f aca="false">IFERROR(
   _xlfn.XLOOKUP(VALUE(A382),[1]Fichajes_Realizados!A$2:A$50000,[1]Fichajes_Realizados!D$2:D$50000,,0,-1),
   _xlfn.XLOOKUP(VALUE(A382),[1]Base_Jugadores!A$2:A$50000,[1]Base_Jugadores!C$2:C$50000)
)</f>
        <v>Rayo Vallecano</v>
      </c>
      <c r="D382" s="5" t="str">
        <f aca="false">[1]Base_Jugadores!D382</f>
        <v>Ghana</v>
      </c>
      <c r="E382" s="3"/>
      <c r="F382" s="5" t="str">
        <f aca="false">[1]Base_Jugadores!E382</f>
        <v>CT</v>
      </c>
      <c r="G382" s="5" t="n">
        <f aca="false">[1]Base_Jugadores!F382</f>
        <v>71</v>
      </c>
      <c r="H382" s="5" t="n">
        <f aca="false">[1]Base_Jugadores!G382</f>
        <v>27</v>
      </c>
      <c r="I382" s="7" t="n">
        <f aca="false" t="array" ref="I382:I382">_xlfn.XLOOKUP(G382,{55;56;57;58;59;60;61;62;63;64;65;66;67;68;69;70;71;72;73;74;75;76;77;78;79;80;81;82;83;84;85;86;87;88;89;90;91;92;93;94;95;96;97;98;99},{100000;130000;160000;190000;220000;250000;300000;350000;400000;450000;500000;600000;700000;800000;900000;1000000;1500000;2000000;3000000;4000000;5000000;6500000;8000000;10000000;12500000;15000000;20000000;25000000;30000000;35000000;40000000;55000000;70000000;80000000;90000000;110000000;130000000;160000000;190000000;220000000;250000000;280000000;310000000;340000000;400000000})</f>
        <v>1500000</v>
      </c>
      <c r="J382" s="7" t="n">
        <f aca="false">I382*S382*T382*U382</f>
        <v>1099687.5</v>
      </c>
      <c r="K382" s="3"/>
      <c r="L382" s="3"/>
      <c r="M382" s="3"/>
      <c r="N382" s="9" t="n">
        <v>2</v>
      </c>
      <c r="O382" s="4" t="n">
        <v>0</v>
      </c>
      <c r="P382" s="5" t="n">
        <f aca="false">IF(COUNTIF([1]Base_Jugadores!J$2:J$500,B382)&gt;0,1,0)</f>
        <v>0</v>
      </c>
      <c r="Q382" s="10" t="b">
        <f aca="false">--(COUNTIFS(
   [1]Fichajes_Realizados!A$2:A$5000,A382,
   [1]Fichajes_Realizados!G$2:G$5000,$X$3
)&gt;0)</f>
        <v>0</v>
      </c>
      <c r="R382" s="5" t="n">
        <f aca="false">_xlfn.XLOOKUP(C382, [1]Estado_Equipos!A$2:A$500, [1]Estado_Equipos!J$2:J$500, "")</f>
        <v>74</v>
      </c>
      <c r="S382" s="5" t="n">
        <f aca="false">IF(H382&lt;=16,1.45,
IF(H382&gt;=41,0.3,
CHOOSE(ROUNDDOWN((H382-16)/2,0)+1,
1.45,1.38,1.3,1.23,1.17,1.15,1.12,1.05,0.95,0.8,0.6,0.4,0.3)))</f>
        <v>1.15</v>
      </c>
      <c r="T382" s="5" t="n">
        <f aca="false">CHOOSE(N382+1,1.2,1,0.85,0.7)</f>
        <v>0.85</v>
      </c>
      <c r="U382" s="5" t="n">
        <f aca="false">IF(F382="PO",0.6,
IF(F382="CT",0.75,
IF(F382="LI",0.8,
IF(F382="LD",0.8,
IF(F382="MCD",0.85,
IF(F382="MC",0.95,
IF(F382="MO",1.05,
IF(F382="EI",1.1,
IF(F382="ED",1.1,
IF(F382="SD",1.15,
IF(F382="DC",1.2,0)))))))))))</f>
        <v>0.75</v>
      </c>
    </row>
    <row r="383" customFormat="false" ht="16.4" hidden="false" customHeight="false" outlineLevel="0" collapsed="false">
      <c r="A383" s="1" t="n">
        <v>382</v>
      </c>
      <c r="B383" s="5" t="str">
        <f aca="false">[1]Base_Jugadores!B383</f>
        <v>Alemão Z.</v>
      </c>
      <c r="C383" s="5" t="str">
        <f aca="false">IFERROR(
   _xlfn.XLOOKUP(VALUE(A383),[1]Fichajes_Realizados!A$2:A$50000,[1]Fichajes_Realizados!D$2:D$50000,,0,-1),
   _xlfn.XLOOKUP(VALUE(A383),[1]Base_Jugadores!A$2:A$50000,[1]Base_Jugadores!C$2:C$50000)
)</f>
        <v>Rayo Vallecano</v>
      </c>
      <c r="D383" s="5" t="str">
        <f aca="false">[1]Base_Jugadores!D383</f>
        <v>Brasil</v>
      </c>
      <c r="E383" s="3"/>
      <c r="F383" s="5" t="str">
        <f aca="false">[1]Base_Jugadores!E383</f>
        <v>DC</v>
      </c>
      <c r="G383" s="5" t="n">
        <f aca="false">[1]Base_Jugadores!F383</f>
        <v>71</v>
      </c>
      <c r="H383" s="5" t="n">
        <f aca="false">[1]Base_Jugadores!G383</f>
        <v>27</v>
      </c>
      <c r="I383" s="7" t="n">
        <f aca="false" t="array" ref="I383:I383">_xlfn.XLOOKUP(G383,{55;56;57;58;59;60;61;62;63;64;65;66;67;68;69;70;71;72;73;74;75;76;77;78;79;80;81;82;83;84;85;86;87;88;89;90;91;92;93;94;95;96;97;98;99},{100000;130000;160000;190000;220000;250000;300000;350000;400000;450000;500000;600000;700000;800000;900000;1000000;1500000;2000000;3000000;4000000;5000000;6500000;8000000;10000000;12500000;15000000;20000000;25000000;30000000;35000000;40000000;55000000;70000000;80000000;90000000;110000000;130000000;160000000;190000000;220000000;250000000;280000000;310000000;340000000;400000000})</f>
        <v>1500000</v>
      </c>
      <c r="J383" s="7" t="n">
        <f aca="false">I383*S383*T383*U383</f>
        <v>1759500</v>
      </c>
      <c r="K383" s="3"/>
      <c r="L383" s="3"/>
      <c r="M383" s="3"/>
      <c r="N383" s="9" t="n">
        <v>2</v>
      </c>
      <c r="O383" s="4" t="n">
        <v>0</v>
      </c>
      <c r="P383" s="5" t="n">
        <f aca="false">IF(COUNTIF([1]Base_Jugadores!J$2:J$500,B383)&gt;0,1,0)</f>
        <v>0</v>
      </c>
      <c r="Q383" s="10" t="b">
        <f aca="false">--(COUNTIFS(
   [1]Fichajes_Realizados!A$2:A$5000,A383,
   [1]Fichajes_Realizados!G$2:G$5000,$X$3
)&gt;0)</f>
        <v>0</v>
      </c>
      <c r="R383" s="5" t="n">
        <f aca="false">_xlfn.XLOOKUP(C383, [1]Estado_Equipos!A$2:A$500, [1]Estado_Equipos!J$2:J$500, "")</f>
        <v>74</v>
      </c>
      <c r="S383" s="5" t="n">
        <f aca="false">IF(H383&lt;=16,1.45,
IF(H383&gt;=41,0.3,
CHOOSE(ROUNDDOWN((H383-16)/2,0)+1,
1.45,1.38,1.3,1.23,1.17,1.15,1.12,1.05,0.95,0.8,0.6,0.4,0.3)))</f>
        <v>1.15</v>
      </c>
      <c r="T383" s="5" t="n">
        <f aca="false">CHOOSE(N383+1,1.2,1,0.85,0.7)</f>
        <v>0.85</v>
      </c>
      <c r="U383" s="5" t="n">
        <f aca="false">IF(F383="PO",0.6,
IF(F383="CT",0.75,
IF(F383="LI",0.8,
IF(F383="LD",0.8,
IF(F383="MCD",0.85,
IF(F383="MC",0.95,
IF(F383="MO",1.05,
IF(F383="EI",1.1,
IF(F383="ED",1.1,
IF(F383="SD",1.15,
IF(F383="DC",1.2,0)))))))))))</f>
        <v>1.2</v>
      </c>
    </row>
    <row r="384" customFormat="false" ht="16.4" hidden="false" customHeight="false" outlineLevel="0" collapsed="false">
      <c r="A384" s="1" t="n">
        <v>383</v>
      </c>
      <c r="B384" s="5" t="str">
        <f aca="false">[1]Base_Jugadores!B384</f>
        <v>Alfonso Espino</v>
      </c>
      <c r="C384" s="5" t="str">
        <f aca="false">IFERROR(
   _xlfn.XLOOKUP(VALUE(A384),[1]Fichajes_Realizados!A$2:A$50000,[1]Fichajes_Realizados!D$2:D$50000,,0,-1),
   _xlfn.XLOOKUP(VALUE(A384),[1]Base_Jugadores!A$2:A$50000,[1]Base_Jugadores!C$2:C$50000)
)</f>
        <v>Rayo Vallecano</v>
      </c>
      <c r="D384" s="5" t="str">
        <f aca="false">[1]Base_Jugadores!D384</f>
        <v>Uruguay</v>
      </c>
      <c r="E384" s="3"/>
      <c r="F384" s="5" t="str">
        <f aca="false">[1]Base_Jugadores!E384</f>
        <v>LI</v>
      </c>
      <c r="G384" s="5" t="n">
        <f aca="false">[1]Base_Jugadores!F384</f>
        <v>78</v>
      </c>
      <c r="H384" s="5" t="n">
        <f aca="false">[1]Base_Jugadores!G384</f>
        <v>33</v>
      </c>
      <c r="I384" s="7" t="n">
        <f aca="false" t="array" ref="I384:I384">_xlfn.XLOOKUP(G384,{55;56;57;58;59;60;61;62;63;64;65;66;67;68;69;70;71;72;73;74;75;76;77;78;79;80;81;82;83;84;85;86;87;88;89;90;91;92;93;94;95;96;97;98;99},{100000;130000;160000;190000;220000;250000;300000;350000;400000;450000;500000;600000;700000;800000;900000;1000000;1500000;2000000;3000000;4000000;5000000;6500000;8000000;10000000;12500000;15000000;20000000;25000000;30000000;35000000;40000000;55000000;70000000;80000000;90000000;110000000;130000000;160000000;190000000;220000000;250000000;280000000;310000000;340000000;400000000})</f>
        <v>10000000</v>
      </c>
      <c r="J384" s="7" t="n">
        <f aca="false">I384*S384*T384*U384</f>
        <v>9120000</v>
      </c>
      <c r="K384" s="3"/>
      <c r="L384" s="3"/>
      <c r="M384" s="3"/>
      <c r="N384" s="9" t="n">
        <v>0</v>
      </c>
      <c r="O384" s="4" t="n">
        <v>0</v>
      </c>
      <c r="P384" s="5" t="n">
        <f aca="false">IF(COUNTIF([1]Base_Jugadores!J$2:J$500,B384)&gt;0,1,0)</f>
        <v>0</v>
      </c>
      <c r="Q384" s="10" t="b">
        <f aca="false">--(COUNTIFS(
   [1]Fichajes_Realizados!A$2:A$5000,A384,
   [1]Fichajes_Realizados!G$2:G$5000,$X$3
)&gt;0)</f>
        <v>0</v>
      </c>
      <c r="R384" s="5" t="n">
        <f aca="false">_xlfn.XLOOKUP(C384, [1]Estado_Equipos!A$2:A$500, [1]Estado_Equipos!J$2:J$500, "")</f>
        <v>74</v>
      </c>
      <c r="S384" s="5" t="n">
        <f aca="false">IF(H384&lt;=16,1.45,
IF(H384&gt;=41,0.3,
CHOOSE(ROUNDDOWN((H384-16)/2,0)+1,
1.45,1.38,1.3,1.23,1.17,1.15,1.12,1.05,0.95,0.8,0.6,0.4,0.3)))</f>
        <v>0.95</v>
      </c>
      <c r="T384" s="5" t="n">
        <f aca="false">CHOOSE(N384+1,1.2,1,0.85,0.7)</f>
        <v>1.2</v>
      </c>
      <c r="U384" s="5" t="n">
        <f aca="false">IF(F384="PO",0.6,
IF(F384="CT",0.75,
IF(F384="LI",0.8,
IF(F384="LD",0.8,
IF(F384="MCD",0.85,
IF(F384="MC",0.95,
IF(F384="MO",1.05,
IF(F384="EI",1.1,
IF(F384="ED",1.1,
IF(F384="SD",1.15,
IF(F384="DC",1.2,0)))))))))))</f>
        <v>0.8</v>
      </c>
    </row>
    <row r="385" customFormat="false" ht="16.4" hidden="false" customHeight="false" outlineLevel="0" collapsed="false">
      <c r="A385" s="1" t="n">
        <v>384</v>
      </c>
      <c r="B385" s="5" t="str">
        <f aca="false">[1]Base_Jugadores!B385</f>
        <v>Álvaro García R.</v>
      </c>
      <c r="C385" s="5" t="str">
        <f aca="false">IFERROR(
   _xlfn.XLOOKUP(VALUE(A385),[1]Fichajes_Realizados!A$2:A$50000,[1]Fichajes_Realizados!D$2:D$50000,,0,-1),
   _xlfn.XLOOKUP(VALUE(A385),[1]Base_Jugadores!A$2:A$50000,[1]Base_Jugadores!C$2:C$50000)
)</f>
        <v>Rayo Vallecano</v>
      </c>
      <c r="D385" s="5" t="str">
        <f aca="false">[1]Base_Jugadores!D385</f>
        <v>España</v>
      </c>
      <c r="E385" s="3"/>
      <c r="F385" s="5" t="str">
        <f aca="false">[1]Base_Jugadores!E385</f>
        <v>EI</v>
      </c>
      <c r="G385" s="5" t="n">
        <f aca="false">[1]Base_Jugadores!F385</f>
        <v>80</v>
      </c>
      <c r="H385" s="5" t="n">
        <f aca="false">[1]Base_Jugadores!G385</f>
        <v>33</v>
      </c>
      <c r="I385" s="7" t="n">
        <f aca="false" t="array" ref="I385:I385">_xlfn.XLOOKUP(G385,{55;56;57;58;59;60;61;62;63;64;65;66;67;68;69;70;71;72;73;74;75;76;77;78;79;80;81;82;83;84;85;86;87;88;89;90;91;92;93;94;95;96;97;98;99},{100000;130000;160000;190000;220000;250000;300000;350000;400000;450000;500000;600000;700000;800000;900000;1000000;1500000;2000000;3000000;4000000;5000000;6500000;8000000;10000000;12500000;15000000;20000000;25000000;30000000;35000000;40000000;55000000;70000000;80000000;90000000;110000000;130000000;160000000;190000000;220000000;250000000;280000000;310000000;340000000;400000000})</f>
        <v>15000000</v>
      </c>
      <c r="J385" s="7" t="n">
        <f aca="false">I385*S385*T385*U385</f>
        <v>18810000</v>
      </c>
      <c r="K385" s="3"/>
      <c r="L385" s="3"/>
      <c r="M385" s="3"/>
      <c r="N385" s="9" t="n">
        <v>0</v>
      </c>
      <c r="O385" s="4" t="n">
        <v>0</v>
      </c>
      <c r="P385" s="5" t="n">
        <f aca="false">IF(COUNTIF([1]Base_Jugadores!J$2:J$500,B385)&gt;0,1,0)</f>
        <v>0</v>
      </c>
      <c r="Q385" s="10" t="b">
        <f aca="false">--(COUNTIFS(
   [1]Fichajes_Realizados!A$2:A$5000,A385,
   [1]Fichajes_Realizados!G$2:G$5000,$X$3
)&gt;0)</f>
        <v>0</v>
      </c>
      <c r="R385" s="5" t="n">
        <f aca="false">_xlfn.XLOOKUP(C385, [1]Estado_Equipos!A$2:A$500, [1]Estado_Equipos!J$2:J$500, "")</f>
        <v>74</v>
      </c>
      <c r="S385" s="5" t="n">
        <f aca="false">IF(H385&lt;=16,1.45,
IF(H385&gt;=41,0.3,
CHOOSE(ROUNDDOWN((H385-16)/2,0)+1,
1.45,1.38,1.3,1.23,1.17,1.15,1.12,1.05,0.95,0.8,0.6,0.4,0.3)))</f>
        <v>0.95</v>
      </c>
      <c r="T385" s="5" t="n">
        <f aca="false">CHOOSE(N385+1,1.2,1,0.85,0.7)</f>
        <v>1.2</v>
      </c>
      <c r="U385" s="5" t="n">
        <f aca="false">IF(F385="PO",0.6,
IF(F385="CT",0.75,
IF(F385="LI",0.8,
IF(F385="LD",0.8,
IF(F385="MCD",0.85,
IF(F385="MC",0.95,
IF(F385="MO",1.05,
IF(F385="EI",1.1,
IF(F385="ED",1.1,
IF(F385="SD",1.15,
IF(F385="DC",1.2,0)))))))))))</f>
        <v>1.1</v>
      </c>
    </row>
    <row r="386" customFormat="false" ht="16.4" hidden="false" customHeight="false" outlineLevel="0" collapsed="false">
      <c r="A386" s="1" t="n">
        <v>385</v>
      </c>
      <c r="B386" s="5" t="str">
        <f aca="false">[1]Base_Jugadores!B386</f>
        <v>Andrei Rațiu</v>
      </c>
      <c r="C386" s="5" t="str">
        <f aca="false">IFERROR(
   _xlfn.XLOOKUP(VALUE(A386),[1]Fichajes_Realizados!A$2:A$50000,[1]Fichajes_Realizados!D$2:D$50000,,0,-1),
   _xlfn.XLOOKUP(VALUE(A386),[1]Base_Jugadores!A$2:A$50000,[1]Base_Jugadores!C$2:C$50000)
)</f>
        <v>Rayo Vallecano</v>
      </c>
      <c r="D386" s="5" t="str">
        <f aca="false">[1]Base_Jugadores!D386</f>
        <v>Rumania</v>
      </c>
      <c r="E386" s="3"/>
      <c r="F386" s="5" t="str">
        <f aca="false">[1]Base_Jugadores!E386</f>
        <v>LD</v>
      </c>
      <c r="G386" s="5" t="n">
        <f aca="false">[1]Base_Jugadores!F386</f>
        <v>78</v>
      </c>
      <c r="H386" s="5" t="n">
        <f aca="false">[1]Base_Jugadores!G386</f>
        <v>27</v>
      </c>
      <c r="I386" s="7" t="n">
        <f aca="false" t="array" ref="I386:I386">_xlfn.XLOOKUP(G386,{55;56;57;58;59;60;61;62;63;64;65;66;67;68;69;70;71;72;73;74;75;76;77;78;79;80;81;82;83;84;85;86;87;88;89;90;91;92;93;94;95;96;97;98;99},{100000;130000;160000;190000;220000;250000;300000;350000;400000;450000;500000;600000;700000;800000;900000;1000000;1500000;2000000;3000000;4000000;5000000;6500000;8000000;10000000;12500000;15000000;20000000;25000000;30000000;35000000;40000000;55000000;70000000;80000000;90000000;110000000;130000000;160000000;190000000;220000000;250000000;280000000;310000000;340000000;400000000})</f>
        <v>10000000</v>
      </c>
      <c r="J386" s="7" t="n">
        <f aca="false">I386*S386*T386*U386</f>
        <v>11040000</v>
      </c>
      <c r="K386" s="3"/>
      <c r="L386" s="3"/>
      <c r="M386" s="3"/>
      <c r="N386" s="9" t="n">
        <v>0</v>
      </c>
      <c r="O386" s="4" t="n">
        <v>0</v>
      </c>
      <c r="P386" s="5" t="n">
        <f aca="false">IF(COUNTIF([1]Base_Jugadores!J$2:J$500,B386)&gt;0,1,0)</f>
        <v>0</v>
      </c>
      <c r="Q386" s="10" t="b">
        <f aca="false">--(COUNTIFS(
   [1]Fichajes_Realizados!A$2:A$5000,A386,
   [1]Fichajes_Realizados!G$2:G$5000,$X$3
)&gt;0)</f>
        <v>0</v>
      </c>
      <c r="R386" s="5" t="n">
        <f aca="false">_xlfn.XLOOKUP(C386, [1]Estado_Equipos!A$2:A$500, [1]Estado_Equipos!J$2:J$500, "")</f>
        <v>74</v>
      </c>
      <c r="S386" s="5" t="n">
        <f aca="false">IF(H386&lt;=16,1.45,
IF(H386&gt;=41,0.3,
CHOOSE(ROUNDDOWN((H386-16)/2,0)+1,
1.45,1.38,1.3,1.23,1.17,1.15,1.12,1.05,0.95,0.8,0.6,0.4,0.3)))</f>
        <v>1.15</v>
      </c>
      <c r="T386" s="5" t="n">
        <f aca="false">CHOOSE(N386+1,1.2,1,0.85,0.7)</f>
        <v>1.2</v>
      </c>
      <c r="U386" s="5" t="n">
        <f aca="false">IF(F386="PO",0.6,
IF(F386="CT",0.75,
IF(F386="LI",0.8,
IF(F386="LD",0.8,
IF(F386="MCD",0.85,
IF(F386="MC",0.95,
IF(F386="MO",1.05,
IF(F386="EI",1.1,
IF(F386="ED",1.1,
IF(F386="SD",1.15,
IF(F386="DC",1.2,0)))))))))))</f>
        <v>0.8</v>
      </c>
    </row>
    <row r="387" customFormat="false" ht="16.4" hidden="false" customHeight="false" outlineLevel="0" collapsed="false">
      <c r="A387" s="1" t="n">
        <v>386</v>
      </c>
      <c r="B387" s="5" t="str">
        <f aca="false">[1]Base_Jugadores!B387</f>
        <v>Augusto Batalla</v>
      </c>
      <c r="C387" s="5" t="str">
        <f aca="false">IFERROR(
   _xlfn.XLOOKUP(VALUE(A387),[1]Fichajes_Realizados!A$2:A$50000,[1]Fichajes_Realizados!D$2:D$50000,,0,-1),
   _xlfn.XLOOKUP(VALUE(A387),[1]Base_Jugadores!A$2:A$50000,[1]Base_Jugadores!C$2:C$50000)
)</f>
        <v>Rayo Vallecano</v>
      </c>
      <c r="D387" s="5" t="str">
        <f aca="false">[1]Base_Jugadores!D387</f>
        <v>Argentina</v>
      </c>
      <c r="E387" s="3"/>
      <c r="F387" s="5" t="str">
        <f aca="false">[1]Base_Jugadores!E387</f>
        <v>PO</v>
      </c>
      <c r="G387" s="5" t="n">
        <f aca="false">[1]Base_Jugadores!F387</f>
        <v>77</v>
      </c>
      <c r="H387" s="5" t="n">
        <f aca="false">[1]Base_Jugadores!G387</f>
        <v>29</v>
      </c>
      <c r="I387" s="7" t="n">
        <f aca="false" t="array" ref="I387:I387">_xlfn.XLOOKUP(G387,{55;56;57;58;59;60;61;62;63;64;65;66;67;68;69;70;71;72;73;74;75;76;77;78;79;80;81;82;83;84;85;86;87;88;89;90;91;92;93;94;95;96;97;98;99},{100000;130000;160000;190000;220000;250000;300000;350000;400000;450000;500000;600000;700000;800000;900000;1000000;1500000;2000000;3000000;4000000;5000000;6500000;8000000;10000000;12500000;15000000;20000000;25000000;30000000;35000000;40000000;55000000;70000000;80000000;90000000;110000000;130000000;160000000;190000000;220000000;250000000;280000000;310000000;340000000;400000000})</f>
        <v>8000000</v>
      </c>
      <c r="J387" s="7" t="n">
        <f aca="false">I387*S387*T387*U387</f>
        <v>6451200</v>
      </c>
      <c r="K387" s="3"/>
      <c r="L387" s="3"/>
      <c r="M387" s="3"/>
      <c r="N387" s="9" t="n">
        <v>0</v>
      </c>
      <c r="O387" s="4" t="n">
        <v>0</v>
      </c>
      <c r="P387" s="5" t="n">
        <f aca="false">IF(COUNTIF([1]Base_Jugadores!J$2:J$500,B387)&gt;0,1,0)</f>
        <v>0</v>
      </c>
      <c r="Q387" s="10" t="b">
        <f aca="false">--(COUNTIFS(
   [1]Fichajes_Realizados!A$2:A$5000,A387,
   [1]Fichajes_Realizados!G$2:G$5000,$X$3
)&gt;0)</f>
        <v>0</v>
      </c>
      <c r="R387" s="5" t="n">
        <f aca="false">_xlfn.XLOOKUP(C387, [1]Estado_Equipos!A$2:A$500, [1]Estado_Equipos!J$2:J$500, "")</f>
        <v>74</v>
      </c>
      <c r="S387" s="5" t="n">
        <f aca="false">IF(H387&lt;=16,1.45,
IF(H387&gt;=41,0.3,
CHOOSE(ROUNDDOWN((H387-16)/2,0)+1,
1.45,1.38,1.3,1.23,1.17,1.15,1.12,1.05,0.95,0.8,0.6,0.4,0.3)))</f>
        <v>1.12</v>
      </c>
      <c r="T387" s="5" t="n">
        <f aca="false">CHOOSE(N387+1,1.2,1,0.85,0.7)</f>
        <v>1.2</v>
      </c>
      <c r="U387" s="5" t="n">
        <f aca="false">IF(F387="PO",0.6,
IF(F387="CT",0.75,
IF(F387="LI",0.8,
IF(F387="LD",0.8,
IF(F387="MCD",0.85,
IF(F387="MC",0.95,
IF(F387="MO",1.05,
IF(F387="EI",1.1,
IF(F387="ED",1.1,
IF(F387="SD",1.15,
IF(F387="DC",1.2,0)))))))))))</f>
        <v>0.6</v>
      </c>
    </row>
    <row r="388" customFormat="false" ht="16.4" hidden="false" customHeight="false" outlineLevel="0" collapsed="false">
      <c r="A388" s="1" t="n">
        <v>387</v>
      </c>
      <c r="B388" s="5" t="str">
        <f aca="false">[1]Base_Jugadores!B388</f>
        <v>Dani Cárdenas</v>
      </c>
      <c r="C388" s="5" t="str">
        <f aca="false">IFERROR(
   _xlfn.XLOOKUP(VALUE(A388),[1]Fichajes_Realizados!A$2:A$50000,[1]Fichajes_Realizados!D$2:D$50000,,0,-1),
   _xlfn.XLOOKUP(VALUE(A388),[1]Base_Jugadores!A$2:A$50000,[1]Base_Jugadores!C$2:C$50000)
)</f>
        <v>Rayo Vallecano</v>
      </c>
      <c r="D388" s="5" t="str">
        <f aca="false">[1]Base_Jugadores!D388</f>
        <v>España</v>
      </c>
      <c r="E388" s="3"/>
      <c r="F388" s="5" t="str">
        <f aca="false">[1]Base_Jugadores!E388</f>
        <v>PO</v>
      </c>
      <c r="G388" s="5" t="n">
        <f aca="false">[1]Base_Jugadores!F388</f>
        <v>75</v>
      </c>
      <c r="H388" s="5" t="n">
        <f aca="false">[1]Base_Jugadores!G388</f>
        <v>28</v>
      </c>
      <c r="I388" s="7" t="n">
        <f aca="false" t="array" ref="I388:I388">_xlfn.XLOOKUP(G388,{55;56;57;58;59;60;61;62;63;64;65;66;67;68;69;70;71;72;73;74;75;76;77;78;79;80;81;82;83;84;85;86;87;88;89;90;91;92;93;94;95;96;97;98;99},{100000;130000;160000;190000;220000;250000;300000;350000;400000;450000;500000;600000;700000;800000;900000;1000000;1500000;2000000;3000000;4000000;5000000;6500000;8000000;10000000;12500000;15000000;20000000;25000000;30000000;35000000;40000000;55000000;70000000;80000000;90000000;110000000;130000000;160000000;190000000;220000000;250000000;280000000;310000000;340000000;400000000})</f>
        <v>5000000</v>
      </c>
      <c r="J388" s="7" t="n">
        <f aca="false">I388*S388*T388*U388</f>
        <v>2856000</v>
      </c>
      <c r="K388" s="3"/>
      <c r="L388" s="3"/>
      <c r="M388" s="3"/>
      <c r="N388" s="9" t="n">
        <v>2</v>
      </c>
      <c r="O388" s="4" t="n">
        <v>0</v>
      </c>
      <c r="P388" s="5" t="n">
        <f aca="false">IF(COUNTIF([1]Base_Jugadores!J$2:J$500,B388)&gt;0,1,0)</f>
        <v>0</v>
      </c>
      <c r="Q388" s="10" t="b">
        <f aca="false">--(COUNTIFS(
   [1]Fichajes_Realizados!A$2:A$5000,A388,
   [1]Fichajes_Realizados!G$2:G$5000,$X$3
)&gt;0)</f>
        <v>0</v>
      </c>
      <c r="R388" s="5" t="n">
        <f aca="false">_xlfn.XLOOKUP(C388, [1]Estado_Equipos!A$2:A$500, [1]Estado_Equipos!J$2:J$500, "")</f>
        <v>74</v>
      </c>
      <c r="S388" s="5" t="n">
        <f aca="false">IF(H388&lt;=16,1.45,
IF(H388&gt;=41,0.3,
CHOOSE(ROUNDDOWN((H388-16)/2,0)+1,
1.45,1.38,1.3,1.23,1.17,1.15,1.12,1.05,0.95,0.8,0.6,0.4,0.3)))</f>
        <v>1.12</v>
      </c>
      <c r="T388" s="5" t="n">
        <f aca="false">CHOOSE(N388+1,1.2,1,0.85,0.7)</f>
        <v>0.85</v>
      </c>
      <c r="U388" s="5" t="n">
        <f aca="false">IF(F388="PO",0.6,
IF(F388="CT",0.75,
IF(F388="LI",0.8,
IF(F388="LD",0.8,
IF(F388="MCD",0.85,
IF(F388="MC",0.95,
IF(F388="MO",1.05,
IF(F388="EI",1.1,
IF(F388="ED",1.1,
IF(F388="SD",1.15,
IF(F388="DC",1.2,0)))))))))))</f>
        <v>0.6</v>
      </c>
    </row>
    <row r="389" customFormat="false" ht="16.4" hidden="false" customHeight="false" outlineLevel="0" collapsed="false">
      <c r="A389" s="1" t="n">
        <v>388</v>
      </c>
      <c r="B389" s="5" t="str">
        <f aca="false">[1]Base_Jugadores!B389</f>
        <v>Florian Lejeune</v>
      </c>
      <c r="C389" s="5" t="str">
        <f aca="false">IFERROR(
   _xlfn.XLOOKUP(VALUE(A389),[1]Fichajes_Realizados!A$2:A$50000,[1]Fichajes_Realizados!D$2:D$50000,,0,-1),
   _xlfn.XLOOKUP(VALUE(A389),[1]Base_Jugadores!A$2:A$50000,[1]Base_Jugadores!C$2:C$50000)
)</f>
        <v>Rayo Vallecano</v>
      </c>
      <c r="D389" s="5" t="str">
        <f aca="false">[1]Base_Jugadores!D389</f>
        <v>Francia</v>
      </c>
      <c r="E389" s="3"/>
      <c r="F389" s="5" t="str">
        <f aca="false">[1]Base_Jugadores!E389</f>
        <v>CT</v>
      </c>
      <c r="G389" s="5" t="n">
        <f aca="false">[1]Base_Jugadores!F389</f>
        <v>77</v>
      </c>
      <c r="H389" s="5" t="n">
        <f aca="false">[1]Base_Jugadores!G389</f>
        <v>34</v>
      </c>
      <c r="I389" s="7" t="n">
        <f aca="false" t="array" ref="I389:I389">_xlfn.XLOOKUP(G389,{55;56;57;58;59;60;61;62;63;64;65;66;67;68;69;70;71;72;73;74;75;76;77;78;79;80;81;82;83;84;85;86;87;88;89;90;91;92;93;94;95;96;97;98;99},{100000;130000;160000;190000;220000;250000;300000;350000;400000;450000;500000;600000;700000;800000;900000;1000000;1500000;2000000;3000000;4000000;5000000;6500000;8000000;10000000;12500000;15000000;20000000;25000000;30000000;35000000;40000000;55000000;70000000;80000000;90000000;110000000;130000000;160000000;190000000;220000000;250000000;280000000;310000000;340000000;400000000})</f>
        <v>8000000</v>
      </c>
      <c r="J389" s="7" t="n">
        <f aca="false">I389*S389*T389*U389</f>
        <v>5760000</v>
      </c>
      <c r="K389" s="3"/>
      <c r="L389" s="3"/>
      <c r="M389" s="3"/>
      <c r="N389" s="9" t="n">
        <v>0</v>
      </c>
      <c r="O389" s="4" t="n">
        <v>0</v>
      </c>
      <c r="P389" s="5" t="n">
        <f aca="false">IF(COUNTIF([1]Base_Jugadores!J$2:J$500,B389)&gt;0,1,0)</f>
        <v>0</v>
      </c>
      <c r="Q389" s="10" t="b">
        <f aca="false">--(COUNTIFS(
   [1]Fichajes_Realizados!A$2:A$5000,A389,
   [1]Fichajes_Realizados!G$2:G$5000,$X$3
)&gt;0)</f>
        <v>0</v>
      </c>
      <c r="R389" s="5" t="n">
        <f aca="false">_xlfn.XLOOKUP(C389, [1]Estado_Equipos!A$2:A$500, [1]Estado_Equipos!J$2:J$500, "")</f>
        <v>74</v>
      </c>
      <c r="S389" s="5" t="n">
        <f aca="false">IF(H389&lt;=16,1.45,
IF(H389&gt;=41,0.3,
CHOOSE(ROUNDDOWN((H389-16)/2,0)+1,
1.45,1.38,1.3,1.23,1.17,1.15,1.12,1.05,0.95,0.8,0.6,0.4,0.3)))</f>
        <v>0.8</v>
      </c>
      <c r="T389" s="5" t="n">
        <f aca="false">CHOOSE(N389+1,1.2,1,0.85,0.7)</f>
        <v>1.2</v>
      </c>
      <c r="U389" s="5" t="n">
        <f aca="false">IF(F389="PO",0.6,
IF(F389="CT",0.75,
IF(F389="LI",0.8,
IF(F389="LD",0.8,
IF(F389="MCD",0.85,
IF(F389="MC",0.95,
IF(F389="MO",1.05,
IF(F389="EI",1.1,
IF(F389="ED",1.1,
IF(F389="SD",1.15,
IF(F389="DC",1.2,0)))))))))))</f>
        <v>0.75</v>
      </c>
    </row>
    <row r="390" customFormat="false" ht="16.4" hidden="false" customHeight="false" outlineLevel="0" collapsed="false">
      <c r="A390" s="1" t="n">
        <v>389</v>
      </c>
      <c r="B390" s="5" t="str">
        <f aca="false">[1]Base_Jugadores!B390</f>
        <v>Fran Pérez</v>
      </c>
      <c r="C390" s="5" t="str">
        <f aca="false">IFERROR(
   _xlfn.XLOOKUP(VALUE(A390),[1]Fichajes_Realizados!A$2:A$50000,[1]Fichajes_Realizados!D$2:D$50000,,0,-1),
   _xlfn.XLOOKUP(VALUE(A390),[1]Base_Jugadores!A$2:A$50000,[1]Base_Jugadores!C$2:C$50000)
)</f>
        <v>Rayo Vallecano</v>
      </c>
      <c r="D390" s="5" t="str">
        <f aca="false">[1]Base_Jugadores!D390</f>
        <v>España</v>
      </c>
      <c r="E390" s="3"/>
      <c r="F390" s="5" t="str">
        <f aca="false">[1]Base_Jugadores!E390</f>
        <v>ED</v>
      </c>
      <c r="G390" s="5" t="n">
        <f aca="false">[1]Base_Jugadores!F390</f>
        <v>74</v>
      </c>
      <c r="H390" s="5" t="n">
        <f aca="false">[1]Base_Jugadores!G390</f>
        <v>23</v>
      </c>
      <c r="I390" s="7" t="n">
        <f aca="false" t="array" ref="I390:I390">_xlfn.XLOOKUP(G390,{55;56;57;58;59;60;61;62;63;64;65;66;67;68;69;70;71;72;73;74;75;76;77;78;79;80;81;82;83;84;85;86;87;88;89;90;91;92;93;94;95;96;97;98;99},{100000;130000;160000;190000;220000;250000;300000;350000;400000;450000;500000;600000;700000;800000;900000;1000000;1500000;2000000;3000000;4000000;5000000;6500000;8000000;10000000;12500000;15000000;20000000;25000000;30000000;35000000;40000000;55000000;70000000;80000000;90000000;110000000;130000000;160000000;190000000;220000000;250000000;280000000;310000000;340000000;400000000})</f>
        <v>4000000</v>
      </c>
      <c r="J390" s="7" t="n">
        <f aca="false">I390*S390*T390*U390</f>
        <v>4600200</v>
      </c>
      <c r="K390" s="3"/>
      <c r="L390" s="3"/>
      <c r="M390" s="3"/>
      <c r="N390" s="9" t="n">
        <v>2</v>
      </c>
      <c r="O390" s="4" t="n">
        <v>0</v>
      </c>
      <c r="P390" s="5" t="n">
        <f aca="false">IF(COUNTIF([1]Base_Jugadores!J$2:J$500,B390)&gt;0,1,0)</f>
        <v>0</v>
      </c>
      <c r="Q390" s="10" t="b">
        <f aca="false">--(COUNTIFS(
   [1]Fichajes_Realizados!A$2:A$5000,A390,
   [1]Fichajes_Realizados!G$2:G$5000,$X$3
)&gt;0)</f>
        <v>0</v>
      </c>
      <c r="R390" s="5" t="n">
        <f aca="false">_xlfn.XLOOKUP(C390, [1]Estado_Equipos!A$2:A$500, [1]Estado_Equipos!J$2:J$500, "")</f>
        <v>74</v>
      </c>
      <c r="S390" s="5" t="n">
        <f aca="false">IF(H390&lt;=16,1.45,
IF(H390&gt;=41,0.3,
CHOOSE(ROUNDDOWN((H390-16)/2,0)+1,
1.45,1.38,1.3,1.23,1.17,1.15,1.12,1.05,0.95,0.8,0.6,0.4,0.3)))</f>
        <v>1.23</v>
      </c>
      <c r="T390" s="5" t="n">
        <f aca="false">CHOOSE(N390+1,1.2,1,0.85,0.7)</f>
        <v>0.85</v>
      </c>
      <c r="U390" s="5" t="n">
        <f aca="false">IF(F390="PO",0.6,
IF(F390="CT",0.75,
IF(F390="LI",0.8,
IF(F390="LD",0.8,
IF(F390="MCD",0.85,
IF(F390="MC",0.95,
IF(F390="MO",1.05,
IF(F390="EI",1.1,
IF(F390="ED",1.1,
IF(F390="SD",1.15,
IF(F390="DC",1.2,0)))))))))))</f>
        <v>1.1</v>
      </c>
    </row>
    <row r="391" customFormat="false" ht="16.4" hidden="false" customHeight="false" outlineLevel="0" collapsed="false">
      <c r="A391" s="1" t="n">
        <v>390</v>
      </c>
      <c r="B391" s="5" t="str">
        <f aca="false">[1]Base_Jugadores!B391</f>
        <v>Gerard Gumbau</v>
      </c>
      <c r="C391" s="5" t="str">
        <f aca="false">IFERROR(
   _xlfn.XLOOKUP(VALUE(A391),[1]Fichajes_Realizados!A$2:A$50000,[1]Fichajes_Realizados!D$2:D$50000,,0,-1),
   _xlfn.XLOOKUP(VALUE(A391),[1]Base_Jugadores!A$2:A$50000,[1]Base_Jugadores!C$2:C$50000)
)</f>
        <v>Rayo Vallecano</v>
      </c>
      <c r="D391" s="5" t="str">
        <f aca="false">[1]Base_Jugadores!D391</f>
        <v>España</v>
      </c>
      <c r="E391" s="3"/>
      <c r="F391" s="5" t="str">
        <f aca="false">[1]Base_Jugadores!E391</f>
        <v>MCD</v>
      </c>
      <c r="G391" s="5" t="n">
        <f aca="false">[1]Base_Jugadores!F391</f>
        <v>75</v>
      </c>
      <c r="H391" s="5" t="n">
        <f aca="false">[1]Base_Jugadores!G391</f>
        <v>31</v>
      </c>
      <c r="I391" s="7" t="n">
        <f aca="false" t="array" ref="I391:I391">_xlfn.XLOOKUP(G391,{55;56;57;58;59;60;61;62;63;64;65;66;67;68;69;70;71;72;73;74;75;76;77;78;79;80;81;82;83;84;85;86;87;88;89;90;91;92;93;94;95;96;97;98;99},{100000;130000;160000;190000;220000;250000;300000;350000;400000;450000;500000;600000;700000;800000;900000;1000000;1500000;2000000;3000000;4000000;5000000;6500000;8000000;10000000;12500000;15000000;20000000;25000000;30000000;35000000;40000000;55000000;70000000;80000000;90000000;110000000;130000000;160000000;190000000;220000000;250000000;280000000;310000000;340000000;400000000})</f>
        <v>5000000</v>
      </c>
      <c r="J391" s="7" t="n">
        <f aca="false">I391*S391*T391*U391</f>
        <v>4462500</v>
      </c>
      <c r="K391" s="3"/>
      <c r="L391" s="3"/>
      <c r="M391" s="3"/>
      <c r="N391" s="9" t="n">
        <v>1</v>
      </c>
      <c r="O391" s="4" t="n">
        <v>0</v>
      </c>
      <c r="P391" s="5" t="n">
        <f aca="false">IF(COUNTIF([1]Base_Jugadores!J$2:J$500,B391)&gt;0,1,0)</f>
        <v>0</v>
      </c>
      <c r="Q391" s="10" t="b">
        <f aca="false">--(COUNTIFS(
   [1]Fichajes_Realizados!A$2:A$5000,A391,
   [1]Fichajes_Realizados!G$2:G$5000,$X$3
)&gt;0)</f>
        <v>0</v>
      </c>
      <c r="R391" s="5" t="n">
        <f aca="false">_xlfn.XLOOKUP(C391, [1]Estado_Equipos!A$2:A$500, [1]Estado_Equipos!J$2:J$500, "")</f>
        <v>74</v>
      </c>
      <c r="S391" s="5" t="n">
        <f aca="false">IF(H391&lt;=16,1.45,
IF(H391&gt;=41,0.3,
CHOOSE(ROUNDDOWN((H391-16)/2,0)+1,
1.45,1.38,1.3,1.23,1.17,1.15,1.12,1.05,0.95,0.8,0.6,0.4,0.3)))</f>
        <v>1.05</v>
      </c>
      <c r="T391" s="5" t="n">
        <f aca="false">CHOOSE(N391+1,1.2,1,0.85,0.7)</f>
        <v>1</v>
      </c>
      <c r="U391" s="5" t="n">
        <f aca="false">IF(F391="PO",0.6,
IF(F391="CT",0.75,
IF(F391="LI",0.8,
IF(F391="LD",0.8,
IF(F391="MCD",0.85,
IF(F391="MC",0.95,
IF(F391="MO",1.05,
IF(F391="EI",1.1,
IF(F391="ED",1.1,
IF(F391="SD",1.15,
IF(F391="DC",1.2,0)))))))))))</f>
        <v>0.85</v>
      </c>
    </row>
    <row r="392" customFormat="false" ht="16.4" hidden="false" customHeight="false" outlineLevel="0" collapsed="false">
      <c r="A392" s="1" t="n">
        <v>391</v>
      </c>
      <c r="B392" s="5" t="str">
        <f aca="false">[1]Base_Jugadores!B392</f>
        <v>Isi Palazón</v>
      </c>
      <c r="C392" s="5" t="str">
        <f aca="false">IFERROR(
   _xlfn.XLOOKUP(VALUE(A392),[1]Fichajes_Realizados!A$2:A$50000,[1]Fichajes_Realizados!D$2:D$50000,,0,-1),
   _xlfn.XLOOKUP(VALUE(A392),[1]Base_Jugadores!A$2:A$50000,[1]Base_Jugadores!C$2:C$50000)
)</f>
        <v>Rayo Vallecano</v>
      </c>
      <c r="D392" s="5" t="str">
        <f aca="false">[1]Base_Jugadores!D392</f>
        <v>España</v>
      </c>
      <c r="E392" s="3"/>
      <c r="F392" s="5" t="str">
        <f aca="false">[1]Base_Jugadores!E392</f>
        <v>SD</v>
      </c>
      <c r="G392" s="5" t="n">
        <f aca="false">[1]Base_Jugadores!F392</f>
        <v>80</v>
      </c>
      <c r="H392" s="5" t="n">
        <f aca="false">[1]Base_Jugadores!G392</f>
        <v>31</v>
      </c>
      <c r="I392" s="7" t="n">
        <f aca="false" t="array" ref="I392:I392">_xlfn.XLOOKUP(G392,{55;56;57;58;59;60;61;62;63;64;65;66;67;68;69;70;71;72;73;74;75;76;77;78;79;80;81;82;83;84;85;86;87;88;89;90;91;92;93;94;95;96;97;98;99},{100000;130000;160000;190000;220000;250000;300000;350000;400000;450000;500000;600000;700000;800000;900000;1000000;1500000;2000000;3000000;4000000;5000000;6500000;8000000;10000000;12500000;15000000;20000000;25000000;30000000;35000000;40000000;55000000;70000000;80000000;90000000;110000000;130000000;160000000;190000000;220000000;250000000;280000000;310000000;340000000;400000000})</f>
        <v>15000000</v>
      </c>
      <c r="J392" s="7" t="n">
        <f aca="false">I392*S392*T392*U392</f>
        <v>21735000</v>
      </c>
      <c r="K392" s="3"/>
      <c r="L392" s="3"/>
      <c r="M392" s="3"/>
      <c r="N392" s="9" t="n">
        <v>0</v>
      </c>
      <c r="O392" s="4" t="n">
        <v>0</v>
      </c>
      <c r="P392" s="5" t="n">
        <f aca="false">IF(COUNTIF([1]Base_Jugadores!J$2:J$500,B392)&gt;0,1,0)</f>
        <v>0</v>
      </c>
      <c r="Q392" s="10" t="b">
        <f aca="false">--(COUNTIFS(
   [1]Fichajes_Realizados!A$2:A$5000,A392,
   [1]Fichajes_Realizados!G$2:G$5000,$X$3
)&gt;0)</f>
        <v>0</v>
      </c>
      <c r="R392" s="5" t="n">
        <f aca="false">_xlfn.XLOOKUP(C392, [1]Estado_Equipos!A$2:A$500, [1]Estado_Equipos!J$2:J$500, "")</f>
        <v>74</v>
      </c>
      <c r="S392" s="5" t="n">
        <f aca="false">IF(H392&lt;=16,1.45,
IF(H392&gt;=41,0.3,
CHOOSE(ROUNDDOWN((H392-16)/2,0)+1,
1.45,1.38,1.3,1.23,1.17,1.15,1.12,1.05,0.95,0.8,0.6,0.4,0.3)))</f>
        <v>1.05</v>
      </c>
      <c r="T392" s="5" t="n">
        <f aca="false">CHOOSE(N392+1,1.2,1,0.85,0.7)</f>
        <v>1.2</v>
      </c>
      <c r="U392" s="5" t="n">
        <f aca="false">IF(F392="PO",0.6,
IF(F392="CT",0.75,
IF(F392="LI",0.8,
IF(F392="LD",0.8,
IF(F392="MCD",0.85,
IF(F392="MC",0.95,
IF(F392="MO",1.05,
IF(F392="EI",1.1,
IF(F392="ED",1.1,
IF(F392="SD",1.15,
IF(F392="DC",1.2,0)))))))))))</f>
        <v>1.15</v>
      </c>
    </row>
    <row r="393" customFormat="false" ht="16.4" hidden="false" customHeight="false" outlineLevel="0" collapsed="false">
      <c r="A393" s="1" t="n">
        <v>392</v>
      </c>
      <c r="B393" s="5" t="str">
        <f aca="false">[1]Base_Jugadores!B393</f>
        <v>Iván Balliu</v>
      </c>
      <c r="C393" s="5" t="str">
        <f aca="false">IFERROR(
   _xlfn.XLOOKUP(VALUE(A393),[1]Fichajes_Realizados!A$2:A$50000,[1]Fichajes_Realizados!D$2:D$50000,,0,-1),
   _xlfn.XLOOKUP(VALUE(A393),[1]Base_Jugadores!A$2:A$50000,[1]Base_Jugadores!C$2:C$50000)
)</f>
        <v>Rayo Vallecano</v>
      </c>
      <c r="D393" s="5" t="str">
        <f aca="false">[1]Base_Jugadores!D393</f>
        <v>Albania</v>
      </c>
      <c r="E393" s="3"/>
      <c r="F393" s="5" t="str">
        <f aca="false">[1]Base_Jugadores!E393</f>
        <v>LD</v>
      </c>
      <c r="G393" s="5" t="n">
        <f aca="false">[1]Base_Jugadores!F393</f>
        <v>77</v>
      </c>
      <c r="H393" s="5" t="n">
        <f aca="false">[1]Base_Jugadores!G393</f>
        <v>33</v>
      </c>
      <c r="I393" s="7" t="n">
        <f aca="false" t="array" ref="I393:I393">_xlfn.XLOOKUP(G393,{55;56;57;58;59;60;61;62;63;64;65;66;67;68;69;70;71;72;73;74;75;76;77;78;79;80;81;82;83;84;85;86;87;88;89;90;91;92;93;94;95;96;97;98;99},{100000;130000;160000;190000;220000;250000;300000;350000;400000;450000;500000;600000;700000;800000;900000;1000000;1500000;2000000;3000000;4000000;5000000;6500000;8000000;10000000;12500000;15000000;20000000;25000000;30000000;35000000;40000000;55000000;70000000;80000000;90000000;110000000;130000000;160000000;190000000;220000000;250000000;280000000;310000000;340000000;400000000})</f>
        <v>8000000</v>
      </c>
      <c r="J393" s="7" t="n">
        <f aca="false">I393*S393*T393*U393</f>
        <v>6080000</v>
      </c>
      <c r="K393" s="3"/>
      <c r="L393" s="3"/>
      <c r="M393" s="3"/>
      <c r="N393" s="9" t="n">
        <v>1</v>
      </c>
      <c r="O393" s="4" t="n">
        <v>0</v>
      </c>
      <c r="P393" s="5" t="n">
        <f aca="false">IF(COUNTIF([1]Base_Jugadores!J$2:J$500,B393)&gt;0,1,0)</f>
        <v>0</v>
      </c>
      <c r="Q393" s="10" t="b">
        <f aca="false">--(COUNTIFS(
   [1]Fichajes_Realizados!A$2:A$5000,A393,
   [1]Fichajes_Realizados!G$2:G$5000,$X$3
)&gt;0)</f>
        <v>0</v>
      </c>
      <c r="R393" s="5" t="n">
        <f aca="false">_xlfn.XLOOKUP(C393, [1]Estado_Equipos!A$2:A$500, [1]Estado_Equipos!J$2:J$500, "")</f>
        <v>74</v>
      </c>
      <c r="S393" s="5" t="n">
        <f aca="false">IF(H393&lt;=16,1.45,
IF(H393&gt;=41,0.3,
CHOOSE(ROUNDDOWN((H393-16)/2,0)+1,
1.45,1.38,1.3,1.23,1.17,1.15,1.12,1.05,0.95,0.8,0.6,0.4,0.3)))</f>
        <v>0.95</v>
      </c>
      <c r="T393" s="5" t="n">
        <f aca="false">CHOOSE(N393+1,1.2,1,0.85,0.7)</f>
        <v>1</v>
      </c>
      <c r="U393" s="5" t="n">
        <f aca="false">IF(F393="PO",0.6,
IF(F393="CT",0.75,
IF(F393="LI",0.8,
IF(F393="LD",0.8,
IF(F393="MCD",0.85,
IF(F393="MC",0.95,
IF(F393="MO",1.05,
IF(F393="EI",1.1,
IF(F393="ED",1.1,
IF(F393="SD",1.15,
IF(F393="DC",1.2,0)))))))))))</f>
        <v>0.8</v>
      </c>
    </row>
    <row r="394" customFormat="false" ht="16.4" hidden="false" customHeight="false" outlineLevel="0" collapsed="false">
      <c r="A394" s="1" t="n">
        <v>393</v>
      </c>
      <c r="B394" s="5" t="str">
        <f aca="false">[1]Base_Jugadores!B394</f>
        <v>J. Vertrouwd</v>
      </c>
      <c r="C394" s="5" t="str">
        <f aca="false">IFERROR(
   _xlfn.XLOOKUP(VALUE(A394),[1]Fichajes_Realizados!A$2:A$50000,[1]Fichajes_Realizados!D$2:D$50000,,0,-1),
   _xlfn.XLOOKUP(VALUE(A394),[1]Base_Jugadores!A$2:A$50000,[1]Base_Jugadores!C$2:C$50000)
)</f>
        <v>Rayo Vallecano</v>
      </c>
      <c r="D394" s="5" t="str">
        <f aca="false">[1]Base_Jugadores!D394</f>
        <v>Países Bajos</v>
      </c>
      <c r="E394" s="3"/>
      <c r="F394" s="5" t="str">
        <f aca="false">[1]Base_Jugadores!E394</f>
        <v>CT</v>
      </c>
      <c r="G394" s="5" t="n">
        <f aca="false">[1]Base_Jugadores!F394</f>
        <v>64</v>
      </c>
      <c r="H394" s="5" t="n">
        <f aca="false">[1]Base_Jugadores!G394</f>
        <v>21</v>
      </c>
      <c r="I394" s="7" t="n">
        <f aca="false" t="array" ref="I394:I394">_xlfn.XLOOKUP(G394,{55;56;57;58;59;60;61;62;63;64;65;66;67;68;69;70;71;72;73;74;75;76;77;78;79;80;81;82;83;84;85;86;87;88;89;90;91;92;93;94;95;96;97;98;99},{100000;130000;160000;190000;220000;250000;300000;350000;400000;450000;500000;600000;700000;800000;900000;1000000;1500000;2000000;3000000;4000000;5000000;6500000;8000000;10000000;12500000;15000000;20000000;25000000;30000000;35000000;40000000;55000000;70000000;80000000;90000000;110000000;130000000;160000000;190000000;220000000;250000000;280000000;310000000;340000000;400000000})</f>
        <v>450000</v>
      </c>
      <c r="J394" s="7" t="n">
        <f aca="false">I394*S394*T394*U394</f>
        <v>372937.5</v>
      </c>
      <c r="K394" s="3"/>
      <c r="L394" s="3"/>
      <c r="M394" s="3"/>
      <c r="N394" s="9" t="n">
        <v>2</v>
      </c>
      <c r="O394" s="4" t="n">
        <v>1</v>
      </c>
      <c r="P394" s="5" t="n">
        <f aca="false">IF(COUNTIF([1]Base_Jugadores!J$2:J$500,B394)&gt;0,1,0)</f>
        <v>0</v>
      </c>
      <c r="Q394" s="10" t="b">
        <f aca="false">--(COUNTIFS(
   [1]Fichajes_Realizados!A$2:A$5000,A394,
   [1]Fichajes_Realizados!G$2:G$5000,$X$3
)&gt;0)</f>
        <v>0</v>
      </c>
      <c r="R394" s="5" t="n">
        <f aca="false">_xlfn.XLOOKUP(C394, [1]Estado_Equipos!A$2:A$500, [1]Estado_Equipos!J$2:J$500, "")</f>
        <v>74</v>
      </c>
      <c r="S394" s="5" t="n">
        <f aca="false">IF(H394&lt;=16,1.45,
IF(H394&gt;=41,0.3,
CHOOSE(ROUNDDOWN((H394-16)/2,0)+1,
1.45,1.38,1.3,1.23,1.17,1.15,1.12,1.05,0.95,0.8,0.6,0.4,0.3)))</f>
        <v>1.3</v>
      </c>
      <c r="T394" s="5" t="n">
        <f aca="false">CHOOSE(N394+1,1.2,1,0.85,0.7)</f>
        <v>0.85</v>
      </c>
      <c r="U394" s="5" t="n">
        <f aca="false">IF(F394="PO",0.6,
IF(F394="CT",0.75,
IF(F394="LI",0.8,
IF(F394="LD",0.8,
IF(F394="MCD",0.85,
IF(F394="MC",0.95,
IF(F394="MO",1.05,
IF(F394="EI",1.1,
IF(F394="ED",1.1,
IF(F394="SD",1.15,
IF(F394="DC",1.2,0)))))))))))</f>
        <v>0.75</v>
      </c>
    </row>
    <row r="395" customFormat="false" ht="16.4" hidden="false" customHeight="false" outlineLevel="0" collapsed="false">
      <c r="A395" s="1" t="n">
        <v>394</v>
      </c>
      <c r="B395" s="5" t="str">
        <f aca="false">[1]Base_Jugadores!B395</f>
        <v>Jorge de Frutos</v>
      </c>
      <c r="C395" s="5" t="str">
        <f aca="false">IFERROR(
   _xlfn.XLOOKUP(VALUE(A395),[1]Fichajes_Realizados!A$2:A$50000,[1]Fichajes_Realizados!D$2:D$50000,,0,-1),
   _xlfn.XLOOKUP(VALUE(A395),[1]Base_Jugadores!A$2:A$50000,[1]Base_Jugadores!C$2:C$50000)
)</f>
        <v>Rayo Vallecano</v>
      </c>
      <c r="D395" s="5" t="str">
        <f aca="false">[1]Base_Jugadores!D395</f>
        <v>España</v>
      </c>
      <c r="E395" s="3"/>
      <c r="F395" s="5" t="str">
        <f aca="false">[1]Base_Jugadores!E395</f>
        <v>ED</v>
      </c>
      <c r="G395" s="5" t="n">
        <f aca="false">[1]Base_Jugadores!F395</f>
        <v>78</v>
      </c>
      <c r="H395" s="5" t="n">
        <f aca="false">[1]Base_Jugadores!G395</f>
        <v>28</v>
      </c>
      <c r="I395" s="7" t="n">
        <f aca="false" t="array" ref="I395:I395">_xlfn.XLOOKUP(G395,{55;56;57;58;59;60;61;62;63;64;65;66;67;68;69;70;71;72;73;74;75;76;77;78;79;80;81;82;83;84;85;86;87;88;89;90;91;92;93;94;95;96;97;98;99},{100000;130000;160000;190000;220000;250000;300000;350000;400000;450000;500000;600000;700000;800000;900000;1000000;1500000;2000000;3000000;4000000;5000000;6500000;8000000;10000000;12500000;15000000;20000000;25000000;30000000;35000000;40000000;55000000;70000000;80000000;90000000;110000000;130000000;160000000;190000000;220000000;250000000;280000000;310000000;340000000;400000000})</f>
        <v>10000000</v>
      </c>
      <c r="J395" s="7" t="n">
        <f aca="false">I395*S395*T395*U395</f>
        <v>14784000</v>
      </c>
      <c r="K395" s="3"/>
      <c r="L395" s="3"/>
      <c r="M395" s="3"/>
      <c r="N395" s="9" t="n">
        <v>0</v>
      </c>
      <c r="O395" s="4" t="n">
        <v>0</v>
      </c>
      <c r="P395" s="5" t="n">
        <f aca="false">IF(COUNTIF([1]Base_Jugadores!J$2:J$500,B395)&gt;0,1,0)</f>
        <v>0</v>
      </c>
      <c r="Q395" s="10" t="b">
        <f aca="false">--(COUNTIFS(
   [1]Fichajes_Realizados!A$2:A$5000,A395,
   [1]Fichajes_Realizados!G$2:G$5000,$X$3
)&gt;0)</f>
        <v>0</v>
      </c>
      <c r="R395" s="5" t="n">
        <f aca="false">_xlfn.XLOOKUP(C395, [1]Estado_Equipos!A$2:A$500, [1]Estado_Equipos!J$2:J$500, "")</f>
        <v>74</v>
      </c>
      <c r="S395" s="5" t="n">
        <f aca="false">IF(H395&lt;=16,1.45,
IF(H395&gt;=41,0.3,
CHOOSE(ROUNDDOWN((H395-16)/2,0)+1,
1.45,1.38,1.3,1.23,1.17,1.15,1.12,1.05,0.95,0.8,0.6,0.4,0.3)))</f>
        <v>1.12</v>
      </c>
      <c r="T395" s="5" t="n">
        <f aca="false">CHOOSE(N395+1,1.2,1,0.85,0.7)</f>
        <v>1.2</v>
      </c>
      <c r="U395" s="5" t="n">
        <f aca="false">IF(F395="PO",0.6,
IF(F395="CT",0.75,
IF(F395="LI",0.8,
IF(F395="LD",0.8,
IF(F395="MCD",0.85,
IF(F395="MC",0.95,
IF(F395="MO",1.05,
IF(F395="EI",1.1,
IF(F395="ED",1.1,
IF(F395="SD",1.15,
IF(F395="DC",1.2,0)))))))))))</f>
        <v>1.1</v>
      </c>
    </row>
    <row r="396" customFormat="false" ht="16.4" hidden="false" customHeight="false" outlineLevel="0" collapsed="false">
      <c r="A396" s="1" t="n">
        <v>395</v>
      </c>
      <c r="B396" s="5" t="str">
        <f aca="false">[1]Base_Jugadores!B396</f>
        <v>Juanpe Gil</v>
      </c>
      <c r="C396" s="5" t="str">
        <f aca="false">IFERROR(
   _xlfn.XLOOKUP(VALUE(A396),[1]Fichajes_Realizados!A$2:A$50000,[1]Fichajes_Realizados!D$2:D$50000,,0,-1),
   _xlfn.XLOOKUP(VALUE(A396),[1]Base_Jugadores!A$2:A$50000,[1]Base_Jugadores!C$2:C$50000)
)</f>
        <v>Rayo Vallecano</v>
      </c>
      <c r="D396" s="5" t="str">
        <f aca="false">[1]Base_Jugadores!D396</f>
        <v>España</v>
      </c>
      <c r="E396" s="3"/>
      <c r="F396" s="5" t="str">
        <f aca="false">[1]Base_Jugadores!E396</f>
        <v>PO</v>
      </c>
      <c r="G396" s="5" t="n">
        <f aca="false">[1]Base_Jugadores!F396</f>
        <v>59</v>
      </c>
      <c r="H396" s="5" t="n">
        <f aca="false">[1]Base_Jugadores!G396</f>
        <v>24</v>
      </c>
      <c r="I396" s="7" t="n">
        <f aca="false" t="array" ref="I396:I396">_xlfn.XLOOKUP(G396,{55;56;57;58;59;60;61;62;63;64;65;66;67;68;69;70;71;72;73;74;75;76;77;78;79;80;81;82;83;84;85;86;87;88;89;90;91;92;93;94;95;96;97;98;99},{100000;130000;160000;190000;220000;250000;300000;350000;400000;450000;500000;600000;700000;800000;900000;1000000;1500000;2000000;3000000;4000000;5000000;6500000;8000000;10000000;12500000;15000000;20000000;25000000;30000000;35000000;40000000;55000000;70000000;80000000;90000000;110000000;130000000;160000000;190000000;220000000;250000000;280000000;310000000;340000000;400000000})</f>
        <v>220000</v>
      </c>
      <c r="J396" s="7" t="n">
        <f aca="false">I396*S396*T396*U396</f>
        <v>131274</v>
      </c>
      <c r="K396" s="3"/>
      <c r="L396" s="3"/>
      <c r="M396" s="3"/>
      <c r="N396" s="9" t="n">
        <v>2</v>
      </c>
      <c r="O396" s="4" t="n">
        <v>0</v>
      </c>
      <c r="P396" s="5" t="n">
        <f aca="false">IF(COUNTIF([1]Base_Jugadores!J$2:J$500,B396)&gt;0,1,0)</f>
        <v>0</v>
      </c>
      <c r="Q396" s="10" t="b">
        <f aca="false">--(COUNTIFS(
   [1]Fichajes_Realizados!A$2:A$5000,A396,
   [1]Fichajes_Realizados!G$2:G$5000,$X$3
)&gt;0)</f>
        <v>0</v>
      </c>
      <c r="R396" s="5" t="n">
        <f aca="false">_xlfn.XLOOKUP(C396, [1]Estado_Equipos!A$2:A$500, [1]Estado_Equipos!J$2:J$500, "")</f>
        <v>74</v>
      </c>
      <c r="S396" s="5" t="n">
        <f aca="false">IF(H396&lt;=16,1.45,
IF(H396&gt;=41,0.3,
CHOOSE(ROUNDDOWN((H396-16)/2,0)+1,
1.45,1.38,1.3,1.23,1.17,1.15,1.12,1.05,0.95,0.8,0.6,0.4,0.3)))</f>
        <v>1.17</v>
      </c>
      <c r="T396" s="5" t="n">
        <f aca="false">CHOOSE(N396+1,1.2,1,0.85,0.7)</f>
        <v>0.85</v>
      </c>
      <c r="U396" s="5" t="n">
        <f aca="false">IF(F396="PO",0.6,
IF(F396="CT",0.75,
IF(F396="LI",0.8,
IF(F396="LD",0.8,
IF(F396="MCD",0.85,
IF(F396="MC",0.95,
IF(F396="MO",1.05,
IF(F396="EI",1.1,
IF(F396="ED",1.1,
IF(F396="SD",1.15,
IF(F396="DC",1.2,0)))))))))))</f>
        <v>0.6</v>
      </c>
    </row>
    <row r="397" customFormat="false" ht="16.4" hidden="false" customHeight="false" outlineLevel="0" collapsed="false">
      <c r="A397" s="1" t="n">
        <v>396</v>
      </c>
      <c r="B397" s="5" t="str">
        <f aca="false">[1]Base_Jugadores!B397</f>
        <v>Luiz Felipe R.</v>
      </c>
      <c r="C397" s="5" t="str">
        <f aca="false">IFERROR(
   _xlfn.XLOOKUP(VALUE(A397),[1]Fichajes_Realizados!A$2:A$50000,[1]Fichajes_Realizados!D$2:D$50000,,0,-1),
   _xlfn.XLOOKUP(VALUE(A397),[1]Base_Jugadores!A$2:A$50000,[1]Base_Jugadores!C$2:C$50000)
)</f>
        <v>Rayo Vallecano</v>
      </c>
      <c r="D397" s="5" t="str">
        <f aca="false">[1]Base_Jugadores!D397</f>
        <v>Italia</v>
      </c>
      <c r="E397" s="3"/>
      <c r="F397" s="5" t="str">
        <f aca="false">[1]Base_Jugadores!E397</f>
        <v>CT</v>
      </c>
      <c r="G397" s="5" t="n">
        <f aca="false">[1]Base_Jugadores!F397</f>
        <v>77</v>
      </c>
      <c r="H397" s="5" t="n">
        <f aca="false">[1]Base_Jugadores!G397</f>
        <v>28</v>
      </c>
      <c r="I397" s="7" t="n">
        <f aca="false" t="array" ref="I397:I397">_xlfn.XLOOKUP(G397,{55;56;57;58;59;60;61;62;63;64;65;66;67;68;69;70;71;72;73;74;75;76;77;78;79;80;81;82;83;84;85;86;87;88;89;90;91;92;93;94;95;96;97;98;99},{100000;130000;160000;190000;220000;250000;300000;350000;400000;450000;500000;600000;700000;800000;900000;1000000;1500000;2000000;3000000;4000000;5000000;6500000;8000000;10000000;12500000;15000000;20000000;25000000;30000000;35000000;40000000;55000000;70000000;80000000;90000000;110000000;130000000;160000000;190000000;220000000;250000000;280000000;310000000;340000000;400000000})</f>
        <v>8000000</v>
      </c>
      <c r="J397" s="7" t="n">
        <f aca="false">I397*S397*T397*U397</f>
        <v>8064000</v>
      </c>
      <c r="K397" s="3"/>
      <c r="L397" s="3"/>
      <c r="M397" s="3"/>
      <c r="N397" s="9" t="n">
        <v>0</v>
      </c>
      <c r="O397" s="4" t="n">
        <v>0</v>
      </c>
      <c r="P397" s="5" t="n">
        <f aca="false">IF(COUNTIF([1]Base_Jugadores!J$2:J$500,B397)&gt;0,1,0)</f>
        <v>0</v>
      </c>
      <c r="Q397" s="10" t="b">
        <f aca="false">--(COUNTIFS(
   [1]Fichajes_Realizados!A$2:A$5000,A397,
   [1]Fichajes_Realizados!G$2:G$5000,$X$3
)&gt;0)</f>
        <v>0</v>
      </c>
      <c r="R397" s="5" t="n">
        <f aca="false">_xlfn.XLOOKUP(C397, [1]Estado_Equipos!A$2:A$500, [1]Estado_Equipos!J$2:J$500, "")</f>
        <v>74</v>
      </c>
      <c r="S397" s="5" t="n">
        <f aca="false">IF(H397&lt;=16,1.45,
IF(H397&gt;=41,0.3,
CHOOSE(ROUNDDOWN((H397-16)/2,0)+1,
1.45,1.38,1.3,1.23,1.17,1.15,1.12,1.05,0.95,0.8,0.6,0.4,0.3)))</f>
        <v>1.12</v>
      </c>
      <c r="T397" s="5" t="n">
        <f aca="false">CHOOSE(N397+1,1.2,1,0.85,0.7)</f>
        <v>1.2</v>
      </c>
      <c r="U397" s="5" t="n">
        <f aca="false">IF(F397="PO",0.6,
IF(F397="CT",0.75,
IF(F397="LI",0.8,
IF(F397="LD",0.8,
IF(F397="MCD",0.85,
IF(F397="MC",0.95,
IF(F397="MO",1.05,
IF(F397="EI",1.1,
IF(F397="ED",1.1,
IF(F397="SD",1.15,
IF(F397="DC",1.2,0)))))))))))</f>
        <v>0.75</v>
      </c>
    </row>
    <row r="398" customFormat="false" ht="16.4" hidden="false" customHeight="false" outlineLevel="0" collapsed="false">
      <c r="A398" s="1" t="n">
        <v>397</v>
      </c>
      <c r="B398" s="5" t="str">
        <f aca="false">[1]Base_Jugadores!B398</f>
        <v>Nobel Mendy</v>
      </c>
      <c r="C398" s="5" t="str">
        <f aca="false">IFERROR(
   _xlfn.XLOOKUP(VALUE(A398),[1]Fichajes_Realizados!A$2:A$50000,[1]Fichajes_Realizados!D$2:D$50000,,0,-1),
   _xlfn.XLOOKUP(VALUE(A398),[1]Base_Jugadores!A$2:A$50000,[1]Base_Jugadores!C$2:C$50000)
)</f>
        <v>Rayo Vallecano</v>
      </c>
      <c r="D398" s="5" t="str">
        <f aca="false">[1]Base_Jugadores!D398</f>
        <v>Senegal</v>
      </c>
      <c r="E398" s="3"/>
      <c r="F398" s="5" t="str">
        <f aca="false">[1]Base_Jugadores!E398</f>
        <v>CT</v>
      </c>
      <c r="G398" s="5" t="n">
        <f aca="false">[1]Base_Jugadores!F398</f>
        <v>69</v>
      </c>
      <c r="H398" s="5" t="n">
        <f aca="false">[1]Base_Jugadores!G398</f>
        <v>21</v>
      </c>
      <c r="I398" s="7" t="n">
        <f aca="false" t="array" ref="I398:I398">_xlfn.XLOOKUP(G398,{55;56;57;58;59;60;61;62;63;64;65;66;67;68;69;70;71;72;73;74;75;76;77;78;79;80;81;82;83;84;85;86;87;88;89;90;91;92;93;94;95;96;97;98;99},{100000;130000;160000;190000;220000;250000;300000;350000;400000;450000;500000;600000;700000;800000;900000;1000000;1500000;2000000;3000000;4000000;5000000;6500000;8000000;10000000;12500000;15000000;20000000;25000000;30000000;35000000;40000000;55000000;70000000;80000000;90000000;110000000;130000000;160000000;190000000;220000000;250000000;280000000;310000000;340000000;400000000})</f>
        <v>900000</v>
      </c>
      <c r="J398" s="7" t="n">
        <f aca="false">I398*S398*T398*U398</f>
        <v>745875</v>
      </c>
      <c r="K398" s="3"/>
      <c r="L398" s="3"/>
      <c r="M398" s="3"/>
      <c r="N398" s="9" t="n">
        <v>2</v>
      </c>
      <c r="O398" s="4" t="n">
        <v>1</v>
      </c>
      <c r="P398" s="5" t="n">
        <f aca="false">IF(COUNTIF([1]Base_Jugadores!J$2:J$500,B398)&gt;0,1,0)</f>
        <v>0</v>
      </c>
      <c r="Q398" s="10" t="b">
        <f aca="false">--(COUNTIFS(
   [1]Fichajes_Realizados!A$2:A$5000,A398,
   [1]Fichajes_Realizados!G$2:G$5000,$X$3
)&gt;0)</f>
        <v>0</v>
      </c>
      <c r="R398" s="5" t="n">
        <f aca="false">_xlfn.XLOOKUP(C398, [1]Estado_Equipos!A$2:A$500, [1]Estado_Equipos!J$2:J$500, "")</f>
        <v>74</v>
      </c>
      <c r="S398" s="5" t="n">
        <f aca="false">IF(H398&lt;=16,1.45,
IF(H398&gt;=41,0.3,
CHOOSE(ROUNDDOWN((H398-16)/2,0)+1,
1.45,1.38,1.3,1.23,1.17,1.15,1.12,1.05,0.95,0.8,0.6,0.4,0.3)))</f>
        <v>1.3</v>
      </c>
      <c r="T398" s="5" t="n">
        <f aca="false">CHOOSE(N398+1,1.2,1,0.85,0.7)</f>
        <v>0.85</v>
      </c>
      <c r="U398" s="5" t="n">
        <f aca="false">IF(F398="PO",0.6,
IF(F398="CT",0.75,
IF(F398="LI",0.8,
IF(F398="LD",0.8,
IF(F398="MCD",0.85,
IF(F398="MC",0.95,
IF(F398="MO",1.05,
IF(F398="EI",1.1,
IF(F398="ED",1.1,
IF(F398="SD",1.15,
IF(F398="DC",1.2,0)))))))))))</f>
        <v>0.75</v>
      </c>
    </row>
    <row r="399" customFormat="false" ht="16.4" hidden="false" customHeight="false" outlineLevel="0" collapsed="false">
      <c r="A399" s="1" t="n">
        <v>398</v>
      </c>
      <c r="B399" s="5" t="str">
        <f aca="false">[1]Base_Jugadores!B399</f>
        <v>Óscar Trejo</v>
      </c>
      <c r="C399" s="5" t="str">
        <f aca="false">IFERROR(
   _xlfn.XLOOKUP(VALUE(A399),[1]Fichajes_Realizados!A$2:A$50000,[1]Fichajes_Realizados!D$2:D$50000,,0,-1),
   _xlfn.XLOOKUP(VALUE(A399),[1]Base_Jugadores!A$2:A$50000,[1]Base_Jugadores!C$2:C$50000)
)</f>
        <v>Rayo Vallecano</v>
      </c>
      <c r="D399" s="5" t="str">
        <f aca="false">[1]Base_Jugadores!D399</f>
        <v>Argentina</v>
      </c>
      <c r="E399" s="3"/>
      <c r="F399" s="5" t="str">
        <f aca="false">[1]Base_Jugadores!E399</f>
        <v>MO</v>
      </c>
      <c r="G399" s="5" t="n">
        <f aca="false">[1]Base_Jugadores!F399</f>
        <v>77</v>
      </c>
      <c r="H399" s="5" t="n">
        <f aca="false">[1]Base_Jugadores!G399</f>
        <v>37</v>
      </c>
      <c r="I399" s="7" t="n">
        <f aca="false" t="array" ref="I399:I399">_xlfn.XLOOKUP(G399,{55;56;57;58;59;60;61;62;63;64;65;66;67;68;69;70;71;72;73;74;75;76;77;78;79;80;81;82;83;84;85;86;87;88;89;90;91;92;93;94;95;96;97;98;99},{100000;130000;160000;190000;220000;250000;300000;350000;400000;450000;500000;600000;700000;800000;900000;1000000;1500000;2000000;3000000;4000000;5000000;6500000;8000000;10000000;12500000;15000000;20000000;25000000;30000000;35000000;40000000;55000000;70000000;80000000;90000000;110000000;130000000;160000000;190000000;220000000;250000000;280000000;310000000;340000000;400000000})</f>
        <v>8000000</v>
      </c>
      <c r="J399" s="7" t="n">
        <f aca="false">I399*S399*T399*U399</f>
        <v>5040000</v>
      </c>
      <c r="K399" s="3"/>
      <c r="L399" s="3"/>
      <c r="M399" s="3"/>
      <c r="N399" s="9" t="n">
        <v>1</v>
      </c>
      <c r="O399" s="4" t="n">
        <v>0</v>
      </c>
      <c r="P399" s="5" t="n">
        <f aca="false">IF(COUNTIF([1]Base_Jugadores!J$2:J$500,B399)&gt;0,1,0)</f>
        <v>0</v>
      </c>
      <c r="Q399" s="10" t="b">
        <f aca="false">--(COUNTIFS(
   [1]Fichajes_Realizados!A$2:A$5000,A399,
   [1]Fichajes_Realizados!G$2:G$5000,$X$3
)&gt;0)</f>
        <v>0</v>
      </c>
      <c r="R399" s="5" t="n">
        <f aca="false">_xlfn.XLOOKUP(C399, [1]Estado_Equipos!A$2:A$500, [1]Estado_Equipos!J$2:J$500, "")</f>
        <v>74</v>
      </c>
      <c r="S399" s="5" t="n">
        <f aca="false">IF(H399&lt;=16,1.45,
IF(H399&gt;=41,0.3,
CHOOSE(ROUNDDOWN((H399-16)/2,0)+1,
1.45,1.38,1.3,1.23,1.17,1.15,1.12,1.05,0.95,0.8,0.6,0.4,0.3)))</f>
        <v>0.6</v>
      </c>
      <c r="T399" s="5" t="n">
        <f aca="false">CHOOSE(N399+1,1.2,1,0.85,0.7)</f>
        <v>1</v>
      </c>
      <c r="U399" s="5" t="n">
        <f aca="false">IF(F399="PO",0.6,
IF(F399="CT",0.75,
IF(F399="LI",0.8,
IF(F399="LD",0.8,
IF(F399="MCD",0.85,
IF(F399="MC",0.95,
IF(F399="MO",1.05,
IF(F399="EI",1.1,
IF(F399="ED",1.1,
IF(F399="SD",1.15,
IF(F399="DC",1.2,0)))))))))))</f>
        <v>1.05</v>
      </c>
    </row>
    <row r="400" customFormat="false" ht="16.4" hidden="false" customHeight="false" outlineLevel="0" collapsed="false">
      <c r="A400" s="1" t="n">
        <v>399</v>
      </c>
      <c r="B400" s="5" t="str">
        <f aca="false">[1]Base_Jugadores!B400</f>
        <v>Óscar Valentín</v>
      </c>
      <c r="C400" s="5" t="str">
        <f aca="false">IFERROR(
   _xlfn.XLOOKUP(VALUE(A400),[1]Fichajes_Realizados!A$2:A$50000,[1]Fichajes_Realizados!D$2:D$50000,,0,-1),
   _xlfn.XLOOKUP(VALUE(A400),[1]Base_Jugadores!A$2:A$50000,[1]Base_Jugadores!C$2:C$50000)
)</f>
        <v>Rayo Vallecano</v>
      </c>
      <c r="D400" s="5" t="str">
        <f aca="false">[1]Base_Jugadores!D400</f>
        <v>España</v>
      </c>
      <c r="E400" s="3"/>
      <c r="F400" s="5" t="str">
        <f aca="false">[1]Base_Jugadores!E400</f>
        <v>MC</v>
      </c>
      <c r="G400" s="5" t="n">
        <f aca="false">[1]Base_Jugadores!F400</f>
        <v>76</v>
      </c>
      <c r="H400" s="5" t="n">
        <f aca="false">[1]Base_Jugadores!G400</f>
        <v>31</v>
      </c>
      <c r="I400" s="7" t="n">
        <f aca="false" t="array" ref="I400:I400">_xlfn.XLOOKUP(G400,{55;56;57;58;59;60;61;62;63;64;65;66;67;68;69;70;71;72;73;74;75;76;77;78;79;80;81;82;83;84;85;86;87;88;89;90;91;92;93;94;95;96;97;98;99},{100000;130000;160000;190000;220000;250000;300000;350000;400000;450000;500000;600000;700000;800000;900000;1000000;1500000;2000000;3000000;4000000;5000000;6500000;8000000;10000000;12500000;15000000;20000000;25000000;30000000;35000000;40000000;55000000;70000000;80000000;90000000;110000000;130000000;160000000;190000000;220000000;250000000;280000000;310000000;340000000;400000000})</f>
        <v>6500000</v>
      </c>
      <c r="J400" s="7" t="n">
        <f aca="false">I400*S400*T400*U400</f>
        <v>7780500</v>
      </c>
      <c r="K400" s="3"/>
      <c r="L400" s="3"/>
      <c r="M400" s="3"/>
      <c r="N400" s="9" t="n">
        <v>0</v>
      </c>
      <c r="O400" s="4" t="n">
        <v>0</v>
      </c>
      <c r="P400" s="5" t="n">
        <f aca="false">IF(COUNTIF([1]Base_Jugadores!J$2:J$500,B400)&gt;0,1,0)</f>
        <v>0</v>
      </c>
      <c r="Q400" s="10" t="b">
        <f aca="false">--(COUNTIFS(
   [1]Fichajes_Realizados!A$2:A$5000,A400,
   [1]Fichajes_Realizados!G$2:G$5000,$X$3
)&gt;0)</f>
        <v>0</v>
      </c>
      <c r="R400" s="5" t="n">
        <f aca="false">_xlfn.XLOOKUP(C400, [1]Estado_Equipos!A$2:A$500, [1]Estado_Equipos!J$2:J$500, "")</f>
        <v>74</v>
      </c>
      <c r="S400" s="5" t="n">
        <f aca="false">IF(H400&lt;=16,1.45,
IF(H400&gt;=41,0.3,
CHOOSE(ROUNDDOWN((H400-16)/2,0)+1,
1.45,1.38,1.3,1.23,1.17,1.15,1.12,1.05,0.95,0.8,0.6,0.4,0.3)))</f>
        <v>1.05</v>
      </c>
      <c r="T400" s="5" t="n">
        <f aca="false">CHOOSE(N400+1,1.2,1,0.85,0.7)</f>
        <v>1.2</v>
      </c>
      <c r="U400" s="5" t="n">
        <f aca="false">IF(F400="PO",0.6,
IF(F400="CT",0.75,
IF(F400="LI",0.8,
IF(F400="LD",0.8,
IF(F400="MCD",0.85,
IF(F400="MC",0.95,
IF(F400="MO",1.05,
IF(F400="EI",1.1,
IF(F400="ED",1.1,
IF(F400="SD",1.15,
IF(F400="DC",1.2,0)))))))))))</f>
        <v>0.95</v>
      </c>
    </row>
    <row r="401" customFormat="false" ht="16.4" hidden="false" customHeight="false" outlineLevel="0" collapsed="false">
      <c r="A401" s="1" t="n">
        <v>400</v>
      </c>
      <c r="B401" s="5" t="str">
        <f aca="false">[1]Base_Jugadores!B401</f>
        <v>Pathé Ciss</v>
      </c>
      <c r="C401" s="5" t="str">
        <f aca="false">IFERROR(
   _xlfn.XLOOKUP(VALUE(A401),[1]Fichajes_Realizados!A$2:A$50000,[1]Fichajes_Realizados!D$2:D$50000,,0,-1),
   _xlfn.XLOOKUP(VALUE(A401),[1]Base_Jugadores!A$2:A$50000,[1]Base_Jugadores!C$2:C$50000)
)</f>
        <v>Rayo Vallecano</v>
      </c>
      <c r="D401" s="5" t="str">
        <f aca="false">[1]Base_Jugadores!D401</f>
        <v>Senegal</v>
      </c>
      <c r="E401" s="3"/>
      <c r="F401" s="5" t="str">
        <f aca="false">[1]Base_Jugadores!E401</f>
        <v>MC</v>
      </c>
      <c r="G401" s="5" t="n">
        <f aca="false">[1]Base_Jugadores!F401</f>
        <v>75</v>
      </c>
      <c r="H401" s="5" t="n">
        <f aca="false">[1]Base_Jugadores!G401</f>
        <v>31</v>
      </c>
      <c r="I401" s="7" t="n">
        <f aca="false" t="array" ref="I401:I401">_xlfn.XLOOKUP(G401,{55;56;57;58;59;60;61;62;63;64;65;66;67;68;69;70;71;72;73;74;75;76;77;78;79;80;81;82;83;84;85;86;87;88;89;90;91;92;93;94;95;96;97;98;99},{100000;130000;160000;190000;220000;250000;300000;350000;400000;450000;500000;600000;700000;800000;900000;1000000;1500000;2000000;3000000;4000000;5000000;6500000;8000000;10000000;12500000;15000000;20000000;25000000;30000000;35000000;40000000;55000000;70000000;80000000;90000000;110000000;130000000;160000000;190000000;220000000;250000000;280000000;310000000;340000000;400000000})</f>
        <v>5000000</v>
      </c>
      <c r="J401" s="7" t="n">
        <f aca="false">I401*S401*T401*U401</f>
        <v>5985000</v>
      </c>
      <c r="K401" s="3"/>
      <c r="L401" s="3"/>
      <c r="M401" s="3"/>
      <c r="N401" s="9" t="n">
        <v>0</v>
      </c>
      <c r="O401" s="4" t="n">
        <v>0</v>
      </c>
      <c r="P401" s="5" t="n">
        <f aca="false">IF(COUNTIF([1]Base_Jugadores!J$2:J$500,B401)&gt;0,1,0)</f>
        <v>0</v>
      </c>
      <c r="Q401" s="10" t="b">
        <f aca="false">--(COUNTIFS(
   [1]Fichajes_Realizados!A$2:A$5000,A401,
   [1]Fichajes_Realizados!G$2:G$5000,$X$3
)&gt;0)</f>
        <v>0</v>
      </c>
      <c r="R401" s="5" t="n">
        <f aca="false">_xlfn.XLOOKUP(C401, [1]Estado_Equipos!A$2:A$500, [1]Estado_Equipos!J$2:J$500, "")</f>
        <v>74</v>
      </c>
      <c r="S401" s="5" t="n">
        <f aca="false">IF(H401&lt;=16,1.45,
IF(H401&gt;=41,0.3,
CHOOSE(ROUNDDOWN((H401-16)/2,0)+1,
1.45,1.38,1.3,1.23,1.17,1.15,1.12,1.05,0.95,0.8,0.6,0.4,0.3)))</f>
        <v>1.05</v>
      </c>
      <c r="T401" s="5" t="n">
        <f aca="false">CHOOSE(N401+1,1.2,1,0.85,0.7)</f>
        <v>1.2</v>
      </c>
      <c r="U401" s="5" t="n">
        <f aca="false">IF(F401="PO",0.6,
IF(F401="CT",0.75,
IF(F401="LI",0.8,
IF(F401="LD",0.8,
IF(F401="MCD",0.85,
IF(F401="MC",0.95,
IF(F401="MO",1.05,
IF(F401="EI",1.1,
IF(F401="ED",1.1,
IF(F401="SD",1.15,
IF(F401="DC",1.2,0)))))))))))</f>
        <v>0.95</v>
      </c>
    </row>
    <row r="402" customFormat="false" ht="16.4" hidden="false" customHeight="false" outlineLevel="0" collapsed="false">
      <c r="A402" s="1" t="n">
        <v>401</v>
      </c>
      <c r="B402" s="5" t="str">
        <f aca="false">[1]Base_Jugadores!B402</f>
        <v>Pedro Díaz</v>
      </c>
      <c r="C402" s="5" t="str">
        <f aca="false">IFERROR(
   _xlfn.XLOOKUP(VALUE(A402),[1]Fichajes_Realizados!A$2:A$50000,[1]Fichajes_Realizados!D$2:D$50000,,0,-1),
   _xlfn.XLOOKUP(VALUE(A402),[1]Base_Jugadores!A$2:A$50000,[1]Base_Jugadores!C$2:C$50000)
)</f>
        <v>Rayo Vallecano</v>
      </c>
      <c r="D402" s="5" t="str">
        <f aca="false">[1]Base_Jugadores!D402</f>
        <v>España</v>
      </c>
      <c r="E402" s="3"/>
      <c r="F402" s="5" t="str">
        <f aca="false">[1]Base_Jugadores!E402</f>
        <v>MC</v>
      </c>
      <c r="G402" s="5" t="n">
        <f aca="false">[1]Base_Jugadores!F402</f>
        <v>74</v>
      </c>
      <c r="H402" s="5" t="n">
        <f aca="false">[1]Base_Jugadores!G402</f>
        <v>27</v>
      </c>
      <c r="I402" s="7" t="n">
        <f aca="false" t="array" ref="I402:I402">_xlfn.XLOOKUP(G402,{55;56;57;58;59;60;61;62;63;64;65;66;67;68;69;70;71;72;73;74;75;76;77;78;79;80;81;82;83;84;85;86;87;88;89;90;91;92;93;94;95;96;97;98;99},{100000;130000;160000;190000;220000;250000;300000;350000;400000;450000;500000;600000;700000;800000;900000;1000000;1500000;2000000;3000000;4000000;5000000;6500000;8000000;10000000;12500000;15000000;20000000;25000000;30000000;35000000;40000000;55000000;70000000;80000000;90000000;110000000;130000000;160000000;190000000;220000000;250000000;280000000;310000000;340000000;400000000})</f>
        <v>4000000</v>
      </c>
      <c r="J402" s="7" t="n">
        <f aca="false">I402*S402*T402*U402</f>
        <v>4370000</v>
      </c>
      <c r="K402" s="3"/>
      <c r="L402" s="3"/>
      <c r="M402" s="3"/>
      <c r="N402" s="9" t="n">
        <v>1</v>
      </c>
      <c r="O402" s="4" t="n">
        <v>0</v>
      </c>
      <c r="P402" s="5" t="n">
        <f aca="false">IF(COUNTIF([1]Base_Jugadores!J$2:J$500,B402)&gt;0,1,0)</f>
        <v>0</v>
      </c>
      <c r="Q402" s="10" t="b">
        <f aca="false">--(COUNTIFS(
   [1]Fichajes_Realizados!A$2:A$5000,A402,
   [1]Fichajes_Realizados!G$2:G$5000,$X$3
)&gt;0)</f>
        <v>0</v>
      </c>
      <c r="R402" s="5" t="n">
        <f aca="false">_xlfn.XLOOKUP(C402, [1]Estado_Equipos!A$2:A$500, [1]Estado_Equipos!J$2:J$500, "")</f>
        <v>74</v>
      </c>
      <c r="S402" s="5" t="n">
        <f aca="false">IF(H402&lt;=16,1.45,
IF(H402&gt;=41,0.3,
CHOOSE(ROUNDDOWN((H402-16)/2,0)+1,
1.45,1.38,1.3,1.23,1.17,1.15,1.12,1.05,0.95,0.8,0.6,0.4,0.3)))</f>
        <v>1.15</v>
      </c>
      <c r="T402" s="5" t="n">
        <f aca="false">CHOOSE(N402+1,1.2,1,0.85,0.7)</f>
        <v>1</v>
      </c>
      <c r="U402" s="5" t="n">
        <f aca="false">IF(F402="PO",0.6,
IF(F402="CT",0.75,
IF(F402="LI",0.8,
IF(F402="LD",0.8,
IF(F402="MCD",0.85,
IF(F402="MC",0.95,
IF(F402="MO",1.05,
IF(F402="EI",1.1,
IF(F402="ED",1.1,
IF(F402="SD",1.15,
IF(F402="DC",1.2,0)))))))))))</f>
        <v>0.95</v>
      </c>
    </row>
    <row r="403" customFormat="false" ht="16.4" hidden="false" customHeight="false" outlineLevel="0" collapsed="false">
      <c r="A403" s="1" t="n">
        <v>402</v>
      </c>
      <c r="B403" s="5" t="str">
        <f aca="false">[1]Base_Jugadores!B403</f>
        <v>Pep Chavarría</v>
      </c>
      <c r="C403" s="5" t="str">
        <f aca="false">IFERROR(
   _xlfn.XLOOKUP(VALUE(A403),[1]Fichajes_Realizados!A$2:A$50000,[1]Fichajes_Realizados!D$2:D$50000,,0,-1),
   _xlfn.XLOOKUP(VALUE(A403),[1]Base_Jugadores!A$2:A$50000,[1]Base_Jugadores!C$2:C$50000)
)</f>
        <v>Rayo Vallecano</v>
      </c>
      <c r="D403" s="5" t="str">
        <f aca="false">[1]Base_Jugadores!D403</f>
        <v>España</v>
      </c>
      <c r="E403" s="3"/>
      <c r="F403" s="5" t="str">
        <f aca="false">[1]Base_Jugadores!E403</f>
        <v>LI</v>
      </c>
      <c r="G403" s="5" t="n">
        <f aca="false">[1]Base_Jugadores!F403</f>
        <v>71</v>
      </c>
      <c r="H403" s="5" t="n">
        <f aca="false">[1]Base_Jugadores!G403</f>
        <v>27</v>
      </c>
      <c r="I403" s="7" t="n">
        <f aca="false" t="array" ref="I403:I403">_xlfn.XLOOKUP(G403,{55;56;57;58;59;60;61;62;63;64;65;66;67;68;69;70;71;72;73;74;75;76;77;78;79;80;81;82;83;84;85;86;87;88;89;90;91;92;93;94;95;96;97;98;99},{100000;130000;160000;190000;220000;250000;300000;350000;400000;450000;500000;600000;700000;800000;900000;1000000;1500000;2000000;3000000;4000000;5000000;6500000;8000000;10000000;12500000;15000000;20000000;25000000;30000000;35000000;40000000;55000000;70000000;80000000;90000000;110000000;130000000;160000000;190000000;220000000;250000000;280000000;310000000;340000000;400000000})</f>
        <v>1500000</v>
      </c>
      <c r="J403" s="7" t="n">
        <f aca="false">I403*S403*T403*U403</f>
        <v>1173000</v>
      </c>
      <c r="K403" s="3"/>
      <c r="L403" s="3"/>
      <c r="M403" s="3"/>
      <c r="N403" s="9" t="n">
        <v>2</v>
      </c>
      <c r="O403" s="4" t="n">
        <v>0</v>
      </c>
      <c r="P403" s="5" t="n">
        <f aca="false">IF(COUNTIF([1]Base_Jugadores!J$2:J$500,B403)&gt;0,1,0)</f>
        <v>0</v>
      </c>
      <c r="Q403" s="10" t="b">
        <f aca="false">--(COUNTIFS(
   [1]Fichajes_Realizados!A$2:A$5000,A403,
   [1]Fichajes_Realizados!G$2:G$5000,$X$3
)&gt;0)</f>
        <v>0</v>
      </c>
      <c r="R403" s="5" t="n">
        <f aca="false">_xlfn.XLOOKUP(C403, [1]Estado_Equipos!A$2:A$500, [1]Estado_Equipos!J$2:J$500, "")</f>
        <v>74</v>
      </c>
      <c r="S403" s="5" t="n">
        <f aca="false">IF(H403&lt;=16,1.45,
IF(H403&gt;=41,0.3,
CHOOSE(ROUNDDOWN((H403-16)/2,0)+1,
1.45,1.38,1.3,1.23,1.17,1.15,1.12,1.05,0.95,0.8,0.6,0.4,0.3)))</f>
        <v>1.15</v>
      </c>
      <c r="T403" s="5" t="n">
        <f aca="false">CHOOSE(N403+1,1.2,1,0.85,0.7)</f>
        <v>0.85</v>
      </c>
      <c r="U403" s="5" t="n">
        <f aca="false">IF(F403="PO",0.6,
IF(F403="CT",0.75,
IF(F403="LI",0.8,
IF(F403="LD",0.8,
IF(F403="MCD",0.85,
IF(F403="MC",0.95,
IF(F403="MO",1.05,
IF(F403="EI",1.1,
IF(F403="ED",1.1,
IF(F403="SD",1.15,
IF(F403="DC",1.2,0)))))))))))</f>
        <v>0.8</v>
      </c>
    </row>
    <row r="404" customFormat="false" ht="16.4" hidden="false" customHeight="false" outlineLevel="0" collapsed="false">
      <c r="A404" s="1" t="n">
        <v>403</v>
      </c>
      <c r="B404" s="5" t="str">
        <f aca="false">[1]Base_Jugadores!B404</f>
        <v>Randy Nteka</v>
      </c>
      <c r="C404" s="5" t="str">
        <f aca="false">IFERROR(
   _xlfn.XLOOKUP(VALUE(A404),[1]Fichajes_Realizados!A$2:A$50000,[1]Fichajes_Realizados!D$2:D$50000,,0,-1),
   _xlfn.XLOOKUP(VALUE(A404),[1]Base_Jugadores!A$2:A$50000,[1]Base_Jugadores!C$2:C$50000)
)</f>
        <v>Rayo Vallecano</v>
      </c>
      <c r="D404" s="5" t="str">
        <f aca="false">[1]Base_Jugadores!D404</f>
        <v>Angola</v>
      </c>
      <c r="E404" s="3"/>
      <c r="F404" s="5" t="str">
        <f aca="false">[1]Base_Jugadores!E404</f>
        <v>MO</v>
      </c>
      <c r="G404" s="5" t="n">
        <f aca="false">[1]Base_Jugadores!F404</f>
        <v>71</v>
      </c>
      <c r="H404" s="5" t="n">
        <f aca="false">[1]Base_Jugadores!G404</f>
        <v>28</v>
      </c>
      <c r="I404" s="7" t="n">
        <f aca="false" t="array" ref="I404:I404">_xlfn.XLOOKUP(G404,{55;56;57;58;59;60;61;62;63;64;65;66;67;68;69;70;71;72;73;74;75;76;77;78;79;80;81;82;83;84;85;86;87;88;89;90;91;92;93;94;95;96;97;98;99},{100000;130000;160000;190000;220000;250000;300000;350000;400000;450000;500000;600000;700000;800000;900000;1000000;1500000;2000000;3000000;4000000;5000000;6500000;8000000;10000000;12500000;15000000;20000000;25000000;30000000;35000000;40000000;55000000;70000000;80000000;90000000;110000000;130000000;160000000;190000000;220000000;250000000;280000000;310000000;340000000;400000000})</f>
        <v>1500000</v>
      </c>
      <c r="J404" s="7" t="n">
        <f aca="false">I404*S404*T404*U404</f>
        <v>1499400</v>
      </c>
      <c r="K404" s="3"/>
      <c r="L404" s="3"/>
      <c r="M404" s="3"/>
      <c r="N404" s="9" t="n">
        <v>2</v>
      </c>
      <c r="O404" s="4" t="n">
        <v>0</v>
      </c>
      <c r="P404" s="5" t="n">
        <f aca="false">IF(COUNTIF([1]Base_Jugadores!J$2:J$500,B404)&gt;0,1,0)</f>
        <v>0</v>
      </c>
      <c r="Q404" s="10" t="b">
        <f aca="false">--(COUNTIFS(
   [1]Fichajes_Realizados!A$2:A$5000,A404,
   [1]Fichajes_Realizados!G$2:G$5000,$X$3
)&gt;0)</f>
        <v>0</v>
      </c>
      <c r="R404" s="5" t="n">
        <f aca="false">_xlfn.XLOOKUP(C404, [1]Estado_Equipos!A$2:A$500, [1]Estado_Equipos!J$2:J$500, "")</f>
        <v>74</v>
      </c>
      <c r="S404" s="5" t="n">
        <f aca="false">IF(H404&lt;=16,1.45,
IF(H404&gt;=41,0.3,
CHOOSE(ROUNDDOWN((H404-16)/2,0)+1,
1.45,1.38,1.3,1.23,1.17,1.15,1.12,1.05,0.95,0.8,0.6,0.4,0.3)))</f>
        <v>1.12</v>
      </c>
      <c r="T404" s="5" t="n">
        <f aca="false">CHOOSE(N404+1,1.2,1,0.85,0.7)</f>
        <v>0.85</v>
      </c>
      <c r="U404" s="5" t="n">
        <f aca="false">IF(F404="PO",0.6,
IF(F404="CT",0.75,
IF(F404="LI",0.8,
IF(F404="LD",0.8,
IF(F404="MCD",0.85,
IF(F404="MC",0.95,
IF(F404="MO",1.05,
IF(F404="EI",1.1,
IF(F404="ED",1.1,
IF(F404="SD",1.15,
IF(F404="DC",1.2,0)))))))))))</f>
        <v>1.05</v>
      </c>
    </row>
    <row r="405" customFormat="false" ht="16.4" hidden="false" customHeight="false" outlineLevel="0" collapsed="false">
      <c r="A405" s="1" t="n">
        <v>404</v>
      </c>
      <c r="B405" s="5" t="str">
        <f aca="false">[1]Base_Jugadores!B405</f>
        <v>Sergio Camello</v>
      </c>
      <c r="C405" s="5" t="str">
        <f aca="false">IFERROR(
   _xlfn.XLOOKUP(VALUE(A405),[1]Fichajes_Realizados!A$2:A$50000,[1]Fichajes_Realizados!D$2:D$50000,,0,-1),
   _xlfn.XLOOKUP(VALUE(A405),[1]Base_Jugadores!A$2:A$50000,[1]Base_Jugadores!C$2:C$50000)
)</f>
        <v>Rayo Vallecano</v>
      </c>
      <c r="D405" s="5" t="str">
        <f aca="false">[1]Base_Jugadores!D405</f>
        <v>España</v>
      </c>
      <c r="E405" s="3"/>
      <c r="F405" s="5" t="str">
        <f aca="false">[1]Base_Jugadores!E405</f>
        <v>DC</v>
      </c>
      <c r="G405" s="5" t="n">
        <f aca="false">[1]Base_Jugadores!F405</f>
        <v>76</v>
      </c>
      <c r="H405" s="5" t="n">
        <f aca="false">[1]Base_Jugadores!G405</f>
        <v>24</v>
      </c>
      <c r="I405" s="7" t="n">
        <f aca="false" t="array" ref="I405:I405">_xlfn.XLOOKUP(G405,{55;56;57;58;59;60;61;62;63;64;65;66;67;68;69;70;71;72;73;74;75;76;77;78;79;80;81;82;83;84;85;86;87;88;89;90;91;92;93;94;95;96;97;98;99},{100000;130000;160000;190000;220000;250000;300000;350000;400000;450000;500000;600000;700000;800000;900000;1000000;1500000;2000000;3000000;4000000;5000000;6500000;8000000;10000000;12500000;15000000;20000000;25000000;30000000;35000000;40000000;55000000;70000000;80000000;90000000;110000000;130000000;160000000;190000000;220000000;250000000;280000000;310000000;340000000;400000000})</f>
        <v>6500000</v>
      </c>
      <c r="J405" s="7" t="n">
        <f aca="false">I405*S405*T405*U405</f>
        <v>10951200</v>
      </c>
      <c r="K405" s="3"/>
      <c r="L405" s="3"/>
      <c r="M405" s="3"/>
      <c r="N405" s="9" t="n">
        <v>0</v>
      </c>
      <c r="O405" s="4" t="n">
        <v>0</v>
      </c>
      <c r="P405" s="5" t="n">
        <f aca="false">IF(COUNTIF([1]Base_Jugadores!J$2:J$500,B405)&gt;0,1,0)</f>
        <v>0</v>
      </c>
      <c r="Q405" s="10" t="b">
        <f aca="false">--(COUNTIFS(
   [1]Fichajes_Realizados!A$2:A$5000,A405,
   [1]Fichajes_Realizados!G$2:G$5000,$X$3
)&gt;0)</f>
        <v>0</v>
      </c>
      <c r="R405" s="5" t="n">
        <f aca="false">_xlfn.XLOOKUP(C405, [1]Estado_Equipos!A$2:A$500, [1]Estado_Equipos!J$2:J$500, "")</f>
        <v>74</v>
      </c>
      <c r="S405" s="5" t="n">
        <f aca="false">IF(H405&lt;=16,1.45,
IF(H405&gt;=41,0.3,
CHOOSE(ROUNDDOWN((H405-16)/2,0)+1,
1.45,1.38,1.3,1.23,1.17,1.15,1.12,1.05,0.95,0.8,0.6,0.4,0.3)))</f>
        <v>1.17</v>
      </c>
      <c r="T405" s="5" t="n">
        <f aca="false">CHOOSE(N405+1,1.2,1,0.85,0.7)</f>
        <v>1.2</v>
      </c>
      <c r="U405" s="5" t="n">
        <f aca="false">IF(F405="PO",0.6,
IF(F405="CT",0.75,
IF(F405="LI",0.8,
IF(F405="LD",0.8,
IF(F405="MCD",0.85,
IF(F405="MC",0.95,
IF(F405="MO",1.05,
IF(F405="EI",1.1,
IF(F405="ED",1.1,
IF(F405="SD",1.15,
IF(F405="DC",1.2,0)))))))))))</f>
        <v>1.2</v>
      </c>
    </row>
    <row r="406" customFormat="false" ht="16.4" hidden="false" customHeight="false" outlineLevel="0" collapsed="false">
      <c r="A406" s="1" t="n">
        <v>405</v>
      </c>
      <c r="B406" s="5" t="str">
        <f aca="false">[1]Base_Jugadores!B406</f>
        <v>Unai López</v>
      </c>
      <c r="C406" s="5" t="str">
        <f aca="false">IFERROR(
   _xlfn.XLOOKUP(VALUE(A406),[1]Fichajes_Realizados!A$2:A$50000,[1]Fichajes_Realizados!D$2:D$50000,,0,-1),
   _xlfn.XLOOKUP(VALUE(A406),[1]Base_Jugadores!A$2:A$50000,[1]Base_Jugadores!C$2:C$50000)
)</f>
        <v>Rayo Vallecano</v>
      </c>
      <c r="D406" s="5" t="str">
        <f aca="false">[1]Base_Jugadores!D406</f>
        <v>España</v>
      </c>
      <c r="E406" s="3"/>
      <c r="F406" s="5" t="str">
        <f aca="false">[1]Base_Jugadores!E406</f>
        <v>MC</v>
      </c>
      <c r="G406" s="5" t="n">
        <f aca="false">[1]Base_Jugadores!F406</f>
        <v>74</v>
      </c>
      <c r="H406" s="5" t="n">
        <f aca="false">[1]Base_Jugadores!G406</f>
        <v>30</v>
      </c>
      <c r="I406" s="7" t="n">
        <f aca="false" t="array" ref="I406:I406">_xlfn.XLOOKUP(G406,{55;56;57;58;59;60;61;62;63;64;65;66;67;68;69;70;71;72;73;74;75;76;77;78;79;80;81;82;83;84;85;86;87;88;89;90;91;92;93;94;95;96;97;98;99},{100000;130000;160000;190000;220000;250000;300000;350000;400000;450000;500000;600000;700000;800000;900000;1000000;1500000;2000000;3000000;4000000;5000000;6500000;8000000;10000000;12500000;15000000;20000000;25000000;30000000;35000000;40000000;55000000;70000000;80000000;90000000;110000000;130000000;160000000;190000000;220000000;250000000;280000000;310000000;340000000;400000000})</f>
        <v>4000000</v>
      </c>
      <c r="J406" s="7" t="n">
        <f aca="false">I406*S406*T406*U406</f>
        <v>3990000</v>
      </c>
      <c r="K406" s="3"/>
      <c r="L406" s="3"/>
      <c r="M406" s="3"/>
      <c r="N406" s="9" t="n">
        <v>1</v>
      </c>
      <c r="O406" s="4" t="n">
        <v>0</v>
      </c>
      <c r="P406" s="5" t="n">
        <f aca="false">IF(COUNTIF([1]Base_Jugadores!J$2:J$500,B406)&gt;0,1,0)</f>
        <v>1</v>
      </c>
      <c r="Q406" s="10" t="b">
        <f aca="false">--(COUNTIFS(
   [1]Fichajes_Realizados!A$2:A$5000,A406,
   [1]Fichajes_Realizados!G$2:G$5000,$X$3
)&gt;0)</f>
        <v>0</v>
      </c>
      <c r="R406" s="5" t="n">
        <f aca="false">_xlfn.XLOOKUP(C406, [1]Estado_Equipos!A$2:A$500, [1]Estado_Equipos!J$2:J$500, "")</f>
        <v>74</v>
      </c>
      <c r="S406" s="5" t="n">
        <f aca="false">IF(H406&lt;=16,1.45,
IF(H406&gt;=41,0.3,
CHOOSE(ROUNDDOWN((H406-16)/2,0)+1,
1.45,1.38,1.3,1.23,1.17,1.15,1.12,1.05,0.95,0.8,0.6,0.4,0.3)))</f>
        <v>1.05</v>
      </c>
      <c r="T406" s="5" t="n">
        <f aca="false">CHOOSE(N406+1,1.2,1,0.85,0.7)</f>
        <v>1</v>
      </c>
      <c r="U406" s="5" t="n">
        <f aca="false">IF(F406="PO",0.6,
IF(F406="CT",0.75,
IF(F406="LI",0.8,
IF(F406="LD",0.8,
IF(F406="MCD",0.85,
IF(F406="MC",0.95,
IF(F406="MO",1.05,
IF(F406="EI",1.1,
IF(F406="ED",1.1,
IF(F406="SD",1.15,
IF(F406="DC",1.2,0)))))))))))</f>
        <v>0.95</v>
      </c>
    </row>
    <row r="407" customFormat="false" ht="16.4" hidden="false" customHeight="false" outlineLevel="0" collapsed="false">
      <c r="A407" s="1" t="n">
        <v>406</v>
      </c>
      <c r="B407" s="5" t="str">
        <f aca="false">[1]Base_Jugadores!B407</f>
        <v>A. Mariezkurrena</v>
      </c>
      <c r="C407" s="5" t="str">
        <f aca="false">IFERROR(
   _xlfn.XLOOKUP(VALUE(A407),[1]Fichajes_Realizados!A$2:A$50000,[1]Fichajes_Realizados!D$2:D$50000,,0,-1),
   _xlfn.XLOOKUP(VALUE(A407),[1]Base_Jugadores!A$2:A$50000,[1]Base_Jugadores!C$2:C$50000)
)</f>
        <v>Real Sociedad</v>
      </c>
      <c r="D407" s="5" t="str">
        <f aca="false">[1]Base_Jugadores!D407</f>
        <v>España</v>
      </c>
      <c r="E407" s="3"/>
      <c r="F407" s="5" t="str">
        <f aca="false">[1]Base_Jugadores!E407</f>
        <v>EI</v>
      </c>
      <c r="G407" s="5" t="n">
        <f aca="false">[1]Base_Jugadores!F407</f>
        <v>64</v>
      </c>
      <c r="H407" s="5" t="n">
        <f aca="false">[1]Base_Jugadores!G407</f>
        <v>20</v>
      </c>
      <c r="I407" s="7" t="n">
        <f aca="false" t="array" ref="I407:I407">_xlfn.XLOOKUP(G407,{55;56;57;58;59;60;61;62;63;64;65;66;67;68;69;70;71;72;73;74;75;76;77;78;79;80;81;82;83;84;85;86;87;88;89;90;91;92;93;94;95;96;97;98;99},{100000;130000;160000;190000;220000;250000;300000;350000;400000;450000;500000;600000;700000;800000;900000;1000000;1500000;2000000;3000000;4000000;5000000;6500000;8000000;10000000;12500000;15000000;20000000;25000000;30000000;35000000;40000000;55000000;70000000;80000000;90000000;110000000;130000000;160000000;190000000;220000000;250000000;280000000;310000000;340000000;400000000})</f>
        <v>450000</v>
      </c>
      <c r="J407" s="7" t="n">
        <f aca="false">I407*S407*T407*U407</f>
        <v>546975</v>
      </c>
      <c r="K407" s="3"/>
      <c r="L407" s="3"/>
      <c r="M407" s="3"/>
      <c r="N407" s="9" t="n">
        <v>2</v>
      </c>
      <c r="O407" s="4" t="n">
        <v>1</v>
      </c>
      <c r="P407" s="5" t="n">
        <f aca="false">IF(COUNTIF([1]Base_Jugadores!J$2:J$500,B407)&gt;0,1,0)</f>
        <v>0</v>
      </c>
      <c r="Q407" s="10" t="b">
        <f aca="false">--(COUNTIFS(
   [1]Fichajes_Realizados!A$2:A$5000,A407,
   [1]Fichajes_Realizados!G$2:G$5000,$X$3
)&gt;0)</f>
        <v>0</v>
      </c>
      <c r="R407" s="5" t="n">
        <f aca="false">_xlfn.XLOOKUP(C407, [1]Estado_Equipos!A$2:A$500, [1]Estado_Equipos!J$2:J$500, "")</f>
        <v>74</v>
      </c>
      <c r="S407" s="5" t="n">
        <f aca="false">IF(H407&lt;=16,1.45,
IF(H407&gt;=41,0.3,
CHOOSE(ROUNDDOWN((H407-16)/2,0)+1,
1.45,1.38,1.3,1.23,1.17,1.15,1.12,1.05,0.95,0.8,0.6,0.4,0.3)))</f>
        <v>1.3</v>
      </c>
      <c r="T407" s="5" t="n">
        <f aca="false">CHOOSE(N407+1,1.2,1,0.85,0.7)</f>
        <v>0.85</v>
      </c>
      <c r="U407" s="5" t="n">
        <f aca="false">IF(F407="PO",0.6,
IF(F407="CT",0.75,
IF(F407="LI",0.8,
IF(F407="LD",0.8,
IF(F407="MCD",0.85,
IF(F407="MC",0.95,
IF(F407="MO",1.05,
IF(F407="EI",1.1,
IF(F407="ED",1.1,
IF(F407="SD",1.15,
IF(F407="DC",1.2,0)))))))))))</f>
        <v>1.1</v>
      </c>
    </row>
    <row r="408" customFormat="false" ht="16.4" hidden="false" customHeight="false" outlineLevel="0" collapsed="false">
      <c r="A408" s="1" t="n">
        <v>407</v>
      </c>
      <c r="B408" s="5" t="str">
        <f aca="false">[1]Base_Jugadores!B408</f>
        <v>Aihen Muñoz</v>
      </c>
      <c r="C408" s="5" t="str">
        <f aca="false">IFERROR(
   _xlfn.XLOOKUP(VALUE(A408),[1]Fichajes_Realizados!A$2:A$50000,[1]Fichajes_Realizados!D$2:D$50000,,0,-1),
   _xlfn.XLOOKUP(VALUE(A408),[1]Base_Jugadores!A$2:A$50000,[1]Base_Jugadores!C$2:C$50000)
)</f>
        <v>Real Sociedad</v>
      </c>
      <c r="D408" s="5" t="str">
        <f aca="false">[1]Base_Jugadores!D408</f>
        <v>España</v>
      </c>
      <c r="E408" s="3"/>
      <c r="F408" s="5" t="str">
        <f aca="false">[1]Base_Jugadores!E408</f>
        <v>LI</v>
      </c>
      <c r="G408" s="5" t="n">
        <f aca="false">[1]Base_Jugadores!F408</f>
        <v>75</v>
      </c>
      <c r="H408" s="5" t="n">
        <f aca="false">[1]Base_Jugadores!G408</f>
        <v>28</v>
      </c>
      <c r="I408" s="7" t="n">
        <f aca="false" t="array" ref="I408:I408">_xlfn.XLOOKUP(G408,{55;56;57;58;59;60;61;62;63;64;65;66;67;68;69;70;71;72;73;74;75;76;77;78;79;80;81;82;83;84;85;86;87;88;89;90;91;92;93;94;95;96;97;98;99},{100000;130000;160000;190000;220000;250000;300000;350000;400000;450000;500000;600000;700000;800000;900000;1000000;1500000;2000000;3000000;4000000;5000000;6500000;8000000;10000000;12500000;15000000;20000000;25000000;30000000;35000000;40000000;55000000;70000000;80000000;90000000;110000000;130000000;160000000;190000000;220000000;250000000;280000000;310000000;340000000;400000000})</f>
        <v>5000000</v>
      </c>
      <c r="J408" s="7" t="n">
        <f aca="false">I408*S408*T408*U408</f>
        <v>3808000</v>
      </c>
      <c r="K408" s="3"/>
      <c r="L408" s="3"/>
      <c r="M408" s="3"/>
      <c r="N408" s="9" t="n">
        <v>2</v>
      </c>
      <c r="O408" s="4" t="n">
        <v>0</v>
      </c>
      <c r="P408" s="5" t="n">
        <f aca="false">IF(COUNTIF([1]Base_Jugadores!J$2:J$500,B408)&gt;0,1,0)</f>
        <v>1</v>
      </c>
      <c r="Q408" s="10" t="b">
        <f aca="false">--(COUNTIFS(
   [1]Fichajes_Realizados!A$2:A$5000,A408,
   [1]Fichajes_Realizados!G$2:G$5000,$X$3
)&gt;0)</f>
        <v>0</v>
      </c>
      <c r="R408" s="5" t="n">
        <f aca="false">_xlfn.XLOOKUP(C408, [1]Estado_Equipos!A$2:A$500, [1]Estado_Equipos!J$2:J$500, "")</f>
        <v>74</v>
      </c>
      <c r="S408" s="5" t="n">
        <f aca="false">IF(H408&lt;=16,1.45,
IF(H408&gt;=41,0.3,
CHOOSE(ROUNDDOWN((H408-16)/2,0)+1,
1.45,1.38,1.3,1.23,1.17,1.15,1.12,1.05,0.95,0.8,0.6,0.4,0.3)))</f>
        <v>1.12</v>
      </c>
      <c r="T408" s="5" t="n">
        <f aca="false">CHOOSE(N408+1,1.2,1,0.85,0.7)</f>
        <v>0.85</v>
      </c>
      <c r="U408" s="5" t="n">
        <f aca="false">IF(F408="PO",0.6,
IF(F408="CT",0.75,
IF(F408="LI",0.8,
IF(F408="LD",0.8,
IF(F408="MCD",0.85,
IF(F408="MC",0.95,
IF(F408="MO",1.05,
IF(F408="EI",1.1,
IF(F408="ED",1.1,
IF(F408="SD",1.15,
IF(F408="DC",1.2,0)))))))))))</f>
        <v>0.8</v>
      </c>
    </row>
    <row r="409" customFormat="false" ht="16.4" hidden="false" customHeight="false" outlineLevel="0" collapsed="false">
      <c r="A409" s="1" t="n">
        <v>408</v>
      </c>
      <c r="B409" s="5" t="str">
        <f aca="false">[1]Base_Jugadores!B409</f>
        <v>Álex Remiro</v>
      </c>
      <c r="C409" s="5" t="str">
        <f aca="false">IFERROR(
   _xlfn.XLOOKUP(VALUE(A409),[1]Fichajes_Realizados!A$2:A$50000,[1]Fichajes_Realizados!D$2:D$50000,,0,-1),
   _xlfn.XLOOKUP(VALUE(A409),[1]Base_Jugadores!A$2:A$50000,[1]Base_Jugadores!C$2:C$50000)
)</f>
        <v>Real Sociedad</v>
      </c>
      <c r="D409" s="5" t="str">
        <f aca="false">[1]Base_Jugadores!D409</f>
        <v>España</v>
      </c>
      <c r="E409" s="3"/>
      <c r="F409" s="5" t="str">
        <f aca="false">[1]Base_Jugadores!E409</f>
        <v>PO</v>
      </c>
      <c r="G409" s="5" t="n">
        <f aca="false">[1]Base_Jugadores!F409</f>
        <v>84</v>
      </c>
      <c r="H409" s="5" t="n">
        <f aca="false">[1]Base_Jugadores!G409</f>
        <v>30</v>
      </c>
      <c r="I409" s="7" t="n">
        <f aca="false" t="array" ref="I409:I409">_xlfn.XLOOKUP(G409,{55;56;57;58;59;60;61;62;63;64;65;66;67;68;69;70;71;72;73;74;75;76;77;78;79;80;81;82;83;84;85;86;87;88;89;90;91;92;93;94;95;96;97;98;99},{100000;130000;160000;190000;220000;250000;300000;350000;400000;450000;500000;600000;700000;800000;900000;1000000;1500000;2000000;3000000;4000000;5000000;6500000;8000000;10000000;12500000;15000000;20000000;25000000;30000000;35000000;40000000;55000000;70000000;80000000;90000000;110000000;130000000;160000000;190000000;220000000;250000000;280000000;310000000;340000000;400000000})</f>
        <v>35000000</v>
      </c>
      <c r="J409" s="7" t="n">
        <f aca="false">I409*S409*T409*U409</f>
        <v>26460000</v>
      </c>
      <c r="K409" s="3"/>
      <c r="L409" s="3"/>
      <c r="M409" s="3"/>
      <c r="N409" s="9" t="n">
        <v>0</v>
      </c>
      <c r="O409" s="4" t="n">
        <v>0</v>
      </c>
      <c r="P409" s="5" t="n">
        <f aca="false">IF(COUNTIF([1]Base_Jugadores!J$2:J$500,B409)&gt;0,1,0)</f>
        <v>0</v>
      </c>
      <c r="Q409" s="10" t="b">
        <f aca="false">--(COUNTIFS(
   [1]Fichajes_Realizados!A$2:A$5000,A409,
   [1]Fichajes_Realizados!G$2:G$5000,$X$3
)&gt;0)</f>
        <v>0</v>
      </c>
      <c r="R409" s="5" t="n">
        <f aca="false">_xlfn.XLOOKUP(C409, [1]Estado_Equipos!A$2:A$500, [1]Estado_Equipos!J$2:J$500, "")</f>
        <v>74</v>
      </c>
      <c r="S409" s="5" t="n">
        <f aca="false">IF(H409&lt;=16,1.45,
IF(H409&gt;=41,0.3,
CHOOSE(ROUNDDOWN((H409-16)/2,0)+1,
1.45,1.38,1.3,1.23,1.17,1.15,1.12,1.05,0.95,0.8,0.6,0.4,0.3)))</f>
        <v>1.05</v>
      </c>
      <c r="T409" s="5" t="n">
        <f aca="false">CHOOSE(N409+1,1.2,1,0.85,0.7)</f>
        <v>1.2</v>
      </c>
      <c r="U409" s="5" t="n">
        <f aca="false">IF(F409="PO",0.6,
IF(F409="CT",0.75,
IF(F409="LI",0.8,
IF(F409="LD",0.8,
IF(F409="MCD",0.85,
IF(F409="MC",0.95,
IF(F409="MO",1.05,
IF(F409="EI",1.1,
IF(F409="ED",1.1,
IF(F409="SD",1.15,
IF(F409="DC",1.2,0)))))))))))</f>
        <v>0.6</v>
      </c>
    </row>
    <row r="410" customFormat="false" ht="16.4" hidden="false" customHeight="false" outlineLevel="0" collapsed="false">
      <c r="A410" s="1" t="n">
        <v>409</v>
      </c>
      <c r="B410" s="5" t="str">
        <f aca="false">[1]Base_Jugadores!B410</f>
        <v>Álvaro Odriozola</v>
      </c>
      <c r="C410" s="5" t="str">
        <f aca="false">IFERROR(
   _xlfn.XLOOKUP(VALUE(A410),[1]Fichajes_Realizados!A$2:A$50000,[1]Fichajes_Realizados!D$2:D$50000,,0,-1),
   _xlfn.XLOOKUP(VALUE(A410),[1]Base_Jugadores!A$2:A$50000,[1]Base_Jugadores!C$2:C$50000)
)</f>
        <v>Real Sociedad</v>
      </c>
      <c r="D410" s="5" t="str">
        <f aca="false">[1]Base_Jugadores!D410</f>
        <v>España</v>
      </c>
      <c r="E410" s="3"/>
      <c r="F410" s="5" t="str">
        <f aca="false">[1]Base_Jugadores!E410</f>
        <v>LD</v>
      </c>
      <c r="G410" s="5" t="n">
        <f aca="false">[1]Base_Jugadores!F410</f>
        <v>76</v>
      </c>
      <c r="H410" s="5" t="n">
        <f aca="false">[1]Base_Jugadores!G410</f>
        <v>30</v>
      </c>
      <c r="I410" s="7" t="n">
        <f aca="false" t="array" ref="I410:I410">_xlfn.XLOOKUP(G410,{55;56;57;58;59;60;61;62;63;64;65;66;67;68;69;70;71;72;73;74;75;76;77;78;79;80;81;82;83;84;85;86;87;88;89;90;91;92;93;94;95;96;97;98;99},{100000;130000;160000;190000;220000;250000;300000;350000;400000;450000;500000;600000;700000;800000;900000;1000000;1500000;2000000;3000000;4000000;5000000;6500000;8000000;10000000;12500000;15000000;20000000;25000000;30000000;35000000;40000000;55000000;70000000;80000000;90000000;110000000;130000000;160000000;190000000;220000000;250000000;280000000;310000000;340000000;400000000})</f>
        <v>6500000</v>
      </c>
      <c r="J410" s="7" t="n">
        <f aca="false">I410*S410*T410*U410</f>
        <v>6552000</v>
      </c>
      <c r="K410" s="3"/>
      <c r="L410" s="3"/>
      <c r="M410" s="3"/>
      <c r="N410" s="9" t="n">
        <v>0</v>
      </c>
      <c r="O410" s="4" t="n">
        <v>0</v>
      </c>
      <c r="P410" s="5" t="n">
        <f aca="false">IF(COUNTIF([1]Base_Jugadores!J$2:J$500,B410)&gt;0,1,0)</f>
        <v>1</v>
      </c>
      <c r="Q410" s="10" t="b">
        <f aca="false">--(COUNTIFS(
   [1]Fichajes_Realizados!A$2:A$5000,A410,
   [1]Fichajes_Realizados!G$2:G$5000,$X$3
)&gt;0)</f>
        <v>0</v>
      </c>
      <c r="R410" s="5" t="n">
        <f aca="false">_xlfn.XLOOKUP(C410, [1]Estado_Equipos!A$2:A$500, [1]Estado_Equipos!J$2:J$500, "")</f>
        <v>74</v>
      </c>
      <c r="S410" s="5" t="n">
        <f aca="false">IF(H410&lt;=16,1.45,
IF(H410&gt;=41,0.3,
CHOOSE(ROUNDDOWN((H410-16)/2,0)+1,
1.45,1.38,1.3,1.23,1.17,1.15,1.12,1.05,0.95,0.8,0.6,0.4,0.3)))</f>
        <v>1.05</v>
      </c>
      <c r="T410" s="5" t="n">
        <f aca="false">CHOOSE(N410+1,1.2,1,0.85,0.7)</f>
        <v>1.2</v>
      </c>
      <c r="U410" s="5" t="n">
        <f aca="false">IF(F410="PO",0.6,
IF(F410="CT",0.75,
IF(F410="LI",0.8,
IF(F410="LD",0.8,
IF(F410="MCD",0.85,
IF(F410="MC",0.95,
IF(F410="MO",1.05,
IF(F410="EI",1.1,
IF(F410="ED",1.1,
IF(F410="SD",1.15,
IF(F410="DC",1.2,0)))))))))))</f>
        <v>0.8</v>
      </c>
    </row>
    <row r="411" customFormat="false" ht="16.4" hidden="false" customHeight="false" outlineLevel="0" collapsed="false">
      <c r="A411" s="1" t="n">
        <v>410</v>
      </c>
      <c r="B411" s="5" t="str">
        <f aca="false">[1]Base_Jugadores!B411</f>
        <v>Ander Barrenetxea</v>
      </c>
      <c r="C411" s="5" t="str">
        <f aca="false">IFERROR(
   _xlfn.XLOOKUP(VALUE(A411),[1]Fichajes_Realizados!A$2:A$50000,[1]Fichajes_Realizados!D$2:D$50000,,0,-1),
   _xlfn.XLOOKUP(VALUE(A411),[1]Base_Jugadores!A$2:A$50000,[1]Base_Jugadores!C$2:C$50000)
)</f>
        <v>Real Sociedad</v>
      </c>
      <c r="D411" s="5" t="str">
        <f aca="false">[1]Base_Jugadores!D411</f>
        <v>España</v>
      </c>
      <c r="E411" s="3"/>
      <c r="F411" s="5" t="str">
        <f aca="false">[1]Base_Jugadores!E411</f>
        <v>EI</v>
      </c>
      <c r="G411" s="5" t="n">
        <f aca="false">[1]Base_Jugadores!F411</f>
        <v>75</v>
      </c>
      <c r="H411" s="5" t="n">
        <f aca="false">[1]Base_Jugadores!G411</f>
        <v>24</v>
      </c>
      <c r="I411" s="7" t="n">
        <f aca="false" t="array" ref="I411:I411">_xlfn.XLOOKUP(G411,{55;56;57;58;59;60;61;62;63;64;65;66;67;68;69;70;71;72;73;74;75;76;77;78;79;80;81;82;83;84;85;86;87;88;89;90;91;92;93;94;95;96;97;98;99},{100000;130000;160000;190000;220000;250000;300000;350000;400000;450000;500000;600000;700000;800000;900000;1000000;1500000;2000000;3000000;4000000;5000000;6500000;8000000;10000000;12500000;15000000;20000000;25000000;30000000;35000000;40000000;55000000;70000000;80000000;90000000;110000000;130000000;160000000;190000000;220000000;250000000;280000000;310000000;340000000;400000000})</f>
        <v>5000000</v>
      </c>
      <c r="J411" s="7" t="n">
        <f aca="false">I411*S411*T411*U411</f>
        <v>6435000</v>
      </c>
      <c r="K411" s="3"/>
      <c r="L411" s="3"/>
      <c r="M411" s="3"/>
      <c r="N411" s="9" t="n">
        <v>1</v>
      </c>
      <c r="O411" s="4" t="n">
        <v>0</v>
      </c>
      <c r="P411" s="5" t="n">
        <f aca="false">IF(COUNTIF([1]Base_Jugadores!J$2:J$500,B411)&gt;0,1,0)</f>
        <v>1</v>
      </c>
      <c r="Q411" s="10" t="b">
        <f aca="false">--(COUNTIFS(
   [1]Fichajes_Realizados!A$2:A$5000,A411,
   [1]Fichajes_Realizados!G$2:G$5000,$X$3
)&gt;0)</f>
        <v>0</v>
      </c>
      <c r="R411" s="5" t="n">
        <f aca="false">_xlfn.XLOOKUP(C411, [1]Estado_Equipos!A$2:A$500, [1]Estado_Equipos!J$2:J$500, "")</f>
        <v>74</v>
      </c>
      <c r="S411" s="5" t="n">
        <f aca="false">IF(H411&lt;=16,1.45,
IF(H411&gt;=41,0.3,
CHOOSE(ROUNDDOWN((H411-16)/2,0)+1,
1.45,1.38,1.3,1.23,1.17,1.15,1.12,1.05,0.95,0.8,0.6,0.4,0.3)))</f>
        <v>1.17</v>
      </c>
      <c r="T411" s="5" t="n">
        <f aca="false">CHOOSE(N411+1,1.2,1,0.85,0.7)</f>
        <v>1</v>
      </c>
      <c r="U411" s="5" t="n">
        <f aca="false">IF(F411="PO",0.6,
IF(F411="CT",0.75,
IF(F411="LI",0.8,
IF(F411="LD",0.8,
IF(F411="MCD",0.85,
IF(F411="MC",0.95,
IF(F411="MO",1.05,
IF(F411="EI",1.1,
IF(F411="ED",1.1,
IF(F411="SD",1.15,
IF(F411="DC",1.2,0)))))))))))</f>
        <v>1.1</v>
      </c>
    </row>
    <row r="412" customFormat="false" ht="16.4" hidden="false" customHeight="false" outlineLevel="0" collapsed="false">
      <c r="A412" s="1" t="n">
        <v>411</v>
      </c>
      <c r="B412" s="5" t="str">
        <f aca="false">[1]Base_Jugadores!B412</f>
        <v>Aritz Elustondo</v>
      </c>
      <c r="C412" s="5" t="str">
        <f aca="false">IFERROR(
   _xlfn.XLOOKUP(VALUE(A412),[1]Fichajes_Realizados!A$2:A$50000,[1]Fichajes_Realizados!D$2:D$50000,,0,-1),
   _xlfn.XLOOKUP(VALUE(A412),[1]Base_Jugadores!A$2:A$50000,[1]Base_Jugadores!C$2:C$50000)
)</f>
        <v>Real Sociedad</v>
      </c>
      <c r="D412" s="5" t="str">
        <f aca="false">[1]Base_Jugadores!D412</f>
        <v>España</v>
      </c>
      <c r="E412" s="3"/>
      <c r="F412" s="5" t="str">
        <f aca="false">[1]Base_Jugadores!E412</f>
        <v>CT</v>
      </c>
      <c r="G412" s="5" t="n">
        <f aca="false">[1]Base_Jugadores!F412</f>
        <v>79</v>
      </c>
      <c r="H412" s="5" t="n">
        <f aca="false">[1]Base_Jugadores!G412</f>
        <v>31</v>
      </c>
      <c r="I412" s="7" t="n">
        <f aca="false" t="array" ref="I412:I412">_xlfn.XLOOKUP(G412,{55;56;57;58;59;60;61;62;63;64;65;66;67;68;69;70;71;72;73;74;75;76;77;78;79;80;81;82;83;84;85;86;87;88;89;90;91;92;93;94;95;96;97;98;99},{100000;130000;160000;190000;220000;250000;300000;350000;400000;450000;500000;600000;700000;800000;900000;1000000;1500000;2000000;3000000;4000000;5000000;6500000;8000000;10000000;12500000;15000000;20000000;25000000;30000000;35000000;40000000;55000000;70000000;80000000;90000000;110000000;130000000;160000000;190000000;220000000;250000000;280000000;310000000;340000000;400000000})</f>
        <v>12500000</v>
      </c>
      <c r="J412" s="7" t="n">
        <f aca="false">I412*S412*T412*U412</f>
        <v>11812500</v>
      </c>
      <c r="K412" s="3"/>
      <c r="L412" s="3"/>
      <c r="M412" s="3"/>
      <c r="N412" s="9" t="n">
        <v>0</v>
      </c>
      <c r="O412" s="4" t="n">
        <v>0</v>
      </c>
      <c r="P412" s="5" t="n">
        <f aca="false">IF(COUNTIF([1]Base_Jugadores!J$2:J$500,B412)&gt;0,1,0)</f>
        <v>1</v>
      </c>
      <c r="Q412" s="10" t="b">
        <f aca="false">--(COUNTIFS(
   [1]Fichajes_Realizados!A$2:A$5000,A412,
   [1]Fichajes_Realizados!G$2:G$5000,$X$3
)&gt;0)</f>
        <v>0</v>
      </c>
      <c r="R412" s="5" t="n">
        <f aca="false">_xlfn.XLOOKUP(C412, [1]Estado_Equipos!A$2:A$500, [1]Estado_Equipos!J$2:J$500, "")</f>
        <v>74</v>
      </c>
      <c r="S412" s="5" t="n">
        <f aca="false">IF(H412&lt;=16,1.45,
IF(H412&gt;=41,0.3,
CHOOSE(ROUNDDOWN((H412-16)/2,0)+1,
1.45,1.38,1.3,1.23,1.17,1.15,1.12,1.05,0.95,0.8,0.6,0.4,0.3)))</f>
        <v>1.05</v>
      </c>
      <c r="T412" s="5" t="n">
        <f aca="false">CHOOSE(N412+1,1.2,1,0.85,0.7)</f>
        <v>1.2</v>
      </c>
      <c r="U412" s="5" t="n">
        <f aca="false">IF(F412="PO",0.6,
IF(F412="CT",0.75,
IF(F412="LI",0.8,
IF(F412="LD",0.8,
IF(F412="MCD",0.85,
IF(F412="MC",0.95,
IF(F412="MO",1.05,
IF(F412="EI",1.1,
IF(F412="ED",1.1,
IF(F412="SD",1.15,
IF(F412="DC",1.2,0)))))))))))</f>
        <v>0.75</v>
      </c>
    </row>
    <row r="413" customFormat="false" ht="16.4" hidden="false" customHeight="false" outlineLevel="0" collapsed="false">
      <c r="A413" s="1" t="n">
        <v>412</v>
      </c>
      <c r="B413" s="5" t="str">
        <f aca="false">[1]Base_Jugadores!B413</f>
        <v>Arsen Zakharyan</v>
      </c>
      <c r="C413" s="5" t="str">
        <f aca="false">IFERROR(
   _xlfn.XLOOKUP(VALUE(A413),[1]Fichajes_Realizados!A$2:A$50000,[1]Fichajes_Realizados!D$2:D$50000,,0,-1),
   _xlfn.XLOOKUP(VALUE(A413),[1]Base_Jugadores!A$2:A$50000,[1]Base_Jugadores!C$2:C$50000)
)</f>
        <v>Real Sociedad</v>
      </c>
      <c r="D413" s="5" t="str">
        <f aca="false">[1]Base_Jugadores!D413</f>
        <v>Rusia</v>
      </c>
      <c r="E413" s="3"/>
      <c r="F413" s="5" t="str">
        <f aca="false">[1]Base_Jugadores!E413</f>
        <v>MO</v>
      </c>
      <c r="G413" s="5" t="n">
        <f aca="false">[1]Base_Jugadores!F413</f>
        <v>74</v>
      </c>
      <c r="H413" s="5" t="n">
        <f aca="false">[1]Base_Jugadores!G413</f>
        <v>22</v>
      </c>
      <c r="I413" s="7" t="n">
        <f aca="false" t="array" ref="I413:I413">_xlfn.XLOOKUP(G413,{55;56;57;58;59;60;61;62;63;64;65;66;67;68;69;70;71;72;73;74;75;76;77;78;79;80;81;82;83;84;85;86;87;88;89;90;91;92;93;94;95;96;97;98;99},{100000;130000;160000;190000;220000;250000;300000;350000;400000;450000;500000;600000;700000;800000;900000;1000000;1500000;2000000;3000000;4000000;5000000;6500000;8000000;10000000;12500000;15000000;20000000;25000000;30000000;35000000;40000000;55000000;70000000;80000000;90000000;110000000;130000000;160000000;190000000;220000000;250000000;280000000;310000000;340000000;400000000})</f>
        <v>4000000</v>
      </c>
      <c r="J413" s="7" t="n">
        <f aca="false">I413*S413*T413*U413</f>
        <v>5166000</v>
      </c>
      <c r="K413" s="3"/>
      <c r="L413" s="3"/>
      <c r="M413" s="3"/>
      <c r="N413" s="9" t="n">
        <v>1</v>
      </c>
      <c r="O413" s="4" t="n">
        <v>0</v>
      </c>
      <c r="P413" s="5" t="n">
        <f aca="false">IF(COUNTIF([1]Base_Jugadores!J$2:J$500,B413)&gt;0,1,0)</f>
        <v>0</v>
      </c>
      <c r="Q413" s="10" t="b">
        <f aca="false">--(COUNTIFS(
   [1]Fichajes_Realizados!A$2:A$5000,A413,
   [1]Fichajes_Realizados!G$2:G$5000,$X$3
)&gt;0)</f>
        <v>0</v>
      </c>
      <c r="R413" s="5" t="n">
        <f aca="false">_xlfn.XLOOKUP(C413, [1]Estado_Equipos!A$2:A$500, [1]Estado_Equipos!J$2:J$500, "")</f>
        <v>74</v>
      </c>
      <c r="S413" s="5" t="n">
        <f aca="false">IF(H413&lt;=16,1.45,
IF(H413&gt;=41,0.3,
CHOOSE(ROUNDDOWN((H413-16)/2,0)+1,
1.45,1.38,1.3,1.23,1.17,1.15,1.12,1.05,0.95,0.8,0.6,0.4,0.3)))</f>
        <v>1.23</v>
      </c>
      <c r="T413" s="5" t="n">
        <f aca="false">CHOOSE(N413+1,1.2,1,0.85,0.7)</f>
        <v>1</v>
      </c>
      <c r="U413" s="5" t="n">
        <f aca="false">IF(F413="PO",0.6,
IF(F413="CT",0.75,
IF(F413="LI",0.8,
IF(F413="LD",0.8,
IF(F413="MCD",0.85,
IF(F413="MC",0.95,
IF(F413="MO",1.05,
IF(F413="EI",1.1,
IF(F413="ED",1.1,
IF(F413="SD",1.15,
IF(F413="DC",1.2,0)))))))))))</f>
        <v>1.05</v>
      </c>
    </row>
    <row r="414" customFormat="false" ht="16.4" hidden="false" customHeight="false" outlineLevel="0" collapsed="false">
      <c r="A414" s="1" t="n">
        <v>413</v>
      </c>
      <c r="B414" s="5" t="str">
        <f aca="false">[1]Base_Jugadores!B414</f>
        <v>Beñat Turrientes</v>
      </c>
      <c r="C414" s="5" t="str">
        <f aca="false">IFERROR(
   _xlfn.XLOOKUP(VALUE(A414),[1]Fichajes_Realizados!A$2:A$50000,[1]Fichajes_Realizados!D$2:D$50000,,0,-1),
   _xlfn.XLOOKUP(VALUE(A414),[1]Base_Jugadores!A$2:A$50000,[1]Base_Jugadores!C$2:C$50000)
)</f>
        <v>Real Sociedad</v>
      </c>
      <c r="D414" s="5" t="str">
        <f aca="false">[1]Base_Jugadores!D414</f>
        <v>España</v>
      </c>
      <c r="E414" s="3"/>
      <c r="F414" s="5" t="str">
        <f aca="false">[1]Base_Jugadores!E414</f>
        <v>MC</v>
      </c>
      <c r="G414" s="5" t="n">
        <f aca="false">[1]Base_Jugadores!F414</f>
        <v>73</v>
      </c>
      <c r="H414" s="5" t="n">
        <f aca="false">[1]Base_Jugadores!G414</f>
        <v>23</v>
      </c>
      <c r="I414" s="7" t="n">
        <f aca="false" t="array" ref="I414:I414">_xlfn.XLOOKUP(G414,{55;56;57;58;59;60;61;62;63;64;65;66;67;68;69;70;71;72;73;74;75;76;77;78;79;80;81;82;83;84;85;86;87;88;89;90;91;92;93;94;95;96;97;98;99},{100000;130000;160000;190000;220000;250000;300000;350000;400000;450000;500000;600000;700000;800000;900000;1000000;1500000;2000000;3000000;4000000;5000000;6500000;8000000;10000000;12500000;15000000;20000000;25000000;30000000;35000000;40000000;55000000;70000000;80000000;90000000;110000000;130000000;160000000;190000000;220000000;250000000;280000000;310000000;340000000;400000000})</f>
        <v>3000000</v>
      </c>
      <c r="J414" s="7" t="n">
        <f aca="false">I414*S414*T414*U414</f>
        <v>2979675</v>
      </c>
      <c r="K414" s="3"/>
      <c r="L414" s="3"/>
      <c r="M414" s="3"/>
      <c r="N414" s="9" t="n">
        <v>2</v>
      </c>
      <c r="O414" s="4" t="n">
        <v>0</v>
      </c>
      <c r="P414" s="5" t="n">
        <f aca="false">IF(COUNTIF([1]Base_Jugadores!J$2:J$500,B414)&gt;0,1,0)</f>
        <v>1</v>
      </c>
      <c r="Q414" s="10" t="b">
        <f aca="false">--(COUNTIFS(
   [1]Fichajes_Realizados!A$2:A$5000,A414,
   [1]Fichajes_Realizados!G$2:G$5000,$X$3
)&gt;0)</f>
        <v>0</v>
      </c>
      <c r="R414" s="5" t="n">
        <f aca="false">_xlfn.XLOOKUP(C414, [1]Estado_Equipos!A$2:A$500, [1]Estado_Equipos!J$2:J$500, "")</f>
        <v>74</v>
      </c>
      <c r="S414" s="5" t="n">
        <f aca="false">IF(H414&lt;=16,1.45,
IF(H414&gt;=41,0.3,
CHOOSE(ROUNDDOWN((H414-16)/2,0)+1,
1.45,1.38,1.3,1.23,1.17,1.15,1.12,1.05,0.95,0.8,0.6,0.4,0.3)))</f>
        <v>1.23</v>
      </c>
      <c r="T414" s="5" t="n">
        <f aca="false">CHOOSE(N414+1,1.2,1,0.85,0.7)</f>
        <v>0.85</v>
      </c>
      <c r="U414" s="5" t="n">
        <f aca="false">IF(F414="PO",0.6,
IF(F414="CT",0.75,
IF(F414="LI",0.8,
IF(F414="LD",0.8,
IF(F414="MCD",0.85,
IF(F414="MC",0.95,
IF(F414="MO",1.05,
IF(F414="EI",1.1,
IF(F414="ED",1.1,
IF(F414="SD",1.15,
IF(F414="DC",1.2,0)))))))))))</f>
        <v>0.95</v>
      </c>
    </row>
    <row r="415" customFormat="false" ht="16.4" hidden="false" customHeight="false" outlineLevel="0" collapsed="false">
      <c r="A415" s="1" t="n">
        <v>414</v>
      </c>
      <c r="B415" s="5" t="str">
        <f aca="false">[1]Base_Jugadores!B415</f>
        <v>Brais Méndez</v>
      </c>
      <c r="C415" s="5" t="str">
        <f aca="false">IFERROR(
   _xlfn.XLOOKUP(VALUE(A415),[1]Fichajes_Realizados!A$2:A$50000,[1]Fichajes_Realizados!D$2:D$50000,,0,-1),
   _xlfn.XLOOKUP(VALUE(A415),[1]Base_Jugadores!A$2:A$50000,[1]Base_Jugadores!C$2:C$50000)
)</f>
        <v>Real Sociedad</v>
      </c>
      <c r="D415" s="5" t="str">
        <f aca="false">[1]Base_Jugadores!D415</f>
        <v>España</v>
      </c>
      <c r="E415" s="3"/>
      <c r="F415" s="5" t="str">
        <f aca="false">[1]Base_Jugadores!E415</f>
        <v>MO</v>
      </c>
      <c r="G415" s="5" t="n">
        <f aca="false">[1]Base_Jugadores!F415</f>
        <v>81</v>
      </c>
      <c r="H415" s="5" t="n">
        <f aca="false">[1]Base_Jugadores!G415</f>
        <v>28</v>
      </c>
      <c r="I415" s="7" t="n">
        <f aca="false" t="array" ref="I415:I415">_xlfn.XLOOKUP(G415,{55;56;57;58;59;60;61;62;63;64;65;66;67;68;69;70;71;72;73;74;75;76;77;78;79;80;81;82;83;84;85;86;87;88;89;90;91;92;93;94;95;96;97;98;99},{100000;130000;160000;190000;220000;250000;300000;350000;400000;450000;500000;600000;700000;800000;900000;1000000;1500000;2000000;3000000;4000000;5000000;6500000;8000000;10000000;12500000;15000000;20000000;25000000;30000000;35000000;40000000;55000000;70000000;80000000;90000000;110000000;130000000;160000000;190000000;220000000;250000000;280000000;310000000;340000000;400000000})</f>
        <v>20000000</v>
      </c>
      <c r="J415" s="7" t="n">
        <f aca="false">I415*S415*T415*U415</f>
        <v>28224000</v>
      </c>
      <c r="K415" s="3"/>
      <c r="L415" s="3"/>
      <c r="M415" s="3"/>
      <c r="N415" s="9" t="n">
        <v>0</v>
      </c>
      <c r="O415" s="4" t="n">
        <v>0</v>
      </c>
      <c r="P415" s="5" t="n">
        <f aca="false">IF(COUNTIF([1]Base_Jugadores!J$2:J$500,B415)&gt;0,1,0)</f>
        <v>0</v>
      </c>
      <c r="Q415" s="10" t="b">
        <f aca="false">--(COUNTIFS(
   [1]Fichajes_Realizados!A$2:A$5000,A415,
   [1]Fichajes_Realizados!G$2:G$5000,$X$3
)&gt;0)</f>
        <v>0</v>
      </c>
      <c r="R415" s="5" t="n">
        <f aca="false">_xlfn.XLOOKUP(C415, [1]Estado_Equipos!A$2:A$500, [1]Estado_Equipos!J$2:J$500, "")</f>
        <v>74</v>
      </c>
      <c r="S415" s="5" t="n">
        <f aca="false">IF(H415&lt;=16,1.45,
IF(H415&gt;=41,0.3,
CHOOSE(ROUNDDOWN((H415-16)/2,0)+1,
1.45,1.38,1.3,1.23,1.17,1.15,1.12,1.05,0.95,0.8,0.6,0.4,0.3)))</f>
        <v>1.12</v>
      </c>
      <c r="T415" s="5" t="n">
        <f aca="false">CHOOSE(N415+1,1.2,1,0.85,0.7)</f>
        <v>1.2</v>
      </c>
      <c r="U415" s="5" t="n">
        <f aca="false">IF(F415="PO",0.6,
IF(F415="CT",0.75,
IF(F415="LI",0.8,
IF(F415="LD",0.8,
IF(F415="MCD",0.85,
IF(F415="MC",0.95,
IF(F415="MO",1.05,
IF(F415="EI",1.1,
IF(F415="ED",1.1,
IF(F415="SD",1.15,
IF(F415="DC",1.2,0)))))))))))</f>
        <v>1.05</v>
      </c>
    </row>
    <row r="416" customFormat="false" ht="16.4" hidden="false" customHeight="false" outlineLevel="0" collapsed="false">
      <c r="A416" s="1" t="n">
        <v>415</v>
      </c>
      <c r="B416" s="5" t="str">
        <f aca="false">[1]Base_Jugadores!B416</f>
        <v>Carlos Soler</v>
      </c>
      <c r="C416" s="5" t="str">
        <f aca="false">IFERROR(
   _xlfn.XLOOKUP(VALUE(A416),[1]Fichajes_Realizados!A$2:A$50000,[1]Fichajes_Realizados!D$2:D$50000,,0,-1),
   _xlfn.XLOOKUP(VALUE(A416),[1]Base_Jugadores!A$2:A$50000,[1]Base_Jugadores!C$2:C$50000)
)</f>
        <v>Real Sociedad</v>
      </c>
      <c r="D416" s="5" t="str">
        <f aca="false">[1]Base_Jugadores!D416</f>
        <v>España</v>
      </c>
      <c r="E416" s="3"/>
      <c r="F416" s="5" t="str">
        <f aca="false">[1]Base_Jugadores!E416</f>
        <v>MC</v>
      </c>
      <c r="G416" s="5" t="n">
        <f aca="false">[1]Base_Jugadores!F416</f>
        <v>78</v>
      </c>
      <c r="H416" s="5" t="n">
        <f aca="false">[1]Base_Jugadores!G416</f>
        <v>28</v>
      </c>
      <c r="I416" s="7" t="n">
        <f aca="false" t="array" ref="I416:I416">_xlfn.XLOOKUP(G416,{55;56;57;58;59;60;61;62;63;64;65;66;67;68;69;70;71;72;73;74;75;76;77;78;79;80;81;82;83;84;85;86;87;88;89;90;91;92;93;94;95;96;97;98;99},{100000;130000;160000;190000;220000;250000;300000;350000;400000;450000;500000;600000;700000;800000;900000;1000000;1500000;2000000;3000000;4000000;5000000;6500000;8000000;10000000;12500000;15000000;20000000;25000000;30000000;35000000;40000000;55000000;70000000;80000000;90000000;110000000;130000000;160000000;190000000;220000000;250000000;280000000;310000000;340000000;400000000})</f>
        <v>10000000</v>
      </c>
      <c r="J416" s="7" t="n">
        <f aca="false">I416*S416*T416*U416</f>
        <v>10640000</v>
      </c>
      <c r="K416" s="3"/>
      <c r="L416" s="3"/>
      <c r="M416" s="3"/>
      <c r="N416" s="9" t="n">
        <v>1</v>
      </c>
      <c r="O416" s="4" t="n">
        <v>0</v>
      </c>
      <c r="P416" s="5" t="n">
        <f aca="false">IF(COUNTIF([1]Base_Jugadores!J$2:J$500,B416)&gt;0,1,0)</f>
        <v>0</v>
      </c>
      <c r="Q416" s="10" t="b">
        <f aca="false">--(COUNTIFS(
   [1]Fichajes_Realizados!A$2:A$5000,A416,
   [1]Fichajes_Realizados!G$2:G$5000,$X$3
)&gt;0)</f>
        <v>0</v>
      </c>
      <c r="R416" s="5" t="n">
        <f aca="false">_xlfn.XLOOKUP(C416, [1]Estado_Equipos!A$2:A$500, [1]Estado_Equipos!J$2:J$500, "")</f>
        <v>74</v>
      </c>
      <c r="S416" s="5" t="n">
        <f aca="false">IF(H416&lt;=16,1.45,
IF(H416&gt;=41,0.3,
CHOOSE(ROUNDDOWN((H416-16)/2,0)+1,
1.45,1.38,1.3,1.23,1.17,1.15,1.12,1.05,0.95,0.8,0.6,0.4,0.3)))</f>
        <v>1.12</v>
      </c>
      <c r="T416" s="5" t="n">
        <f aca="false">CHOOSE(N416+1,1.2,1,0.85,0.7)</f>
        <v>1</v>
      </c>
      <c r="U416" s="5" t="n">
        <f aca="false">IF(F416="PO",0.6,
IF(F416="CT",0.75,
IF(F416="LI",0.8,
IF(F416="LD",0.8,
IF(F416="MCD",0.85,
IF(F416="MC",0.95,
IF(F416="MO",1.05,
IF(F416="EI",1.1,
IF(F416="ED",1.1,
IF(F416="SD",1.15,
IF(F416="DC",1.2,0)))))))))))</f>
        <v>0.95</v>
      </c>
    </row>
    <row r="417" customFormat="false" ht="16.4" hidden="false" customHeight="false" outlineLevel="0" collapsed="false">
      <c r="A417" s="1" t="n">
        <v>416</v>
      </c>
      <c r="B417" s="5" t="str">
        <f aca="false">[1]Base_Jugadores!B417</f>
        <v>Duje Caleta-Car</v>
      </c>
      <c r="C417" s="5" t="str">
        <f aca="false">IFERROR(
   _xlfn.XLOOKUP(VALUE(A417),[1]Fichajes_Realizados!A$2:A$50000,[1]Fichajes_Realizados!D$2:D$50000,,0,-1),
   _xlfn.XLOOKUP(VALUE(A417),[1]Base_Jugadores!A$2:A$50000,[1]Base_Jugadores!C$2:C$50000)
)</f>
        <v>Real Sociedad</v>
      </c>
      <c r="D417" s="5" t="str">
        <f aca="false">[1]Base_Jugadores!D417</f>
        <v>Croacia</v>
      </c>
      <c r="E417" s="3"/>
      <c r="F417" s="5" t="str">
        <f aca="false">[1]Base_Jugadores!E417</f>
        <v>CT</v>
      </c>
      <c r="G417" s="5" t="n">
        <f aca="false">[1]Base_Jugadores!F417</f>
        <v>75</v>
      </c>
      <c r="H417" s="5" t="n">
        <f aca="false">[1]Base_Jugadores!G417</f>
        <v>29</v>
      </c>
      <c r="I417" s="7" t="n">
        <f aca="false" t="array" ref="I417:I417">_xlfn.XLOOKUP(G417,{55;56;57;58;59;60;61;62;63;64;65;66;67;68;69;70;71;72;73;74;75;76;77;78;79;80;81;82;83;84;85;86;87;88;89;90;91;92;93;94;95;96;97;98;99},{100000;130000;160000;190000;220000;250000;300000;350000;400000;450000;500000;600000;700000;800000;900000;1000000;1500000;2000000;3000000;4000000;5000000;6500000;8000000;10000000;12500000;15000000;20000000;25000000;30000000;35000000;40000000;55000000;70000000;80000000;90000000;110000000;130000000;160000000;190000000;220000000;250000000;280000000;310000000;340000000;400000000})</f>
        <v>5000000</v>
      </c>
      <c r="J417" s="7" t="n">
        <f aca="false">I417*S417*T417*U417</f>
        <v>4200000</v>
      </c>
      <c r="K417" s="3"/>
      <c r="L417" s="3"/>
      <c r="M417" s="3"/>
      <c r="N417" s="9" t="n">
        <v>1</v>
      </c>
      <c r="O417" s="4" t="n">
        <v>0</v>
      </c>
      <c r="P417" s="5" t="n">
        <f aca="false">IF(COUNTIF([1]Base_Jugadores!J$2:J$500,B417)&gt;0,1,0)</f>
        <v>0</v>
      </c>
      <c r="Q417" s="10" t="b">
        <f aca="false">--(COUNTIFS(
   [1]Fichajes_Realizados!A$2:A$5000,A417,
   [1]Fichajes_Realizados!G$2:G$5000,$X$3
)&gt;0)</f>
        <v>0</v>
      </c>
      <c r="R417" s="5" t="n">
        <f aca="false">_xlfn.XLOOKUP(C417, [1]Estado_Equipos!A$2:A$500, [1]Estado_Equipos!J$2:J$500, "")</f>
        <v>74</v>
      </c>
      <c r="S417" s="5" t="n">
        <f aca="false">IF(H417&lt;=16,1.45,
IF(H417&gt;=41,0.3,
CHOOSE(ROUNDDOWN((H417-16)/2,0)+1,
1.45,1.38,1.3,1.23,1.17,1.15,1.12,1.05,0.95,0.8,0.6,0.4,0.3)))</f>
        <v>1.12</v>
      </c>
      <c r="T417" s="5" t="n">
        <f aca="false">CHOOSE(N417+1,1.2,1,0.85,0.7)</f>
        <v>1</v>
      </c>
      <c r="U417" s="5" t="n">
        <f aca="false">IF(F417="PO",0.6,
IF(F417="CT",0.75,
IF(F417="LI",0.8,
IF(F417="LD",0.8,
IF(F417="MCD",0.85,
IF(F417="MC",0.95,
IF(F417="MO",1.05,
IF(F417="EI",1.1,
IF(F417="ED",1.1,
IF(F417="SD",1.15,
IF(F417="DC",1.2,0)))))))))))</f>
        <v>0.75</v>
      </c>
    </row>
    <row r="418" customFormat="false" ht="16.4" hidden="false" customHeight="false" outlineLevel="0" collapsed="false">
      <c r="A418" s="1" t="n">
        <v>417</v>
      </c>
      <c r="B418" s="5" t="str">
        <f aca="false">[1]Base_Jugadores!B418</f>
        <v>Egoitz Arana</v>
      </c>
      <c r="C418" s="5" t="str">
        <f aca="false">IFERROR(
   _xlfn.XLOOKUP(VALUE(A418),[1]Fichajes_Realizados!A$2:A$50000,[1]Fichajes_Realizados!D$2:D$50000,,0,-1),
   _xlfn.XLOOKUP(VALUE(A418),[1]Base_Jugadores!A$2:A$50000,[1]Base_Jugadores!C$2:C$50000)
)</f>
        <v>Real Sociedad</v>
      </c>
      <c r="D418" s="5" t="str">
        <f aca="false">[1]Base_Jugadores!D418</f>
        <v>España</v>
      </c>
      <c r="E418" s="11"/>
      <c r="F418" s="5" t="str">
        <f aca="false">[1]Base_Jugadores!E418</f>
        <v>PO</v>
      </c>
      <c r="G418" s="5" t="n">
        <f aca="false">[1]Base_Jugadores!F418</f>
        <v>58</v>
      </c>
      <c r="H418" s="5" t="n">
        <f aca="false">[1]Base_Jugadores!G418</f>
        <v>23</v>
      </c>
      <c r="I418" s="7" t="n">
        <f aca="false" t="array" ref="I418:I418">_xlfn.XLOOKUP(G418,{55;56;57;58;59;60;61;62;63;64;65;66;67;68;69;70;71;72;73;74;75;76;77;78;79;80;81;82;83;84;85;86;87;88;89;90;91;92;93;94;95;96;97;98;99},{100000;130000;160000;190000;220000;250000;300000;350000;400000;450000;500000;600000;700000;800000;900000;1000000;1500000;2000000;3000000;4000000;5000000;6500000;8000000;10000000;12500000;15000000;20000000;25000000;30000000;35000000;40000000;55000000;70000000;80000000;90000000;110000000;130000000;160000000;190000000;220000000;250000000;280000000;310000000;340000000;400000000})</f>
        <v>190000</v>
      </c>
      <c r="J418" s="7" t="n">
        <f aca="false">I418*S418*T418*U418</f>
        <v>119187</v>
      </c>
      <c r="K418" s="11"/>
      <c r="L418" s="11"/>
      <c r="M418" s="11"/>
      <c r="N418" s="9" t="n">
        <v>2</v>
      </c>
      <c r="O418" s="4" t="n">
        <v>1</v>
      </c>
      <c r="P418" s="5" t="n">
        <f aca="false">IF(COUNTIF([1]Base_Jugadores!J$2:J$500,B418)&gt;0,1,0)</f>
        <v>0</v>
      </c>
      <c r="Q418" s="10" t="b">
        <f aca="false">--(COUNTIFS(
   [1]Fichajes_Realizados!A$2:A$5000,A418,
   [1]Fichajes_Realizados!G$2:G$5000,$X$3
)&gt;0)</f>
        <v>0</v>
      </c>
      <c r="R418" s="5" t="n">
        <f aca="false">_xlfn.XLOOKUP(C418, [1]Estado_Equipos!A$2:A$500, [1]Estado_Equipos!J$2:J$500, "")</f>
        <v>74</v>
      </c>
      <c r="S418" s="5" t="n">
        <f aca="false">IF(H418&lt;=16,1.45,
IF(H418&gt;=41,0.3,
CHOOSE(ROUNDDOWN((H418-16)/2,0)+1,
1.45,1.38,1.3,1.23,1.17,1.15,1.12,1.05,0.95,0.8,0.6,0.4,0.3)))</f>
        <v>1.23</v>
      </c>
      <c r="T418" s="5" t="n">
        <f aca="false">CHOOSE(N418+1,1.2,1,0.85,0.7)</f>
        <v>0.85</v>
      </c>
      <c r="U418" s="5" t="n">
        <f aca="false">IF(F418="PO",0.6,
IF(F418="CT",0.75,
IF(F418="LI",0.8,
IF(F418="LD",0.8,
IF(F418="MCD",0.85,
IF(F418="MC",0.95,
IF(F418="MO",1.05,
IF(F418="EI",1.1,
IF(F418="ED",1.1,
IF(F418="SD",1.15,
IF(F418="DC",1.2,0)))))))))))</f>
        <v>0.6</v>
      </c>
    </row>
    <row r="419" customFormat="false" ht="16.4" hidden="false" customHeight="false" outlineLevel="0" collapsed="false">
      <c r="A419" s="1" t="n">
        <v>418</v>
      </c>
      <c r="B419" s="5" t="str">
        <f aca="false">[1]Base_Jugadores!B419</f>
        <v>Gonçalo Guedes</v>
      </c>
      <c r="C419" s="5" t="str">
        <f aca="false">IFERROR(
   _xlfn.XLOOKUP(VALUE(A419),[1]Fichajes_Realizados!A$2:A$50000,[1]Fichajes_Realizados!D$2:D$50000,,0,-1),
   _xlfn.XLOOKUP(VALUE(A419),[1]Base_Jugadores!A$2:A$50000,[1]Base_Jugadores!C$2:C$50000)
)</f>
        <v>Real Sociedad</v>
      </c>
      <c r="D419" s="5" t="str">
        <f aca="false">[1]Base_Jugadores!D419</f>
        <v>Portugal</v>
      </c>
      <c r="E419" s="3"/>
      <c r="F419" s="5" t="str">
        <f aca="false">[1]Base_Jugadores!E419</f>
        <v>EI</v>
      </c>
      <c r="G419" s="5" t="n">
        <f aca="false">[1]Base_Jugadores!F419</f>
        <v>78</v>
      </c>
      <c r="H419" s="5" t="n">
        <f aca="false">[1]Base_Jugadores!G419</f>
        <v>29</v>
      </c>
      <c r="I419" s="7" t="n">
        <f aca="false" t="array" ref="I419:I419">_xlfn.XLOOKUP(G419,{55;56;57;58;59;60;61;62;63;64;65;66;67;68;69;70;71;72;73;74;75;76;77;78;79;80;81;82;83;84;85;86;87;88;89;90;91;92;93;94;95;96;97;98;99},{100000;130000;160000;190000;220000;250000;300000;350000;400000;450000;500000;600000;700000;800000;900000;1000000;1500000;2000000;3000000;4000000;5000000;6500000;8000000;10000000;12500000;15000000;20000000;25000000;30000000;35000000;40000000;55000000;70000000;80000000;90000000;110000000;130000000;160000000;190000000;220000000;250000000;280000000;310000000;340000000;400000000})</f>
        <v>10000000</v>
      </c>
      <c r="J419" s="7" t="n">
        <f aca="false">I419*S419*T419*U419</f>
        <v>14784000</v>
      </c>
      <c r="K419" s="3"/>
      <c r="L419" s="3"/>
      <c r="M419" s="3"/>
      <c r="N419" s="9" t="n">
        <v>0</v>
      </c>
      <c r="O419" s="4" t="n">
        <v>0</v>
      </c>
      <c r="P419" s="5" t="n">
        <f aca="false">IF(COUNTIF([1]Base_Jugadores!J$2:J$500,B419)&gt;0,1,0)</f>
        <v>0</v>
      </c>
      <c r="Q419" s="10" t="b">
        <f aca="false">--(COUNTIFS(
   [1]Fichajes_Realizados!A$2:A$5000,A419,
   [1]Fichajes_Realizados!G$2:G$5000,$X$3
)&gt;0)</f>
        <v>0</v>
      </c>
      <c r="R419" s="5" t="n">
        <f aca="false">_xlfn.XLOOKUP(C419, [1]Estado_Equipos!A$2:A$500, [1]Estado_Equipos!J$2:J$500, "")</f>
        <v>74</v>
      </c>
      <c r="S419" s="5" t="n">
        <f aca="false">IF(H419&lt;=16,1.45,
IF(H419&gt;=41,0.3,
CHOOSE(ROUNDDOWN((H419-16)/2,0)+1,
1.45,1.38,1.3,1.23,1.17,1.15,1.12,1.05,0.95,0.8,0.6,0.4,0.3)))</f>
        <v>1.12</v>
      </c>
      <c r="T419" s="5" t="n">
        <f aca="false">CHOOSE(N419+1,1.2,1,0.85,0.7)</f>
        <v>1.2</v>
      </c>
      <c r="U419" s="5" t="n">
        <f aca="false">IF(F419="PO",0.6,
IF(F419="CT",0.75,
IF(F419="LI",0.8,
IF(F419="LD",0.8,
IF(F419="MCD",0.85,
IF(F419="MC",0.95,
IF(F419="MO",1.05,
IF(F419="EI",1.1,
IF(F419="ED",1.1,
IF(F419="SD",1.15,
IF(F419="DC",1.2,0)))))))))))</f>
        <v>1.1</v>
      </c>
    </row>
    <row r="420" customFormat="false" ht="16.4" hidden="false" customHeight="false" outlineLevel="0" collapsed="false">
      <c r="A420" s="1" t="n">
        <v>419</v>
      </c>
      <c r="B420" s="5" t="str">
        <f aca="false">[1]Base_Jugadores!B420</f>
        <v>Igor Zubeldia</v>
      </c>
      <c r="C420" s="5" t="str">
        <f aca="false">IFERROR(
   _xlfn.XLOOKUP(VALUE(A420),[1]Fichajes_Realizados!A$2:A$50000,[1]Fichajes_Realizados!D$2:D$50000,,0,-1),
   _xlfn.XLOOKUP(VALUE(A420),[1]Base_Jugadores!A$2:A$50000,[1]Base_Jugadores!C$2:C$50000)
)</f>
        <v>Real Sociedad</v>
      </c>
      <c r="D420" s="5" t="str">
        <f aca="false">[1]Base_Jugadores!D420</f>
        <v>España</v>
      </c>
      <c r="E420" s="3"/>
      <c r="F420" s="5" t="str">
        <f aca="false">[1]Base_Jugadores!E420</f>
        <v>CT</v>
      </c>
      <c r="G420" s="5" t="n">
        <f aca="false">[1]Base_Jugadores!F420</f>
        <v>80</v>
      </c>
      <c r="H420" s="5" t="n">
        <f aca="false">[1]Base_Jugadores!G420</f>
        <v>28</v>
      </c>
      <c r="I420" s="7" t="n">
        <f aca="false" t="array" ref="I420:I420">_xlfn.XLOOKUP(G420,{55;56;57;58;59;60;61;62;63;64;65;66;67;68;69;70;71;72;73;74;75;76;77;78;79;80;81;82;83;84;85;86;87;88;89;90;91;92;93;94;95;96;97;98;99},{100000;130000;160000;190000;220000;250000;300000;350000;400000;450000;500000;600000;700000;800000;900000;1000000;1500000;2000000;3000000;4000000;5000000;6500000;8000000;10000000;12500000;15000000;20000000;25000000;30000000;35000000;40000000;55000000;70000000;80000000;90000000;110000000;130000000;160000000;190000000;220000000;250000000;280000000;310000000;340000000;400000000})</f>
        <v>15000000</v>
      </c>
      <c r="J420" s="7" t="n">
        <f aca="false">I420*S420*T420*U420</f>
        <v>15120000</v>
      </c>
      <c r="K420" s="3"/>
      <c r="L420" s="3"/>
      <c r="M420" s="3"/>
      <c r="N420" s="9" t="n">
        <v>0</v>
      </c>
      <c r="O420" s="4" t="n">
        <v>0</v>
      </c>
      <c r="P420" s="5" t="n">
        <f aca="false">IF(COUNTIF([1]Base_Jugadores!J$2:J$500,B420)&gt;0,1,0)</f>
        <v>1</v>
      </c>
      <c r="Q420" s="10" t="b">
        <f aca="false">--(COUNTIFS(
   [1]Fichajes_Realizados!A$2:A$5000,A420,
   [1]Fichajes_Realizados!G$2:G$5000,$X$3
)&gt;0)</f>
        <v>0</v>
      </c>
      <c r="R420" s="5" t="n">
        <f aca="false">_xlfn.XLOOKUP(C420, [1]Estado_Equipos!A$2:A$500, [1]Estado_Equipos!J$2:J$500, "")</f>
        <v>74</v>
      </c>
      <c r="S420" s="5" t="n">
        <f aca="false">IF(H420&lt;=16,1.45,
IF(H420&gt;=41,0.3,
CHOOSE(ROUNDDOWN((H420-16)/2,0)+1,
1.45,1.38,1.3,1.23,1.17,1.15,1.12,1.05,0.95,0.8,0.6,0.4,0.3)))</f>
        <v>1.12</v>
      </c>
      <c r="T420" s="5" t="n">
        <f aca="false">CHOOSE(N420+1,1.2,1,0.85,0.7)</f>
        <v>1.2</v>
      </c>
      <c r="U420" s="5" t="n">
        <f aca="false">IF(F420="PO",0.6,
IF(F420="CT",0.75,
IF(F420="LI",0.8,
IF(F420="LD",0.8,
IF(F420="MCD",0.85,
IF(F420="MC",0.95,
IF(F420="MO",1.05,
IF(F420="EI",1.1,
IF(F420="ED",1.1,
IF(F420="SD",1.15,
IF(F420="DC",1.2,0)))))))))))</f>
        <v>0.75</v>
      </c>
    </row>
    <row r="421" customFormat="false" ht="16.4" hidden="false" customHeight="false" outlineLevel="0" collapsed="false">
      <c r="A421" s="1" t="n">
        <v>420</v>
      </c>
      <c r="B421" s="5" t="str">
        <f aca="false">[1]Base_Jugadores!B421</f>
        <v>Jon Aramburu</v>
      </c>
      <c r="C421" s="5" t="str">
        <f aca="false">IFERROR(
   _xlfn.XLOOKUP(VALUE(A421),[1]Fichajes_Realizados!A$2:A$50000,[1]Fichajes_Realizados!D$2:D$50000,,0,-1),
   _xlfn.XLOOKUP(VALUE(A421),[1]Base_Jugadores!A$2:A$50000,[1]Base_Jugadores!C$2:C$50000)
)</f>
        <v>Real Sociedad</v>
      </c>
      <c r="D421" s="5" t="str">
        <f aca="false">[1]Base_Jugadores!D421</f>
        <v>Venezuela</v>
      </c>
      <c r="E421" s="3"/>
      <c r="F421" s="5" t="str">
        <f aca="false">[1]Base_Jugadores!E421</f>
        <v>LD</v>
      </c>
      <c r="G421" s="5" t="n">
        <f aca="false">[1]Base_Jugadores!F421</f>
        <v>74</v>
      </c>
      <c r="H421" s="5" t="n">
        <f aca="false">[1]Base_Jugadores!G421</f>
        <v>23</v>
      </c>
      <c r="I421" s="7" t="n">
        <f aca="false" t="array" ref="I421:I421">_xlfn.XLOOKUP(G421,{55;56;57;58;59;60;61;62;63;64;65;66;67;68;69;70;71;72;73;74;75;76;77;78;79;80;81;82;83;84;85;86;87;88;89;90;91;92;93;94;95;96;97;98;99},{100000;130000;160000;190000;220000;250000;300000;350000;400000;450000;500000;600000;700000;800000;900000;1000000;1500000;2000000;3000000;4000000;5000000;6500000;8000000;10000000;12500000;15000000;20000000;25000000;30000000;35000000;40000000;55000000;70000000;80000000;90000000;110000000;130000000;160000000;190000000;220000000;250000000;280000000;310000000;340000000;400000000})</f>
        <v>4000000</v>
      </c>
      <c r="J421" s="7" t="n">
        <f aca="false">I421*S421*T421*U421</f>
        <v>3345600</v>
      </c>
      <c r="K421" s="3"/>
      <c r="L421" s="3"/>
      <c r="M421" s="3"/>
      <c r="N421" s="9" t="n">
        <v>2</v>
      </c>
      <c r="O421" s="4" t="n">
        <v>0</v>
      </c>
      <c r="P421" s="5" t="n">
        <f aca="false">IF(COUNTIF([1]Base_Jugadores!J$2:J$500,B421)&gt;0,1,0)</f>
        <v>0</v>
      </c>
      <c r="Q421" s="10" t="b">
        <f aca="false">--(COUNTIFS(
   [1]Fichajes_Realizados!A$2:A$5000,A421,
   [1]Fichajes_Realizados!G$2:G$5000,$X$3
)&gt;0)</f>
        <v>0</v>
      </c>
      <c r="R421" s="5" t="n">
        <f aca="false">_xlfn.XLOOKUP(C421, [1]Estado_Equipos!A$2:A$500, [1]Estado_Equipos!J$2:J$500, "")</f>
        <v>74</v>
      </c>
      <c r="S421" s="5" t="n">
        <f aca="false">IF(H421&lt;=16,1.45,
IF(H421&gt;=41,0.3,
CHOOSE(ROUNDDOWN((H421-16)/2,0)+1,
1.45,1.38,1.3,1.23,1.17,1.15,1.12,1.05,0.95,0.8,0.6,0.4,0.3)))</f>
        <v>1.23</v>
      </c>
      <c r="T421" s="5" t="n">
        <f aca="false">CHOOSE(N421+1,1.2,1,0.85,0.7)</f>
        <v>0.85</v>
      </c>
      <c r="U421" s="5" t="n">
        <f aca="false">IF(F421="PO",0.6,
IF(F421="CT",0.75,
IF(F421="LI",0.8,
IF(F421="LD",0.8,
IF(F421="MCD",0.85,
IF(F421="MC",0.95,
IF(F421="MO",1.05,
IF(F421="EI",1.1,
IF(F421="ED",1.1,
IF(F421="SD",1.15,
IF(F421="DC",1.2,0)))))))))))</f>
        <v>0.8</v>
      </c>
    </row>
    <row r="422" customFormat="false" ht="16.4" hidden="false" customHeight="false" outlineLevel="0" collapsed="false">
      <c r="A422" s="1" t="n">
        <v>421</v>
      </c>
      <c r="B422" s="5" t="str">
        <f aca="false">[1]Base_Jugadores!B422</f>
        <v>Jon Gorrotxategi</v>
      </c>
      <c r="C422" s="5" t="str">
        <f aca="false">IFERROR(
   _xlfn.XLOOKUP(VALUE(A422),[1]Fichajes_Realizados!A$2:A$50000,[1]Fichajes_Realizados!D$2:D$50000,,0,-1),
   _xlfn.XLOOKUP(VALUE(A422),[1]Base_Jugadores!A$2:A$50000,[1]Base_Jugadores!C$2:C$50000)
)</f>
        <v>Real Sociedad</v>
      </c>
      <c r="D422" s="5" t="str">
        <f aca="false">[1]Base_Jugadores!D422</f>
        <v>España</v>
      </c>
      <c r="E422" s="3"/>
      <c r="F422" s="5" t="str">
        <f aca="false">[1]Base_Jugadores!E422</f>
        <v>MCD</v>
      </c>
      <c r="G422" s="5" t="n">
        <f aca="false">[1]Base_Jugadores!F422</f>
        <v>70</v>
      </c>
      <c r="H422" s="5" t="n">
        <f aca="false">[1]Base_Jugadores!G422</f>
        <v>23</v>
      </c>
      <c r="I422" s="7" t="n">
        <f aca="false" t="array" ref="I422:I422">_xlfn.XLOOKUP(G422,{55;56;57;58;59;60;61;62;63;64;65;66;67;68;69;70;71;72;73;74;75;76;77;78;79;80;81;82;83;84;85;86;87;88;89;90;91;92;93;94;95;96;97;98;99},{100000;130000;160000;190000;220000;250000;300000;350000;400000;450000;500000;600000;700000;800000;900000;1000000;1500000;2000000;3000000;4000000;5000000;6500000;8000000;10000000;12500000;15000000;20000000;25000000;30000000;35000000;40000000;55000000;70000000;80000000;90000000;110000000;130000000;160000000;190000000;220000000;250000000;280000000;310000000;340000000;400000000})</f>
        <v>1000000</v>
      </c>
      <c r="J422" s="7" t="n">
        <f aca="false">I422*S422*T422*U422</f>
        <v>888675</v>
      </c>
      <c r="K422" s="3"/>
      <c r="L422" s="3"/>
      <c r="M422" s="3"/>
      <c r="N422" s="9" t="n">
        <v>2</v>
      </c>
      <c r="O422" s="4" t="n">
        <v>0</v>
      </c>
      <c r="P422" s="5" t="n">
        <f aca="false">IF(COUNTIF([1]Base_Jugadores!J$2:J$500,B422)&gt;0,1,0)</f>
        <v>0</v>
      </c>
      <c r="Q422" s="10" t="b">
        <f aca="false">--(COUNTIFS(
   [1]Fichajes_Realizados!A$2:A$5000,A422,
   [1]Fichajes_Realizados!G$2:G$5000,$X$3
)&gt;0)</f>
        <v>0</v>
      </c>
      <c r="R422" s="5" t="n">
        <f aca="false">_xlfn.XLOOKUP(C422, [1]Estado_Equipos!A$2:A$500, [1]Estado_Equipos!J$2:J$500, "")</f>
        <v>74</v>
      </c>
      <c r="S422" s="5" t="n">
        <f aca="false">IF(H422&lt;=16,1.45,
IF(H422&gt;=41,0.3,
CHOOSE(ROUNDDOWN((H422-16)/2,0)+1,
1.45,1.38,1.3,1.23,1.17,1.15,1.12,1.05,0.95,0.8,0.6,0.4,0.3)))</f>
        <v>1.23</v>
      </c>
      <c r="T422" s="5" t="n">
        <f aca="false">CHOOSE(N422+1,1.2,1,0.85,0.7)</f>
        <v>0.85</v>
      </c>
      <c r="U422" s="5" t="n">
        <f aca="false">IF(F422="PO",0.6,
IF(F422="CT",0.75,
IF(F422="LI",0.8,
IF(F422="LD",0.8,
IF(F422="MCD",0.85,
IF(F422="MC",0.95,
IF(F422="MO",1.05,
IF(F422="EI",1.1,
IF(F422="ED",1.1,
IF(F422="SD",1.15,
IF(F422="DC",1.2,0)))))))))))</f>
        <v>0.85</v>
      </c>
    </row>
    <row r="423" customFormat="false" ht="16.4" hidden="false" customHeight="false" outlineLevel="0" collapsed="false">
      <c r="A423" s="1" t="n">
        <v>422</v>
      </c>
      <c r="B423" s="5" t="str">
        <f aca="false">[1]Base_Jugadores!B423</f>
        <v>Jon Karrikaburu</v>
      </c>
      <c r="C423" s="5" t="str">
        <f aca="false">IFERROR(
   _xlfn.XLOOKUP(VALUE(A423),[1]Fichajes_Realizados!A$2:A$50000,[1]Fichajes_Realizados!D$2:D$50000,,0,-1),
   _xlfn.XLOOKUP(VALUE(A423),[1]Base_Jugadores!A$2:A$50000,[1]Base_Jugadores!C$2:C$50000)
)</f>
        <v>Real Sociedad</v>
      </c>
      <c r="D423" s="5" t="str">
        <f aca="false">[1]Base_Jugadores!D423</f>
        <v>España</v>
      </c>
      <c r="E423" s="3"/>
      <c r="F423" s="5" t="str">
        <f aca="false">[1]Base_Jugadores!E423</f>
        <v>DC</v>
      </c>
      <c r="G423" s="5" t="n">
        <f aca="false">[1]Base_Jugadores!F423</f>
        <v>67</v>
      </c>
      <c r="H423" s="5" t="n">
        <f aca="false">[1]Base_Jugadores!G423</f>
        <v>23</v>
      </c>
      <c r="I423" s="7" t="n">
        <f aca="false" t="array" ref="I423:I423">_xlfn.XLOOKUP(G423,{55;56;57;58;59;60;61;62;63;64;65;66;67;68;69;70;71;72;73;74;75;76;77;78;79;80;81;82;83;84;85;86;87;88;89;90;91;92;93;94;95;96;97;98;99},{100000;130000;160000;190000;220000;250000;300000;350000;400000;450000;500000;600000;700000;800000;900000;1000000;1500000;2000000;3000000;4000000;5000000;6500000;8000000;10000000;12500000;15000000;20000000;25000000;30000000;35000000;40000000;55000000;70000000;80000000;90000000;110000000;130000000;160000000;190000000;220000000;250000000;280000000;310000000;340000000;400000000})</f>
        <v>700000</v>
      </c>
      <c r="J423" s="7" t="n">
        <f aca="false">I423*S423*T423*U423</f>
        <v>878220</v>
      </c>
      <c r="K423" s="3"/>
      <c r="L423" s="3"/>
      <c r="M423" s="3"/>
      <c r="N423" s="9" t="n">
        <v>2</v>
      </c>
      <c r="O423" s="4" t="n">
        <v>0</v>
      </c>
      <c r="P423" s="5" t="n">
        <f aca="false">IF(COUNTIF([1]Base_Jugadores!J$2:J$500,B423)&gt;0,1,0)</f>
        <v>1</v>
      </c>
      <c r="Q423" s="10" t="b">
        <f aca="false">--(COUNTIFS(
   [1]Fichajes_Realizados!A$2:A$5000,A423,
   [1]Fichajes_Realizados!G$2:G$5000,$X$3
)&gt;0)</f>
        <v>0</v>
      </c>
      <c r="R423" s="5" t="n">
        <f aca="false">_xlfn.XLOOKUP(C423, [1]Estado_Equipos!A$2:A$500, [1]Estado_Equipos!J$2:J$500, "")</f>
        <v>74</v>
      </c>
      <c r="S423" s="5" t="n">
        <f aca="false">IF(H423&lt;=16,1.45,
IF(H423&gt;=41,0.3,
CHOOSE(ROUNDDOWN((H423-16)/2,0)+1,
1.45,1.38,1.3,1.23,1.17,1.15,1.12,1.05,0.95,0.8,0.6,0.4,0.3)))</f>
        <v>1.23</v>
      </c>
      <c r="T423" s="5" t="n">
        <f aca="false">CHOOSE(N423+1,1.2,1,0.85,0.7)</f>
        <v>0.85</v>
      </c>
      <c r="U423" s="5" t="n">
        <f aca="false">IF(F423="PO",0.6,
IF(F423="CT",0.75,
IF(F423="LI",0.8,
IF(F423="LD",0.8,
IF(F423="MCD",0.85,
IF(F423="MC",0.95,
IF(F423="MO",1.05,
IF(F423="EI",1.1,
IF(F423="ED",1.1,
IF(F423="SD",1.15,
IF(F423="DC",1.2,0)))))))))))</f>
        <v>1.2</v>
      </c>
    </row>
    <row r="424" customFormat="false" ht="16.4" hidden="false" customHeight="false" outlineLevel="0" collapsed="false">
      <c r="A424" s="1" t="n">
        <v>423</v>
      </c>
      <c r="B424" s="5" t="str">
        <f aca="false">[1]Base_Jugadores!B424</f>
        <v>Jon Martín</v>
      </c>
      <c r="C424" s="5" t="str">
        <f aca="false">IFERROR(
   _xlfn.XLOOKUP(VALUE(A424),[1]Fichajes_Realizados!A$2:A$50000,[1]Fichajes_Realizados!D$2:D$50000,,0,-1),
   _xlfn.XLOOKUP(VALUE(A424),[1]Base_Jugadores!A$2:A$50000,[1]Base_Jugadores!C$2:C$50000)
)</f>
        <v>Real Sociedad</v>
      </c>
      <c r="D424" s="5" t="str">
        <f aca="false">[1]Base_Jugadores!D424</f>
        <v>España</v>
      </c>
      <c r="E424" s="3"/>
      <c r="F424" s="5" t="str">
        <f aca="false">[1]Base_Jugadores!E424</f>
        <v>CT</v>
      </c>
      <c r="G424" s="5" t="n">
        <f aca="false">[1]Base_Jugadores!F424</f>
        <v>60</v>
      </c>
      <c r="H424" s="5" t="n">
        <f aca="false">[1]Base_Jugadores!G424</f>
        <v>19</v>
      </c>
      <c r="I424" s="7" t="n">
        <f aca="false" t="array" ref="I424:I424">_xlfn.XLOOKUP(G424,{55;56;57;58;59;60;61;62;63;64;65;66;67;68;69;70;71;72;73;74;75;76;77;78;79;80;81;82;83;84;85;86;87;88;89;90;91;92;93;94;95;96;97;98;99},{100000;130000;160000;190000;220000;250000;300000;350000;400000;450000;500000;600000;700000;800000;900000;1000000;1500000;2000000;3000000;4000000;5000000;6500000;8000000;10000000;12500000;15000000;20000000;25000000;30000000;35000000;40000000;55000000;70000000;80000000;90000000;110000000;130000000;160000000;190000000;220000000;250000000;280000000;310000000;340000000;400000000})</f>
        <v>250000</v>
      </c>
      <c r="J424" s="7" t="n">
        <f aca="false">I424*S424*T424*U424</f>
        <v>219937.5</v>
      </c>
      <c r="K424" s="3"/>
      <c r="L424" s="3"/>
      <c r="M424" s="3"/>
      <c r="N424" s="9" t="n">
        <v>2</v>
      </c>
      <c r="O424" s="4" t="n">
        <v>1</v>
      </c>
      <c r="P424" s="5" t="n">
        <f aca="false">IF(COUNTIF([1]Base_Jugadores!J$2:J$500,B424)&gt;0,1,0)</f>
        <v>0</v>
      </c>
      <c r="Q424" s="10" t="b">
        <f aca="false">--(COUNTIFS(
   [1]Fichajes_Realizados!A$2:A$5000,A424,
   [1]Fichajes_Realizados!G$2:G$5000,$X$3
)&gt;0)</f>
        <v>0</v>
      </c>
      <c r="R424" s="5" t="n">
        <f aca="false">_xlfn.XLOOKUP(C424, [1]Estado_Equipos!A$2:A$500, [1]Estado_Equipos!J$2:J$500, "")</f>
        <v>74</v>
      </c>
      <c r="S424" s="5" t="n">
        <f aca="false">IF(H424&lt;=16,1.45,
IF(H424&gt;=41,0.3,
CHOOSE(ROUNDDOWN((H424-16)/2,0)+1,
1.45,1.38,1.3,1.23,1.17,1.15,1.12,1.05,0.95,0.8,0.6,0.4,0.3)))</f>
        <v>1.38</v>
      </c>
      <c r="T424" s="5" t="n">
        <f aca="false">CHOOSE(N424+1,1.2,1,0.85,0.7)</f>
        <v>0.85</v>
      </c>
      <c r="U424" s="5" t="n">
        <f aca="false">IF(F424="PO",0.6,
IF(F424="CT",0.75,
IF(F424="LI",0.8,
IF(F424="LD",0.8,
IF(F424="MCD",0.85,
IF(F424="MC",0.95,
IF(F424="MO",1.05,
IF(F424="EI",1.1,
IF(F424="ED",1.1,
IF(F424="SD",1.15,
IF(F424="DC",1.2,0)))))))))))</f>
        <v>0.75</v>
      </c>
    </row>
    <row r="425" customFormat="false" ht="16.4" hidden="false" customHeight="false" outlineLevel="0" collapsed="false">
      <c r="A425" s="1" t="n">
        <v>424</v>
      </c>
      <c r="B425" s="5" t="str">
        <f aca="false">[1]Base_Jugadores!B425</f>
        <v>Luka Sucic</v>
      </c>
      <c r="C425" s="5" t="str">
        <f aca="false">IFERROR(
   _xlfn.XLOOKUP(VALUE(A425),[1]Fichajes_Realizados!A$2:A$50000,[1]Fichajes_Realizados!D$2:D$50000,,0,-1),
   _xlfn.XLOOKUP(VALUE(A425),[1]Base_Jugadores!A$2:A$50000,[1]Base_Jugadores!C$2:C$50000)
)</f>
        <v>Real Sociedad</v>
      </c>
      <c r="D425" s="5" t="str">
        <f aca="false">[1]Base_Jugadores!D425</f>
        <v>Croacia</v>
      </c>
      <c r="E425" s="3"/>
      <c r="F425" s="5" t="str">
        <f aca="false">[1]Base_Jugadores!E425</f>
        <v>MC</v>
      </c>
      <c r="G425" s="5" t="n">
        <f aca="false">[1]Base_Jugadores!F425</f>
        <v>74</v>
      </c>
      <c r="H425" s="5" t="n">
        <f aca="false">[1]Base_Jugadores!G425</f>
        <v>23</v>
      </c>
      <c r="I425" s="7" t="n">
        <f aca="false" t="array" ref="I425:I425">_xlfn.XLOOKUP(G425,{55;56;57;58;59;60;61;62;63;64;65;66;67;68;69;70;71;72;73;74;75;76;77;78;79;80;81;82;83;84;85;86;87;88;89;90;91;92;93;94;95;96;97;98;99},{100000;130000;160000;190000;220000;250000;300000;350000;400000;450000;500000;600000;700000;800000;900000;1000000;1500000;2000000;3000000;4000000;5000000;6500000;8000000;10000000;12500000;15000000;20000000;25000000;30000000;35000000;40000000;55000000;70000000;80000000;90000000;110000000;130000000;160000000;190000000;220000000;250000000;280000000;310000000;340000000;400000000})</f>
        <v>4000000</v>
      </c>
      <c r="J425" s="7" t="n">
        <f aca="false">I425*S425*T425*U425</f>
        <v>3972900</v>
      </c>
      <c r="K425" s="3"/>
      <c r="L425" s="3"/>
      <c r="M425" s="3"/>
      <c r="N425" s="9" t="n">
        <v>2</v>
      </c>
      <c r="O425" s="4" t="n">
        <v>0</v>
      </c>
      <c r="P425" s="5" t="n">
        <f aca="false">IF(COUNTIF([1]Base_Jugadores!J$2:J$500,B425)&gt;0,1,0)</f>
        <v>0</v>
      </c>
      <c r="Q425" s="10" t="b">
        <f aca="false">--(COUNTIFS(
   [1]Fichajes_Realizados!A$2:A$5000,A425,
   [1]Fichajes_Realizados!G$2:G$5000,$X$3
)&gt;0)</f>
        <v>0</v>
      </c>
      <c r="R425" s="5" t="n">
        <f aca="false">_xlfn.XLOOKUP(C425, [1]Estado_Equipos!A$2:A$500, [1]Estado_Equipos!J$2:J$500, "")</f>
        <v>74</v>
      </c>
      <c r="S425" s="5" t="n">
        <f aca="false">IF(H425&lt;=16,1.45,
IF(H425&gt;=41,0.3,
CHOOSE(ROUNDDOWN((H425-16)/2,0)+1,
1.45,1.38,1.3,1.23,1.17,1.15,1.12,1.05,0.95,0.8,0.6,0.4,0.3)))</f>
        <v>1.23</v>
      </c>
      <c r="T425" s="5" t="n">
        <f aca="false">CHOOSE(N425+1,1.2,1,0.85,0.7)</f>
        <v>0.85</v>
      </c>
      <c r="U425" s="5" t="n">
        <f aca="false">IF(F425="PO",0.6,
IF(F425="CT",0.75,
IF(F425="LI",0.8,
IF(F425="LD",0.8,
IF(F425="MCD",0.85,
IF(F425="MC",0.95,
IF(F425="MO",1.05,
IF(F425="EI",1.1,
IF(F425="ED",1.1,
IF(F425="SD",1.15,
IF(F425="DC",1.2,0)))))))))))</f>
        <v>0.95</v>
      </c>
    </row>
    <row r="426" customFormat="false" ht="16.4" hidden="false" customHeight="false" outlineLevel="0" collapsed="false">
      <c r="A426" s="1" t="n">
        <v>425</v>
      </c>
      <c r="B426" s="5" t="str">
        <f aca="false">[1]Base_Jugadores!B426</f>
        <v>Mikel Goti</v>
      </c>
      <c r="C426" s="5" t="str">
        <f aca="false">IFERROR(
   _xlfn.XLOOKUP(VALUE(A426),[1]Fichajes_Realizados!A$2:A$50000,[1]Fichajes_Realizados!D$2:D$50000,,0,-1),
   _xlfn.XLOOKUP(VALUE(A426),[1]Base_Jugadores!A$2:A$50000,[1]Base_Jugadores!C$2:C$50000)
)</f>
        <v>Real Sociedad</v>
      </c>
      <c r="D426" s="5" t="str">
        <f aca="false">[1]Base_Jugadores!D426</f>
        <v>España</v>
      </c>
      <c r="E426" s="3"/>
      <c r="F426" s="5" t="str">
        <f aca="false">[1]Base_Jugadores!E426</f>
        <v>MO</v>
      </c>
      <c r="G426" s="5" t="n">
        <f aca="false">[1]Base_Jugadores!F426</f>
        <v>70</v>
      </c>
      <c r="H426" s="5" t="n">
        <f aca="false">[1]Base_Jugadores!G426</f>
        <v>23</v>
      </c>
      <c r="I426" s="7" t="n">
        <f aca="false" t="array" ref="I426:I426">_xlfn.XLOOKUP(G426,{55;56;57;58;59;60;61;62;63;64;65;66;67;68;69;70;71;72;73;74;75;76;77;78;79;80;81;82;83;84;85;86;87;88;89;90;91;92;93;94;95;96;97;98;99},{100000;130000;160000;190000;220000;250000;300000;350000;400000;450000;500000;600000;700000;800000;900000;1000000;1500000;2000000;3000000;4000000;5000000;6500000;8000000;10000000;12500000;15000000;20000000;25000000;30000000;35000000;40000000;55000000;70000000;80000000;90000000;110000000;130000000;160000000;190000000;220000000;250000000;280000000;310000000;340000000;400000000})</f>
        <v>1000000</v>
      </c>
      <c r="J426" s="7" t="n">
        <f aca="false">I426*S426*T426*U426</f>
        <v>1549800</v>
      </c>
      <c r="K426" s="3"/>
      <c r="L426" s="3"/>
      <c r="M426" s="3"/>
      <c r="N426" s="9" t="n">
        <v>0</v>
      </c>
      <c r="O426" s="4" t="n">
        <v>0</v>
      </c>
      <c r="P426" s="5" t="n">
        <f aca="false">IF(COUNTIF([1]Base_Jugadores!J$2:J$500,B426)&gt;0,1,0)</f>
        <v>0</v>
      </c>
      <c r="Q426" s="10" t="b">
        <f aca="false">--(COUNTIFS(
   [1]Fichajes_Realizados!A$2:A$5000,A426,
   [1]Fichajes_Realizados!G$2:G$5000,$X$3
)&gt;0)</f>
        <v>0</v>
      </c>
      <c r="R426" s="5" t="n">
        <f aca="false">_xlfn.XLOOKUP(C426, [1]Estado_Equipos!A$2:A$500, [1]Estado_Equipos!J$2:J$500, "")</f>
        <v>74</v>
      </c>
      <c r="S426" s="5" t="n">
        <f aca="false">IF(H426&lt;=16,1.45,
IF(H426&gt;=41,0.3,
CHOOSE(ROUNDDOWN((H426-16)/2,0)+1,
1.45,1.38,1.3,1.23,1.17,1.15,1.12,1.05,0.95,0.8,0.6,0.4,0.3)))</f>
        <v>1.23</v>
      </c>
      <c r="T426" s="5" t="n">
        <f aca="false">CHOOSE(N426+1,1.2,1,0.85,0.7)</f>
        <v>1.2</v>
      </c>
      <c r="U426" s="5" t="n">
        <f aca="false">IF(F426="PO",0.6,
IF(F426="CT",0.75,
IF(F426="LI",0.8,
IF(F426="LD",0.8,
IF(F426="MCD",0.85,
IF(F426="MC",0.95,
IF(F426="MO",1.05,
IF(F426="EI",1.1,
IF(F426="ED",1.1,
IF(F426="SD",1.15,
IF(F426="DC",1.2,0)))))))))))</f>
        <v>1.05</v>
      </c>
    </row>
    <row r="427" customFormat="false" ht="16.4" hidden="false" customHeight="false" outlineLevel="0" collapsed="false">
      <c r="A427" s="1" t="n">
        <v>426</v>
      </c>
      <c r="B427" s="5" t="str">
        <f aca="false">[1]Base_Jugadores!B427</f>
        <v>Mikel Oyarzabal</v>
      </c>
      <c r="C427" s="5" t="str">
        <f aca="false">IFERROR(
   _xlfn.XLOOKUP(VALUE(A427),[1]Fichajes_Realizados!A$2:A$50000,[1]Fichajes_Realizados!D$2:D$50000,,0,-1),
   _xlfn.XLOOKUP(VALUE(A427),[1]Base_Jugadores!A$2:A$50000,[1]Base_Jugadores!C$2:C$50000)
)</f>
        <v>Real Sociedad</v>
      </c>
      <c r="D427" s="5" t="str">
        <f aca="false">[1]Base_Jugadores!D427</f>
        <v>España</v>
      </c>
      <c r="E427" s="3"/>
      <c r="F427" s="5" t="str">
        <f aca="false">[1]Base_Jugadores!E427</f>
        <v>DC</v>
      </c>
      <c r="G427" s="5" t="n">
        <f aca="false">[1]Base_Jugadores!F427</f>
        <v>82</v>
      </c>
      <c r="H427" s="5" t="n">
        <f aca="false">[1]Base_Jugadores!G427</f>
        <v>28</v>
      </c>
      <c r="I427" s="7" t="n">
        <f aca="false" t="array" ref="I427:I427">_xlfn.XLOOKUP(G427,{55;56;57;58;59;60;61;62;63;64;65;66;67;68;69;70;71;72;73;74;75;76;77;78;79;80;81;82;83;84;85;86;87;88;89;90;91;92;93;94;95;96;97;98;99},{100000;130000;160000;190000;220000;250000;300000;350000;400000;450000;500000;600000;700000;800000;900000;1000000;1500000;2000000;3000000;4000000;5000000;6500000;8000000;10000000;12500000;15000000;20000000;25000000;30000000;35000000;40000000;55000000;70000000;80000000;90000000;110000000;130000000;160000000;190000000;220000000;250000000;280000000;310000000;340000000;400000000})</f>
        <v>25000000</v>
      </c>
      <c r="J427" s="7" t="n">
        <f aca="false">I427*S427*T427*U427</f>
        <v>40320000</v>
      </c>
      <c r="K427" s="3"/>
      <c r="L427" s="3"/>
      <c r="M427" s="3"/>
      <c r="N427" s="9" t="n">
        <v>0</v>
      </c>
      <c r="O427" s="4" t="n">
        <v>0</v>
      </c>
      <c r="P427" s="5" t="n">
        <f aca="false">IF(COUNTIF([1]Base_Jugadores!J$2:J$500,B427)&gt;0,1,0)</f>
        <v>1</v>
      </c>
      <c r="Q427" s="10" t="b">
        <f aca="false">--(COUNTIFS(
   [1]Fichajes_Realizados!A$2:A$5000,A427,
   [1]Fichajes_Realizados!G$2:G$5000,$X$3
)&gt;0)</f>
        <v>0</v>
      </c>
      <c r="R427" s="5" t="n">
        <f aca="false">_xlfn.XLOOKUP(C427, [1]Estado_Equipos!A$2:A$500, [1]Estado_Equipos!J$2:J$500, "")</f>
        <v>74</v>
      </c>
      <c r="S427" s="5" t="n">
        <f aca="false">IF(H427&lt;=16,1.45,
IF(H427&gt;=41,0.3,
CHOOSE(ROUNDDOWN((H427-16)/2,0)+1,
1.45,1.38,1.3,1.23,1.17,1.15,1.12,1.05,0.95,0.8,0.6,0.4,0.3)))</f>
        <v>1.12</v>
      </c>
      <c r="T427" s="5" t="n">
        <f aca="false">CHOOSE(N427+1,1.2,1,0.85,0.7)</f>
        <v>1.2</v>
      </c>
      <c r="U427" s="5" t="n">
        <f aca="false">IF(F427="PO",0.6,
IF(F427="CT",0.75,
IF(F427="LI",0.8,
IF(F427="LD",0.8,
IF(F427="MCD",0.85,
IF(F427="MC",0.95,
IF(F427="MO",1.05,
IF(F427="EI",1.1,
IF(F427="ED",1.1,
IF(F427="SD",1.15,
IF(F427="DC",1.2,0)))))))))))</f>
        <v>1.2</v>
      </c>
    </row>
    <row r="428" customFormat="false" ht="16.4" hidden="false" customHeight="false" outlineLevel="0" collapsed="false">
      <c r="A428" s="1" t="n">
        <v>427</v>
      </c>
      <c r="B428" s="5" t="str">
        <f aca="false">[1]Base_Jugadores!B428</f>
        <v>Orri Óskarsson</v>
      </c>
      <c r="C428" s="5" t="str">
        <f aca="false">IFERROR(
   _xlfn.XLOOKUP(VALUE(A428),[1]Fichajes_Realizados!A$2:A$50000,[1]Fichajes_Realizados!D$2:D$50000,,0,-1),
   _xlfn.XLOOKUP(VALUE(A428),[1]Base_Jugadores!A$2:A$50000,[1]Base_Jugadores!C$2:C$50000)
)</f>
        <v>Real Sociedad</v>
      </c>
      <c r="D428" s="5" t="str">
        <f aca="false">[1]Base_Jugadores!D428</f>
        <v>Islandia</v>
      </c>
      <c r="E428" s="3"/>
      <c r="F428" s="5" t="str">
        <f aca="false">[1]Base_Jugadores!E428</f>
        <v>DC</v>
      </c>
      <c r="G428" s="5" t="n">
        <f aca="false">[1]Base_Jugadores!F428</f>
        <v>72</v>
      </c>
      <c r="H428" s="5" t="n">
        <f aca="false">[1]Base_Jugadores!G428</f>
        <v>21</v>
      </c>
      <c r="I428" s="7" t="n">
        <f aca="false" t="array" ref="I428:I428">_xlfn.XLOOKUP(G428,{55;56;57;58;59;60;61;62;63;64;65;66;67;68;69;70;71;72;73;74;75;76;77;78;79;80;81;82;83;84;85;86;87;88;89;90;91;92;93;94;95;96;97;98;99},{100000;130000;160000;190000;220000;250000;300000;350000;400000;450000;500000;600000;700000;800000;900000;1000000;1500000;2000000;3000000;4000000;5000000;6500000;8000000;10000000;12500000;15000000;20000000;25000000;30000000;35000000;40000000;55000000;70000000;80000000;90000000;110000000;130000000;160000000;190000000;220000000;250000000;280000000;310000000;340000000;400000000})</f>
        <v>2000000</v>
      </c>
      <c r="J428" s="7" t="n">
        <f aca="false">I428*S428*T428*U428</f>
        <v>2652000</v>
      </c>
      <c r="K428" s="3"/>
      <c r="L428" s="3"/>
      <c r="M428" s="3"/>
      <c r="N428" s="9" t="n">
        <v>2</v>
      </c>
      <c r="O428" s="4" t="n">
        <v>0</v>
      </c>
      <c r="P428" s="5" t="n">
        <f aca="false">IF(COUNTIF([1]Base_Jugadores!J$2:J$500,B428)&gt;0,1,0)</f>
        <v>0</v>
      </c>
      <c r="Q428" s="10" t="b">
        <f aca="false">--(COUNTIFS(
   [1]Fichajes_Realizados!A$2:A$5000,A428,
   [1]Fichajes_Realizados!G$2:G$5000,$X$3
)&gt;0)</f>
        <v>0</v>
      </c>
      <c r="R428" s="5" t="n">
        <f aca="false">_xlfn.XLOOKUP(C428, [1]Estado_Equipos!A$2:A$500, [1]Estado_Equipos!J$2:J$500, "")</f>
        <v>74</v>
      </c>
      <c r="S428" s="5" t="n">
        <f aca="false">IF(H428&lt;=16,1.45,
IF(H428&gt;=41,0.3,
CHOOSE(ROUNDDOWN((H428-16)/2,0)+1,
1.45,1.38,1.3,1.23,1.17,1.15,1.12,1.05,0.95,0.8,0.6,0.4,0.3)))</f>
        <v>1.3</v>
      </c>
      <c r="T428" s="5" t="n">
        <f aca="false">CHOOSE(N428+1,1.2,1,0.85,0.7)</f>
        <v>0.85</v>
      </c>
      <c r="U428" s="5" t="n">
        <f aca="false">IF(F428="PO",0.6,
IF(F428="CT",0.75,
IF(F428="LI",0.8,
IF(F428="LD",0.8,
IF(F428="MCD",0.85,
IF(F428="MC",0.95,
IF(F428="MO",1.05,
IF(F428="EI",1.1,
IF(F428="ED",1.1,
IF(F428="SD",1.15,
IF(F428="DC",1.2,0)))))))))))</f>
        <v>1.2</v>
      </c>
    </row>
    <row r="429" customFormat="false" ht="16.4" hidden="false" customHeight="false" outlineLevel="0" collapsed="false">
      <c r="A429" s="1" t="n">
        <v>428</v>
      </c>
      <c r="B429" s="5" t="str">
        <f aca="false">[1]Base_Jugadores!B429</f>
        <v>Pablo Marín</v>
      </c>
      <c r="C429" s="5" t="str">
        <f aca="false">IFERROR(
   _xlfn.XLOOKUP(VALUE(A429),[1]Fichajes_Realizados!A$2:A$50000,[1]Fichajes_Realizados!D$2:D$50000,,0,-1),
   _xlfn.XLOOKUP(VALUE(A429),[1]Base_Jugadores!A$2:A$50000,[1]Base_Jugadores!C$2:C$50000)
)</f>
        <v>Real Sociedad</v>
      </c>
      <c r="D429" s="5" t="str">
        <f aca="false">[1]Base_Jugadores!D429</f>
        <v>España</v>
      </c>
      <c r="E429" s="3"/>
      <c r="F429" s="5" t="str">
        <f aca="false">[1]Base_Jugadores!E429</f>
        <v>MO</v>
      </c>
      <c r="G429" s="5" t="n">
        <f aca="false">[1]Base_Jugadores!F429</f>
        <v>71</v>
      </c>
      <c r="H429" s="5" t="n">
        <f aca="false">[1]Base_Jugadores!G429</f>
        <v>22</v>
      </c>
      <c r="I429" s="7" t="n">
        <f aca="false" t="array" ref="I429:I429">_xlfn.XLOOKUP(G429,{55;56;57;58;59;60;61;62;63;64;65;66;67;68;69;70;71;72;73;74;75;76;77;78;79;80;81;82;83;84;85;86;87;88;89;90;91;92;93;94;95;96;97;98;99},{100000;130000;160000;190000;220000;250000;300000;350000;400000;450000;500000;600000;700000;800000;900000;1000000;1500000;2000000;3000000;4000000;5000000;6500000;8000000;10000000;12500000;15000000;20000000;25000000;30000000;35000000;40000000;55000000;70000000;80000000;90000000;110000000;130000000;160000000;190000000;220000000;250000000;280000000;310000000;340000000;400000000})</f>
        <v>1500000</v>
      </c>
      <c r="J429" s="7" t="n">
        <f aca="false">I429*S429*T429*U429</f>
        <v>1646662.5</v>
      </c>
      <c r="K429" s="3"/>
      <c r="L429" s="3"/>
      <c r="M429" s="3"/>
      <c r="N429" s="9" t="n">
        <v>2</v>
      </c>
      <c r="O429" s="4" t="n">
        <v>1</v>
      </c>
      <c r="P429" s="5" t="n">
        <f aca="false">IF(COUNTIF([1]Base_Jugadores!J$2:J$500,B429)&gt;0,1,0)</f>
        <v>0</v>
      </c>
      <c r="Q429" s="10" t="b">
        <f aca="false">--(COUNTIFS(
   [1]Fichajes_Realizados!A$2:A$5000,A429,
   [1]Fichajes_Realizados!G$2:G$5000,$X$3
)&gt;0)</f>
        <v>0</v>
      </c>
      <c r="R429" s="5" t="n">
        <f aca="false">_xlfn.XLOOKUP(C429, [1]Estado_Equipos!A$2:A$500, [1]Estado_Equipos!J$2:J$500, "")</f>
        <v>74</v>
      </c>
      <c r="S429" s="5" t="n">
        <f aca="false">IF(H429&lt;=16,1.45,
IF(H429&gt;=41,0.3,
CHOOSE(ROUNDDOWN((H429-16)/2,0)+1,
1.45,1.38,1.3,1.23,1.17,1.15,1.12,1.05,0.95,0.8,0.6,0.4,0.3)))</f>
        <v>1.23</v>
      </c>
      <c r="T429" s="5" t="n">
        <f aca="false">CHOOSE(N429+1,1.2,1,0.85,0.7)</f>
        <v>0.85</v>
      </c>
      <c r="U429" s="5" t="n">
        <f aca="false">IF(F429="PO",0.6,
IF(F429="CT",0.75,
IF(F429="LI",0.8,
IF(F429="LD",0.8,
IF(F429="MCD",0.85,
IF(F429="MC",0.95,
IF(F429="MO",1.05,
IF(F429="EI",1.1,
IF(F429="ED",1.1,
IF(F429="SD",1.15,
IF(F429="DC",1.2,0)))))))))))</f>
        <v>1.05</v>
      </c>
    </row>
    <row r="430" customFormat="false" ht="16.4" hidden="false" customHeight="false" outlineLevel="0" collapsed="false">
      <c r="A430" s="1" t="n">
        <v>429</v>
      </c>
      <c r="B430" s="5" t="str">
        <f aca="false">[1]Base_Jugadores!B430</f>
        <v>Sergio Gómez</v>
      </c>
      <c r="C430" s="5" t="str">
        <f aca="false">IFERROR(
   _xlfn.XLOOKUP(VALUE(A430),[1]Fichajes_Realizados!A$2:A$50000,[1]Fichajes_Realizados!D$2:D$50000,,0,-1),
   _xlfn.XLOOKUP(VALUE(A430),[1]Base_Jugadores!A$2:A$50000,[1]Base_Jugadores!C$2:C$50000)
)</f>
        <v>Real Sociedad</v>
      </c>
      <c r="D430" s="5" t="str">
        <f aca="false">[1]Base_Jugadores!D430</f>
        <v>España</v>
      </c>
      <c r="E430" s="3"/>
      <c r="F430" s="5" t="str">
        <f aca="false">[1]Base_Jugadores!E430</f>
        <v>LI</v>
      </c>
      <c r="G430" s="5" t="n">
        <f aca="false">[1]Base_Jugadores!F430</f>
        <v>76</v>
      </c>
      <c r="H430" s="5" t="n">
        <f aca="false">[1]Base_Jugadores!G430</f>
        <v>25</v>
      </c>
      <c r="I430" s="7" t="n">
        <f aca="false" t="array" ref="I430:I430">_xlfn.XLOOKUP(G430,{55;56;57;58;59;60;61;62;63;64;65;66;67;68;69;70;71;72;73;74;75;76;77;78;79;80;81;82;83;84;85;86;87;88;89;90;91;92;93;94;95;96;97;98;99},{100000;130000;160000;190000;220000;250000;300000;350000;400000;450000;500000;600000;700000;800000;900000;1000000;1500000;2000000;3000000;4000000;5000000;6500000;8000000;10000000;12500000;15000000;20000000;25000000;30000000;35000000;40000000;55000000;70000000;80000000;90000000;110000000;130000000;160000000;190000000;220000000;250000000;280000000;310000000;340000000;400000000})</f>
        <v>6500000</v>
      </c>
      <c r="J430" s="7" t="n">
        <f aca="false">I430*S430*T430*U430</f>
        <v>7300800</v>
      </c>
      <c r="K430" s="3"/>
      <c r="L430" s="3"/>
      <c r="M430" s="3"/>
      <c r="N430" s="9" t="n">
        <v>0</v>
      </c>
      <c r="O430" s="4" t="n">
        <v>0</v>
      </c>
      <c r="P430" s="5" t="n">
        <f aca="false">IF(COUNTIF([1]Base_Jugadores!J$2:J$500,B430)&gt;0,1,0)</f>
        <v>0</v>
      </c>
      <c r="Q430" s="10" t="b">
        <f aca="false">--(COUNTIFS(
   [1]Fichajes_Realizados!A$2:A$5000,A430,
   [1]Fichajes_Realizados!G$2:G$5000,$X$3
)&gt;0)</f>
        <v>0</v>
      </c>
      <c r="R430" s="5" t="n">
        <f aca="false">_xlfn.XLOOKUP(C430, [1]Estado_Equipos!A$2:A$500, [1]Estado_Equipos!J$2:J$500, "")</f>
        <v>74</v>
      </c>
      <c r="S430" s="5" t="n">
        <f aca="false">IF(H430&lt;=16,1.45,
IF(H430&gt;=41,0.3,
CHOOSE(ROUNDDOWN((H430-16)/2,0)+1,
1.45,1.38,1.3,1.23,1.17,1.15,1.12,1.05,0.95,0.8,0.6,0.4,0.3)))</f>
        <v>1.17</v>
      </c>
      <c r="T430" s="5" t="n">
        <f aca="false">CHOOSE(N430+1,1.2,1,0.85,0.7)</f>
        <v>1.2</v>
      </c>
      <c r="U430" s="5" t="n">
        <f aca="false">IF(F430="PO",0.6,
IF(F430="CT",0.75,
IF(F430="LI",0.8,
IF(F430="LD",0.8,
IF(F430="MCD",0.85,
IF(F430="MC",0.95,
IF(F430="MO",1.05,
IF(F430="EI",1.1,
IF(F430="ED",1.1,
IF(F430="SD",1.15,
IF(F430="DC",1.2,0)))))))))))</f>
        <v>0.8</v>
      </c>
    </row>
    <row r="431" customFormat="false" ht="16.4" hidden="false" customHeight="false" outlineLevel="0" collapsed="false">
      <c r="A431" s="1" t="n">
        <v>430</v>
      </c>
      <c r="B431" s="5" t="str">
        <f aca="false">[1]Base_Jugadores!B431</f>
        <v>Takefusa Kubo</v>
      </c>
      <c r="C431" s="5" t="str">
        <f aca="false">IFERROR(
   _xlfn.XLOOKUP(VALUE(A431),[1]Fichajes_Realizados!A$2:A$50000,[1]Fichajes_Realizados!D$2:D$50000,,0,-1),
   _xlfn.XLOOKUP(VALUE(A431),[1]Base_Jugadores!A$2:A$50000,[1]Base_Jugadores!C$2:C$50000)
)</f>
        <v>Real Sociedad</v>
      </c>
      <c r="D431" s="5" t="str">
        <f aca="false">[1]Base_Jugadores!D431</f>
        <v>Japón</v>
      </c>
      <c r="E431" s="3"/>
      <c r="F431" s="5" t="str">
        <f aca="false">[1]Base_Jugadores!E431</f>
        <v>ED</v>
      </c>
      <c r="G431" s="5" t="n">
        <f aca="false">[1]Base_Jugadores!F431</f>
        <v>81</v>
      </c>
      <c r="H431" s="5" t="n">
        <f aca="false">[1]Base_Jugadores!G431</f>
        <v>24</v>
      </c>
      <c r="I431" s="7" t="n">
        <f aca="false" t="array" ref="I431:I431">_xlfn.XLOOKUP(G431,{55;56;57;58;59;60;61;62;63;64;65;66;67;68;69;70;71;72;73;74;75;76;77;78;79;80;81;82;83;84;85;86;87;88;89;90;91;92;93;94;95;96;97;98;99},{100000;130000;160000;190000;220000;250000;300000;350000;400000;450000;500000;600000;700000;800000;900000;1000000;1500000;2000000;3000000;4000000;5000000;6500000;8000000;10000000;12500000;15000000;20000000;25000000;30000000;35000000;40000000;55000000;70000000;80000000;90000000;110000000;130000000;160000000;190000000;220000000;250000000;280000000;310000000;340000000;400000000})</f>
        <v>20000000</v>
      </c>
      <c r="J431" s="7" t="n">
        <f aca="false">I431*S431*T431*U431</f>
        <v>30888000</v>
      </c>
      <c r="K431" s="3"/>
      <c r="L431" s="3"/>
      <c r="M431" s="3"/>
      <c r="N431" s="9" t="n">
        <v>0</v>
      </c>
      <c r="O431" s="4" t="n">
        <v>0</v>
      </c>
      <c r="P431" s="5" t="n">
        <f aca="false">IF(COUNTIF([1]Base_Jugadores!J$2:J$500,B431)&gt;0,1,0)</f>
        <v>0</v>
      </c>
      <c r="Q431" s="10" t="b">
        <f aca="false">--(COUNTIFS(
   [1]Fichajes_Realizados!A$2:A$5000,A431,
   [1]Fichajes_Realizados!G$2:G$5000,$X$3
)&gt;0)</f>
        <v>0</v>
      </c>
      <c r="R431" s="5" t="n">
        <f aca="false">_xlfn.XLOOKUP(C431, [1]Estado_Equipos!A$2:A$500, [1]Estado_Equipos!J$2:J$500, "")</f>
        <v>74</v>
      </c>
      <c r="S431" s="5" t="n">
        <f aca="false">IF(H431&lt;=16,1.45,
IF(H431&gt;=41,0.3,
CHOOSE(ROUNDDOWN((H431-16)/2,0)+1,
1.45,1.38,1.3,1.23,1.17,1.15,1.12,1.05,0.95,0.8,0.6,0.4,0.3)))</f>
        <v>1.17</v>
      </c>
      <c r="T431" s="5" t="n">
        <f aca="false">CHOOSE(N431+1,1.2,1,0.85,0.7)</f>
        <v>1.2</v>
      </c>
      <c r="U431" s="5" t="n">
        <f aca="false">IF(F431="PO",0.6,
IF(F431="CT",0.75,
IF(F431="LI",0.8,
IF(F431="LD",0.8,
IF(F431="MCD",0.85,
IF(F431="MC",0.95,
IF(F431="MO",1.05,
IF(F431="EI",1.1,
IF(F431="ED",1.1,
IF(F431="SD",1.15,
IF(F431="DC",1.2,0)))))))))))</f>
        <v>1.1</v>
      </c>
    </row>
    <row r="432" customFormat="false" ht="16.4" hidden="false" customHeight="false" outlineLevel="0" collapsed="false">
      <c r="A432" s="1" t="n">
        <v>431</v>
      </c>
      <c r="B432" s="5" t="str">
        <f aca="false">[1]Base_Jugadores!B432</f>
        <v>Umar Sadiq</v>
      </c>
      <c r="C432" s="5" t="str">
        <f aca="false">IFERROR(
   _xlfn.XLOOKUP(VALUE(A432),[1]Fichajes_Realizados!A$2:A$50000,[1]Fichajes_Realizados!D$2:D$50000,,0,-1),
   _xlfn.XLOOKUP(VALUE(A432),[1]Base_Jugadores!A$2:A$50000,[1]Base_Jugadores!C$2:C$50000)
)</f>
        <v>Real Sociedad</v>
      </c>
      <c r="D432" s="5" t="str">
        <f aca="false">[1]Base_Jugadores!D432</f>
        <v>Nigeria</v>
      </c>
      <c r="E432" s="3"/>
      <c r="F432" s="5" t="str">
        <f aca="false">[1]Base_Jugadores!E432</f>
        <v>DC</v>
      </c>
      <c r="G432" s="5" t="n">
        <f aca="false">[1]Base_Jugadores!F432</f>
        <v>76</v>
      </c>
      <c r="H432" s="5" t="n">
        <f aca="false">[1]Base_Jugadores!G432</f>
        <v>28</v>
      </c>
      <c r="I432" s="7" t="n">
        <f aca="false" t="array" ref="I432:I432">_xlfn.XLOOKUP(G432,{55;56;57;58;59;60;61;62;63;64;65;66;67;68;69;70;71;72;73;74;75;76;77;78;79;80;81;82;83;84;85;86;87;88;89;90;91;92;93;94;95;96;97;98;99},{100000;130000;160000;190000;220000;250000;300000;350000;400000;450000;500000;600000;700000;800000;900000;1000000;1500000;2000000;3000000;4000000;5000000;6500000;8000000;10000000;12500000;15000000;20000000;25000000;30000000;35000000;40000000;55000000;70000000;80000000;90000000;110000000;130000000;160000000;190000000;220000000;250000000;280000000;310000000;340000000;400000000})</f>
        <v>6500000</v>
      </c>
      <c r="J432" s="7" t="n">
        <f aca="false">I432*S432*T432*U432</f>
        <v>8736000</v>
      </c>
      <c r="K432" s="3"/>
      <c r="L432" s="3"/>
      <c r="M432" s="3"/>
      <c r="N432" s="9" t="n">
        <v>1</v>
      </c>
      <c r="O432" s="4" t="n">
        <v>0</v>
      </c>
      <c r="P432" s="5" t="n">
        <f aca="false">IF(COUNTIF([1]Base_Jugadores!J$2:J$500,B432)&gt;0,1,0)</f>
        <v>0</v>
      </c>
      <c r="Q432" s="10" t="b">
        <f aca="false">--(COUNTIFS(
   [1]Fichajes_Realizados!A$2:A$5000,A432,
   [1]Fichajes_Realizados!G$2:G$5000,$X$3
)&gt;0)</f>
        <v>0</v>
      </c>
      <c r="R432" s="5" t="n">
        <f aca="false">_xlfn.XLOOKUP(C432, [1]Estado_Equipos!A$2:A$500, [1]Estado_Equipos!J$2:J$500, "")</f>
        <v>74</v>
      </c>
      <c r="S432" s="5" t="n">
        <f aca="false">IF(H432&lt;=16,1.45,
IF(H432&gt;=41,0.3,
CHOOSE(ROUNDDOWN((H432-16)/2,0)+1,
1.45,1.38,1.3,1.23,1.17,1.15,1.12,1.05,0.95,0.8,0.6,0.4,0.3)))</f>
        <v>1.12</v>
      </c>
      <c r="T432" s="5" t="n">
        <f aca="false">CHOOSE(N432+1,1.2,1,0.85,0.7)</f>
        <v>1</v>
      </c>
      <c r="U432" s="5" t="n">
        <f aca="false">IF(F432="PO",0.6,
IF(F432="CT",0.75,
IF(F432="LI",0.8,
IF(F432="LD",0.8,
IF(F432="MCD",0.85,
IF(F432="MC",0.95,
IF(F432="MO",1.05,
IF(F432="EI",1.1,
IF(F432="ED",1.1,
IF(F432="SD",1.15,
IF(F432="DC",1.2,0)))))))))))</f>
        <v>1.2</v>
      </c>
    </row>
    <row r="433" customFormat="false" ht="16.4" hidden="false" customHeight="false" outlineLevel="0" collapsed="false">
      <c r="A433" s="1" t="n">
        <v>432</v>
      </c>
      <c r="B433" s="5" t="str">
        <f aca="false">[1]Base_Jugadores!B433</f>
        <v>Unai Marrero</v>
      </c>
      <c r="C433" s="5" t="str">
        <f aca="false">IFERROR(
   _xlfn.XLOOKUP(VALUE(A433),[1]Fichajes_Realizados!A$2:A$50000,[1]Fichajes_Realizados!D$2:D$50000,,0,-1),
   _xlfn.XLOOKUP(VALUE(A433),[1]Base_Jugadores!A$2:A$50000,[1]Base_Jugadores!C$2:C$50000)
)</f>
        <v>Real Sociedad</v>
      </c>
      <c r="D433" s="5" t="str">
        <f aca="false">[1]Base_Jugadores!D433</f>
        <v>España</v>
      </c>
      <c r="E433" s="3"/>
      <c r="F433" s="5" t="str">
        <f aca="false">[1]Base_Jugadores!E433</f>
        <v>PO</v>
      </c>
      <c r="G433" s="5" t="n">
        <f aca="false">[1]Base_Jugadores!F433</f>
        <v>67</v>
      </c>
      <c r="H433" s="5" t="n">
        <f aca="false">[1]Base_Jugadores!G433</f>
        <v>24</v>
      </c>
      <c r="I433" s="7" t="n">
        <f aca="false" t="array" ref="I433:I433">_xlfn.XLOOKUP(G433,{55;56;57;58;59;60;61;62;63;64;65;66;67;68;69;70;71;72;73;74;75;76;77;78;79;80;81;82;83;84;85;86;87;88;89;90;91;92;93;94;95;96;97;98;99},{100000;130000;160000;190000;220000;250000;300000;350000;400000;450000;500000;600000;700000;800000;900000;1000000;1500000;2000000;3000000;4000000;5000000;6500000;8000000;10000000;12500000;15000000;20000000;25000000;30000000;35000000;40000000;55000000;70000000;80000000;90000000;110000000;130000000;160000000;190000000;220000000;250000000;280000000;310000000;340000000;400000000})</f>
        <v>700000</v>
      </c>
      <c r="J433" s="7" t="n">
        <f aca="false">I433*S433*T433*U433</f>
        <v>417690</v>
      </c>
      <c r="K433" s="3"/>
      <c r="L433" s="3"/>
      <c r="M433" s="3"/>
      <c r="N433" s="9" t="n">
        <v>2</v>
      </c>
      <c r="O433" s="4" t="n">
        <v>0</v>
      </c>
      <c r="P433" s="5" t="n">
        <f aca="false">IF(COUNTIF([1]Base_Jugadores!J$2:J$500,B433)&gt;0,1,0)</f>
        <v>1</v>
      </c>
      <c r="Q433" s="10" t="b">
        <f aca="false">--(COUNTIFS(
   [1]Fichajes_Realizados!A$2:A$5000,A433,
   [1]Fichajes_Realizados!G$2:G$5000,$X$3
)&gt;0)</f>
        <v>0</v>
      </c>
      <c r="R433" s="5" t="n">
        <f aca="false">_xlfn.XLOOKUP(C433, [1]Estado_Equipos!A$2:A$500, [1]Estado_Equipos!J$2:J$500, "")</f>
        <v>74</v>
      </c>
      <c r="S433" s="5" t="n">
        <f aca="false">IF(H433&lt;=16,1.45,
IF(H433&gt;=41,0.3,
CHOOSE(ROUNDDOWN((H433-16)/2,0)+1,
1.45,1.38,1.3,1.23,1.17,1.15,1.12,1.05,0.95,0.8,0.6,0.4,0.3)))</f>
        <v>1.17</v>
      </c>
      <c r="T433" s="5" t="n">
        <f aca="false">CHOOSE(N433+1,1.2,1,0.85,0.7)</f>
        <v>0.85</v>
      </c>
      <c r="U433" s="5" t="n">
        <f aca="false">IF(F433="PO",0.6,
IF(F433="CT",0.75,
IF(F433="LI",0.8,
IF(F433="LD",0.8,
IF(F433="MCD",0.85,
IF(F433="MC",0.95,
IF(F433="MO",1.05,
IF(F433="EI",1.1,
IF(F433="ED",1.1,
IF(F433="SD",1.15,
IF(F433="DC",1.2,0)))))))))))</f>
        <v>0.6</v>
      </c>
    </row>
    <row r="434" customFormat="false" ht="16.4" hidden="false" customHeight="false" outlineLevel="0" collapsed="false">
      <c r="A434" s="1" t="n">
        <v>433</v>
      </c>
      <c r="B434" s="5" t="str">
        <f aca="false">[1]Base_Jugadores!B434</f>
        <v>Yangel Herrera</v>
      </c>
      <c r="C434" s="5" t="str">
        <f aca="false">IFERROR(
   _xlfn.XLOOKUP(VALUE(A434),[1]Fichajes_Realizados!A$2:A$50000,[1]Fichajes_Realizados!D$2:D$50000,,0,-1),
   _xlfn.XLOOKUP(VALUE(A434),[1]Base_Jugadores!A$2:A$50000,[1]Base_Jugadores!C$2:C$50000)
)</f>
        <v>Real Sociedad</v>
      </c>
      <c r="D434" s="5" t="str">
        <f aca="false">[1]Base_Jugadores!D434</f>
        <v>Venezuela</v>
      </c>
      <c r="E434" s="3"/>
      <c r="F434" s="5" t="str">
        <f aca="false">[1]Base_Jugadores!E434</f>
        <v>MC</v>
      </c>
      <c r="G434" s="5" t="n">
        <f aca="false">[1]Base_Jugadores!F434</f>
        <v>81</v>
      </c>
      <c r="H434" s="5" t="n">
        <f aca="false">[1]Base_Jugadores!G434</f>
        <v>27</v>
      </c>
      <c r="I434" s="7" t="n">
        <f aca="false" t="array" ref="I434:I434">_xlfn.XLOOKUP(G434,{55;56;57;58;59;60;61;62;63;64;65;66;67;68;69;70;71;72;73;74;75;76;77;78;79;80;81;82;83;84;85;86;87;88;89;90;91;92;93;94;95;96;97;98;99},{100000;130000;160000;190000;220000;250000;300000;350000;400000;450000;500000;600000;700000;800000;900000;1000000;1500000;2000000;3000000;4000000;5000000;6500000;8000000;10000000;12500000;15000000;20000000;25000000;30000000;35000000;40000000;55000000;70000000;80000000;90000000;110000000;130000000;160000000;190000000;220000000;250000000;280000000;310000000;340000000;400000000})</f>
        <v>20000000</v>
      </c>
      <c r="J434" s="7" t="n">
        <f aca="false">I434*S434*T434*U434</f>
        <v>26220000</v>
      </c>
      <c r="K434" s="3"/>
      <c r="L434" s="3"/>
      <c r="M434" s="3"/>
      <c r="N434" s="9" t="n">
        <v>0</v>
      </c>
      <c r="O434" s="4" t="n">
        <v>0</v>
      </c>
      <c r="P434" s="5" t="n">
        <f aca="false">IF(COUNTIF([1]Base_Jugadores!J$2:J$500,B434)&gt;0,1,0)</f>
        <v>0</v>
      </c>
      <c r="Q434" s="10" t="b">
        <f aca="false">--(COUNTIFS(
   [1]Fichajes_Realizados!A$2:A$5000,A434,
   [1]Fichajes_Realizados!G$2:G$5000,$X$3
)&gt;0)</f>
        <v>0</v>
      </c>
      <c r="R434" s="5" t="n">
        <f aca="false">_xlfn.XLOOKUP(C434, [1]Estado_Equipos!A$2:A$500, [1]Estado_Equipos!J$2:J$500, "")</f>
        <v>74</v>
      </c>
      <c r="S434" s="5" t="n">
        <f aca="false">IF(H434&lt;=16,1.45,
IF(H434&gt;=41,0.3,
CHOOSE(ROUNDDOWN((H434-16)/2,0)+1,
1.45,1.38,1.3,1.23,1.17,1.15,1.12,1.05,0.95,0.8,0.6,0.4,0.3)))</f>
        <v>1.15</v>
      </c>
      <c r="T434" s="5" t="n">
        <f aca="false">CHOOSE(N434+1,1.2,1,0.85,0.7)</f>
        <v>1.2</v>
      </c>
      <c r="U434" s="5" t="n">
        <f aca="false">IF(F434="PO",0.6,
IF(F434="CT",0.75,
IF(F434="LI",0.8,
IF(F434="LD",0.8,
IF(F434="MCD",0.85,
IF(F434="MC",0.95,
IF(F434="MO",1.05,
IF(F434="EI",1.1,
IF(F434="ED",1.1,
IF(F434="SD",1.15,
IF(F434="DC",1.2,0)))))))))))</f>
        <v>0.95</v>
      </c>
    </row>
    <row r="435" customFormat="false" ht="16.4" hidden="false" customHeight="false" outlineLevel="0" collapsed="false">
      <c r="A435" s="1" t="n">
        <v>434</v>
      </c>
      <c r="B435" s="5" t="str">
        <f aca="false">[1]Base_Jugadores!B435</f>
        <v>Aïssa Laïdouni</v>
      </c>
      <c r="C435" s="5" t="str">
        <f aca="false">IFERROR(
   _xlfn.XLOOKUP(VALUE(A435),[1]Fichajes_Realizados!A$2:A$50000,[1]Fichajes_Realizados!D$2:D$50000,,0,-1),
   _xlfn.XLOOKUP(VALUE(A435),[1]Base_Jugadores!A$2:A$50000,[1]Base_Jugadores!C$2:C$50000)
)</f>
        <v>CE Sabadell</v>
      </c>
      <c r="D435" s="5" t="str">
        <f aca="false">[1]Base_Jugadores!D435</f>
        <v>Túnez</v>
      </c>
      <c r="E435" s="3"/>
      <c r="F435" s="5" t="str">
        <f aca="false">[1]Base_Jugadores!E435</f>
        <v>MC</v>
      </c>
      <c r="G435" s="5" t="n">
        <f aca="false">[1]Base_Jugadores!F435</f>
        <v>75</v>
      </c>
      <c r="H435" s="5" t="n">
        <f aca="false">[1]Base_Jugadores!G435</f>
        <v>29</v>
      </c>
      <c r="I435" s="7" t="n">
        <f aca="false" t="array" ref="I435:I435">_xlfn.XLOOKUP(G435,{55;56;57;58;59;60;61;62;63;64;65;66;67;68;69;70;71;72;73;74;75;76;77;78;79;80;81;82;83;84;85;86;87;88;89;90;91;92;93;94;95;96;97;98;99},{100000;130000;160000;190000;220000;250000;300000;350000;400000;450000;500000;600000;700000;800000;900000;1000000;1500000;2000000;3000000;4000000;5000000;6500000;8000000;10000000;12500000;15000000;20000000;25000000;30000000;35000000;40000000;55000000;70000000;80000000;90000000;110000000;130000000;160000000;190000000;220000000;250000000;280000000;310000000;340000000;400000000})</f>
        <v>5000000</v>
      </c>
      <c r="J435" s="7" t="n">
        <f aca="false">I435*S435*T435*U435</f>
        <v>4522000</v>
      </c>
      <c r="K435" s="3"/>
      <c r="L435" s="3"/>
      <c r="M435" s="3"/>
      <c r="N435" s="9" t="n">
        <v>2</v>
      </c>
      <c r="O435" s="4" t="n">
        <v>0</v>
      </c>
      <c r="P435" s="5" t="n">
        <f aca="false">IF(COUNTIF([1]Base_Jugadores!J$2:J$500,B435)&gt;0,1,0)</f>
        <v>0</v>
      </c>
      <c r="Q435" s="10" t="b">
        <f aca="false">--(COUNTIFS(
   [1]Fichajes_Realizados!A$2:A$5000,A435,
   [1]Fichajes_Realizados!G$2:G$5000,$X$3
)&gt;0)</f>
        <v>0</v>
      </c>
      <c r="R435" s="5" t="n">
        <f aca="false">_xlfn.XLOOKUP(C435, [1]Estado_Equipos!A$2:A$500, [1]Estado_Equipos!J$2:J$500, "")</f>
        <v>74</v>
      </c>
      <c r="S435" s="5" t="n">
        <f aca="false">IF(H435&lt;=16,1.45,
IF(H435&gt;=41,0.3,
CHOOSE(ROUNDDOWN((H435-16)/2,0)+1,
1.45,1.38,1.3,1.23,1.17,1.15,1.12,1.05,0.95,0.8,0.6,0.4,0.3)))</f>
        <v>1.12</v>
      </c>
      <c r="T435" s="5" t="n">
        <f aca="false">CHOOSE(N435+1,1.2,1,0.85,0.7)</f>
        <v>0.85</v>
      </c>
      <c r="U435" s="5" t="n">
        <f aca="false">IF(F435="PO",0.6,
IF(F435="CT",0.75,
IF(F435="LI",0.8,
IF(F435="LD",0.8,
IF(F435="MCD",0.85,
IF(F435="MC",0.95,
IF(F435="MO",1.05,
IF(F435="EI",1.1,
IF(F435="ED",1.1,
IF(F435="SD",1.15,
IF(F435="DC",1.2,0)))))))))))</f>
        <v>0.95</v>
      </c>
    </row>
    <row r="436" customFormat="false" ht="16.4" hidden="false" customHeight="false" outlineLevel="0" collapsed="false">
      <c r="A436" s="1" t="n">
        <v>435</v>
      </c>
      <c r="B436" s="5" t="str">
        <f aca="false">[1]Base_Jugadores!B436</f>
        <v>Alejandro Alanís</v>
      </c>
      <c r="C436" s="5" t="str">
        <f aca="false">IFERROR(
   _xlfn.XLOOKUP(VALUE(A436),[1]Fichajes_Realizados!A$2:A$50000,[1]Fichajes_Realizados!D$2:D$50000,,0,-1),
   _xlfn.XLOOKUP(VALUE(A436),[1]Base_Jugadores!A$2:A$50000,[1]Base_Jugadores!C$2:C$50000)
)</f>
        <v>CE Sabadell</v>
      </c>
      <c r="D436" s="5" t="str">
        <f aca="false">[1]Base_Jugadores!D436</f>
        <v>México</v>
      </c>
      <c r="E436" s="3"/>
      <c r="F436" s="5" t="str">
        <f aca="false">[1]Base_Jugadores!E436</f>
        <v>PO</v>
      </c>
      <c r="G436" s="5" t="n">
        <f aca="false">[1]Base_Jugadores!F436</f>
        <v>61</v>
      </c>
      <c r="H436" s="5" t="n">
        <f aca="false">[1]Base_Jugadores!G436</f>
        <v>22</v>
      </c>
      <c r="I436" s="7" t="n">
        <f aca="false" t="array" ref="I436:I436">_xlfn.XLOOKUP(G436,{55;56;57;58;59;60;61;62;63;64;65;66;67;68;69;70;71;72;73;74;75;76;77;78;79;80;81;82;83;84;85;86;87;88;89;90;91;92;93;94;95;96;97;98;99},{100000;130000;160000;190000;220000;250000;300000;350000;400000;450000;500000;600000;700000;800000;900000;1000000;1500000;2000000;3000000;4000000;5000000;6500000;8000000;10000000;12500000;15000000;20000000;25000000;30000000;35000000;40000000;55000000;70000000;80000000;90000000;110000000;130000000;160000000;190000000;220000000;250000000;280000000;310000000;340000000;400000000})</f>
        <v>300000</v>
      </c>
      <c r="J436" s="7" t="n">
        <f aca="false">I436*S436*T436*U436</f>
        <v>188190</v>
      </c>
      <c r="K436" s="3"/>
      <c r="L436" s="3"/>
      <c r="M436" s="3"/>
      <c r="N436" s="9" t="n">
        <v>2</v>
      </c>
      <c r="O436" s="4" t="n">
        <v>0</v>
      </c>
      <c r="P436" s="5" t="n">
        <f aca="false">IF(COUNTIF([1]Base_Jugadores!J$2:J$500,B436)&gt;0,1,0)</f>
        <v>0</v>
      </c>
      <c r="Q436" s="10" t="b">
        <f aca="false">--(COUNTIFS(
   [1]Fichajes_Realizados!A$2:A$5000,A436,
   [1]Fichajes_Realizados!G$2:G$5000,$X$3
)&gt;0)</f>
        <v>0</v>
      </c>
      <c r="R436" s="5" t="n">
        <f aca="false">_xlfn.XLOOKUP(C436, [1]Estado_Equipos!A$2:A$500, [1]Estado_Equipos!J$2:J$500, "")</f>
        <v>74</v>
      </c>
      <c r="S436" s="5" t="n">
        <f aca="false">IF(H436&lt;=16,1.45,
IF(H436&gt;=41,0.3,
CHOOSE(ROUNDDOWN((H436-16)/2,0)+1,
1.45,1.38,1.3,1.23,1.17,1.15,1.12,1.05,0.95,0.8,0.6,0.4,0.3)))</f>
        <v>1.23</v>
      </c>
      <c r="T436" s="5" t="n">
        <f aca="false">CHOOSE(N436+1,1.2,1,0.85,0.7)</f>
        <v>0.85</v>
      </c>
      <c r="U436" s="5" t="n">
        <f aca="false">IF(F436="PO",0.6,
IF(F436="CT",0.75,
IF(F436="LI",0.8,
IF(F436="LD",0.8,
IF(F436="MCD",0.85,
IF(F436="MC",0.95,
IF(F436="MO",1.05,
IF(F436="EI",1.1,
IF(F436="ED",1.1,
IF(F436="SD",1.15,
IF(F436="DC",1.2,0)))))))))))</f>
        <v>0.6</v>
      </c>
    </row>
    <row r="437" customFormat="false" ht="16.4" hidden="false" customHeight="false" outlineLevel="0" collapsed="false">
      <c r="A437" s="1" t="n">
        <v>436</v>
      </c>
      <c r="B437" s="5" t="str">
        <f aca="false">[1]Base_Jugadores!B437</f>
        <v>Dodô Pires</v>
      </c>
      <c r="C437" s="5" t="str">
        <f aca="false">IFERROR(
   _xlfn.XLOOKUP(VALUE(A437),[1]Fichajes_Realizados!A$2:A$50000,[1]Fichajes_Realizados!D$2:D$50000,,0,-1),
   _xlfn.XLOOKUP(VALUE(A437),[1]Base_Jugadores!A$2:A$50000,[1]Base_Jugadores!C$2:C$50000)
)</f>
        <v>CE Sabadell</v>
      </c>
      <c r="D437" s="5" t="str">
        <f aca="false">[1]Base_Jugadores!D437</f>
        <v>Brasil</v>
      </c>
      <c r="E437" s="3"/>
      <c r="F437" s="5" t="str">
        <f aca="false">[1]Base_Jugadores!E437</f>
        <v>LI</v>
      </c>
      <c r="G437" s="5" t="n">
        <f aca="false">[1]Base_Jugadores!F437</f>
        <v>74</v>
      </c>
      <c r="H437" s="5" t="n">
        <f aca="false">[1]Base_Jugadores!G437</f>
        <v>33</v>
      </c>
      <c r="I437" s="7" t="n">
        <f aca="false" t="array" ref="I437:I437">_xlfn.XLOOKUP(G437,{55;56;57;58;59;60;61;62;63;64;65;66;67;68;69;70;71;72;73;74;75;76;77;78;79;80;81;82;83;84;85;86;87;88;89;90;91;92;93;94;95;96;97;98;99},{100000;130000;160000;190000;220000;250000;300000;350000;400000;450000;500000;600000;700000;800000;900000;1000000;1500000;2000000;3000000;4000000;5000000;6500000;8000000;10000000;12500000;15000000;20000000;25000000;30000000;35000000;40000000;55000000;70000000;80000000;90000000;110000000;130000000;160000000;190000000;220000000;250000000;280000000;310000000;340000000;400000000})</f>
        <v>4000000</v>
      </c>
      <c r="J437" s="7" t="n">
        <f aca="false">I437*S437*T437*U437</f>
        <v>2584000</v>
      </c>
      <c r="K437" s="3"/>
      <c r="L437" s="3"/>
      <c r="M437" s="3"/>
      <c r="N437" s="9" t="n">
        <v>2</v>
      </c>
      <c r="O437" s="4" t="n">
        <v>0</v>
      </c>
      <c r="P437" s="5" t="n">
        <f aca="false">IF(COUNTIF([1]Base_Jugadores!J$2:J$500,B437)&gt;0,1,0)</f>
        <v>0</v>
      </c>
      <c r="Q437" s="10" t="b">
        <f aca="false">--(COUNTIFS(
   [1]Fichajes_Realizados!A$2:A$5000,A437,
   [1]Fichajes_Realizados!G$2:G$5000,$X$3
)&gt;0)</f>
        <v>0</v>
      </c>
      <c r="R437" s="5" t="n">
        <f aca="false">_xlfn.XLOOKUP(C437, [1]Estado_Equipos!A$2:A$500, [1]Estado_Equipos!J$2:J$500, "")</f>
        <v>74</v>
      </c>
      <c r="S437" s="5" t="n">
        <f aca="false">IF(H437&lt;=16,1.45,
IF(H437&gt;=41,0.3,
CHOOSE(ROUNDDOWN((H437-16)/2,0)+1,
1.45,1.38,1.3,1.23,1.17,1.15,1.12,1.05,0.95,0.8,0.6,0.4,0.3)))</f>
        <v>0.95</v>
      </c>
      <c r="T437" s="5" t="n">
        <f aca="false">CHOOSE(N437+1,1.2,1,0.85,0.7)</f>
        <v>0.85</v>
      </c>
      <c r="U437" s="5" t="n">
        <f aca="false">IF(F437="PO",0.6,
IF(F437="CT",0.75,
IF(F437="LI",0.8,
IF(F437="LD",0.8,
IF(F437="MCD",0.85,
IF(F437="MC",0.95,
IF(F437="MO",1.05,
IF(F437="EI",1.1,
IF(F437="ED",1.1,
IF(F437="SD",1.15,
IF(F437="DC",1.2,0)))))))))))</f>
        <v>0.8</v>
      </c>
    </row>
    <row r="438" customFormat="false" ht="16.4" hidden="false" customHeight="false" outlineLevel="0" collapsed="false">
      <c r="A438" s="1" t="n">
        <v>437</v>
      </c>
      <c r="B438" s="5" t="str">
        <f aca="false">[1]Base_Jugadores!B438</f>
        <v>Emil Forsberg</v>
      </c>
      <c r="C438" s="5" t="str">
        <f aca="false">IFERROR(
   _xlfn.XLOOKUP(VALUE(A438),[1]Fichajes_Realizados!A$2:A$50000,[1]Fichajes_Realizados!D$2:D$50000,,0,-1),
   _xlfn.XLOOKUP(VALUE(A438),[1]Base_Jugadores!A$2:A$50000,[1]Base_Jugadores!C$2:C$50000)
)</f>
        <v>CE Sabadell</v>
      </c>
      <c r="D438" s="5" t="str">
        <f aca="false">[1]Base_Jugadores!D438</f>
        <v>Suecia</v>
      </c>
      <c r="E438" s="3"/>
      <c r="F438" s="5" t="str">
        <f aca="false">[1]Base_Jugadores!E438</f>
        <v>EI</v>
      </c>
      <c r="G438" s="5" t="n">
        <f aca="false">[1]Base_Jugadores!F438</f>
        <v>79</v>
      </c>
      <c r="H438" s="5" t="n">
        <f aca="false">[1]Base_Jugadores!G438</f>
        <v>34</v>
      </c>
      <c r="I438" s="7" t="n">
        <f aca="false" t="array" ref="I438:I438">_xlfn.XLOOKUP(G438,{55;56;57;58;59;60;61;62;63;64;65;66;67;68;69;70;71;72;73;74;75;76;77;78;79;80;81;82;83;84;85;86;87;88;89;90;91;92;93;94;95;96;97;98;99},{100000;130000;160000;190000;220000;250000;300000;350000;400000;450000;500000;600000;700000;800000;900000;1000000;1500000;2000000;3000000;4000000;5000000;6500000;8000000;10000000;12500000;15000000;20000000;25000000;30000000;35000000;40000000;55000000;70000000;80000000;90000000;110000000;130000000;160000000;190000000;220000000;250000000;280000000;310000000;340000000;400000000})</f>
        <v>12500000</v>
      </c>
      <c r="J438" s="7" t="n">
        <f aca="false">I438*S438*T438*U438</f>
        <v>13200000</v>
      </c>
      <c r="K438" s="3"/>
      <c r="L438" s="3"/>
      <c r="M438" s="3"/>
      <c r="N438" s="9" t="n">
        <v>0</v>
      </c>
      <c r="O438" s="4" t="n">
        <v>0</v>
      </c>
      <c r="P438" s="5" t="n">
        <f aca="false">IF(COUNTIF([1]Base_Jugadores!J$2:J$500,B438)&gt;0,1,0)</f>
        <v>0</v>
      </c>
      <c r="Q438" s="10" t="b">
        <f aca="false">--(COUNTIFS(
   [1]Fichajes_Realizados!A$2:A$5000,A438,
   [1]Fichajes_Realizados!G$2:G$5000,$X$3
)&gt;0)</f>
        <v>0</v>
      </c>
      <c r="R438" s="5" t="n">
        <f aca="false">_xlfn.XLOOKUP(C438, [1]Estado_Equipos!A$2:A$500, [1]Estado_Equipos!J$2:J$500, "")</f>
        <v>74</v>
      </c>
      <c r="S438" s="5" t="n">
        <f aca="false">IF(H438&lt;=16,1.45,
IF(H438&gt;=41,0.3,
CHOOSE(ROUNDDOWN((H438-16)/2,0)+1,
1.45,1.38,1.3,1.23,1.17,1.15,1.12,1.05,0.95,0.8,0.6,0.4,0.3)))</f>
        <v>0.8</v>
      </c>
      <c r="T438" s="5" t="n">
        <f aca="false">CHOOSE(N438+1,1.2,1,0.85,0.7)</f>
        <v>1.2</v>
      </c>
      <c r="U438" s="5" t="n">
        <f aca="false">IF(F438="PO",0.6,
IF(F438="CT",0.75,
IF(F438="LI",0.8,
IF(F438="LD",0.8,
IF(F438="MCD",0.85,
IF(F438="MC",0.95,
IF(F438="MO",1.05,
IF(F438="EI",1.1,
IF(F438="ED",1.1,
IF(F438="SD",1.15,
IF(F438="DC",1.2,0)))))))))))</f>
        <v>1.1</v>
      </c>
    </row>
    <row r="439" customFormat="false" ht="16.4" hidden="false" customHeight="false" outlineLevel="0" collapsed="false">
      <c r="A439" s="1" t="n">
        <v>438</v>
      </c>
      <c r="B439" s="5" t="str">
        <f aca="false">[1]Base_Jugadores!B439</f>
        <v>Enock Kwateng</v>
      </c>
      <c r="C439" s="5" t="str">
        <f aca="false">IFERROR(
   _xlfn.XLOOKUP(VALUE(A439),[1]Fichajes_Realizados!A$2:A$50000,[1]Fichajes_Realizados!D$2:D$50000,,0,-1),
   _xlfn.XLOOKUP(VALUE(A439),[1]Base_Jugadores!A$2:A$50000,[1]Base_Jugadores!C$2:C$50000)
)</f>
        <v>CE Sabadell</v>
      </c>
      <c r="D439" s="5" t="str">
        <f aca="false">[1]Base_Jugadores!D439</f>
        <v>Francia</v>
      </c>
      <c r="E439" s="3"/>
      <c r="F439" s="5" t="str">
        <f aca="false">[1]Base_Jugadores!E439</f>
        <v>LD</v>
      </c>
      <c r="G439" s="5" t="n">
        <f aca="false">[1]Base_Jugadores!F439</f>
        <v>75</v>
      </c>
      <c r="H439" s="5" t="n">
        <f aca="false">[1]Base_Jugadores!G439</f>
        <v>28</v>
      </c>
      <c r="I439" s="7" t="n">
        <f aca="false" t="array" ref="I439:I439">_xlfn.XLOOKUP(G439,{55;56;57;58;59;60;61;62;63;64;65;66;67;68;69;70;71;72;73;74;75;76;77;78;79;80;81;82;83;84;85;86;87;88;89;90;91;92;93;94;95;96;97;98;99},{100000;130000;160000;190000;220000;250000;300000;350000;400000;450000;500000;600000;700000;800000;900000;1000000;1500000;2000000;3000000;4000000;5000000;6500000;8000000;10000000;12500000;15000000;20000000;25000000;30000000;35000000;40000000;55000000;70000000;80000000;90000000;110000000;130000000;160000000;190000000;220000000;250000000;280000000;310000000;340000000;400000000})</f>
        <v>5000000</v>
      </c>
      <c r="J439" s="7" t="n">
        <f aca="false">I439*S439*T439*U439</f>
        <v>4480000</v>
      </c>
      <c r="K439" s="3"/>
      <c r="L439" s="3"/>
      <c r="M439" s="3"/>
      <c r="N439" s="9" t="n">
        <v>1</v>
      </c>
      <c r="O439" s="4" t="n">
        <v>0</v>
      </c>
      <c r="P439" s="5" t="n">
        <f aca="false">IF(COUNTIF([1]Base_Jugadores!J$2:J$500,B439)&gt;0,1,0)</f>
        <v>0</v>
      </c>
      <c r="Q439" s="10" t="b">
        <f aca="false">--(COUNTIFS(
   [1]Fichajes_Realizados!A$2:A$5000,A439,
   [1]Fichajes_Realizados!G$2:G$5000,$X$3
)&gt;0)</f>
        <v>0</v>
      </c>
      <c r="R439" s="5" t="n">
        <f aca="false">_xlfn.XLOOKUP(C439, [1]Estado_Equipos!A$2:A$500, [1]Estado_Equipos!J$2:J$500, "")</f>
        <v>74</v>
      </c>
      <c r="S439" s="5" t="n">
        <f aca="false">IF(H439&lt;=16,1.45,
IF(H439&gt;=41,0.3,
CHOOSE(ROUNDDOWN((H439-16)/2,0)+1,
1.45,1.38,1.3,1.23,1.17,1.15,1.12,1.05,0.95,0.8,0.6,0.4,0.3)))</f>
        <v>1.12</v>
      </c>
      <c r="T439" s="5" t="n">
        <f aca="false">CHOOSE(N439+1,1.2,1,0.85,0.7)</f>
        <v>1</v>
      </c>
      <c r="U439" s="5" t="n">
        <f aca="false">IF(F439="PO",0.6,
IF(F439="CT",0.75,
IF(F439="LI",0.8,
IF(F439="LD",0.8,
IF(F439="MCD",0.85,
IF(F439="MC",0.95,
IF(F439="MO",1.05,
IF(F439="EI",1.1,
IF(F439="ED",1.1,
IF(F439="SD",1.15,
IF(F439="DC",1.2,0)))))))))))</f>
        <v>0.8</v>
      </c>
    </row>
    <row r="440" customFormat="false" ht="16.4" hidden="false" customHeight="false" outlineLevel="0" collapsed="false">
      <c r="A440" s="1" t="n">
        <v>439</v>
      </c>
      <c r="B440" s="5" t="str">
        <f aca="false">[1]Base_Jugadores!B440</f>
        <v>Giorgi Makaridze</v>
      </c>
      <c r="C440" s="5" t="str">
        <f aca="false">IFERROR(
   _xlfn.XLOOKUP(VALUE(A440),[1]Fichajes_Realizados!A$2:A$50000,[1]Fichajes_Realizados!D$2:D$50000,,0,-1),
   _xlfn.XLOOKUP(VALUE(A440),[1]Base_Jugadores!A$2:A$50000,[1]Base_Jugadores!C$2:C$50000)
)</f>
        <v>CE Sabadell</v>
      </c>
      <c r="D440" s="5" t="str">
        <f aca="false">[1]Base_Jugadores!D440</f>
        <v>Georgia</v>
      </c>
      <c r="E440" s="3"/>
      <c r="F440" s="5" t="str">
        <f aca="false">[1]Base_Jugadores!E440</f>
        <v>PO</v>
      </c>
      <c r="G440" s="5" t="n">
        <f aca="false">[1]Base_Jugadores!F440</f>
        <v>75</v>
      </c>
      <c r="H440" s="5" t="n">
        <f aca="false">[1]Base_Jugadores!G440</f>
        <v>35</v>
      </c>
      <c r="I440" s="7" t="n">
        <f aca="false" t="array" ref="I440:I440">_xlfn.XLOOKUP(G440,{55;56;57;58;59;60;61;62;63;64;65;66;67;68;69;70;71;72;73;74;75;76;77;78;79;80;81;82;83;84;85;86;87;88;89;90;91;92;93;94;95;96;97;98;99},{100000;130000;160000;190000;220000;250000;300000;350000;400000;450000;500000;600000;700000;800000;900000;1000000;1500000;2000000;3000000;4000000;5000000;6500000;8000000;10000000;12500000;15000000;20000000;25000000;30000000;35000000;40000000;55000000;70000000;80000000;90000000;110000000;130000000;160000000;190000000;220000000;250000000;280000000;310000000;340000000;400000000})</f>
        <v>5000000</v>
      </c>
      <c r="J440" s="7" t="n">
        <f aca="false">I440*S440*T440*U440</f>
        <v>2880000</v>
      </c>
      <c r="K440" s="3"/>
      <c r="L440" s="3"/>
      <c r="M440" s="3"/>
      <c r="N440" s="9" t="n">
        <v>0</v>
      </c>
      <c r="O440" s="4" t="n">
        <v>0</v>
      </c>
      <c r="P440" s="5" t="n">
        <f aca="false">IF(COUNTIF([1]Base_Jugadores!J$2:J$500,B440)&gt;0,1,0)</f>
        <v>0</v>
      </c>
      <c r="Q440" s="10" t="b">
        <f aca="false">--(COUNTIFS(
   [1]Fichajes_Realizados!A$2:A$5000,A440,
   [1]Fichajes_Realizados!G$2:G$5000,$X$3
)&gt;0)</f>
        <v>0</v>
      </c>
      <c r="R440" s="5" t="n">
        <f aca="false">_xlfn.XLOOKUP(C440, [1]Estado_Equipos!A$2:A$500, [1]Estado_Equipos!J$2:J$500, "")</f>
        <v>74</v>
      </c>
      <c r="S440" s="5" t="n">
        <f aca="false">IF(H440&lt;=16,1.45,
IF(H440&gt;=41,0.3,
CHOOSE(ROUNDDOWN((H440-16)/2,0)+1,
1.45,1.38,1.3,1.23,1.17,1.15,1.12,1.05,0.95,0.8,0.6,0.4,0.3)))</f>
        <v>0.8</v>
      </c>
      <c r="T440" s="5" t="n">
        <f aca="false">CHOOSE(N440+1,1.2,1,0.85,0.7)</f>
        <v>1.2</v>
      </c>
      <c r="U440" s="5" t="n">
        <f aca="false">IF(F440="PO",0.6,
IF(F440="CT",0.75,
IF(F440="LI",0.8,
IF(F440="LD",0.8,
IF(F440="MCD",0.85,
IF(F440="MC",0.95,
IF(F440="MO",1.05,
IF(F440="EI",1.1,
IF(F440="ED",1.1,
IF(F440="SD",1.15,
IF(F440="DC",1.2,0)))))))))))</f>
        <v>0.6</v>
      </c>
    </row>
    <row r="441" customFormat="false" ht="16.4" hidden="false" customHeight="false" outlineLevel="0" collapsed="false">
      <c r="A441" s="1" t="n">
        <v>440</v>
      </c>
      <c r="B441" s="5" t="str">
        <f aca="false">[1]Base_Jugadores!B441</f>
        <v>Jeremain Lens</v>
      </c>
      <c r="C441" s="5" t="str">
        <f aca="false">IFERROR(
   _xlfn.XLOOKUP(VALUE(A441),[1]Fichajes_Realizados!A$2:A$50000,[1]Fichajes_Realizados!D$2:D$50000,,0,-1),
   _xlfn.XLOOKUP(VALUE(A441),[1]Base_Jugadores!A$2:A$50000,[1]Base_Jugadores!C$2:C$50000)
)</f>
        <v>CE Sabadell</v>
      </c>
      <c r="D441" s="5" t="str">
        <f aca="false">[1]Base_Jugadores!D441</f>
        <v>Países Bajos</v>
      </c>
      <c r="E441" s="3"/>
      <c r="F441" s="5" t="str">
        <f aca="false">[1]Base_Jugadores!E441</f>
        <v>ED</v>
      </c>
      <c r="G441" s="5" t="n">
        <f aca="false">[1]Base_Jugadores!F441</f>
        <v>74</v>
      </c>
      <c r="H441" s="5" t="n">
        <f aca="false">[1]Base_Jugadores!G441</f>
        <v>38</v>
      </c>
      <c r="I441" s="7" t="n">
        <f aca="false" t="array" ref="I441:I441">_xlfn.XLOOKUP(G441,{55;56;57;58;59;60;61;62;63;64;65;66;67;68;69;70;71;72;73;74;75;76;77;78;79;80;81;82;83;84;85;86;87;88;89;90;91;92;93;94;95;96;97;98;99},{100000;130000;160000;190000;220000;250000;300000;350000;400000;450000;500000;600000;700000;800000;900000;1000000;1500000;2000000;3000000;4000000;5000000;6500000;8000000;10000000;12500000;15000000;20000000;25000000;30000000;35000000;40000000;55000000;70000000;80000000;90000000;110000000;130000000;160000000;190000000;220000000;250000000;280000000;310000000;340000000;400000000})</f>
        <v>4000000</v>
      </c>
      <c r="J441" s="7" t="n">
        <f aca="false">I441*S441*T441*U441</f>
        <v>1760000</v>
      </c>
      <c r="K441" s="3"/>
      <c r="L441" s="3"/>
      <c r="M441" s="3"/>
      <c r="N441" s="9" t="n">
        <v>1</v>
      </c>
      <c r="O441" s="4" t="n">
        <v>0</v>
      </c>
      <c r="P441" s="5" t="n">
        <f aca="false">IF(COUNTIF([1]Base_Jugadores!J$2:J$500,B441)&gt;0,1,0)</f>
        <v>0</v>
      </c>
      <c r="Q441" s="10" t="b">
        <f aca="false">--(COUNTIFS(
   [1]Fichajes_Realizados!A$2:A$5000,A441,
   [1]Fichajes_Realizados!G$2:G$5000,$X$3
)&gt;0)</f>
        <v>0</v>
      </c>
      <c r="R441" s="5" t="n">
        <f aca="false">_xlfn.XLOOKUP(C441, [1]Estado_Equipos!A$2:A$500, [1]Estado_Equipos!J$2:J$500, "")</f>
        <v>74</v>
      </c>
      <c r="S441" s="5" t="n">
        <f aca="false">IF(H441&lt;=16,1.45,
IF(H441&gt;=41,0.3,
CHOOSE(ROUNDDOWN((H441-16)/2,0)+1,
1.45,1.38,1.3,1.23,1.17,1.15,1.12,1.05,0.95,0.8,0.6,0.4,0.3)))</f>
        <v>0.4</v>
      </c>
      <c r="T441" s="5" t="n">
        <f aca="false">CHOOSE(N441+1,1.2,1,0.85,0.7)</f>
        <v>1</v>
      </c>
      <c r="U441" s="5" t="n">
        <f aca="false">IF(F441="PO",0.6,
IF(F441="CT",0.75,
IF(F441="LI",0.8,
IF(F441="LD",0.8,
IF(F441="MCD",0.85,
IF(F441="MC",0.95,
IF(F441="MO",1.05,
IF(F441="EI",1.1,
IF(F441="ED",1.1,
IF(F441="SD",1.15,
IF(F441="DC",1.2,0)))))))))))</f>
        <v>1.1</v>
      </c>
    </row>
    <row r="442" customFormat="false" ht="16.4" hidden="false" customHeight="false" outlineLevel="0" collapsed="false">
      <c r="A442" s="1" t="n">
        <v>441</v>
      </c>
      <c r="B442" s="5" t="str">
        <f aca="false">[1]Base_Jugadores!B442</f>
        <v>Jorge Pereira</v>
      </c>
      <c r="C442" s="5" t="str">
        <f aca="false">IFERROR(
   _xlfn.XLOOKUP(VALUE(A442),[1]Fichajes_Realizados!A$2:A$50000,[1]Fichajes_Realizados!D$2:D$50000,,0,-1),
   _xlfn.XLOOKUP(VALUE(A442),[1]Base_Jugadores!A$2:A$50000,[1]Base_Jugadores!C$2:C$50000)
)</f>
        <v>CE Sabadell</v>
      </c>
      <c r="D442" s="5" t="str">
        <f aca="false">[1]Base_Jugadores!D442</f>
        <v>Portugal</v>
      </c>
      <c r="E442" s="3"/>
      <c r="F442" s="5" t="str">
        <f aca="false">[1]Base_Jugadores!E442</f>
        <v>MC</v>
      </c>
      <c r="G442" s="5" t="n">
        <f aca="false">[1]Base_Jugadores!F442</f>
        <v>65</v>
      </c>
      <c r="H442" s="5" t="n">
        <f aca="false">[1]Base_Jugadores!G442</f>
        <v>27</v>
      </c>
      <c r="I442" s="7" t="n">
        <f aca="false" t="array" ref="I442:I442">_xlfn.XLOOKUP(G442,{55;56;57;58;59;60;61;62;63;64;65;66;67;68;69;70;71;72;73;74;75;76;77;78;79;80;81;82;83;84;85;86;87;88;89;90;91;92;93;94;95;96;97;98;99},{100000;130000;160000;190000;220000;250000;300000;350000;400000;450000;500000;600000;700000;800000;900000;1000000;1500000;2000000;3000000;4000000;5000000;6500000;8000000;10000000;12500000;15000000;20000000;25000000;30000000;35000000;40000000;55000000;70000000;80000000;90000000;110000000;130000000;160000000;190000000;220000000;250000000;280000000;310000000;340000000;400000000})</f>
        <v>500000</v>
      </c>
      <c r="J442" s="7" t="n">
        <f aca="false">I442*S442*T442*U442</f>
        <v>464312.5</v>
      </c>
      <c r="K442" s="3"/>
      <c r="L442" s="3"/>
      <c r="M442" s="3"/>
      <c r="N442" s="9" t="n">
        <v>2</v>
      </c>
      <c r="O442" s="4" t="n">
        <v>0</v>
      </c>
      <c r="P442" s="5" t="n">
        <f aca="false">IF(COUNTIF([1]Base_Jugadores!J$2:J$500,B442)&gt;0,1,0)</f>
        <v>0</v>
      </c>
      <c r="Q442" s="10" t="b">
        <f aca="false">--(COUNTIFS(
   [1]Fichajes_Realizados!A$2:A$5000,A442,
   [1]Fichajes_Realizados!G$2:G$5000,$X$3
)&gt;0)</f>
        <v>0</v>
      </c>
      <c r="R442" s="5" t="n">
        <f aca="false">_xlfn.XLOOKUP(C442, [1]Estado_Equipos!A$2:A$500, [1]Estado_Equipos!J$2:J$500, "")</f>
        <v>74</v>
      </c>
      <c r="S442" s="5" t="n">
        <f aca="false">IF(H442&lt;=16,1.45,
IF(H442&gt;=41,0.3,
CHOOSE(ROUNDDOWN((H442-16)/2,0)+1,
1.45,1.38,1.3,1.23,1.17,1.15,1.12,1.05,0.95,0.8,0.6,0.4,0.3)))</f>
        <v>1.15</v>
      </c>
      <c r="T442" s="5" t="n">
        <f aca="false">CHOOSE(N442+1,1.2,1,0.85,0.7)</f>
        <v>0.85</v>
      </c>
      <c r="U442" s="5" t="n">
        <f aca="false">IF(F442="PO",0.6,
IF(F442="CT",0.75,
IF(F442="LI",0.8,
IF(F442="LD",0.8,
IF(F442="MCD",0.85,
IF(F442="MC",0.95,
IF(F442="MO",1.05,
IF(F442="EI",1.1,
IF(F442="ED",1.1,
IF(F442="SD",1.15,
IF(F442="DC",1.2,0)))))))))))</f>
        <v>0.95</v>
      </c>
    </row>
    <row r="443" customFormat="false" ht="16.4" hidden="false" customHeight="false" outlineLevel="0" collapsed="false">
      <c r="A443" s="1" t="n">
        <v>442</v>
      </c>
      <c r="B443" s="5" t="str">
        <f aca="false">[1]Base_Jugadores!B443</f>
        <v>Juan Daniel Roa</v>
      </c>
      <c r="C443" s="5" t="str">
        <f aca="false">IFERROR(
   _xlfn.XLOOKUP(VALUE(A443),[1]Fichajes_Realizados!A$2:A$50000,[1]Fichajes_Realizados!D$2:D$50000,,0,-1),
   _xlfn.XLOOKUP(VALUE(A443),[1]Base_Jugadores!A$2:A$50000,[1]Base_Jugadores!C$2:C$50000)
)</f>
        <v>CE Sabadell</v>
      </c>
      <c r="D443" s="5" t="str">
        <f aca="false">[1]Base_Jugadores!D443</f>
        <v>Colombia</v>
      </c>
      <c r="E443" s="3"/>
      <c r="F443" s="5" t="str">
        <f aca="false">[1]Base_Jugadores!E443</f>
        <v>MC</v>
      </c>
      <c r="G443" s="5" t="n">
        <f aca="false">[1]Base_Jugadores!F443</f>
        <v>70</v>
      </c>
      <c r="H443" s="5" t="n">
        <f aca="false">[1]Base_Jugadores!G443</f>
        <v>34</v>
      </c>
      <c r="I443" s="7" t="n">
        <f aca="false" t="array" ref="I443:I443">_xlfn.XLOOKUP(G443,{55;56;57;58;59;60;61;62;63;64;65;66;67;68;69;70;71;72;73;74;75;76;77;78;79;80;81;82;83;84;85;86;87;88;89;90;91;92;93;94;95;96;97;98;99},{100000;130000;160000;190000;220000;250000;300000;350000;400000;450000;500000;600000;700000;800000;900000;1000000;1500000;2000000;3000000;4000000;5000000;6500000;8000000;10000000;12500000;15000000;20000000;25000000;30000000;35000000;40000000;55000000;70000000;80000000;90000000;110000000;130000000;160000000;190000000;220000000;250000000;280000000;310000000;340000000;400000000})</f>
        <v>1000000</v>
      </c>
      <c r="J443" s="7" t="n">
        <f aca="false">I443*S443*T443*U443</f>
        <v>646000</v>
      </c>
      <c r="K443" s="3"/>
      <c r="L443" s="3"/>
      <c r="M443" s="3"/>
      <c r="N443" s="9" t="n">
        <v>2</v>
      </c>
      <c r="O443" s="4" t="n">
        <v>0</v>
      </c>
      <c r="P443" s="5" t="n">
        <f aca="false">IF(COUNTIF([1]Base_Jugadores!J$2:J$500,B443)&gt;0,1,0)</f>
        <v>0</v>
      </c>
      <c r="Q443" s="10" t="b">
        <f aca="false">--(COUNTIFS(
   [1]Fichajes_Realizados!A$2:A$5000,A443,
   [1]Fichajes_Realizados!G$2:G$5000,$X$3
)&gt;0)</f>
        <v>0</v>
      </c>
      <c r="R443" s="5" t="n">
        <f aca="false">_xlfn.XLOOKUP(C443, [1]Estado_Equipos!A$2:A$500, [1]Estado_Equipos!J$2:J$500, "")</f>
        <v>74</v>
      </c>
      <c r="S443" s="5" t="n">
        <f aca="false">IF(H443&lt;=16,1.45,
IF(H443&gt;=41,0.3,
CHOOSE(ROUNDDOWN((H443-16)/2,0)+1,
1.45,1.38,1.3,1.23,1.17,1.15,1.12,1.05,0.95,0.8,0.6,0.4,0.3)))</f>
        <v>0.8</v>
      </c>
      <c r="T443" s="5" t="n">
        <f aca="false">CHOOSE(N443+1,1.2,1,0.85,0.7)</f>
        <v>0.85</v>
      </c>
      <c r="U443" s="5" t="n">
        <f aca="false">IF(F443="PO",0.6,
IF(F443="CT",0.75,
IF(F443="LI",0.8,
IF(F443="LD",0.8,
IF(F443="MCD",0.85,
IF(F443="MC",0.95,
IF(F443="MO",1.05,
IF(F443="EI",1.1,
IF(F443="ED",1.1,
IF(F443="SD",1.15,
IF(F443="DC",1.2,0)))))))))))</f>
        <v>0.95</v>
      </c>
    </row>
    <row r="444" customFormat="false" ht="16.4" hidden="false" customHeight="false" outlineLevel="0" collapsed="false">
      <c r="A444" s="1" t="n">
        <v>443</v>
      </c>
      <c r="B444" s="5" t="str">
        <f aca="false">[1]Base_Jugadores!B444</f>
        <v>Luiz Henrique A.</v>
      </c>
      <c r="C444" s="5" t="str">
        <f aca="false">IFERROR(
   _xlfn.XLOOKUP(VALUE(A444),[1]Fichajes_Realizados!A$2:A$50000,[1]Fichajes_Realizados!D$2:D$50000,,0,-1),
   _xlfn.XLOOKUP(VALUE(A444),[1]Base_Jugadores!A$2:A$50000,[1]Base_Jugadores!C$2:C$50000)
)</f>
        <v>CE Sabadell</v>
      </c>
      <c r="D444" s="5" t="str">
        <f aca="false">[1]Base_Jugadores!D444</f>
        <v>Brasil</v>
      </c>
      <c r="E444" s="3"/>
      <c r="F444" s="5" t="str">
        <f aca="false">[1]Base_Jugadores!E444</f>
        <v>ED</v>
      </c>
      <c r="G444" s="5" t="n">
        <f aca="false">[1]Base_Jugadores!F444</f>
        <v>77</v>
      </c>
      <c r="H444" s="5" t="n">
        <f aca="false">[1]Base_Jugadores!G444</f>
        <v>24</v>
      </c>
      <c r="I444" s="7" t="n">
        <f aca="false" t="array" ref="I444:I444">_xlfn.XLOOKUP(G444,{55;56;57;58;59;60;61;62;63;64;65;66;67;68;69;70;71;72;73;74;75;76;77;78;79;80;81;82;83;84;85;86;87;88;89;90;91;92;93;94;95;96;97;98;99},{100000;130000;160000;190000;220000;250000;300000;350000;400000;450000;500000;600000;700000;800000;900000;1000000;1500000;2000000;3000000;4000000;5000000;6500000;8000000;10000000;12500000;15000000;20000000;25000000;30000000;35000000;40000000;55000000;70000000;80000000;90000000;110000000;130000000;160000000;190000000;220000000;250000000;280000000;310000000;340000000;400000000})</f>
        <v>8000000</v>
      </c>
      <c r="J444" s="7" t="n">
        <f aca="false">I444*S444*T444*U444</f>
        <v>12355200</v>
      </c>
      <c r="K444" s="3"/>
      <c r="L444" s="3"/>
      <c r="M444" s="3"/>
      <c r="N444" s="9" t="n">
        <v>0</v>
      </c>
      <c r="O444" s="4" t="n">
        <v>0</v>
      </c>
      <c r="P444" s="5" t="n">
        <f aca="false">IF(COUNTIF([1]Base_Jugadores!J$2:J$500,B444)&gt;0,1,0)</f>
        <v>0</v>
      </c>
      <c r="Q444" s="10" t="b">
        <f aca="false">--(COUNTIFS(
   [1]Fichajes_Realizados!A$2:A$5000,A444,
   [1]Fichajes_Realizados!G$2:G$5000,$X$3
)&gt;0)</f>
        <v>0</v>
      </c>
      <c r="R444" s="5" t="n">
        <f aca="false">_xlfn.XLOOKUP(C444, [1]Estado_Equipos!A$2:A$500, [1]Estado_Equipos!J$2:J$500, "")</f>
        <v>74</v>
      </c>
      <c r="S444" s="5" t="n">
        <f aca="false">IF(H444&lt;=16,1.45,
IF(H444&gt;=41,0.3,
CHOOSE(ROUNDDOWN((H444-16)/2,0)+1,
1.45,1.38,1.3,1.23,1.17,1.15,1.12,1.05,0.95,0.8,0.6,0.4,0.3)))</f>
        <v>1.17</v>
      </c>
      <c r="T444" s="5" t="n">
        <f aca="false">CHOOSE(N444+1,1.2,1,0.85,0.7)</f>
        <v>1.2</v>
      </c>
      <c r="U444" s="5" t="n">
        <f aca="false">IF(F444="PO",0.6,
IF(F444="CT",0.75,
IF(F444="LI",0.8,
IF(F444="LD",0.8,
IF(F444="MCD",0.85,
IF(F444="MC",0.95,
IF(F444="MO",1.05,
IF(F444="EI",1.1,
IF(F444="ED",1.1,
IF(F444="SD",1.15,
IF(F444="DC",1.2,0)))))))))))</f>
        <v>1.1</v>
      </c>
    </row>
    <row r="445" customFormat="false" ht="16.4" hidden="false" customHeight="false" outlineLevel="0" collapsed="false">
      <c r="A445" s="1" t="n">
        <v>444</v>
      </c>
      <c r="B445" s="5" t="str">
        <f aca="false">[1]Base_Jugadores!B445</f>
        <v>Marcel Tisserand</v>
      </c>
      <c r="C445" s="5" t="str">
        <f aca="false">IFERROR(
   _xlfn.XLOOKUP(VALUE(A445),[1]Fichajes_Realizados!A$2:A$50000,[1]Fichajes_Realizados!D$2:D$50000,,0,-1),
   _xlfn.XLOOKUP(VALUE(A445),[1]Base_Jugadores!A$2:A$50000,[1]Base_Jugadores!C$2:C$50000)
)</f>
        <v>CE Sabadell</v>
      </c>
      <c r="D445" s="5" t="str">
        <f aca="false">[1]Base_Jugadores!D445</f>
        <v>RD del Congo</v>
      </c>
      <c r="E445" s="3"/>
      <c r="F445" s="5" t="str">
        <f aca="false">[1]Base_Jugadores!E445</f>
        <v>CT</v>
      </c>
      <c r="G445" s="5" t="n">
        <f aca="false">[1]Base_Jugadores!F445</f>
        <v>76</v>
      </c>
      <c r="H445" s="5" t="n">
        <f aca="false">[1]Base_Jugadores!G445</f>
        <v>32</v>
      </c>
      <c r="I445" s="7" t="n">
        <f aca="false" t="array" ref="I445:I445">_xlfn.XLOOKUP(G445,{55;56;57;58;59;60;61;62;63;64;65;66;67;68;69;70;71;72;73;74;75;76;77;78;79;80;81;82;83;84;85;86;87;88;89;90;91;92;93;94;95;96;97;98;99},{100000;130000;160000;190000;220000;250000;300000;350000;400000;450000;500000;600000;700000;800000;900000;1000000;1500000;2000000;3000000;4000000;5000000;6500000;8000000;10000000;12500000;15000000;20000000;25000000;30000000;35000000;40000000;55000000;70000000;80000000;90000000;110000000;130000000;160000000;190000000;220000000;250000000;280000000;310000000;340000000;400000000})</f>
        <v>6500000</v>
      </c>
      <c r="J445" s="7" t="n">
        <f aca="false">I445*S445*T445*U445</f>
        <v>5557500</v>
      </c>
      <c r="K445" s="3"/>
      <c r="L445" s="3"/>
      <c r="M445" s="3"/>
      <c r="N445" s="9" t="n">
        <v>0</v>
      </c>
      <c r="O445" s="4" t="n">
        <v>0</v>
      </c>
      <c r="P445" s="5" t="n">
        <f aca="false">IF(COUNTIF([1]Base_Jugadores!J$2:J$500,B445)&gt;0,1,0)</f>
        <v>0</v>
      </c>
      <c r="Q445" s="10" t="b">
        <f aca="false">--(COUNTIFS(
   [1]Fichajes_Realizados!A$2:A$5000,A445,
   [1]Fichajes_Realizados!G$2:G$5000,$X$3
)&gt;0)</f>
        <v>0</v>
      </c>
      <c r="R445" s="5" t="n">
        <f aca="false">_xlfn.XLOOKUP(C445, [1]Estado_Equipos!A$2:A$500, [1]Estado_Equipos!J$2:J$500, "")</f>
        <v>74</v>
      </c>
      <c r="S445" s="5" t="n">
        <f aca="false">IF(H445&lt;=16,1.45,
IF(H445&gt;=41,0.3,
CHOOSE(ROUNDDOWN((H445-16)/2,0)+1,
1.45,1.38,1.3,1.23,1.17,1.15,1.12,1.05,0.95,0.8,0.6,0.4,0.3)))</f>
        <v>0.95</v>
      </c>
      <c r="T445" s="5" t="n">
        <f aca="false">CHOOSE(N445+1,1.2,1,0.85,0.7)</f>
        <v>1.2</v>
      </c>
      <c r="U445" s="5" t="n">
        <f aca="false">IF(F445="PO",0.6,
IF(F445="CT",0.75,
IF(F445="LI",0.8,
IF(F445="LD",0.8,
IF(F445="MCD",0.85,
IF(F445="MC",0.95,
IF(F445="MO",1.05,
IF(F445="EI",1.1,
IF(F445="ED",1.1,
IF(F445="SD",1.15,
IF(F445="DC",1.2,0)))))))))))</f>
        <v>0.75</v>
      </c>
    </row>
    <row r="446" customFormat="false" ht="16.4" hidden="false" customHeight="false" outlineLevel="0" collapsed="false">
      <c r="A446" s="1" t="n">
        <v>445</v>
      </c>
      <c r="B446" s="5" t="str">
        <f aca="false">[1]Base_Jugadores!B446</f>
        <v>Michael Venturi</v>
      </c>
      <c r="C446" s="5" t="str">
        <f aca="false">IFERROR(
   _xlfn.XLOOKUP(VALUE(A446),[1]Fichajes_Realizados!A$2:A$50000,[1]Fichajes_Realizados!D$2:D$50000,,0,-1),
   _xlfn.XLOOKUP(VALUE(A446),[1]Base_Jugadores!A$2:A$50000,[1]Base_Jugadores!C$2:C$50000)
)</f>
        <v>CE Sabadell</v>
      </c>
      <c r="D446" s="5" t="str">
        <f aca="false">[1]Base_Jugadores!D446</f>
        <v>Italia</v>
      </c>
      <c r="E446" s="3"/>
      <c r="F446" s="5" t="str">
        <f aca="false">[1]Base_Jugadores!E446</f>
        <v>CT</v>
      </c>
      <c r="G446" s="5" t="n">
        <f aca="false">[1]Base_Jugadores!F446</f>
        <v>68</v>
      </c>
      <c r="H446" s="5" t="n">
        <f aca="false">[1]Base_Jugadores!G446</f>
        <v>26</v>
      </c>
      <c r="I446" s="7" t="n">
        <f aca="false" t="array" ref="I446:I446">_xlfn.XLOOKUP(G446,{55;56;57;58;59;60;61;62;63;64;65;66;67;68;69;70;71;72;73;74;75;76;77;78;79;80;81;82;83;84;85;86;87;88;89;90;91;92;93;94;95;96;97;98;99},{100000;130000;160000;190000;220000;250000;300000;350000;400000;450000;500000;600000;700000;800000;900000;1000000;1500000;2000000;3000000;4000000;5000000;6500000;8000000;10000000;12500000;15000000;20000000;25000000;30000000;35000000;40000000;55000000;70000000;80000000;90000000;110000000;130000000;160000000;190000000;220000000;250000000;280000000;310000000;340000000;400000000})</f>
        <v>800000</v>
      </c>
      <c r="J446" s="7" t="n">
        <f aca="false">I446*S446*T446*U446</f>
        <v>586500</v>
      </c>
      <c r="K446" s="3"/>
      <c r="L446" s="3"/>
      <c r="M446" s="3"/>
      <c r="N446" s="9" t="n">
        <v>2</v>
      </c>
      <c r="O446" s="4" t="n">
        <v>0</v>
      </c>
      <c r="P446" s="5" t="n">
        <f aca="false">IF(COUNTIF([1]Base_Jugadores!J$2:J$500,B446)&gt;0,1,0)</f>
        <v>0</v>
      </c>
      <c r="Q446" s="10" t="b">
        <f aca="false">--(COUNTIFS(
   [1]Fichajes_Realizados!A$2:A$5000,A446,
   [1]Fichajes_Realizados!G$2:G$5000,$X$3
)&gt;0)</f>
        <v>0</v>
      </c>
      <c r="R446" s="5" t="n">
        <f aca="false">_xlfn.XLOOKUP(C446, [1]Estado_Equipos!A$2:A$500, [1]Estado_Equipos!J$2:J$500, "")</f>
        <v>74</v>
      </c>
      <c r="S446" s="5" t="n">
        <f aca="false">IF(H446&lt;=16,1.45,
IF(H446&gt;=41,0.3,
CHOOSE(ROUNDDOWN((H446-16)/2,0)+1,
1.45,1.38,1.3,1.23,1.17,1.15,1.12,1.05,0.95,0.8,0.6,0.4,0.3)))</f>
        <v>1.15</v>
      </c>
      <c r="T446" s="5" t="n">
        <f aca="false">CHOOSE(N446+1,1.2,1,0.85,0.7)</f>
        <v>0.85</v>
      </c>
      <c r="U446" s="5" t="n">
        <f aca="false">IF(F446="PO",0.6,
IF(F446="CT",0.75,
IF(F446="LI",0.8,
IF(F446="LD",0.8,
IF(F446="MCD",0.85,
IF(F446="MC",0.95,
IF(F446="MO",1.05,
IF(F446="EI",1.1,
IF(F446="ED",1.1,
IF(F446="SD",1.15,
IF(F446="DC",1.2,0)))))))))))</f>
        <v>0.75</v>
      </c>
    </row>
    <row r="447" customFormat="false" ht="16.4" hidden="false" customHeight="false" outlineLevel="0" collapsed="false">
      <c r="A447" s="1" t="n">
        <v>446</v>
      </c>
      <c r="B447" s="5" t="str">
        <f aca="false">[1]Base_Jugadores!B447</f>
        <v>Musa Barrow</v>
      </c>
      <c r="C447" s="5" t="str">
        <f aca="false">IFERROR(
   _xlfn.XLOOKUP(VALUE(A447),[1]Fichajes_Realizados!A$2:A$50000,[1]Fichajes_Realizados!D$2:D$50000,,0,-1),
   _xlfn.XLOOKUP(VALUE(A447),[1]Base_Jugadores!A$2:A$50000,[1]Base_Jugadores!C$2:C$50000)
)</f>
        <v>CE Sabadell</v>
      </c>
      <c r="D447" s="5" t="str">
        <f aca="false">[1]Base_Jugadores!D447</f>
        <v>Gambia</v>
      </c>
      <c r="E447" s="3"/>
      <c r="F447" s="5" t="str">
        <f aca="false">[1]Base_Jugadores!E447</f>
        <v>EI</v>
      </c>
      <c r="G447" s="5" t="n">
        <f aca="false">[1]Base_Jugadores!F447</f>
        <v>78</v>
      </c>
      <c r="H447" s="5" t="n">
        <f aca="false">[1]Base_Jugadores!G447</f>
        <v>27</v>
      </c>
      <c r="I447" s="7" t="n">
        <f aca="false" t="array" ref="I447:I447">_xlfn.XLOOKUP(G447,{55;56;57;58;59;60;61;62;63;64;65;66;67;68;69;70;71;72;73;74;75;76;77;78;79;80;81;82;83;84;85;86;87;88;89;90;91;92;93;94;95;96;97;98;99},{100000;130000;160000;190000;220000;250000;300000;350000;400000;450000;500000;600000;700000;800000;900000;1000000;1500000;2000000;3000000;4000000;5000000;6500000;8000000;10000000;12500000;15000000;20000000;25000000;30000000;35000000;40000000;55000000;70000000;80000000;90000000;110000000;130000000;160000000;190000000;220000000;250000000;280000000;310000000;340000000;400000000})</f>
        <v>10000000</v>
      </c>
      <c r="J447" s="7" t="n">
        <f aca="false">I447*S447*T447*U447</f>
        <v>15180000</v>
      </c>
      <c r="K447" s="3"/>
      <c r="L447" s="3"/>
      <c r="M447" s="3"/>
      <c r="N447" s="9" t="n">
        <v>0</v>
      </c>
      <c r="O447" s="4" t="n">
        <v>0</v>
      </c>
      <c r="P447" s="5" t="n">
        <f aca="false">IF(COUNTIF([1]Base_Jugadores!J$2:J$500,B447)&gt;0,1,0)</f>
        <v>0</v>
      </c>
      <c r="Q447" s="10" t="b">
        <f aca="false">--(COUNTIFS(
   [1]Fichajes_Realizados!A$2:A$5000,A447,
   [1]Fichajes_Realizados!G$2:G$5000,$X$3
)&gt;0)</f>
        <v>0</v>
      </c>
      <c r="R447" s="5" t="n">
        <f aca="false">_xlfn.XLOOKUP(C447, [1]Estado_Equipos!A$2:A$500, [1]Estado_Equipos!J$2:J$500, "")</f>
        <v>74</v>
      </c>
      <c r="S447" s="5" t="n">
        <f aca="false">IF(H447&lt;=16,1.45,
IF(H447&gt;=41,0.3,
CHOOSE(ROUNDDOWN((H447-16)/2,0)+1,
1.45,1.38,1.3,1.23,1.17,1.15,1.12,1.05,0.95,0.8,0.6,0.4,0.3)))</f>
        <v>1.15</v>
      </c>
      <c r="T447" s="5" t="n">
        <f aca="false">CHOOSE(N447+1,1.2,1,0.85,0.7)</f>
        <v>1.2</v>
      </c>
      <c r="U447" s="5" t="n">
        <f aca="false">IF(F447="PO",0.6,
IF(F447="CT",0.75,
IF(F447="LI",0.8,
IF(F447="LD",0.8,
IF(F447="MCD",0.85,
IF(F447="MC",0.95,
IF(F447="MO",1.05,
IF(F447="EI",1.1,
IF(F447="ED",1.1,
IF(F447="SD",1.15,
IF(F447="DC",1.2,0)))))))))))</f>
        <v>1.1</v>
      </c>
    </row>
    <row r="448" customFormat="false" ht="16.4" hidden="false" customHeight="false" outlineLevel="0" collapsed="false">
      <c r="A448" s="1" t="n">
        <v>447</v>
      </c>
      <c r="B448" s="5" t="str">
        <f aca="false">[1]Base_Jugadores!B448</f>
        <v>Paulus Arajuuri</v>
      </c>
      <c r="C448" s="5" t="str">
        <f aca="false">IFERROR(
   _xlfn.XLOOKUP(VALUE(A448),[1]Fichajes_Realizados!A$2:A$50000,[1]Fichajes_Realizados!D$2:D$50000,,0,-1),
   _xlfn.XLOOKUP(VALUE(A448),[1]Base_Jugadores!A$2:A$50000,[1]Base_Jugadores!C$2:C$50000)
)</f>
        <v>CE Sabadell</v>
      </c>
      <c r="D448" s="5" t="str">
        <f aca="false">[1]Base_Jugadores!D448</f>
        <v>Finlandia</v>
      </c>
      <c r="E448" s="3"/>
      <c r="F448" s="5" t="str">
        <f aca="false">[1]Base_Jugadores!E448</f>
        <v>CT</v>
      </c>
      <c r="G448" s="5" t="n">
        <f aca="false">[1]Base_Jugadores!F448</f>
        <v>73</v>
      </c>
      <c r="H448" s="5" t="n">
        <f aca="false">[1]Base_Jugadores!G448</f>
        <v>37</v>
      </c>
      <c r="I448" s="7" t="n">
        <f aca="false" t="array" ref="I448:I448">_xlfn.XLOOKUP(G448,{55;56;57;58;59;60;61;62;63;64;65;66;67;68;69;70;71;72;73;74;75;76;77;78;79;80;81;82;83;84;85;86;87;88;89;90;91;92;93;94;95;96;97;98;99},{100000;130000;160000;190000;220000;250000;300000;350000;400000;450000;500000;600000;700000;800000;900000;1000000;1500000;2000000;3000000;4000000;5000000;6500000;8000000;10000000;12500000;15000000;20000000;25000000;30000000;35000000;40000000;55000000;70000000;80000000;90000000;110000000;130000000;160000000;190000000;220000000;250000000;280000000;310000000;340000000;400000000})</f>
        <v>3000000</v>
      </c>
      <c r="J448" s="7" t="n">
        <f aca="false">I448*S448*T448*U448</f>
        <v>1350000</v>
      </c>
      <c r="K448" s="3"/>
      <c r="L448" s="3"/>
      <c r="M448" s="3"/>
      <c r="N448" s="9" t="n">
        <v>1</v>
      </c>
      <c r="O448" s="4" t="n">
        <v>0</v>
      </c>
      <c r="P448" s="5" t="n">
        <f aca="false">IF(COUNTIF([1]Base_Jugadores!J$2:J$500,B448)&gt;0,1,0)</f>
        <v>0</v>
      </c>
      <c r="Q448" s="10" t="b">
        <f aca="false">--(COUNTIFS(
   [1]Fichajes_Realizados!A$2:A$5000,A448,
   [1]Fichajes_Realizados!G$2:G$5000,$X$3
)&gt;0)</f>
        <v>0</v>
      </c>
      <c r="R448" s="5" t="n">
        <f aca="false">_xlfn.XLOOKUP(C448, [1]Estado_Equipos!A$2:A$500, [1]Estado_Equipos!J$2:J$500, "")</f>
        <v>74</v>
      </c>
      <c r="S448" s="5" t="n">
        <f aca="false">IF(H448&lt;=16,1.45,
IF(H448&gt;=41,0.3,
CHOOSE(ROUNDDOWN((H448-16)/2,0)+1,
1.45,1.38,1.3,1.23,1.17,1.15,1.12,1.05,0.95,0.8,0.6,0.4,0.3)))</f>
        <v>0.6</v>
      </c>
      <c r="T448" s="5" t="n">
        <f aca="false">CHOOSE(N448+1,1.2,1,0.85,0.7)</f>
        <v>1</v>
      </c>
      <c r="U448" s="5" t="n">
        <f aca="false">IF(F448="PO",0.6,
IF(F448="CT",0.75,
IF(F448="LI",0.8,
IF(F448="LD",0.8,
IF(F448="MCD",0.85,
IF(F448="MC",0.95,
IF(F448="MO",1.05,
IF(F448="EI",1.1,
IF(F448="ED",1.1,
IF(F448="SD",1.15,
IF(F448="DC",1.2,0)))))))))))</f>
        <v>0.75</v>
      </c>
    </row>
    <row r="449" customFormat="false" ht="16.4" hidden="false" customHeight="false" outlineLevel="0" collapsed="false">
      <c r="A449" s="1" t="n">
        <v>448</v>
      </c>
      <c r="B449" s="5" t="str">
        <f aca="false">[1]Base_Jugadores!B449</f>
        <v>Pedro Rebocho</v>
      </c>
      <c r="C449" s="5" t="str">
        <f aca="false">IFERROR(
   _xlfn.XLOOKUP(VALUE(A449),[1]Fichajes_Realizados!A$2:A$50000,[1]Fichajes_Realizados!D$2:D$50000,,0,-1),
   _xlfn.XLOOKUP(VALUE(A449),[1]Base_Jugadores!A$2:A$50000,[1]Base_Jugadores!C$2:C$50000)
)</f>
        <v>CE Sabadell</v>
      </c>
      <c r="D449" s="5" t="str">
        <f aca="false">[1]Base_Jugadores!D449</f>
        <v>Portugal</v>
      </c>
      <c r="E449" s="3"/>
      <c r="F449" s="5" t="str">
        <f aca="false">[1]Base_Jugadores!E449</f>
        <v>LI</v>
      </c>
      <c r="G449" s="5" t="n">
        <f aca="false">[1]Base_Jugadores!F449</f>
        <v>75</v>
      </c>
      <c r="H449" s="5" t="n">
        <f aca="false">[1]Base_Jugadores!G449</f>
        <v>30</v>
      </c>
      <c r="I449" s="7" t="n">
        <f aca="false" t="array" ref="I449:I449">_xlfn.XLOOKUP(G449,{55;56;57;58;59;60;61;62;63;64;65;66;67;68;69;70;71;72;73;74;75;76;77;78;79;80;81;82;83;84;85;86;87;88;89;90;91;92;93;94;95;96;97;98;99},{100000;130000;160000;190000;220000;250000;300000;350000;400000;450000;500000;600000;700000;800000;900000;1000000;1500000;2000000;3000000;4000000;5000000;6500000;8000000;10000000;12500000;15000000;20000000;25000000;30000000;35000000;40000000;55000000;70000000;80000000;90000000;110000000;130000000;160000000;190000000;220000000;250000000;280000000;310000000;340000000;400000000})</f>
        <v>5000000</v>
      </c>
      <c r="J449" s="7" t="n">
        <f aca="false">I449*S449*T449*U449</f>
        <v>4200000</v>
      </c>
      <c r="K449" s="3"/>
      <c r="L449" s="3"/>
      <c r="M449" s="3"/>
      <c r="N449" s="9" t="n">
        <v>1</v>
      </c>
      <c r="O449" s="4" t="n">
        <v>0</v>
      </c>
      <c r="P449" s="5" t="n">
        <f aca="false">IF(COUNTIF([1]Base_Jugadores!J$2:J$500,B449)&gt;0,1,0)</f>
        <v>0</v>
      </c>
      <c r="Q449" s="10" t="b">
        <f aca="false">--(COUNTIFS(
   [1]Fichajes_Realizados!A$2:A$5000,A449,
   [1]Fichajes_Realizados!G$2:G$5000,$X$3
)&gt;0)</f>
        <v>0</v>
      </c>
      <c r="R449" s="5" t="n">
        <f aca="false">_xlfn.XLOOKUP(C449, [1]Estado_Equipos!A$2:A$500, [1]Estado_Equipos!J$2:J$500, "")</f>
        <v>74</v>
      </c>
      <c r="S449" s="5" t="n">
        <f aca="false">IF(H449&lt;=16,1.45,
IF(H449&gt;=41,0.3,
CHOOSE(ROUNDDOWN((H449-16)/2,0)+1,
1.45,1.38,1.3,1.23,1.17,1.15,1.12,1.05,0.95,0.8,0.6,0.4,0.3)))</f>
        <v>1.05</v>
      </c>
      <c r="T449" s="5" t="n">
        <f aca="false">CHOOSE(N449+1,1.2,1,0.85,0.7)</f>
        <v>1</v>
      </c>
      <c r="U449" s="5" t="n">
        <f aca="false">IF(F449="PO",0.6,
IF(F449="CT",0.75,
IF(F449="LI",0.8,
IF(F449="LD",0.8,
IF(F449="MCD",0.85,
IF(F449="MC",0.95,
IF(F449="MO",1.05,
IF(F449="EI",1.1,
IF(F449="ED",1.1,
IF(F449="SD",1.15,
IF(F449="DC",1.2,0)))))))))))</f>
        <v>0.8</v>
      </c>
    </row>
    <row r="450" customFormat="false" ht="16.4" hidden="false" customHeight="false" outlineLevel="0" collapsed="false">
      <c r="A450" s="1" t="n">
        <v>449</v>
      </c>
      <c r="B450" s="5" t="str">
        <f aca="false">[1]Base_Jugadores!B450</f>
        <v>Quentin Maceiras</v>
      </c>
      <c r="C450" s="5" t="str">
        <f aca="false">IFERROR(
   _xlfn.XLOOKUP(VALUE(A450),[1]Fichajes_Realizados!A$2:A$50000,[1]Fichajes_Realizados!D$2:D$50000,,0,-1),
   _xlfn.XLOOKUP(VALUE(A450),[1]Base_Jugadores!A$2:A$50000,[1]Base_Jugadores!C$2:C$50000)
)</f>
        <v>CE Sabadell</v>
      </c>
      <c r="D450" s="5" t="str">
        <f aca="false">[1]Base_Jugadores!D450</f>
        <v>Suiza</v>
      </c>
      <c r="E450" s="3"/>
      <c r="F450" s="5" t="str">
        <f aca="false">[1]Base_Jugadores!E450</f>
        <v>LD</v>
      </c>
      <c r="G450" s="5" t="n">
        <f aca="false">[1]Base_Jugadores!F450</f>
        <v>68</v>
      </c>
      <c r="H450" s="5" t="n">
        <f aca="false">[1]Base_Jugadores!G450</f>
        <v>30</v>
      </c>
      <c r="I450" s="7" t="n">
        <f aca="false" t="array" ref="I450:I450">_xlfn.XLOOKUP(G450,{55;56;57;58;59;60;61;62;63;64;65;66;67;68;69;70;71;72;73;74;75;76;77;78;79;80;81;82;83;84;85;86;87;88;89;90;91;92;93;94;95;96;97;98;99},{100000;130000;160000;190000;220000;250000;300000;350000;400000;450000;500000;600000;700000;800000;900000;1000000;1500000;2000000;3000000;4000000;5000000;6500000;8000000;10000000;12500000;15000000;20000000;25000000;30000000;35000000;40000000;55000000;70000000;80000000;90000000;110000000;130000000;160000000;190000000;220000000;250000000;280000000;310000000;340000000;400000000})</f>
        <v>800000</v>
      </c>
      <c r="J450" s="7" t="n">
        <f aca="false">I450*S450*T450*U450</f>
        <v>571200</v>
      </c>
      <c r="K450" s="3"/>
      <c r="L450" s="3"/>
      <c r="M450" s="3"/>
      <c r="N450" s="9" t="n">
        <v>2</v>
      </c>
      <c r="O450" s="4" t="n">
        <v>0</v>
      </c>
      <c r="P450" s="5" t="n">
        <f aca="false">IF(COUNTIF([1]Base_Jugadores!J$2:J$500,B450)&gt;0,1,0)</f>
        <v>0</v>
      </c>
      <c r="Q450" s="10" t="b">
        <f aca="false">--(COUNTIFS(
   [1]Fichajes_Realizados!A$2:A$5000,A450,
   [1]Fichajes_Realizados!G$2:G$5000,$X$3
)&gt;0)</f>
        <v>0</v>
      </c>
      <c r="R450" s="5" t="n">
        <f aca="false">_xlfn.XLOOKUP(C450, [1]Estado_Equipos!A$2:A$500, [1]Estado_Equipos!J$2:J$500, "")</f>
        <v>74</v>
      </c>
      <c r="S450" s="5" t="n">
        <f aca="false">IF(H450&lt;=16,1.45,
IF(H450&gt;=41,0.3,
CHOOSE(ROUNDDOWN((H450-16)/2,0)+1,
1.45,1.38,1.3,1.23,1.17,1.15,1.12,1.05,0.95,0.8,0.6,0.4,0.3)))</f>
        <v>1.05</v>
      </c>
      <c r="T450" s="5" t="n">
        <f aca="false">CHOOSE(N450+1,1.2,1,0.85,0.7)</f>
        <v>0.85</v>
      </c>
      <c r="U450" s="5" t="n">
        <f aca="false">IF(F450="PO",0.6,
IF(F450="CT",0.75,
IF(F450="LI",0.8,
IF(F450="LD",0.8,
IF(F450="MCD",0.85,
IF(F450="MC",0.95,
IF(F450="MO",1.05,
IF(F450="EI",1.1,
IF(F450="ED",1.1,
IF(F450="SD",1.15,
IF(F450="DC",1.2,0)))))))))))</f>
        <v>0.8</v>
      </c>
    </row>
    <row r="451" customFormat="false" ht="16.4" hidden="false" customHeight="false" outlineLevel="0" collapsed="false">
      <c r="A451" s="1" t="n">
        <v>450</v>
      </c>
      <c r="B451" s="5" t="str">
        <f aca="false">[1]Base_Jugadores!B451</f>
        <v>Robert Rojas</v>
      </c>
      <c r="C451" s="5" t="str">
        <f aca="false">IFERROR(
   _xlfn.XLOOKUP(VALUE(A451),[1]Fichajes_Realizados!A$2:A$50000,[1]Fichajes_Realizados!D$2:D$50000,,0,-1),
   _xlfn.XLOOKUP(VALUE(A451),[1]Base_Jugadores!A$2:A$50000,[1]Base_Jugadores!C$2:C$50000)
)</f>
        <v>CE Sabadell</v>
      </c>
      <c r="D451" s="5" t="str">
        <f aca="false">[1]Base_Jugadores!D451</f>
        <v>Paraguay</v>
      </c>
      <c r="E451" s="3"/>
      <c r="F451" s="5" t="str">
        <f aca="false">[1]Base_Jugadores!E451</f>
        <v>CT</v>
      </c>
      <c r="G451" s="5" t="n">
        <f aca="false">[1]Base_Jugadores!F451</f>
        <v>74</v>
      </c>
      <c r="H451" s="5" t="n">
        <f aca="false">[1]Base_Jugadores!G451</f>
        <v>29</v>
      </c>
      <c r="I451" s="7" t="n">
        <f aca="false" t="array" ref="I451:I451">_xlfn.XLOOKUP(G451,{55;56;57;58;59;60;61;62;63;64;65;66;67;68;69;70;71;72;73;74;75;76;77;78;79;80;81;82;83;84;85;86;87;88;89;90;91;92;93;94;95;96;97;98;99},{100000;130000;160000;190000;220000;250000;300000;350000;400000;450000;500000;600000;700000;800000;900000;1000000;1500000;2000000;3000000;4000000;5000000;6500000;8000000;10000000;12500000;15000000;20000000;25000000;30000000;35000000;40000000;55000000;70000000;80000000;90000000;110000000;130000000;160000000;190000000;220000000;250000000;280000000;310000000;340000000;400000000})</f>
        <v>4000000</v>
      </c>
      <c r="J451" s="7" t="n">
        <f aca="false">I451*S451*T451*U451</f>
        <v>4032000</v>
      </c>
      <c r="K451" s="3"/>
      <c r="L451" s="3"/>
      <c r="M451" s="3"/>
      <c r="N451" s="9" t="n">
        <v>0</v>
      </c>
      <c r="O451" s="4" t="n">
        <v>0</v>
      </c>
      <c r="P451" s="5" t="n">
        <f aca="false">IF(COUNTIF([1]Base_Jugadores!J$2:J$500,B451)&gt;0,1,0)</f>
        <v>0</v>
      </c>
      <c r="Q451" s="10" t="b">
        <f aca="false">--(COUNTIFS(
   [1]Fichajes_Realizados!A$2:A$5000,A451,
   [1]Fichajes_Realizados!G$2:G$5000,$X$3
)&gt;0)</f>
        <v>0</v>
      </c>
      <c r="R451" s="5" t="n">
        <f aca="false">_xlfn.XLOOKUP(C451, [1]Estado_Equipos!A$2:A$500, [1]Estado_Equipos!J$2:J$500, "")</f>
        <v>74</v>
      </c>
      <c r="S451" s="5" t="n">
        <f aca="false">IF(H451&lt;=16,1.45,
IF(H451&gt;=41,0.3,
CHOOSE(ROUNDDOWN((H451-16)/2,0)+1,
1.45,1.38,1.3,1.23,1.17,1.15,1.12,1.05,0.95,0.8,0.6,0.4,0.3)))</f>
        <v>1.12</v>
      </c>
      <c r="T451" s="5" t="n">
        <f aca="false">CHOOSE(N451+1,1.2,1,0.85,0.7)</f>
        <v>1.2</v>
      </c>
      <c r="U451" s="5" t="n">
        <f aca="false">IF(F451="PO",0.6,
IF(F451="CT",0.75,
IF(F451="LI",0.8,
IF(F451="LD",0.8,
IF(F451="MCD",0.85,
IF(F451="MC",0.95,
IF(F451="MO",1.05,
IF(F451="EI",1.1,
IF(F451="ED",1.1,
IF(F451="SD",1.15,
IF(F451="DC",1.2,0)))))))))))</f>
        <v>0.75</v>
      </c>
    </row>
    <row r="452" customFormat="false" ht="16.4" hidden="false" customHeight="false" outlineLevel="0" collapsed="false">
      <c r="A452" s="1" t="n">
        <v>451</v>
      </c>
      <c r="B452" s="5" t="str">
        <f aca="false">[1]Base_Jugadores!B452</f>
        <v>Rodrigo Villagra</v>
      </c>
      <c r="C452" s="5" t="str">
        <f aca="false">IFERROR(
   _xlfn.XLOOKUP(VALUE(A452),[1]Fichajes_Realizados!A$2:A$50000,[1]Fichajes_Realizados!D$2:D$50000,,0,-1),
   _xlfn.XLOOKUP(VALUE(A452),[1]Base_Jugadores!A$2:A$50000,[1]Base_Jugadores!C$2:C$50000)
)</f>
        <v>CE Sabadell</v>
      </c>
      <c r="D452" s="5" t="str">
        <f aca="false">[1]Base_Jugadores!D452</f>
        <v>Argentina</v>
      </c>
      <c r="E452" s="3"/>
      <c r="F452" s="5" t="str">
        <f aca="false">[1]Base_Jugadores!E452</f>
        <v>MCD</v>
      </c>
      <c r="G452" s="5" t="n">
        <f aca="false">[1]Base_Jugadores!F452</f>
        <v>74</v>
      </c>
      <c r="H452" s="5" t="n">
        <f aca="false">[1]Base_Jugadores!G452</f>
        <v>24</v>
      </c>
      <c r="I452" s="7" t="n">
        <f aca="false" t="array" ref="I452:I452">_xlfn.XLOOKUP(G452,{55;56;57;58;59;60;61;62;63;64;65;66;67;68;69;70;71;72;73;74;75;76;77;78;79;80;81;82;83;84;85;86;87;88;89;90;91;92;93;94;95;96;97;98;99},{100000;130000;160000;190000;220000;250000;300000;350000;400000;450000;500000;600000;700000;800000;900000;1000000;1500000;2000000;3000000;4000000;5000000;6500000;8000000;10000000;12500000;15000000;20000000;25000000;30000000;35000000;40000000;55000000;70000000;80000000;90000000;110000000;130000000;160000000;190000000;220000000;250000000;280000000;310000000;340000000;400000000})</f>
        <v>4000000</v>
      </c>
      <c r="J452" s="7" t="n">
        <f aca="false">I452*S452*T452*U452</f>
        <v>4773600</v>
      </c>
      <c r="K452" s="3"/>
      <c r="L452" s="3"/>
      <c r="M452" s="3"/>
      <c r="N452" s="9" t="n">
        <v>0</v>
      </c>
      <c r="O452" s="4" t="n">
        <v>0</v>
      </c>
      <c r="P452" s="5" t="n">
        <f aca="false">IF(COUNTIF([1]Base_Jugadores!J$2:J$500,B452)&gt;0,1,0)</f>
        <v>0</v>
      </c>
      <c r="Q452" s="10" t="b">
        <f aca="false">--(COUNTIFS(
   [1]Fichajes_Realizados!A$2:A$5000,A452,
   [1]Fichajes_Realizados!G$2:G$5000,$X$3
)&gt;0)</f>
        <v>0</v>
      </c>
      <c r="R452" s="5" t="n">
        <f aca="false">_xlfn.XLOOKUP(C452, [1]Estado_Equipos!A$2:A$500, [1]Estado_Equipos!J$2:J$500, "")</f>
        <v>74</v>
      </c>
      <c r="S452" s="5" t="n">
        <f aca="false">IF(H452&lt;=16,1.45,
IF(H452&gt;=41,0.3,
CHOOSE(ROUNDDOWN((H452-16)/2,0)+1,
1.45,1.38,1.3,1.23,1.17,1.15,1.12,1.05,0.95,0.8,0.6,0.4,0.3)))</f>
        <v>1.17</v>
      </c>
      <c r="T452" s="5" t="n">
        <f aca="false">CHOOSE(N452+1,1.2,1,0.85,0.7)</f>
        <v>1.2</v>
      </c>
      <c r="U452" s="5" t="n">
        <f aca="false">IF(F452="PO",0.6,
IF(F452="CT",0.75,
IF(F452="LI",0.8,
IF(F452="LD",0.8,
IF(F452="MCD",0.85,
IF(F452="MC",0.95,
IF(F452="MO",1.05,
IF(F452="EI",1.1,
IF(F452="ED",1.1,
IF(F452="SD",1.15,
IF(F452="DC",1.2,0)))))))))))</f>
        <v>0.85</v>
      </c>
    </row>
    <row r="453" customFormat="false" ht="16.4" hidden="false" customHeight="false" outlineLevel="0" collapsed="false">
      <c r="A453" s="1" t="n">
        <v>452</v>
      </c>
      <c r="B453" s="5" t="str">
        <f aca="false">[1]Base_Jugadores!B453</f>
        <v>Rúben Semedo</v>
      </c>
      <c r="C453" s="5" t="str">
        <f aca="false">IFERROR(
   _xlfn.XLOOKUP(VALUE(A453),[1]Fichajes_Realizados!A$2:A$50000,[1]Fichajes_Realizados!D$2:D$50000,,0,-1),
   _xlfn.XLOOKUP(VALUE(A453),[1]Base_Jugadores!A$2:A$50000,[1]Base_Jugadores!C$2:C$50000)
)</f>
        <v>CE Sabadell</v>
      </c>
      <c r="D453" s="5" t="str">
        <f aca="false">[1]Base_Jugadores!D453</f>
        <v>Portugal</v>
      </c>
      <c r="E453" s="3"/>
      <c r="F453" s="5" t="str">
        <f aca="false">[1]Base_Jugadores!E453</f>
        <v>CT</v>
      </c>
      <c r="G453" s="5" t="n">
        <f aca="false">[1]Base_Jugadores!F453</f>
        <v>77</v>
      </c>
      <c r="H453" s="5" t="n">
        <f aca="false">[1]Base_Jugadores!G453</f>
        <v>31</v>
      </c>
      <c r="I453" s="7" t="n">
        <f aca="false" t="array" ref="I453:I453">_xlfn.XLOOKUP(G453,{55;56;57;58;59;60;61;62;63;64;65;66;67;68;69;70;71;72;73;74;75;76;77;78;79;80;81;82;83;84;85;86;87;88;89;90;91;92;93;94;95;96;97;98;99},{100000;130000;160000;190000;220000;250000;300000;350000;400000;450000;500000;600000;700000;800000;900000;1000000;1500000;2000000;3000000;4000000;5000000;6500000;8000000;10000000;12500000;15000000;20000000;25000000;30000000;35000000;40000000;55000000;70000000;80000000;90000000;110000000;130000000;160000000;190000000;220000000;250000000;280000000;310000000;340000000;400000000})</f>
        <v>8000000</v>
      </c>
      <c r="J453" s="7" t="n">
        <f aca="false">I453*S453*T453*U453</f>
        <v>7560000</v>
      </c>
      <c r="K453" s="3"/>
      <c r="L453" s="3"/>
      <c r="M453" s="3"/>
      <c r="N453" s="9" t="n">
        <v>0</v>
      </c>
      <c r="O453" s="4" t="n">
        <v>0</v>
      </c>
      <c r="P453" s="5" t="n">
        <f aca="false">IF(COUNTIF([1]Base_Jugadores!J$2:J$500,B453)&gt;0,1,0)</f>
        <v>0</v>
      </c>
      <c r="Q453" s="10" t="b">
        <f aca="false">--(COUNTIFS(
   [1]Fichajes_Realizados!A$2:A$5000,A453,
   [1]Fichajes_Realizados!G$2:G$5000,$X$3
)&gt;0)</f>
        <v>0</v>
      </c>
      <c r="R453" s="5" t="n">
        <f aca="false">_xlfn.XLOOKUP(C453, [1]Estado_Equipos!A$2:A$500, [1]Estado_Equipos!J$2:J$500, "")</f>
        <v>74</v>
      </c>
      <c r="S453" s="5" t="n">
        <f aca="false">IF(H453&lt;=16,1.45,
IF(H453&gt;=41,0.3,
CHOOSE(ROUNDDOWN((H453-16)/2,0)+1,
1.45,1.38,1.3,1.23,1.17,1.15,1.12,1.05,0.95,0.8,0.6,0.4,0.3)))</f>
        <v>1.05</v>
      </c>
      <c r="T453" s="5" t="n">
        <f aca="false">CHOOSE(N453+1,1.2,1,0.85,0.7)</f>
        <v>1.2</v>
      </c>
      <c r="U453" s="5" t="n">
        <f aca="false">IF(F453="PO",0.6,
IF(F453="CT",0.75,
IF(F453="LI",0.8,
IF(F453="LD",0.8,
IF(F453="MCD",0.85,
IF(F453="MC",0.95,
IF(F453="MO",1.05,
IF(F453="EI",1.1,
IF(F453="ED",1.1,
IF(F453="SD",1.15,
IF(F453="DC",1.2,0)))))))))))</f>
        <v>0.75</v>
      </c>
    </row>
    <row r="454" customFormat="false" ht="16.4" hidden="false" customHeight="false" outlineLevel="0" collapsed="false">
      <c r="A454" s="1" t="n">
        <v>453</v>
      </c>
      <c r="B454" s="5" t="str">
        <f aca="false">[1]Base_Jugadores!B454</f>
        <v>Samuel Lino</v>
      </c>
      <c r="C454" s="5" t="str">
        <f aca="false">IFERROR(
   _xlfn.XLOOKUP(VALUE(A454),[1]Fichajes_Realizados!A$2:A$50000,[1]Fichajes_Realizados!D$2:D$50000,,0,-1),
   _xlfn.XLOOKUP(VALUE(A454),[1]Base_Jugadores!A$2:A$50000,[1]Base_Jugadores!C$2:C$50000)
)</f>
        <v>CE Sabadell</v>
      </c>
      <c r="D454" s="5" t="str">
        <f aca="false">[1]Base_Jugadores!D454</f>
        <v>Brasil</v>
      </c>
      <c r="E454" s="3"/>
      <c r="F454" s="5" t="str">
        <f aca="false">[1]Base_Jugadores!E454</f>
        <v>EI</v>
      </c>
      <c r="G454" s="5" t="n">
        <f aca="false">[1]Base_Jugadores!F454</f>
        <v>81</v>
      </c>
      <c r="H454" s="5" t="n">
        <f aca="false">[1]Base_Jugadores!G454</f>
        <v>26</v>
      </c>
      <c r="I454" s="7" t="n">
        <f aca="false" t="array" ref="I454:I454">_xlfn.XLOOKUP(G454,{55;56;57;58;59;60;61;62;63;64;65;66;67;68;69;70;71;72;73;74;75;76;77;78;79;80;81;82;83;84;85;86;87;88;89;90;91;92;93;94;95;96;97;98;99},{100000;130000;160000;190000;220000;250000;300000;350000;400000;450000;500000;600000;700000;800000;900000;1000000;1500000;2000000;3000000;4000000;5000000;6500000;8000000;10000000;12500000;15000000;20000000;25000000;30000000;35000000;40000000;55000000;70000000;80000000;90000000;110000000;130000000;160000000;190000000;220000000;250000000;280000000;310000000;340000000;400000000})</f>
        <v>20000000</v>
      </c>
      <c r="J454" s="7" t="n">
        <f aca="false">I454*S454*T454*U454</f>
        <v>30360000</v>
      </c>
      <c r="K454" s="3"/>
      <c r="L454" s="3"/>
      <c r="M454" s="3"/>
      <c r="N454" s="9" t="n">
        <v>0</v>
      </c>
      <c r="O454" s="4" t="n">
        <v>0</v>
      </c>
      <c r="P454" s="5" t="n">
        <f aca="false">IF(COUNTIF([1]Base_Jugadores!J$2:J$500,B454)&gt;0,1,0)</f>
        <v>0</v>
      </c>
      <c r="Q454" s="10" t="b">
        <f aca="false">--(COUNTIFS(
   [1]Fichajes_Realizados!A$2:A$5000,A454,
   [1]Fichajes_Realizados!G$2:G$5000,$X$3
)&gt;0)</f>
        <v>0</v>
      </c>
      <c r="R454" s="5" t="n">
        <f aca="false">_xlfn.XLOOKUP(C454, [1]Estado_Equipos!A$2:A$500, [1]Estado_Equipos!J$2:J$500, "")</f>
        <v>74</v>
      </c>
      <c r="S454" s="5" t="n">
        <f aca="false">IF(H454&lt;=16,1.45,
IF(H454&gt;=41,0.3,
CHOOSE(ROUNDDOWN((H454-16)/2,0)+1,
1.45,1.38,1.3,1.23,1.17,1.15,1.12,1.05,0.95,0.8,0.6,0.4,0.3)))</f>
        <v>1.15</v>
      </c>
      <c r="T454" s="5" t="n">
        <f aca="false">CHOOSE(N454+1,1.2,1,0.85,0.7)</f>
        <v>1.2</v>
      </c>
      <c r="U454" s="5" t="n">
        <f aca="false">IF(F454="PO",0.6,
IF(F454="CT",0.75,
IF(F454="LI",0.8,
IF(F454="LD",0.8,
IF(F454="MCD",0.85,
IF(F454="MC",0.95,
IF(F454="MO",1.05,
IF(F454="EI",1.1,
IF(F454="ED",1.1,
IF(F454="SD",1.15,
IF(F454="DC",1.2,0)))))))))))</f>
        <v>1.1</v>
      </c>
    </row>
    <row r="455" customFormat="false" ht="16.4" hidden="false" customHeight="false" outlineLevel="0" collapsed="false">
      <c r="A455" s="1" t="n">
        <v>454</v>
      </c>
      <c r="B455" s="5" t="str">
        <f aca="false">[1]Base_Jugadores!B455</f>
        <v>Sardar Azmoun</v>
      </c>
      <c r="C455" s="5" t="str">
        <f aca="false">IFERROR(
   _xlfn.XLOOKUP(VALUE(A455),[1]Fichajes_Realizados!A$2:A$50000,[1]Fichajes_Realizados!D$2:D$50000,,0,-1),
   _xlfn.XLOOKUP(VALUE(A455),[1]Base_Jugadores!A$2:A$50000,[1]Base_Jugadores!C$2:C$50000)
)</f>
        <v>CE Sabadell</v>
      </c>
      <c r="D455" s="5" t="str">
        <f aca="false">[1]Base_Jugadores!D455</f>
        <v>Irán</v>
      </c>
      <c r="E455" s="3"/>
      <c r="F455" s="5" t="str">
        <f aca="false">[1]Base_Jugadores!E455</f>
        <v>DC</v>
      </c>
      <c r="G455" s="5" t="n">
        <f aca="false">[1]Base_Jugadores!F455</f>
        <v>79</v>
      </c>
      <c r="H455" s="5" t="n">
        <f aca="false">[1]Base_Jugadores!G455</f>
        <v>30</v>
      </c>
      <c r="I455" s="7" t="n">
        <f aca="false" t="array" ref="I455:I455">_xlfn.XLOOKUP(G455,{55;56;57;58;59;60;61;62;63;64;65;66;67;68;69;70;71;72;73;74;75;76;77;78;79;80;81;82;83;84;85;86;87;88;89;90;91;92;93;94;95;96;97;98;99},{100000;130000;160000;190000;220000;250000;300000;350000;400000;450000;500000;600000;700000;800000;900000;1000000;1500000;2000000;3000000;4000000;5000000;6500000;8000000;10000000;12500000;15000000;20000000;25000000;30000000;35000000;40000000;55000000;70000000;80000000;90000000;110000000;130000000;160000000;190000000;220000000;250000000;280000000;310000000;340000000;400000000})</f>
        <v>12500000</v>
      </c>
      <c r="J455" s="7" t="n">
        <f aca="false">I455*S455*T455*U455</f>
        <v>18900000</v>
      </c>
      <c r="K455" s="3"/>
      <c r="L455" s="3"/>
      <c r="M455" s="3"/>
      <c r="N455" s="9" t="n">
        <v>0</v>
      </c>
      <c r="O455" s="4" t="n">
        <v>0</v>
      </c>
      <c r="P455" s="5" t="n">
        <f aca="false">IF(COUNTIF([1]Base_Jugadores!J$2:J$500,B455)&gt;0,1,0)</f>
        <v>0</v>
      </c>
      <c r="Q455" s="10" t="b">
        <f aca="false">--(COUNTIFS(
   [1]Fichajes_Realizados!A$2:A$5000,A455,
   [1]Fichajes_Realizados!G$2:G$5000,$X$3
)&gt;0)</f>
        <v>0</v>
      </c>
      <c r="R455" s="5" t="n">
        <f aca="false">_xlfn.XLOOKUP(C455, [1]Estado_Equipos!A$2:A$500, [1]Estado_Equipos!J$2:J$500, "")</f>
        <v>74</v>
      </c>
      <c r="S455" s="5" t="n">
        <f aca="false">IF(H455&lt;=16,1.45,
IF(H455&gt;=41,0.3,
CHOOSE(ROUNDDOWN((H455-16)/2,0)+1,
1.45,1.38,1.3,1.23,1.17,1.15,1.12,1.05,0.95,0.8,0.6,0.4,0.3)))</f>
        <v>1.05</v>
      </c>
      <c r="T455" s="5" t="n">
        <f aca="false">CHOOSE(N455+1,1.2,1,0.85,0.7)</f>
        <v>1.2</v>
      </c>
      <c r="U455" s="5" t="n">
        <f aca="false">IF(F455="PO",0.6,
IF(F455="CT",0.75,
IF(F455="LI",0.8,
IF(F455="LD",0.8,
IF(F455="MCD",0.85,
IF(F455="MC",0.95,
IF(F455="MO",1.05,
IF(F455="EI",1.1,
IF(F455="ED",1.1,
IF(F455="SD",1.15,
IF(F455="DC",1.2,0)))))))))))</f>
        <v>1.2</v>
      </c>
    </row>
    <row r="456" customFormat="false" ht="16.4" hidden="false" customHeight="false" outlineLevel="0" collapsed="false">
      <c r="A456" s="1" t="n">
        <v>455</v>
      </c>
      <c r="B456" s="5" t="str">
        <f aca="false">[1]Base_Jugadores!B456</f>
        <v>Sung-yueng Ki</v>
      </c>
      <c r="C456" s="5" t="str">
        <f aca="false">IFERROR(
   _xlfn.XLOOKUP(VALUE(A456),[1]Fichajes_Realizados!A$2:A$50000,[1]Fichajes_Realizados!D$2:D$50000,,0,-1),
   _xlfn.XLOOKUP(VALUE(A456),[1]Base_Jugadores!A$2:A$50000,[1]Base_Jugadores!C$2:C$50000)
)</f>
        <v>CE Sabadell</v>
      </c>
      <c r="D456" s="5" t="str">
        <f aca="false">[1]Base_Jugadores!D456</f>
        <v>Corea del Sur</v>
      </c>
      <c r="E456" s="3"/>
      <c r="F456" s="5" t="str">
        <f aca="false">[1]Base_Jugadores!E456</f>
        <v>MCD</v>
      </c>
      <c r="G456" s="5" t="n">
        <f aca="false">[1]Base_Jugadores!F456</f>
        <v>75</v>
      </c>
      <c r="H456" s="5" t="n">
        <f aca="false">[1]Base_Jugadores!G456</f>
        <v>36</v>
      </c>
      <c r="I456" s="7" t="n">
        <f aca="false" t="array" ref="I456:I456">_xlfn.XLOOKUP(G456,{55;56;57;58;59;60;61;62;63;64;65;66;67;68;69;70;71;72;73;74;75;76;77;78;79;80;81;82;83;84;85;86;87;88;89;90;91;92;93;94;95;96;97;98;99},{100000;130000;160000;190000;220000;250000;300000;350000;400000;450000;500000;600000;700000;800000;900000;1000000;1500000;2000000;3000000;4000000;5000000;6500000;8000000;10000000;12500000;15000000;20000000;25000000;30000000;35000000;40000000;55000000;70000000;80000000;90000000;110000000;130000000;160000000;190000000;220000000;250000000;280000000;310000000;340000000;400000000})</f>
        <v>5000000</v>
      </c>
      <c r="J456" s="7" t="n">
        <f aca="false">I456*S456*T456*U456</f>
        <v>3060000</v>
      </c>
      <c r="K456" s="3"/>
      <c r="L456" s="3"/>
      <c r="M456" s="3"/>
      <c r="N456" s="9" t="n">
        <v>0</v>
      </c>
      <c r="O456" s="4" t="n">
        <v>0</v>
      </c>
      <c r="P456" s="5" t="n">
        <f aca="false">IF(COUNTIF([1]Base_Jugadores!J$2:J$500,B456)&gt;0,1,0)</f>
        <v>0</v>
      </c>
      <c r="Q456" s="10" t="b">
        <f aca="false">--(COUNTIFS(
   [1]Fichajes_Realizados!A$2:A$5000,A456,
   [1]Fichajes_Realizados!G$2:G$5000,$X$3
)&gt;0)</f>
        <v>0</v>
      </c>
      <c r="R456" s="5" t="n">
        <f aca="false">_xlfn.XLOOKUP(C456, [1]Estado_Equipos!A$2:A$500, [1]Estado_Equipos!J$2:J$500, "")</f>
        <v>74</v>
      </c>
      <c r="S456" s="5" t="n">
        <f aca="false">IF(H456&lt;=16,1.45,
IF(H456&gt;=41,0.3,
CHOOSE(ROUNDDOWN((H456-16)/2,0)+1,
1.45,1.38,1.3,1.23,1.17,1.15,1.12,1.05,0.95,0.8,0.6,0.4,0.3)))</f>
        <v>0.6</v>
      </c>
      <c r="T456" s="5" t="n">
        <f aca="false">CHOOSE(N456+1,1.2,1,0.85,0.7)</f>
        <v>1.2</v>
      </c>
      <c r="U456" s="5" t="n">
        <f aca="false">IF(F456="PO",0.6,
IF(F456="CT",0.75,
IF(F456="LI",0.8,
IF(F456="LD",0.8,
IF(F456="MCD",0.85,
IF(F456="MC",0.95,
IF(F456="MO",1.05,
IF(F456="EI",1.1,
IF(F456="ED",1.1,
IF(F456="SD",1.15,
IF(F456="DC",1.2,0)))))))))))</f>
        <v>0.85</v>
      </c>
    </row>
    <row r="457" customFormat="false" ht="16.4" hidden="false" customHeight="false" outlineLevel="0" collapsed="false">
      <c r="A457" s="1" t="n">
        <v>456</v>
      </c>
      <c r="B457" s="5" t="str">
        <f aca="false">[1]Base_Jugadores!B457</f>
        <v>Tommaso Fumagalli</v>
      </c>
      <c r="C457" s="5" t="str">
        <f aca="false">IFERROR(
   _xlfn.XLOOKUP(VALUE(A457),[1]Fichajes_Realizados!A$2:A$50000,[1]Fichajes_Realizados!D$2:D$50000,,0,-1),
   _xlfn.XLOOKUP(VALUE(A457),[1]Base_Jugadores!A$2:A$50000,[1]Base_Jugadores!C$2:C$50000)
)</f>
        <v>CE Sabadell</v>
      </c>
      <c r="D457" s="5" t="str">
        <f aca="false">[1]Base_Jugadores!D457</f>
        <v>Italia</v>
      </c>
      <c r="E457" s="3"/>
      <c r="F457" s="5" t="str">
        <f aca="false">[1]Base_Jugadores!E457</f>
        <v>DC</v>
      </c>
      <c r="G457" s="5" t="n">
        <f aca="false">[1]Base_Jugadores!F457</f>
        <v>72</v>
      </c>
      <c r="H457" s="5" t="n">
        <f aca="false">[1]Base_Jugadores!G457</f>
        <v>25</v>
      </c>
      <c r="I457" s="7" t="n">
        <f aca="false" t="array" ref="I457:I457">_xlfn.XLOOKUP(G457,{55;56;57;58;59;60;61;62;63;64;65;66;67;68;69;70;71;72;73;74;75;76;77;78;79;80;81;82;83;84;85;86;87;88;89;90;91;92;93;94;95;96;97;98;99},{100000;130000;160000;190000;220000;250000;300000;350000;400000;450000;500000;600000;700000;800000;900000;1000000;1500000;2000000;3000000;4000000;5000000;6500000;8000000;10000000;12500000;15000000;20000000;25000000;30000000;35000000;40000000;55000000;70000000;80000000;90000000;110000000;130000000;160000000;190000000;220000000;250000000;280000000;310000000;340000000;400000000})</f>
        <v>2000000</v>
      </c>
      <c r="J457" s="7" t="n">
        <f aca="false">I457*S457*T457*U457</f>
        <v>2808000</v>
      </c>
      <c r="K457" s="3"/>
      <c r="L457" s="3"/>
      <c r="M457" s="3"/>
      <c r="N457" s="9" t="n">
        <v>1</v>
      </c>
      <c r="O457" s="4" t="n">
        <v>0</v>
      </c>
      <c r="P457" s="5" t="n">
        <f aca="false">IF(COUNTIF([1]Base_Jugadores!J$2:J$500,B457)&gt;0,1,0)</f>
        <v>0</v>
      </c>
      <c r="Q457" s="10" t="b">
        <f aca="false">--(COUNTIFS(
   [1]Fichajes_Realizados!A$2:A$5000,A457,
   [1]Fichajes_Realizados!G$2:G$5000,$X$3
)&gt;0)</f>
        <v>0</v>
      </c>
      <c r="R457" s="5" t="n">
        <f aca="false">_xlfn.XLOOKUP(C457, [1]Estado_Equipos!A$2:A$500, [1]Estado_Equipos!J$2:J$500, "")</f>
        <v>74</v>
      </c>
      <c r="S457" s="5" t="n">
        <f aca="false">IF(H457&lt;=16,1.45,
IF(H457&gt;=41,0.3,
CHOOSE(ROUNDDOWN((H457-16)/2,0)+1,
1.45,1.38,1.3,1.23,1.17,1.15,1.12,1.05,0.95,0.8,0.6,0.4,0.3)))</f>
        <v>1.17</v>
      </c>
      <c r="T457" s="5" t="n">
        <f aca="false">CHOOSE(N457+1,1.2,1,0.85,0.7)</f>
        <v>1</v>
      </c>
      <c r="U457" s="5" t="n">
        <f aca="false">IF(F457="PO",0.6,
IF(F457="CT",0.75,
IF(F457="LI",0.8,
IF(F457="LD",0.8,
IF(F457="MCD",0.85,
IF(F457="MC",0.95,
IF(F457="MO",1.05,
IF(F457="EI",1.1,
IF(F457="ED",1.1,
IF(F457="SD",1.15,
IF(F457="DC",1.2,0)))))))))))</f>
        <v>1.2</v>
      </c>
    </row>
    <row r="458" customFormat="false" ht="16.4" hidden="false" customHeight="false" outlineLevel="0" collapsed="false">
      <c r="A458" s="1" t="n">
        <v>457</v>
      </c>
      <c r="B458" s="5" t="str">
        <f aca="false">[1]Base_Jugadores!B458</f>
        <v>Valentin Gheorghe</v>
      </c>
      <c r="C458" s="5" t="str">
        <f aca="false">IFERROR(
   _xlfn.XLOOKUP(VALUE(A458),[1]Fichajes_Realizados!A$2:A$50000,[1]Fichajes_Realizados!D$2:D$50000,,0,-1),
   _xlfn.XLOOKUP(VALUE(A458),[1]Base_Jugadores!A$2:A$50000,[1]Base_Jugadores!C$2:C$50000)
)</f>
        <v>CE Sabadell</v>
      </c>
      <c r="D458" s="5" t="str">
        <f aca="false">[1]Base_Jugadores!D458</f>
        <v>Rumania</v>
      </c>
      <c r="E458" s="3"/>
      <c r="F458" s="5" t="str">
        <f aca="false">[1]Base_Jugadores!E458</f>
        <v>EI</v>
      </c>
      <c r="G458" s="5" t="n">
        <f aca="false">[1]Base_Jugadores!F458</f>
        <v>70</v>
      </c>
      <c r="H458" s="5" t="n">
        <f aca="false">[1]Base_Jugadores!G458</f>
        <v>28</v>
      </c>
      <c r="I458" s="7" t="n">
        <f aca="false" t="array" ref="I458:I458">_xlfn.XLOOKUP(G458,{55;56;57;58;59;60;61;62;63;64;65;66;67;68;69;70;71;72;73;74;75;76;77;78;79;80;81;82;83;84;85;86;87;88;89;90;91;92;93;94;95;96;97;98;99},{100000;130000;160000;190000;220000;250000;300000;350000;400000;450000;500000;600000;700000;800000;900000;1000000;1500000;2000000;3000000;4000000;5000000;6500000;8000000;10000000;12500000;15000000;20000000;25000000;30000000;35000000;40000000;55000000;70000000;80000000;90000000;110000000;130000000;160000000;190000000;220000000;250000000;280000000;310000000;340000000;400000000})</f>
        <v>1000000</v>
      </c>
      <c r="J458" s="7" t="n">
        <f aca="false">I458*S458*T458*U458</f>
        <v>1047200</v>
      </c>
      <c r="K458" s="3"/>
      <c r="L458" s="3"/>
      <c r="M458" s="3"/>
      <c r="N458" s="9" t="n">
        <v>2</v>
      </c>
      <c r="O458" s="4" t="n">
        <v>0</v>
      </c>
      <c r="P458" s="5" t="n">
        <f aca="false">IF(COUNTIF([1]Base_Jugadores!J$2:J$500,B458)&gt;0,1,0)</f>
        <v>0</v>
      </c>
      <c r="Q458" s="10" t="b">
        <f aca="false">--(COUNTIFS(
   [1]Fichajes_Realizados!A$2:A$5000,A458,
   [1]Fichajes_Realizados!G$2:G$5000,$X$3
)&gt;0)</f>
        <v>0</v>
      </c>
      <c r="R458" s="5" t="n">
        <f aca="false">_xlfn.XLOOKUP(C458, [1]Estado_Equipos!A$2:A$500, [1]Estado_Equipos!J$2:J$500, "")</f>
        <v>74</v>
      </c>
      <c r="S458" s="5" t="n">
        <f aca="false">IF(H458&lt;=16,1.45,
IF(H458&gt;=41,0.3,
CHOOSE(ROUNDDOWN((H458-16)/2,0)+1,
1.45,1.38,1.3,1.23,1.17,1.15,1.12,1.05,0.95,0.8,0.6,0.4,0.3)))</f>
        <v>1.12</v>
      </c>
      <c r="T458" s="5" t="n">
        <f aca="false">CHOOSE(N458+1,1.2,1,0.85,0.7)</f>
        <v>0.85</v>
      </c>
      <c r="U458" s="5" t="n">
        <f aca="false">IF(F458="PO",0.6,
IF(F458="CT",0.75,
IF(F458="LI",0.8,
IF(F458="LD",0.8,
IF(F458="MCD",0.85,
IF(F458="MC",0.95,
IF(F458="MO",1.05,
IF(F458="EI",1.1,
IF(F458="ED",1.1,
IF(F458="SD",1.15,
IF(F458="DC",1.2,0)))))))))))</f>
        <v>1.1</v>
      </c>
    </row>
    <row r="459" customFormat="false" ht="16.4" hidden="false" customHeight="false" outlineLevel="0" collapsed="false">
      <c r="A459" s="1" t="n">
        <v>458</v>
      </c>
      <c r="B459" s="5" t="str">
        <f aca="false">[1]Base_Jugadores!B459</f>
        <v>André Almeida</v>
      </c>
      <c r="C459" s="5" t="str">
        <f aca="false">IFERROR(
   _xlfn.XLOOKUP(VALUE(A459),[1]Fichajes_Realizados!A$2:A$50000,[1]Fichajes_Realizados!D$2:D$50000,,0,-1),
   _xlfn.XLOOKUP(VALUE(A459),[1]Base_Jugadores!A$2:A$50000,[1]Base_Jugadores!C$2:C$50000)
)</f>
        <v>Valencia CF</v>
      </c>
      <c r="D459" s="5" t="str">
        <f aca="false">[1]Base_Jugadores!D459</f>
        <v>Portugal</v>
      </c>
      <c r="E459" s="3"/>
      <c r="F459" s="5" t="str">
        <f aca="false">[1]Base_Jugadores!E459</f>
        <v>MO</v>
      </c>
      <c r="G459" s="5" t="n">
        <f aca="false">[1]Base_Jugadores!F459</f>
        <v>75</v>
      </c>
      <c r="H459" s="5" t="n">
        <f aca="false">[1]Base_Jugadores!G459</f>
        <v>25</v>
      </c>
      <c r="I459" s="7" t="n">
        <f aca="false" t="array" ref="I459:I459">_xlfn.XLOOKUP(G459,{55;56;57;58;59;60;61;62;63;64;65;66;67;68;69;70;71;72;73;74;75;76;77;78;79;80;81;82;83;84;85;86;87;88;89;90;91;92;93;94;95;96;97;98;99},{100000;130000;160000;190000;220000;250000;300000;350000;400000;450000;500000;600000;700000;800000;900000;1000000;1500000;2000000;3000000;4000000;5000000;6500000;8000000;10000000;12500000;15000000;20000000;25000000;30000000;35000000;40000000;55000000;70000000;80000000;90000000;110000000;130000000;160000000;190000000;220000000;250000000;280000000;310000000;340000000;400000000})</f>
        <v>5000000</v>
      </c>
      <c r="J459" s="7" t="n">
        <f aca="false">I459*S459*T459*U459</f>
        <v>6142500</v>
      </c>
      <c r="K459" s="3"/>
      <c r="L459" s="3"/>
      <c r="M459" s="3"/>
      <c r="N459" s="9" t="n">
        <v>1</v>
      </c>
      <c r="O459" s="4" t="n">
        <v>0</v>
      </c>
      <c r="P459" s="5" t="n">
        <f aca="false">IF(COUNTIF([1]Base_Jugadores!J$2:J$500,B459)&gt;0,1,0)</f>
        <v>0</v>
      </c>
      <c r="Q459" s="10" t="b">
        <f aca="false">--(COUNTIFS(
   [1]Fichajes_Realizados!A$2:A$5000,A459,
   [1]Fichajes_Realizados!G$2:G$5000,$X$3
)&gt;0)</f>
        <v>0</v>
      </c>
      <c r="R459" s="5" t="n">
        <f aca="false">_xlfn.XLOOKUP(C459, [1]Estado_Equipos!A$2:A$500, [1]Estado_Equipos!J$2:J$500, "")</f>
        <v>75</v>
      </c>
      <c r="S459" s="5" t="n">
        <f aca="false">IF(H459&lt;=16,1.45,
IF(H459&gt;=41,0.3,
CHOOSE(ROUNDDOWN((H459-16)/2,0)+1,
1.45,1.38,1.3,1.23,1.17,1.15,1.12,1.05,0.95,0.8,0.6,0.4,0.3)))</f>
        <v>1.17</v>
      </c>
      <c r="T459" s="5" t="n">
        <f aca="false">CHOOSE(N459+1,1.2,1,0.85,0.7)</f>
        <v>1</v>
      </c>
      <c r="U459" s="5" t="n">
        <f aca="false">IF(F459="PO",0.6,
IF(F459="CT",0.75,
IF(F459="LI",0.8,
IF(F459="LD",0.8,
IF(F459="MCD",0.85,
IF(F459="MC",0.95,
IF(F459="MO",1.05,
IF(F459="EI",1.1,
IF(F459="ED",1.1,
IF(F459="SD",1.15,
IF(F459="DC",1.2,0)))))))))))</f>
        <v>1.05</v>
      </c>
    </row>
    <row r="460" customFormat="false" ht="16.4" hidden="false" customHeight="false" outlineLevel="0" collapsed="false">
      <c r="A460" s="1" t="n">
        <v>459</v>
      </c>
      <c r="B460" s="5" t="str">
        <f aca="false">[1]Base_Jugadores!B460</f>
        <v>Arnaut Danjuma</v>
      </c>
      <c r="C460" s="5" t="str">
        <f aca="false">IFERROR(
   _xlfn.XLOOKUP(VALUE(A460),[1]Fichajes_Realizados!A$2:A$50000,[1]Fichajes_Realizados!D$2:D$50000,,0,-1),
   _xlfn.XLOOKUP(VALUE(A460),[1]Base_Jugadores!A$2:A$50000,[1]Base_Jugadores!C$2:C$50000)
)</f>
        <v>Valencia CF</v>
      </c>
      <c r="D460" s="5" t="str">
        <f aca="false">[1]Base_Jugadores!D460</f>
        <v>Países Bajos</v>
      </c>
      <c r="E460" s="3"/>
      <c r="F460" s="5" t="str">
        <f aca="false">[1]Base_Jugadores!E460</f>
        <v>EI</v>
      </c>
      <c r="G460" s="5" t="n">
        <f aca="false">[1]Base_Jugadores!F460</f>
        <v>77</v>
      </c>
      <c r="H460" s="5" t="n">
        <f aca="false">[1]Base_Jugadores!G460</f>
        <v>28</v>
      </c>
      <c r="I460" s="7" t="n">
        <f aca="false" t="array" ref="I460:I460">_xlfn.XLOOKUP(G460,{55;56;57;58;59;60;61;62;63;64;65;66;67;68;69;70;71;72;73;74;75;76;77;78;79;80;81;82;83;84;85;86;87;88;89;90;91;92;93;94;95;96;97;98;99},{100000;130000;160000;190000;220000;250000;300000;350000;400000;450000;500000;600000;700000;800000;900000;1000000;1500000;2000000;3000000;4000000;5000000;6500000;8000000;10000000;12500000;15000000;20000000;25000000;30000000;35000000;40000000;55000000;70000000;80000000;90000000;110000000;130000000;160000000;190000000;220000000;250000000;280000000;310000000;340000000;400000000})</f>
        <v>8000000</v>
      </c>
      <c r="J460" s="7" t="n">
        <f aca="false">I460*S460*T460*U460</f>
        <v>11827200</v>
      </c>
      <c r="K460" s="3"/>
      <c r="L460" s="3"/>
      <c r="M460" s="3"/>
      <c r="N460" s="9" t="n">
        <v>0</v>
      </c>
      <c r="O460" s="4" t="n">
        <v>0</v>
      </c>
      <c r="P460" s="5" t="n">
        <f aca="false">IF(COUNTIF([1]Base_Jugadores!J$2:J$500,B460)&gt;0,1,0)</f>
        <v>0</v>
      </c>
      <c r="Q460" s="10" t="b">
        <f aca="false">--(COUNTIFS(
   [1]Fichajes_Realizados!A$2:A$5000,A460,
   [1]Fichajes_Realizados!G$2:G$5000,$X$3
)&gt;0)</f>
        <v>0</v>
      </c>
      <c r="R460" s="5" t="n">
        <f aca="false">_xlfn.XLOOKUP(C460, [1]Estado_Equipos!A$2:A$500, [1]Estado_Equipos!J$2:J$500, "")</f>
        <v>75</v>
      </c>
      <c r="S460" s="5" t="n">
        <f aca="false">IF(H460&lt;=16,1.45,
IF(H460&gt;=41,0.3,
CHOOSE(ROUNDDOWN((H460-16)/2,0)+1,
1.45,1.38,1.3,1.23,1.17,1.15,1.12,1.05,0.95,0.8,0.6,0.4,0.3)))</f>
        <v>1.12</v>
      </c>
      <c r="T460" s="5" t="n">
        <f aca="false">CHOOSE(N460+1,1.2,1,0.85,0.7)</f>
        <v>1.2</v>
      </c>
      <c r="U460" s="5" t="n">
        <f aca="false">IF(F460="PO",0.6,
IF(F460="CT",0.75,
IF(F460="LI",0.8,
IF(F460="LD",0.8,
IF(F460="MCD",0.85,
IF(F460="MC",0.95,
IF(F460="MO",1.05,
IF(F460="EI",1.1,
IF(F460="ED",1.1,
IF(F460="SD",1.15,
IF(F460="DC",1.2,0)))))))))))</f>
        <v>1.1</v>
      </c>
    </row>
    <row r="461" customFormat="false" ht="16.4" hidden="false" customHeight="false" outlineLevel="0" collapsed="false">
      <c r="A461" s="1" t="n">
        <v>460</v>
      </c>
      <c r="B461" s="5" t="str">
        <f aca="false">[1]Base_Jugadores!B461</f>
        <v>B. Santamaría</v>
      </c>
      <c r="C461" s="5" t="str">
        <f aca="false">IFERROR(
   _xlfn.XLOOKUP(VALUE(A461),[1]Fichajes_Realizados!A$2:A$50000,[1]Fichajes_Realizados!D$2:D$50000,,0,-1),
   _xlfn.XLOOKUP(VALUE(A461),[1]Base_Jugadores!A$2:A$50000,[1]Base_Jugadores!C$2:C$50000)
)</f>
        <v>Valencia CF</v>
      </c>
      <c r="D461" s="5" t="str">
        <f aca="false">[1]Base_Jugadores!D461</f>
        <v>Francia</v>
      </c>
      <c r="E461" s="3"/>
      <c r="F461" s="5" t="str">
        <f aca="false">[1]Base_Jugadores!E461</f>
        <v>MCD</v>
      </c>
      <c r="G461" s="5" t="n">
        <f aca="false">[1]Base_Jugadores!F461</f>
        <v>77</v>
      </c>
      <c r="H461" s="5" t="n">
        <f aca="false">[1]Base_Jugadores!G461</f>
        <v>30</v>
      </c>
      <c r="I461" s="7" t="n">
        <f aca="false" t="array" ref="I461:I461">_xlfn.XLOOKUP(G461,{55;56;57;58;59;60;61;62;63;64;65;66;67;68;69;70;71;72;73;74;75;76;77;78;79;80;81;82;83;84;85;86;87;88;89;90;91;92;93;94;95;96;97;98;99},{100000;130000;160000;190000;220000;250000;300000;350000;400000;450000;500000;600000;700000;800000;900000;1000000;1500000;2000000;3000000;4000000;5000000;6500000;8000000;10000000;12500000;15000000;20000000;25000000;30000000;35000000;40000000;55000000;70000000;80000000;90000000;110000000;130000000;160000000;190000000;220000000;250000000;280000000;310000000;340000000;400000000})</f>
        <v>8000000</v>
      </c>
      <c r="J461" s="7" t="n">
        <f aca="false">I461*S461*T461*U461</f>
        <v>8568000</v>
      </c>
      <c r="K461" s="3"/>
      <c r="L461" s="3"/>
      <c r="M461" s="3"/>
      <c r="N461" s="9" t="n">
        <v>0</v>
      </c>
      <c r="O461" s="4" t="n">
        <v>0</v>
      </c>
      <c r="P461" s="5" t="n">
        <f aca="false">IF(COUNTIF([1]Base_Jugadores!J$2:J$500,B461)&gt;0,1,0)</f>
        <v>0</v>
      </c>
      <c r="Q461" s="10" t="b">
        <f aca="false">--(COUNTIFS(
   [1]Fichajes_Realizados!A$2:A$5000,A461,
   [1]Fichajes_Realizados!G$2:G$5000,$X$3
)&gt;0)</f>
        <v>0</v>
      </c>
      <c r="R461" s="5" t="n">
        <f aca="false">_xlfn.XLOOKUP(C461, [1]Estado_Equipos!A$2:A$500, [1]Estado_Equipos!J$2:J$500, "")</f>
        <v>75</v>
      </c>
      <c r="S461" s="5" t="n">
        <f aca="false">IF(H461&lt;=16,1.45,
IF(H461&gt;=41,0.3,
CHOOSE(ROUNDDOWN((H461-16)/2,0)+1,
1.45,1.38,1.3,1.23,1.17,1.15,1.12,1.05,0.95,0.8,0.6,0.4,0.3)))</f>
        <v>1.05</v>
      </c>
      <c r="T461" s="5" t="n">
        <f aca="false">CHOOSE(N461+1,1.2,1,0.85,0.7)</f>
        <v>1.2</v>
      </c>
      <c r="U461" s="5" t="n">
        <f aca="false">IF(F461="PO",0.6,
IF(F461="CT",0.75,
IF(F461="LI",0.8,
IF(F461="LD",0.8,
IF(F461="MCD",0.85,
IF(F461="MC",0.95,
IF(F461="MO",1.05,
IF(F461="EI",1.1,
IF(F461="ED",1.1,
IF(F461="SD",1.15,
IF(F461="DC",1.2,0)))))))))))</f>
        <v>0.85</v>
      </c>
    </row>
    <row r="462" customFormat="false" ht="16.4" hidden="false" customHeight="false" outlineLevel="0" collapsed="false">
      <c r="A462" s="1" t="n">
        <v>461</v>
      </c>
      <c r="B462" s="5" t="str">
        <f aca="false">[1]Base_Jugadores!B462</f>
        <v>César Tárrega</v>
      </c>
      <c r="C462" s="5" t="str">
        <f aca="false">IFERROR(
   _xlfn.XLOOKUP(VALUE(A462),[1]Fichajes_Realizados!A$2:A$50000,[1]Fichajes_Realizados!D$2:D$50000,,0,-1),
   _xlfn.XLOOKUP(VALUE(A462),[1]Base_Jugadores!A$2:A$50000,[1]Base_Jugadores!C$2:C$50000)
)</f>
        <v>Valencia CF</v>
      </c>
      <c r="D462" s="5" t="str">
        <f aca="false">[1]Base_Jugadores!D462</f>
        <v>España</v>
      </c>
      <c r="E462" s="3"/>
      <c r="F462" s="5" t="str">
        <f aca="false">[1]Base_Jugadores!E462</f>
        <v>CT</v>
      </c>
      <c r="G462" s="5" t="n">
        <f aca="false">[1]Base_Jugadores!F462</f>
        <v>72</v>
      </c>
      <c r="H462" s="5" t="n">
        <f aca="false">[1]Base_Jugadores!G462</f>
        <v>23</v>
      </c>
      <c r="I462" s="7" t="n">
        <f aca="false" t="array" ref="I462:I462">_xlfn.XLOOKUP(G462,{55;56;57;58;59;60;61;62;63;64;65;66;67;68;69;70;71;72;73;74;75;76;77;78;79;80;81;82;83;84;85;86;87;88;89;90;91;92;93;94;95;96;97;98;99},{100000;130000;160000;190000;220000;250000;300000;350000;400000;450000;500000;600000;700000;800000;900000;1000000;1500000;2000000;3000000;4000000;5000000;6500000;8000000;10000000;12500000;15000000;20000000;25000000;30000000;35000000;40000000;55000000;70000000;80000000;90000000;110000000;130000000;160000000;190000000;220000000;250000000;280000000;310000000;340000000;400000000})</f>
        <v>2000000</v>
      </c>
      <c r="J462" s="7" t="n">
        <f aca="false">I462*S462*T462*U462</f>
        <v>1568250</v>
      </c>
      <c r="K462" s="3"/>
      <c r="L462" s="3"/>
      <c r="M462" s="3"/>
      <c r="N462" s="9" t="n">
        <v>2</v>
      </c>
      <c r="O462" s="4" t="n">
        <v>0</v>
      </c>
      <c r="P462" s="5" t="n">
        <f aca="false">IF(COUNTIF([1]Base_Jugadores!J$2:J$500,B462)&gt;0,1,0)</f>
        <v>0</v>
      </c>
      <c r="Q462" s="10" t="b">
        <f aca="false">--(COUNTIFS(
   [1]Fichajes_Realizados!A$2:A$5000,A462,
   [1]Fichajes_Realizados!G$2:G$5000,$X$3
)&gt;0)</f>
        <v>0</v>
      </c>
      <c r="R462" s="5" t="n">
        <f aca="false">_xlfn.XLOOKUP(C462, [1]Estado_Equipos!A$2:A$500, [1]Estado_Equipos!J$2:J$500, "")</f>
        <v>75</v>
      </c>
      <c r="S462" s="5" t="n">
        <f aca="false">IF(H462&lt;=16,1.45,
IF(H462&gt;=41,0.3,
CHOOSE(ROUNDDOWN((H462-16)/2,0)+1,
1.45,1.38,1.3,1.23,1.17,1.15,1.12,1.05,0.95,0.8,0.6,0.4,0.3)))</f>
        <v>1.23</v>
      </c>
      <c r="T462" s="5" t="n">
        <f aca="false">CHOOSE(N462+1,1.2,1,0.85,0.7)</f>
        <v>0.85</v>
      </c>
      <c r="U462" s="5" t="n">
        <f aca="false">IF(F462="PO",0.6,
IF(F462="CT",0.75,
IF(F462="LI",0.8,
IF(F462="LD",0.8,
IF(F462="MCD",0.85,
IF(F462="MC",0.95,
IF(F462="MO",1.05,
IF(F462="EI",1.1,
IF(F462="ED",1.1,
IF(F462="SD",1.15,
IF(F462="DC",1.2,0)))))))))))</f>
        <v>0.75</v>
      </c>
    </row>
    <row r="463" customFormat="false" ht="16.4" hidden="false" customHeight="false" outlineLevel="0" collapsed="false">
      <c r="A463" s="1" t="n">
        <v>462</v>
      </c>
      <c r="B463" s="5" t="str">
        <f aca="false">[1]Base_Jugadores!B463</f>
        <v>Cristian Rivero</v>
      </c>
      <c r="C463" s="5" t="str">
        <f aca="false">IFERROR(
   _xlfn.XLOOKUP(VALUE(A463),[1]Fichajes_Realizados!A$2:A$50000,[1]Fichajes_Realizados!D$2:D$50000,,0,-1),
   _xlfn.XLOOKUP(VALUE(A463),[1]Base_Jugadores!A$2:A$50000,[1]Base_Jugadores!C$2:C$50000)
)</f>
        <v>Valencia CF</v>
      </c>
      <c r="D463" s="5" t="str">
        <f aca="false">[1]Base_Jugadores!D463</f>
        <v>España</v>
      </c>
      <c r="E463" s="3"/>
      <c r="F463" s="5" t="str">
        <f aca="false">[1]Base_Jugadores!E463</f>
        <v>PO</v>
      </c>
      <c r="G463" s="5" t="n">
        <f aca="false">[1]Base_Jugadores!F463</f>
        <v>69</v>
      </c>
      <c r="H463" s="5" t="n">
        <f aca="false">[1]Base_Jugadores!G463</f>
        <v>27</v>
      </c>
      <c r="I463" s="7" t="n">
        <f aca="false" t="array" ref="I463:I463">_xlfn.XLOOKUP(G463,{55;56;57;58;59;60;61;62;63;64;65;66;67;68;69;70;71;72;73;74;75;76;77;78;79;80;81;82;83;84;85;86;87;88;89;90;91;92;93;94;95;96;97;98;99},{100000;130000;160000;190000;220000;250000;300000;350000;400000;450000;500000;600000;700000;800000;900000;1000000;1500000;2000000;3000000;4000000;5000000;6500000;8000000;10000000;12500000;15000000;20000000;25000000;30000000;35000000;40000000;55000000;70000000;80000000;90000000;110000000;130000000;160000000;190000000;220000000;250000000;280000000;310000000;340000000;400000000})</f>
        <v>900000</v>
      </c>
      <c r="J463" s="7" t="n">
        <f aca="false">I463*S463*T463*U463</f>
        <v>527850</v>
      </c>
      <c r="K463" s="3"/>
      <c r="L463" s="3"/>
      <c r="M463" s="3"/>
      <c r="N463" s="9" t="n">
        <v>2</v>
      </c>
      <c r="O463" s="4" t="n">
        <v>0</v>
      </c>
      <c r="P463" s="5" t="n">
        <f aca="false">IF(COUNTIF([1]Base_Jugadores!J$2:J$500,B463)&gt;0,1,0)</f>
        <v>0</v>
      </c>
      <c r="Q463" s="10" t="b">
        <f aca="false">--(COUNTIFS(
   [1]Fichajes_Realizados!A$2:A$5000,A463,
   [1]Fichajes_Realizados!G$2:G$5000,$X$3
)&gt;0)</f>
        <v>0</v>
      </c>
      <c r="R463" s="5" t="n">
        <f aca="false">_xlfn.XLOOKUP(C463, [1]Estado_Equipos!A$2:A$500, [1]Estado_Equipos!J$2:J$500, "")</f>
        <v>75</v>
      </c>
      <c r="S463" s="5" t="n">
        <f aca="false">IF(H463&lt;=16,1.45,
IF(H463&gt;=41,0.3,
CHOOSE(ROUNDDOWN((H463-16)/2,0)+1,
1.45,1.38,1.3,1.23,1.17,1.15,1.12,1.05,0.95,0.8,0.6,0.4,0.3)))</f>
        <v>1.15</v>
      </c>
      <c r="T463" s="5" t="n">
        <f aca="false">CHOOSE(N463+1,1.2,1,0.85,0.7)</f>
        <v>0.85</v>
      </c>
      <c r="U463" s="5" t="n">
        <f aca="false">IF(F463="PO",0.6,
IF(F463="CT",0.75,
IF(F463="LI",0.8,
IF(F463="LD",0.8,
IF(F463="MCD",0.85,
IF(F463="MC",0.95,
IF(F463="MO",1.05,
IF(F463="EI",1.1,
IF(F463="ED",1.1,
IF(F463="SD",1.15,
IF(F463="DC",1.2,0)))))))))))</f>
        <v>0.6</v>
      </c>
    </row>
    <row r="464" customFormat="false" ht="16.4" hidden="false" customHeight="false" outlineLevel="0" collapsed="false">
      <c r="A464" s="1" t="n">
        <v>463</v>
      </c>
      <c r="B464" s="5" t="str">
        <f aca="false">[1]Base_Jugadores!B464</f>
        <v>Dani Raba</v>
      </c>
      <c r="C464" s="5" t="str">
        <f aca="false">IFERROR(
   _xlfn.XLOOKUP(VALUE(A464),[1]Fichajes_Realizados!A$2:A$50000,[1]Fichajes_Realizados!D$2:D$50000,,0,-1),
   _xlfn.XLOOKUP(VALUE(A464),[1]Base_Jugadores!A$2:A$50000,[1]Base_Jugadores!C$2:C$50000)
)</f>
        <v>Valencia CF</v>
      </c>
      <c r="D464" s="5" t="str">
        <f aca="false">[1]Base_Jugadores!D464</f>
        <v>España</v>
      </c>
      <c r="E464" s="3"/>
      <c r="F464" s="5" t="str">
        <f aca="false">[1]Base_Jugadores!E464</f>
        <v>SD</v>
      </c>
      <c r="G464" s="5" t="n">
        <f aca="false">[1]Base_Jugadores!F464</f>
        <v>73</v>
      </c>
      <c r="H464" s="5" t="n">
        <f aca="false">[1]Base_Jugadores!G464</f>
        <v>30</v>
      </c>
      <c r="I464" s="7" t="n">
        <f aca="false" t="array" ref="I464:I464">_xlfn.XLOOKUP(G464,{55;56;57;58;59;60;61;62;63;64;65;66;67;68;69;70;71;72;73;74;75;76;77;78;79;80;81;82;83;84;85;86;87;88;89;90;91;92;93;94;95;96;97;98;99},{100000;130000;160000;190000;220000;250000;300000;350000;400000;450000;500000;600000;700000;800000;900000;1000000;1500000;2000000;3000000;4000000;5000000;6500000;8000000;10000000;12500000;15000000;20000000;25000000;30000000;35000000;40000000;55000000;70000000;80000000;90000000;110000000;130000000;160000000;190000000;220000000;250000000;280000000;310000000;340000000;400000000})</f>
        <v>3000000</v>
      </c>
      <c r="J464" s="7" t="n">
        <f aca="false">I464*S464*T464*U464</f>
        <v>3079125</v>
      </c>
      <c r="K464" s="3"/>
      <c r="L464" s="3"/>
      <c r="M464" s="3"/>
      <c r="N464" s="9" t="n">
        <v>2</v>
      </c>
      <c r="O464" s="4" t="n">
        <v>0</v>
      </c>
      <c r="P464" s="5" t="n">
        <f aca="false">IF(COUNTIF([1]Base_Jugadores!J$2:J$500,B464)&gt;0,1,0)</f>
        <v>0</v>
      </c>
      <c r="Q464" s="10" t="b">
        <f aca="false">--(COUNTIFS(
   [1]Fichajes_Realizados!A$2:A$5000,A464,
   [1]Fichajes_Realizados!G$2:G$5000,$X$3
)&gt;0)</f>
        <v>0</v>
      </c>
      <c r="R464" s="5" t="n">
        <f aca="false">_xlfn.XLOOKUP(C464, [1]Estado_Equipos!A$2:A$500, [1]Estado_Equipos!J$2:J$500, "")</f>
        <v>75</v>
      </c>
      <c r="S464" s="5" t="n">
        <f aca="false">IF(H464&lt;=16,1.45,
IF(H464&gt;=41,0.3,
CHOOSE(ROUNDDOWN((H464-16)/2,0)+1,
1.45,1.38,1.3,1.23,1.17,1.15,1.12,1.05,0.95,0.8,0.6,0.4,0.3)))</f>
        <v>1.05</v>
      </c>
      <c r="T464" s="5" t="n">
        <f aca="false">CHOOSE(N464+1,1.2,1,0.85,0.7)</f>
        <v>0.85</v>
      </c>
      <c r="U464" s="5" t="n">
        <f aca="false">IF(F464="PO",0.6,
IF(F464="CT",0.75,
IF(F464="LI",0.8,
IF(F464="LD",0.8,
IF(F464="MCD",0.85,
IF(F464="MC",0.95,
IF(F464="MO",1.05,
IF(F464="EI",1.1,
IF(F464="ED",1.1,
IF(F464="SD",1.15,
IF(F464="DC",1.2,0)))))))))))</f>
        <v>1.15</v>
      </c>
    </row>
    <row r="465" customFormat="false" ht="16.4" hidden="false" customHeight="false" outlineLevel="0" collapsed="false">
      <c r="A465" s="1" t="n">
        <v>464</v>
      </c>
      <c r="B465" s="5" t="str">
        <f aca="false">[1]Base_Jugadores!B465</f>
        <v>Diego López</v>
      </c>
      <c r="C465" s="5" t="str">
        <f aca="false">IFERROR(
   _xlfn.XLOOKUP(VALUE(A465),[1]Fichajes_Realizados!A$2:A$50000,[1]Fichajes_Realizados!D$2:D$50000,,0,-1),
   _xlfn.XLOOKUP(VALUE(A465),[1]Base_Jugadores!A$2:A$50000,[1]Base_Jugadores!C$2:C$50000)
)</f>
        <v>Valencia CF</v>
      </c>
      <c r="D465" s="5" t="str">
        <f aca="false">[1]Base_Jugadores!D465</f>
        <v>España</v>
      </c>
      <c r="E465" s="3"/>
      <c r="F465" s="5" t="str">
        <f aca="false">[1]Base_Jugadores!E465</f>
        <v>ED</v>
      </c>
      <c r="G465" s="5" t="n">
        <f aca="false">[1]Base_Jugadores!F465</f>
        <v>75</v>
      </c>
      <c r="H465" s="5" t="n">
        <f aca="false">[1]Base_Jugadores!G465</f>
        <v>23</v>
      </c>
      <c r="I465" s="7" t="n">
        <f aca="false" t="array" ref="I465:I465">_xlfn.XLOOKUP(G465,{55;56;57;58;59;60;61;62;63;64;65;66;67;68;69;70;71;72;73;74;75;76;77;78;79;80;81;82;83;84;85;86;87;88;89;90;91;92;93;94;95;96;97;98;99},{100000;130000;160000;190000;220000;250000;300000;350000;400000;450000;500000;600000;700000;800000;900000;1000000;1500000;2000000;3000000;4000000;5000000;6500000;8000000;10000000;12500000;15000000;20000000;25000000;30000000;35000000;40000000;55000000;70000000;80000000;90000000;110000000;130000000;160000000;190000000;220000000;250000000;280000000;310000000;340000000;400000000})</f>
        <v>5000000</v>
      </c>
      <c r="J465" s="7" t="n">
        <f aca="false">I465*S465*T465*U465</f>
        <v>8118000</v>
      </c>
      <c r="K465" s="3"/>
      <c r="L465" s="3"/>
      <c r="M465" s="3"/>
      <c r="N465" s="9" t="n">
        <v>0</v>
      </c>
      <c r="O465" s="4" t="n">
        <v>0</v>
      </c>
      <c r="P465" s="5" t="n">
        <f aca="false">IF(COUNTIF([1]Base_Jugadores!J$2:J$500,B465)&gt;0,1,0)</f>
        <v>0</v>
      </c>
      <c r="Q465" s="10" t="b">
        <f aca="false">--(COUNTIFS(
   [1]Fichajes_Realizados!A$2:A$5000,A465,
   [1]Fichajes_Realizados!G$2:G$5000,$X$3
)&gt;0)</f>
        <v>0</v>
      </c>
      <c r="R465" s="5" t="n">
        <f aca="false">_xlfn.XLOOKUP(C465, [1]Estado_Equipos!A$2:A$500, [1]Estado_Equipos!J$2:J$500, "")</f>
        <v>75</v>
      </c>
      <c r="S465" s="5" t="n">
        <f aca="false">IF(H465&lt;=16,1.45,
IF(H465&gt;=41,0.3,
CHOOSE(ROUNDDOWN((H465-16)/2,0)+1,
1.45,1.38,1.3,1.23,1.17,1.15,1.12,1.05,0.95,0.8,0.6,0.4,0.3)))</f>
        <v>1.23</v>
      </c>
      <c r="T465" s="5" t="n">
        <f aca="false">CHOOSE(N465+1,1.2,1,0.85,0.7)</f>
        <v>1.2</v>
      </c>
      <c r="U465" s="5" t="n">
        <f aca="false">IF(F465="PO",0.6,
IF(F465="CT",0.75,
IF(F465="LI",0.8,
IF(F465="LD",0.8,
IF(F465="MCD",0.85,
IF(F465="MC",0.95,
IF(F465="MO",1.05,
IF(F465="EI",1.1,
IF(F465="ED",1.1,
IF(F465="SD",1.15,
IF(F465="DC",1.2,0)))))))))))</f>
        <v>1.1</v>
      </c>
    </row>
    <row r="466" customFormat="false" ht="16.4" hidden="false" customHeight="false" outlineLevel="0" collapsed="false">
      <c r="A466" s="1" t="n">
        <v>465</v>
      </c>
      <c r="B466" s="5" t="str">
        <f aca="false">[1]Base_Jugadores!B466</f>
        <v>Dimitri Foulquier</v>
      </c>
      <c r="C466" s="5" t="str">
        <f aca="false">IFERROR(
   _xlfn.XLOOKUP(VALUE(A466),[1]Fichajes_Realizados!A$2:A$50000,[1]Fichajes_Realizados!D$2:D$50000,,0,-1),
   _xlfn.XLOOKUP(VALUE(A466),[1]Base_Jugadores!A$2:A$50000,[1]Base_Jugadores!C$2:C$50000)
)</f>
        <v>Valencia CF</v>
      </c>
      <c r="D466" s="5" t="str">
        <f aca="false">[1]Base_Jugadores!D466</f>
        <v>Guadalupe</v>
      </c>
      <c r="E466" s="3"/>
      <c r="F466" s="5" t="str">
        <f aca="false">[1]Base_Jugadores!E466</f>
        <v>LD</v>
      </c>
      <c r="G466" s="5" t="n">
        <f aca="false">[1]Base_Jugadores!F466</f>
        <v>74</v>
      </c>
      <c r="H466" s="5" t="n">
        <f aca="false">[1]Base_Jugadores!G466</f>
        <v>32</v>
      </c>
      <c r="I466" s="7" t="n">
        <f aca="false" t="array" ref="I466:I466">_xlfn.XLOOKUP(G466,{55;56;57;58;59;60;61;62;63;64;65;66;67;68;69;70;71;72;73;74;75;76;77;78;79;80;81;82;83;84;85;86;87;88;89;90;91;92;93;94;95;96;97;98;99},{100000;130000;160000;190000;220000;250000;300000;350000;400000;450000;500000;600000;700000;800000;900000;1000000;1500000;2000000;3000000;4000000;5000000;6500000;8000000;10000000;12500000;15000000;20000000;25000000;30000000;35000000;40000000;55000000;70000000;80000000;90000000;110000000;130000000;160000000;190000000;220000000;250000000;280000000;310000000;340000000;400000000})</f>
        <v>4000000</v>
      </c>
      <c r="J466" s="7" t="n">
        <f aca="false">I466*S466*T466*U466</f>
        <v>2584000</v>
      </c>
      <c r="K466" s="3"/>
      <c r="L466" s="3"/>
      <c r="M466" s="3"/>
      <c r="N466" s="9" t="n">
        <v>2</v>
      </c>
      <c r="O466" s="4" t="n">
        <v>0</v>
      </c>
      <c r="P466" s="5" t="n">
        <f aca="false">IF(COUNTIF([1]Base_Jugadores!J$2:J$500,B466)&gt;0,1,0)</f>
        <v>0</v>
      </c>
      <c r="Q466" s="10" t="b">
        <f aca="false">--(COUNTIFS(
   [1]Fichajes_Realizados!A$2:A$5000,A466,
   [1]Fichajes_Realizados!G$2:G$5000,$X$3
)&gt;0)</f>
        <v>0</v>
      </c>
      <c r="R466" s="5" t="n">
        <f aca="false">_xlfn.XLOOKUP(C466, [1]Estado_Equipos!A$2:A$500, [1]Estado_Equipos!J$2:J$500, "")</f>
        <v>75</v>
      </c>
      <c r="S466" s="5" t="n">
        <f aca="false">IF(H466&lt;=16,1.45,
IF(H466&gt;=41,0.3,
CHOOSE(ROUNDDOWN((H466-16)/2,0)+1,
1.45,1.38,1.3,1.23,1.17,1.15,1.12,1.05,0.95,0.8,0.6,0.4,0.3)))</f>
        <v>0.95</v>
      </c>
      <c r="T466" s="5" t="n">
        <f aca="false">CHOOSE(N466+1,1.2,1,0.85,0.7)</f>
        <v>0.85</v>
      </c>
      <c r="U466" s="5" t="n">
        <f aca="false">IF(F466="PO",0.6,
IF(F466="CT",0.75,
IF(F466="LI",0.8,
IF(F466="LD",0.8,
IF(F466="MCD",0.85,
IF(F466="MC",0.95,
IF(F466="MO",1.05,
IF(F466="EI",1.1,
IF(F466="ED",1.1,
IF(F466="SD",1.15,
IF(F466="DC",1.2,0)))))))))))</f>
        <v>0.8</v>
      </c>
    </row>
    <row r="467" customFormat="false" ht="16.4" hidden="false" customHeight="false" outlineLevel="0" collapsed="false">
      <c r="A467" s="1" t="n">
        <v>466</v>
      </c>
      <c r="B467" s="5" t="str">
        <f aca="false">[1]Base_Jugadores!B467</f>
        <v>Eray Cömert</v>
      </c>
      <c r="C467" s="5" t="str">
        <f aca="false">IFERROR(
   _xlfn.XLOOKUP(VALUE(A467),[1]Fichajes_Realizados!A$2:A$50000,[1]Fichajes_Realizados!D$2:D$50000,,0,-1),
   _xlfn.XLOOKUP(VALUE(A467),[1]Base_Jugadores!A$2:A$50000,[1]Base_Jugadores!C$2:C$50000)
)</f>
        <v>Valencia CF</v>
      </c>
      <c r="D467" s="5" t="str">
        <f aca="false">[1]Base_Jugadores!D467</f>
        <v>Suiza</v>
      </c>
      <c r="E467" s="3"/>
      <c r="F467" s="5" t="str">
        <f aca="false">[1]Base_Jugadores!E467</f>
        <v>CT</v>
      </c>
      <c r="G467" s="5" t="n">
        <f aca="false">[1]Base_Jugadores!F467</f>
        <v>74</v>
      </c>
      <c r="H467" s="5" t="n">
        <f aca="false">[1]Base_Jugadores!G467</f>
        <v>27</v>
      </c>
      <c r="I467" s="7" t="n">
        <f aca="false" t="array" ref="I467:I467">_xlfn.XLOOKUP(G467,{55;56;57;58;59;60;61;62;63;64;65;66;67;68;69;70;71;72;73;74;75;76;77;78;79;80;81;82;83;84;85;86;87;88;89;90;91;92;93;94;95;96;97;98;99},{100000;130000;160000;190000;220000;250000;300000;350000;400000;450000;500000;600000;700000;800000;900000;1000000;1500000;2000000;3000000;4000000;5000000;6500000;8000000;10000000;12500000;15000000;20000000;25000000;30000000;35000000;40000000;55000000;70000000;80000000;90000000;110000000;130000000;160000000;190000000;220000000;250000000;280000000;310000000;340000000;400000000})</f>
        <v>4000000</v>
      </c>
      <c r="J467" s="7" t="n">
        <f aca="false">I467*S467*T467*U467</f>
        <v>2932500</v>
      </c>
      <c r="K467" s="3"/>
      <c r="L467" s="3"/>
      <c r="M467" s="3"/>
      <c r="N467" s="9" t="n">
        <v>2</v>
      </c>
      <c r="O467" s="4" t="n">
        <v>0</v>
      </c>
      <c r="P467" s="5" t="n">
        <f aca="false">IF(COUNTIF([1]Base_Jugadores!J$2:J$500,B467)&gt;0,1,0)</f>
        <v>0</v>
      </c>
      <c r="Q467" s="10" t="b">
        <f aca="false">--(COUNTIFS(
   [1]Fichajes_Realizados!A$2:A$5000,A467,
   [1]Fichajes_Realizados!G$2:G$5000,$X$3
)&gt;0)</f>
        <v>0</v>
      </c>
      <c r="R467" s="5" t="n">
        <f aca="false">_xlfn.XLOOKUP(C467, [1]Estado_Equipos!A$2:A$500, [1]Estado_Equipos!J$2:J$500, "")</f>
        <v>75</v>
      </c>
      <c r="S467" s="5" t="n">
        <f aca="false">IF(H467&lt;=16,1.45,
IF(H467&gt;=41,0.3,
CHOOSE(ROUNDDOWN((H467-16)/2,0)+1,
1.45,1.38,1.3,1.23,1.17,1.15,1.12,1.05,0.95,0.8,0.6,0.4,0.3)))</f>
        <v>1.15</v>
      </c>
      <c r="T467" s="5" t="n">
        <f aca="false">CHOOSE(N467+1,1.2,1,0.85,0.7)</f>
        <v>0.85</v>
      </c>
      <c r="U467" s="5" t="n">
        <f aca="false">IF(F467="PO",0.6,
IF(F467="CT",0.75,
IF(F467="LI",0.8,
IF(F467="LD",0.8,
IF(F467="MCD",0.85,
IF(F467="MC",0.95,
IF(F467="MO",1.05,
IF(F467="EI",1.1,
IF(F467="ED",1.1,
IF(F467="SD",1.15,
IF(F467="DC",1.2,0)))))))))))</f>
        <v>0.75</v>
      </c>
    </row>
    <row r="468" customFormat="false" ht="16.4" hidden="false" customHeight="false" outlineLevel="0" collapsed="false">
      <c r="A468" s="1" t="n">
        <v>467</v>
      </c>
      <c r="B468" s="5" t="str">
        <f aca="false">[1]Base_Jugadores!B468</f>
        <v>Filip Ugrinic</v>
      </c>
      <c r="C468" s="5" t="str">
        <f aca="false">IFERROR(
   _xlfn.XLOOKUP(VALUE(A468),[1]Fichajes_Realizados!A$2:A$50000,[1]Fichajes_Realizados!D$2:D$50000,,0,-1),
   _xlfn.XLOOKUP(VALUE(A468),[1]Base_Jugadores!A$2:A$50000,[1]Base_Jugadores!C$2:C$50000)
)</f>
        <v>Valencia CF</v>
      </c>
      <c r="D468" s="5" t="str">
        <f aca="false">[1]Base_Jugadores!D468</f>
        <v>Suiza</v>
      </c>
      <c r="E468" s="3"/>
      <c r="F468" s="5" t="str">
        <f aca="false">[1]Base_Jugadores!E468</f>
        <v>MC</v>
      </c>
      <c r="G468" s="5" t="n">
        <f aca="false">[1]Base_Jugadores!F468</f>
        <v>74</v>
      </c>
      <c r="H468" s="5" t="n">
        <f aca="false">[1]Base_Jugadores!G468</f>
        <v>26</v>
      </c>
      <c r="I468" s="7" t="n">
        <f aca="false" t="array" ref="I468:I468">_xlfn.XLOOKUP(G468,{55;56;57;58;59;60;61;62;63;64;65;66;67;68;69;70;71;72;73;74;75;76;77;78;79;80;81;82;83;84;85;86;87;88;89;90;91;92;93;94;95;96;97;98;99},{100000;130000;160000;190000;220000;250000;300000;350000;400000;450000;500000;600000;700000;800000;900000;1000000;1500000;2000000;3000000;4000000;5000000;6500000;8000000;10000000;12500000;15000000;20000000;25000000;30000000;35000000;40000000;55000000;70000000;80000000;90000000;110000000;130000000;160000000;190000000;220000000;250000000;280000000;310000000;340000000;400000000})</f>
        <v>4000000</v>
      </c>
      <c r="J468" s="7" t="n">
        <f aca="false">I468*S468*T468*U468</f>
        <v>4370000</v>
      </c>
      <c r="K468" s="3"/>
      <c r="L468" s="3"/>
      <c r="M468" s="3"/>
      <c r="N468" s="9" t="n">
        <v>1</v>
      </c>
      <c r="O468" s="4" t="n">
        <v>0</v>
      </c>
      <c r="P468" s="5" t="n">
        <f aca="false">IF(COUNTIF([1]Base_Jugadores!J$2:J$500,B468)&gt;0,1,0)</f>
        <v>0</v>
      </c>
      <c r="Q468" s="10" t="b">
        <f aca="false">--(COUNTIFS(
   [1]Fichajes_Realizados!A$2:A$5000,A468,
   [1]Fichajes_Realizados!G$2:G$5000,$X$3
)&gt;0)</f>
        <v>0</v>
      </c>
      <c r="R468" s="5" t="n">
        <f aca="false">_xlfn.XLOOKUP(C468, [1]Estado_Equipos!A$2:A$500, [1]Estado_Equipos!J$2:J$500, "")</f>
        <v>75</v>
      </c>
      <c r="S468" s="5" t="n">
        <f aca="false">IF(H468&lt;=16,1.45,
IF(H468&gt;=41,0.3,
CHOOSE(ROUNDDOWN((H468-16)/2,0)+1,
1.45,1.38,1.3,1.23,1.17,1.15,1.12,1.05,0.95,0.8,0.6,0.4,0.3)))</f>
        <v>1.15</v>
      </c>
      <c r="T468" s="5" t="n">
        <f aca="false">CHOOSE(N468+1,1.2,1,0.85,0.7)</f>
        <v>1</v>
      </c>
      <c r="U468" s="5" t="n">
        <f aca="false">IF(F468="PO",0.6,
IF(F468="CT",0.75,
IF(F468="LI",0.8,
IF(F468="LD",0.8,
IF(F468="MCD",0.85,
IF(F468="MC",0.95,
IF(F468="MO",1.05,
IF(F468="EI",1.1,
IF(F468="ED",1.1,
IF(F468="SD",1.15,
IF(F468="DC",1.2,0)))))))))))</f>
        <v>0.95</v>
      </c>
    </row>
    <row r="469" customFormat="false" ht="16.4" hidden="false" customHeight="false" outlineLevel="0" collapsed="false">
      <c r="A469" s="1" t="n">
        <v>468</v>
      </c>
      <c r="B469" s="5" t="str">
        <f aca="false">[1]Base_Jugadores!B469</f>
        <v>Hugo Duro</v>
      </c>
      <c r="C469" s="5" t="str">
        <f aca="false">IFERROR(
   _xlfn.XLOOKUP(VALUE(A469),[1]Fichajes_Realizados!A$2:A$50000,[1]Fichajes_Realizados!D$2:D$50000,,0,-1),
   _xlfn.XLOOKUP(VALUE(A469),[1]Base_Jugadores!A$2:A$50000,[1]Base_Jugadores!C$2:C$50000)
)</f>
        <v>Valencia CF</v>
      </c>
      <c r="D469" s="5" t="str">
        <f aca="false">[1]Base_Jugadores!D469</f>
        <v>España</v>
      </c>
      <c r="E469" s="3"/>
      <c r="F469" s="5" t="str">
        <f aca="false">[1]Base_Jugadores!E469</f>
        <v>DC</v>
      </c>
      <c r="G469" s="5" t="n">
        <f aca="false">[1]Base_Jugadores!F469</f>
        <v>78</v>
      </c>
      <c r="H469" s="5" t="n">
        <f aca="false">[1]Base_Jugadores!G469</f>
        <v>26</v>
      </c>
      <c r="I469" s="7" t="n">
        <f aca="false" t="array" ref="I469:I469">_xlfn.XLOOKUP(G469,{55;56;57;58;59;60;61;62;63;64;65;66;67;68;69;70;71;72;73;74;75;76;77;78;79;80;81;82;83;84;85;86;87;88;89;90;91;92;93;94;95;96;97;98;99},{100000;130000;160000;190000;220000;250000;300000;350000;400000;450000;500000;600000;700000;800000;900000;1000000;1500000;2000000;3000000;4000000;5000000;6500000;8000000;10000000;12500000;15000000;20000000;25000000;30000000;35000000;40000000;55000000;70000000;80000000;90000000;110000000;130000000;160000000;190000000;220000000;250000000;280000000;310000000;340000000;400000000})</f>
        <v>10000000</v>
      </c>
      <c r="J469" s="7" t="n">
        <f aca="false">I469*S469*T469*U469</f>
        <v>16560000</v>
      </c>
      <c r="K469" s="3"/>
      <c r="L469" s="3"/>
      <c r="M469" s="3"/>
      <c r="N469" s="9" t="n">
        <v>0</v>
      </c>
      <c r="O469" s="4" t="n">
        <v>0</v>
      </c>
      <c r="P469" s="5" t="n">
        <f aca="false">IF(COUNTIF([1]Base_Jugadores!J$2:J$500,B469)&gt;0,1,0)</f>
        <v>0</v>
      </c>
      <c r="Q469" s="10" t="b">
        <f aca="false">--(COUNTIFS(
   [1]Fichajes_Realizados!A$2:A$5000,A469,
   [1]Fichajes_Realizados!G$2:G$5000,$X$3
)&gt;0)</f>
        <v>0</v>
      </c>
      <c r="R469" s="5" t="n">
        <f aca="false">_xlfn.XLOOKUP(C469, [1]Estado_Equipos!A$2:A$500, [1]Estado_Equipos!J$2:J$500, "")</f>
        <v>75</v>
      </c>
      <c r="S469" s="5" t="n">
        <f aca="false">IF(H469&lt;=16,1.45,
IF(H469&gt;=41,0.3,
CHOOSE(ROUNDDOWN((H469-16)/2,0)+1,
1.45,1.38,1.3,1.23,1.17,1.15,1.12,1.05,0.95,0.8,0.6,0.4,0.3)))</f>
        <v>1.15</v>
      </c>
      <c r="T469" s="5" t="n">
        <f aca="false">CHOOSE(N469+1,1.2,1,0.85,0.7)</f>
        <v>1.2</v>
      </c>
      <c r="U469" s="5" t="n">
        <f aca="false">IF(F469="PO",0.6,
IF(F469="CT",0.75,
IF(F469="LI",0.8,
IF(F469="LD",0.8,
IF(F469="MCD",0.85,
IF(F469="MC",0.95,
IF(F469="MO",1.05,
IF(F469="EI",1.1,
IF(F469="ED",1.1,
IF(F469="SD",1.15,
IF(F469="DC",1.2,0)))))))))))</f>
        <v>1.2</v>
      </c>
    </row>
    <row r="470" customFormat="false" ht="16.4" hidden="false" customHeight="false" outlineLevel="0" collapsed="false">
      <c r="A470" s="1" t="n">
        <v>469</v>
      </c>
      <c r="B470" s="5" t="str">
        <f aca="false">[1]Base_Jugadores!B470</f>
        <v>Javi Guerra</v>
      </c>
      <c r="C470" s="5" t="str">
        <f aca="false">IFERROR(
   _xlfn.XLOOKUP(VALUE(A470),[1]Fichajes_Realizados!A$2:A$50000,[1]Fichajes_Realizados!D$2:D$50000,,0,-1),
   _xlfn.XLOOKUP(VALUE(A470),[1]Base_Jugadores!A$2:A$50000,[1]Base_Jugadores!C$2:C$50000)
)</f>
        <v>Valencia CF</v>
      </c>
      <c r="D470" s="5" t="str">
        <f aca="false">[1]Base_Jugadores!D470</f>
        <v>España</v>
      </c>
      <c r="E470" s="3"/>
      <c r="F470" s="5" t="str">
        <f aca="false">[1]Base_Jugadores!E470</f>
        <v>MC</v>
      </c>
      <c r="G470" s="5" t="n">
        <f aca="false">[1]Base_Jugadores!F470</f>
        <v>75</v>
      </c>
      <c r="H470" s="5" t="n">
        <f aca="false">[1]Base_Jugadores!G470</f>
        <v>22</v>
      </c>
      <c r="I470" s="7" t="n">
        <f aca="false" t="array" ref="I470:I470">_xlfn.XLOOKUP(G470,{55;56;57;58;59;60;61;62;63;64;65;66;67;68;69;70;71;72;73;74;75;76;77;78;79;80;81;82;83;84;85;86;87;88;89;90;91;92;93;94;95;96;97;98;99},{100000;130000;160000;190000;220000;250000;300000;350000;400000;450000;500000;600000;700000;800000;900000;1000000;1500000;2000000;3000000;4000000;5000000;6500000;8000000;10000000;12500000;15000000;20000000;25000000;30000000;35000000;40000000;55000000;70000000;80000000;90000000;110000000;130000000;160000000;190000000;220000000;250000000;280000000;310000000;340000000;400000000})</f>
        <v>5000000</v>
      </c>
      <c r="J470" s="7" t="n">
        <f aca="false">I470*S470*T470*U470</f>
        <v>5842500</v>
      </c>
      <c r="K470" s="3"/>
      <c r="L470" s="3"/>
      <c r="M470" s="3"/>
      <c r="N470" s="9" t="n">
        <v>1</v>
      </c>
      <c r="O470" s="4" t="n">
        <v>0</v>
      </c>
      <c r="P470" s="5" t="n">
        <f aca="false">IF(COUNTIF([1]Base_Jugadores!J$2:J$500,B470)&gt;0,1,0)</f>
        <v>0</v>
      </c>
      <c r="Q470" s="10" t="b">
        <f aca="false">--(COUNTIFS(
   [1]Fichajes_Realizados!A$2:A$5000,A470,
   [1]Fichajes_Realizados!G$2:G$5000,$X$3
)&gt;0)</f>
        <v>0</v>
      </c>
      <c r="R470" s="5" t="n">
        <f aca="false">_xlfn.XLOOKUP(C470, [1]Estado_Equipos!A$2:A$500, [1]Estado_Equipos!J$2:J$500, "")</f>
        <v>75</v>
      </c>
      <c r="S470" s="5" t="n">
        <f aca="false">IF(H470&lt;=16,1.45,
IF(H470&gt;=41,0.3,
CHOOSE(ROUNDDOWN((H470-16)/2,0)+1,
1.45,1.38,1.3,1.23,1.17,1.15,1.12,1.05,0.95,0.8,0.6,0.4,0.3)))</f>
        <v>1.23</v>
      </c>
      <c r="T470" s="5" t="n">
        <f aca="false">CHOOSE(N470+1,1.2,1,0.85,0.7)</f>
        <v>1</v>
      </c>
      <c r="U470" s="5" t="n">
        <f aca="false">IF(F470="PO",0.6,
IF(F470="CT",0.75,
IF(F470="LI",0.8,
IF(F470="LD",0.8,
IF(F470="MCD",0.85,
IF(F470="MC",0.95,
IF(F470="MO",1.05,
IF(F470="EI",1.1,
IF(F470="ED",1.1,
IF(F470="SD",1.15,
IF(F470="DC",1.2,0)))))))))))</f>
        <v>0.95</v>
      </c>
    </row>
    <row r="471" customFormat="false" ht="16.4" hidden="false" customHeight="false" outlineLevel="0" collapsed="false">
      <c r="A471" s="1" t="n">
        <v>470</v>
      </c>
      <c r="B471" s="5" t="str">
        <f aca="false">[1]Base_Jugadores!B471</f>
        <v>Jesús Vázquez</v>
      </c>
      <c r="C471" s="5" t="str">
        <f aca="false">IFERROR(
   _xlfn.XLOOKUP(VALUE(A471),[1]Fichajes_Realizados!A$2:A$50000,[1]Fichajes_Realizados!D$2:D$50000,,0,-1),
   _xlfn.XLOOKUP(VALUE(A471),[1]Base_Jugadores!A$2:A$50000,[1]Base_Jugadores!C$2:C$50000)
)</f>
        <v>Valencia CF</v>
      </c>
      <c r="D471" s="5" t="str">
        <f aca="false">[1]Base_Jugadores!D471</f>
        <v>España</v>
      </c>
      <c r="E471" s="3"/>
      <c r="F471" s="5" t="str">
        <f aca="false">[1]Base_Jugadores!E471</f>
        <v>LI</v>
      </c>
      <c r="G471" s="5" t="n">
        <f aca="false">[1]Base_Jugadores!F471</f>
        <v>72</v>
      </c>
      <c r="H471" s="5" t="n">
        <f aca="false">[1]Base_Jugadores!G471</f>
        <v>22</v>
      </c>
      <c r="I471" s="7" t="n">
        <f aca="false" t="array" ref="I471:I471">_xlfn.XLOOKUP(G471,{55;56;57;58;59;60;61;62;63;64;65;66;67;68;69;70;71;72;73;74;75;76;77;78;79;80;81;82;83;84;85;86;87;88;89;90;91;92;93;94;95;96;97;98;99},{100000;130000;160000;190000;220000;250000;300000;350000;400000;450000;500000;600000;700000;800000;900000;1000000;1500000;2000000;3000000;4000000;5000000;6500000;8000000;10000000;12500000;15000000;20000000;25000000;30000000;35000000;40000000;55000000;70000000;80000000;90000000;110000000;130000000;160000000;190000000;220000000;250000000;280000000;310000000;340000000;400000000})</f>
        <v>2000000</v>
      </c>
      <c r="J471" s="7" t="n">
        <f aca="false">I471*S471*T471*U471</f>
        <v>1672800</v>
      </c>
      <c r="K471" s="3"/>
      <c r="L471" s="3"/>
      <c r="M471" s="3"/>
      <c r="N471" s="9" t="n">
        <v>2</v>
      </c>
      <c r="O471" s="4" t="n">
        <v>0</v>
      </c>
      <c r="P471" s="5" t="n">
        <f aca="false">IF(COUNTIF([1]Base_Jugadores!J$2:J$500,B471)&gt;0,1,0)</f>
        <v>0</v>
      </c>
      <c r="Q471" s="10" t="b">
        <f aca="false">--(COUNTIFS(
   [1]Fichajes_Realizados!A$2:A$5000,A471,
   [1]Fichajes_Realizados!G$2:G$5000,$X$3
)&gt;0)</f>
        <v>0</v>
      </c>
      <c r="R471" s="5" t="n">
        <f aca="false">_xlfn.XLOOKUP(C471, [1]Estado_Equipos!A$2:A$500, [1]Estado_Equipos!J$2:J$500, "")</f>
        <v>75</v>
      </c>
      <c r="S471" s="5" t="n">
        <f aca="false">IF(H471&lt;=16,1.45,
IF(H471&gt;=41,0.3,
CHOOSE(ROUNDDOWN((H471-16)/2,0)+1,
1.45,1.38,1.3,1.23,1.17,1.15,1.12,1.05,0.95,0.8,0.6,0.4,0.3)))</f>
        <v>1.23</v>
      </c>
      <c r="T471" s="5" t="n">
        <f aca="false">CHOOSE(N471+1,1.2,1,0.85,0.7)</f>
        <v>0.85</v>
      </c>
      <c r="U471" s="5" t="n">
        <f aca="false">IF(F471="PO",0.6,
IF(F471="CT",0.75,
IF(F471="LI",0.8,
IF(F471="LD",0.8,
IF(F471="MCD",0.85,
IF(F471="MC",0.95,
IF(F471="MO",1.05,
IF(F471="EI",1.1,
IF(F471="ED",1.1,
IF(F471="SD",1.15,
IF(F471="DC",1.2,0)))))))))))</f>
        <v>0.8</v>
      </c>
    </row>
    <row r="472" customFormat="false" ht="16.4" hidden="false" customHeight="false" outlineLevel="0" collapsed="false">
      <c r="A472" s="1" t="n">
        <v>471</v>
      </c>
      <c r="B472" s="5" t="str">
        <f aca="false">[1]Base_Jugadores!B472</f>
        <v>José Copete</v>
      </c>
      <c r="C472" s="5" t="str">
        <f aca="false">IFERROR(
   _xlfn.XLOOKUP(VALUE(A472),[1]Fichajes_Realizados!A$2:A$50000,[1]Fichajes_Realizados!D$2:D$50000,,0,-1),
   _xlfn.XLOOKUP(VALUE(A472),[1]Base_Jugadores!A$2:A$50000,[1]Base_Jugadores!C$2:C$50000)
)</f>
        <v>Valencia CF</v>
      </c>
      <c r="D472" s="5" t="str">
        <f aca="false">[1]Base_Jugadores!D472</f>
        <v>España</v>
      </c>
      <c r="E472" s="3"/>
      <c r="F472" s="5" t="str">
        <f aca="false">[1]Base_Jugadores!E472</f>
        <v>CT</v>
      </c>
      <c r="G472" s="5" t="n">
        <f aca="false">[1]Base_Jugadores!F472</f>
        <v>75</v>
      </c>
      <c r="H472" s="5" t="n">
        <f aca="false">[1]Base_Jugadores!G472</f>
        <v>26</v>
      </c>
      <c r="I472" s="7" t="n">
        <f aca="false" t="array" ref="I472:I472">_xlfn.XLOOKUP(G472,{55;56;57;58;59;60;61;62;63;64;65;66;67;68;69;70;71;72;73;74;75;76;77;78;79;80;81;82;83;84;85;86;87;88;89;90;91;92;93;94;95;96;97;98;99},{100000;130000;160000;190000;220000;250000;300000;350000;400000;450000;500000;600000;700000;800000;900000;1000000;1500000;2000000;3000000;4000000;5000000;6500000;8000000;10000000;12500000;15000000;20000000;25000000;30000000;35000000;40000000;55000000;70000000;80000000;90000000;110000000;130000000;160000000;190000000;220000000;250000000;280000000;310000000;340000000;400000000})</f>
        <v>5000000</v>
      </c>
      <c r="J472" s="7" t="n">
        <f aca="false">I472*S472*T472*U472</f>
        <v>5175000</v>
      </c>
      <c r="K472" s="3"/>
      <c r="L472" s="3"/>
      <c r="M472" s="3"/>
      <c r="N472" s="9" t="n">
        <v>0</v>
      </c>
      <c r="O472" s="4" t="n">
        <v>0</v>
      </c>
      <c r="P472" s="5" t="n">
        <f aca="false">IF(COUNTIF([1]Base_Jugadores!J$2:J$500,B472)&gt;0,1,0)</f>
        <v>0</v>
      </c>
      <c r="Q472" s="10" t="b">
        <f aca="false">--(COUNTIFS(
   [1]Fichajes_Realizados!A$2:A$5000,A472,
   [1]Fichajes_Realizados!G$2:G$5000,$X$3
)&gt;0)</f>
        <v>0</v>
      </c>
      <c r="R472" s="5" t="n">
        <f aca="false">_xlfn.XLOOKUP(C472, [1]Estado_Equipos!A$2:A$500, [1]Estado_Equipos!J$2:J$500, "")</f>
        <v>75</v>
      </c>
      <c r="S472" s="5" t="n">
        <f aca="false">IF(H472&lt;=16,1.45,
IF(H472&gt;=41,0.3,
CHOOSE(ROUNDDOWN((H472-16)/2,0)+1,
1.45,1.38,1.3,1.23,1.17,1.15,1.12,1.05,0.95,0.8,0.6,0.4,0.3)))</f>
        <v>1.15</v>
      </c>
      <c r="T472" s="5" t="n">
        <f aca="false">CHOOSE(N472+1,1.2,1,0.85,0.7)</f>
        <v>1.2</v>
      </c>
      <c r="U472" s="5" t="n">
        <f aca="false">IF(F472="PO",0.6,
IF(F472="CT",0.75,
IF(F472="LI",0.8,
IF(F472="LD",0.8,
IF(F472="MCD",0.85,
IF(F472="MC",0.95,
IF(F472="MO",1.05,
IF(F472="EI",1.1,
IF(F472="ED",1.1,
IF(F472="SD",1.15,
IF(F472="DC",1.2,0)))))))))))</f>
        <v>0.75</v>
      </c>
    </row>
    <row r="473" customFormat="false" ht="16.4" hidden="false" customHeight="false" outlineLevel="0" collapsed="false">
      <c r="A473" s="1" t="n">
        <v>472</v>
      </c>
      <c r="B473" s="5" t="str">
        <f aca="false">[1]Base_Jugadores!B473</f>
        <v>José Gayà</v>
      </c>
      <c r="C473" s="5" t="str">
        <f aca="false">IFERROR(
   _xlfn.XLOOKUP(VALUE(A473),[1]Fichajes_Realizados!A$2:A$50000,[1]Fichajes_Realizados!D$2:D$50000,,0,-1),
   _xlfn.XLOOKUP(VALUE(A473),[1]Base_Jugadores!A$2:A$50000,[1]Base_Jugadores!C$2:C$50000)
)</f>
        <v>Valencia CF</v>
      </c>
      <c r="D473" s="5" t="str">
        <f aca="false">[1]Base_Jugadores!D473</f>
        <v>España</v>
      </c>
      <c r="E473" s="3"/>
      <c r="F473" s="5" t="str">
        <f aca="false">[1]Base_Jugadores!E473</f>
        <v>LI</v>
      </c>
      <c r="G473" s="5" t="n">
        <f aca="false">[1]Base_Jugadores!F473</f>
        <v>82</v>
      </c>
      <c r="H473" s="5" t="n">
        <f aca="false">[1]Base_Jugadores!G473</f>
        <v>30</v>
      </c>
      <c r="I473" s="7" t="n">
        <f aca="false" t="array" ref="I473:I473">_xlfn.XLOOKUP(G473,{55;56;57;58;59;60;61;62;63;64;65;66;67;68;69;70;71;72;73;74;75;76;77;78;79;80;81;82;83;84;85;86;87;88;89;90;91;92;93;94;95;96;97;98;99},{100000;130000;160000;190000;220000;250000;300000;350000;400000;450000;500000;600000;700000;800000;900000;1000000;1500000;2000000;3000000;4000000;5000000;6500000;8000000;10000000;12500000;15000000;20000000;25000000;30000000;35000000;40000000;55000000;70000000;80000000;90000000;110000000;130000000;160000000;190000000;220000000;250000000;280000000;310000000;340000000;400000000})</f>
        <v>25000000</v>
      </c>
      <c r="J473" s="7" t="n">
        <f aca="false">I473*S473*T473*U473</f>
        <v>25200000</v>
      </c>
      <c r="K473" s="3"/>
      <c r="L473" s="3"/>
      <c r="M473" s="3"/>
      <c r="N473" s="9" t="n">
        <v>0</v>
      </c>
      <c r="O473" s="4" t="n">
        <v>0</v>
      </c>
      <c r="P473" s="5" t="n">
        <f aca="false">IF(COUNTIF([1]Base_Jugadores!J$2:J$500,B473)&gt;0,1,0)</f>
        <v>0</v>
      </c>
      <c r="Q473" s="10" t="b">
        <f aca="false">--(COUNTIFS(
   [1]Fichajes_Realizados!A$2:A$5000,A473,
   [1]Fichajes_Realizados!G$2:G$5000,$X$3
)&gt;0)</f>
        <v>0</v>
      </c>
      <c r="R473" s="5" t="n">
        <f aca="false">_xlfn.XLOOKUP(C473, [1]Estado_Equipos!A$2:A$500, [1]Estado_Equipos!J$2:J$500, "")</f>
        <v>75</v>
      </c>
      <c r="S473" s="5" t="n">
        <f aca="false">IF(H473&lt;=16,1.45,
IF(H473&gt;=41,0.3,
CHOOSE(ROUNDDOWN((H473-16)/2,0)+1,
1.45,1.38,1.3,1.23,1.17,1.15,1.12,1.05,0.95,0.8,0.6,0.4,0.3)))</f>
        <v>1.05</v>
      </c>
      <c r="T473" s="5" t="n">
        <f aca="false">CHOOSE(N473+1,1.2,1,0.85,0.7)</f>
        <v>1.2</v>
      </c>
      <c r="U473" s="5" t="n">
        <f aca="false">IF(F473="PO",0.6,
IF(F473="CT",0.75,
IF(F473="LI",0.8,
IF(F473="LD",0.8,
IF(F473="MCD",0.85,
IF(F473="MC",0.95,
IF(F473="MO",1.05,
IF(F473="EI",1.1,
IF(F473="ED",1.1,
IF(F473="SD",1.15,
IF(F473="DC",1.2,0)))))))))))</f>
        <v>0.8</v>
      </c>
    </row>
    <row r="474" customFormat="false" ht="16.4" hidden="false" customHeight="false" outlineLevel="0" collapsed="false">
      <c r="A474" s="1" t="n">
        <v>473</v>
      </c>
      <c r="B474" s="5" t="str">
        <f aca="false">[1]Base_Jugadores!B474</f>
        <v>Julen Agirrezabala</v>
      </c>
      <c r="C474" s="5" t="str">
        <f aca="false">IFERROR(
   _xlfn.XLOOKUP(VALUE(A474),[1]Fichajes_Realizados!A$2:A$50000,[1]Fichajes_Realizados!D$2:D$50000,,0,-1),
   _xlfn.XLOOKUP(VALUE(A474),[1]Base_Jugadores!A$2:A$50000,[1]Base_Jugadores!C$2:C$50000)
)</f>
        <v>Valencia CF</v>
      </c>
      <c r="D474" s="5" t="str">
        <f aca="false">[1]Base_Jugadores!D474</f>
        <v>España</v>
      </c>
      <c r="E474" s="3"/>
      <c r="F474" s="5" t="str">
        <f aca="false">[1]Base_Jugadores!E474</f>
        <v>PO</v>
      </c>
      <c r="G474" s="5" t="n">
        <f aca="false">[1]Base_Jugadores!F474</f>
        <v>78</v>
      </c>
      <c r="H474" s="5" t="n">
        <f aca="false">[1]Base_Jugadores!G474</f>
        <v>25</v>
      </c>
      <c r="I474" s="7" t="n">
        <f aca="false" t="array" ref="I474:I474">_xlfn.XLOOKUP(G474,{55;56;57;58;59;60;61;62;63;64;65;66;67;68;69;70;71;72;73;74;75;76;77;78;79;80;81;82;83;84;85;86;87;88;89;90;91;92;93;94;95;96;97;98;99},{100000;130000;160000;190000;220000;250000;300000;350000;400000;450000;500000;600000;700000;800000;900000;1000000;1500000;2000000;3000000;4000000;5000000;6500000;8000000;10000000;12500000;15000000;20000000;25000000;30000000;35000000;40000000;55000000;70000000;80000000;90000000;110000000;130000000;160000000;190000000;220000000;250000000;280000000;310000000;340000000;400000000})</f>
        <v>10000000</v>
      </c>
      <c r="J474" s="7" t="n">
        <f aca="false">I474*S474*T474*U474</f>
        <v>5967000</v>
      </c>
      <c r="K474" s="3"/>
      <c r="L474" s="3"/>
      <c r="M474" s="3"/>
      <c r="N474" s="9" t="n">
        <v>2</v>
      </c>
      <c r="O474" s="4" t="n">
        <v>0</v>
      </c>
      <c r="P474" s="5" t="n">
        <f aca="false">IF(COUNTIF([1]Base_Jugadores!J$2:J$500,B474)&gt;0,1,0)</f>
        <v>1</v>
      </c>
      <c r="Q474" s="10" t="b">
        <f aca="false">--(COUNTIFS(
   [1]Fichajes_Realizados!A$2:A$5000,A474,
   [1]Fichajes_Realizados!G$2:G$5000,$X$3
)&gt;0)</f>
        <v>0</v>
      </c>
      <c r="R474" s="5" t="n">
        <f aca="false">_xlfn.XLOOKUP(C474, [1]Estado_Equipos!A$2:A$500, [1]Estado_Equipos!J$2:J$500, "")</f>
        <v>75</v>
      </c>
      <c r="S474" s="5" t="n">
        <f aca="false">IF(H474&lt;=16,1.45,
IF(H474&gt;=41,0.3,
CHOOSE(ROUNDDOWN((H474-16)/2,0)+1,
1.45,1.38,1.3,1.23,1.17,1.15,1.12,1.05,0.95,0.8,0.6,0.4,0.3)))</f>
        <v>1.17</v>
      </c>
      <c r="T474" s="5" t="n">
        <f aca="false">CHOOSE(N474+1,1.2,1,0.85,0.7)</f>
        <v>0.85</v>
      </c>
      <c r="U474" s="5" t="n">
        <f aca="false">IF(F474="PO",0.6,
IF(F474="CT",0.75,
IF(F474="LI",0.8,
IF(F474="LD",0.8,
IF(F474="MCD",0.85,
IF(F474="MC",0.95,
IF(F474="MO",1.05,
IF(F474="EI",1.1,
IF(F474="ED",1.1,
IF(F474="SD",1.15,
IF(F474="DC",1.2,0)))))))))))</f>
        <v>0.6</v>
      </c>
    </row>
    <row r="475" customFormat="false" ht="16.4" hidden="false" customHeight="false" outlineLevel="0" collapsed="false">
      <c r="A475" s="1" t="n">
        <v>474</v>
      </c>
      <c r="B475" s="5" t="str">
        <f aca="false">[1]Base_Jugadores!B475</f>
        <v>Largie Ramazani</v>
      </c>
      <c r="C475" s="5" t="str">
        <f aca="false">IFERROR(
   _xlfn.XLOOKUP(VALUE(A475),[1]Fichajes_Realizados!A$2:A$50000,[1]Fichajes_Realizados!D$2:D$50000,,0,-1),
   _xlfn.XLOOKUP(VALUE(A475),[1]Base_Jugadores!A$2:A$50000,[1]Base_Jugadores!C$2:C$50000)
)</f>
        <v>Valencia CF</v>
      </c>
      <c r="D475" s="5" t="str">
        <f aca="false">[1]Base_Jugadores!D475</f>
        <v>Bélgica</v>
      </c>
      <c r="E475" s="3"/>
      <c r="F475" s="5" t="str">
        <f aca="false">[1]Base_Jugadores!E475</f>
        <v>EI</v>
      </c>
      <c r="G475" s="5" t="n">
        <f aca="false">[1]Base_Jugadores!F475</f>
        <v>74</v>
      </c>
      <c r="H475" s="5" t="n">
        <f aca="false">[1]Base_Jugadores!G475</f>
        <v>24</v>
      </c>
      <c r="I475" s="7" t="n">
        <f aca="false" t="array" ref="I475:I475">_xlfn.XLOOKUP(G475,{55;56;57;58;59;60;61;62;63;64;65;66;67;68;69;70;71;72;73;74;75;76;77;78;79;80;81;82;83;84;85;86;87;88;89;90;91;92;93;94;95;96;97;98;99},{100000;130000;160000;190000;220000;250000;300000;350000;400000;450000;500000;600000;700000;800000;900000;1000000;1500000;2000000;3000000;4000000;5000000;6500000;8000000;10000000;12500000;15000000;20000000;25000000;30000000;35000000;40000000;55000000;70000000;80000000;90000000;110000000;130000000;160000000;190000000;220000000;250000000;280000000;310000000;340000000;400000000})</f>
        <v>4000000</v>
      </c>
      <c r="J475" s="7" t="n">
        <f aca="false">I475*S475*T475*U475</f>
        <v>5148000</v>
      </c>
      <c r="K475" s="3"/>
      <c r="L475" s="3"/>
      <c r="M475" s="3"/>
      <c r="N475" s="9" t="n">
        <v>1</v>
      </c>
      <c r="O475" s="4" t="n">
        <v>0</v>
      </c>
      <c r="P475" s="5" t="n">
        <f aca="false">IF(COUNTIF([1]Base_Jugadores!J$2:J$500,B475)&gt;0,1,0)</f>
        <v>0</v>
      </c>
      <c r="Q475" s="10" t="b">
        <f aca="false">--(COUNTIFS(
   [1]Fichajes_Realizados!A$2:A$5000,A475,
   [1]Fichajes_Realizados!G$2:G$5000,$X$3
)&gt;0)</f>
        <v>0</v>
      </c>
      <c r="R475" s="5" t="n">
        <f aca="false">_xlfn.XLOOKUP(C475, [1]Estado_Equipos!A$2:A$500, [1]Estado_Equipos!J$2:J$500, "")</f>
        <v>75</v>
      </c>
      <c r="S475" s="5" t="n">
        <f aca="false">IF(H475&lt;=16,1.45,
IF(H475&gt;=41,0.3,
CHOOSE(ROUNDDOWN((H475-16)/2,0)+1,
1.45,1.38,1.3,1.23,1.17,1.15,1.12,1.05,0.95,0.8,0.6,0.4,0.3)))</f>
        <v>1.17</v>
      </c>
      <c r="T475" s="5" t="n">
        <f aca="false">CHOOSE(N475+1,1.2,1,0.85,0.7)</f>
        <v>1</v>
      </c>
      <c r="U475" s="5" t="n">
        <f aca="false">IF(F475="PO",0.6,
IF(F475="CT",0.75,
IF(F475="LI",0.8,
IF(F475="LD",0.8,
IF(F475="MCD",0.85,
IF(F475="MC",0.95,
IF(F475="MO",1.05,
IF(F475="EI",1.1,
IF(F475="ED",1.1,
IF(F475="SD",1.15,
IF(F475="DC",1.2,0)))))))))))</f>
        <v>1.1</v>
      </c>
    </row>
    <row r="476" customFormat="false" ht="16.4" hidden="false" customHeight="false" outlineLevel="0" collapsed="false">
      <c r="A476" s="1" t="n">
        <v>475</v>
      </c>
      <c r="B476" s="5" t="str">
        <f aca="false">[1]Base_Jugadores!B476</f>
        <v>Lucas Beltrán</v>
      </c>
      <c r="C476" s="5" t="str">
        <f aca="false">IFERROR(
   _xlfn.XLOOKUP(VALUE(A476),[1]Fichajes_Realizados!A$2:A$50000,[1]Fichajes_Realizados!D$2:D$50000,,0,-1),
   _xlfn.XLOOKUP(VALUE(A476),[1]Base_Jugadores!A$2:A$50000,[1]Base_Jugadores!C$2:C$50000)
)</f>
        <v>Valencia CF</v>
      </c>
      <c r="D476" s="5" t="str">
        <f aca="false">[1]Base_Jugadores!D476</f>
        <v>Argentina</v>
      </c>
      <c r="E476" s="3"/>
      <c r="F476" s="5" t="str">
        <f aca="false">[1]Base_Jugadores!E476</f>
        <v>DC</v>
      </c>
      <c r="G476" s="5" t="n">
        <f aca="false">[1]Base_Jugadores!F476</f>
        <v>76</v>
      </c>
      <c r="H476" s="5" t="n">
        <f aca="false">[1]Base_Jugadores!G476</f>
        <v>24</v>
      </c>
      <c r="I476" s="7" t="n">
        <f aca="false" t="array" ref="I476:I476">_xlfn.XLOOKUP(G476,{55;56;57;58;59;60;61;62;63;64;65;66;67;68;69;70;71;72;73;74;75;76;77;78;79;80;81;82;83;84;85;86;87;88;89;90;91;92;93;94;95;96;97;98;99},{100000;130000;160000;190000;220000;250000;300000;350000;400000;450000;500000;600000;700000;800000;900000;1000000;1500000;2000000;3000000;4000000;5000000;6500000;8000000;10000000;12500000;15000000;20000000;25000000;30000000;35000000;40000000;55000000;70000000;80000000;90000000;110000000;130000000;160000000;190000000;220000000;250000000;280000000;310000000;340000000;400000000})</f>
        <v>6500000</v>
      </c>
      <c r="J476" s="7" t="n">
        <f aca="false">I476*S476*T476*U476</f>
        <v>10951200</v>
      </c>
      <c r="K476" s="3"/>
      <c r="L476" s="3"/>
      <c r="M476" s="3"/>
      <c r="N476" s="9" t="n">
        <v>0</v>
      </c>
      <c r="O476" s="4" t="n">
        <v>0</v>
      </c>
      <c r="P476" s="5" t="n">
        <f aca="false">IF(COUNTIF([1]Base_Jugadores!J$2:J$500,B476)&gt;0,1,0)</f>
        <v>0</v>
      </c>
      <c r="Q476" s="10" t="b">
        <f aca="false">--(COUNTIFS(
   [1]Fichajes_Realizados!A$2:A$5000,A476,
   [1]Fichajes_Realizados!G$2:G$5000,$X$3
)&gt;0)</f>
        <v>0</v>
      </c>
      <c r="R476" s="5" t="n">
        <f aca="false">_xlfn.XLOOKUP(C476, [1]Estado_Equipos!A$2:A$500, [1]Estado_Equipos!J$2:J$500, "")</f>
        <v>75</v>
      </c>
      <c r="S476" s="5" t="n">
        <f aca="false">IF(H476&lt;=16,1.45,
IF(H476&gt;=41,0.3,
CHOOSE(ROUNDDOWN((H476-16)/2,0)+1,
1.45,1.38,1.3,1.23,1.17,1.15,1.12,1.05,0.95,0.8,0.6,0.4,0.3)))</f>
        <v>1.17</v>
      </c>
      <c r="T476" s="5" t="n">
        <f aca="false">CHOOSE(N476+1,1.2,1,0.85,0.7)</f>
        <v>1.2</v>
      </c>
      <c r="U476" s="5" t="n">
        <f aca="false">IF(F476="PO",0.6,
IF(F476="CT",0.75,
IF(F476="LI",0.8,
IF(F476="LD",0.8,
IF(F476="MCD",0.85,
IF(F476="MC",0.95,
IF(F476="MO",1.05,
IF(F476="EI",1.1,
IF(F476="ED",1.1,
IF(F476="SD",1.15,
IF(F476="DC",1.2,0)))))))))))</f>
        <v>1.2</v>
      </c>
    </row>
    <row r="477" customFormat="false" ht="16.4" hidden="false" customHeight="false" outlineLevel="0" collapsed="false">
      <c r="A477" s="1" t="n">
        <v>476</v>
      </c>
      <c r="B477" s="5" t="str">
        <f aca="false">[1]Base_Jugadores!B477</f>
        <v>Luis Rioja</v>
      </c>
      <c r="C477" s="5" t="str">
        <f aca="false">IFERROR(
   _xlfn.XLOOKUP(VALUE(A477),[1]Fichajes_Realizados!A$2:A$50000,[1]Fichajes_Realizados!D$2:D$50000,,0,-1),
   _xlfn.XLOOKUP(VALUE(A477),[1]Base_Jugadores!A$2:A$50000,[1]Base_Jugadores!C$2:C$50000)
)</f>
        <v>Valencia CF</v>
      </c>
      <c r="D477" s="5" t="str">
        <f aca="false">[1]Base_Jugadores!D477</f>
        <v>España</v>
      </c>
      <c r="E477" s="3"/>
      <c r="F477" s="5" t="str">
        <f aca="false">[1]Base_Jugadores!E477</f>
        <v>EI</v>
      </c>
      <c r="G477" s="5" t="n">
        <f aca="false">[1]Base_Jugadores!F477</f>
        <v>77</v>
      </c>
      <c r="H477" s="5" t="n">
        <f aca="false">[1]Base_Jugadores!G477</f>
        <v>32</v>
      </c>
      <c r="I477" s="7" t="n">
        <f aca="false" t="array" ref="I477:I477">_xlfn.XLOOKUP(G477,{55;56;57;58;59;60;61;62;63;64;65;66;67;68;69;70;71;72;73;74;75;76;77;78;79;80;81;82;83;84;85;86;87;88;89;90;91;92;93;94;95;96;97;98;99},{100000;130000;160000;190000;220000;250000;300000;350000;400000;450000;500000;600000;700000;800000;900000;1000000;1500000;2000000;3000000;4000000;5000000;6500000;8000000;10000000;12500000;15000000;20000000;25000000;30000000;35000000;40000000;55000000;70000000;80000000;90000000;110000000;130000000;160000000;190000000;220000000;250000000;280000000;310000000;340000000;400000000})</f>
        <v>8000000</v>
      </c>
      <c r="J477" s="7" t="n">
        <f aca="false">I477*S477*T477*U477</f>
        <v>8360000</v>
      </c>
      <c r="K477" s="3"/>
      <c r="L477" s="3"/>
      <c r="M477" s="3"/>
      <c r="N477" s="9" t="n">
        <v>1</v>
      </c>
      <c r="O477" s="4" t="n">
        <v>0</v>
      </c>
      <c r="P477" s="5" t="n">
        <f aca="false">IF(COUNTIF([1]Base_Jugadores!J$2:J$500,B477)&gt;0,1,0)</f>
        <v>0</v>
      </c>
      <c r="Q477" s="10" t="b">
        <f aca="false">--(COUNTIFS(
   [1]Fichajes_Realizados!A$2:A$5000,A477,
   [1]Fichajes_Realizados!G$2:G$5000,$X$3
)&gt;0)</f>
        <v>0</v>
      </c>
      <c r="R477" s="5" t="n">
        <f aca="false">_xlfn.XLOOKUP(C477, [1]Estado_Equipos!A$2:A$500, [1]Estado_Equipos!J$2:J$500, "")</f>
        <v>75</v>
      </c>
      <c r="S477" s="5" t="n">
        <f aca="false">IF(H477&lt;=16,1.45,
IF(H477&gt;=41,0.3,
CHOOSE(ROUNDDOWN((H477-16)/2,0)+1,
1.45,1.38,1.3,1.23,1.17,1.15,1.12,1.05,0.95,0.8,0.6,0.4,0.3)))</f>
        <v>0.95</v>
      </c>
      <c r="T477" s="5" t="n">
        <f aca="false">CHOOSE(N477+1,1.2,1,0.85,0.7)</f>
        <v>1</v>
      </c>
      <c r="U477" s="5" t="n">
        <f aca="false">IF(F477="PO",0.6,
IF(F477="CT",0.75,
IF(F477="LI",0.8,
IF(F477="LD",0.8,
IF(F477="MCD",0.85,
IF(F477="MC",0.95,
IF(F477="MO",1.05,
IF(F477="EI",1.1,
IF(F477="ED",1.1,
IF(F477="SD",1.15,
IF(F477="DC",1.2,0)))))))))))</f>
        <v>1.1</v>
      </c>
    </row>
    <row r="478" customFormat="false" ht="16.4" hidden="false" customHeight="false" outlineLevel="0" collapsed="false">
      <c r="A478" s="1" t="n">
        <v>477</v>
      </c>
      <c r="B478" s="5" t="str">
        <f aca="false">[1]Base_Jugadores!B478</f>
        <v>Marcos Navarro</v>
      </c>
      <c r="C478" s="5" t="str">
        <f aca="false">IFERROR(
   _xlfn.XLOOKUP(VALUE(A478),[1]Fichajes_Realizados!A$2:A$50000,[1]Fichajes_Realizados!D$2:D$50000,,0,-1),
   _xlfn.XLOOKUP(VALUE(A478),[1]Base_Jugadores!A$2:A$50000,[1]Base_Jugadores!C$2:C$50000)
)</f>
        <v>Valencia CF</v>
      </c>
      <c r="D478" s="5" t="str">
        <f aca="false">[1]Base_Jugadores!D478</f>
        <v>España</v>
      </c>
      <c r="E478" s="3"/>
      <c r="F478" s="5" t="str">
        <f aca="false">[1]Base_Jugadores!E478</f>
        <v>LI</v>
      </c>
      <c r="G478" s="5" t="n">
        <f aca="false">[1]Base_Jugadores!F478</f>
        <v>60</v>
      </c>
      <c r="H478" s="5" t="n">
        <f aca="false">[1]Base_Jugadores!G478</f>
        <v>21</v>
      </c>
      <c r="I478" s="7" t="n">
        <f aca="false" t="array" ref="I478:I478">_xlfn.XLOOKUP(G478,{55;56;57;58;59;60;61;62;63;64;65;66;67;68;69;70;71;72;73;74;75;76;77;78;79;80;81;82;83;84;85;86;87;88;89;90;91;92;93;94;95;96;97;98;99},{100000;130000;160000;190000;220000;250000;300000;350000;400000;450000;500000;600000;700000;800000;900000;1000000;1500000;2000000;3000000;4000000;5000000;6500000;8000000;10000000;12500000;15000000;20000000;25000000;30000000;35000000;40000000;55000000;70000000;80000000;90000000;110000000;130000000;160000000;190000000;220000000;250000000;280000000;310000000;340000000;400000000})</f>
        <v>250000</v>
      </c>
      <c r="J478" s="7" t="n">
        <f aca="false">I478*S478*T478*U478</f>
        <v>221000</v>
      </c>
      <c r="K478" s="3"/>
      <c r="L478" s="3"/>
      <c r="M478" s="3"/>
      <c r="N478" s="9" t="n">
        <v>2</v>
      </c>
      <c r="O478" s="4" t="n">
        <v>1</v>
      </c>
      <c r="P478" s="5" t="n">
        <f aca="false">IF(COUNTIF([1]Base_Jugadores!J$2:J$500,B478)&gt;0,1,0)</f>
        <v>0</v>
      </c>
      <c r="Q478" s="10" t="b">
        <f aca="false">--(COUNTIFS(
   [1]Fichajes_Realizados!A$2:A$5000,A478,
   [1]Fichajes_Realizados!G$2:G$5000,$X$3
)&gt;0)</f>
        <v>0</v>
      </c>
      <c r="R478" s="5" t="n">
        <f aca="false">_xlfn.XLOOKUP(C478, [1]Estado_Equipos!A$2:A$500, [1]Estado_Equipos!J$2:J$500, "")</f>
        <v>75</v>
      </c>
      <c r="S478" s="5" t="n">
        <f aca="false">IF(H478&lt;=16,1.45,
IF(H478&gt;=41,0.3,
CHOOSE(ROUNDDOWN((H478-16)/2,0)+1,
1.45,1.38,1.3,1.23,1.17,1.15,1.12,1.05,0.95,0.8,0.6,0.4,0.3)))</f>
        <v>1.3</v>
      </c>
      <c r="T478" s="5" t="n">
        <f aca="false">CHOOSE(N478+1,1.2,1,0.85,0.7)</f>
        <v>0.85</v>
      </c>
      <c r="U478" s="5" t="n">
        <f aca="false">IF(F478="PO",0.6,
IF(F478="CT",0.75,
IF(F478="LI",0.8,
IF(F478="LD",0.8,
IF(F478="MCD",0.85,
IF(F478="MC",0.95,
IF(F478="MO",1.05,
IF(F478="EI",1.1,
IF(F478="ED",1.1,
IF(F478="SD",1.15,
IF(F478="DC",1.2,0)))))))))))</f>
        <v>0.8</v>
      </c>
    </row>
    <row r="479" customFormat="false" ht="16.4" hidden="false" customHeight="false" outlineLevel="0" collapsed="false">
      <c r="A479" s="1" t="n">
        <v>478</v>
      </c>
      <c r="B479" s="5" t="str">
        <f aca="false">[1]Base_Jugadores!B479</f>
        <v>Mouctar Diakhaby</v>
      </c>
      <c r="C479" s="5" t="str">
        <f aca="false">IFERROR(
   _xlfn.XLOOKUP(VALUE(A479),[1]Fichajes_Realizados!A$2:A$50000,[1]Fichajes_Realizados!D$2:D$50000,,0,-1),
   _xlfn.XLOOKUP(VALUE(A479),[1]Base_Jugadores!A$2:A$50000,[1]Base_Jugadores!C$2:C$50000)
)</f>
        <v>Valencia CF</v>
      </c>
      <c r="D479" s="5" t="str">
        <f aca="false">[1]Base_Jugadores!D479</f>
        <v>Guinea</v>
      </c>
      <c r="E479" s="3"/>
      <c r="F479" s="5" t="str">
        <f aca="false">[1]Base_Jugadores!E479</f>
        <v>CT</v>
      </c>
      <c r="G479" s="5" t="n">
        <f aca="false">[1]Base_Jugadores!F479</f>
        <v>76</v>
      </c>
      <c r="H479" s="5" t="n">
        <f aca="false">[1]Base_Jugadores!G479</f>
        <v>29</v>
      </c>
      <c r="I479" s="7" t="n">
        <f aca="false" t="array" ref="I479:I479">_xlfn.XLOOKUP(G479,{55;56;57;58;59;60;61;62;63;64;65;66;67;68;69;70;71;72;73;74;75;76;77;78;79;80;81;82;83;84;85;86;87;88;89;90;91;92;93;94;95;96;97;98;99},{100000;130000;160000;190000;220000;250000;300000;350000;400000;450000;500000;600000;700000;800000;900000;1000000;1500000;2000000;3000000;4000000;5000000;6500000;8000000;10000000;12500000;15000000;20000000;25000000;30000000;35000000;40000000;55000000;70000000;80000000;90000000;110000000;130000000;160000000;190000000;220000000;250000000;280000000;310000000;340000000;400000000})</f>
        <v>6500000</v>
      </c>
      <c r="J479" s="7" t="n">
        <f aca="false">I479*S479*T479*U479</f>
        <v>6552000</v>
      </c>
      <c r="K479" s="3"/>
      <c r="L479" s="3"/>
      <c r="M479" s="3"/>
      <c r="N479" s="9" t="n">
        <v>0</v>
      </c>
      <c r="O479" s="4" t="n">
        <v>0</v>
      </c>
      <c r="P479" s="5" t="n">
        <f aca="false">IF(COUNTIF([1]Base_Jugadores!J$2:J$500,B479)&gt;0,1,0)</f>
        <v>0</v>
      </c>
      <c r="Q479" s="10" t="b">
        <f aca="false">--(COUNTIFS(
   [1]Fichajes_Realizados!A$2:A$5000,A479,
   [1]Fichajes_Realizados!G$2:G$5000,$X$3
)&gt;0)</f>
        <v>0</v>
      </c>
      <c r="R479" s="5" t="n">
        <f aca="false">_xlfn.XLOOKUP(C479, [1]Estado_Equipos!A$2:A$500, [1]Estado_Equipos!J$2:J$500, "")</f>
        <v>75</v>
      </c>
      <c r="S479" s="5" t="n">
        <f aca="false">IF(H479&lt;=16,1.45,
IF(H479&gt;=41,0.3,
CHOOSE(ROUNDDOWN((H479-16)/2,0)+1,
1.45,1.38,1.3,1.23,1.17,1.15,1.12,1.05,0.95,0.8,0.6,0.4,0.3)))</f>
        <v>1.12</v>
      </c>
      <c r="T479" s="5" t="n">
        <f aca="false">CHOOSE(N479+1,1.2,1,0.85,0.7)</f>
        <v>1.2</v>
      </c>
      <c r="U479" s="5" t="n">
        <f aca="false">IF(F479="PO",0.6,
IF(F479="CT",0.75,
IF(F479="LI",0.8,
IF(F479="LD",0.8,
IF(F479="MCD",0.85,
IF(F479="MC",0.95,
IF(F479="MO",1.05,
IF(F479="EI",1.1,
IF(F479="ED",1.1,
IF(F479="SD",1.15,
IF(F479="DC",1.2,0)))))))))))</f>
        <v>0.75</v>
      </c>
    </row>
    <row r="480" customFormat="false" ht="16.4" hidden="false" customHeight="false" outlineLevel="0" collapsed="false">
      <c r="A480" s="1" t="n">
        <v>479</v>
      </c>
      <c r="B480" s="5" t="str">
        <f aca="false">[1]Base_Jugadores!B480</f>
        <v>Pepelu</v>
      </c>
      <c r="C480" s="5" t="str">
        <f aca="false">IFERROR(
   _xlfn.XLOOKUP(VALUE(A480),[1]Fichajes_Realizados!A$2:A$50000,[1]Fichajes_Realizados!D$2:D$50000,,0,-1),
   _xlfn.XLOOKUP(VALUE(A480),[1]Base_Jugadores!A$2:A$50000,[1]Base_Jugadores!C$2:C$50000)
)</f>
        <v>Valencia CF</v>
      </c>
      <c r="D480" s="5" t="str">
        <f aca="false">[1]Base_Jugadores!D480</f>
        <v>España</v>
      </c>
      <c r="E480" s="3"/>
      <c r="F480" s="5" t="str">
        <f aca="false">[1]Base_Jugadores!E480</f>
        <v>MCD</v>
      </c>
      <c r="G480" s="5" t="n">
        <f aca="false">[1]Base_Jugadores!F480</f>
        <v>82</v>
      </c>
      <c r="H480" s="5" t="n">
        <f aca="false">[1]Base_Jugadores!G480</f>
        <v>27</v>
      </c>
      <c r="I480" s="7" t="n">
        <f aca="false" t="array" ref="I480:I480">_xlfn.XLOOKUP(G480,{55;56;57;58;59;60;61;62;63;64;65;66;67;68;69;70;71;72;73;74;75;76;77;78;79;80;81;82;83;84;85;86;87;88;89;90;91;92;93;94;95;96;97;98;99},{100000;130000;160000;190000;220000;250000;300000;350000;400000;450000;500000;600000;700000;800000;900000;1000000;1500000;2000000;3000000;4000000;5000000;6500000;8000000;10000000;12500000;15000000;20000000;25000000;30000000;35000000;40000000;55000000;70000000;80000000;90000000;110000000;130000000;160000000;190000000;220000000;250000000;280000000;310000000;340000000;400000000})</f>
        <v>25000000</v>
      </c>
      <c r="J480" s="7" t="n">
        <f aca="false">I480*S480*T480*U480</f>
        <v>29325000</v>
      </c>
      <c r="K480" s="3"/>
      <c r="L480" s="3"/>
      <c r="M480" s="3"/>
      <c r="N480" s="9" t="n">
        <v>0</v>
      </c>
      <c r="O480" s="4" t="n">
        <v>0</v>
      </c>
      <c r="P480" s="5" t="n">
        <f aca="false">IF(COUNTIF([1]Base_Jugadores!J$2:J$500,B480)&gt;0,1,0)</f>
        <v>0</v>
      </c>
      <c r="Q480" s="10" t="b">
        <f aca="false">--(COUNTIFS(
   [1]Fichajes_Realizados!A$2:A$5000,A480,
   [1]Fichajes_Realizados!G$2:G$5000,$X$3
)&gt;0)</f>
        <v>0</v>
      </c>
      <c r="R480" s="5" t="n">
        <f aca="false">_xlfn.XLOOKUP(C480, [1]Estado_Equipos!A$2:A$500, [1]Estado_Equipos!J$2:J$500, "")</f>
        <v>75</v>
      </c>
      <c r="S480" s="5" t="n">
        <f aca="false">IF(H480&lt;=16,1.45,
IF(H480&gt;=41,0.3,
CHOOSE(ROUNDDOWN((H480-16)/2,0)+1,
1.45,1.38,1.3,1.23,1.17,1.15,1.12,1.05,0.95,0.8,0.6,0.4,0.3)))</f>
        <v>1.15</v>
      </c>
      <c r="T480" s="5" t="n">
        <f aca="false">CHOOSE(N480+1,1.2,1,0.85,0.7)</f>
        <v>1.2</v>
      </c>
      <c r="U480" s="5" t="n">
        <f aca="false">IF(F480="PO",0.6,
IF(F480="CT",0.75,
IF(F480="LI",0.8,
IF(F480="LD",0.8,
IF(F480="MCD",0.85,
IF(F480="MC",0.95,
IF(F480="MO",1.05,
IF(F480="EI",1.1,
IF(F480="ED",1.1,
IF(F480="SD",1.15,
IF(F480="DC",1.2,0)))))))))))</f>
        <v>0.85</v>
      </c>
    </row>
    <row r="481" customFormat="false" ht="16.4" hidden="false" customHeight="false" outlineLevel="0" collapsed="false">
      <c r="A481" s="1" t="n">
        <v>480</v>
      </c>
      <c r="B481" s="5" t="str">
        <f aca="false">[1]Base_Jugadores!B481</f>
        <v>Rubén Iranzo</v>
      </c>
      <c r="C481" s="5" t="str">
        <f aca="false">IFERROR(
   _xlfn.XLOOKUP(VALUE(A481),[1]Fichajes_Realizados!A$2:A$50000,[1]Fichajes_Realizados!D$2:D$50000,,0,-1),
   _xlfn.XLOOKUP(VALUE(A481),[1]Base_Jugadores!A$2:A$50000,[1]Base_Jugadores!C$2:C$50000)
)</f>
        <v>Valencia CF</v>
      </c>
      <c r="D481" s="5" t="str">
        <f aca="false">[1]Base_Jugadores!D481</f>
        <v>España</v>
      </c>
      <c r="E481" s="3"/>
      <c r="F481" s="5" t="str">
        <f aca="false">[1]Base_Jugadores!E481</f>
        <v>LD</v>
      </c>
      <c r="G481" s="5" t="n">
        <f aca="false">[1]Base_Jugadores!F481</f>
        <v>70</v>
      </c>
      <c r="H481" s="5" t="n">
        <f aca="false">[1]Base_Jugadores!G481</f>
        <v>22</v>
      </c>
      <c r="I481" s="7" t="n">
        <f aca="false" t="array" ref="I481:I481">_xlfn.XLOOKUP(G481,{55;56;57;58;59;60;61;62;63;64;65;66;67;68;69;70;71;72;73;74;75;76;77;78;79;80;81;82;83;84;85;86;87;88;89;90;91;92;93;94;95;96;97;98;99},{100000;130000;160000;190000;220000;250000;300000;350000;400000;450000;500000;600000;700000;800000;900000;1000000;1500000;2000000;3000000;4000000;5000000;6500000;8000000;10000000;12500000;15000000;20000000;25000000;30000000;35000000;40000000;55000000;70000000;80000000;90000000;110000000;130000000;160000000;190000000;220000000;250000000;280000000;310000000;340000000;400000000})</f>
        <v>1000000</v>
      </c>
      <c r="J481" s="7" t="n">
        <f aca="false">I481*S481*T481*U481</f>
        <v>836400</v>
      </c>
      <c r="K481" s="3"/>
      <c r="L481" s="3"/>
      <c r="M481" s="3"/>
      <c r="N481" s="9" t="n">
        <v>2</v>
      </c>
      <c r="O481" s="4" t="n">
        <v>1</v>
      </c>
      <c r="P481" s="5" t="n">
        <f aca="false">IF(COUNTIF([1]Base_Jugadores!J$2:J$500,B481)&gt;0,1,0)</f>
        <v>0</v>
      </c>
      <c r="Q481" s="10" t="b">
        <f aca="false">--(COUNTIFS(
   [1]Fichajes_Realizados!A$2:A$5000,A481,
   [1]Fichajes_Realizados!G$2:G$5000,$X$3
)&gt;0)</f>
        <v>0</v>
      </c>
      <c r="R481" s="5" t="n">
        <f aca="false">_xlfn.XLOOKUP(C481, [1]Estado_Equipos!A$2:A$500, [1]Estado_Equipos!J$2:J$500, "")</f>
        <v>75</v>
      </c>
      <c r="S481" s="5" t="n">
        <f aca="false">IF(H481&lt;=16,1.45,
IF(H481&gt;=41,0.3,
CHOOSE(ROUNDDOWN((H481-16)/2,0)+1,
1.45,1.38,1.3,1.23,1.17,1.15,1.12,1.05,0.95,0.8,0.6,0.4,0.3)))</f>
        <v>1.23</v>
      </c>
      <c r="T481" s="5" t="n">
        <f aca="false">CHOOSE(N481+1,1.2,1,0.85,0.7)</f>
        <v>0.85</v>
      </c>
      <c r="U481" s="5" t="n">
        <f aca="false">IF(F481="PO",0.6,
IF(F481="CT",0.75,
IF(F481="LI",0.8,
IF(F481="LD",0.8,
IF(F481="MCD",0.85,
IF(F481="MC",0.95,
IF(F481="MO",1.05,
IF(F481="EI",1.1,
IF(F481="ED",1.1,
IF(F481="SD",1.15,
IF(F481="DC",1.2,0)))))))))))</f>
        <v>0.8</v>
      </c>
    </row>
    <row r="482" customFormat="false" ht="16.4" hidden="false" customHeight="false" outlineLevel="0" collapsed="false">
      <c r="A482" s="1" t="n">
        <v>481</v>
      </c>
      <c r="B482" s="5" t="str">
        <f aca="false">[1]Base_Jugadores!B482</f>
        <v>Stole Dimitrievski</v>
      </c>
      <c r="C482" s="5" t="str">
        <f aca="false">IFERROR(
   _xlfn.XLOOKUP(VALUE(A482),[1]Fichajes_Realizados!A$2:A$50000,[1]Fichajes_Realizados!D$2:D$50000,,0,-1),
   _xlfn.XLOOKUP(VALUE(A482),[1]Base_Jugadores!A$2:A$50000,[1]Base_Jugadores!C$2:C$50000)
)</f>
        <v>Valencia CF</v>
      </c>
      <c r="D482" s="5" t="str">
        <f aca="false">[1]Base_Jugadores!D482</f>
        <v>Macedonia del Norte</v>
      </c>
      <c r="E482" s="3"/>
      <c r="F482" s="5" t="str">
        <f aca="false">[1]Base_Jugadores!E482</f>
        <v>PO</v>
      </c>
      <c r="G482" s="5" t="n">
        <f aca="false">[1]Base_Jugadores!F482</f>
        <v>79</v>
      </c>
      <c r="H482" s="5" t="n">
        <f aca="false">[1]Base_Jugadores!G482</f>
        <v>32</v>
      </c>
      <c r="I482" s="7" t="n">
        <f aca="false" t="array" ref="I482:I482">_xlfn.XLOOKUP(G482,{55;56;57;58;59;60;61;62;63;64;65;66;67;68;69;70;71;72;73;74;75;76;77;78;79;80;81;82;83;84;85;86;87;88;89;90;91;92;93;94;95;96;97;98;99},{100000;130000;160000;190000;220000;250000;300000;350000;400000;450000;500000;600000;700000;800000;900000;1000000;1500000;2000000;3000000;4000000;5000000;6500000;8000000;10000000;12500000;15000000;20000000;25000000;30000000;35000000;40000000;55000000;70000000;80000000;90000000;110000000;130000000;160000000;190000000;220000000;250000000;280000000;310000000;340000000;400000000})</f>
        <v>12500000</v>
      </c>
      <c r="J482" s="7" t="n">
        <f aca="false">I482*S482*T482*U482</f>
        <v>8550000</v>
      </c>
      <c r="K482" s="3"/>
      <c r="L482" s="3"/>
      <c r="M482" s="3"/>
      <c r="N482" s="9" t="n">
        <v>0</v>
      </c>
      <c r="O482" s="4" t="n">
        <v>0</v>
      </c>
      <c r="P482" s="5" t="n">
        <f aca="false">IF(COUNTIF([1]Base_Jugadores!J$2:J$500,B482)&gt;0,1,0)</f>
        <v>0</v>
      </c>
      <c r="Q482" s="10" t="b">
        <f aca="false">--(COUNTIFS(
   [1]Fichajes_Realizados!A$2:A$5000,A482,
   [1]Fichajes_Realizados!G$2:G$5000,$X$3
)&gt;0)</f>
        <v>0</v>
      </c>
      <c r="R482" s="5" t="n">
        <f aca="false">_xlfn.XLOOKUP(C482, [1]Estado_Equipos!A$2:A$500, [1]Estado_Equipos!J$2:J$500, "")</f>
        <v>75</v>
      </c>
      <c r="S482" s="5" t="n">
        <f aca="false">IF(H482&lt;=16,1.45,
IF(H482&gt;=41,0.3,
CHOOSE(ROUNDDOWN((H482-16)/2,0)+1,
1.45,1.38,1.3,1.23,1.17,1.15,1.12,1.05,0.95,0.8,0.6,0.4,0.3)))</f>
        <v>0.95</v>
      </c>
      <c r="T482" s="5" t="n">
        <f aca="false">CHOOSE(N482+1,1.2,1,0.85,0.7)</f>
        <v>1.2</v>
      </c>
      <c r="U482" s="5" t="n">
        <f aca="false">IF(F482="PO",0.6,
IF(F482="CT",0.75,
IF(F482="LI",0.8,
IF(F482="LD",0.8,
IF(F482="MCD",0.85,
IF(F482="MC",0.95,
IF(F482="MO",1.05,
IF(F482="EI",1.1,
IF(F482="ED",1.1,
IF(F482="SD",1.15,
IF(F482="DC",1.2,0)))))))))))</f>
        <v>0.6</v>
      </c>
    </row>
    <row r="483" customFormat="false" ht="16.4" hidden="false" customHeight="false" outlineLevel="0" collapsed="false">
      <c r="A483" s="1" t="n">
        <v>482</v>
      </c>
      <c r="B483" s="5" t="str">
        <f aca="false">[1]Base_Jugadores!B483</f>
        <v>Thierry Correia</v>
      </c>
      <c r="C483" s="5" t="str">
        <f aca="false">IFERROR(
   _xlfn.XLOOKUP(VALUE(A483),[1]Fichajes_Realizados!A$2:A$50000,[1]Fichajes_Realizados!D$2:D$50000,,0,-1),
   _xlfn.XLOOKUP(VALUE(A483),[1]Base_Jugadores!A$2:A$50000,[1]Base_Jugadores!C$2:C$50000)
)</f>
        <v>Valencia CF</v>
      </c>
      <c r="D483" s="5" t="str">
        <f aca="false">[1]Base_Jugadores!D483</f>
        <v>Portugal</v>
      </c>
      <c r="E483" s="3"/>
      <c r="F483" s="5" t="str">
        <f aca="false">[1]Base_Jugadores!E483</f>
        <v>LD</v>
      </c>
      <c r="G483" s="5" t="n">
        <f aca="false">[1]Base_Jugadores!F483</f>
        <v>77</v>
      </c>
      <c r="H483" s="5" t="n">
        <f aca="false">[1]Base_Jugadores!G483</f>
        <v>26</v>
      </c>
      <c r="I483" s="7" t="n">
        <f aca="false" t="array" ref="I483:I483">_xlfn.XLOOKUP(G483,{55;56;57;58;59;60;61;62;63;64;65;66;67;68;69;70;71;72;73;74;75;76;77;78;79;80;81;82;83;84;85;86;87;88;89;90;91;92;93;94;95;96;97;98;99},{100000;130000;160000;190000;220000;250000;300000;350000;400000;450000;500000;600000;700000;800000;900000;1000000;1500000;2000000;3000000;4000000;5000000;6500000;8000000;10000000;12500000;15000000;20000000;25000000;30000000;35000000;40000000;55000000;70000000;80000000;90000000;110000000;130000000;160000000;190000000;220000000;250000000;280000000;310000000;340000000;400000000})</f>
        <v>8000000</v>
      </c>
      <c r="J483" s="7" t="n">
        <f aca="false">I483*S483*T483*U483</f>
        <v>8832000</v>
      </c>
      <c r="K483" s="3"/>
      <c r="L483" s="3"/>
      <c r="M483" s="3"/>
      <c r="N483" s="9" t="n">
        <v>0</v>
      </c>
      <c r="O483" s="4" t="n">
        <v>0</v>
      </c>
      <c r="P483" s="5" t="n">
        <f aca="false">IF(COUNTIF([1]Base_Jugadores!J$2:J$500,B483)&gt;0,1,0)</f>
        <v>0</v>
      </c>
      <c r="Q483" s="10" t="b">
        <f aca="false">--(COUNTIFS(
   [1]Fichajes_Realizados!A$2:A$5000,A483,
   [1]Fichajes_Realizados!G$2:G$5000,$X$3
)&gt;0)</f>
        <v>0</v>
      </c>
      <c r="R483" s="5" t="n">
        <f aca="false">_xlfn.XLOOKUP(C483, [1]Estado_Equipos!A$2:A$500, [1]Estado_Equipos!J$2:J$500, "")</f>
        <v>75</v>
      </c>
      <c r="S483" s="5" t="n">
        <f aca="false">IF(H483&lt;=16,1.45,
IF(H483&gt;=41,0.3,
CHOOSE(ROUNDDOWN((H483-16)/2,0)+1,
1.45,1.38,1.3,1.23,1.17,1.15,1.12,1.05,0.95,0.8,0.6,0.4,0.3)))</f>
        <v>1.15</v>
      </c>
      <c r="T483" s="5" t="n">
        <f aca="false">CHOOSE(N483+1,1.2,1,0.85,0.7)</f>
        <v>1.2</v>
      </c>
      <c r="U483" s="5" t="n">
        <f aca="false">IF(F483="PO",0.6,
IF(F483="CT",0.75,
IF(F483="LI",0.8,
IF(F483="LD",0.8,
IF(F483="MCD",0.85,
IF(F483="MC",0.95,
IF(F483="MO",1.05,
IF(F483="EI",1.1,
IF(F483="ED",1.1,
IF(F483="SD",1.15,
IF(F483="DC",1.2,0)))))))))))</f>
        <v>0.8</v>
      </c>
    </row>
    <row r="484" customFormat="false" ht="16.4" hidden="false" customHeight="false" outlineLevel="0" collapsed="false">
      <c r="A484" s="1" t="n">
        <v>483</v>
      </c>
      <c r="B484" s="5" t="str">
        <f aca="false">[1]Base_Jugadores!B484</f>
        <v>Adrià Altimira</v>
      </c>
      <c r="C484" s="5" t="str">
        <f aca="false">IFERROR(
   _xlfn.XLOOKUP(VALUE(A484),[1]Fichajes_Realizados!A$2:A$50000,[1]Fichajes_Realizados!D$2:D$50000,,0,-1),
   _xlfn.XLOOKUP(VALUE(A484),[1]Base_Jugadores!A$2:A$50000,[1]Base_Jugadores!C$2:C$50000)
)</f>
        <v>Villarreal CF</v>
      </c>
      <c r="D484" s="5" t="str">
        <f aca="false">[1]Base_Jugadores!D484</f>
        <v>España</v>
      </c>
      <c r="E484" s="3"/>
      <c r="F484" s="5" t="str">
        <f aca="false">[1]Base_Jugadores!E484</f>
        <v>LD</v>
      </c>
      <c r="G484" s="5" t="n">
        <f aca="false">[1]Base_Jugadores!F484</f>
        <v>67</v>
      </c>
      <c r="H484" s="5" t="n">
        <f aca="false">[1]Base_Jugadores!G484</f>
        <v>24</v>
      </c>
      <c r="I484" s="7" t="n">
        <f aca="false" t="array" ref="I484:I484">_xlfn.XLOOKUP(G484,{55;56;57;58;59;60;61;62;63;64;65;66;67;68;69;70;71;72;73;74;75;76;77;78;79;80;81;82;83;84;85;86;87;88;89;90;91;92;93;94;95;96;97;98;99},{100000;130000;160000;190000;220000;250000;300000;350000;400000;450000;500000;600000;700000;800000;900000;1000000;1500000;2000000;3000000;4000000;5000000;6500000;8000000;10000000;12500000;15000000;20000000;25000000;30000000;35000000;40000000;55000000;70000000;80000000;90000000;110000000;130000000;160000000;190000000;220000000;250000000;280000000;310000000;340000000;400000000})</f>
        <v>700000</v>
      </c>
      <c r="J484" s="7" t="n">
        <f aca="false">I484*S484*T484*U484</f>
        <v>556920</v>
      </c>
      <c r="K484" s="3"/>
      <c r="L484" s="3"/>
      <c r="M484" s="3"/>
      <c r="N484" s="9" t="n">
        <v>2</v>
      </c>
      <c r="O484" s="4" t="n">
        <v>0</v>
      </c>
      <c r="P484" s="5" t="n">
        <f aca="false">IF(COUNTIF([1]Base_Jugadores!J$2:J$500,B484)&gt;0,1,0)</f>
        <v>0</v>
      </c>
      <c r="Q484" s="10" t="b">
        <f aca="false">--(COUNTIFS(
   [1]Fichajes_Realizados!A$2:A$5000,A484,
   [1]Fichajes_Realizados!G$2:G$5000,$X$3
)&gt;0)</f>
        <v>0</v>
      </c>
      <c r="R484" s="5" t="n">
        <f aca="false">_xlfn.XLOOKUP(C484, [1]Estado_Equipos!A$2:A$500, [1]Estado_Equipos!J$2:J$500, "")</f>
        <v>77</v>
      </c>
      <c r="S484" s="5" t="n">
        <f aca="false">IF(H484&lt;=16,1.45,
IF(H484&gt;=41,0.3,
CHOOSE(ROUNDDOWN((H484-16)/2,0)+1,
1.45,1.38,1.3,1.23,1.17,1.15,1.12,1.05,0.95,0.8,0.6,0.4,0.3)))</f>
        <v>1.17</v>
      </c>
      <c r="T484" s="5" t="n">
        <f aca="false">CHOOSE(N484+1,1.2,1,0.85,0.7)</f>
        <v>0.85</v>
      </c>
      <c r="U484" s="5" t="n">
        <f aca="false">IF(F484="PO",0.6,
IF(F484="CT",0.75,
IF(F484="LI",0.8,
IF(F484="LD",0.8,
IF(F484="MCD",0.85,
IF(F484="MC",0.95,
IF(F484="MO",1.05,
IF(F484="EI",1.1,
IF(F484="ED",1.1,
IF(F484="SD",1.15,
IF(F484="DC",1.2,0)))))))))))</f>
        <v>0.8</v>
      </c>
    </row>
    <row r="485" customFormat="false" ht="16.4" hidden="false" customHeight="false" outlineLevel="0" collapsed="false">
      <c r="A485" s="1" t="n">
        <v>484</v>
      </c>
      <c r="B485" s="5" t="str">
        <f aca="false">[1]Base_Jugadores!B485</f>
        <v>Alberto Moleiro</v>
      </c>
      <c r="C485" s="5" t="str">
        <f aca="false">IFERROR(
   _xlfn.XLOOKUP(VALUE(A485),[1]Fichajes_Realizados!A$2:A$50000,[1]Fichajes_Realizados!D$2:D$50000,,0,-1),
   _xlfn.XLOOKUP(VALUE(A485),[1]Base_Jugadores!A$2:A$50000,[1]Base_Jugadores!C$2:C$50000)
)</f>
        <v>Villarreal CF</v>
      </c>
      <c r="D485" s="5" t="str">
        <f aca="false">[1]Base_Jugadores!D485</f>
        <v>España</v>
      </c>
      <c r="E485" s="3"/>
      <c r="F485" s="5" t="str">
        <f aca="false">[1]Base_Jugadores!E485</f>
        <v>EI</v>
      </c>
      <c r="G485" s="5" t="n">
        <f aca="false">[1]Base_Jugadores!F485</f>
        <v>80</v>
      </c>
      <c r="H485" s="5" t="n">
        <f aca="false">[1]Base_Jugadores!G485</f>
        <v>22</v>
      </c>
      <c r="I485" s="7" t="n">
        <f aca="false" t="array" ref="I485:I485">_xlfn.XLOOKUP(G485,{55;56;57;58;59;60;61;62;63;64;65;66;67;68;69;70;71;72;73;74;75;76;77;78;79;80;81;82;83;84;85;86;87;88;89;90;91;92;93;94;95;96;97;98;99},{100000;130000;160000;190000;220000;250000;300000;350000;400000;450000;500000;600000;700000;800000;900000;1000000;1500000;2000000;3000000;4000000;5000000;6500000;8000000;10000000;12500000;15000000;20000000;25000000;30000000;35000000;40000000;55000000;70000000;80000000;90000000;110000000;130000000;160000000;190000000;220000000;250000000;280000000;310000000;340000000;400000000})</f>
        <v>15000000</v>
      </c>
      <c r="J485" s="7" t="n">
        <f aca="false">I485*S485*T485*U485</f>
        <v>24354000</v>
      </c>
      <c r="K485" s="3"/>
      <c r="L485" s="3"/>
      <c r="M485" s="3"/>
      <c r="N485" s="9" t="n">
        <v>0</v>
      </c>
      <c r="O485" s="4" t="n">
        <v>0</v>
      </c>
      <c r="P485" s="5" t="n">
        <f aca="false">IF(COUNTIF([1]Base_Jugadores!J$2:J$500,B485)&gt;0,1,0)</f>
        <v>0</v>
      </c>
      <c r="Q485" s="10" t="b">
        <f aca="false">--(COUNTIFS(
   [1]Fichajes_Realizados!A$2:A$5000,A485,
   [1]Fichajes_Realizados!G$2:G$5000,$X$3
)&gt;0)</f>
        <v>0</v>
      </c>
      <c r="R485" s="5" t="n">
        <f aca="false">_xlfn.XLOOKUP(C485, [1]Estado_Equipos!A$2:A$500, [1]Estado_Equipos!J$2:J$500, "")</f>
        <v>77</v>
      </c>
      <c r="S485" s="5" t="n">
        <f aca="false">IF(H485&lt;=16,1.45,
IF(H485&gt;=41,0.3,
CHOOSE(ROUNDDOWN((H485-16)/2,0)+1,
1.45,1.38,1.3,1.23,1.17,1.15,1.12,1.05,0.95,0.8,0.6,0.4,0.3)))</f>
        <v>1.23</v>
      </c>
      <c r="T485" s="5" t="n">
        <f aca="false">CHOOSE(N485+1,1.2,1,0.85,0.7)</f>
        <v>1.2</v>
      </c>
      <c r="U485" s="5" t="n">
        <f aca="false">IF(F485="PO",0.6,
IF(F485="CT",0.75,
IF(F485="LI",0.8,
IF(F485="LD",0.8,
IF(F485="MCD",0.85,
IF(F485="MC",0.95,
IF(F485="MO",1.05,
IF(F485="EI",1.1,
IF(F485="ED",1.1,
IF(F485="SD",1.15,
IF(F485="DC",1.2,0)))))))))))</f>
        <v>1.1</v>
      </c>
    </row>
    <row r="486" customFormat="false" ht="16.4" hidden="false" customHeight="false" outlineLevel="0" collapsed="false">
      <c r="A486" s="1" t="n">
        <v>485</v>
      </c>
      <c r="B486" s="5" t="str">
        <f aca="false">[1]Base_Jugadores!B486</f>
        <v>Alfonso Pedraza</v>
      </c>
      <c r="C486" s="5" t="str">
        <f aca="false">IFERROR(
   _xlfn.XLOOKUP(VALUE(A486),[1]Fichajes_Realizados!A$2:A$50000,[1]Fichajes_Realizados!D$2:D$50000,,0,-1),
   _xlfn.XLOOKUP(VALUE(A486),[1]Base_Jugadores!A$2:A$50000,[1]Base_Jugadores!C$2:C$50000)
)</f>
        <v>Villarreal CF</v>
      </c>
      <c r="D486" s="5" t="str">
        <f aca="false">[1]Base_Jugadores!D486</f>
        <v>España</v>
      </c>
      <c r="E486" s="3"/>
      <c r="F486" s="5" t="str">
        <f aca="false">[1]Base_Jugadores!E486</f>
        <v>LI</v>
      </c>
      <c r="G486" s="5" t="n">
        <f aca="false">[1]Base_Jugadores!F486</f>
        <v>78</v>
      </c>
      <c r="H486" s="5" t="n">
        <f aca="false">[1]Base_Jugadores!G486</f>
        <v>29</v>
      </c>
      <c r="I486" s="7" t="n">
        <f aca="false" t="array" ref="I486:I486">_xlfn.XLOOKUP(G486,{55;56;57;58;59;60;61;62;63;64;65;66;67;68;69;70;71;72;73;74;75;76;77;78;79;80;81;82;83;84;85;86;87;88;89;90;91;92;93;94;95;96;97;98;99},{100000;130000;160000;190000;220000;250000;300000;350000;400000;450000;500000;600000;700000;800000;900000;1000000;1500000;2000000;3000000;4000000;5000000;6500000;8000000;10000000;12500000;15000000;20000000;25000000;30000000;35000000;40000000;55000000;70000000;80000000;90000000;110000000;130000000;160000000;190000000;220000000;250000000;280000000;310000000;340000000;400000000})</f>
        <v>10000000</v>
      </c>
      <c r="J486" s="7" t="n">
        <f aca="false">I486*S486*T486*U486</f>
        <v>10752000</v>
      </c>
      <c r="K486" s="3"/>
      <c r="L486" s="3"/>
      <c r="M486" s="3"/>
      <c r="N486" s="9" t="n">
        <v>0</v>
      </c>
      <c r="O486" s="4" t="n">
        <v>0</v>
      </c>
      <c r="P486" s="5" t="n">
        <f aca="false">IF(COUNTIF([1]Base_Jugadores!J$2:J$500,B486)&gt;0,1,0)</f>
        <v>0</v>
      </c>
      <c r="Q486" s="10" t="b">
        <f aca="false">--(COUNTIFS(
   [1]Fichajes_Realizados!A$2:A$5000,A486,
   [1]Fichajes_Realizados!G$2:G$5000,$X$3
)&gt;0)</f>
        <v>0</v>
      </c>
      <c r="R486" s="5" t="n">
        <f aca="false">_xlfn.XLOOKUP(C486, [1]Estado_Equipos!A$2:A$500, [1]Estado_Equipos!J$2:J$500, "")</f>
        <v>77</v>
      </c>
      <c r="S486" s="5" t="n">
        <f aca="false">IF(H486&lt;=16,1.45,
IF(H486&gt;=41,0.3,
CHOOSE(ROUNDDOWN((H486-16)/2,0)+1,
1.45,1.38,1.3,1.23,1.17,1.15,1.12,1.05,0.95,0.8,0.6,0.4,0.3)))</f>
        <v>1.12</v>
      </c>
      <c r="T486" s="5" t="n">
        <f aca="false">CHOOSE(N486+1,1.2,1,0.85,0.7)</f>
        <v>1.2</v>
      </c>
      <c r="U486" s="5" t="n">
        <f aca="false">IF(F486="PO",0.6,
IF(F486="CT",0.75,
IF(F486="LI",0.8,
IF(F486="LD",0.8,
IF(F486="MCD",0.85,
IF(F486="MC",0.95,
IF(F486="MO",1.05,
IF(F486="EI",1.1,
IF(F486="ED",1.1,
IF(F486="SD",1.15,
IF(F486="DC",1.2,0)))))))))))</f>
        <v>0.8</v>
      </c>
    </row>
    <row r="487" customFormat="false" ht="16.4" hidden="false" customHeight="false" outlineLevel="0" collapsed="false">
      <c r="A487" s="1" t="n">
        <v>486</v>
      </c>
      <c r="B487" s="5" t="str">
        <f aca="false">[1]Base_Jugadores!B487</f>
        <v>Arnau Tenas</v>
      </c>
      <c r="C487" s="5" t="str">
        <f aca="false">IFERROR(
   _xlfn.XLOOKUP(VALUE(A487),[1]Fichajes_Realizados!A$2:A$50000,[1]Fichajes_Realizados!D$2:D$50000,,0,-1),
   _xlfn.XLOOKUP(VALUE(A487),[1]Base_Jugadores!A$2:A$50000,[1]Base_Jugadores!C$2:C$50000)
)</f>
        <v>Villarreal CF</v>
      </c>
      <c r="D487" s="5" t="str">
        <f aca="false">[1]Base_Jugadores!D487</f>
        <v>España</v>
      </c>
      <c r="E487" s="3"/>
      <c r="F487" s="5" t="str">
        <f aca="false">[1]Base_Jugadores!E487</f>
        <v>PO</v>
      </c>
      <c r="G487" s="5" t="n">
        <f aca="false">[1]Base_Jugadores!F487</f>
        <v>75</v>
      </c>
      <c r="H487" s="5" t="n">
        <f aca="false">[1]Base_Jugadores!G487</f>
        <v>24</v>
      </c>
      <c r="I487" s="7" t="n">
        <f aca="false" t="array" ref="I487:I487">_xlfn.XLOOKUP(G487,{55;56;57;58;59;60;61;62;63;64;65;66;67;68;69;70;71;72;73;74;75;76;77;78;79;80;81;82;83;84;85;86;87;88;89;90;91;92;93;94;95;96;97;98;99},{100000;130000;160000;190000;220000;250000;300000;350000;400000;450000;500000;600000;700000;800000;900000;1000000;1500000;2000000;3000000;4000000;5000000;6500000;8000000;10000000;12500000;15000000;20000000;25000000;30000000;35000000;40000000;55000000;70000000;80000000;90000000;110000000;130000000;160000000;190000000;220000000;250000000;280000000;310000000;340000000;400000000})</f>
        <v>5000000</v>
      </c>
      <c r="J487" s="7" t="n">
        <f aca="false">I487*S487*T487*U487</f>
        <v>2983500</v>
      </c>
      <c r="K487" s="3"/>
      <c r="L487" s="3"/>
      <c r="M487" s="3"/>
      <c r="N487" s="9" t="n">
        <v>2</v>
      </c>
      <c r="O487" s="4" t="n">
        <v>0</v>
      </c>
      <c r="P487" s="5" t="n">
        <f aca="false">IF(COUNTIF([1]Base_Jugadores!J$2:J$500,B487)&gt;0,1,0)</f>
        <v>0</v>
      </c>
      <c r="Q487" s="10" t="b">
        <f aca="false">--(COUNTIFS(
   [1]Fichajes_Realizados!A$2:A$5000,A487,
   [1]Fichajes_Realizados!G$2:G$5000,$X$3
)&gt;0)</f>
        <v>0</v>
      </c>
      <c r="R487" s="5" t="n">
        <f aca="false">_xlfn.XLOOKUP(C487, [1]Estado_Equipos!A$2:A$500, [1]Estado_Equipos!J$2:J$500, "")</f>
        <v>77</v>
      </c>
      <c r="S487" s="5" t="n">
        <f aca="false">IF(H487&lt;=16,1.45,
IF(H487&gt;=41,0.3,
CHOOSE(ROUNDDOWN((H487-16)/2,0)+1,
1.45,1.38,1.3,1.23,1.17,1.15,1.12,1.05,0.95,0.8,0.6,0.4,0.3)))</f>
        <v>1.17</v>
      </c>
      <c r="T487" s="5" t="n">
        <f aca="false">CHOOSE(N487+1,1.2,1,0.85,0.7)</f>
        <v>0.85</v>
      </c>
      <c r="U487" s="5" t="n">
        <f aca="false">IF(F487="PO",0.6,
IF(F487="CT",0.75,
IF(F487="LI",0.8,
IF(F487="LD",0.8,
IF(F487="MCD",0.85,
IF(F487="MC",0.95,
IF(F487="MO",1.05,
IF(F487="EI",1.1,
IF(F487="ED",1.1,
IF(F487="SD",1.15,
IF(F487="DC",1.2,0)))))))))))</f>
        <v>0.6</v>
      </c>
    </row>
    <row r="488" customFormat="false" ht="16.4" hidden="false" customHeight="false" outlineLevel="0" collapsed="false">
      <c r="A488" s="1" t="n">
        <v>487</v>
      </c>
      <c r="B488" s="5" t="str">
        <f aca="false">[1]Base_Jugadores!B488</f>
        <v>Ayoze Pérez</v>
      </c>
      <c r="C488" s="5" t="str">
        <f aca="false">IFERROR(
   _xlfn.XLOOKUP(VALUE(A488),[1]Fichajes_Realizados!A$2:A$50000,[1]Fichajes_Realizados!D$2:D$50000,,0,-1),
   _xlfn.XLOOKUP(VALUE(A488),[1]Base_Jugadores!A$2:A$50000,[1]Base_Jugadores!C$2:C$50000)
)</f>
        <v>Villarreal CF</v>
      </c>
      <c r="D488" s="5" t="str">
        <f aca="false">[1]Base_Jugadores!D488</f>
        <v>España</v>
      </c>
      <c r="E488" s="3"/>
      <c r="F488" s="5" t="str">
        <f aca="false">[1]Base_Jugadores!E488</f>
        <v>DC</v>
      </c>
      <c r="G488" s="5" t="n">
        <f aca="false">[1]Base_Jugadores!F488</f>
        <v>81</v>
      </c>
      <c r="H488" s="5" t="n">
        <f aca="false">[1]Base_Jugadores!G488</f>
        <v>32</v>
      </c>
      <c r="I488" s="7" t="n">
        <f aca="false" t="array" ref="I488:I488">_xlfn.XLOOKUP(G488,{55;56;57;58;59;60;61;62;63;64;65;66;67;68;69;70;71;72;73;74;75;76;77;78;79;80;81;82;83;84;85;86;87;88;89;90;91;92;93;94;95;96;97;98;99},{100000;130000;160000;190000;220000;250000;300000;350000;400000;450000;500000;600000;700000;800000;900000;1000000;1500000;2000000;3000000;4000000;5000000;6500000;8000000;10000000;12500000;15000000;20000000;25000000;30000000;35000000;40000000;55000000;70000000;80000000;90000000;110000000;130000000;160000000;190000000;220000000;250000000;280000000;310000000;340000000;400000000})</f>
        <v>20000000</v>
      </c>
      <c r="J488" s="7" t="n">
        <f aca="false">I488*S488*T488*U488</f>
        <v>27360000</v>
      </c>
      <c r="K488" s="3"/>
      <c r="L488" s="3"/>
      <c r="M488" s="3"/>
      <c r="N488" s="9" t="n">
        <v>0</v>
      </c>
      <c r="O488" s="4" t="n">
        <v>0</v>
      </c>
      <c r="P488" s="5" t="n">
        <f aca="false">IF(COUNTIF([1]Base_Jugadores!J$2:J$500,B488)&gt;0,1,0)</f>
        <v>0</v>
      </c>
      <c r="Q488" s="10" t="b">
        <f aca="false">--(COUNTIFS(
   [1]Fichajes_Realizados!A$2:A$5000,A488,
   [1]Fichajes_Realizados!G$2:G$5000,$X$3
)&gt;0)</f>
        <v>0</v>
      </c>
      <c r="R488" s="5" t="n">
        <f aca="false">_xlfn.XLOOKUP(C488, [1]Estado_Equipos!A$2:A$500, [1]Estado_Equipos!J$2:J$500, "")</f>
        <v>77</v>
      </c>
      <c r="S488" s="5" t="n">
        <f aca="false">IF(H488&lt;=16,1.45,
IF(H488&gt;=41,0.3,
CHOOSE(ROUNDDOWN((H488-16)/2,0)+1,
1.45,1.38,1.3,1.23,1.17,1.15,1.12,1.05,0.95,0.8,0.6,0.4,0.3)))</f>
        <v>0.95</v>
      </c>
      <c r="T488" s="5" t="n">
        <f aca="false">CHOOSE(N488+1,1.2,1,0.85,0.7)</f>
        <v>1.2</v>
      </c>
      <c r="U488" s="5" t="n">
        <f aca="false">IF(F488="PO",0.6,
IF(F488="CT",0.75,
IF(F488="LI",0.8,
IF(F488="LD",0.8,
IF(F488="MCD",0.85,
IF(F488="MC",0.95,
IF(F488="MO",1.05,
IF(F488="EI",1.1,
IF(F488="ED",1.1,
IF(F488="SD",1.15,
IF(F488="DC",1.2,0)))))))))))</f>
        <v>1.2</v>
      </c>
    </row>
    <row r="489" customFormat="false" ht="16.4" hidden="false" customHeight="false" outlineLevel="0" collapsed="false">
      <c r="A489" s="1" t="n">
        <v>488</v>
      </c>
      <c r="B489" s="5" t="str">
        <f aca="false">[1]Base_Jugadores!B489</f>
        <v>Dani Parejo</v>
      </c>
      <c r="C489" s="5" t="str">
        <f aca="false">IFERROR(
   _xlfn.XLOOKUP(VALUE(A489),[1]Fichajes_Realizados!A$2:A$50000,[1]Fichajes_Realizados!D$2:D$50000,,0,-1),
   _xlfn.XLOOKUP(VALUE(A489),[1]Base_Jugadores!A$2:A$50000,[1]Base_Jugadores!C$2:C$50000)
)</f>
        <v>Villarreal CF</v>
      </c>
      <c r="D489" s="5" t="str">
        <f aca="false">[1]Base_Jugadores!D489</f>
        <v>España</v>
      </c>
      <c r="E489" s="3"/>
      <c r="F489" s="5" t="str">
        <f aca="false">[1]Base_Jugadores!E489</f>
        <v>MC</v>
      </c>
      <c r="G489" s="5" t="n">
        <f aca="false">[1]Base_Jugadores!F489</f>
        <v>81</v>
      </c>
      <c r="H489" s="5" t="n">
        <f aca="false">[1]Base_Jugadores!G489</f>
        <v>36</v>
      </c>
      <c r="I489" s="7" t="n">
        <f aca="false" t="array" ref="I489:I489">_xlfn.XLOOKUP(G489,{55;56;57;58;59;60;61;62;63;64;65;66;67;68;69;70;71;72;73;74;75;76;77;78;79;80;81;82;83;84;85;86;87;88;89;90;91;92;93;94;95;96;97;98;99},{100000;130000;160000;190000;220000;250000;300000;350000;400000;450000;500000;600000;700000;800000;900000;1000000;1500000;2000000;3000000;4000000;5000000;6500000;8000000;10000000;12500000;15000000;20000000;25000000;30000000;35000000;40000000;55000000;70000000;80000000;90000000;110000000;130000000;160000000;190000000;220000000;250000000;280000000;310000000;340000000;400000000})</f>
        <v>20000000</v>
      </c>
      <c r="J489" s="7" t="n">
        <f aca="false">I489*S489*T489*U489</f>
        <v>13680000</v>
      </c>
      <c r="K489" s="3"/>
      <c r="L489" s="3"/>
      <c r="M489" s="3"/>
      <c r="N489" s="9" t="n">
        <v>0</v>
      </c>
      <c r="O489" s="4" t="n">
        <v>0</v>
      </c>
      <c r="P489" s="5" t="n">
        <f aca="false">IF(COUNTIF([1]Base_Jugadores!J$2:J$500,B489)&gt;0,1,0)</f>
        <v>0</v>
      </c>
      <c r="Q489" s="10" t="b">
        <f aca="false">--(COUNTIFS(
   [1]Fichajes_Realizados!A$2:A$5000,A489,
   [1]Fichajes_Realizados!G$2:G$5000,$X$3
)&gt;0)</f>
        <v>0</v>
      </c>
      <c r="R489" s="5" t="n">
        <f aca="false">_xlfn.XLOOKUP(C489, [1]Estado_Equipos!A$2:A$500, [1]Estado_Equipos!J$2:J$500, "")</f>
        <v>77</v>
      </c>
      <c r="S489" s="5" t="n">
        <f aca="false">IF(H489&lt;=16,1.45,
IF(H489&gt;=41,0.3,
CHOOSE(ROUNDDOWN((H489-16)/2,0)+1,
1.45,1.38,1.3,1.23,1.17,1.15,1.12,1.05,0.95,0.8,0.6,0.4,0.3)))</f>
        <v>0.6</v>
      </c>
      <c r="T489" s="5" t="n">
        <f aca="false">CHOOSE(N489+1,1.2,1,0.85,0.7)</f>
        <v>1.2</v>
      </c>
      <c r="U489" s="5" t="n">
        <f aca="false">IF(F489="PO",0.6,
IF(F489="CT",0.75,
IF(F489="LI",0.8,
IF(F489="LD",0.8,
IF(F489="MCD",0.85,
IF(F489="MC",0.95,
IF(F489="MO",1.05,
IF(F489="EI",1.1,
IF(F489="ED",1.1,
IF(F489="SD",1.15,
IF(F489="DC",1.2,0)))))))))))</f>
        <v>0.95</v>
      </c>
    </row>
    <row r="490" customFormat="false" ht="16.4" hidden="false" customHeight="false" outlineLevel="0" collapsed="false">
      <c r="A490" s="1" t="n">
        <v>489</v>
      </c>
      <c r="B490" s="5" t="str">
        <f aca="false">[1]Base_Jugadores!B490</f>
        <v>Diego Conde</v>
      </c>
      <c r="C490" s="5" t="str">
        <f aca="false">IFERROR(
   _xlfn.XLOOKUP(VALUE(A490),[1]Fichajes_Realizados!A$2:A$50000,[1]Fichajes_Realizados!D$2:D$50000,,0,-1),
   _xlfn.XLOOKUP(VALUE(A490),[1]Base_Jugadores!A$2:A$50000,[1]Base_Jugadores!C$2:C$50000)
)</f>
        <v>Villarreal CF</v>
      </c>
      <c r="D490" s="5" t="str">
        <f aca="false">[1]Base_Jugadores!D490</f>
        <v>España</v>
      </c>
      <c r="E490" s="3"/>
      <c r="F490" s="5" t="str">
        <f aca="false">[1]Base_Jugadores!E490</f>
        <v>PO</v>
      </c>
      <c r="G490" s="5" t="n">
        <f aca="false">[1]Base_Jugadores!F490</f>
        <v>77</v>
      </c>
      <c r="H490" s="5" t="n">
        <f aca="false">[1]Base_Jugadores!G490</f>
        <v>27</v>
      </c>
      <c r="I490" s="7" t="n">
        <f aca="false" t="array" ref="I490:I490">_xlfn.XLOOKUP(G490,{55;56;57;58;59;60;61;62;63;64;65;66;67;68;69;70;71;72;73;74;75;76;77;78;79;80;81;82;83;84;85;86;87;88;89;90;91;92;93;94;95;96;97;98;99},{100000;130000;160000;190000;220000;250000;300000;350000;400000;450000;500000;600000;700000;800000;900000;1000000;1500000;2000000;3000000;4000000;5000000;6500000;8000000;10000000;12500000;15000000;20000000;25000000;30000000;35000000;40000000;55000000;70000000;80000000;90000000;110000000;130000000;160000000;190000000;220000000;250000000;280000000;310000000;340000000;400000000})</f>
        <v>8000000</v>
      </c>
      <c r="J490" s="7" t="n">
        <f aca="false">I490*S490*T490*U490</f>
        <v>6624000</v>
      </c>
      <c r="K490" s="3"/>
      <c r="L490" s="3"/>
      <c r="M490" s="3"/>
      <c r="N490" s="9" t="n">
        <v>0</v>
      </c>
      <c r="O490" s="4" t="n">
        <v>0</v>
      </c>
      <c r="P490" s="5" t="n">
        <f aca="false">IF(COUNTIF([1]Base_Jugadores!J$2:J$500,B490)&gt;0,1,0)</f>
        <v>0</v>
      </c>
      <c r="Q490" s="10" t="b">
        <f aca="false">--(COUNTIFS(
   [1]Fichajes_Realizados!A$2:A$5000,A490,
   [1]Fichajes_Realizados!G$2:G$5000,$X$3
)&gt;0)</f>
        <v>0</v>
      </c>
      <c r="R490" s="5" t="n">
        <f aca="false">_xlfn.XLOOKUP(C490, [1]Estado_Equipos!A$2:A$500, [1]Estado_Equipos!J$2:J$500, "")</f>
        <v>77</v>
      </c>
      <c r="S490" s="5" t="n">
        <f aca="false">IF(H490&lt;=16,1.45,
IF(H490&gt;=41,0.3,
CHOOSE(ROUNDDOWN((H490-16)/2,0)+1,
1.45,1.38,1.3,1.23,1.17,1.15,1.12,1.05,0.95,0.8,0.6,0.4,0.3)))</f>
        <v>1.15</v>
      </c>
      <c r="T490" s="5" t="n">
        <f aca="false">CHOOSE(N490+1,1.2,1,0.85,0.7)</f>
        <v>1.2</v>
      </c>
      <c r="U490" s="5" t="n">
        <f aca="false">IF(F490="PO",0.6,
IF(F490="CT",0.75,
IF(F490="LI",0.8,
IF(F490="LD",0.8,
IF(F490="MCD",0.85,
IF(F490="MC",0.95,
IF(F490="MO",1.05,
IF(F490="EI",1.1,
IF(F490="ED",1.1,
IF(F490="SD",1.15,
IF(F490="DC",1.2,0)))))))))))</f>
        <v>0.6</v>
      </c>
    </row>
    <row r="491" customFormat="false" ht="16.4" hidden="false" customHeight="false" outlineLevel="0" collapsed="false">
      <c r="A491" s="1" t="n">
        <v>490</v>
      </c>
      <c r="B491" s="5" t="str">
        <f aca="false">[1]Base_Jugadores!B491</f>
        <v>G. Mikautadze</v>
      </c>
      <c r="C491" s="5" t="str">
        <f aca="false">IFERROR(
   _xlfn.XLOOKUP(VALUE(A491),[1]Fichajes_Realizados!A$2:A$50000,[1]Fichajes_Realizados!D$2:D$50000,,0,-1),
   _xlfn.XLOOKUP(VALUE(A491),[1]Base_Jugadores!A$2:A$50000,[1]Base_Jugadores!C$2:C$50000)
)</f>
        <v>Villarreal CF</v>
      </c>
      <c r="D491" s="5" t="str">
        <f aca="false">[1]Base_Jugadores!D491</f>
        <v>Georgia</v>
      </c>
      <c r="E491" s="3"/>
      <c r="F491" s="5" t="str">
        <f aca="false">[1]Base_Jugadores!E491</f>
        <v>DC</v>
      </c>
      <c r="G491" s="5" t="n">
        <f aca="false">[1]Base_Jugadores!F491</f>
        <v>77</v>
      </c>
      <c r="H491" s="5" t="n">
        <f aca="false">[1]Base_Jugadores!G491</f>
        <v>25</v>
      </c>
      <c r="I491" s="7" t="n">
        <f aca="false" t="array" ref="I491:I491">_xlfn.XLOOKUP(G491,{55;56;57;58;59;60;61;62;63;64;65;66;67;68;69;70;71;72;73;74;75;76;77;78;79;80;81;82;83;84;85;86;87;88;89;90;91;92;93;94;95;96;97;98;99},{100000;130000;160000;190000;220000;250000;300000;350000;400000;450000;500000;600000;700000;800000;900000;1000000;1500000;2000000;3000000;4000000;5000000;6500000;8000000;10000000;12500000;15000000;20000000;25000000;30000000;35000000;40000000;55000000;70000000;80000000;90000000;110000000;130000000;160000000;190000000;220000000;250000000;280000000;310000000;340000000;400000000})</f>
        <v>8000000</v>
      </c>
      <c r="J491" s="7" t="n">
        <f aca="false">I491*S491*T491*U491</f>
        <v>11232000</v>
      </c>
      <c r="K491" s="3"/>
      <c r="L491" s="3"/>
      <c r="M491" s="3"/>
      <c r="N491" s="9" t="n">
        <v>1</v>
      </c>
      <c r="O491" s="4" t="n">
        <v>0</v>
      </c>
      <c r="P491" s="5" t="n">
        <f aca="false">IF(COUNTIF([1]Base_Jugadores!J$2:J$500,B491)&gt;0,1,0)</f>
        <v>0</v>
      </c>
      <c r="Q491" s="10" t="b">
        <f aca="false">--(COUNTIFS(
   [1]Fichajes_Realizados!A$2:A$5000,A491,
   [1]Fichajes_Realizados!G$2:G$5000,$X$3
)&gt;0)</f>
        <v>0</v>
      </c>
      <c r="R491" s="5" t="n">
        <f aca="false">_xlfn.XLOOKUP(C491, [1]Estado_Equipos!A$2:A$500, [1]Estado_Equipos!J$2:J$500, "")</f>
        <v>77</v>
      </c>
      <c r="S491" s="5" t="n">
        <f aca="false">IF(H491&lt;=16,1.45,
IF(H491&gt;=41,0.3,
CHOOSE(ROUNDDOWN((H491-16)/2,0)+1,
1.45,1.38,1.3,1.23,1.17,1.15,1.12,1.05,0.95,0.8,0.6,0.4,0.3)))</f>
        <v>1.17</v>
      </c>
      <c r="T491" s="5" t="n">
        <f aca="false">CHOOSE(N491+1,1.2,1,0.85,0.7)</f>
        <v>1</v>
      </c>
      <c r="U491" s="5" t="n">
        <f aca="false">IF(F491="PO",0.6,
IF(F491="CT",0.75,
IF(F491="LI",0.8,
IF(F491="LD",0.8,
IF(F491="MCD",0.85,
IF(F491="MC",0.95,
IF(F491="MO",1.05,
IF(F491="EI",1.1,
IF(F491="ED",1.1,
IF(F491="SD",1.15,
IF(F491="DC",1.2,0)))))))))))</f>
        <v>1.2</v>
      </c>
    </row>
    <row r="492" customFormat="false" ht="16.4" hidden="false" customHeight="false" outlineLevel="0" collapsed="false">
      <c r="A492" s="1" t="n">
        <v>491</v>
      </c>
      <c r="B492" s="5" t="str">
        <f aca="false">[1]Base_Jugadores!B492</f>
        <v>Gerard Moreno</v>
      </c>
      <c r="C492" s="5" t="str">
        <f aca="false">IFERROR(
   _xlfn.XLOOKUP(VALUE(A492),[1]Fichajes_Realizados!A$2:A$50000,[1]Fichajes_Realizados!D$2:D$50000,,0,-1),
   _xlfn.XLOOKUP(VALUE(A492),[1]Base_Jugadores!A$2:A$50000,[1]Base_Jugadores!C$2:C$50000)
)</f>
        <v>Villarreal CF</v>
      </c>
      <c r="D492" s="5" t="str">
        <f aca="false">[1]Base_Jugadores!D492</f>
        <v>España</v>
      </c>
      <c r="E492" s="3"/>
      <c r="F492" s="5" t="str">
        <f aca="false">[1]Base_Jugadores!E492</f>
        <v>DC</v>
      </c>
      <c r="G492" s="5" t="n">
        <f aca="false">[1]Base_Jugadores!F492</f>
        <v>83</v>
      </c>
      <c r="H492" s="5" t="n">
        <f aca="false">[1]Base_Jugadores!G492</f>
        <v>33</v>
      </c>
      <c r="I492" s="7" t="n">
        <f aca="false" t="array" ref="I492:I492">_xlfn.XLOOKUP(G492,{55;56;57;58;59;60;61;62;63;64;65;66;67;68;69;70;71;72;73;74;75;76;77;78;79;80;81;82;83;84;85;86;87;88;89;90;91;92;93;94;95;96;97;98;99},{100000;130000;160000;190000;220000;250000;300000;350000;400000;450000;500000;600000;700000;800000;900000;1000000;1500000;2000000;3000000;4000000;5000000;6500000;8000000;10000000;12500000;15000000;20000000;25000000;30000000;35000000;40000000;55000000;70000000;80000000;90000000;110000000;130000000;160000000;190000000;220000000;250000000;280000000;310000000;340000000;400000000})</f>
        <v>30000000</v>
      </c>
      <c r="J492" s="7" t="n">
        <f aca="false">I492*S492*T492*U492</f>
        <v>41040000</v>
      </c>
      <c r="K492" s="3"/>
      <c r="L492" s="3"/>
      <c r="M492" s="3"/>
      <c r="N492" s="9" t="n">
        <v>0</v>
      </c>
      <c r="O492" s="4" t="n">
        <v>0</v>
      </c>
      <c r="P492" s="5" t="n">
        <f aca="false">IF(COUNTIF([1]Base_Jugadores!J$2:J$500,B492)&gt;0,1,0)</f>
        <v>0</v>
      </c>
      <c r="Q492" s="10" t="b">
        <f aca="false">--(COUNTIFS(
   [1]Fichajes_Realizados!A$2:A$5000,A492,
   [1]Fichajes_Realizados!G$2:G$5000,$X$3
)&gt;0)</f>
        <v>0</v>
      </c>
      <c r="R492" s="5" t="n">
        <f aca="false">_xlfn.XLOOKUP(C492, [1]Estado_Equipos!A$2:A$500, [1]Estado_Equipos!J$2:J$500, "")</f>
        <v>77</v>
      </c>
      <c r="S492" s="5" t="n">
        <f aca="false">IF(H492&lt;=16,1.45,
IF(H492&gt;=41,0.3,
CHOOSE(ROUNDDOWN((H492-16)/2,0)+1,
1.45,1.38,1.3,1.23,1.17,1.15,1.12,1.05,0.95,0.8,0.6,0.4,0.3)))</f>
        <v>0.95</v>
      </c>
      <c r="T492" s="5" t="n">
        <f aca="false">CHOOSE(N492+1,1.2,1,0.85,0.7)</f>
        <v>1.2</v>
      </c>
      <c r="U492" s="5" t="n">
        <f aca="false">IF(F492="PO",0.6,
IF(F492="CT",0.75,
IF(F492="LI",0.8,
IF(F492="LD",0.8,
IF(F492="MCD",0.85,
IF(F492="MC",0.95,
IF(F492="MO",1.05,
IF(F492="EI",1.1,
IF(F492="ED",1.1,
IF(F492="SD",1.15,
IF(F492="DC",1.2,0)))))))))))</f>
        <v>1.2</v>
      </c>
    </row>
    <row r="493" customFormat="false" ht="16.4" hidden="false" customHeight="false" outlineLevel="0" collapsed="false">
      <c r="A493" s="1" t="n">
        <v>492</v>
      </c>
      <c r="B493" s="5" t="str">
        <f aca="false">[1]Base_Jugadores!B493</f>
        <v>Ilias Akhomach</v>
      </c>
      <c r="C493" s="5" t="str">
        <f aca="false">IFERROR(
   _xlfn.XLOOKUP(VALUE(A493),[1]Fichajes_Realizados!A$2:A$50000,[1]Fichajes_Realizados!D$2:D$50000,,0,-1),
   _xlfn.XLOOKUP(VALUE(A493),[1]Base_Jugadores!A$2:A$50000,[1]Base_Jugadores!C$2:C$50000)
)</f>
        <v>Villarreal CF</v>
      </c>
      <c r="D493" s="5" t="str">
        <f aca="false">[1]Base_Jugadores!D493</f>
        <v>Marruecos</v>
      </c>
      <c r="E493" s="3"/>
      <c r="F493" s="5" t="str">
        <f aca="false">[1]Base_Jugadores!E493</f>
        <v>ED</v>
      </c>
      <c r="G493" s="5" t="n">
        <f aca="false">[1]Base_Jugadores!F493</f>
        <v>72</v>
      </c>
      <c r="H493" s="5" t="n">
        <f aca="false">[1]Base_Jugadores!G493</f>
        <v>21</v>
      </c>
      <c r="I493" s="7" t="n">
        <f aca="false" t="array" ref="I493:I493">_xlfn.XLOOKUP(G493,{55;56;57;58;59;60;61;62;63;64;65;66;67;68;69;70;71;72;73;74;75;76;77;78;79;80;81;82;83;84;85;86;87;88;89;90;91;92;93;94;95;96;97;98;99},{100000;130000;160000;190000;220000;250000;300000;350000;400000;450000;500000;600000;700000;800000;900000;1000000;1500000;2000000;3000000;4000000;5000000;6500000;8000000;10000000;12500000;15000000;20000000;25000000;30000000;35000000;40000000;55000000;70000000;80000000;90000000;110000000;130000000;160000000;190000000;220000000;250000000;280000000;310000000;340000000;400000000})</f>
        <v>2000000</v>
      </c>
      <c r="J493" s="7" t="n">
        <f aca="false">I493*S493*T493*U493</f>
        <v>2431000</v>
      </c>
      <c r="K493" s="3"/>
      <c r="L493" s="3"/>
      <c r="M493" s="3"/>
      <c r="N493" s="9" t="n">
        <v>2</v>
      </c>
      <c r="O493" s="4" t="n">
        <v>0</v>
      </c>
      <c r="P493" s="5" t="n">
        <f aca="false">IF(COUNTIF([1]Base_Jugadores!J$2:J$500,B493)&gt;0,1,0)</f>
        <v>0</v>
      </c>
      <c r="Q493" s="10" t="b">
        <f aca="false">--(COUNTIFS(
   [1]Fichajes_Realizados!A$2:A$5000,A493,
   [1]Fichajes_Realizados!G$2:G$5000,$X$3
)&gt;0)</f>
        <v>0</v>
      </c>
      <c r="R493" s="5" t="n">
        <f aca="false">_xlfn.XLOOKUP(C493, [1]Estado_Equipos!A$2:A$500, [1]Estado_Equipos!J$2:J$500, "")</f>
        <v>77</v>
      </c>
      <c r="S493" s="5" t="n">
        <f aca="false">IF(H493&lt;=16,1.45,
IF(H493&gt;=41,0.3,
CHOOSE(ROUNDDOWN((H493-16)/2,0)+1,
1.45,1.38,1.3,1.23,1.17,1.15,1.12,1.05,0.95,0.8,0.6,0.4,0.3)))</f>
        <v>1.3</v>
      </c>
      <c r="T493" s="5" t="n">
        <f aca="false">CHOOSE(N493+1,1.2,1,0.85,0.7)</f>
        <v>0.85</v>
      </c>
      <c r="U493" s="5" t="n">
        <f aca="false">IF(F493="PO",0.6,
IF(F493="CT",0.75,
IF(F493="LI",0.8,
IF(F493="LD",0.8,
IF(F493="MCD",0.85,
IF(F493="MC",0.95,
IF(F493="MO",1.05,
IF(F493="EI",1.1,
IF(F493="ED",1.1,
IF(F493="SD",1.15,
IF(F493="DC",1.2,0)))))))))))</f>
        <v>1.1</v>
      </c>
    </row>
    <row r="494" customFormat="false" ht="16.4" hidden="false" customHeight="false" outlineLevel="0" collapsed="false">
      <c r="A494" s="1" t="n">
        <v>493</v>
      </c>
      <c r="B494" s="5" t="str">
        <f aca="false">[1]Base_Jugadores!B494</f>
        <v>Juan Foyth</v>
      </c>
      <c r="C494" s="5" t="str">
        <f aca="false">IFERROR(
   _xlfn.XLOOKUP(VALUE(A494),[1]Fichajes_Realizados!A$2:A$50000,[1]Fichajes_Realizados!D$2:D$50000,,0,-1),
   _xlfn.XLOOKUP(VALUE(A494),[1]Base_Jugadores!A$2:A$50000,[1]Base_Jugadores!C$2:C$50000)
)</f>
        <v>Villarreal CF</v>
      </c>
      <c r="D494" s="5" t="str">
        <f aca="false">[1]Base_Jugadores!D494</f>
        <v>Argentina</v>
      </c>
      <c r="E494" s="3"/>
      <c r="F494" s="5" t="str">
        <f aca="false">[1]Base_Jugadores!E494</f>
        <v>CT</v>
      </c>
      <c r="G494" s="5" t="n">
        <f aca="false">[1]Base_Jugadores!F494</f>
        <v>76</v>
      </c>
      <c r="H494" s="5" t="n">
        <f aca="false">[1]Base_Jugadores!G494</f>
        <v>27</v>
      </c>
      <c r="I494" s="7" t="n">
        <f aca="false" t="array" ref="I494:I494">_xlfn.XLOOKUP(G494,{55;56;57;58;59;60;61;62;63;64;65;66;67;68;69;70;71;72;73;74;75;76;77;78;79;80;81;82;83;84;85;86;87;88;89;90;91;92;93;94;95;96;97;98;99},{100000;130000;160000;190000;220000;250000;300000;350000;400000;450000;500000;600000;700000;800000;900000;1000000;1500000;2000000;3000000;4000000;5000000;6500000;8000000;10000000;12500000;15000000;20000000;25000000;30000000;35000000;40000000;55000000;70000000;80000000;90000000;110000000;130000000;160000000;190000000;220000000;250000000;280000000;310000000;340000000;400000000})</f>
        <v>6500000</v>
      </c>
      <c r="J494" s="7" t="n">
        <f aca="false">I494*S494*T494*U494</f>
        <v>6727500</v>
      </c>
      <c r="K494" s="3"/>
      <c r="L494" s="3"/>
      <c r="M494" s="3"/>
      <c r="N494" s="9" t="n">
        <v>0</v>
      </c>
      <c r="O494" s="4" t="n">
        <v>0</v>
      </c>
      <c r="P494" s="5" t="n">
        <f aca="false">IF(COUNTIF([1]Base_Jugadores!J$2:J$500,B494)&gt;0,1,0)</f>
        <v>0</v>
      </c>
      <c r="Q494" s="10" t="b">
        <f aca="false">--(COUNTIFS(
   [1]Fichajes_Realizados!A$2:A$5000,A494,
   [1]Fichajes_Realizados!G$2:G$5000,$X$3
)&gt;0)</f>
        <v>0</v>
      </c>
      <c r="R494" s="5" t="n">
        <f aca="false">_xlfn.XLOOKUP(C494, [1]Estado_Equipos!A$2:A$500, [1]Estado_Equipos!J$2:J$500, "")</f>
        <v>77</v>
      </c>
      <c r="S494" s="5" t="n">
        <f aca="false">IF(H494&lt;=16,1.45,
IF(H494&gt;=41,0.3,
CHOOSE(ROUNDDOWN((H494-16)/2,0)+1,
1.45,1.38,1.3,1.23,1.17,1.15,1.12,1.05,0.95,0.8,0.6,0.4,0.3)))</f>
        <v>1.15</v>
      </c>
      <c r="T494" s="5" t="n">
        <f aca="false">CHOOSE(N494+1,1.2,1,0.85,0.7)</f>
        <v>1.2</v>
      </c>
      <c r="U494" s="5" t="n">
        <f aca="false">IF(F494="PO",0.6,
IF(F494="CT",0.75,
IF(F494="LI",0.8,
IF(F494="LD",0.8,
IF(F494="MCD",0.85,
IF(F494="MC",0.95,
IF(F494="MO",1.05,
IF(F494="EI",1.1,
IF(F494="ED",1.1,
IF(F494="SD",1.15,
IF(F494="DC",1.2,0)))))))))))</f>
        <v>0.75</v>
      </c>
    </row>
    <row r="495" customFormat="false" ht="16.4" hidden="false" customHeight="false" outlineLevel="0" collapsed="false">
      <c r="A495" s="1" t="n">
        <v>494</v>
      </c>
      <c r="B495" s="5" t="str">
        <f aca="false">[1]Base_Jugadores!B495</f>
        <v>Logan Costa</v>
      </c>
      <c r="C495" s="5" t="str">
        <f aca="false">IFERROR(
   _xlfn.XLOOKUP(VALUE(A495),[1]Fichajes_Realizados!A$2:A$50000,[1]Fichajes_Realizados!D$2:D$50000,,0,-1),
   _xlfn.XLOOKUP(VALUE(A495),[1]Base_Jugadores!A$2:A$50000,[1]Base_Jugadores!C$2:C$50000)
)</f>
        <v>Villarreal CF</v>
      </c>
      <c r="D495" s="5" t="str">
        <f aca="false">[1]Base_Jugadores!D495</f>
        <v>Cabo Verde</v>
      </c>
      <c r="E495" s="3"/>
      <c r="F495" s="5" t="str">
        <f aca="false">[1]Base_Jugadores!E495</f>
        <v>CT</v>
      </c>
      <c r="G495" s="5" t="n">
        <f aca="false">[1]Base_Jugadores!F495</f>
        <v>76</v>
      </c>
      <c r="H495" s="5" t="n">
        <f aca="false">[1]Base_Jugadores!G495</f>
        <v>24</v>
      </c>
      <c r="I495" s="7" t="n">
        <f aca="false" t="array" ref="I495:I495">_xlfn.XLOOKUP(G495,{55;56;57;58;59;60;61;62;63;64;65;66;67;68;69;70;71;72;73;74;75;76;77;78;79;80;81;82;83;84;85;86;87;88;89;90;91;92;93;94;95;96;97;98;99},{100000;130000;160000;190000;220000;250000;300000;350000;400000;450000;500000;600000;700000;800000;900000;1000000;1500000;2000000;3000000;4000000;5000000;6500000;8000000;10000000;12500000;15000000;20000000;25000000;30000000;35000000;40000000;55000000;70000000;80000000;90000000;110000000;130000000;160000000;190000000;220000000;250000000;280000000;310000000;340000000;400000000})</f>
        <v>6500000</v>
      </c>
      <c r="J495" s="7" t="n">
        <f aca="false">I495*S495*T495*U495</f>
        <v>6844500</v>
      </c>
      <c r="K495" s="3"/>
      <c r="L495" s="3"/>
      <c r="M495" s="3"/>
      <c r="N495" s="9" t="n">
        <v>0</v>
      </c>
      <c r="O495" s="4" t="n">
        <v>0</v>
      </c>
      <c r="P495" s="5" t="n">
        <f aca="false">IF(COUNTIF([1]Base_Jugadores!J$2:J$500,B495)&gt;0,1,0)</f>
        <v>0</v>
      </c>
      <c r="Q495" s="10" t="b">
        <f aca="false">--(COUNTIFS(
   [1]Fichajes_Realizados!A$2:A$5000,A495,
   [1]Fichajes_Realizados!G$2:G$5000,$X$3
)&gt;0)</f>
        <v>0</v>
      </c>
      <c r="R495" s="5" t="n">
        <f aca="false">_xlfn.XLOOKUP(C495, [1]Estado_Equipos!A$2:A$500, [1]Estado_Equipos!J$2:J$500, "")</f>
        <v>77</v>
      </c>
      <c r="S495" s="5" t="n">
        <f aca="false">IF(H495&lt;=16,1.45,
IF(H495&gt;=41,0.3,
CHOOSE(ROUNDDOWN((H495-16)/2,0)+1,
1.45,1.38,1.3,1.23,1.17,1.15,1.12,1.05,0.95,0.8,0.6,0.4,0.3)))</f>
        <v>1.17</v>
      </c>
      <c r="T495" s="5" t="n">
        <f aca="false">CHOOSE(N495+1,1.2,1,0.85,0.7)</f>
        <v>1.2</v>
      </c>
      <c r="U495" s="5" t="n">
        <f aca="false">IF(F495="PO",0.6,
IF(F495="CT",0.75,
IF(F495="LI",0.8,
IF(F495="LD",0.8,
IF(F495="MCD",0.85,
IF(F495="MC",0.95,
IF(F495="MO",1.05,
IF(F495="EI",1.1,
IF(F495="ED",1.1,
IF(F495="SD",1.15,
IF(F495="DC",1.2,0)))))))))))</f>
        <v>0.75</v>
      </c>
    </row>
    <row r="496" customFormat="false" ht="16.4" hidden="false" customHeight="false" outlineLevel="0" collapsed="false">
      <c r="A496" s="1" t="n">
        <v>495</v>
      </c>
      <c r="B496" s="5" t="str">
        <f aca="false">[1]Base_Jugadores!B496</f>
        <v>Luiz Júnior</v>
      </c>
      <c r="C496" s="5" t="str">
        <f aca="false">IFERROR(
   _xlfn.XLOOKUP(VALUE(A496),[1]Fichajes_Realizados!A$2:A$50000,[1]Fichajes_Realizados!D$2:D$50000,,0,-1),
   _xlfn.XLOOKUP(VALUE(A496),[1]Base_Jugadores!A$2:A$50000,[1]Base_Jugadores!C$2:C$50000)
)</f>
        <v>Villarreal CF</v>
      </c>
      <c r="D496" s="5" t="str">
        <f aca="false">[1]Base_Jugadores!D496</f>
        <v>Brasil</v>
      </c>
      <c r="E496" s="3"/>
      <c r="F496" s="5" t="str">
        <f aca="false">[1]Base_Jugadores!E496</f>
        <v>PO</v>
      </c>
      <c r="G496" s="5" t="n">
        <f aca="false">[1]Base_Jugadores!F496</f>
        <v>76</v>
      </c>
      <c r="H496" s="5" t="n">
        <f aca="false">[1]Base_Jugadores!G496</f>
        <v>24</v>
      </c>
      <c r="I496" s="7" t="n">
        <f aca="false" t="array" ref="I496:I496">_xlfn.XLOOKUP(G496,{55;56;57;58;59;60;61;62;63;64;65;66;67;68;69;70;71;72;73;74;75;76;77;78;79;80;81;82;83;84;85;86;87;88;89;90;91;92;93;94;95;96;97;98;99},{100000;130000;160000;190000;220000;250000;300000;350000;400000;450000;500000;600000;700000;800000;900000;1000000;1500000;2000000;3000000;4000000;5000000;6500000;8000000;10000000;12500000;15000000;20000000;25000000;30000000;35000000;40000000;55000000;70000000;80000000;90000000;110000000;130000000;160000000;190000000;220000000;250000000;280000000;310000000;340000000;400000000})</f>
        <v>6500000</v>
      </c>
      <c r="J496" s="7" t="n">
        <f aca="false">I496*S496*T496*U496</f>
        <v>3878550</v>
      </c>
      <c r="K496" s="3"/>
      <c r="L496" s="3"/>
      <c r="M496" s="3"/>
      <c r="N496" s="9" t="n">
        <v>2</v>
      </c>
      <c r="O496" s="4" t="n">
        <v>0</v>
      </c>
      <c r="P496" s="5" t="n">
        <f aca="false">IF(COUNTIF([1]Base_Jugadores!J$2:J$500,B496)&gt;0,1,0)</f>
        <v>0</v>
      </c>
      <c r="Q496" s="10" t="b">
        <f aca="false">--(COUNTIFS(
   [1]Fichajes_Realizados!A$2:A$5000,A496,
   [1]Fichajes_Realizados!G$2:G$5000,$X$3
)&gt;0)</f>
        <v>0</v>
      </c>
      <c r="R496" s="5" t="n">
        <f aca="false">_xlfn.XLOOKUP(C496, [1]Estado_Equipos!A$2:A$500, [1]Estado_Equipos!J$2:J$500, "")</f>
        <v>77</v>
      </c>
      <c r="S496" s="5" t="n">
        <f aca="false">IF(H496&lt;=16,1.45,
IF(H496&gt;=41,0.3,
CHOOSE(ROUNDDOWN((H496-16)/2,0)+1,
1.45,1.38,1.3,1.23,1.17,1.15,1.12,1.05,0.95,0.8,0.6,0.4,0.3)))</f>
        <v>1.17</v>
      </c>
      <c r="T496" s="5" t="n">
        <f aca="false">CHOOSE(N496+1,1.2,1,0.85,0.7)</f>
        <v>0.85</v>
      </c>
      <c r="U496" s="5" t="n">
        <f aca="false">IF(F496="PO",0.6,
IF(F496="CT",0.75,
IF(F496="LI",0.8,
IF(F496="LD",0.8,
IF(F496="MCD",0.85,
IF(F496="MC",0.95,
IF(F496="MO",1.05,
IF(F496="EI",1.1,
IF(F496="ED",1.1,
IF(F496="SD",1.15,
IF(F496="DC",1.2,0)))))))))))</f>
        <v>0.6</v>
      </c>
    </row>
    <row r="497" customFormat="false" ht="16.4" hidden="false" customHeight="false" outlineLevel="0" collapsed="false">
      <c r="A497" s="1" t="n">
        <v>496</v>
      </c>
      <c r="B497" s="5" t="str">
        <f aca="false">[1]Base_Jugadores!B497</f>
        <v>Manor Solomon</v>
      </c>
      <c r="C497" s="5" t="str">
        <f aca="false">IFERROR(
   _xlfn.XLOOKUP(VALUE(A497),[1]Fichajes_Realizados!A$2:A$50000,[1]Fichajes_Realizados!D$2:D$50000,,0,-1),
   _xlfn.XLOOKUP(VALUE(A497),[1]Base_Jugadores!A$2:A$50000,[1]Base_Jugadores!C$2:C$50000)
)</f>
        <v>Villarreal CF</v>
      </c>
      <c r="D497" s="5" t="str">
        <f aca="false">[1]Base_Jugadores!D497</f>
        <v>Israel</v>
      </c>
      <c r="E497" s="3"/>
      <c r="F497" s="5" t="str">
        <f aca="false">[1]Base_Jugadores!E497</f>
        <v>EI</v>
      </c>
      <c r="G497" s="5" t="n">
        <f aca="false">[1]Base_Jugadores!F497</f>
        <v>77</v>
      </c>
      <c r="H497" s="5" t="n">
        <f aca="false">[1]Base_Jugadores!G497</f>
        <v>26</v>
      </c>
      <c r="I497" s="7" t="n">
        <f aca="false" t="array" ref="I497:I497">_xlfn.XLOOKUP(G497,{55;56;57;58;59;60;61;62;63;64;65;66;67;68;69;70;71;72;73;74;75;76;77;78;79;80;81;82;83;84;85;86;87;88;89;90;91;92;93;94;95;96;97;98;99},{100000;130000;160000;190000;220000;250000;300000;350000;400000;450000;500000;600000;700000;800000;900000;1000000;1500000;2000000;3000000;4000000;5000000;6500000;8000000;10000000;12500000;15000000;20000000;25000000;30000000;35000000;40000000;55000000;70000000;80000000;90000000;110000000;130000000;160000000;190000000;220000000;250000000;280000000;310000000;340000000;400000000})</f>
        <v>8000000</v>
      </c>
      <c r="J497" s="7" t="n">
        <f aca="false">I497*S497*T497*U497</f>
        <v>10120000</v>
      </c>
      <c r="K497" s="3"/>
      <c r="L497" s="3"/>
      <c r="M497" s="3"/>
      <c r="N497" s="9" t="n">
        <v>1</v>
      </c>
      <c r="O497" s="4" t="n">
        <v>0</v>
      </c>
      <c r="P497" s="5" t="n">
        <f aca="false">IF(COUNTIF([1]Base_Jugadores!J$2:J$500,B497)&gt;0,1,0)</f>
        <v>0</v>
      </c>
      <c r="Q497" s="10" t="b">
        <f aca="false">--(COUNTIFS(
   [1]Fichajes_Realizados!A$2:A$5000,A497,
   [1]Fichajes_Realizados!G$2:G$5000,$X$3
)&gt;0)</f>
        <v>0</v>
      </c>
      <c r="R497" s="5" t="n">
        <f aca="false">_xlfn.XLOOKUP(C497, [1]Estado_Equipos!A$2:A$500, [1]Estado_Equipos!J$2:J$500, "")</f>
        <v>77</v>
      </c>
      <c r="S497" s="5" t="n">
        <f aca="false">IF(H497&lt;=16,1.45,
IF(H497&gt;=41,0.3,
CHOOSE(ROUNDDOWN((H497-16)/2,0)+1,
1.45,1.38,1.3,1.23,1.17,1.15,1.12,1.05,0.95,0.8,0.6,0.4,0.3)))</f>
        <v>1.15</v>
      </c>
      <c r="T497" s="5" t="n">
        <f aca="false">CHOOSE(N497+1,1.2,1,0.85,0.7)</f>
        <v>1</v>
      </c>
      <c r="U497" s="5" t="n">
        <f aca="false">IF(F497="PO",0.6,
IF(F497="CT",0.75,
IF(F497="LI",0.8,
IF(F497="LD",0.8,
IF(F497="MCD",0.85,
IF(F497="MC",0.95,
IF(F497="MO",1.05,
IF(F497="EI",1.1,
IF(F497="ED",1.1,
IF(F497="SD",1.15,
IF(F497="DC",1.2,0)))))))))))</f>
        <v>1.1</v>
      </c>
    </row>
    <row r="498" customFormat="false" ht="16.4" hidden="false" customHeight="false" outlineLevel="0" collapsed="false">
      <c r="A498" s="1" t="n">
        <v>497</v>
      </c>
      <c r="B498" s="5" t="str">
        <f aca="false">[1]Base_Jugadores!B498</f>
        <v>Nicolas Pépé</v>
      </c>
      <c r="C498" s="5" t="str">
        <f aca="false">IFERROR(
   _xlfn.XLOOKUP(VALUE(A498),[1]Fichajes_Realizados!A$2:A$50000,[1]Fichajes_Realizados!D$2:D$50000,,0,-1),
   _xlfn.XLOOKUP(VALUE(A498),[1]Base_Jugadores!A$2:A$50000,[1]Base_Jugadores!C$2:C$50000)
)</f>
        <v>Villarreal CF</v>
      </c>
      <c r="D498" s="5" t="str">
        <f aca="false">[1]Base_Jugadores!D498</f>
        <v>Costa de Marfil</v>
      </c>
      <c r="E498" s="3"/>
      <c r="F498" s="5" t="str">
        <f aca="false">[1]Base_Jugadores!E498</f>
        <v>ED</v>
      </c>
      <c r="G498" s="5" t="n">
        <f aca="false">[1]Base_Jugadores!F498</f>
        <v>78</v>
      </c>
      <c r="H498" s="5" t="n">
        <f aca="false">[1]Base_Jugadores!G498</f>
        <v>30</v>
      </c>
      <c r="I498" s="7" t="n">
        <f aca="false" t="array" ref="I498:I498">_xlfn.XLOOKUP(G498,{55;56;57;58;59;60;61;62;63;64;65;66;67;68;69;70;71;72;73;74;75;76;77;78;79;80;81;82;83;84;85;86;87;88;89;90;91;92;93;94;95;96;97;98;99},{100000;130000;160000;190000;220000;250000;300000;350000;400000;450000;500000;600000;700000;800000;900000;1000000;1500000;2000000;3000000;4000000;5000000;6500000;8000000;10000000;12500000;15000000;20000000;25000000;30000000;35000000;40000000;55000000;70000000;80000000;90000000;110000000;130000000;160000000;190000000;220000000;250000000;280000000;310000000;340000000;400000000})</f>
        <v>10000000</v>
      </c>
      <c r="J498" s="7" t="n">
        <f aca="false">I498*S498*T498*U498</f>
        <v>13860000</v>
      </c>
      <c r="K498" s="3"/>
      <c r="L498" s="3"/>
      <c r="M498" s="3"/>
      <c r="N498" s="9" t="n">
        <v>0</v>
      </c>
      <c r="O498" s="4" t="n">
        <v>0</v>
      </c>
      <c r="P498" s="5" t="n">
        <f aca="false">IF(COUNTIF([1]Base_Jugadores!J$2:J$500,B498)&gt;0,1,0)</f>
        <v>0</v>
      </c>
      <c r="Q498" s="10" t="b">
        <f aca="false">--(COUNTIFS(
   [1]Fichajes_Realizados!A$2:A$5000,A498,
   [1]Fichajes_Realizados!G$2:G$5000,$X$3
)&gt;0)</f>
        <v>0</v>
      </c>
      <c r="R498" s="5" t="n">
        <f aca="false">_xlfn.XLOOKUP(C498, [1]Estado_Equipos!A$2:A$500, [1]Estado_Equipos!J$2:J$500, "")</f>
        <v>77</v>
      </c>
      <c r="S498" s="5" t="n">
        <f aca="false">IF(H498&lt;=16,1.45,
IF(H498&gt;=41,0.3,
CHOOSE(ROUNDDOWN((H498-16)/2,0)+1,
1.45,1.38,1.3,1.23,1.17,1.15,1.12,1.05,0.95,0.8,0.6,0.4,0.3)))</f>
        <v>1.05</v>
      </c>
      <c r="T498" s="5" t="n">
        <f aca="false">CHOOSE(N498+1,1.2,1,0.85,0.7)</f>
        <v>1.2</v>
      </c>
      <c r="U498" s="5" t="n">
        <f aca="false">IF(F498="PO",0.6,
IF(F498="CT",0.75,
IF(F498="LI",0.8,
IF(F498="LD",0.8,
IF(F498="MCD",0.85,
IF(F498="MC",0.95,
IF(F498="MO",1.05,
IF(F498="EI",1.1,
IF(F498="ED",1.1,
IF(F498="SD",1.15,
IF(F498="DC",1.2,0)))))))))))</f>
        <v>1.1</v>
      </c>
    </row>
    <row r="499" customFormat="false" ht="16.4" hidden="false" customHeight="false" outlineLevel="0" collapsed="false">
      <c r="A499" s="1" t="n">
        <v>498</v>
      </c>
      <c r="B499" s="5" t="str">
        <f aca="false">[1]Base_Jugadores!B499</f>
        <v>Pape Gueye</v>
      </c>
      <c r="C499" s="5" t="str">
        <f aca="false">IFERROR(
   _xlfn.XLOOKUP(VALUE(A499),[1]Fichajes_Realizados!A$2:A$50000,[1]Fichajes_Realizados!D$2:D$50000,,0,-1),
   _xlfn.XLOOKUP(VALUE(A499),[1]Base_Jugadores!A$2:A$50000,[1]Base_Jugadores!C$2:C$50000)
)</f>
        <v>Villarreal CF</v>
      </c>
      <c r="D499" s="5" t="str">
        <f aca="false">[1]Base_Jugadores!D499</f>
        <v>Senegal</v>
      </c>
      <c r="E499" s="3"/>
      <c r="F499" s="5" t="str">
        <f aca="false">[1]Base_Jugadores!E499</f>
        <v>MC</v>
      </c>
      <c r="G499" s="5" t="n">
        <f aca="false">[1]Base_Jugadores!F499</f>
        <v>74</v>
      </c>
      <c r="H499" s="5" t="n">
        <f aca="false">[1]Base_Jugadores!G499</f>
        <v>26</v>
      </c>
      <c r="I499" s="7" t="n">
        <f aca="false" t="array" ref="I499:I499">_xlfn.XLOOKUP(G499,{55;56;57;58;59;60;61;62;63;64;65;66;67;68;69;70;71;72;73;74;75;76;77;78;79;80;81;82;83;84;85;86;87;88;89;90;91;92;93;94;95;96;97;98;99},{100000;130000;160000;190000;220000;250000;300000;350000;400000;450000;500000;600000;700000;800000;900000;1000000;1500000;2000000;3000000;4000000;5000000;6500000;8000000;10000000;12500000;15000000;20000000;25000000;30000000;35000000;40000000;55000000;70000000;80000000;90000000;110000000;130000000;160000000;190000000;220000000;250000000;280000000;310000000;340000000;400000000})</f>
        <v>4000000</v>
      </c>
      <c r="J499" s="7" t="n">
        <f aca="false">I499*S499*T499*U499</f>
        <v>4370000</v>
      </c>
      <c r="K499" s="3"/>
      <c r="L499" s="3"/>
      <c r="M499" s="3"/>
      <c r="N499" s="9" t="n">
        <v>1</v>
      </c>
      <c r="O499" s="4" t="n">
        <v>0</v>
      </c>
      <c r="P499" s="5" t="n">
        <f aca="false">IF(COUNTIF([1]Base_Jugadores!J$2:J$500,B499)&gt;0,1,0)</f>
        <v>0</v>
      </c>
      <c r="Q499" s="10" t="b">
        <f aca="false">--(COUNTIFS(
   [1]Fichajes_Realizados!A$2:A$5000,A499,
   [1]Fichajes_Realizados!G$2:G$5000,$X$3
)&gt;0)</f>
        <v>0</v>
      </c>
      <c r="R499" s="5" t="n">
        <f aca="false">_xlfn.XLOOKUP(C499, [1]Estado_Equipos!A$2:A$500, [1]Estado_Equipos!J$2:J$500, "")</f>
        <v>77</v>
      </c>
      <c r="S499" s="5" t="n">
        <f aca="false">IF(H499&lt;=16,1.45,
IF(H499&gt;=41,0.3,
CHOOSE(ROUNDDOWN((H499-16)/2,0)+1,
1.45,1.38,1.3,1.23,1.17,1.15,1.12,1.05,0.95,0.8,0.6,0.4,0.3)))</f>
        <v>1.15</v>
      </c>
      <c r="T499" s="5" t="n">
        <f aca="false">CHOOSE(N499+1,1.2,1,0.85,0.7)</f>
        <v>1</v>
      </c>
      <c r="U499" s="5" t="n">
        <f aca="false">IF(F499="PO",0.6,
IF(F499="CT",0.75,
IF(F499="LI",0.8,
IF(F499="LD",0.8,
IF(F499="MCD",0.85,
IF(F499="MC",0.95,
IF(F499="MO",1.05,
IF(F499="EI",1.1,
IF(F499="ED",1.1,
IF(F499="SD",1.15,
IF(F499="DC",1.2,0)))))))))))</f>
        <v>0.95</v>
      </c>
    </row>
    <row r="500" customFormat="false" ht="16.4" hidden="false" customHeight="false" outlineLevel="0" collapsed="false">
      <c r="A500" s="1" t="n">
        <v>499</v>
      </c>
      <c r="B500" s="5" t="str">
        <f aca="false">[1]Base_Jugadores!B500</f>
        <v>Pau Cabanes</v>
      </c>
      <c r="C500" s="5" t="str">
        <f aca="false">IFERROR(
   _xlfn.XLOOKUP(VALUE(A500),[1]Fichajes_Realizados!A$2:A$50000,[1]Fichajes_Realizados!D$2:D$50000,,0,-1),
   _xlfn.XLOOKUP(VALUE(A500),[1]Base_Jugadores!A$2:A$50000,[1]Base_Jugadores!C$2:C$50000)
)</f>
        <v>Villarreal CF</v>
      </c>
      <c r="D500" s="5" t="str">
        <f aca="false">[1]Base_Jugadores!D500</f>
        <v>España</v>
      </c>
      <c r="E500" s="3"/>
      <c r="F500" s="5" t="str">
        <f aca="false">[1]Base_Jugadores!E500</f>
        <v>DC</v>
      </c>
      <c r="G500" s="5" t="n">
        <f aca="false">[1]Base_Jugadores!F500</f>
        <v>63</v>
      </c>
      <c r="H500" s="5" t="n">
        <f aca="false">[1]Base_Jugadores!G500</f>
        <v>20</v>
      </c>
      <c r="I500" s="7" t="n">
        <f aca="false" t="array" ref="I500:I500">_xlfn.XLOOKUP(G500,{55;56;57;58;59;60;61;62;63;64;65;66;67;68;69;70;71;72;73;74;75;76;77;78;79;80;81;82;83;84;85;86;87;88;89;90;91;92;93;94;95;96;97;98;99},{100000;130000;160000;190000;220000;250000;300000;350000;400000;450000;500000;600000;700000;800000;900000;1000000;1500000;2000000;3000000;4000000;5000000;6500000;8000000;10000000;12500000;15000000;20000000;25000000;30000000;35000000;40000000;55000000;70000000;80000000;90000000;110000000;130000000;160000000;190000000;220000000;250000000;280000000;310000000;340000000;400000000})</f>
        <v>400000</v>
      </c>
      <c r="J500" s="7" t="n">
        <f aca="false">I500*S500*T500*U500</f>
        <v>530400</v>
      </c>
      <c r="K500" s="3"/>
      <c r="L500" s="3"/>
      <c r="M500" s="3"/>
      <c r="N500" s="9" t="n">
        <v>2</v>
      </c>
      <c r="O500" s="4" t="n">
        <v>1</v>
      </c>
      <c r="P500" s="5" t="n">
        <f aca="false">IF(COUNTIF([1]Base_Jugadores!J$2:J$500,B500)&gt;0,1,0)</f>
        <v>0</v>
      </c>
      <c r="Q500" s="10" t="b">
        <f aca="false">--(COUNTIFS(
   [1]Fichajes_Realizados!A$2:A$5000,A500,
   [1]Fichajes_Realizados!G$2:G$5000,$X$3
)&gt;0)</f>
        <v>0</v>
      </c>
      <c r="R500" s="5" t="n">
        <f aca="false">_xlfn.XLOOKUP(C500, [1]Estado_Equipos!A$2:A$500, [1]Estado_Equipos!J$2:J$500, "")</f>
        <v>77</v>
      </c>
      <c r="S500" s="5" t="n">
        <f aca="false">IF(H500&lt;=16,1.45,
IF(H500&gt;=41,0.3,
CHOOSE(ROUNDDOWN((H500-16)/2,0)+1,
1.45,1.38,1.3,1.23,1.17,1.15,1.12,1.05,0.95,0.8,0.6,0.4,0.3)))</f>
        <v>1.3</v>
      </c>
      <c r="T500" s="5" t="n">
        <f aca="false">CHOOSE(N500+1,1.2,1,0.85,0.7)</f>
        <v>0.85</v>
      </c>
      <c r="U500" s="5" t="n">
        <f aca="false">IF(F500="PO",0.6,
IF(F500="CT",0.75,
IF(F500="LI",0.8,
IF(F500="LD",0.8,
IF(F500="MCD",0.85,
IF(F500="MC",0.95,
IF(F500="MO",1.05,
IF(F500="EI",1.1,
IF(F500="ED",1.1,
IF(F500="SD",1.15,
IF(F500="DC",1.2,0)))))))))))</f>
        <v>1.2</v>
      </c>
    </row>
    <row r="501" customFormat="false" ht="16.4" hidden="false" customHeight="false" outlineLevel="0" collapsed="false">
      <c r="A501" s="1" t="n">
        <v>500</v>
      </c>
      <c r="B501" s="5" t="str">
        <f aca="false">[1]Base_Jugadores!B501</f>
        <v>Pau Navarro</v>
      </c>
      <c r="C501" s="5" t="str">
        <f aca="false">IFERROR(
   _xlfn.XLOOKUP(VALUE(A501),[1]Fichajes_Realizados!A$2:A$50000,[1]Fichajes_Realizados!D$2:D$50000,,0,-1),
   _xlfn.XLOOKUP(VALUE(A501),[1]Base_Jugadores!A$2:A$50000,[1]Base_Jugadores!C$2:C$50000)
)</f>
        <v>Villarreal CF</v>
      </c>
      <c r="D501" s="5" t="str">
        <f aca="false">[1]Base_Jugadores!D501</f>
        <v>España</v>
      </c>
      <c r="E501" s="3"/>
      <c r="F501" s="5" t="str">
        <f aca="false">[1]Base_Jugadores!E501</f>
        <v>LD</v>
      </c>
      <c r="G501" s="5" t="n">
        <f aca="false">[1]Base_Jugadores!F501</f>
        <v>64</v>
      </c>
      <c r="H501" s="5" t="n">
        <f aca="false">[1]Base_Jugadores!G501</f>
        <v>20</v>
      </c>
      <c r="I501" s="7" t="n">
        <f aca="false" t="array" ref="I501:I501">_xlfn.XLOOKUP(G501,{55;56;57;58;59;60;61;62;63;64;65;66;67;68;69;70;71;72;73;74;75;76;77;78;79;80;81;82;83;84;85;86;87;88;89;90;91;92;93;94;95;96;97;98;99},{100000;130000;160000;190000;220000;250000;300000;350000;400000;450000;500000;600000;700000;800000;900000;1000000;1500000;2000000;3000000;4000000;5000000;6500000;8000000;10000000;12500000;15000000;20000000;25000000;30000000;35000000;40000000;55000000;70000000;80000000;90000000;110000000;130000000;160000000;190000000;220000000;250000000;280000000;310000000;340000000;400000000})</f>
        <v>450000</v>
      </c>
      <c r="J501" s="7" t="n">
        <f aca="false">I501*S501*T501*U501</f>
        <v>397800</v>
      </c>
      <c r="K501" s="3"/>
      <c r="L501" s="3"/>
      <c r="M501" s="3"/>
      <c r="N501" s="9" t="n">
        <v>2</v>
      </c>
      <c r="O501" s="4" t="n">
        <v>1</v>
      </c>
      <c r="P501" s="5" t="n">
        <f aca="false">IF(COUNTIF([1]Base_Jugadores!J$2:J$500,B501)&gt;0,1,0)</f>
        <v>0</v>
      </c>
      <c r="Q501" s="10" t="b">
        <f aca="false">--(COUNTIFS(
   [1]Fichajes_Realizados!A$2:A$5000,A501,
   [1]Fichajes_Realizados!G$2:G$5000,$X$3
)&gt;0)</f>
        <v>0</v>
      </c>
      <c r="R501" s="5" t="n">
        <f aca="false">_xlfn.XLOOKUP(C501, [1]Estado_Equipos!A$2:A$500, [1]Estado_Equipos!J$2:J$500, "")</f>
        <v>77</v>
      </c>
      <c r="S501" s="5" t="n">
        <f aca="false">IF(H501&lt;=16,1.45,
IF(H501&gt;=41,0.3,
CHOOSE(ROUNDDOWN((H501-16)/2,0)+1,
1.45,1.38,1.3,1.23,1.17,1.15,1.12,1.05,0.95,0.8,0.6,0.4,0.3)))</f>
        <v>1.3</v>
      </c>
      <c r="T501" s="5" t="n">
        <f aca="false">CHOOSE(N501+1,1.2,1,0.85,0.7)</f>
        <v>0.85</v>
      </c>
      <c r="U501" s="5" t="n">
        <f aca="false">IF(F501="PO",0.6,
IF(F501="CT",0.75,
IF(F501="LI",0.8,
IF(F501="LD",0.8,
IF(F501="MCD",0.85,
IF(F501="MC",0.95,
IF(F501="MO",1.05,
IF(F501="EI",1.1,
IF(F501="ED",1.1,
IF(F501="SD",1.15,
IF(F501="DC",1.2,0)))))))))))</f>
        <v>0.8</v>
      </c>
    </row>
    <row r="502" customFormat="false" ht="16.4" hidden="false" customHeight="false" outlineLevel="0" collapsed="false">
      <c r="A502" s="1" t="n">
        <v>501</v>
      </c>
      <c r="B502" s="5" t="str">
        <f aca="false">[1]Base_Jugadores!B502</f>
        <v>Rafa Marín</v>
      </c>
      <c r="C502" s="5" t="str">
        <f aca="false">IFERROR(
   _xlfn.XLOOKUP(VALUE(A502),[1]Fichajes_Realizados!A$2:A$50000,[1]Fichajes_Realizados!D$2:D$50000,,0,-1),
   _xlfn.XLOOKUP(VALUE(A502),[1]Base_Jugadores!A$2:A$50000,[1]Base_Jugadores!C$2:C$50000)
)</f>
        <v>Villarreal CF</v>
      </c>
      <c r="D502" s="5" t="str">
        <f aca="false">[1]Base_Jugadores!D502</f>
        <v>España</v>
      </c>
      <c r="E502" s="3"/>
      <c r="F502" s="5" t="str">
        <f aca="false">[1]Base_Jugadores!E502</f>
        <v>CT</v>
      </c>
      <c r="G502" s="5" t="n">
        <f aca="false">[1]Base_Jugadores!F502</f>
        <v>71</v>
      </c>
      <c r="H502" s="5" t="n">
        <f aca="false">[1]Base_Jugadores!G502</f>
        <v>23</v>
      </c>
      <c r="I502" s="7" t="n">
        <f aca="false" t="array" ref="I502:I502">_xlfn.XLOOKUP(G502,{55;56;57;58;59;60;61;62;63;64;65;66;67;68;69;70;71;72;73;74;75;76;77;78;79;80;81;82;83;84;85;86;87;88;89;90;91;92;93;94;95;96;97;98;99},{100000;130000;160000;190000;220000;250000;300000;350000;400000;450000;500000;600000;700000;800000;900000;1000000;1500000;2000000;3000000;4000000;5000000;6500000;8000000;10000000;12500000;15000000;20000000;25000000;30000000;35000000;40000000;55000000;70000000;80000000;90000000;110000000;130000000;160000000;190000000;220000000;250000000;280000000;310000000;340000000;400000000})</f>
        <v>1500000</v>
      </c>
      <c r="J502" s="7" t="n">
        <f aca="false">I502*S502*T502*U502</f>
        <v>1176187.5</v>
      </c>
      <c r="K502" s="3"/>
      <c r="L502" s="3"/>
      <c r="M502" s="3"/>
      <c r="N502" s="9" t="n">
        <v>2</v>
      </c>
      <c r="O502" s="4" t="n">
        <v>0</v>
      </c>
      <c r="P502" s="5" t="n">
        <f aca="false">IF(COUNTIF([1]Base_Jugadores!J$2:J$500,B502)&gt;0,1,0)</f>
        <v>0</v>
      </c>
      <c r="Q502" s="10" t="b">
        <f aca="false">--(COUNTIFS(
   [1]Fichajes_Realizados!A$2:A$5000,A502,
   [1]Fichajes_Realizados!G$2:G$5000,$X$3
)&gt;0)</f>
        <v>0</v>
      </c>
      <c r="R502" s="5" t="n">
        <f aca="false">_xlfn.XLOOKUP(C502, [1]Estado_Equipos!A$2:A$500, [1]Estado_Equipos!J$2:J$500, "")</f>
        <v>77</v>
      </c>
      <c r="S502" s="5" t="n">
        <f aca="false">IF(H502&lt;=16,1.45,
IF(H502&gt;=41,0.3,
CHOOSE(ROUNDDOWN((H502-16)/2,0)+1,
1.45,1.38,1.3,1.23,1.17,1.15,1.12,1.05,0.95,0.8,0.6,0.4,0.3)))</f>
        <v>1.23</v>
      </c>
      <c r="T502" s="5" t="n">
        <f aca="false">CHOOSE(N502+1,1.2,1,0.85,0.7)</f>
        <v>0.85</v>
      </c>
      <c r="U502" s="5" t="n">
        <f aca="false">IF(F502="PO",0.6,
IF(F502="CT",0.75,
IF(F502="LI",0.8,
IF(F502="LD",0.8,
IF(F502="MCD",0.85,
IF(F502="MC",0.95,
IF(F502="MO",1.05,
IF(F502="EI",1.1,
IF(F502="ED",1.1,
IF(F502="SD",1.15,
IF(F502="DC",1.2,0)))))))))))</f>
        <v>0.75</v>
      </c>
    </row>
    <row r="503" customFormat="false" ht="16.4" hidden="false" customHeight="false" outlineLevel="0" collapsed="false">
      <c r="A503" s="1" t="n">
        <v>502</v>
      </c>
      <c r="B503" s="5" t="str">
        <f aca="false">[1]Base_Jugadores!B503</f>
        <v>Renato Veiga</v>
      </c>
      <c r="C503" s="5" t="str">
        <f aca="false">IFERROR(
   _xlfn.XLOOKUP(VALUE(A503),[1]Fichajes_Realizados!A$2:A$50000,[1]Fichajes_Realizados!D$2:D$50000,,0,-1),
   _xlfn.XLOOKUP(VALUE(A503),[1]Base_Jugadores!A$2:A$50000,[1]Base_Jugadores!C$2:C$50000)
)</f>
        <v>Villarreal CF</v>
      </c>
      <c r="D503" s="5" t="str">
        <f aca="false">[1]Base_Jugadores!D503</f>
        <v>Portugal</v>
      </c>
      <c r="E503" s="3"/>
      <c r="F503" s="5" t="str">
        <f aca="false">[1]Base_Jugadores!E503</f>
        <v>CT</v>
      </c>
      <c r="G503" s="5" t="n">
        <f aca="false">[1]Base_Jugadores!F503</f>
        <v>72</v>
      </c>
      <c r="H503" s="5" t="n">
        <f aca="false">[1]Base_Jugadores!G503</f>
        <v>22</v>
      </c>
      <c r="I503" s="7" t="n">
        <f aca="false" t="array" ref="I503:I503">_xlfn.XLOOKUP(G503,{55;56;57;58;59;60;61;62;63;64;65;66;67;68;69;70;71;72;73;74;75;76;77;78;79;80;81;82;83;84;85;86;87;88;89;90;91;92;93;94;95;96;97;98;99},{100000;130000;160000;190000;220000;250000;300000;350000;400000;450000;500000;600000;700000;800000;900000;1000000;1500000;2000000;3000000;4000000;5000000;6500000;8000000;10000000;12500000;15000000;20000000;25000000;30000000;35000000;40000000;55000000;70000000;80000000;90000000;110000000;130000000;160000000;190000000;220000000;250000000;280000000;310000000;340000000;400000000})</f>
        <v>2000000</v>
      </c>
      <c r="J503" s="7" t="n">
        <f aca="false">I503*S503*T503*U503</f>
        <v>1568250</v>
      </c>
      <c r="K503" s="3"/>
      <c r="L503" s="3"/>
      <c r="M503" s="3"/>
      <c r="N503" s="9" t="n">
        <v>2</v>
      </c>
      <c r="O503" s="4" t="n">
        <v>0</v>
      </c>
      <c r="P503" s="5" t="n">
        <f aca="false">IF(COUNTIF([1]Base_Jugadores!J$2:J$500,B503)&gt;0,1,0)</f>
        <v>0</v>
      </c>
      <c r="Q503" s="10" t="b">
        <f aca="false">--(COUNTIFS(
   [1]Fichajes_Realizados!A$2:A$5000,A503,
   [1]Fichajes_Realizados!G$2:G$5000,$X$3
)&gt;0)</f>
        <v>0</v>
      </c>
      <c r="R503" s="5" t="n">
        <f aca="false">_xlfn.XLOOKUP(C503, [1]Estado_Equipos!A$2:A$500, [1]Estado_Equipos!J$2:J$500, "")</f>
        <v>77</v>
      </c>
      <c r="S503" s="5" t="n">
        <f aca="false">IF(H503&lt;=16,1.45,
IF(H503&gt;=41,0.3,
CHOOSE(ROUNDDOWN((H503-16)/2,0)+1,
1.45,1.38,1.3,1.23,1.17,1.15,1.12,1.05,0.95,0.8,0.6,0.4,0.3)))</f>
        <v>1.23</v>
      </c>
      <c r="T503" s="5" t="n">
        <f aca="false">CHOOSE(N503+1,1.2,1,0.85,0.7)</f>
        <v>0.85</v>
      </c>
      <c r="U503" s="5" t="n">
        <f aca="false">IF(F503="PO",0.6,
IF(F503="CT",0.75,
IF(F503="LI",0.8,
IF(F503="LD",0.8,
IF(F503="MCD",0.85,
IF(F503="MC",0.95,
IF(F503="MO",1.05,
IF(F503="EI",1.1,
IF(F503="ED",1.1,
IF(F503="SD",1.15,
IF(F503="DC",1.2,0)))))))))))</f>
        <v>0.75</v>
      </c>
    </row>
    <row r="504" customFormat="false" ht="16.4" hidden="false" customHeight="false" outlineLevel="0" collapsed="false">
      <c r="A504" s="1" t="n">
        <v>503</v>
      </c>
      <c r="B504" s="5" t="str">
        <f aca="false">[1]Base_Jugadores!B504</f>
        <v>Santi Comesaña</v>
      </c>
      <c r="C504" s="5" t="str">
        <f aca="false">IFERROR(
   _xlfn.XLOOKUP(VALUE(A504),[1]Fichajes_Realizados!A$2:A$50000,[1]Fichajes_Realizados!D$2:D$50000,,0,-1),
   _xlfn.XLOOKUP(VALUE(A504),[1]Base_Jugadores!A$2:A$50000,[1]Base_Jugadores!C$2:C$50000)
)</f>
        <v>Villarreal CF</v>
      </c>
      <c r="D504" s="5" t="str">
        <f aca="false">[1]Base_Jugadores!D504</f>
        <v>España</v>
      </c>
      <c r="E504" s="3"/>
      <c r="F504" s="5" t="str">
        <f aca="false">[1]Base_Jugadores!E504</f>
        <v>MC</v>
      </c>
      <c r="G504" s="5" t="n">
        <f aca="false">[1]Base_Jugadores!F504</f>
        <v>76</v>
      </c>
      <c r="H504" s="5" t="n">
        <f aca="false">[1]Base_Jugadores!G504</f>
        <v>29</v>
      </c>
      <c r="I504" s="7" t="n">
        <f aca="false" t="array" ref="I504:I504">_xlfn.XLOOKUP(G504,{55;56;57;58;59;60;61;62;63;64;65;66;67;68;69;70;71;72;73;74;75;76;77;78;79;80;81;82;83;84;85;86;87;88;89;90;91;92;93;94;95;96;97;98;99},{100000;130000;160000;190000;220000;250000;300000;350000;400000;450000;500000;600000;700000;800000;900000;1000000;1500000;2000000;3000000;4000000;5000000;6500000;8000000;10000000;12500000;15000000;20000000;25000000;30000000;35000000;40000000;55000000;70000000;80000000;90000000;110000000;130000000;160000000;190000000;220000000;250000000;280000000;310000000;340000000;400000000})</f>
        <v>6500000</v>
      </c>
      <c r="J504" s="7" t="n">
        <f aca="false">I504*S504*T504*U504</f>
        <v>6916000</v>
      </c>
      <c r="K504" s="3"/>
      <c r="L504" s="3"/>
      <c r="M504" s="3"/>
      <c r="N504" s="9" t="n">
        <v>1</v>
      </c>
      <c r="O504" s="4" t="n">
        <v>0</v>
      </c>
      <c r="P504" s="5" t="n">
        <f aca="false">IF(COUNTIF([1]Base_Jugadores!J$2:J$500,B504)&gt;0,1,0)</f>
        <v>0</v>
      </c>
      <c r="Q504" s="10" t="b">
        <f aca="false">--(COUNTIFS(
   [1]Fichajes_Realizados!A$2:A$5000,A504,
   [1]Fichajes_Realizados!G$2:G$5000,$X$3
)&gt;0)</f>
        <v>0</v>
      </c>
      <c r="R504" s="5" t="n">
        <f aca="false">_xlfn.XLOOKUP(C504, [1]Estado_Equipos!A$2:A$500, [1]Estado_Equipos!J$2:J$500, "")</f>
        <v>77</v>
      </c>
      <c r="S504" s="5" t="n">
        <f aca="false">IF(H504&lt;=16,1.45,
IF(H504&gt;=41,0.3,
CHOOSE(ROUNDDOWN((H504-16)/2,0)+1,
1.45,1.38,1.3,1.23,1.17,1.15,1.12,1.05,0.95,0.8,0.6,0.4,0.3)))</f>
        <v>1.12</v>
      </c>
      <c r="T504" s="5" t="n">
        <f aca="false">CHOOSE(N504+1,1.2,1,0.85,0.7)</f>
        <v>1</v>
      </c>
      <c r="U504" s="5" t="n">
        <f aca="false">IF(F504="PO",0.6,
IF(F504="CT",0.75,
IF(F504="LI",0.8,
IF(F504="LD",0.8,
IF(F504="MCD",0.85,
IF(F504="MC",0.95,
IF(F504="MO",1.05,
IF(F504="EI",1.1,
IF(F504="ED",1.1,
IF(F504="SD",1.15,
IF(F504="DC",1.2,0)))))))))))</f>
        <v>0.95</v>
      </c>
    </row>
    <row r="505" customFormat="false" ht="16.4" hidden="false" customHeight="false" outlineLevel="0" collapsed="false">
      <c r="A505" s="1" t="n">
        <v>504</v>
      </c>
      <c r="B505" s="5" t="str">
        <f aca="false">[1]Base_Jugadores!B505</f>
        <v>Santiago Mouriño</v>
      </c>
      <c r="C505" s="5" t="str">
        <f aca="false">IFERROR(
   _xlfn.XLOOKUP(VALUE(A505),[1]Fichajes_Realizados!A$2:A$50000,[1]Fichajes_Realizados!D$2:D$50000,,0,-1),
   _xlfn.XLOOKUP(VALUE(A505),[1]Base_Jugadores!A$2:A$50000,[1]Base_Jugadores!C$2:C$50000)
)</f>
        <v>Villarreal CF</v>
      </c>
      <c r="D505" s="5" t="str">
        <f aca="false">[1]Base_Jugadores!D505</f>
        <v>Uruguay</v>
      </c>
      <c r="E505" s="3"/>
      <c r="F505" s="5" t="str">
        <f aca="false">[1]Base_Jugadores!E505</f>
        <v>LD</v>
      </c>
      <c r="G505" s="5" t="n">
        <f aca="false">[1]Base_Jugadores!F505</f>
        <v>71</v>
      </c>
      <c r="H505" s="5" t="n">
        <f aca="false">[1]Base_Jugadores!G505</f>
        <v>23</v>
      </c>
      <c r="I505" s="7" t="n">
        <f aca="false" t="array" ref="I505:I505">_xlfn.XLOOKUP(G505,{55;56;57;58;59;60;61;62;63;64;65;66;67;68;69;70;71;72;73;74;75;76;77;78;79;80;81;82;83;84;85;86;87;88;89;90;91;92;93;94;95;96;97;98;99},{100000;130000;160000;190000;220000;250000;300000;350000;400000;450000;500000;600000;700000;800000;900000;1000000;1500000;2000000;3000000;4000000;5000000;6500000;8000000;10000000;12500000;15000000;20000000;25000000;30000000;35000000;40000000;55000000;70000000;80000000;90000000;110000000;130000000;160000000;190000000;220000000;250000000;280000000;310000000;340000000;400000000})</f>
        <v>1500000</v>
      </c>
      <c r="J505" s="7" t="n">
        <f aca="false">I505*S505*T505*U505</f>
        <v>1771200</v>
      </c>
      <c r="K505" s="3"/>
      <c r="L505" s="3"/>
      <c r="M505" s="3"/>
      <c r="N505" s="9" t="n">
        <v>0</v>
      </c>
      <c r="O505" s="4" t="n">
        <v>0</v>
      </c>
      <c r="P505" s="5" t="n">
        <f aca="false">IF(COUNTIF([1]Base_Jugadores!J$2:J$500,B505)&gt;0,1,0)</f>
        <v>0</v>
      </c>
      <c r="Q505" s="10" t="b">
        <f aca="false">--(COUNTIFS(
   [1]Fichajes_Realizados!A$2:A$5000,A505,
   [1]Fichajes_Realizados!G$2:G$5000,$X$3
)&gt;0)</f>
        <v>0</v>
      </c>
      <c r="R505" s="5" t="n">
        <f aca="false">_xlfn.XLOOKUP(C505, [1]Estado_Equipos!A$2:A$500, [1]Estado_Equipos!J$2:J$500, "")</f>
        <v>77</v>
      </c>
      <c r="S505" s="5" t="n">
        <f aca="false">IF(H505&lt;=16,1.45,
IF(H505&gt;=41,0.3,
CHOOSE(ROUNDDOWN((H505-16)/2,0)+1,
1.45,1.38,1.3,1.23,1.17,1.15,1.12,1.05,0.95,0.8,0.6,0.4,0.3)))</f>
        <v>1.23</v>
      </c>
      <c r="T505" s="5" t="n">
        <f aca="false">CHOOSE(N505+1,1.2,1,0.85,0.7)</f>
        <v>1.2</v>
      </c>
      <c r="U505" s="5" t="n">
        <f aca="false">IF(F505="PO",0.6,
IF(F505="CT",0.75,
IF(F505="LI",0.8,
IF(F505="LD",0.8,
IF(F505="MCD",0.85,
IF(F505="MC",0.95,
IF(F505="MO",1.05,
IF(F505="EI",1.1,
IF(F505="ED",1.1,
IF(F505="SD",1.15,
IF(F505="DC",1.2,0)))))))))))</f>
        <v>0.8</v>
      </c>
    </row>
    <row r="506" customFormat="false" ht="16.4" hidden="false" customHeight="false" outlineLevel="0" collapsed="false">
      <c r="A506" s="1" t="n">
        <v>505</v>
      </c>
      <c r="B506" s="5" t="str">
        <f aca="false">[1]Base_Jugadores!B506</f>
        <v>Sergi Cardona</v>
      </c>
      <c r="C506" s="5" t="str">
        <f aca="false">IFERROR(
   _xlfn.XLOOKUP(VALUE(A506),[1]Fichajes_Realizados!A$2:A$50000,[1]Fichajes_Realizados!D$2:D$50000,,0,-1),
   _xlfn.XLOOKUP(VALUE(A506),[1]Base_Jugadores!A$2:A$50000,[1]Base_Jugadores!C$2:C$50000)
)</f>
        <v>Villarreal CF</v>
      </c>
      <c r="D506" s="5" t="str">
        <f aca="false">[1]Base_Jugadores!D506</f>
        <v>España</v>
      </c>
      <c r="E506" s="3"/>
      <c r="F506" s="5" t="str">
        <f aca="false">[1]Base_Jugadores!E506</f>
        <v>LI</v>
      </c>
      <c r="G506" s="5" t="n">
        <f aca="false">[1]Base_Jugadores!F506</f>
        <v>75</v>
      </c>
      <c r="H506" s="5" t="n">
        <f aca="false">[1]Base_Jugadores!G506</f>
        <v>26</v>
      </c>
      <c r="I506" s="7" t="n">
        <f aca="false" t="array" ref="I506:I506">_xlfn.XLOOKUP(G506,{55;56;57;58;59;60;61;62;63;64;65;66;67;68;69;70;71;72;73;74;75;76;77;78;79;80;81;82;83;84;85;86;87;88;89;90;91;92;93;94;95;96;97;98;99},{100000;130000;160000;190000;220000;250000;300000;350000;400000;450000;500000;600000;700000;800000;900000;1000000;1500000;2000000;3000000;4000000;5000000;6500000;8000000;10000000;12500000;15000000;20000000;25000000;30000000;35000000;40000000;55000000;70000000;80000000;90000000;110000000;130000000;160000000;190000000;220000000;250000000;280000000;310000000;340000000;400000000})</f>
        <v>5000000</v>
      </c>
      <c r="J506" s="7" t="n">
        <f aca="false">I506*S506*T506*U506</f>
        <v>4600000</v>
      </c>
      <c r="K506" s="3"/>
      <c r="L506" s="3"/>
      <c r="M506" s="3"/>
      <c r="N506" s="9" t="n">
        <v>1</v>
      </c>
      <c r="O506" s="4" t="n">
        <v>0</v>
      </c>
      <c r="P506" s="5" t="n">
        <f aca="false">IF(COUNTIF([1]Base_Jugadores!J$2:J$500,B506)&gt;0,1,0)</f>
        <v>0</v>
      </c>
      <c r="Q506" s="10" t="b">
        <f aca="false">--(COUNTIFS(
   [1]Fichajes_Realizados!A$2:A$5000,A506,
   [1]Fichajes_Realizados!G$2:G$5000,$X$3
)&gt;0)</f>
        <v>0</v>
      </c>
      <c r="R506" s="5" t="n">
        <f aca="false">_xlfn.XLOOKUP(C506, [1]Estado_Equipos!A$2:A$500, [1]Estado_Equipos!J$2:J$500, "")</f>
        <v>77</v>
      </c>
      <c r="S506" s="5" t="n">
        <f aca="false">IF(H506&lt;=16,1.45,
IF(H506&gt;=41,0.3,
CHOOSE(ROUNDDOWN((H506-16)/2,0)+1,
1.45,1.38,1.3,1.23,1.17,1.15,1.12,1.05,0.95,0.8,0.6,0.4,0.3)))</f>
        <v>1.15</v>
      </c>
      <c r="T506" s="5" t="n">
        <f aca="false">CHOOSE(N506+1,1.2,1,0.85,0.7)</f>
        <v>1</v>
      </c>
      <c r="U506" s="5" t="n">
        <f aca="false">IF(F506="PO",0.6,
IF(F506="CT",0.75,
IF(F506="LI",0.8,
IF(F506="LD",0.8,
IF(F506="MCD",0.85,
IF(F506="MC",0.95,
IF(F506="MO",1.05,
IF(F506="EI",1.1,
IF(F506="ED",1.1,
IF(F506="SD",1.15,
IF(F506="DC",1.2,0)))))))))))</f>
        <v>0.8</v>
      </c>
    </row>
    <row r="507" customFormat="false" ht="16.4" hidden="false" customHeight="false" outlineLevel="0" collapsed="false">
      <c r="A507" s="1" t="n">
        <v>506</v>
      </c>
      <c r="B507" s="5" t="str">
        <f aca="false">[1]Base_Jugadores!B507</f>
        <v>Tajon Buchanan</v>
      </c>
      <c r="C507" s="5" t="str">
        <f aca="false">IFERROR(
   _xlfn.XLOOKUP(VALUE(A507),[1]Fichajes_Realizados!A$2:A$50000,[1]Fichajes_Realizados!D$2:D$50000,,0,-1),
   _xlfn.XLOOKUP(VALUE(A507),[1]Base_Jugadores!A$2:A$50000,[1]Base_Jugadores!C$2:C$50000)
)</f>
        <v>Villarreal CF</v>
      </c>
      <c r="D507" s="5" t="str">
        <f aca="false">[1]Base_Jugadores!D507</f>
        <v>Canadá</v>
      </c>
      <c r="E507" s="3"/>
      <c r="F507" s="5" t="str">
        <f aca="false">[1]Base_Jugadores!E507</f>
        <v>ED</v>
      </c>
      <c r="G507" s="5" t="n">
        <f aca="false">[1]Base_Jugadores!F507</f>
        <v>73</v>
      </c>
      <c r="H507" s="5" t="n">
        <f aca="false">[1]Base_Jugadores!G507</f>
        <v>26</v>
      </c>
      <c r="I507" s="7" t="n">
        <f aca="false" t="array" ref="I507:I507">_xlfn.XLOOKUP(G507,{55;56;57;58;59;60;61;62;63;64;65;66;67;68;69;70;71;72;73;74;75;76;77;78;79;80;81;82;83;84;85;86;87;88;89;90;91;92;93;94;95;96;97;98;99},{100000;130000;160000;190000;220000;250000;300000;350000;400000;450000;500000;600000;700000;800000;900000;1000000;1500000;2000000;3000000;4000000;5000000;6500000;8000000;10000000;12500000;15000000;20000000;25000000;30000000;35000000;40000000;55000000;70000000;80000000;90000000;110000000;130000000;160000000;190000000;220000000;250000000;280000000;310000000;340000000;400000000})</f>
        <v>3000000</v>
      </c>
      <c r="J507" s="7" t="n">
        <f aca="false">I507*S507*T507*U507</f>
        <v>3225750</v>
      </c>
      <c r="K507" s="3"/>
      <c r="L507" s="3"/>
      <c r="M507" s="3"/>
      <c r="N507" s="9" t="n">
        <v>2</v>
      </c>
      <c r="O507" s="4" t="n">
        <v>0</v>
      </c>
      <c r="P507" s="5" t="n">
        <f aca="false">IF(COUNTIF([1]Base_Jugadores!J$2:J$500,B507)&gt;0,1,0)</f>
        <v>0</v>
      </c>
      <c r="Q507" s="10" t="b">
        <f aca="false">--(COUNTIFS(
   [1]Fichajes_Realizados!A$2:A$5000,A507,
   [1]Fichajes_Realizados!G$2:G$5000,$X$3
)&gt;0)</f>
        <v>0</v>
      </c>
      <c r="R507" s="5" t="n">
        <f aca="false">_xlfn.XLOOKUP(C507, [1]Estado_Equipos!A$2:A$500, [1]Estado_Equipos!J$2:J$500, "")</f>
        <v>77</v>
      </c>
      <c r="S507" s="5" t="n">
        <f aca="false">IF(H507&lt;=16,1.45,
IF(H507&gt;=41,0.3,
CHOOSE(ROUNDDOWN((H507-16)/2,0)+1,
1.45,1.38,1.3,1.23,1.17,1.15,1.12,1.05,0.95,0.8,0.6,0.4,0.3)))</f>
        <v>1.15</v>
      </c>
      <c r="T507" s="5" t="n">
        <f aca="false">CHOOSE(N507+1,1.2,1,0.85,0.7)</f>
        <v>0.85</v>
      </c>
      <c r="U507" s="5" t="n">
        <f aca="false">IF(F507="PO",0.6,
IF(F507="CT",0.75,
IF(F507="LI",0.8,
IF(F507="LD",0.8,
IF(F507="MCD",0.85,
IF(F507="MC",0.95,
IF(F507="MO",1.05,
IF(F507="EI",1.1,
IF(F507="ED",1.1,
IF(F507="SD",1.15,
IF(F507="DC",1.2,0)))))))))))</f>
        <v>1.1</v>
      </c>
    </row>
    <row r="508" customFormat="false" ht="16.4" hidden="false" customHeight="false" outlineLevel="0" collapsed="false">
      <c r="A508" s="1" t="n">
        <v>507</v>
      </c>
      <c r="B508" s="5" t="str">
        <f aca="false">[1]Base_Jugadores!B508</f>
        <v>Tani Oluwaseyi</v>
      </c>
      <c r="C508" s="5" t="str">
        <f aca="false">IFERROR(
   _xlfn.XLOOKUP(VALUE(A508),[1]Fichajes_Realizados!A$2:A$50000,[1]Fichajes_Realizados!D$2:D$50000,,0,-1),
   _xlfn.XLOOKUP(VALUE(A508),[1]Base_Jugadores!A$2:A$50000,[1]Base_Jugadores!C$2:C$50000)
)</f>
        <v>Villarreal CF</v>
      </c>
      <c r="D508" s="5" t="str">
        <f aca="false">[1]Base_Jugadores!D508</f>
        <v>Canadá</v>
      </c>
      <c r="E508" s="3"/>
      <c r="F508" s="5" t="str">
        <f aca="false">[1]Base_Jugadores!E508</f>
        <v>DC</v>
      </c>
      <c r="G508" s="5" t="n">
        <f aca="false">[1]Base_Jugadores!F508</f>
        <v>69</v>
      </c>
      <c r="H508" s="5" t="n">
        <f aca="false">[1]Base_Jugadores!G508</f>
        <v>25</v>
      </c>
      <c r="I508" s="7" t="n">
        <f aca="false" t="array" ref="I508:I508">_xlfn.XLOOKUP(G508,{55;56;57;58;59;60;61;62;63;64;65;66;67;68;69;70;71;72;73;74;75;76;77;78;79;80;81;82;83;84;85;86;87;88;89;90;91;92;93;94;95;96;97;98;99},{100000;130000;160000;190000;220000;250000;300000;350000;400000;450000;500000;600000;700000;800000;900000;1000000;1500000;2000000;3000000;4000000;5000000;6500000;8000000;10000000;12500000;15000000;20000000;25000000;30000000;35000000;40000000;55000000;70000000;80000000;90000000;110000000;130000000;160000000;190000000;220000000;250000000;280000000;310000000;340000000;400000000})</f>
        <v>900000</v>
      </c>
      <c r="J508" s="7" t="n">
        <f aca="false">I508*S508*T508*U508</f>
        <v>1074060</v>
      </c>
      <c r="K508" s="3"/>
      <c r="L508" s="3"/>
      <c r="M508" s="3"/>
      <c r="N508" s="9" t="n">
        <v>2</v>
      </c>
      <c r="O508" s="4" t="n">
        <v>0</v>
      </c>
      <c r="P508" s="5" t="n">
        <f aca="false">IF(COUNTIF([1]Base_Jugadores!J$2:J$500,B508)&gt;0,1,0)</f>
        <v>0</v>
      </c>
      <c r="Q508" s="10" t="b">
        <f aca="false">--(COUNTIFS(
   [1]Fichajes_Realizados!A$2:A$5000,A508,
   [1]Fichajes_Realizados!G$2:G$5000,$X$3
)&gt;0)</f>
        <v>0</v>
      </c>
      <c r="R508" s="5" t="n">
        <f aca="false">_xlfn.XLOOKUP(C508, [1]Estado_Equipos!A$2:A$500, [1]Estado_Equipos!J$2:J$500, "")</f>
        <v>77</v>
      </c>
      <c r="S508" s="5" t="n">
        <f aca="false">IF(H508&lt;=16,1.45,
IF(H508&gt;=41,0.3,
CHOOSE(ROUNDDOWN((H508-16)/2,0)+1,
1.45,1.38,1.3,1.23,1.17,1.15,1.12,1.05,0.95,0.8,0.6,0.4,0.3)))</f>
        <v>1.17</v>
      </c>
      <c r="T508" s="5" t="n">
        <f aca="false">CHOOSE(N508+1,1.2,1,0.85,0.7)</f>
        <v>0.85</v>
      </c>
      <c r="U508" s="5" t="n">
        <f aca="false">IF(F508="PO",0.6,
IF(F508="CT",0.75,
IF(F508="LI",0.8,
IF(F508="LD",0.8,
IF(F508="MCD",0.85,
IF(F508="MC",0.95,
IF(F508="MO",1.05,
IF(F508="EI",1.1,
IF(F508="ED",1.1,
IF(F508="SD",1.15,
IF(F508="DC",1.2,0)))))))))))</f>
        <v>1.2</v>
      </c>
    </row>
    <row r="509" customFormat="false" ht="16.4" hidden="false" customHeight="false" outlineLevel="0" collapsed="false">
      <c r="A509" s="1" t="n">
        <v>508</v>
      </c>
      <c r="B509" s="5" t="str">
        <f aca="false">[1]Base_Jugadores!B509</f>
        <v>Thomas Partey</v>
      </c>
      <c r="C509" s="5" t="str">
        <f aca="false">IFERROR(
   _xlfn.XLOOKUP(VALUE(A509),[1]Fichajes_Realizados!A$2:A$50000,[1]Fichajes_Realizados!D$2:D$50000,,0,-1),
   _xlfn.XLOOKUP(VALUE(A509),[1]Base_Jugadores!A$2:A$50000,[1]Base_Jugadores!C$2:C$50000)
)</f>
        <v>Villarreal CF</v>
      </c>
      <c r="D509" s="5" t="str">
        <f aca="false">[1]Base_Jugadores!D509</f>
        <v>Ghana</v>
      </c>
      <c r="E509" s="3"/>
      <c r="F509" s="5" t="str">
        <f aca="false">[1]Base_Jugadores!E509</f>
        <v>MCD</v>
      </c>
      <c r="G509" s="5" t="n">
        <f aca="false">[1]Base_Jugadores!F509</f>
        <v>82</v>
      </c>
      <c r="H509" s="5" t="n">
        <f aca="false">[1]Base_Jugadores!G509</f>
        <v>32</v>
      </c>
      <c r="I509" s="7" t="n">
        <f aca="false" t="array" ref="I509:I509">_xlfn.XLOOKUP(G509,{55;56;57;58;59;60;61;62;63;64;65;66;67;68;69;70;71;72;73;74;75;76;77;78;79;80;81;82;83;84;85;86;87;88;89;90;91;92;93;94;95;96;97;98;99},{100000;130000;160000;190000;220000;250000;300000;350000;400000;450000;500000;600000;700000;800000;900000;1000000;1500000;2000000;3000000;4000000;5000000;6500000;8000000;10000000;12500000;15000000;20000000;25000000;30000000;35000000;40000000;55000000;70000000;80000000;90000000;110000000;130000000;160000000;190000000;220000000;250000000;280000000;310000000;340000000;400000000})</f>
        <v>25000000</v>
      </c>
      <c r="J509" s="7" t="n">
        <f aca="false">I509*S509*T509*U509</f>
        <v>24225000</v>
      </c>
      <c r="K509" s="3"/>
      <c r="L509" s="3"/>
      <c r="M509" s="3"/>
      <c r="N509" s="9" t="n">
        <v>0</v>
      </c>
      <c r="O509" s="4" t="n">
        <v>0</v>
      </c>
      <c r="P509" s="5" t="n">
        <f aca="false">IF(COUNTIF([1]Base_Jugadores!J$2:J$500,B509)&gt;0,1,0)</f>
        <v>0</v>
      </c>
      <c r="Q509" s="10" t="b">
        <f aca="false">--(COUNTIFS(
   [1]Fichajes_Realizados!A$2:A$5000,A509,
   [1]Fichajes_Realizados!G$2:G$5000,$X$3
)&gt;0)</f>
        <v>0</v>
      </c>
      <c r="R509" s="5" t="n">
        <f aca="false">_xlfn.XLOOKUP(C509, [1]Estado_Equipos!A$2:A$500, [1]Estado_Equipos!J$2:J$500, "")</f>
        <v>77</v>
      </c>
      <c r="S509" s="5" t="n">
        <f aca="false">IF(H509&lt;=16,1.45,
IF(H509&gt;=41,0.3,
CHOOSE(ROUNDDOWN((H509-16)/2,0)+1,
1.45,1.38,1.3,1.23,1.17,1.15,1.12,1.05,0.95,0.8,0.6,0.4,0.3)))</f>
        <v>0.95</v>
      </c>
      <c r="T509" s="5" t="n">
        <f aca="false">CHOOSE(N509+1,1.2,1,0.85,0.7)</f>
        <v>1.2</v>
      </c>
      <c r="U509" s="5" t="n">
        <f aca="false">IF(F509="PO",0.6,
IF(F509="CT",0.75,
IF(F509="LI",0.8,
IF(F509="LD",0.8,
IF(F509="MCD",0.85,
IF(F509="MC",0.95,
IF(F509="MO",1.05,
IF(F509="EI",1.1,
IF(F509="ED",1.1,
IF(F509="SD",1.15,
IF(F509="DC",1.2,0)))))))))))</f>
        <v>0.85</v>
      </c>
    </row>
    <row r="510" customFormat="false" ht="16.4" hidden="false" customHeight="false" outlineLevel="0" collapsed="false">
      <c r="A510" s="1" t="n">
        <v>509</v>
      </c>
      <c r="B510" s="5" t="str">
        <f aca="false">[1]Base_Jugadores!B510</f>
        <v>Willy Kambwala</v>
      </c>
      <c r="C510" s="5" t="str">
        <f aca="false">IFERROR(
   _xlfn.XLOOKUP(VALUE(A510),[1]Fichajes_Realizados!A$2:A$50000,[1]Fichajes_Realizados!D$2:D$50000,,0,-1),
   _xlfn.XLOOKUP(VALUE(A510),[1]Base_Jugadores!A$2:A$50000,[1]Base_Jugadores!C$2:C$50000)
)</f>
        <v>Villarreal CF</v>
      </c>
      <c r="D510" s="5" t="str">
        <f aca="false">[1]Base_Jugadores!D510</f>
        <v>Francia</v>
      </c>
      <c r="E510" s="3"/>
      <c r="F510" s="5" t="str">
        <f aca="false">[1]Base_Jugadores!E510</f>
        <v>CT</v>
      </c>
      <c r="G510" s="5" t="n">
        <f aca="false">[1]Base_Jugadores!F510</f>
        <v>71</v>
      </c>
      <c r="H510" s="5" t="n">
        <f aca="false">[1]Base_Jugadores!G510</f>
        <v>21</v>
      </c>
      <c r="I510" s="7" t="n">
        <f aca="false" t="array" ref="I510:I510">_xlfn.XLOOKUP(G510,{55;56;57;58;59;60;61;62;63;64;65;66;67;68;69;70;71;72;73;74;75;76;77;78;79;80;81;82;83;84;85;86;87;88;89;90;91;92;93;94;95;96;97;98;99},{100000;130000;160000;190000;220000;250000;300000;350000;400000;450000;500000;600000;700000;800000;900000;1000000;1500000;2000000;3000000;4000000;5000000;6500000;8000000;10000000;12500000;15000000;20000000;25000000;30000000;35000000;40000000;55000000;70000000;80000000;90000000;110000000;130000000;160000000;190000000;220000000;250000000;280000000;310000000;340000000;400000000})</f>
        <v>1500000</v>
      </c>
      <c r="J510" s="7" t="n">
        <f aca="false">I510*S510*T510*U510</f>
        <v>1243125</v>
      </c>
      <c r="K510" s="3"/>
      <c r="L510" s="3"/>
      <c r="M510" s="3"/>
      <c r="N510" s="9" t="n">
        <v>2</v>
      </c>
      <c r="O510" s="4" t="n">
        <v>0</v>
      </c>
      <c r="P510" s="5" t="n">
        <f aca="false">IF(COUNTIF([1]Base_Jugadores!J$2:J$500,B510)&gt;0,1,0)</f>
        <v>0</v>
      </c>
      <c r="Q510" s="10" t="b">
        <f aca="false">--(COUNTIFS(
   [1]Fichajes_Realizados!A$2:A$5000,A510,
   [1]Fichajes_Realizados!G$2:G$5000,$X$3
)&gt;0)</f>
        <v>0</v>
      </c>
      <c r="R510" s="5" t="n">
        <f aca="false">_xlfn.XLOOKUP(C510, [1]Estado_Equipos!A$2:A$500, [1]Estado_Equipos!J$2:J$500, "")</f>
        <v>77</v>
      </c>
      <c r="S510" s="5" t="n">
        <f aca="false">IF(H510&lt;=16,1.45,
IF(H510&gt;=41,0.3,
CHOOSE(ROUNDDOWN((H510-16)/2,0)+1,
1.45,1.38,1.3,1.23,1.17,1.15,1.12,1.05,0.95,0.8,0.6,0.4,0.3)))</f>
        <v>1.3</v>
      </c>
      <c r="T510" s="5" t="n">
        <f aca="false">CHOOSE(N510+1,1.2,1,0.85,0.7)</f>
        <v>0.85</v>
      </c>
      <c r="U510" s="5" t="n">
        <f aca="false">IF(F510="PO",0.6,
IF(F510="CT",0.75,
IF(F510="LI",0.8,
IF(F510="LD",0.8,
IF(F510="MCD",0.85,
IF(F510="MC",0.95,
IF(F510="MO",1.05,
IF(F510="EI",1.1,
IF(F510="ED",1.1,
IF(F510="SD",1.15,
IF(F510="DC",1.2,0)))))))))))</f>
        <v>0.75</v>
      </c>
    </row>
    <row r="511" customFormat="false" ht="16.4" hidden="false" customHeight="false" outlineLevel="0" collapsed="false">
      <c r="A511" s="1" t="n">
        <v>510</v>
      </c>
      <c r="B511" s="5" t="str">
        <f aca="false">[1]Base_Jugadores!B511</f>
        <v>Ben White</v>
      </c>
      <c r="C511" s="5" t="str">
        <f aca="false">IFERROR(
   _xlfn.XLOOKUP(VALUE(A511),[1]Fichajes_Realizados!A$2:A$50000,[1]Fichajes_Realizados!D$2:D$50000,,0,-1),
   _xlfn.XLOOKUP(VALUE(A511),[1]Base_Jugadores!A$2:A$50000,[1]Base_Jugadores!C$2:C$50000)
)</f>
        <v>Arsenal FC</v>
      </c>
      <c r="D511" s="5" t="str">
        <f aca="false">[1]Base_Jugadores!D511</f>
        <v>Inglaterra</v>
      </c>
      <c r="E511" s="3"/>
      <c r="F511" s="5" t="str">
        <f aca="false">[1]Base_Jugadores!E511</f>
        <v>LD</v>
      </c>
      <c r="G511" s="5" t="n">
        <f aca="false">[1]Base_Jugadores!F511</f>
        <v>84</v>
      </c>
      <c r="H511" s="5" t="n">
        <f aca="false">[1]Base_Jugadores!G511</f>
        <v>28</v>
      </c>
      <c r="I511" s="7" t="n">
        <f aca="false" t="array" ref="I511:I511">_xlfn.XLOOKUP(G511,{55;56;57;58;59;60;61;62;63;64;65;66;67;68;69;70;71;72;73;74;75;76;77;78;79;80;81;82;83;84;85;86;87;88;89;90;91;92;93;94;95;96;97;98;99},{100000;130000;160000;190000;220000;250000;300000;350000;400000;450000;500000;600000;700000;800000;900000;1000000;1500000;2000000;3000000;4000000;5000000;6500000;8000000;10000000;12500000;15000000;20000000;25000000;30000000;35000000;40000000;55000000;70000000;80000000;90000000;110000000;130000000;160000000;190000000;220000000;250000000;280000000;310000000;340000000;400000000})</f>
        <v>35000000</v>
      </c>
      <c r="J511" s="7" t="n">
        <f aca="false">I511*S511*T511*U511</f>
        <v>37632000</v>
      </c>
      <c r="K511" s="3"/>
      <c r="L511" s="3"/>
      <c r="M511" s="3"/>
      <c r="N511" s="9" t="n">
        <v>0</v>
      </c>
      <c r="O511" s="4" t="n">
        <v>0</v>
      </c>
      <c r="P511" s="5" t="n">
        <f aca="false">IF(COUNTIF([1]Base_Jugadores!J$2:J$500,B511)&gt;0,1,0)</f>
        <v>0</v>
      </c>
      <c r="Q511" s="10" t="b">
        <f aca="false">--(COUNTIFS(
   [1]Fichajes_Realizados!A$2:A$5000,A511,
   [1]Fichajes_Realizados!G$2:G$5000,$X$3
)&gt;0)</f>
        <v>0</v>
      </c>
      <c r="R511" s="5" t="n">
        <f aca="false">_xlfn.XLOOKUP(C511, [1]Estado_Equipos!A$2:A$500, [1]Estado_Equipos!J$2:J$500, "")</f>
        <v>84</v>
      </c>
      <c r="S511" s="5" t="n">
        <f aca="false">IF(H511&lt;=16,1.45,
IF(H511&gt;=41,0.3,
CHOOSE(ROUNDDOWN((H511-16)/2,0)+1,
1.45,1.38,1.3,1.23,1.17,1.15,1.12,1.05,0.95,0.8,0.6,0.4,0.3)))</f>
        <v>1.12</v>
      </c>
      <c r="T511" s="5" t="n">
        <f aca="false">CHOOSE(N511+1,1.2,1,0.85,0.7)</f>
        <v>1.2</v>
      </c>
      <c r="U511" s="5" t="n">
        <f aca="false">IF(F511="PO",0.6,
IF(F511="CT",0.75,
IF(F511="LI",0.8,
IF(F511="LD",0.8,
IF(F511="MCD",0.85,
IF(F511="MC",0.95,
IF(F511="MO",1.05,
IF(F511="EI",1.1,
IF(F511="ED",1.1,
IF(F511="SD",1.15,
IF(F511="DC",1.2,0)))))))))))</f>
        <v>0.8</v>
      </c>
    </row>
    <row r="512" customFormat="false" ht="16.4" hidden="false" customHeight="false" outlineLevel="0" collapsed="false">
      <c r="A512" s="1" t="n">
        <v>511</v>
      </c>
      <c r="B512" s="5" t="str">
        <f aca="false">[1]Base_Jugadores!B512</f>
        <v>Bukayo Saka</v>
      </c>
      <c r="C512" s="5" t="str">
        <f aca="false">IFERROR(
   _xlfn.XLOOKUP(VALUE(A512),[1]Fichajes_Realizados!A$2:A$50000,[1]Fichajes_Realizados!D$2:D$50000,,0,-1),
   _xlfn.XLOOKUP(VALUE(A512),[1]Base_Jugadores!A$2:A$50000,[1]Base_Jugadores!C$2:C$50000)
)</f>
        <v>Arsenal FC</v>
      </c>
      <c r="D512" s="5" t="str">
        <f aca="false">[1]Base_Jugadores!D512</f>
        <v>Inglaterra</v>
      </c>
      <c r="E512" s="3"/>
      <c r="F512" s="5" t="str">
        <f aca="false">[1]Base_Jugadores!E512</f>
        <v>ED</v>
      </c>
      <c r="G512" s="5" t="n">
        <f aca="false">[1]Base_Jugadores!F512</f>
        <v>87</v>
      </c>
      <c r="H512" s="5" t="n">
        <f aca="false">[1]Base_Jugadores!G512</f>
        <v>24</v>
      </c>
      <c r="I512" s="7" t="n">
        <f aca="false" t="array" ref="I512:I512">_xlfn.XLOOKUP(G512,{55;56;57;58;59;60;61;62;63;64;65;66;67;68;69;70;71;72;73;74;75;76;77;78;79;80;81;82;83;84;85;86;87;88;89;90;91;92;93;94;95;96;97;98;99},{100000;130000;160000;190000;220000;250000;300000;350000;400000;450000;500000;600000;700000;800000;900000;1000000;1500000;2000000;3000000;4000000;5000000;6500000;8000000;10000000;12500000;15000000;20000000;25000000;30000000;35000000;40000000;55000000;70000000;80000000;90000000;110000000;130000000;160000000;190000000;220000000;250000000;280000000;310000000;340000000;400000000})</f>
        <v>70000000</v>
      </c>
      <c r="J512" s="7" t="n">
        <f aca="false">I512*S512*T512*U512</f>
        <v>108108000</v>
      </c>
      <c r="K512" s="3"/>
      <c r="L512" s="3"/>
      <c r="M512" s="3"/>
      <c r="N512" s="9" t="n">
        <v>0</v>
      </c>
      <c r="O512" s="4" t="n">
        <v>0</v>
      </c>
      <c r="P512" s="5" t="n">
        <f aca="false">IF(COUNTIF([1]Base_Jugadores!J$2:J$500,B512)&gt;0,1,0)</f>
        <v>0</v>
      </c>
      <c r="Q512" s="10" t="b">
        <f aca="false">--(COUNTIFS(
   [1]Fichajes_Realizados!A$2:A$5000,A512,
   [1]Fichajes_Realizados!G$2:G$5000,$X$3
)&gt;0)</f>
        <v>0</v>
      </c>
      <c r="R512" s="5" t="n">
        <f aca="false">_xlfn.XLOOKUP(C512, [1]Estado_Equipos!A$2:A$500, [1]Estado_Equipos!J$2:J$500, "")</f>
        <v>84</v>
      </c>
      <c r="S512" s="5" t="n">
        <f aca="false">IF(H512&lt;=16,1.45,
IF(H512&gt;=41,0.3,
CHOOSE(ROUNDDOWN((H512-16)/2,0)+1,
1.45,1.38,1.3,1.23,1.17,1.15,1.12,1.05,0.95,0.8,0.6,0.4,0.3)))</f>
        <v>1.17</v>
      </c>
      <c r="T512" s="5" t="n">
        <f aca="false">CHOOSE(N512+1,1.2,1,0.85,0.7)</f>
        <v>1.2</v>
      </c>
      <c r="U512" s="5" t="n">
        <f aca="false">IF(F512="PO",0.6,
IF(F512="CT",0.75,
IF(F512="LI",0.8,
IF(F512="LD",0.8,
IF(F512="MCD",0.85,
IF(F512="MC",0.95,
IF(F512="MO",1.05,
IF(F512="EI",1.1,
IF(F512="ED",1.1,
IF(F512="SD",1.15,
IF(F512="DC",1.2,0)))))))))))</f>
        <v>1.1</v>
      </c>
    </row>
    <row r="513" customFormat="false" ht="16.4" hidden="false" customHeight="false" outlineLevel="0" collapsed="false">
      <c r="A513" s="1" t="n">
        <v>512</v>
      </c>
      <c r="B513" s="5" t="str">
        <f aca="false">[1]Base_Jugadores!B513</f>
        <v>Christian Nørgaard</v>
      </c>
      <c r="C513" s="5" t="str">
        <f aca="false">IFERROR(
   _xlfn.XLOOKUP(VALUE(A513),[1]Fichajes_Realizados!A$2:A$50000,[1]Fichajes_Realizados!D$2:D$50000,,0,-1),
   _xlfn.XLOOKUP(VALUE(A513),[1]Base_Jugadores!A$2:A$50000,[1]Base_Jugadores!C$2:C$50000)
)</f>
        <v>Arsenal FC</v>
      </c>
      <c r="D513" s="5" t="str">
        <f aca="false">[1]Base_Jugadores!D513</f>
        <v>Dinamarca</v>
      </c>
      <c r="E513" s="3"/>
      <c r="F513" s="5" t="str">
        <f aca="false">[1]Base_Jugadores!E513</f>
        <v>MCD</v>
      </c>
      <c r="G513" s="5" t="n">
        <f aca="false">[1]Base_Jugadores!F513</f>
        <v>78</v>
      </c>
      <c r="H513" s="5" t="n">
        <f aca="false">[1]Base_Jugadores!G513</f>
        <v>31</v>
      </c>
      <c r="I513" s="7" t="n">
        <f aca="false" t="array" ref="I513:I513">_xlfn.XLOOKUP(G513,{55;56;57;58;59;60;61;62;63;64;65;66;67;68;69;70;71;72;73;74;75;76;77;78;79;80;81;82;83;84;85;86;87;88;89;90;91;92;93;94;95;96;97;98;99},{100000;130000;160000;190000;220000;250000;300000;350000;400000;450000;500000;600000;700000;800000;900000;1000000;1500000;2000000;3000000;4000000;5000000;6500000;8000000;10000000;12500000;15000000;20000000;25000000;30000000;35000000;40000000;55000000;70000000;80000000;90000000;110000000;130000000;160000000;190000000;220000000;250000000;280000000;310000000;340000000;400000000})</f>
        <v>10000000</v>
      </c>
      <c r="J513" s="7" t="n">
        <f aca="false">I513*S513*T513*U513</f>
        <v>7586250</v>
      </c>
      <c r="K513" s="3"/>
      <c r="L513" s="3"/>
      <c r="M513" s="3"/>
      <c r="N513" s="9" t="n">
        <v>2</v>
      </c>
      <c r="O513" s="4" t="n">
        <v>0</v>
      </c>
      <c r="P513" s="5" t="n">
        <f aca="false">IF(COUNTIF([1]Base_Jugadores!J$2:J$500,B513)&gt;0,1,0)</f>
        <v>0</v>
      </c>
      <c r="Q513" s="10" t="b">
        <f aca="false">--(COUNTIFS(
   [1]Fichajes_Realizados!A$2:A$5000,A513,
   [1]Fichajes_Realizados!G$2:G$5000,$X$3
)&gt;0)</f>
        <v>0</v>
      </c>
      <c r="R513" s="5" t="n">
        <f aca="false">_xlfn.XLOOKUP(C513, [1]Estado_Equipos!A$2:A$500, [1]Estado_Equipos!J$2:J$500, "")</f>
        <v>84</v>
      </c>
      <c r="S513" s="5" t="n">
        <f aca="false">IF(H513&lt;=16,1.45,
IF(H513&gt;=41,0.3,
CHOOSE(ROUNDDOWN((H513-16)/2,0)+1,
1.45,1.38,1.3,1.23,1.17,1.15,1.12,1.05,0.95,0.8,0.6,0.4,0.3)))</f>
        <v>1.05</v>
      </c>
      <c r="T513" s="5" t="n">
        <f aca="false">CHOOSE(N513+1,1.2,1,0.85,0.7)</f>
        <v>0.85</v>
      </c>
      <c r="U513" s="5" t="n">
        <f aca="false">IF(F513="PO",0.6,
IF(F513="CT",0.75,
IF(F513="LI",0.8,
IF(F513="LD",0.8,
IF(F513="MCD",0.85,
IF(F513="MC",0.95,
IF(F513="MO",1.05,
IF(F513="EI",1.1,
IF(F513="ED",1.1,
IF(F513="SD",1.15,
IF(F513="DC",1.2,0)))))))))))</f>
        <v>0.85</v>
      </c>
    </row>
    <row r="514" customFormat="false" ht="16.4" hidden="false" customHeight="false" outlineLevel="0" collapsed="false">
      <c r="A514" s="1" t="n">
        <v>513</v>
      </c>
      <c r="B514" s="5" t="str">
        <f aca="false">[1]Base_Jugadores!B514</f>
        <v>Cristhian Mosquera</v>
      </c>
      <c r="C514" s="5" t="str">
        <f aca="false">IFERROR(
   _xlfn.XLOOKUP(VALUE(A514),[1]Fichajes_Realizados!A$2:A$50000,[1]Fichajes_Realizados!D$2:D$50000,,0,-1),
   _xlfn.XLOOKUP(VALUE(A514),[1]Base_Jugadores!A$2:A$50000,[1]Base_Jugadores!C$2:C$50000)
)</f>
        <v>Arsenal FC</v>
      </c>
      <c r="D514" s="5" t="str">
        <f aca="false">[1]Base_Jugadores!D514</f>
        <v>España</v>
      </c>
      <c r="E514" s="3"/>
      <c r="F514" s="5" t="str">
        <f aca="false">[1]Base_Jugadores!E514</f>
        <v>CT</v>
      </c>
      <c r="G514" s="5" t="n">
        <f aca="false">[1]Base_Jugadores!F514</f>
        <v>77</v>
      </c>
      <c r="H514" s="5" t="n">
        <f aca="false">[1]Base_Jugadores!G514</f>
        <v>21</v>
      </c>
      <c r="I514" s="7" t="n">
        <f aca="false" t="array" ref="I514:I514">_xlfn.XLOOKUP(G514,{55;56;57;58;59;60;61;62;63;64;65;66;67;68;69;70;71;72;73;74;75;76;77;78;79;80;81;82;83;84;85;86;87;88;89;90;91;92;93;94;95;96;97;98;99},{100000;130000;160000;190000;220000;250000;300000;350000;400000;450000;500000;600000;700000;800000;900000;1000000;1500000;2000000;3000000;4000000;5000000;6500000;8000000;10000000;12500000;15000000;20000000;25000000;30000000;35000000;40000000;55000000;70000000;80000000;90000000;110000000;130000000;160000000;190000000;220000000;250000000;280000000;310000000;340000000;400000000})</f>
        <v>8000000</v>
      </c>
      <c r="J514" s="7" t="n">
        <f aca="false">I514*S514*T514*U514</f>
        <v>6630000</v>
      </c>
      <c r="K514" s="3"/>
      <c r="L514" s="3"/>
      <c r="M514" s="3"/>
      <c r="N514" s="9" t="n">
        <v>2</v>
      </c>
      <c r="O514" s="4" t="n">
        <v>0</v>
      </c>
      <c r="P514" s="5" t="n">
        <f aca="false">IF(COUNTIF([1]Base_Jugadores!J$2:J$500,B514)&gt;0,1,0)</f>
        <v>0</v>
      </c>
      <c r="Q514" s="10" t="b">
        <f aca="false">--(COUNTIFS(
   [1]Fichajes_Realizados!A$2:A$5000,A514,
   [1]Fichajes_Realizados!G$2:G$5000,$X$3
)&gt;0)</f>
        <v>0</v>
      </c>
      <c r="R514" s="5" t="n">
        <f aca="false">_xlfn.XLOOKUP(C514, [1]Estado_Equipos!A$2:A$500, [1]Estado_Equipos!J$2:J$500, "")</f>
        <v>84</v>
      </c>
      <c r="S514" s="5" t="n">
        <f aca="false">IF(H514&lt;=16,1.45,
IF(H514&gt;=41,0.3,
CHOOSE(ROUNDDOWN((H514-16)/2,0)+1,
1.45,1.38,1.3,1.23,1.17,1.15,1.12,1.05,0.95,0.8,0.6,0.4,0.3)))</f>
        <v>1.3</v>
      </c>
      <c r="T514" s="5" t="n">
        <f aca="false">CHOOSE(N514+1,1.2,1,0.85,0.7)</f>
        <v>0.85</v>
      </c>
      <c r="U514" s="5" t="n">
        <f aca="false">IF(F514="PO",0.6,
IF(F514="CT",0.75,
IF(F514="LI",0.8,
IF(F514="LD",0.8,
IF(F514="MCD",0.85,
IF(F514="MC",0.95,
IF(F514="MO",1.05,
IF(F514="EI",1.1,
IF(F514="ED",1.1,
IF(F514="SD",1.15,
IF(F514="DC",1.2,0)))))))))))</f>
        <v>0.75</v>
      </c>
    </row>
    <row r="515" customFormat="false" ht="16.4" hidden="false" customHeight="false" outlineLevel="0" collapsed="false">
      <c r="A515" s="1" t="n">
        <v>514</v>
      </c>
      <c r="B515" s="5" t="str">
        <f aca="false">[1]Base_Jugadores!B515</f>
        <v>David Raya</v>
      </c>
      <c r="C515" s="5" t="str">
        <f aca="false">IFERROR(
   _xlfn.XLOOKUP(VALUE(A515),[1]Fichajes_Realizados!A$2:A$50000,[1]Fichajes_Realizados!D$2:D$50000,,0,-1),
   _xlfn.XLOOKUP(VALUE(A515),[1]Base_Jugadores!A$2:A$50000,[1]Base_Jugadores!C$2:C$50000)
)</f>
        <v>Arsenal FC</v>
      </c>
      <c r="D515" s="5" t="str">
        <f aca="false">[1]Base_Jugadores!D515</f>
        <v>España</v>
      </c>
      <c r="E515" s="3"/>
      <c r="F515" s="5" t="str">
        <f aca="false">[1]Base_Jugadores!E515</f>
        <v>PO</v>
      </c>
      <c r="G515" s="5" t="n">
        <f aca="false">[1]Base_Jugadores!F515</f>
        <v>84</v>
      </c>
      <c r="H515" s="5" t="n">
        <f aca="false">[1]Base_Jugadores!G515</f>
        <v>30</v>
      </c>
      <c r="I515" s="7" t="n">
        <f aca="false" t="array" ref="I515:I515">_xlfn.XLOOKUP(G515,{55;56;57;58;59;60;61;62;63;64;65;66;67;68;69;70;71;72;73;74;75;76;77;78;79;80;81;82;83;84;85;86;87;88;89;90;91;92;93;94;95;96;97;98;99},{100000;130000;160000;190000;220000;250000;300000;350000;400000;450000;500000;600000;700000;800000;900000;1000000;1500000;2000000;3000000;4000000;5000000;6500000;8000000;10000000;12500000;15000000;20000000;25000000;30000000;35000000;40000000;55000000;70000000;80000000;90000000;110000000;130000000;160000000;190000000;220000000;250000000;280000000;310000000;340000000;400000000})</f>
        <v>35000000</v>
      </c>
      <c r="J515" s="7" t="n">
        <f aca="false">I515*S515*T515*U515</f>
        <v>26460000</v>
      </c>
      <c r="K515" s="3"/>
      <c r="L515" s="3"/>
      <c r="M515" s="3"/>
      <c r="N515" s="9" t="n">
        <v>0</v>
      </c>
      <c r="O515" s="4" t="n">
        <v>0</v>
      </c>
      <c r="P515" s="5" t="n">
        <f aca="false">IF(COUNTIF([1]Base_Jugadores!J$2:J$500,B515)&gt;0,1,0)</f>
        <v>0</v>
      </c>
      <c r="Q515" s="10" t="b">
        <f aca="false">--(COUNTIFS(
   [1]Fichajes_Realizados!A$2:A$5000,A515,
   [1]Fichajes_Realizados!G$2:G$5000,$X$3
)&gt;0)</f>
        <v>0</v>
      </c>
      <c r="R515" s="5" t="n">
        <f aca="false">_xlfn.XLOOKUP(C515, [1]Estado_Equipos!A$2:A$500, [1]Estado_Equipos!J$2:J$500, "")</f>
        <v>84</v>
      </c>
      <c r="S515" s="5" t="n">
        <f aca="false">IF(H515&lt;=16,1.45,
IF(H515&gt;=41,0.3,
CHOOSE(ROUNDDOWN((H515-16)/2,0)+1,
1.45,1.38,1.3,1.23,1.17,1.15,1.12,1.05,0.95,0.8,0.6,0.4,0.3)))</f>
        <v>1.05</v>
      </c>
      <c r="T515" s="5" t="n">
        <f aca="false">CHOOSE(N515+1,1.2,1,0.85,0.7)</f>
        <v>1.2</v>
      </c>
      <c r="U515" s="5" t="n">
        <f aca="false">IF(F515="PO",0.6,
IF(F515="CT",0.75,
IF(F515="LI",0.8,
IF(F515="LD",0.8,
IF(F515="MCD",0.85,
IF(F515="MC",0.95,
IF(F515="MO",1.05,
IF(F515="EI",1.1,
IF(F515="ED",1.1,
IF(F515="SD",1.15,
IF(F515="DC",1.2,0)))))))))))</f>
        <v>0.6</v>
      </c>
    </row>
    <row r="516" customFormat="false" ht="16.4" hidden="false" customHeight="false" outlineLevel="0" collapsed="false">
      <c r="A516" s="1" t="n">
        <v>515</v>
      </c>
      <c r="B516" s="5" t="str">
        <f aca="false">[1]Base_Jugadores!B516</f>
        <v>Declan Rice</v>
      </c>
      <c r="C516" s="5" t="str">
        <f aca="false">IFERROR(
   _xlfn.XLOOKUP(VALUE(A516),[1]Fichajes_Realizados!A$2:A$50000,[1]Fichajes_Realizados!D$2:D$50000,,0,-1),
   _xlfn.XLOOKUP(VALUE(A516),[1]Base_Jugadores!A$2:A$50000,[1]Base_Jugadores!C$2:C$50000)
)</f>
        <v>Arsenal FC</v>
      </c>
      <c r="D516" s="5" t="str">
        <f aca="false">[1]Base_Jugadores!D516</f>
        <v>Inglaterra</v>
      </c>
      <c r="E516" s="3"/>
      <c r="F516" s="5" t="str">
        <f aca="false">[1]Base_Jugadores!E516</f>
        <v>MC</v>
      </c>
      <c r="G516" s="5" t="n">
        <f aca="false">[1]Base_Jugadores!F516</f>
        <v>85</v>
      </c>
      <c r="H516" s="5" t="n">
        <f aca="false">[1]Base_Jugadores!G516</f>
        <v>26</v>
      </c>
      <c r="I516" s="7" t="n">
        <f aca="false" t="array" ref="I516:I516">_xlfn.XLOOKUP(G516,{55;56;57;58;59;60;61;62;63;64;65;66;67;68;69;70;71;72;73;74;75;76;77;78;79;80;81;82;83;84;85;86;87;88;89;90;91;92;93;94;95;96;97;98;99},{100000;130000;160000;190000;220000;250000;300000;350000;400000;450000;500000;600000;700000;800000;900000;1000000;1500000;2000000;3000000;4000000;5000000;6500000;8000000;10000000;12500000;15000000;20000000;25000000;30000000;35000000;40000000;55000000;70000000;80000000;90000000;110000000;130000000;160000000;190000000;220000000;250000000;280000000;310000000;340000000;400000000})</f>
        <v>40000000</v>
      </c>
      <c r="J516" s="7" t="n">
        <f aca="false">I516*S516*T516*U516</f>
        <v>52440000</v>
      </c>
      <c r="K516" s="3"/>
      <c r="L516" s="3"/>
      <c r="M516" s="3"/>
      <c r="N516" s="9" t="n">
        <v>0</v>
      </c>
      <c r="O516" s="4" t="n">
        <v>0</v>
      </c>
      <c r="P516" s="5" t="n">
        <f aca="false">IF(COUNTIF([1]Base_Jugadores!J$2:J$500,B516)&gt;0,1,0)</f>
        <v>0</v>
      </c>
      <c r="Q516" s="10" t="b">
        <f aca="false">--(COUNTIFS(
   [1]Fichajes_Realizados!A$2:A$5000,A516,
   [1]Fichajes_Realizados!G$2:G$5000,$X$3
)&gt;0)</f>
        <v>0</v>
      </c>
      <c r="R516" s="5" t="n">
        <f aca="false">_xlfn.XLOOKUP(C516, [1]Estado_Equipos!A$2:A$500, [1]Estado_Equipos!J$2:J$500, "")</f>
        <v>84</v>
      </c>
      <c r="S516" s="5" t="n">
        <f aca="false">IF(H516&lt;=16,1.45,
IF(H516&gt;=41,0.3,
CHOOSE(ROUNDDOWN((H516-16)/2,0)+1,
1.45,1.38,1.3,1.23,1.17,1.15,1.12,1.05,0.95,0.8,0.6,0.4,0.3)))</f>
        <v>1.15</v>
      </c>
      <c r="T516" s="5" t="n">
        <f aca="false">CHOOSE(N516+1,1.2,1,0.85,0.7)</f>
        <v>1.2</v>
      </c>
      <c r="U516" s="5" t="n">
        <f aca="false">IF(F516="PO",0.6,
IF(F516="CT",0.75,
IF(F516="LI",0.8,
IF(F516="LD",0.8,
IF(F516="MCD",0.85,
IF(F516="MC",0.95,
IF(F516="MO",1.05,
IF(F516="EI",1.1,
IF(F516="ED",1.1,
IF(F516="SD",1.15,
IF(F516="DC",1.2,0)))))))))))</f>
        <v>0.95</v>
      </c>
    </row>
    <row r="517" customFormat="false" ht="16.4" hidden="false" customHeight="false" outlineLevel="0" collapsed="false">
      <c r="A517" s="1" t="n">
        <v>516</v>
      </c>
      <c r="B517" s="5" t="str">
        <f aca="false">[1]Base_Jugadores!B517</f>
        <v>Eberechi Eze</v>
      </c>
      <c r="C517" s="5" t="str">
        <f aca="false">IFERROR(
   _xlfn.XLOOKUP(VALUE(A517),[1]Fichajes_Realizados!A$2:A$50000,[1]Fichajes_Realizados!D$2:D$50000,,0,-1),
   _xlfn.XLOOKUP(VALUE(A517),[1]Base_Jugadores!A$2:A$50000,[1]Base_Jugadores!C$2:C$50000)
)</f>
        <v>Arsenal FC</v>
      </c>
      <c r="D517" s="5" t="str">
        <f aca="false">[1]Base_Jugadores!D517</f>
        <v>Inglaterra</v>
      </c>
      <c r="E517" s="3"/>
      <c r="F517" s="5" t="str">
        <f aca="false">[1]Base_Jugadores!E517</f>
        <v>MO</v>
      </c>
      <c r="G517" s="5" t="n">
        <f aca="false">[1]Base_Jugadores!F517</f>
        <v>81</v>
      </c>
      <c r="H517" s="5" t="n">
        <f aca="false">[1]Base_Jugadores!G517</f>
        <v>27</v>
      </c>
      <c r="I517" s="7" t="n">
        <f aca="false" t="array" ref="I517:I517">_xlfn.XLOOKUP(G517,{55;56;57;58;59;60;61;62;63;64;65;66;67;68;69;70;71;72;73;74;75;76;77;78;79;80;81;82;83;84;85;86;87;88;89;90;91;92;93;94;95;96;97;98;99},{100000;130000;160000;190000;220000;250000;300000;350000;400000;450000;500000;600000;700000;800000;900000;1000000;1500000;2000000;3000000;4000000;5000000;6500000;8000000;10000000;12500000;15000000;20000000;25000000;30000000;35000000;40000000;55000000;70000000;80000000;90000000;110000000;130000000;160000000;190000000;220000000;250000000;280000000;310000000;340000000;400000000})</f>
        <v>20000000</v>
      </c>
      <c r="J517" s="7" t="n">
        <f aca="false">I517*S517*T517*U517</f>
        <v>20527500</v>
      </c>
      <c r="K517" s="3"/>
      <c r="L517" s="3"/>
      <c r="M517" s="3"/>
      <c r="N517" s="9" t="n">
        <v>2</v>
      </c>
      <c r="O517" s="4" t="n">
        <v>0</v>
      </c>
      <c r="P517" s="5" t="n">
        <f aca="false">IF(COUNTIF([1]Base_Jugadores!J$2:J$500,B517)&gt;0,1,0)</f>
        <v>0</v>
      </c>
      <c r="Q517" s="10" t="b">
        <f aca="false">--(COUNTIFS(
   [1]Fichajes_Realizados!A$2:A$5000,A517,
   [1]Fichajes_Realizados!G$2:G$5000,$X$3
)&gt;0)</f>
        <v>0</v>
      </c>
      <c r="R517" s="5" t="n">
        <f aca="false">_xlfn.XLOOKUP(C517, [1]Estado_Equipos!A$2:A$500, [1]Estado_Equipos!J$2:J$500, "")</f>
        <v>84</v>
      </c>
      <c r="S517" s="5" t="n">
        <f aca="false">IF(H517&lt;=16,1.45,
IF(H517&gt;=41,0.3,
CHOOSE(ROUNDDOWN((H517-16)/2,0)+1,
1.45,1.38,1.3,1.23,1.17,1.15,1.12,1.05,0.95,0.8,0.6,0.4,0.3)))</f>
        <v>1.15</v>
      </c>
      <c r="T517" s="5" t="n">
        <f aca="false">CHOOSE(N517+1,1.2,1,0.85,0.7)</f>
        <v>0.85</v>
      </c>
      <c r="U517" s="5" t="n">
        <f aca="false">IF(F517="PO",0.6,
IF(F517="CT",0.75,
IF(F517="LI",0.8,
IF(F517="LD",0.8,
IF(F517="MCD",0.85,
IF(F517="MC",0.95,
IF(F517="MO",1.05,
IF(F517="EI",1.1,
IF(F517="ED",1.1,
IF(F517="SD",1.15,
IF(F517="DC",1.2,0)))))))))))</f>
        <v>1.05</v>
      </c>
    </row>
    <row r="518" customFormat="false" ht="16.4" hidden="false" customHeight="false" outlineLevel="0" collapsed="false">
      <c r="A518" s="1" t="n">
        <v>517</v>
      </c>
      <c r="B518" s="5" t="str">
        <f aca="false">[1]Base_Jugadores!B518</f>
        <v>Ethan Nwaneri</v>
      </c>
      <c r="C518" s="5" t="str">
        <f aca="false">IFERROR(
   _xlfn.XLOOKUP(VALUE(A518),[1]Fichajes_Realizados!A$2:A$50000,[1]Fichajes_Realizados!D$2:D$50000,,0,-1),
   _xlfn.XLOOKUP(VALUE(A518),[1]Base_Jugadores!A$2:A$50000,[1]Base_Jugadores!C$2:C$50000)
)</f>
        <v>Arsenal FC</v>
      </c>
      <c r="D518" s="5" t="str">
        <f aca="false">[1]Base_Jugadores!D518</f>
        <v>Inglaterra</v>
      </c>
      <c r="E518" s="3"/>
      <c r="F518" s="5" t="str">
        <f aca="false">[1]Base_Jugadores!E518</f>
        <v>MO</v>
      </c>
      <c r="G518" s="5" t="n">
        <f aca="false">[1]Base_Jugadores!F518</f>
        <v>75</v>
      </c>
      <c r="H518" s="5" t="n">
        <f aca="false">[1]Base_Jugadores!G518</f>
        <v>18</v>
      </c>
      <c r="I518" s="7" t="n">
        <f aca="false" t="array" ref="I518:I518">_xlfn.XLOOKUP(G518,{55;56;57;58;59;60;61;62;63;64;65;66;67;68;69;70;71;72;73;74;75;76;77;78;79;80;81;82;83;84;85;86;87;88;89;90;91;92;93;94;95;96;97;98;99},{100000;130000;160000;190000;220000;250000;300000;350000;400000;450000;500000;600000;700000;800000;900000;1000000;1500000;2000000;3000000;4000000;5000000;6500000;8000000;10000000;12500000;15000000;20000000;25000000;30000000;35000000;40000000;55000000;70000000;80000000;90000000;110000000;130000000;160000000;190000000;220000000;250000000;280000000;310000000;340000000;400000000})</f>
        <v>5000000</v>
      </c>
      <c r="J518" s="7" t="n">
        <f aca="false">I518*S518*T518*U518</f>
        <v>6158250</v>
      </c>
      <c r="K518" s="3"/>
      <c r="L518" s="3"/>
      <c r="M518" s="3"/>
      <c r="N518" s="9" t="n">
        <v>2</v>
      </c>
      <c r="O518" s="4" t="n">
        <v>0</v>
      </c>
      <c r="P518" s="5" t="n">
        <f aca="false">IF(COUNTIF([1]Base_Jugadores!J$2:J$500,B518)&gt;0,1,0)</f>
        <v>0</v>
      </c>
      <c r="Q518" s="10" t="b">
        <f aca="false">--(COUNTIFS(
   [1]Fichajes_Realizados!A$2:A$5000,A518,
   [1]Fichajes_Realizados!G$2:G$5000,$X$3
)&gt;0)</f>
        <v>0</v>
      </c>
      <c r="R518" s="5" t="n">
        <f aca="false">_xlfn.XLOOKUP(C518, [1]Estado_Equipos!A$2:A$500, [1]Estado_Equipos!J$2:J$500, "")</f>
        <v>84</v>
      </c>
      <c r="S518" s="5" t="n">
        <f aca="false">IF(H518&lt;=16,1.45,
IF(H518&gt;=41,0.3,
CHOOSE(ROUNDDOWN((H518-16)/2,0)+1,
1.45,1.38,1.3,1.23,1.17,1.15,1.12,1.05,0.95,0.8,0.6,0.4,0.3)))</f>
        <v>1.38</v>
      </c>
      <c r="T518" s="5" t="n">
        <f aca="false">CHOOSE(N518+1,1.2,1,0.85,0.7)</f>
        <v>0.85</v>
      </c>
      <c r="U518" s="5" t="n">
        <f aca="false">IF(F518="PO",0.6,
IF(F518="CT",0.75,
IF(F518="LI",0.8,
IF(F518="LD",0.8,
IF(F518="MCD",0.85,
IF(F518="MC",0.95,
IF(F518="MO",1.05,
IF(F518="EI",1.1,
IF(F518="ED",1.1,
IF(F518="SD",1.15,
IF(F518="DC",1.2,0)))))))))))</f>
        <v>1.05</v>
      </c>
    </row>
    <row r="519" customFormat="false" ht="16.4" hidden="false" customHeight="false" outlineLevel="0" collapsed="false">
      <c r="A519" s="1" t="n">
        <v>518</v>
      </c>
      <c r="B519" s="5" t="str">
        <f aca="false">[1]Base_Jugadores!B519</f>
        <v>Gabriel Jesus</v>
      </c>
      <c r="C519" s="5" t="str">
        <f aca="false">IFERROR(
   _xlfn.XLOOKUP(VALUE(A519),[1]Fichajes_Realizados!A$2:A$50000,[1]Fichajes_Realizados!D$2:D$50000,,0,-1),
   _xlfn.XLOOKUP(VALUE(A519),[1]Base_Jugadores!A$2:A$50000,[1]Base_Jugadores!C$2:C$50000)
)</f>
        <v>Arsenal FC</v>
      </c>
      <c r="D519" s="5" t="str">
        <f aca="false">[1]Base_Jugadores!D519</f>
        <v>Brasil</v>
      </c>
      <c r="E519" s="3"/>
      <c r="F519" s="5" t="str">
        <f aca="false">[1]Base_Jugadores!E519</f>
        <v>DC</v>
      </c>
      <c r="G519" s="5" t="n">
        <f aca="false">[1]Base_Jugadores!F519</f>
        <v>81</v>
      </c>
      <c r="H519" s="5" t="n">
        <f aca="false">[1]Base_Jugadores!G519</f>
        <v>28</v>
      </c>
      <c r="I519" s="7" t="n">
        <f aca="false" t="array" ref="I519:I519">_xlfn.XLOOKUP(G519,{55;56;57;58;59;60;61;62;63;64;65;66;67;68;69;70;71;72;73;74;75;76;77;78;79;80;81;82;83;84;85;86;87;88;89;90;91;92;93;94;95;96;97;98;99},{100000;130000;160000;190000;220000;250000;300000;350000;400000;450000;500000;600000;700000;800000;900000;1000000;1500000;2000000;3000000;4000000;5000000;6500000;8000000;10000000;12500000;15000000;20000000;25000000;30000000;35000000;40000000;55000000;70000000;80000000;90000000;110000000;130000000;160000000;190000000;220000000;250000000;280000000;310000000;340000000;400000000})</f>
        <v>20000000</v>
      </c>
      <c r="J519" s="7" t="n">
        <f aca="false">I519*S519*T519*U519</f>
        <v>26880000</v>
      </c>
      <c r="K519" s="3"/>
      <c r="L519" s="3"/>
      <c r="M519" s="3"/>
      <c r="N519" s="9" t="n">
        <v>1</v>
      </c>
      <c r="O519" s="4" t="n">
        <v>0</v>
      </c>
      <c r="P519" s="5" t="n">
        <f aca="false">IF(COUNTIF([1]Base_Jugadores!J$2:J$500,B519)&gt;0,1,0)</f>
        <v>0</v>
      </c>
      <c r="Q519" s="10" t="b">
        <f aca="false">--(COUNTIFS(
   [1]Fichajes_Realizados!A$2:A$5000,A519,
   [1]Fichajes_Realizados!G$2:G$5000,$X$3
)&gt;0)</f>
        <v>0</v>
      </c>
      <c r="R519" s="5" t="n">
        <f aca="false">_xlfn.XLOOKUP(C519, [1]Estado_Equipos!A$2:A$500, [1]Estado_Equipos!J$2:J$500, "")</f>
        <v>84</v>
      </c>
      <c r="S519" s="5" t="n">
        <f aca="false">IF(H519&lt;=16,1.45,
IF(H519&gt;=41,0.3,
CHOOSE(ROUNDDOWN((H519-16)/2,0)+1,
1.45,1.38,1.3,1.23,1.17,1.15,1.12,1.05,0.95,0.8,0.6,0.4,0.3)))</f>
        <v>1.12</v>
      </c>
      <c r="T519" s="5" t="n">
        <f aca="false">CHOOSE(N519+1,1.2,1,0.85,0.7)</f>
        <v>1</v>
      </c>
      <c r="U519" s="5" t="n">
        <f aca="false">IF(F519="PO",0.6,
IF(F519="CT",0.75,
IF(F519="LI",0.8,
IF(F519="LD",0.8,
IF(F519="MCD",0.85,
IF(F519="MC",0.95,
IF(F519="MO",1.05,
IF(F519="EI",1.1,
IF(F519="ED",1.1,
IF(F519="SD",1.15,
IF(F519="DC",1.2,0)))))))))))</f>
        <v>1.2</v>
      </c>
    </row>
    <row r="520" customFormat="false" ht="16.4" hidden="false" customHeight="false" outlineLevel="0" collapsed="false">
      <c r="A520" s="1" t="n">
        <v>519</v>
      </c>
      <c r="B520" s="5" t="str">
        <f aca="false">[1]Base_Jugadores!B520</f>
        <v>Gabriel Magalhães</v>
      </c>
      <c r="C520" s="5" t="str">
        <f aca="false">IFERROR(
   _xlfn.XLOOKUP(VALUE(A520),[1]Fichajes_Realizados!A$2:A$50000,[1]Fichajes_Realizados!D$2:D$50000,,0,-1),
   _xlfn.XLOOKUP(VALUE(A520),[1]Base_Jugadores!A$2:A$50000,[1]Base_Jugadores!C$2:C$50000)
)</f>
        <v>Arsenal FC</v>
      </c>
      <c r="D520" s="5" t="str">
        <f aca="false">[1]Base_Jugadores!D520</f>
        <v>Brasil</v>
      </c>
      <c r="E520" s="3"/>
      <c r="F520" s="5" t="str">
        <f aca="false">[1]Base_Jugadores!E520</f>
        <v>CT</v>
      </c>
      <c r="G520" s="5" t="n">
        <f aca="false">[1]Base_Jugadores!F520</f>
        <v>86</v>
      </c>
      <c r="H520" s="5" t="n">
        <f aca="false">[1]Base_Jugadores!G520</f>
        <v>28</v>
      </c>
      <c r="I520" s="7" t="n">
        <f aca="false" t="array" ref="I520:I520">_xlfn.XLOOKUP(G520,{55;56;57;58;59;60;61;62;63;64;65;66;67;68;69;70;71;72;73;74;75;76;77;78;79;80;81;82;83;84;85;86;87;88;89;90;91;92;93;94;95;96;97;98;99},{100000;130000;160000;190000;220000;250000;300000;350000;400000;450000;500000;600000;700000;800000;900000;1000000;1500000;2000000;3000000;4000000;5000000;6500000;8000000;10000000;12500000;15000000;20000000;25000000;30000000;35000000;40000000;55000000;70000000;80000000;90000000;110000000;130000000;160000000;190000000;220000000;250000000;280000000;310000000;340000000;400000000})</f>
        <v>55000000</v>
      </c>
      <c r="J520" s="7" t="n">
        <f aca="false">I520*S520*T520*U520</f>
        <v>55440000</v>
      </c>
      <c r="K520" s="3"/>
      <c r="L520" s="3"/>
      <c r="M520" s="3"/>
      <c r="N520" s="9" t="n">
        <v>0</v>
      </c>
      <c r="O520" s="4" t="n">
        <v>0</v>
      </c>
      <c r="P520" s="5" t="n">
        <f aca="false">IF(COUNTIF([1]Base_Jugadores!J$2:J$500,B520)&gt;0,1,0)</f>
        <v>0</v>
      </c>
      <c r="Q520" s="10" t="b">
        <f aca="false">--(COUNTIFS(
   [1]Fichajes_Realizados!A$2:A$5000,A520,
   [1]Fichajes_Realizados!G$2:G$5000,$X$3
)&gt;0)</f>
        <v>0</v>
      </c>
      <c r="R520" s="5" t="n">
        <f aca="false">_xlfn.XLOOKUP(C520, [1]Estado_Equipos!A$2:A$500, [1]Estado_Equipos!J$2:J$500, "")</f>
        <v>84</v>
      </c>
      <c r="S520" s="5" t="n">
        <f aca="false">IF(H520&lt;=16,1.45,
IF(H520&gt;=41,0.3,
CHOOSE(ROUNDDOWN((H520-16)/2,0)+1,
1.45,1.38,1.3,1.23,1.17,1.15,1.12,1.05,0.95,0.8,0.6,0.4,0.3)))</f>
        <v>1.12</v>
      </c>
      <c r="T520" s="5" t="n">
        <f aca="false">CHOOSE(N520+1,1.2,1,0.85,0.7)</f>
        <v>1.2</v>
      </c>
      <c r="U520" s="5" t="n">
        <f aca="false">IF(F520="PO",0.6,
IF(F520="CT",0.75,
IF(F520="LI",0.8,
IF(F520="LD",0.8,
IF(F520="MCD",0.85,
IF(F520="MC",0.95,
IF(F520="MO",1.05,
IF(F520="EI",1.1,
IF(F520="ED",1.1,
IF(F520="SD",1.15,
IF(F520="DC",1.2,0)))))))))))</f>
        <v>0.75</v>
      </c>
    </row>
    <row r="521" customFormat="false" ht="16.4" hidden="false" customHeight="false" outlineLevel="0" collapsed="false">
      <c r="A521" s="1" t="n">
        <v>520</v>
      </c>
      <c r="B521" s="5" t="str">
        <f aca="false">[1]Base_Jugadores!B521</f>
        <v>Gabriel Martinelli</v>
      </c>
      <c r="C521" s="5" t="str">
        <f aca="false">IFERROR(
   _xlfn.XLOOKUP(VALUE(A521),[1]Fichajes_Realizados!A$2:A$50000,[1]Fichajes_Realizados!D$2:D$50000,,0,-1),
   _xlfn.XLOOKUP(VALUE(A521),[1]Base_Jugadores!A$2:A$50000,[1]Base_Jugadores!C$2:C$50000)
)</f>
        <v>Arsenal FC</v>
      </c>
      <c r="D521" s="5" t="str">
        <f aca="false">[1]Base_Jugadores!D521</f>
        <v>Brasil</v>
      </c>
      <c r="E521" s="3"/>
      <c r="F521" s="5" t="str">
        <f aca="false">[1]Base_Jugadores!E521</f>
        <v>EI</v>
      </c>
      <c r="G521" s="5" t="n">
        <f aca="false">[1]Base_Jugadores!F521</f>
        <v>83</v>
      </c>
      <c r="H521" s="5" t="n">
        <f aca="false">[1]Base_Jugadores!G521</f>
        <v>24</v>
      </c>
      <c r="I521" s="7" t="n">
        <f aca="false" t="array" ref="I521:I521">_xlfn.XLOOKUP(G521,{55;56;57;58;59;60;61;62;63;64;65;66;67;68;69;70;71;72;73;74;75;76;77;78;79;80;81;82;83;84;85;86;87;88;89;90;91;92;93;94;95;96;97;98;99},{100000;130000;160000;190000;220000;250000;300000;350000;400000;450000;500000;600000;700000;800000;900000;1000000;1500000;2000000;3000000;4000000;5000000;6500000;8000000;10000000;12500000;15000000;20000000;25000000;30000000;35000000;40000000;55000000;70000000;80000000;90000000;110000000;130000000;160000000;190000000;220000000;250000000;280000000;310000000;340000000;400000000})</f>
        <v>30000000</v>
      </c>
      <c r="J521" s="7" t="n">
        <f aca="false">I521*S521*T521*U521</f>
        <v>38610000</v>
      </c>
      <c r="K521" s="3"/>
      <c r="L521" s="3"/>
      <c r="M521" s="3"/>
      <c r="N521" s="9" t="n">
        <v>1</v>
      </c>
      <c r="O521" s="4" t="n">
        <v>0</v>
      </c>
      <c r="P521" s="5" t="n">
        <f aca="false">IF(COUNTIF([1]Base_Jugadores!J$2:J$500,B521)&gt;0,1,0)</f>
        <v>0</v>
      </c>
      <c r="Q521" s="10" t="b">
        <f aca="false">--(COUNTIFS(
   [1]Fichajes_Realizados!A$2:A$5000,A521,
   [1]Fichajes_Realizados!G$2:G$5000,$X$3
)&gt;0)</f>
        <v>0</v>
      </c>
      <c r="R521" s="5" t="n">
        <f aca="false">_xlfn.XLOOKUP(C521, [1]Estado_Equipos!A$2:A$500, [1]Estado_Equipos!J$2:J$500, "")</f>
        <v>84</v>
      </c>
      <c r="S521" s="5" t="n">
        <f aca="false">IF(H521&lt;=16,1.45,
IF(H521&gt;=41,0.3,
CHOOSE(ROUNDDOWN((H521-16)/2,0)+1,
1.45,1.38,1.3,1.23,1.17,1.15,1.12,1.05,0.95,0.8,0.6,0.4,0.3)))</f>
        <v>1.17</v>
      </c>
      <c r="T521" s="5" t="n">
        <f aca="false">CHOOSE(N521+1,1.2,1,0.85,0.7)</f>
        <v>1</v>
      </c>
      <c r="U521" s="5" t="n">
        <f aca="false">IF(F521="PO",0.6,
IF(F521="CT",0.75,
IF(F521="LI",0.8,
IF(F521="LD",0.8,
IF(F521="MCD",0.85,
IF(F521="MC",0.95,
IF(F521="MO",1.05,
IF(F521="EI",1.1,
IF(F521="ED",1.1,
IF(F521="SD",1.15,
IF(F521="DC",1.2,0)))))))))))</f>
        <v>1.1</v>
      </c>
    </row>
    <row r="522" customFormat="false" ht="16.4" hidden="false" customHeight="false" outlineLevel="0" collapsed="false">
      <c r="A522" s="1" t="n">
        <v>521</v>
      </c>
      <c r="B522" s="5" t="str">
        <f aca="false">[1]Base_Jugadores!B522</f>
        <v>Jurriën Timber</v>
      </c>
      <c r="C522" s="5" t="str">
        <f aca="false">IFERROR(
   _xlfn.XLOOKUP(VALUE(A522),[1]Fichajes_Realizados!A$2:A$50000,[1]Fichajes_Realizados!D$2:D$50000,,0,-1),
   _xlfn.XLOOKUP(VALUE(A522),[1]Base_Jugadores!A$2:A$50000,[1]Base_Jugadores!C$2:C$50000)
)</f>
        <v>Arsenal FC</v>
      </c>
      <c r="D522" s="5" t="str">
        <f aca="false">[1]Base_Jugadores!D522</f>
        <v>Países Bajos</v>
      </c>
      <c r="E522" s="3"/>
      <c r="F522" s="5" t="str">
        <f aca="false">[1]Base_Jugadores!E522</f>
        <v>LD</v>
      </c>
      <c r="G522" s="5" t="n">
        <f aca="false">[1]Base_Jugadores!F522</f>
        <v>83</v>
      </c>
      <c r="H522" s="5" t="n">
        <f aca="false">[1]Base_Jugadores!G522</f>
        <v>24</v>
      </c>
      <c r="I522" s="7" t="n">
        <f aca="false" t="array" ref="I522:I522">_xlfn.XLOOKUP(G522,{55;56;57;58;59;60;61;62;63;64;65;66;67;68;69;70;71;72;73;74;75;76;77;78;79;80;81;82;83;84;85;86;87;88;89;90;91;92;93;94;95;96;97;98;99},{100000;130000;160000;190000;220000;250000;300000;350000;400000;450000;500000;600000;700000;800000;900000;1000000;1500000;2000000;3000000;4000000;5000000;6500000;8000000;10000000;12500000;15000000;20000000;25000000;30000000;35000000;40000000;55000000;70000000;80000000;90000000;110000000;130000000;160000000;190000000;220000000;250000000;280000000;310000000;340000000;400000000})</f>
        <v>30000000</v>
      </c>
      <c r="J522" s="7" t="n">
        <f aca="false">I522*S522*T522*U522</f>
        <v>28080000</v>
      </c>
      <c r="K522" s="3"/>
      <c r="L522" s="3"/>
      <c r="M522" s="3"/>
      <c r="N522" s="9" t="n">
        <v>1</v>
      </c>
      <c r="O522" s="4" t="n">
        <v>0</v>
      </c>
      <c r="P522" s="5" t="n">
        <f aca="false">IF(COUNTIF([1]Base_Jugadores!J$2:J$500,B522)&gt;0,1,0)</f>
        <v>0</v>
      </c>
      <c r="Q522" s="10" t="b">
        <f aca="false">--(COUNTIFS(
   [1]Fichajes_Realizados!A$2:A$5000,A522,
   [1]Fichajes_Realizados!G$2:G$5000,$X$3
)&gt;0)</f>
        <v>0</v>
      </c>
      <c r="R522" s="5" t="n">
        <f aca="false">_xlfn.XLOOKUP(C522, [1]Estado_Equipos!A$2:A$500, [1]Estado_Equipos!J$2:J$500, "")</f>
        <v>84</v>
      </c>
      <c r="S522" s="5" t="n">
        <f aca="false">IF(H522&lt;=16,1.45,
IF(H522&gt;=41,0.3,
CHOOSE(ROUNDDOWN((H522-16)/2,0)+1,
1.45,1.38,1.3,1.23,1.17,1.15,1.12,1.05,0.95,0.8,0.6,0.4,0.3)))</f>
        <v>1.17</v>
      </c>
      <c r="T522" s="5" t="n">
        <f aca="false">CHOOSE(N522+1,1.2,1,0.85,0.7)</f>
        <v>1</v>
      </c>
      <c r="U522" s="5" t="n">
        <f aca="false">IF(F522="PO",0.6,
IF(F522="CT",0.75,
IF(F522="LI",0.8,
IF(F522="LD",0.8,
IF(F522="MCD",0.85,
IF(F522="MC",0.95,
IF(F522="MO",1.05,
IF(F522="EI",1.1,
IF(F522="ED",1.1,
IF(F522="SD",1.15,
IF(F522="DC",1.2,0)))))))))))</f>
        <v>0.8</v>
      </c>
    </row>
    <row r="523" customFormat="false" ht="16.4" hidden="false" customHeight="false" outlineLevel="0" collapsed="false">
      <c r="A523" s="1" t="n">
        <v>522</v>
      </c>
      <c r="B523" s="5" t="str">
        <f aca="false">[1]Base_Jugadores!B523</f>
        <v>Kai Havertz</v>
      </c>
      <c r="C523" s="5" t="str">
        <f aca="false">IFERROR(
   _xlfn.XLOOKUP(VALUE(A523),[1]Fichajes_Realizados!A$2:A$50000,[1]Fichajes_Realizados!D$2:D$50000,,0,-1),
   _xlfn.XLOOKUP(VALUE(A523),[1]Base_Jugadores!A$2:A$50000,[1]Base_Jugadores!C$2:C$50000)
)</f>
        <v>Arsenal FC</v>
      </c>
      <c r="D523" s="5" t="str">
        <f aca="false">[1]Base_Jugadores!D523</f>
        <v>Alemania</v>
      </c>
      <c r="E523" s="3"/>
      <c r="F523" s="5" t="str">
        <f aca="false">[1]Base_Jugadores!E523</f>
        <v>DC</v>
      </c>
      <c r="G523" s="5" t="n">
        <f aca="false">[1]Base_Jugadores!F523</f>
        <v>81</v>
      </c>
      <c r="H523" s="5" t="n">
        <f aca="false">[1]Base_Jugadores!G523</f>
        <v>26</v>
      </c>
      <c r="I523" s="7" t="n">
        <f aca="false" t="array" ref="I523:I523">_xlfn.XLOOKUP(G523,{55;56;57;58;59;60;61;62;63;64;65;66;67;68;69;70;71;72;73;74;75;76;77;78;79;80;81;82;83;84;85;86;87;88;89;90;91;92;93;94;95;96;97;98;99},{100000;130000;160000;190000;220000;250000;300000;350000;400000;450000;500000;600000;700000;800000;900000;1000000;1500000;2000000;3000000;4000000;5000000;6500000;8000000;10000000;12500000;15000000;20000000;25000000;30000000;35000000;40000000;55000000;70000000;80000000;90000000;110000000;130000000;160000000;190000000;220000000;250000000;280000000;310000000;340000000;400000000})</f>
        <v>20000000</v>
      </c>
      <c r="J523" s="7" t="n">
        <f aca="false">I523*S523*T523*U523</f>
        <v>27600000</v>
      </c>
      <c r="K523" s="3"/>
      <c r="L523" s="3"/>
      <c r="M523" s="3"/>
      <c r="N523" s="9" t="n">
        <v>1</v>
      </c>
      <c r="O523" s="4" t="n">
        <v>0</v>
      </c>
      <c r="P523" s="5" t="n">
        <f aca="false">IF(COUNTIF([1]Base_Jugadores!J$2:J$500,B523)&gt;0,1,0)</f>
        <v>0</v>
      </c>
      <c r="Q523" s="10" t="b">
        <f aca="false">--(COUNTIFS(
   [1]Fichajes_Realizados!A$2:A$5000,A523,
   [1]Fichajes_Realizados!G$2:G$5000,$X$3
)&gt;0)</f>
        <v>0</v>
      </c>
      <c r="R523" s="5" t="n">
        <f aca="false">_xlfn.XLOOKUP(C523, [1]Estado_Equipos!A$2:A$500, [1]Estado_Equipos!J$2:J$500, "")</f>
        <v>84</v>
      </c>
      <c r="S523" s="5" t="n">
        <f aca="false">IF(H523&lt;=16,1.45,
IF(H523&gt;=41,0.3,
CHOOSE(ROUNDDOWN((H523-16)/2,0)+1,
1.45,1.38,1.3,1.23,1.17,1.15,1.12,1.05,0.95,0.8,0.6,0.4,0.3)))</f>
        <v>1.15</v>
      </c>
      <c r="T523" s="5" t="n">
        <f aca="false">CHOOSE(N523+1,1.2,1,0.85,0.7)</f>
        <v>1</v>
      </c>
      <c r="U523" s="5" t="n">
        <f aca="false">IF(F523="PO",0.6,
IF(F523="CT",0.75,
IF(F523="LI",0.8,
IF(F523="LD",0.8,
IF(F523="MCD",0.85,
IF(F523="MC",0.95,
IF(F523="MO",1.05,
IF(F523="EI",1.1,
IF(F523="ED",1.1,
IF(F523="SD",1.15,
IF(F523="DC",1.2,0)))))))))))</f>
        <v>1.2</v>
      </c>
    </row>
    <row r="524" customFormat="false" ht="16.4" hidden="false" customHeight="false" outlineLevel="0" collapsed="false">
      <c r="A524" s="1" t="n">
        <v>523</v>
      </c>
      <c r="B524" s="5" t="str">
        <f aca="false">[1]Base_Jugadores!B524</f>
        <v>Kepa Arrizabalaga</v>
      </c>
      <c r="C524" s="5" t="str">
        <f aca="false">IFERROR(
   _xlfn.XLOOKUP(VALUE(A524),[1]Fichajes_Realizados!A$2:A$50000,[1]Fichajes_Realizados!D$2:D$50000,,0,-1),
   _xlfn.XLOOKUP(VALUE(A524),[1]Base_Jugadores!A$2:A$50000,[1]Base_Jugadores!C$2:C$50000)
)</f>
        <v>Arsenal FC</v>
      </c>
      <c r="D524" s="5" t="str">
        <f aca="false">[1]Base_Jugadores!D524</f>
        <v>España</v>
      </c>
      <c r="E524" s="3"/>
      <c r="F524" s="5" t="str">
        <f aca="false">[1]Base_Jugadores!E524</f>
        <v>PO</v>
      </c>
      <c r="G524" s="5" t="n">
        <f aca="false">[1]Base_Jugadores!F524</f>
        <v>79</v>
      </c>
      <c r="H524" s="5" t="n">
        <f aca="false">[1]Base_Jugadores!G524</f>
        <v>31</v>
      </c>
      <c r="I524" s="7" t="n">
        <f aca="false" t="array" ref="I524:I524">_xlfn.XLOOKUP(G524,{55;56;57;58;59;60;61;62;63;64;65;66;67;68;69;70;71;72;73;74;75;76;77;78;79;80;81;82;83;84;85;86;87;88;89;90;91;92;93;94;95;96;97;98;99},{100000;130000;160000;190000;220000;250000;300000;350000;400000;450000;500000;600000;700000;800000;900000;1000000;1500000;2000000;3000000;4000000;5000000;6500000;8000000;10000000;12500000;15000000;20000000;25000000;30000000;35000000;40000000;55000000;70000000;80000000;90000000;110000000;130000000;160000000;190000000;220000000;250000000;280000000;310000000;340000000;400000000})</f>
        <v>12500000</v>
      </c>
      <c r="J524" s="7" t="n">
        <f aca="false">I524*S524*T524*U524</f>
        <v>6693750</v>
      </c>
      <c r="K524" s="3"/>
      <c r="L524" s="3"/>
      <c r="M524" s="3"/>
      <c r="N524" s="9" t="n">
        <v>2</v>
      </c>
      <c r="O524" s="4" t="n">
        <v>0</v>
      </c>
      <c r="P524" s="5" t="n">
        <f aca="false">IF(COUNTIF([1]Base_Jugadores!J$2:J$500,B524)&gt;0,1,0)</f>
        <v>1</v>
      </c>
      <c r="Q524" s="10" t="b">
        <f aca="false">--(COUNTIFS(
   [1]Fichajes_Realizados!A$2:A$5000,A524,
   [1]Fichajes_Realizados!G$2:G$5000,$X$3
)&gt;0)</f>
        <v>0</v>
      </c>
      <c r="R524" s="5" t="n">
        <f aca="false">_xlfn.XLOOKUP(C524, [1]Estado_Equipos!A$2:A$500, [1]Estado_Equipos!J$2:J$500, "")</f>
        <v>84</v>
      </c>
      <c r="S524" s="5" t="n">
        <f aca="false">IF(H524&lt;=16,1.45,
IF(H524&gt;=41,0.3,
CHOOSE(ROUNDDOWN((H524-16)/2,0)+1,
1.45,1.38,1.3,1.23,1.17,1.15,1.12,1.05,0.95,0.8,0.6,0.4,0.3)))</f>
        <v>1.05</v>
      </c>
      <c r="T524" s="5" t="n">
        <f aca="false">CHOOSE(N524+1,1.2,1,0.85,0.7)</f>
        <v>0.85</v>
      </c>
      <c r="U524" s="5" t="n">
        <f aca="false">IF(F524="PO",0.6,
IF(F524="CT",0.75,
IF(F524="LI",0.8,
IF(F524="LD",0.8,
IF(F524="MCD",0.85,
IF(F524="MC",0.95,
IF(F524="MO",1.05,
IF(F524="EI",1.1,
IF(F524="ED",1.1,
IF(F524="SD",1.15,
IF(F524="DC",1.2,0)))))))))))</f>
        <v>0.6</v>
      </c>
    </row>
    <row r="525" customFormat="false" ht="16.4" hidden="false" customHeight="false" outlineLevel="0" collapsed="false">
      <c r="A525" s="1" t="n">
        <v>524</v>
      </c>
      <c r="B525" s="5" t="str">
        <f aca="false">[1]Base_Jugadores!B525</f>
        <v>Leandro Trossard</v>
      </c>
      <c r="C525" s="5" t="str">
        <f aca="false">IFERROR(
   _xlfn.XLOOKUP(VALUE(A525),[1]Fichajes_Realizados!A$2:A$50000,[1]Fichajes_Realizados!D$2:D$50000,,0,-1),
   _xlfn.XLOOKUP(VALUE(A525),[1]Base_Jugadores!A$2:A$50000,[1]Base_Jugadores!C$2:C$50000)
)</f>
        <v>Arsenal FC</v>
      </c>
      <c r="D525" s="5" t="str">
        <f aca="false">[1]Base_Jugadores!D525</f>
        <v>Bélgica</v>
      </c>
      <c r="E525" s="3"/>
      <c r="F525" s="5" t="str">
        <f aca="false">[1]Base_Jugadores!E525</f>
        <v>EI</v>
      </c>
      <c r="G525" s="5" t="n">
        <f aca="false">[1]Base_Jugadores!F525</f>
        <v>83</v>
      </c>
      <c r="H525" s="5" t="n">
        <f aca="false">[1]Base_Jugadores!G525</f>
        <v>31</v>
      </c>
      <c r="I525" s="7" t="n">
        <f aca="false" t="array" ref="I525:I525">_xlfn.XLOOKUP(G525,{55;56;57;58;59;60;61;62;63;64;65;66;67;68;69;70;71;72;73;74;75;76;77;78;79;80;81;82;83;84;85;86;87;88;89;90;91;92;93;94;95;96;97;98;99},{100000;130000;160000;190000;220000;250000;300000;350000;400000;450000;500000;600000;700000;800000;900000;1000000;1500000;2000000;3000000;4000000;5000000;6500000;8000000;10000000;12500000;15000000;20000000;25000000;30000000;35000000;40000000;55000000;70000000;80000000;90000000;110000000;130000000;160000000;190000000;220000000;250000000;280000000;310000000;340000000;400000000})</f>
        <v>30000000</v>
      </c>
      <c r="J525" s="7" t="n">
        <f aca="false">I525*S525*T525*U525</f>
        <v>41580000</v>
      </c>
      <c r="K525" s="3"/>
      <c r="L525" s="3"/>
      <c r="M525" s="3"/>
      <c r="N525" s="9" t="n">
        <v>0</v>
      </c>
      <c r="O525" s="4" t="n">
        <v>0</v>
      </c>
      <c r="P525" s="5" t="n">
        <f aca="false">IF(COUNTIF([1]Base_Jugadores!J$2:J$500,B525)&gt;0,1,0)</f>
        <v>0</v>
      </c>
      <c r="Q525" s="10" t="b">
        <f aca="false">--(COUNTIFS(
   [1]Fichajes_Realizados!A$2:A$5000,A525,
   [1]Fichajes_Realizados!G$2:G$5000,$X$3
)&gt;0)</f>
        <v>0</v>
      </c>
      <c r="R525" s="5" t="n">
        <f aca="false">_xlfn.XLOOKUP(C525, [1]Estado_Equipos!A$2:A$500, [1]Estado_Equipos!J$2:J$500, "")</f>
        <v>84</v>
      </c>
      <c r="S525" s="5" t="n">
        <f aca="false">IF(H525&lt;=16,1.45,
IF(H525&gt;=41,0.3,
CHOOSE(ROUNDDOWN((H525-16)/2,0)+1,
1.45,1.38,1.3,1.23,1.17,1.15,1.12,1.05,0.95,0.8,0.6,0.4,0.3)))</f>
        <v>1.05</v>
      </c>
      <c r="T525" s="5" t="n">
        <f aca="false">CHOOSE(N525+1,1.2,1,0.85,0.7)</f>
        <v>1.2</v>
      </c>
      <c r="U525" s="5" t="n">
        <f aca="false">IF(F525="PO",0.6,
IF(F525="CT",0.75,
IF(F525="LI",0.8,
IF(F525="LD",0.8,
IF(F525="MCD",0.85,
IF(F525="MC",0.95,
IF(F525="MO",1.05,
IF(F525="EI",1.1,
IF(F525="ED",1.1,
IF(F525="SD",1.15,
IF(F525="DC",1.2,0)))))))))))</f>
        <v>1.1</v>
      </c>
    </row>
    <row r="526" customFormat="false" ht="16.4" hidden="false" customHeight="false" outlineLevel="0" collapsed="false">
      <c r="A526" s="1" t="n">
        <v>525</v>
      </c>
      <c r="B526" s="5" t="str">
        <f aca="false">[1]Base_Jugadores!B526</f>
        <v>Maldini Kacurri</v>
      </c>
      <c r="C526" s="5" t="str">
        <f aca="false">IFERROR(
   _xlfn.XLOOKUP(VALUE(A526),[1]Fichajes_Realizados!A$2:A$50000,[1]Fichajes_Realizados!D$2:D$50000,,0,-1),
   _xlfn.XLOOKUP(VALUE(A526),[1]Base_Jugadores!A$2:A$50000,[1]Base_Jugadores!C$2:C$50000)
)</f>
        <v>Arsenal FC</v>
      </c>
      <c r="D526" s="5" t="str">
        <f aca="false">[1]Base_Jugadores!D526</f>
        <v>Albania</v>
      </c>
      <c r="E526" s="3"/>
      <c r="F526" s="5" t="str">
        <f aca="false">[1]Base_Jugadores!E526</f>
        <v>CT</v>
      </c>
      <c r="G526" s="5" t="n">
        <f aca="false">[1]Base_Jugadores!F526</f>
        <v>60</v>
      </c>
      <c r="H526" s="5" t="n">
        <f aca="false">[1]Base_Jugadores!G526</f>
        <v>20</v>
      </c>
      <c r="I526" s="7" t="n">
        <f aca="false" t="array" ref="I526:I526">_xlfn.XLOOKUP(G526,{55;56;57;58;59;60;61;62;63;64;65;66;67;68;69;70;71;72;73;74;75;76;77;78;79;80;81;82;83;84;85;86;87;88;89;90;91;92;93;94;95;96;97;98;99},{100000;130000;160000;190000;220000;250000;300000;350000;400000;450000;500000;600000;700000;800000;900000;1000000;1500000;2000000;3000000;4000000;5000000;6500000;8000000;10000000;12500000;15000000;20000000;25000000;30000000;35000000;40000000;55000000;70000000;80000000;90000000;110000000;130000000;160000000;190000000;220000000;250000000;280000000;310000000;340000000;400000000})</f>
        <v>250000</v>
      </c>
      <c r="J526" s="7" t="n">
        <f aca="false">I526*S526*T526*U526</f>
        <v>207187.5</v>
      </c>
      <c r="K526" s="3"/>
      <c r="L526" s="3"/>
      <c r="M526" s="3"/>
      <c r="N526" s="9" t="n">
        <v>2</v>
      </c>
      <c r="O526" s="4" t="n">
        <v>1</v>
      </c>
      <c r="P526" s="5" t="n">
        <f aca="false">IF(COUNTIF([1]Base_Jugadores!J$2:J$500,B526)&gt;0,1,0)</f>
        <v>0</v>
      </c>
      <c r="Q526" s="10" t="b">
        <f aca="false">--(COUNTIFS(
   [1]Fichajes_Realizados!A$2:A$5000,A526,
   [1]Fichajes_Realizados!G$2:G$5000,$X$3
)&gt;0)</f>
        <v>0</v>
      </c>
      <c r="R526" s="5" t="n">
        <f aca="false">_xlfn.XLOOKUP(C526, [1]Estado_Equipos!A$2:A$500, [1]Estado_Equipos!J$2:J$500, "")</f>
        <v>84</v>
      </c>
      <c r="S526" s="5" t="n">
        <f aca="false">IF(H526&lt;=16,1.45,
IF(H526&gt;=41,0.3,
CHOOSE(ROUNDDOWN((H526-16)/2,0)+1,
1.45,1.38,1.3,1.23,1.17,1.15,1.12,1.05,0.95,0.8,0.6,0.4,0.3)))</f>
        <v>1.3</v>
      </c>
      <c r="T526" s="5" t="n">
        <f aca="false">CHOOSE(N526+1,1.2,1,0.85,0.7)</f>
        <v>0.85</v>
      </c>
      <c r="U526" s="5" t="n">
        <f aca="false">IF(F526="PO",0.6,
IF(F526="CT",0.75,
IF(F526="LI",0.8,
IF(F526="LD",0.8,
IF(F526="MCD",0.85,
IF(F526="MC",0.95,
IF(F526="MO",1.05,
IF(F526="EI",1.1,
IF(F526="ED",1.1,
IF(F526="SD",1.15,
IF(F526="DC",1.2,0)))))))))))</f>
        <v>0.75</v>
      </c>
    </row>
    <row r="527" customFormat="false" ht="16.4" hidden="false" customHeight="false" outlineLevel="0" collapsed="false">
      <c r="A527" s="1" t="n">
        <v>526</v>
      </c>
      <c r="B527" s="5" t="str">
        <f aca="false">[1]Base_Jugadores!B527</f>
        <v>Martin Ødegaard</v>
      </c>
      <c r="C527" s="5" t="str">
        <f aca="false">IFERROR(
   _xlfn.XLOOKUP(VALUE(A527),[1]Fichajes_Realizados!A$2:A$50000,[1]Fichajes_Realizados!D$2:D$50000,,0,-1),
   _xlfn.XLOOKUP(VALUE(A527),[1]Base_Jugadores!A$2:A$50000,[1]Base_Jugadores!C$2:C$50000)
)</f>
        <v>Arsenal FC</v>
      </c>
      <c r="D527" s="5" t="str">
        <f aca="false">[1]Base_Jugadores!D527</f>
        <v>Noruega</v>
      </c>
      <c r="E527" s="3"/>
      <c r="F527" s="5" t="str">
        <f aca="false">[1]Base_Jugadores!E527</f>
        <v>MO</v>
      </c>
      <c r="G527" s="5" t="n">
        <f aca="false">[1]Base_Jugadores!F527</f>
        <v>88</v>
      </c>
      <c r="H527" s="5" t="n">
        <f aca="false">[1]Base_Jugadores!G527</f>
        <v>27</v>
      </c>
      <c r="I527" s="7" t="n">
        <f aca="false" t="array" ref="I527:I527">_xlfn.XLOOKUP(G527,{55;56;57;58;59;60;61;62;63;64;65;66;67;68;69;70;71;72;73;74;75;76;77;78;79;80;81;82;83;84;85;86;87;88;89;90;91;92;93;94;95;96;97;98;99},{100000;130000;160000;190000;220000;250000;300000;350000;400000;450000;500000;600000;700000;800000;900000;1000000;1500000;2000000;3000000;4000000;5000000;6500000;8000000;10000000;12500000;15000000;20000000;25000000;30000000;35000000;40000000;55000000;70000000;80000000;90000000;110000000;130000000;160000000;190000000;220000000;250000000;280000000;310000000;340000000;400000000})</f>
        <v>80000000</v>
      </c>
      <c r="J527" s="7" t="n">
        <f aca="false">I527*S527*T527*U527</f>
        <v>115920000</v>
      </c>
      <c r="K527" s="3"/>
      <c r="L527" s="3"/>
      <c r="M527" s="3"/>
      <c r="N527" s="9" t="n">
        <v>0</v>
      </c>
      <c r="O527" s="4" t="n">
        <v>0</v>
      </c>
      <c r="P527" s="5" t="n">
        <f aca="false">IF(COUNTIF([1]Base_Jugadores!J$2:J$500,B527)&gt;0,1,0)</f>
        <v>0</v>
      </c>
      <c r="Q527" s="10" t="b">
        <f aca="false">--(COUNTIFS(
   [1]Fichajes_Realizados!A$2:A$5000,A527,
   [1]Fichajes_Realizados!G$2:G$5000,$X$3
)&gt;0)</f>
        <v>0</v>
      </c>
      <c r="R527" s="5" t="n">
        <f aca="false">_xlfn.XLOOKUP(C527, [1]Estado_Equipos!A$2:A$500, [1]Estado_Equipos!J$2:J$500, "")</f>
        <v>84</v>
      </c>
      <c r="S527" s="5" t="n">
        <f aca="false">IF(H527&lt;=16,1.45,
IF(H527&gt;=41,0.3,
CHOOSE(ROUNDDOWN((H527-16)/2,0)+1,
1.45,1.38,1.3,1.23,1.17,1.15,1.12,1.05,0.95,0.8,0.6,0.4,0.3)))</f>
        <v>1.15</v>
      </c>
      <c r="T527" s="5" t="n">
        <f aca="false">CHOOSE(N527+1,1.2,1,0.85,0.7)</f>
        <v>1.2</v>
      </c>
      <c r="U527" s="5" t="n">
        <f aca="false">IF(F527="PO",0.6,
IF(F527="CT",0.75,
IF(F527="LI",0.8,
IF(F527="LD",0.8,
IF(F527="MCD",0.85,
IF(F527="MC",0.95,
IF(F527="MO",1.05,
IF(F527="EI",1.1,
IF(F527="ED",1.1,
IF(F527="SD",1.15,
IF(F527="DC",1.2,0)))))))))))</f>
        <v>1.05</v>
      </c>
    </row>
    <row r="528" customFormat="false" ht="16.4" hidden="false" customHeight="false" outlineLevel="0" collapsed="false">
      <c r="A528" s="1" t="n">
        <v>527</v>
      </c>
      <c r="B528" s="5" t="str">
        <f aca="false">[1]Base_Jugadores!B528</f>
        <v>Martín Zubimendi</v>
      </c>
      <c r="C528" s="5" t="str">
        <f aca="false">IFERROR(
   _xlfn.XLOOKUP(VALUE(A528),[1]Fichajes_Realizados!A$2:A$50000,[1]Fichajes_Realizados!D$2:D$50000,,0,-1),
   _xlfn.XLOOKUP(VALUE(A528),[1]Base_Jugadores!A$2:A$50000,[1]Base_Jugadores!C$2:C$50000)
)</f>
        <v>Arsenal FC</v>
      </c>
      <c r="D528" s="5" t="str">
        <f aca="false">[1]Base_Jugadores!D528</f>
        <v>España</v>
      </c>
      <c r="E528" s="3"/>
      <c r="F528" s="5" t="str">
        <f aca="false">[1]Base_Jugadores!E528</f>
        <v>MCD</v>
      </c>
      <c r="G528" s="5" t="n">
        <f aca="false">[1]Base_Jugadores!F528</f>
        <v>83</v>
      </c>
      <c r="H528" s="5" t="n">
        <f aca="false">[1]Base_Jugadores!G528</f>
        <v>26</v>
      </c>
      <c r="I528" s="7" t="n">
        <f aca="false" t="array" ref="I528:I528">_xlfn.XLOOKUP(G528,{55;56;57;58;59;60;61;62;63;64;65;66;67;68;69;70;71;72;73;74;75;76;77;78;79;80;81;82;83;84;85;86;87;88;89;90;91;92;93;94;95;96;97;98;99},{100000;130000;160000;190000;220000;250000;300000;350000;400000;450000;500000;600000;700000;800000;900000;1000000;1500000;2000000;3000000;4000000;5000000;6500000;8000000;10000000;12500000;15000000;20000000;25000000;30000000;35000000;40000000;55000000;70000000;80000000;90000000;110000000;130000000;160000000;190000000;220000000;250000000;280000000;310000000;340000000;400000000})</f>
        <v>30000000</v>
      </c>
      <c r="J528" s="7" t="n">
        <f aca="false">I528*S528*T528*U528</f>
        <v>29325000</v>
      </c>
      <c r="K528" s="3"/>
      <c r="L528" s="3"/>
      <c r="M528" s="3"/>
      <c r="N528" s="9" t="n">
        <v>1</v>
      </c>
      <c r="O528" s="4" t="n">
        <v>0</v>
      </c>
      <c r="P528" s="5" t="n">
        <f aca="false">IF(COUNTIF([1]Base_Jugadores!J$2:J$500,B528)&gt;0,1,0)</f>
        <v>1</v>
      </c>
      <c r="Q528" s="10" t="b">
        <f aca="false">--(COUNTIFS(
   [1]Fichajes_Realizados!A$2:A$5000,A528,
   [1]Fichajes_Realizados!G$2:G$5000,$X$3
)&gt;0)</f>
        <v>0</v>
      </c>
      <c r="R528" s="5" t="n">
        <f aca="false">_xlfn.XLOOKUP(C528, [1]Estado_Equipos!A$2:A$500, [1]Estado_Equipos!J$2:J$500, "")</f>
        <v>84</v>
      </c>
      <c r="S528" s="5" t="n">
        <f aca="false">IF(H528&lt;=16,1.45,
IF(H528&gt;=41,0.3,
CHOOSE(ROUNDDOWN((H528-16)/2,0)+1,
1.45,1.38,1.3,1.23,1.17,1.15,1.12,1.05,0.95,0.8,0.6,0.4,0.3)))</f>
        <v>1.15</v>
      </c>
      <c r="T528" s="5" t="n">
        <f aca="false">CHOOSE(N528+1,1.2,1,0.85,0.7)</f>
        <v>1</v>
      </c>
      <c r="U528" s="5" t="n">
        <f aca="false">IF(F528="PO",0.6,
IF(F528="CT",0.75,
IF(F528="LI",0.8,
IF(F528="LD",0.8,
IF(F528="MCD",0.85,
IF(F528="MC",0.95,
IF(F528="MO",1.05,
IF(F528="EI",1.1,
IF(F528="ED",1.1,
IF(F528="SD",1.15,
IF(F528="DC",1.2,0)))))))))))</f>
        <v>0.85</v>
      </c>
    </row>
    <row r="529" customFormat="false" ht="16.4" hidden="false" customHeight="false" outlineLevel="0" collapsed="false">
      <c r="A529" s="1" t="n">
        <v>528</v>
      </c>
      <c r="B529" s="5" t="str">
        <f aca="false">[1]Base_Jugadores!B529</f>
        <v>Mikel Merino</v>
      </c>
      <c r="C529" s="5" t="str">
        <f aca="false">IFERROR(
   _xlfn.XLOOKUP(VALUE(A529),[1]Fichajes_Realizados!A$2:A$50000,[1]Fichajes_Realizados!D$2:D$50000,,0,-1),
   _xlfn.XLOOKUP(VALUE(A529),[1]Base_Jugadores!A$2:A$50000,[1]Base_Jugadores!C$2:C$50000)
)</f>
        <v>Arsenal FC</v>
      </c>
      <c r="D529" s="5" t="str">
        <f aca="false">[1]Base_Jugadores!D529</f>
        <v>España</v>
      </c>
      <c r="E529" s="3"/>
      <c r="F529" s="5" t="str">
        <f aca="false">[1]Base_Jugadores!E529</f>
        <v>MC</v>
      </c>
      <c r="G529" s="5" t="n">
        <f aca="false">[1]Base_Jugadores!F529</f>
        <v>85</v>
      </c>
      <c r="H529" s="5" t="n">
        <f aca="false">[1]Base_Jugadores!G529</f>
        <v>29</v>
      </c>
      <c r="I529" s="7" t="n">
        <f aca="false" t="array" ref="I529:I529">_xlfn.XLOOKUP(G529,{55;56;57;58;59;60;61;62;63;64;65;66;67;68;69;70;71;72;73;74;75;76;77;78;79;80;81;82;83;84;85;86;87;88;89;90;91;92;93;94;95;96;97;98;99},{100000;130000;160000;190000;220000;250000;300000;350000;400000;450000;500000;600000;700000;800000;900000;1000000;1500000;2000000;3000000;4000000;5000000;6500000;8000000;10000000;12500000;15000000;20000000;25000000;30000000;35000000;40000000;55000000;70000000;80000000;90000000;110000000;130000000;160000000;190000000;220000000;250000000;280000000;310000000;340000000;400000000})</f>
        <v>40000000</v>
      </c>
      <c r="J529" s="7" t="n">
        <f aca="false">I529*S529*T529*U529</f>
        <v>51072000</v>
      </c>
      <c r="K529" s="3"/>
      <c r="L529" s="3"/>
      <c r="M529" s="3"/>
      <c r="N529" s="9" t="n">
        <v>0</v>
      </c>
      <c r="O529" s="4" t="n">
        <v>0</v>
      </c>
      <c r="P529" s="5" t="n">
        <f aca="false">IF(COUNTIF([1]Base_Jugadores!J$2:J$500,B529)&gt;0,1,0)</f>
        <v>1</v>
      </c>
      <c r="Q529" s="10" t="b">
        <f aca="false">--(COUNTIFS(
   [1]Fichajes_Realizados!A$2:A$5000,A529,
   [1]Fichajes_Realizados!G$2:G$5000,$X$3
)&gt;0)</f>
        <v>0</v>
      </c>
      <c r="R529" s="5" t="n">
        <f aca="false">_xlfn.XLOOKUP(C529, [1]Estado_Equipos!A$2:A$500, [1]Estado_Equipos!J$2:J$500, "")</f>
        <v>84</v>
      </c>
      <c r="S529" s="5" t="n">
        <f aca="false">IF(H529&lt;=16,1.45,
IF(H529&gt;=41,0.3,
CHOOSE(ROUNDDOWN((H529-16)/2,0)+1,
1.45,1.38,1.3,1.23,1.17,1.15,1.12,1.05,0.95,0.8,0.6,0.4,0.3)))</f>
        <v>1.12</v>
      </c>
      <c r="T529" s="5" t="n">
        <f aca="false">CHOOSE(N529+1,1.2,1,0.85,0.7)</f>
        <v>1.2</v>
      </c>
      <c r="U529" s="5" t="n">
        <f aca="false">IF(F529="PO",0.6,
IF(F529="CT",0.75,
IF(F529="LI",0.8,
IF(F529="LD",0.8,
IF(F529="MCD",0.85,
IF(F529="MC",0.95,
IF(F529="MO",1.05,
IF(F529="EI",1.1,
IF(F529="ED",1.1,
IF(F529="SD",1.15,
IF(F529="DC",1.2,0)))))))))))</f>
        <v>0.95</v>
      </c>
    </row>
    <row r="530" customFormat="false" ht="16.4" hidden="false" customHeight="false" outlineLevel="0" collapsed="false">
      <c r="A530" s="1" t="n">
        <v>529</v>
      </c>
      <c r="B530" s="5" t="str">
        <f aca="false">[1]Base_Jugadores!B530</f>
        <v>Myles Lewis-Skelly</v>
      </c>
      <c r="C530" s="5" t="str">
        <f aca="false">IFERROR(
   _xlfn.XLOOKUP(VALUE(A530),[1]Fichajes_Realizados!A$2:A$50000,[1]Fichajes_Realizados!D$2:D$50000,,0,-1),
   _xlfn.XLOOKUP(VALUE(A530),[1]Base_Jugadores!A$2:A$50000,[1]Base_Jugadores!C$2:C$50000)
)</f>
        <v>Arsenal FC</v>
      </c>
      <c r="D530" s="5" t="str">
        <f aca="false">[1]Base_Jugadores!D530</f>
        <v>Inglaterra</v>
      </c>
      <c r="E530" s="3"/>
      <c r="F530" s="5" t="str">
        <f aca="false">[1]Base_Jugadores!E530</f>
        <v>LI</v>
      </c>
      <c r="G530" s="5" t="n">
        <f aca="false">[1]Base_Jugadores!F530</f>
        <v>72</v>
      </c>
      <c r="H530" s="5" t="n">
        <f aca="false">[1]Base_Jugadores!G530</f>
        <v>19</v>
      </c>
      <c r="I530" s="7" t="n">
        <f aca="false" t="array" ref="I530:I530">_xlfn.XLOOKUP(G530,{55;56;57;58;59;60;61;62;63;64;65;66;67;68;69;70;71;72;73;74;75;76;77;78;79;80;81;82;83;84;85;86;87;88;89;90;91;92;93;94;95;96;97;98;99},{100000;130000;160000;190000;220000;250000;300000;350000;400000;450000;500000;600000;700000;800000;900000;1000000;1500000;2000000;3000000;4000000;5000000;6500000;8000000;10000000;12500000;15000000;20000000;25000000;30000000;35000000;40000000;55000000;70000000;80000000;90000000;110000000;130000000;160000000;190000000;220000000;250000000;280000000;310000000;340000000;400000000})</f>
        <v>2000000</v>
      </c>
      <c r="J530" s="7" t="n">
        <f aca="false">I530*S530*T530*U530</f>
        <v>2649600</v>
      </c>
      <c r="K530" s="3"/>
      <c r="L530" s="3"/>
      <c r="M530" s="3"/>
      <c r="N530" s="9" t="n">
        <v>0</v>
      </c>
      <c r="O530" s="4" t="n">
        <v>0</v>
      </c>
      <c r="P530" s="5" t="n">
        <f aca="false">IF(COUNTIF([1]Base_Jugadores!J$2:J$500,B530)&gt;0,1,0)</f>
        <v>0</v>
      </c>
      <c r="Q530" s="10" t="b">
        <f aca="false">--(COUNTIFS(
   [1]Fichajes_Realizados!A$2:A$5000,A530,
   [1]Fichajes_Realizados!G$2:G$5000,$X$3
)&gt;0)</f>
        <v>0</v>
      </c>
      <c r="R530" s="5" t="n">
        <f aca="false">_xlfn.XLOOKUP(C530, [1]Estado_Equipos!A$2:A$500, [1]Estado_Equipos!J$2:J$500, "")</f>
        <v>84</v>
      </c>
      <c r="S530" s="5" t="n">
        <f aca="false">IF(H530&lt;=16,1.45,
IF(H530&gt;=41,0.3,
CHOOSE(ROUNDDOWN((H530-16)/2,0)+1,
1.45,1.38,1.3,1.23,1.17,1.15,1.12,1.05,0.95,0.8,0.6,0.4,0.3)))</f>
        <v>1.38</v>
      </c>
      <c r="T530" s="5" t="n">
        <f aca="false">CHOOSE(N530+1,1.2,1,0.85,0.7)</f>
        <v>1.2</v>
      </c>
      <c r="U530" s="5" t="n">
        <f aca="false">IF(F530="PO",0.6,
IF(F530="CT",0.75,
IF(F530="LI",0.8,
IF(F530="LD",0.8,
IF(F530="MCD",0.85,
IF(F530="MC",0.95,
IF(F530="MO",1.05,
IF(F530="EI",1.1,
IF(F530="ED",1.1,
IF(F530="SD",1.15,
IF(F530="DC",1.2,0)))))))))))</f>
        <v>0.8</v>
      </c>
    </row>
    <row r="531" customFormat="false" ht="16.4" hidden="false" customHeight="false" outlineLevel="0" collapsed="false">
      <c r="A531" s="1" t="n">
        <v>530</v>
      </c>
      <c r="B531" s="5" t="str">
        <f aca="false">[1]Base_Jugadores!B531</f>
        <v>Noni Madueke</v>
      </c>
      <c r="C531" s="5" t="str">
        <f aca="false">IFERROR(
   _xlfn.XLOOKUP(VALUE(A531),[1]Fichajes_Realizados!A$2:A$50000,[1]Fichajes_Realizados!D$2:D$50000,,0,-1),
   _xlfn.XLOOKUP(VALUE(A531),[1]Base_Jugadores!A$2:A$50000,[1]Base_Jugadores!C$2:C$50000)
)</f>
        <v>Arsenal FC</v>
      </c>
      <c r="D531" s="5" t="str">
        <f aca="false">[1]Base_Jugadores!D531</f>
        <v>Inglaterra</v>
      </c>
      <c r="E531" s="3"/>
      <c r="F531" s="5" t="str">
        <f aca="false">[1]Base_Jugadores!E531</f>
        <v>ED</v>
      </c>
      <c r="G531" s="5" t="n">
        <f aca="false">[1]Base_Jugadores!F531</f>
        <v>79</v>
      </c>
      <c r="H531" s="5" t="n">
        <f aca="false">[1]Base_Jugadores!G531</f>
        <v>23</v>
      </c>
      <c r="I531" s="7" t="n">
        <f aca="false" t="array" ref="I531:I531">_xlfn.XLOOKUP(G531,{55;56;57;58;59;60;61;62;63;64;65;66;67;68;69;70;71;72;73;74;75;76;77;78;79;80;81;82;83;84;85;86;87;88;89;90;91;92;93;94;95;96;97;98;99},{100000;130000;160000;190000;220000;250000;300000;350000;400000;450000;500000;600000;700000;800000;900000;1000000;1500000;2000000;3000000;4000000;5000000;6500000;8000000;10000000;12500000;15000000;20000000;25000000;30000000;35000000;40000000;55000000;70000000;80000000;90000000;110000000;130000000;160000000;190000000;220000000;250000000;280000000;310000000;340000000;400000000})</f>
        <v>12500000</v>
      </c>
      <c r="J531" s="7" t="n">
        <f aca="false">I531*S531*T531*U531</f>
        <v>14375625</v>
      </c>
      <c r="K531" s="3"/>
      <c r="L531" s="3"/>
      <c r="M531" s="3"/>
      <c r="N531" s="9" t="n">
        <v>2</v>
      </c>
      <c r="O531" s="4" t="n">
        <v>0</v>
      </c>
      <c r="P531" s="5" t="n">
        <f aca="false">IF(COUNTIF([1]Base_Jugadores!J$2:J$500,B531)&gt;0,1,0)</f>
        <v>0</v>
      </c>
      <c r="Q531" s="10" t="b">
        <f aca="false">--(COUNTIFS(
   [1]Fichajes_Realizados!A$2:A$5000,A531,
   [1]Fichajes_Realizados!G$2:G$5000,$X$3
)&gt;0)</f>
        <v>0</v>
      </c>
      <c r="R531" s="5" t="n">
        <f aca="false">_xlfn.XLOOKUP(C531, [1]Estado_Equipos!A$2:A$500, [1]Estado_Equipos!J$2:J$500, "")</f>
        <v>84</v>
      </c>
      <c r="S531" s="5" t="n">
        <f aca="false">IF(H531&lt;=16,1.45,
IF(H531&gt;=41,0.3,
CHOOSE(ROUNDDOWN((H531-16)/2,0)+1,
1.45,1.38,1.3,1.23,1.17,1.15,1.12,1.05,0.95,0.8,0.6,0.4,0.3)))</f>
        <v>1.23</v>
      </c>
      <c r="T531" s="5" t="n">
        <f aca="false">CHOOSE(N531+1,1.2,1,0.85,0.7)</f>
        <v>0.85</v>
      </c>
      <c r="U531" s="5" t="n">
        <f aca="false">IF(F531="PO",0.6,
IF(F531="CT",0.75,
IF(F531="LI",0.8,
IF(F531="LD",0.8,
IF(F531="MCD",0.85,
IF(F531="MC",0.95,
IF(F531="MO",1.05,
IF(F531="EI",1.1,
IF(F531="ED",1.1,
IF(F531="SD",1.15,
IF(F531="DC",1.2,0)))))))))))</f>
        <v>1.1</v>
      </c>
    </row>
    <row r="532" customFormat="false" ht="16.4" hidden="false" customHeight="false" outlineLevel="0" collapsed="false">
      <c r="A532" s="1" t="n">
        <v>531</v>
      </c>
      <c r="B532" s="5" t="str">
        <f aca="false">[1]Base_Jugadores!B532</f>
        <v>Piero Hincapié</v>
      </c>
      <c r="C532" s="5" t="str">
        <f aca="false">IFERROR(
   _xlfn.XLOOKUP(VALUE(A532),[1]Fichajes_Realizados!A$2:A$50000,[1]Fichajes_Realizados!D$2:D$50000,,0,-1),
   _xlfn.XLOOKUP(VALUE(A532),[1]Base_Jugadores!A$2:A$50000,[1]Base_Jugadores!C$2:C$50000)
)</f>
        <v>Arsenal FC</v>
      </c>
      <c r="D532" s="5" t="str">
        <f aca="false">[1]Base_Jugadores!D532</f>
        <v>Ecuador</v>
      </c>
      <c r="E532" s="3"/>
      <c r="F532" s="5" t="str">
        <f aca="false">[1]Base_Jugadores!E532</f>
        <v>CT</v>
      </c>
      <c r="G532" s="5" t="n">
        <f aca="false">[1]Base_Jugadores!F532</f>
        <v>81</v>
      </c>
      <c r="H532" s="5" t="n">
        <f aca="false">[1]Base_Jugadores!G532</f>
        <v>23</v>
      </c>
      <c r="I532" s="7" t="n">
        <f aca="false" t="array" ref="I532:I532">_xlfn.XLOOKUP(G532,{55;56;57;58;59;60;61;62;63;64;65;66;67;68;69;70;71;72;73;74;75;76;77;78;79;80;81;82;83;84;85;86;87;88;89;90;91;92;93;94;95;96;97;98;99},{100000;130000;160000;190000;220000;250000;300000;350000;400000;450000;500000;600000;700000;800000;900000;1000000;1500000;2000000;3000000;4000000;5000000;6500000;8000000;10000000;12500000;15000000;20000000;25000000;30000000;35000000;40000000;55000000;70000000;80000000;90000000;110000000;130000000;160000000;190000000;220000000;250000000;280000000;310000000;340000000;400000000})</f>
        <v>20000000</v>
      </c>
      <c r="J532" s="7" t="n">
        <f aca="false">I532*S532*T532*U532</f>
        <v>15682500</v>
      </c>
      <c r="K532" s="3"/>
      <c r="L532" s="3"/>
      <c r="M532" s="3"/>
      <c r="N532" s="9" t="n">
        <v>2</v>
      </c>
      <c r="O532" s="4" t="n">
        <v>0</v>
      </c>
      <c r="P532" s="5" t="n">
        <f aca="false">IF(COUNTIF([1]Base_Jugadores!J$2:J$500,B532)&gt;0,1,0)</f>
        <v>0</v>
      </c>
      <c r="Q532" s="10" t="b">
        <f aca="false">--(COUNTIFS(
   [1]Fichajes_Realizados!A$2:A$5000,A532,
   [1]Fichajes_Realizados!G$2:G$5000,$X$3
)&gt;0)</f>
        <v>0</v>
      </c>
      <c r="R532" s="5" t="n">
        <f aca="false">_xlfn.XLOOKUP(C532, [1]Estado_Equipos!A$2:A$500, [1]Estado_Equipos!J$2:J$500, "")</f>
        <v>84</v>
      </c>
      <c r="S532" s="5" t="n">
        <f aca="false">IF(H532&lt;=16,1.45,
IF(H532&gt;=41,0.3,
CHOOSE(ROUNDDOWN((H532-16)/2,0)+1,
1.45,1.38,1.3,1.23,1.17,1.15,1.12,1.05,0.95,0.8,0.6,0.4,0.3)))</f>
        <v>1.23</v>
      </c>
      <c r="T532" s="5" t="n">
        <f aca="false">CHOOSE(N532+1,1.2,1,0.85,0.7)</f>
        <v>0.85</v>
      </c>
      <c r="U532" s="5" t="n">
        <f aca="false">IF(F532="PO",0.6,
IF(F532="CT",0.75,
IF(F532="LI",0.8,
IF(F532="LD",0.8,
IF(F532="MCD",0.85,
IF(F532="MC",0.95,
IF(F532="MO",1.05,
IF(F532="EI",1.1,
IF(F532="ED",1.1,
IF(F532="SD",1.15,
IF(F532="DC",1.2,0)))))))))))</f>
        <v>0.75</v>
      </c>
    </row>
    <row r="533" customFormat="false" ht="16.4" hidden="false" customHeight="false" outlineLevel="0" collapsed="false">
      <c r="A533" s="1" t="n">
        <v>532</v>
      </c>
      <c r="B533" s="5" t="str">
        <f aca="false">[1]Base_Jugadores!B533</f>
        <v>Riccardo Calafiori</v>
      </c>
      <c r="C533" s="5" t="str">
        <f aca="false">IFERROR(
   _xlfn.XLOOKUP(VALUE(A533),[1]Fichajes_Realizados!A$2:A$50000,[1]Fichajes_Realizados!D$2:D$50000,,0,-1),
   _xlfn.XLOOKUP(VALUE(A533),[1]Base_Jugadores!A$2:A$50000,[1]Base_Jugadores!C$2:C$50000)
)</f>
        <v>Arsenal FC</v>
      </c>
      <c r="D533" s="5" t="str">
        <f aca="false">[1]Base_Jugadores!D533</f>
        <v>Italia</v>
      </c>
      <c r="E533" s="3"/>
      <c r="F533" s="5" t="str">
        <f aca="false">[1]Base_Jugadores!E533</f>
        <v>LI</v>
      </c>
      <c r="G533" s="5" t="n">
        <f aca="false">[1]Base_Jugadores!F533</f>
        <v>81</v>
      </c>
      <c r="H533" s="5" t="n">
        <f aca="false">[1]Base_Jugadores!G533</f>
        <v>23</v>
      </c>
      <c r="I533" s="7" t="n">
        <f aca="false" t="array" ref="I533:I533">_xlfn.XLOOKUP(G533,{55;56;57;58;59;60;61;62;63;64;65;66;67;68;69;70;71;72;73;74;75;76;77;78;79;80;81;82;83;84;85;86;87;88;89;90;91;92;93;94;95;96;97;98;99},{100000;130000;160000;190000;220000;250000;300000;350000;400000;450000;500000;600000;700000;800000;900000;1000000;1500000;2000000;3000000;4000000;5000000;6500000;8000000;10000000;12500000;15000000;20000000;25000000;30000000;35000000;40000000;55000000;70000000;80000000;90000000;110000000;130000000;160000000;190000000;220000000;250000000;280000000;310000000;340000000;400000000})</f>
        <v>20000000</v>
      </c>
      <c r="J533" s="7" t="n">
        <f aca="false">I533*S533*T533*U533</f>
        <v>16728000</v>
      </c>
      <c r="K533" s="3"/>
      <c r="L533" s="3"/>
      <c r="M533" s="3"/>
      <c r="N533" s="9" t="n">
        <v>2</v>
      </c>
      <c r="O533" s="4" t="n">
        <v>0</v>
      </c>
      <c r="P533" s="5" t="n">
        <f aca="false">IF(COUNTIF([1]Base_Jugadores!J$2:J$500,B533)&gt;0,1,0)</f>
        <v>0</v>
      </c>
      <c r="Q533" s="10" t="b">
        <f aca="false">--(COUNTIFS(
   [1]Fichajes_Realizados!A$2:A$5000,A533,
   [1]Fichajes_Realizados!G$2:G$5000,$X$3
)&gt;0)</f>
        <v>0</v>
      </c>
      <c r="R533" s="5" t="n">
        <f aca="false">_xlfn.XLOOKUP(C533, [1]Estado_Equipos!A$2:A$500, [1]Estado_Equipos!J$2:J$500, "")</f>
        <v>84</v>
      </c>
      <c r="S533" s="5" t="n">
        <f aca="false">IF(H533&lt;=16,1.45,
IF(H533&gt;=41,0.3,
CHOOSE(ROUNDDOWN((H533-16)/2,0)+1,
1.45,1.38,1.3,1.23,1.17,1.15,1.12,1.05,0.95,0.8,0.6,0.4,0.3)))</f>
        <v>1.23</v>
      </c>
      <c r="T533" s="5" t="n">
        <f aca="false">CHOOSE(N533+1,1.2,1,0.85,0.7)</f>
        <v>0.85</v>
      </c>
      <c r="U533" s="5" t="n">
        <f aca="false">IF(F533="PO",0.6,
IF(F533="CT",0.75,
IF(F533="LI",0.8,
IF(F533="LD",0.8,
IF(F533="MCD",0.85,
IF(F533="MC",0.95,
IF(F533="MO",1.05,
IF(F533="EI",1.1,
IF(F533="ED",1.1,
IF(F533="SD",1.15,
IF(F533="DC",1.2,0)))))))))))</f>
        <v>0.8</v>
      </c>
    </row>
    <row r="534" customFormat="false" ht="16.4" hidden="false" customHeight="false" outlineLevel="0" collapsed="false">
      <c r="A534" s="1" t="n">
        <v>533</v>
      </c>
      <c r="B534" s="5" t="str">
        <f aca="false">[1]Base_Jugadores!B534</f>
        <v>Tommy Setford</v>
      </c>
      <c r="C534" s="5" t="str">
        <f aca="false">IFERROR(
   _xlfn.XLOOKUP(VALUE(A534),[1]Fichajes_Realizados!A$2:A$50000,[1]Fichajes_Realizados!D$2:D$50000,,0,-1),
   _xlfn.XLOOKUP(VALUE(A534),[1]Base_Jugadores!A$2:A$50000,[1]Base_Jugadores!C$2:C$50000)
)</f>
        <v>Arsenal FC</v>
      </c>
      <c r="D534" s="5" t="str">
        <f aca="false">[1]Base_Jugadores!D534</f>
        <v>Inglaterra</v>
      </c>
      <c r="E534" s="3"/>
      <c r="F534" s="5" t="str">
        <f aca="false">[1]Base_Jugadores!E534</f>
        <v>PO</v>
      </c>
      <c r="G534" s="5" t="n">
        <f aca="false">[1]Base_Jugadores!F534</f>
        <v>61</v>
      </c>
      <c r="H534" s="5" t="n">
        <f aca="false">[1]Base_Jugadores!G534</f>
        <v>19</v>
      </c>
      <c r="I534" s="7" t="n">
        <f aca="false" t="array" ref="I534:I534">_xlfn.XLOOKUP(G534,{55;56;57;58;59;60;61;62;63;64;65;66;67;68;69;70;71;72;73;74;75;76;77;78;79;80;81;82;83;84;85;86;87;88;89;90;91;92;93;94;95;96;97;98;99},{100000;130000;160000;190000;220000;250000;300000;350000;400000;450000;500000;600000;700000;800000;900000;1000000;1500000;2000000;3000000;4000000;5000000;6500000;8000000;10000000;12500000;15000000;20000000;25000000;30000000;35000000;40000000;55000000;70000000;80000000;90000000;110000000;130000000;160000000;190000000;220000000;250000000;280000000;310000000;340000000;400000000})</f>
        <v>300000</v>
      </c>
      <c r="J534" s="7" t="n">
        <f aca="false">I534*S534*T534*U534</f>
        <v>211140</v>
      </c>
      <c r="K534" s="3"/>
      <c r="L534" s="3"/>
      <c r="M534" s="3"/>
      <c r="N534" s="9" t="n">
        <v>2</v>
      </c>
      <c r="O534" s="4" t="n">
        <v>1</v>
      </c>
      <c r="P534" s="5" t="n">
        <f aca="false">IF(COUNTIF([1]Base_Jugadores!J$2:J$500,B534)&gt;0,1,0)</f>
        <v>0</v>
      </c>
      <c r="Q534" s="10" t="b">
        <f aca="false">--(COUNTIFS(
   [1]Fichajes_Realizados!A$2:A$5000,A534,
   [1]Fichajes_Realizados!G$2:G$5000,$X$3
)&gt;0)</f>
        <v>0</v>
      </c>
      <c r="R534" s="5" t="n">
        <f aca="false">_xlfn.XLOOKUP(C534, [1]Estado_Equipos!A$2:A$500, [1]Estado_Equipos!J$2:J$500, "")</f>
        <v>84</v>
      </c>
      <c r="S534" s="5" t="n">
        <f aca="false">IF(H534&lt;=16,1.45,
IF(H534&gt;=41,0.3,
CHOOSE(ROUNDDOWN((H534-16)/2,0)+1,
1.45,1.38,1.3,1.23,1.17,1.15,1.12,1.05,0.95,0.8,0.6,0.4,0.3)))</f>
        <v>1.38</v>
      </c>
      <c r="T534" s="5" t="n">
        <f aca="false">CHOOSE(N534+1,1.2,1,0.85,0.7)</f>
        <v>0.85</v>
      </c>
      <c r="U534" s="5" t="n">
        <f aca="false">IF(F534="PO",0.6,
IF(F534="CT",0.75,
IF(F534="LI",0.8,
IF(F534="LD",0.8,
IF(F534="MCD",0.85,
IF(F534="MC",0.95,
IF(F534="MO",1.05,
IF(F534="EI",1.1,
IF(F534="ED",1.1,
IF(F534="SD",1.15,
IF(F534="DC",1.2,0)))))))))))</f>
        <v>0.6</v>
      </c>
    </row>
    <row r="535" customFormat="false" ht="16.4" hidden="false" customHeight="false" outlineLevel="0" collapsed="false">
      <c r="A535" s="1" t="n">
        <v>534</v>
      </c>
      <c r="B535" s="5" t="str">
        <f aca="false">[1]Base_Jugadores!B535</f>
        <v>Viktor Gyökeres</v>
      </c>
      <c r="C535" s="5" t="str">
        <f aca="false">IFERROR(
   _xlfn.XLOOKUP(VALUE(A535),[1]Fichajes_Realizados!A$2:A$50000,[1]Fichajes_Realizados!D$2:D$50000,,0,-1),
   _xlfn.XLOOKUP(VALUE(A535),[1]Base_Jugadores!A$2:A$50000,[1]Base_Jugadores!C$2:C$50000)
)</f>
        <v>Arsenal FC</v>
      </c>
      <c r="D535" s="5" t="str">
        <f aca="false">[1]Base_Jugadores!D535</f>
        <v>Suecia</v>
      </c>
      <c r="E535" s="3"/>
      <c r="F535" s="5" t="str">
        <f aca="false">[1]Base_Jugadores!E535</f>
        <v>DC</v>
      </c>
      <c r="G535" s="5" t="n">
        <f aca="false">[1]Base_Jugadores!F535</f>
        <v>84</v>
      </c>
      <c r="H535" s="5" t="n">
        <f aca="false">[1]Base_Jugadores!G535</f>
        <v>27</v>
      </c>
      <c r="I535" s="7" t="n">
        <f aca="false" t="array" ref="I535:I535">_xlfn.XLOOKUP(G535,{55;56;57;58;59;60;61;62;63;64;65;66;67;68;69;70;71;72;73;74;75;76;77;78;79;80;81;82;83;84;85;86;87;88;89;90;91;92;93;94;95;96;97;98;99},{100000;130000;160000;190000;220000;250000;300000;350000;400000;450000;500000;600000;700000;800000;900000;1000000;1500000;2000000;3000000;4000000;5000000;6500000;8000000;10000000;12500000;15000000;20000000;25000000;30000000;35000000;40000000;55000000;70000000;80000000;90000000;110000000;130000000;160000000;190000000;220000000;250000000;280000000;310000000;340000000;400000000})</f>
        <v>35000000</v>
      </c>
      <c r="J535" s="7" t="n">
        <f aca="false">I535*S535*T535*U535</f>
        <v>57960000</v>
      </c>
      <c r="K535" s="3"/>
      <c r="L535" s="3"/>
      <c r="M535" s="3"/>
      <c r="N535" s="9" t="n">
        <v>0</v>
      </c>
      <c r="O535" s="4" t="n">
        <v>0</v>
      </c>
      <c r="P535" s="5" t="n">
        <f aca="false">IF(COUNTIF([1]Base_Jugadores!J$2:J$500,B535)&gt;0,1,0)</f>
        <v>0</v>
      </c>
      <c r="Q535" s="10" t="b">
        <f aca="false">--(COUNTIFS(
   [1]Fichajes_Realizados!A$2:A$5000,A535,
   [1]Fichajes_Realizados!G$2:G$5000,$X$3
)&gt;0)</f>
        <v>0</v>
      </c>
      <c r="R535" s="5" t="n">
        <f aca="false">_xlfn.XLOOKUP(C535, [1]Estado_Equipos!A$2:A$500, [1]Estado_Equipos!J$2:J$500, "")</f>
        <v>84</v>
      </c>
      <c r="S535" s="5" t="n">
        <f aca="false">IF(H535&lt;=16,1.45,
IF(H535&gt;=41,0.3,
CHOOSE(ROUNDDOWN((H535-16)/2,0)+1,
1.45,1.38,1.3,1.23,1.17,1.15,1.12,1.05,0.95,0.8,0.6,0.4,0.3)))</f>
        <v>1.15</v>
      </c>
      <c r="T535" s="5" t="n">
        <f aca="false">CHOOSE(N535+1,1.2,1,0.85,0.7)</f>
        <v>1.2</v>
      </c>
      <c r="U535" s="5" t="n">
        <f aca="false">IF(F535="PO",0.6,
IF(F535="CT",0.75,
IF(F535="LI",0.8,
IF(F535="LD",0.8,
IF(F535="MCD",0.85,
IF(F535="MC",0.95,
IF(F535="MO",1.05,
IF(F535="EI",1.1,
IF(F535="ED",1.1,
IF(F535="SD",1.15,
IF(F535="DC",1.2,0)))))))))))</f>
        <v>1.2</v>
      </c>
    </row>
    <row r="536" customFormat="false" ht="16.4" hidden="false" customHeight="false" outlineLevel="0" collapsed="false">
      <c r="A536" s="1" t="n">
        <v>535</v>
      </c>
      <c r="B536" s="5" t="str">
        <f aca="false">[1]Base_Jugadores!B536</f>
        <v>William Saliba</v>
      </c>
      <c r="C536" s="5" t="str">
        <f aca="false">IFERROR(
   _xlfn.XLOOKUP(VALUE(A536),[1]Fichajes_Realizados!A$2:A$50000,[1]Fichajes_Realizados!D$2:D$50000,,0,-1),
   _xlfn.XLOOKUP(VALUE(A536),[1]Base_Jugadores!A$2:A$50000,[1]Base_Jugadores!C$2:C$50000)
)</f>
        <v>Arsenal FC</v>
      </c>
      <c r="D536" s="5" t="str">
        <f aca="false">[1]Base_Jugadores!D536</f>
        <v>Francia</v>
      </c>
      <c r="E536" s="3"/>
      <c r="F536" s="5" t="str">
        <f aca="false">[1]Base_Jugadores!E536</f>
        <v>CT</v>
      </c>
      <c r="G536" s="5" t="n">
        <f aca="false">[1]Base_Jugadores!F536</f>
        <v>87</v>
      </c>
      <c r="H536" s="5" t="n">
        <f aca="false">[1]Base_Jugadores!G536</f>
        <v>24</v>
      </c>
      <c r="I536" s="7" t="n">
        <f aca="false" t="array" ref="I536:I536">_xlfn.XLOOKUP(G536,{55;56;57;58;59;60;61;62;63;64;65;66;67;68;69;70;71;72;73;74;75;76;77;78;79;80;81;82;83;84;85;86;87;88;89;90;91;92;93;94;95;96;97;98;99},{100000;130000;160000;190000;220000;250000;300000;350000;400000;450000;500000;600000;700000;800000;900000;1000000;1500000;2000000;3000000;4000000;5000000;6500000;8000000;10000000;12500000;15000000;20000000;25000000;30000000;35000000;40000000;55000000;70000000;80000000;90000000;110000000;130000000;160000000;190000000;220000000;250000000;280000000;310000000;340000000;400000000})</f>
        <v>70000000</v>
      </c>
      <c r="J536" s="7" t="n">
        <f aca="false">I536*S536*T536*U536</f>
        <v>73710000</v>
      </c>
      <c r="K536" s="3"/>
      <c r="L536" s="3"/>
      <c r="M536" s="3"/>
      <c r="N536" s="9" t="n">
        <v>0</v>
      </c>
      <c r="O536" s="4" t="n">
        <v>0</v>
      </c>
      <c r="P536" s="5" t="n">
        <f aca="false">IF(COUNTIF([1]Base_Jugadores!J$2:J$500,B536)&gt;0,1,0)</f>
        <v>0</v>
      </c>
      <c r="Q536" s="10" t="b">
        <f aca="false">--(COUNTIFS(
   [1]Fichajes_Realizados!A$2:A$5000,A536,
   [1]Fichajes_Realizados!G$2:G$5000,$X$3
)&gt;0)</f>
        <v>0</v>
      </c>
      <c r="R536" s="5" t="n">
        <f aca="false">_xlfn.XLOOKUP(C536, [1]Estado_Equipos!A$2:A$500, [1]Estado_Equipos!J$2:J$500, "")</f>
        <v>84</v>
      </c>
      <c r="S536" s="5" t="n">
        <f aca="false">IF(H536&lt;=16,1.45,
IF(H536&gt;=41,0.3,
CHOOSE(ROUNDDOWN((H536-16)/2,0)+1,
1.45,1.38,1.3,1.23,1.17,1.15,1.12,1.05,0.95,0.8,0.6,0.4,0.3)))</f>
        <v>1.17</v>
      </c>
      <c r="T536" s="5" t="n">
        <f aca="false">CHOOSE(N536+1,1.2,1,0.85,0.7)</f>
        <v>1.2</v>
      </c>
      <c r="U536" s="5" t="n">
        <f aca="false">IF(F536="PO",0.6,
IF(F536="CT",0.75,
IF(F536="LI",0.8,
IF(F536="LD",0.8,
IF(F536="MCD",0.85,
IF(F536="MC",0.95,
IF(F536="MO",1.05,
IF(F536="EI",1.1,
IF(F536="ED",1.1,
IF(F536="SD",1.15,
IF(F536="DC",1.2,0)))))))))))</f>
        <v>0.75</v>
      </c>
    </row>
    <row r="537" customFormat="false" ht="16.4" hidden="false" customHeight="false" outlineLevel="0" collapsed="false">
      <c r="A537" s="1" t="n">
        <v>536</v>
      </c>
      <c r="B537" s="5" t="str">
        <f aca="false">[1]Base_Jugadores!B537</f>
        <v>Amadou Onana</v>
      </c>
      <c r="C537" s="5" t="str">
        <f aca="false">IFERROR(
   _xlfn.XLOOKUP(VALUE(A537),[1]Fichajes_Realizados!A$2:A$50000,[1]Fichajes_Realizados!D$2:D$50000,,0,-1),
   _xlfn.XLOOKUP(VALUE(A537),[1]Base_Jugadores!A$2:A$50000,[1]Base_Jugadores!C$2:C$50000)
)</f>
        <v>Aston Villa</v>
      </c>
      <c r="D537" s="5" t="str">
        <f aca="false">[1]Base_Jugadores!D537</f>
        <v>Bélgica</v>
      </c>
      <c r="E537" s="3"/>
      <c r="F537" s="5" t="str">
        <f aca="false">[1]Base_Jugadores!E537</f>
        <v>MCD</v>
      </c>
      <c r="G537" s="5" t="n">
        <f aca="false">[1]Base_Jugadores!F537</f>
        <v>79</v>
      </c>
      <c r="H537" s="5" t="n">
        <f aca="false">[1]Base_Jugadores!G537</f>
        <v>24</v>
      </c>
      <c r="I537" s="7" t="n">
        <f aca="false" t="array" ref="I537:I537">_xlfn.XLOOKUP(G537,{55;56;57;58;59;60;61;62;63;64;65;66;67;68;69;70;71;72;73;74;75;76;77;78;79;80;81;82;83;84;85;86;87;88;89;90;91;92;93;94;95;96;97;98;99},{100000;130000;160000;190000;220000;250000;300000;350000;400000;450000;500000;600000;700000;800000;900000;1000000;1500000;2000000;3000000;4000000;5000000;6500000;8000000;10000000;12500000;15000000;20000000;25000000;30000000;35000000;40000000;55000000;70000000;80000000;90000000;110000000;130000000;160000000;190000000;220000000;250000000;280000000;310000000;340000000;400000000})</f>
        <v>12500000</v>
      </c>
      <c r="J537" s="7" t="n">
        <f aca="false">I537*S537*T537*U537</f>
        <v>12431250</v>
      </c>
      <c r="K537" s="3"/>
      <c r="L537" s="3"/>
      <c r="M537" s="3"/>
      <c r="N537" s="9" t="n">
        <v>1</v>
      </c>
      <c r="O537" s="4" t="n">
        <v>0</v>
      </c>
      <c r="P537" s="5" t="n">
        <f aca="false">IF(COUNTIF([1]Base_Jugadores!J$2:J$500,B537)&gt;0,1,0)</f>
        <v>0</v>
      </c>
      <c r="Q537" s="10" t="b">
        <f aca="false">--(COUNTIFS(
   [1]Fichajes_Realizados!A$2:A$5000,A537,
   [1]Fichajes_Realizados!G$2:G$5000,$X$3
)&gt;0)</f>
        <v>0</v>
      </c>
      <c r="R537" s="5" t="n">
        <f aca="false">_xlfn.XLOOKUP(C537, [1]Estado_Equipos!A$2:A$500, [1]Estado_Equipos!J$2:J$500, "")</f>
        <v>81</v>
      </c>
      <c r="S537" s="5" t="n">
        <f aca="false">IF(H537&lt;=16,1.45,
IF(H537&gt;=41,0.3,
CHOOSE(ROUNDDOWN((H537-16)/2,0)+1,
1.45,1.38,1.3,1.23,1.17,1.15,1.12,1.05,0.95,0.8,0.6,0.4,0.3)))</f>
        <v>1.17</v>
      </c>
      <c r="T537" s="5" t="n">
        <f aca="false">CHOOSE(N537+1,1.2,1,0.85,0.7)</f>
        <v>1</v>
      </c>
      <c r="U537" s="5" t="n">
        <f aca="false">IF(F537="PO",0.6,
IF(F537="CT",0.75,
IF(F537="LI",0.8,
IF(F537="LD",0.8,
IF(F537="MCD",0.85,
IF(F537="MC",0.95,
IF(F537="MO",1.05,
IF(F537="EI",1.1,
IF(F537="ED",1.1,
IF(F537="SD",1.15,
IF(F537="DC",1.2,0)))))))))))</f>
        <v>0.85</v>
      </c>
    </row>
    <row r="538" customFormat="false" ht="16.4" hidden="false" customHeight="false" outlineLevel="0" collapsed="false">
      <c r="A538" s="1" t="n">
        <v>537</v>
      </c>
      <c r="B538" s="5" t="str">
        <f aca="false">[1]Base_Jugadores!B538</f>
        <v>Andrés García</v>
      </c>
      <c r="C538" s="5" t="str">
        <f aca="false">IFERROR(
   _xlfn.XLOOKUP(VALUE(A538),[1]Fichajes_Realizados!A$2:A$50000,[1]Fichajes_Realizados!D$2:D$50000,,0,-1),
   _xlfn.XLOOKUP(VALUE(A538),[1]Base_Jugadores!A$2:A$50000,[1]Base_Jugadores!C$2:C$50000)
)</f>
        <v>Aston Villa</v>
      </c>
      <c r="D538" s="5" t="str">
        <f aca="false">[1]Base_Jugadores!D538</f>
        <v>España</v>
      </c>
      <c r="E538" s="3"/>
      <c r="F538" s="5" t="str">
        <f aca="false">[1]Base_Jugadores!E538</f>
        <v>LD</v>
      </c>
      <c r="G538" s="5" t="n">
        <f aca="false">[1]Base_Jugadores!F538</f>
        <v>72</v>
      </c>
      <c r="H538" s="5" t="n">
        <f aca="false">[1]Base_Jugadores!G538</f>
        <v>22</v>
      </c>
      <c r="I538" s="7" t="n">
        <f aca="false" t="array" ref="I538:I538">_xlfn.XLOOKUP(G538,{55;56;57;58;59;60;61;62;63;64;65;66;67;68;69;70;71;72;73;74;75;76;77;78;79;80;81;82;83;84;85;86;87;88;89;90;91;92;93;94;95;96;97;98;99},{100000;130000;160000;190000;220000;250000;300000;350000;400000;450000;500000;600000;700000;800000;900000;1000000;1500000;2000000;3000000;4000000;5000000;6500000;8000000;10000000;12500000;15000000;20000000;25000000;30000000;35000000;40000000;55000000;70000000;80000000;90000000;110000000;130000000;160000000;190000000;220000000;250000000;280000000;310000000;340000000;400000000})</f>
        <v>2000000</v>
      </c>
      <c r="J538" s="7" t="n">
        <f aca="false">I538*S538*T538*U538</f>
        <v>1672800</v>
      </c>
      <c r="K538" s="3"/>
      <c r="L538" s="3"/>
      <c r="M538" s="3"/>
      <c r="N538" s="9" t="n">
        <v>2</v>
      </c>
      <c r="O538" s="4" t="n">
        <v>0</v>
      </c>
      <c r="P538" s="5" t="n">
        <f aca="false">IF(COUNTIF([1]Base_Jugadores!J$2:J$500,B538)&gt;0,1,0)</f>
        <v>0</v>
      </c>
      <c r="Q538" s="10" t="b">
        <f aca="false">--(COUNTIFS(
   [1]Fichajes_Realizados!A$2:A$5000,A538,
   [1]Fichajes_Realizados!G$2:G$5000,$X$3
)&gt;0)</f>
        <v>0</v>
      </c>
      <c r="R538" s="5" t="n">
        <f aca="false">_xlfn.XLOOKUP(C538, [1]Estado_Equipos!A$2:A$500, [1]Estado_Equipos!J$2:J$500, "")</f>
        <v>81</v>
      </c>
      <c r="S538" s="5" t="n">
        <f aca="false">IF(H538&lt;=16,1.45,
IF(H538&gt;=41,0.3,
CHOOSE(ROUNDDOWN((H538-16)/2,0)+1,
1.45,1.38,1.3,1.23,1.17,1.15,1.12,1.05,0.95,0.8,0.6,0.4,0.3)))</f>
        <v>1.23</v>
      </c>
      <c r="T538" s="5" t="n">
        <f aca="false">CHOOSE(N538+1,1.2,1,0.85,0.7)</f>
        <v>0.85</v>
      </c>
      <c r="U538" s="5" t="n">
        <f aca="false">IF(F538="PO",0.6,
IF(F538="CT",0.75,
IF(F538="LI",0.8,
IF(F538="LD",0.8,
IF(F538="MCD",0.85,
IF(F538="MC",0.95,
IF(F538="MO",1.05,
IF(F538="EI",1.1,
IF(F538="ED",1.1,
IF(F538="SD",1.15,
IF(F538="DC",1.2,0)))))))))))</f>
        <v>0.8</v>
      </c>
    </row>
    <row r="539" customFormat="false" ht="16.4" hidden="false" customHeight="false" outlineLevel="0" collapsed="false">
      <c r="A539" s="1" t="n">
        <v>538</v>
      </c>
      <c r="B539" s="5" t="str">
        <f aca="false">[1]Base_Jugadores!B539</f>
        <v>Boubacar Kamara</v>
      </c>
      <c r="C539" s="5" t="str">
        <f aca="false">IFERROR(
   _xlfn.XLOOKUP(VALUE(A539),[1]Fichajes_Realizados!A$2:A$50000,[1]Fichajes_Realizados!D$2:D$50000,,0,-1),
   _xlfn.XLOOKUP(VALUE(A539),[1]Base_Jugadores!A$2:A$50000,[1]Base_Jugadores!C$2:C$50000)
)</f>
        <v>Aston Villa</v>
      </c>
      <c r="D539" s="5" t="str">
        <f aca="false">[1]Base_Jugadores!D539</f>
        <v>Francia</v>
      </c>
      <c r="E539" s="3"/>
      <c r="F539" s="5" t="str">
        <f aca="false">[1]Base_Jugadores!E539</f>
        <v>MCD</v>
      </c>
      <c r="G539" s="5" t="n">
        <f aca="false">[1]Base_Jugadores!F539</f>
        <v>82</v>
      </c>
      <c r="H539" s="5" t="n">
        <f aca="false">[1]Base_Jugadores!G539</f>
        <v>26</v>
      </c>
      <c r="I539" s="7" t="n">
        <f aca="false" t="array" ref="I539:I539">_xlfn.XLOOKUP(G539,{55;56;57;58;59;60;61;62;63;64;65;66;67;68;69;70;71;72;73;74;75;76;77;78;79;80;81;82;83;84;85;86;87;88;89;90;91;92;93;94;95;96;97;98;99},{100000;130000;160000;190000;220000;250000;300000;350000;400000;450000;500000;600000;700000;800000;900000;1000000;1500000;2000000;3000000;4000000;5000000;6500000;8000000;10000000;12500000;15000000;20000000;25000000;30000000;35000000;40000000;55000000;70000000;80000000;90000000;110000000;130000000;160000000;190000000;220000000;250000000;280000000;310000000;340000000;400000000})</f>
        <v>25000000</v>
      </c>
      <c r="J539" s="7" t="n">
        <f aca="false">I539*S539*T539*U539</f>
        <v>29325000</v>
      </c>
      <c r="K539" s="3"/>
      <c r="L539" s="3"/>
      <c r="M539" s="3"/>
      <c r="N539" s="9" t="n">
        <v>0</v>
      </c>
      <c r="O539" s="4" t="n">
        <v>0</v>
      </c>
      <c r="P539" s="5" t="n">
        <f aca="false">IF(COUNTIF([1]Base_Jugadores!J$2:J$500,B539)&gt;0,1,0)</f>
        <v>0</v>
      </c>
      <c r="Q539" s="10" t="b">
        <f aca="false">--(COUNTIFS(
   [1]Fichajes_Realizados!A$2:A$5000,A539,
   [1]Fichajes_Realizados!G$2:G$5000,$X$3
)&gt;0)</f>
        <v>0</v>
      </c>
      <c r="R539" s="5" t="n">
        <f aca="false">_xlfn.XLOOKUP(C539, [1]Estado_Equipos!A$2:A$500, [1]Estado_Equipos!J$2:J$500, "")</f>
        <v>81</v>
      </c>
      <c r="S539" s="5" t="n">
        <f aca="false">IF(H539&lt;=16,1.45,
IF(H539&gt;=41,0.3,
CHOOSE(ROUNDDOWN((H539-16)/2,0)+1,
1.45,1.38,1.3,1.23,1.17,1.15,1.12,1.05,0.95,0.8,0.6,0.4,0.3)))</f>
        <v>1.15</v>
      </c>
      <c r="T539" s="5" t="n">
        <f aca="false">CHOOSE(N539+1,1.2,1,0.85,0.7)</f>
        <v>1.2</v>
      </c>
      <c r="U539" s="5" t="n">
        <f aca="false">IF(F539="PO",0.6,
IF(F539="CT",0.75,
IF(F539="LI",0.8,
IF(F539="LD",0.8,
IF(F539="MCD",0.85,
IF(F539="MC",0.95,
IF(F539="MO",1.05,
IF(F539="EI",1.1,
IF(F539="ED",1.1,
IF(F539="SD",1.15,
IF(F539="DC",1.2,0)))))))))))</f>
        <v>0.85</v>
      </c>
    </row>
    <row r="540" customFormat="false" ht="16.4" hidden="false" customHeight="false" outlineLevel="0" collapsed="false">
      <c r="A540" s="1" t="n">
        <v>539</v>
      </c>
      <c r="B540" s="5" t="str">
        <f aca="false">[1]Base_Jugadores!B540</f>
        <v>Donyell Malen</v>
      </c>
      <c r="C540" s="5" t="str">
        <f aca="false">IFERROR(
   _xlfn.XLOOKUP(VALUE(A540),[1]Fichajes_Realizados!A$2:A$50000,[1]Fichajes_Realizados!D$2:D$50000,,0,-1),
   _xlfn.XLOOKUP(VALUE(A540),[1]Base_Jugadores!A$2:A$50000,[1]Base_Jugadores!C$2:C$50000)
)</f>
        <v>Aston Villa</v>
      </c>
      <c r="D540" s="5" t="str">
        <f aca="false">[1]Base_Jugadores!D540</f>
        <v>Países Bajos</v>
      </c>
      <c r="E540" s="3"/>
      <c r="F540" s="5" t="str">
        <f aca="false">[1]Base_Jugadores!E540</f>
        <v>DC</v>
      </c>
      <c r="G540" s="5" t="n">
        <f aca="false">[1]Base_Jugadores!F540</f>
        <v>81</v>
      </c>
      <c r="H540" s="5" t="n">
        <f aca="false">[1]Base_Jugadores!G540</f>
        <v>26</v>
      </c>
      <c r="I540" s="7" t="n">
        <f aca="false" t="array" ref="I540:I540">_xlfn.XLOOKUP(G540,{55;56;57;58;59;60;61;62;63;64;65;66;67;68;69;70;71;72;73;74;75;76;77;78;79;80;81;82;83;84;85;86;87;88;89;90;91;92;93;94;95;96;97;98;99},{100000;130000;160000;190000;220000;250000;300000;350000;400000;450000;500000;600000;700000;800000;900000;1000000;1500000;2000000;3000000;4000000;5000000;6500000;8000000;10000000;12500000;15000000;20000000;25000000;30000000;35000000;40000000;55000000;70000000;80000000;90000000;110000000;130000000;160000000;190000000;220000000;250000000;280000000;310000000;340000000;400000000})</f>
        <v>20000000</v>
      </c>
      <c r="J540" s="7" t="n">
        <f aca="false">I540*S540*T540*U540</f>
        <v>27600000</v>
      </c>
      <c r="K540" s="3"/>
      <c r="L540" s="3"/>
      <c r="M540" s="3"/>
      <c r="N540" s="9" t="n">
        <v>1</v>
      </c>
      <c r="O540" s="4" t="n">
        <v>0</v>
      </c>
      <c r="P540" s="5" t="n">
        <f aca="false">IF(COUNTIF([1]Base_Jugadores!J$2:J$500,B540)&gt;0,1,0)</f>
        <v>0</v>
      </c>
      <c r="Q540" s="10" t="b">
        <f aca="false">--(COUNTIFS(
   [1]Fichajes_Realizados!A$2:A$5000,A540,
   [1]Fichajes_Realizados!G$2:G$5000,$X$3
)&gt;0)</f>
        <v>0</v>
      </c>
      <c r="R540" s="5" t="n">
        <f aca="false">_xlfn.XLOOKUP(C540, [1]Estado_Equipos!A$2:A$500, [1]Estado_Equipos!J$2:J$500, "")</f>
        <v>81</v>
      </c>
      <c r="S540" s="5" t="n">
        <f aca="false">IF(H540&lt;=16,1.45,
IF(H540&gt;=41,0.3,
CHOOSE(ROUNDDOWN((H540-16)/2,0)+1,
1.45,1.38,1.3,1.23,1.17,1.15,1.12,1.05,0.95,0.8,0.6,0.4,0.3)))</f>
        <v>1.15</v>
      </c>
      <c r="T540" s="5" t="n">
        <f aca="false">CHOOSE(N540+1,1.2,1,0.85,0.7)</f>
        <v>1</v>
      </c>
      <c r="U540" s="5" t="n">
        <f aca="false">IF(F540="PO",0.6,
IF(F540="CT",0.75,
IF(F540="LI",0.8,
IF(F540="LD",0.8,
IF(F540="MCD",0.85,
IF(F540="MC",0.95,
IF(F540="MO",1.05,
IF(F540="EI",1.1,
IF(F540="ED",1.1,
IF(F540="SD",1.15,
IF(F540="DC",1.2,0)))))))))))</f>
        <v>1.2</v>
      </c>
    </row>
    <row r="541" customFormat="false" ht="16.4" hidden="false" customHeight="false" outlineLevel="0" collapsed="false">
      <c r="A541" s="1" t="n">
        <v>540</v>
      </c>
      <c r="B541" s="5" t="str">
        <f aca="false">[1]Base_Jugadores!B541</f>
        <v>Emiliano Buendía</v>
      </c>
      <c r="C541" s="5" t="str">
        <f aca="false">IFERROR(
   _xlfn.XLOOKUP(VALUE(A541),[1]Fichajes_Realizados!A$2:A$50000,[1]Fichajes_Realizados!D$2:D$50000,,0,-1),
   _xlfn.XLOOKUP(VALUE(A541),[1]Base_Jugadores!A$2:A$50000,[1]Base_Jugadores!C$2:C$50000)
)</f>
        <v>Aston Villa</v>
      </c>
      <c r="D541" s="5" t="str">
        <f aca="false">[1]Base_Jugadores!D541</f>
        <v>Argentina</v>
      </c>
      <c r="E541" s="3"/>
      <c r="F541" s="5" t="str">
        <f aca="false">[1]Base_Jugadores!E541</f>
        <v>MO</v>
      </c>
      <c r="G541" s="5" t="n">
        <f aca="false">[1]Base_Jugadores!F541</f>
        <v>76</v>
      </c>
      <c r="H541" s="5" t="n">
        <f aca="false">[1]Base_Jugadores!G541</f>
        <v>29</v>
      </c>
      <c r="I541" s="7" t="n">
        <f aca="false" t="array" ref="I541:I541">_xlfn.XLOOKUP(G541,{55;56;57;58;59;60;61;62;63;64;65;66;67;68;69;70;71;72;73;74;75;76;77;78;79;80;81;82;83;84;85;86;87;88;89;90;91;92;93;94;95;96;97;98;99},{100000;130000;160000;190000;220000;250000;300000;350000;400000;450000;500000;600000;700000;800000;900000;1000000;1500000;2000000;3000000;4000000;5000000;6500000;8000000;10000000;12500000;15000000;20000000;25000000;30000000;35000000;40000000;55000000;70000000;80000000;90000000;110000000;130000000;160000000;190000000;220000000;250000000;280000000;310000000;340000000;400000000})</f>
        <v>6500000</v>
      </c>
      <c r="J541" s="7" t="n">
        <f aca="false">I541*S541*T541*U541</f>
        <v>6497400</v>
      </c>
      <c r="K541" s="3"/>
      <c r="L541" s="3"/>
      <c r="M541" s="3"/>
      <c r="N541" s="9" t="n">
        <v>2</v>
      </c>
      <c r="O541" s="4" t="n">
        <v>0</v>
      </c>
      <c r="P541" s="5" t="n">
        <f aca="false">IF(COUNTIF([1]Base_Jugadores!J$2:J$500,B541)&gt;0,1,0)</f>
        <v>0</v>
      </c>
      <c r="Q541" s="10" t="b">
        <f aca="false">--(COUNTIFS(
   [1]Fichajes_Realizados!A$2:A$5000,A541,
   [1]Fichajes_Realizados!G$2:G$5000,$X$3
)&gt;0)</f>
        <v>0</v>
      </c>
      <c r="R541" s="5" t="n">
        <f aca="false">_xlfn.XLOOKUP(C541, [1]Estado_Equipos!A$2:A$500, [1]Estado_Equipos!J$2:J$500, "")</f>
        <v>81</v>
      </c>
      <c r="S541" s="5" t="n">
        <f aca="false">IF(H541&lt;=16,1.45,
IF(H541&gt;=41,0.3,
CHOOSE(ROUNDDOWN((H541-16)/2,0)+1,
1.45,1.38,1.3,1.23,1.17,1.15,1.12,1.05,0.95,0.8,0.6,0.4,0.3)))</f>
        <v>1.12</v>
      </c>
      <c r="T541" s="5" t="n">
        <f aca="false">CHOOSE(N541+1,1.2,1,0.85,0.7)</f>
        <v>0.85</v>
      </c>
      <c r="U541" s="5" t="n">
        <f aca="false">IF(F541="PO",0.6,
IF(F541="CT",0.75,
IF(F541="LI",0.8,
IF(F541="LD",0.8,
IF(F541="MCD",0.85,
IF(F541="MC",0.95,
IF(F541="MO",1.05,
IF(F541="EI",1.1,
IF(F541="ED",1.1,
IF(F541="SD",1.15,
IF(F541="DC",1.2,0)))))))))))</f>
        <v>1.05</v>
      </c>
    </row>
    <row r="542" customFormat="false" ht="16.4" hidden="false" customHeight="false" outlineLevel="0" collapsed="false">
      <c r="A542" s="1" t="n">
        <v>541</v>
      </c>
      <c r="B542" s="5" t="str">
        <f aca="false">[1]Base_Jugadores!B542</f>
        <v>Emiliano Martínez</v>
      </c>
      <c r="C542" s="5" t="str">
        <f aca="false">IFERROR(
   _xlfn.XLOOKUP(VALUE(A542),[1]Fichajes_Realizados!A$2:A$50000,[1]Fichajes_Realizados!D$2:D$50000,,0,-1),
   _xlfn.XLOOKUP(VALUE(A542),[1]Base_Jugadores!A$2:A$50000,[1]Base_Jugadores!C$2:C$50000)
)</f>
        <v>Aston Villa</v>
      </c>
      <c r="D542" s="5" t="str">
        <f aca="false">[1]Base_Jugadores!D542</f>
        <v>Argentina</v>
      </c>
      <c r="E542" s="3"/>
      <c r="F542" s="5" t="str">
        <f aca="false">[1]Base_Jugadores!E542</f>
        <v>PO</v>
      </c>
      <c r="G542" s="5" t="n">
        <f aca="false">[1]Base_Jugadores!F542</f>
        <v>87</v>
      </c>
      <c r="H542" s="5" t="n">
        <f aca="false">[1]Base_Jugadores!G542</f>
        <v>33</v>
      </c>
      <c r="I542" s="7" t="n">
        <f aca="false" t="array" ref="I542:I542">_xlfn.XLOOKUP(G542,{55;56;57;58;59;60;61;62;63;64;65;66;67;68;69;70;71;72;73;74;75;76;77;78;79;80;81;82;83;84;85;86;87;88;89;90;91;92;93;94;95;96;97;98;99},{100000;130000;160000;190000;220000;250000;300000;350000;400000;450000;500000;600000;700000;800000;900000;1000000;1500000;2000000;3000000;4000000;5000000;6500000;8000000;10000000;12500000;15000000;20000000;25000000;30000000;35000000;40000000;55000000;70000000;80000000;90000000;110000000;130000000;160000000;190000000;220000000;250000000;280000000;310000000;340000000;400000000})</f>
        <v>70000000</v>
      </c>
      <c r="J542" s="7" t="n">
        <f aca="false">I542*S542*T542*U542</f>
        <v>47880000</v>
      </c>
      <c r="K542" s="3"/>
      <c r="L542" s="3"/>
      <c r="M542" s="3"/>
      <c r="N542" s="9" t="n">
        <v>0</v>
      </c>
      <c r="O542" s="4" t="n">
        <v>0</v>
      </c>
      <c r="P542" s="5" t="n">
        <f aca="false">IF(COUNTIF([1]Base_Jugadores!J$2:J$500,B542)&gt;0,1,0)</f>
        <v>0</v>
      </c>
      <c r="Q542" s="10" t="b">
        <f aca="false">--(COUNTIFS(
   [1]Fichajes_Realizados!A$2:A$5000,A542,
   [1]Fichajes_Realizados!G$2:G$5000,$X$3
)&gt;0)</f>
        <v>0</v>
      </c>
      <c r="R542" s="5" t="n">
        <f aca="false">_xlfn.XLOOKUP(C542, [1]Estado_Equipos!A$2:A$500, [1]Estado_Equipos!J$2:J$500, "")</f>
        <v>81</v>
      </c>
      <c r="S542" s="5" t="n">
        <f aca="false">IF(H542&lt;=16,1.45,
IF(H542&gt;=41,0.3,
CHOOSE(ROUNDDOWN((H542-16)/2,0)+1,
1.45,1.38,1.3,1.23,1.17,1.15,1.12,1.05,0.95,0.8,0.6,0.4,0.3)))</f>
        <v>0.95</v>
      </c>
      <c r="T542" s="5" t="n">
        <f aca="false">CHOOSE(N542+1,1.2,1,0.85,0.7)</f>
        <v>1.2</v>
      </c>
      <c r="U542" s="5" t="n">
        <f aca="false">IF(F542="PO",0.6,
IF(F542="CT",0.75,
IF(F542="LI",0.8,
IF(F542="LD",0.8,
IF(F542="MCD",0.85,
IF(F542="MC",0.95,
IF(F542="MO",1.05,
IF(F542="EI",1.1,
IF(F542="ED",1.1,
IF(F542="SD",1.15,
IF(F542="DC",1.2,0)))))))))))</f>
        <v>0.6</v>
      </c>
    </row>
    <row r="543" customFormat="false" ht="16.4" hidden="false" customHeight="false" outlineLevel="0" collapsed="false">
      <c r="A543" s="1" t="n">
        <v>542</v>
      </c>
      <c r="B543" s="5" t="str">
        <f aca="false">[1]Base_Jugadores!B543</f>
        <v>Evann Guessand</v>
      </c>
      <c r="C543" s="5" t="str">
        <f aca="false">IFERROR(
   _xlfn.XLOOKUP(VALUE(A543),[1]Fichajes_Realizados!A$2:A$50000,[1]Fichajes_Realizados!D$2:D$50000,,0,-1),
   _xlfn.XLOOKUP(VALUE(A543),[1]Base_Jugadores!A$2:A$50000,[1]Base_Jugadores!C$2:C$50000)
)</f>
        <v>Aston Villa</v>
      </c>
      <c r="D543" s="5" t="str">
        <f aca="false">[1]Base_Jugadores!D543</f>
        <v>Costa de Marfil</v>
      </c>
      <c r="E543" s="3"/>
      <c r="F543" s="5" t="str">
        <f aca="false">[1]Base_Jugadores!E543</f>
        <v>ED</v>
      </c>
      <c r="G543" s="5" t="n">
        <f aca="false">[1]Base_Jugadores!F543</f>
        <v>78</v>
      </c>
      <c r="H543" s="5" t="n">
        <f aca="false">[1]Base_Jugadores!G543</f>
        <v>24</v>
      </c>
      <c r="I543" s="7" t="n">
        <f aca="false" t="array" ref="I543:I543">_xlfn.XLOOKUP(G543,{55;56;57;58;59;60;61;62;63;64;65;66;67;68;69;70;71;72;73;74;75;76;77;78;79;80;81;82;83;84;85;86;87;88;89;90;91;92;93;94;95;96;97;98;99},{100000;130000;160000;190000;220000;250000;300000;350000;400000;450000;500000;600000;700000;800000;900000;1000000;1500000;2000000;3000000;4000000;5000000;6500000;8000000;10000000;12500000;15000000;20000000;25000000;30000000;35000000;40000000;55000000;70000000;80000000;90000000;110000000;130000000;160000000;190000000;220000000;250000000;280000000;310000000;340000000;400000000})</f>
        <v>10000000</v>
      </c>
      <c r="J543" s="7" t="n">
        <f aca="false">I543*S543*T543*U543</f>
        <v>15444000</v>
      </c>
      <c r="K543" s="3"/>
      <c r="L543" s="3"/>
      <c r="M543" s="3"/>
      <c r="N543" s="9" t="n">
        <v>0</v>
      </c>
      <c r="O543" s="4" t="n">
        <v>0</v>
      </c>
      <c r="P543" s="5" t="n">
        <f aca="false">IF(COUNTIF([1]Base_Jugadores!J$2:J$500,B543)&gt;0,1,0)</f>
        <v>0</v>
      </c>
      <c r="Q543" s="10" t="b">
        <f aca="false">--(COUNTIFS(
   [1]Fichajes_Realizados!A$2:A$5000,A543,
   [1]Fichajes_Realizados!G$2:G$5000,$X$3
)&gt;0)</f>
        <v>0</v>
      </c>
      <c r="R543" s="5" t="n">
        <f aca="false">_xlfn.XLOOKUP(C543, [1]Estado_Equipos!A$2:A$500, [1]Estado_Equipos!J$2:J$500, "")</f>
        <v>81</v>
      </c>
      <c r="S543" s="5" t="n">
        <f aca="false">IF(H543&lt;=16,1.45,
IF(H543&gt;=41,0.3,
CHOOSE(ROUNDDOWN((H543-16)/2,0)+1,
1.45,1.38,1.3,1.23,1.17,1.15,1.12,1.05,0.95,0.8,0.6,0.4,0.3)))</f>
        <v>1.17</v>
      </c>
      <c r="T543" s="5" t="n">
        <f aca="false">CHOOSE(N543+1,1.2,1,0.85,0.7)</f>
        <v>1.2</v>
      </c>
      <c r="U543" s="5" t="n">
        <f aca="false">IF(F543="PO",0.6,
IF(F543="CT",0.75,
IF(F543="LI",0.8,
IF(F543="LD",0.8,
IF(F543="MCD",0.85,
IF(F543="MC",0.95,
IF(F543="MO",1.05,
IF(F543="EI",1.1,
IF(F543="ED",1.1,
IF(F543="SD",1.15,
IF(F543="DC",1.2,0)))))))))))</f>
        <v>1.1</v>
      </c>
    </row>
    <row r="544" customFormat="false" ht="16.4" hidden="false" customHeight="false" outlineLevel="0" collapsed="false">
      <c r="A544" s="1" t="n">
        <v>543</v>
      </c>
      <c r="B544" s="5" t="str">
        <f aca="false">[1]Base_Jugadores!B544</f>
        <v>Ezri Konsa</v>
      </c>
      <c r="C544" s="5" t="str">
        <f aca="false">IFERROR(
   _xlfn.XLOOKUP(VALUE(A544),[1]Fichajes_Realizados!A$2:A$50000,[1]Fichajes_Realizados!D$2:D$50000,,0,-1),
   _xlfn.XLOOKUP(VALUE(A544),[1]Base_Jugadores!A$2:A$50000,[1]Base_Jugadores!C$2:C$50000)
)</f>
        <v>Aston Villa</v>
      </c>
      <c r="D544" s="5" t="str">
        <f aca="false">[1]Base_Jugadores!D544</f>
        <v>Inglaterra</v>
      </c>
      <c r="E544" s="3"/>
      <c r="F544" s="5" t="str">
        <f aca="false">[1]Base_Jugadores!E544</f>
        <v>CT</v>
      </c>
      <c r="G544" s="5" t="n">
        <f aca="false">[1]Base_Jugadores!F544</f>
        <v>81</v>
      </c>
      <c r="H544" s="5" t="n">
        <f aca="false">[1]Base_Jugadores!G544</f>
        <v>28</v>
      </c>
      <c r="I544" s="7" t="n">
        <f aca="false" t="array" ref="I544:I544">_xlfn.XLOOKUP(G544,{55;56;57;58;59;60;61;62;63;64;65;66;67;68;69;70;71;72;73;74;75;76;77;78;79;80;81;82;83;84;85;86;87;88;89;90;91;92;93;94;95;96;97;98;99},{100000;130000;160000;190000;220000;250000;300000;350000;400000;450000;500000;600000;700000;800000;900000;1000000;1500000;2000000;3000000;4000000;5000000;6500000;8000000;10000000;12500000;15000000;20000000;25000000;30000000;35000000;40000000;55000000;70000000;80000000;90000000;110000000;130000000;160000000;190000000;220000000;250000000;280000000;310000000;340000000;400000000})</f>
        <v>20000000</v>
      </c>
      <c r="J544" s="7" t="n">
        <f aca="false">I544*S544*T544*U544</f>
        <v>20160000</v>
      </c>
      <c r="K544" s="3"/>
      <c r="L544" s="3"/>
      <c r="M544" s="3"/>
      <c r="N544" s="9" t="n">
        <v>0</v>
      </c>
      <c r="O544" s="4" t="n">
        <v>0</v>
      </c>
      <c r="P544" s="5" t="n">
        <f aca="false">IF(COUNTIF([1]Base_Jugadores!J$2:J$500,B544)&gt;0,1,0)</f>
        <v>0</v>
      </c>
      <c r="Q544" s="10" t="b">
        <f aca="false">--(COUNTIFS(
   [1]Fichajes_Realizados!A$2:A$5000,A544,
   [1]Fichajes_Realizados!G$2:G$5000,$X$3
)&gt;0)</f>
        <v>0</v>
      </c>
      <c r="R544" s="5" t="n">
        <f aca="false">_xlfn.XLOOKUP(C544, [1]Estado_Equipos!A$2:A$500, [1]Estado_Equipos!J$2:J$500, "")</f>
        <v>81</v>
      </c>
      <c r="S544" s="5" t="n">
        <f aca="false">IF(H544&lt;=16,1.45,
IF(H544&gt;=41,0.3,
CHOOSE(ROUNDDOWN((H544-16)/2,0)+1,
1.45,1.38,1.3,1.23,1.17,1.15,1.12,1.05,0.95,0.8,0.6,0.4,0.3)))</f>
        <v>1.12</v>
      </c>
      <c r="T544" s="5" t="n">
        <f aca="false">CHOOSE(N544+1,1.2,1,0.85,0.7)</f>
        <v>1.2</v>
      </c>
      <c r="U544" s="5" t="n">
        <f aca="false">IF(F544="PO",0.6,
IF(F544="CT",0.75,
IF(F544="LI",0.8,
IF(F544="LD",0.8,
IF(F544="MCD",0.85,
IF(F544="MC",0.95,
IF(F544="MO",1.05,
IF(F544="EI",1.1,
IF(F544="ED",1.1,
IF(F544="SD",1.15,
IF(F544="DC",1.2,0)))))))))))</f>
        <v>0.75</v>
      </c>
    </row>
    <row r="545" customFormat="false" ht="16.4" hidden="false" customHeight="false" outlineLevel="0" collapsed="false">
      <c r="A545" s="1" t="n">
        <v>544</v>
      </c>
      <c r="B545" s="5" t="str">
        <f aca="false">[1]Base_Jugadores!B545</f>
        <v>Harvey Elliott</v>
      </c>
      <c r="C545" s="5" t="str">
        <f aca="false">IFERROR(
   _xlfn.XLOOKUP(VALUE(A545),[1]Fichajes_Realizados!A$2:A$50000,[1]Fichajes_Realizados!D$2:D$50000,,0,-1),
   _xlfn.XLOOKUP(VALUE(A545),[1]Base_Jugadores!A$2:A$50000,[1]Base_Jugadores!C$2:C$50000)
)</f>
        <v>Aston Villa</v>
      </c>
      <c r="D545" s="5" t="str">
        <f aca="false">[1]Base_Jugadores!D545</f>
        <v>Inglaterra</v>
      </c>
      <c r="E545" s="3"/>
      <c r="F545" s="5" t="str">
        <f aca="false">[1]Base_Jugadores!E545</f>
        <v>MO</v>
      </c>
      <c r="G545" s="5" t="n">
        <f aca="false">[1]Base_Jugadores!F545</f>
        <v>78</v>
      </c>
      <c r="H545" s="5" t="n">
        <f aca="false">[1]Base_Jugadores!G545</f>
        <v>22</v>
      </c>
      <c r="I545" s="7" t="n">
        <f aca="false" t="array" ref="I545:I545">_xlfn.XLOOKUP(G545,{55;56;57;58;59;60;61;62;63;64;65;66;67;68;69;70;71;72;73;74;75;76;77;78;79;80;81;82;83;84;85;86;87;88;89;90;91;92;93;94;95;96;97;98;99},{100000;130000;160000;190000;220000;250000;300000;350000;400000;450000;500000;600000;700000;800000;900000;1000000;1500000;2000000;3000000;4000000;5000000;6500000;8000000;10000000;12500000;15000000;20000000;25000000;30000000;35000000;40000000;55000000;70000000;80000000;90000000;110000000;130000000;160000000;190000000;220000000;250000000;280000000;310000000;340000000;400000000})</f>
        <v>10000000</v>
      </c>
      <c r="J545" s="7" t="n">
        <f aca="false">I545*S545*T545*U545</f>
        <v>12915000</v>
      </c>
      <c r="K545" s="3"/>
      <c r="L545" s="3"/>
      <c r="M545" s="3"/>
      <c r="N545" s="9" t="n">
        <v>1</v>
      </c>
      <c r="O545" s="4" t="n">
        <v>0</v>
      </c>
      <c r="P545" s="5" t="n">
        <f aca="false">IF(COUNTIF([1]Base_Jugadores!J$2:J$500,B545)&gt;0,1,0)</f>
        <v>0</v>
      </c>
      <c r="Q545" s="10" t="b">
        <f aca="false">--(COUNTIFS(
   [1]Fichajes_Realizados!A$2:A$5000,A545,
   [1]Fichajes_Realizados!G$2:G$5000,$X$3
)&gt;0)</f>
        <v>0</v>
      </c>
      <c r="R545" s="5" t="n">
        <f aca="false">_xlfn.XLOOKUP(C545, [1]Estado_Equipos!A$2:A$500, [1]Estado_Equipos!J$2:J$500, "")</f>
        <v>81</v>
      </c>
      <c r="S545" s="5" t="n">
        <f aca="false">IF(H545&lt;=16,1.45,
IF(H545&gt;=41,0.3,
CHOOSE(ROUNDDOWN((H545-16)/2,0)+1,
1.45,1.38,1.3,1.23,1.17,1.15,1.12,1.05,0.95,0.8,0.6,0.4,0.3)))</f>
        <v>1.23</v>
      </c>
      <c r="T545" s="5" t="n">
        <f aca="false">CHOOSE(N545+1,1.2,1,0.85,0.7)</f>
        <v>1</v>
      </c>
      <c r="U545" s="5" t="n">
        <f aca="false">IF(F545="PO",0.6,
IF(F545="CT",0.75,
IF(F545="LI",0.8,
IF(F545="LD",0.8,
IF(F545="MCD",0.85,
IF(F545="MC",0.95,
IF(F545="MO",1.05,
IF(F545="EI",1.1,
IF(F545="ED",1.1,
IF(F545="SD",1.15,
IF(F545="DC",1.2,0)))))))))))</f>
        <v>1.05</v>
      </c>
    </row>
    <row r="546" customFormat="false" ht="16.4" hidden="false" customHeight="false" outlineLevel="0" collapsed="false">
      <c r="A546" s="1" t="n">
        <v>545</v>
      </c>
      <c r="B546" s="5" t="str">
        <f aca="false">[1]Base_Jugadores!B546</f>
        <v>Ian Maatsen</v>
      </c>
      <c r="C546" s="5" t="str">
        <f aca="false">IFERROR(
   _xlfn.XLOOKUP(VALUE(A546),[1]Fichajes_Realizados!A$2:A$50000,[1]Fichajes_Realizados!D$2:D$50000,,0,-1),
   _xlfn.XLOOKUP(VALUE(A546),[1]Base_Jugadores!A$2:A$50000,[1]Base_Jugadores!C$2:C$50000)
)</f>
        <v>Aston Villa</v>
      </c>
      <c r="D546" s="5" t="str">
        <f aca="false">[1]Base_Jugadores!D546</f>
        <v>Países Bajos</v>
      </c>
      <c r="E546" s="3"/>
      <c r="F546" s="5" t="str">
        <f aca="false">[1]Base_Jugadores!E546</f>
        <v>LI</v>
      </c>
      <c r="G546" s="5" t="n">
        <f aca="false">[1]Base_Jugadores!F546</f>
        <v>78</v>
      </c>
      <c r="H546" s="5" t="n">
        <f aca="false">[1]Base_Jugadores!G546</f>
        <v>23</v>
      </c>
      <c r="I546" s="7" t="n">
        <f aca="false" t="array" ref="I546:I546">_xlfn.XLOOKUP(G546,{55;56;57;58;59;60;61;62;63;64;65;66;67;68;69;70;71;72;73;74;75;76;77;78;79;80;81;82;83;84;85;86;87;88;89;90;91;92;93;94;95;96;97;98;99},{100000;130000;160000;190000;220000;250000;300000;350000;400000;450000;500000;600000;700000;800000;900000;1000000;1500000;2000000;3000000;4000000;5000000;6500000;8000000;10000000;12500000;15000000;20000000;25000000;30000000;35000000;40000000;55000000;70000000;80000000;90000000;110000000;130000000;160000000;190000000;220000000;250000000;280000000;310000000;340000000;400000000})</f>
        <v>10000000</v>
      </c>
      <c r="J546" s="7" t="n">
        <f aca="false">I546*S546*T546*U546</f>
        <v>8364000</v>
      </c>
      <c r="K546" s="3"/>
      <c r="L546" s="3"/>
      <c r="M546" s="3"/>
      <c r="N546" s="9" t="n">
        <v>2</v>
      </c>
      <c r="O546" s="4" t="n">
        <v>0</v>
      </c>
      <c r="P546" s="5" t="n">
        <f aca="false">IF(COUNTIF([1]Base_Jugadores!J$2:J$500,B546)&gt;0,1,0)</f>
        <v>0</v>
      </c>
      <c r="Q546" s="10" t="b">
        <f aca="false">--(COUNTIFS(
   [1]Fichajes_Realizados!A$2:A$5000,A546,
   [1]Fichajes_Realizados!G$2:G$5000,$X$3
)&gt;0)</f>
        <v>0</v>
      </c>
      <c r="R546" s="5" t="n">
        <f aca="false">_xlfn.XLOOKUP(C546, [1]Estado_Equipos!A$2:A$500, [1]Estado_Equipos!J$2:J$500, "")</f>
        <v>81</v>
      </c>
      <c r="S546" s="5" t="n">
        <f aca="false">IF(H546&lt;=16,1.45,
IF(H546&gt;=41,0.3,
CHOOSE(ROUNDDOWN((H546-16)/2,0)+1,
1.45,1.38,1.3,1.23,1.17,1.15,1.12,1.05,0.95,0.8,0.6,0.4,0.3)))</f>
        <v>1.23</v>
      </c>
      <c r="T546" s="5" t="n">
        <f aca="false">CHOOSE(N546+1,1.2,1,0.85,0.7)</f>
        <v>0.85</v>
      </c>
      <c r="U546" s="5" t="n">
        <f aca="false">IF(F546="PO",0.6,
IF(F546="CT",0.75,
IF(F546="LI",0.8,
IF(F546="LD",0.8,
IF(F546="MCD",0.85,
IF(F546="MC",0.95,
IF(F546="MO",1.05,
IF(F546="EI",1.1,
IF(F546="ED",1.1,
IF(F546="SD",1.15,
IF(F546="DC",1.2,0)))))))))))</f>
        <v>0.8</v>
      </c>
    </row>
    <row r="547" customFormat="false" ht="16.4" hidden="false" customHeight="false" outlineLevel="0" collapsed="false">
      <c r="A547" s="1" t="n">
        <v>546</v>
      </c>
      <c r="B547" s="5" t="str">
        <f aca="false">[1]Base_Jugadores!B547</f>
        <v>Jadon Sancho</v>
      </c>
      <c r="C547" s="5" t="str">
        <f aca="false">IFERROR(
   _xlfn.XLOOKUP(VALUE(A547),[1]Fichajes_Realizados!A$2:A$50000,[1]Fichajes_Realizados!D$2:D$50000,,0,-1),
   _xlfn.XLOOKUP(VALUE(A547),[1]Base_Jugadores!A$2:A$50000,[1]Base_Jugadores!C$2:C$50000)
)</f>
        <v>Aston Villa</v>
      </c>
      <c r="D547" s="5" t="str">
        <f aca="false">[1]Base_Jugadores!D547</f>
        <v>Inglaterra</v>
      </c>
      <c r="E547" s="3"/>
      <c r="F547" s="5" t="str">
        <f aca="false">[1]Base_Jugadores!E547</f>
        <v>EI</v>
      </c>
      <c r="G547" s="5" t="n">
        <f aca="false">[1]Base_Jugadores!F547</f>
        <v>82</v>
      </c>
      <c r="H547" s="5" t="n">
        <f aca="false">[1]Base_Jugadores!G547</f>
        <v>25</v>
      </c>
      <c r="I547" s="7" t="n">
        <f aca="false" t="array" ref="I547:I547">_xlfn.XLOOKUP(G547,{55;56;57;58;59;60;61;62;63;64;65;66;67;68;69;70;71;72;73;74;75;76;77;78;79;80;81;82;83;84;85;86;87;88;89;90;91;92;93;94;95;96;97;98;99},{100000;130000;160000;190000;220000;250000;300000;350000;400000;450000;500000;600000;700000;800000;900000;1000000;1500000;2000000;3000000;4000000;5000000;6500000;8000000;10000000;12500000;15000000;20000000;25000000;30000000;35000000;40000000;55000000;70000000;80000000;90000000;110000000;130000000;160000000;190000000;220000000;250000000;280000000;310000000;340000000;400000000})</f>
        <v>25000000</v>
      </c>
      <c r="J547" s="7" t="n">
        <f aca="false">I547*S547*T547*U547</f>
        <v>38610000</v>
      </c>
      <c r="K547" s="3"/>
      <c r="L547" s="3"/>
      <c r="M547" s="3"/>
      <c r="N547" s="9" t="n">
        <v>0</v>
      </c>
      <c r="O547" s="4" t="n">
        <v>0</v>
      </c>
      <c r="P547" s="5" t="n">
        <f aca="false">IF(COUNTIF([1]Base_Jugadores!J$2:J$500,B547)&gt;0,1,0)</f>
        <v>0</v>
      </c>
      <c r="Q547" s="10" t="b">
        <f aca="false">--(COUNTIFS(
   [1]Fichajes_Realizados!A$2:A$5000,A547,
   [1]Fichajes_Realizados!G$2:G$5000,$X$3
)&gt;0)</f>
        <v>0</v>
      </c>
      <c r="R547" s="5" t="n">
        <f aca="false">_xlfn.XLOOKUP(C547, [1]Estado_Equipos!A$2:A$500, [1]Estado_Equipos!J$2:J$500, "")</f>
        <v>81</v>
      </c>
      <c r="S547" s="5" t="n">
        <f aca="false">IF(H547&lt;=16,1.45,
IF(H547&gt;=41,0.3,
CHOOSE(ROUNDDOWN((H547-16)/2,0)+1,
1.45,1.38,1.3,1.23,1.17,1.15,1.12,1.05,0.95,0.8,0.6,0.4,0.3)))</f>
        <v>1.17</v>
      </c>
      <c r="T547" s="5" t="n">
        <f aca="false">CHOOSE(N547+1,1.2,1,0.85,0.7)</f>
        <v>1.2</v>
      </c>
      <c r="U547" s="5" t="n">
        <f aca="false">IF(F547="PO",0.6,
IF(F547="CT",0.75,
IF(F547="LI",0.8,
IF(F547="LD",0.8,
IF(F547="MCD",0.85,
IF(F547="MC",0.95,
IF(F547="MO",1.05,
IF(F547="EI",1.1,
IF(F547="ED",1.1,
IF(F547="SD",1.15,
IF(F547="DC",1.2,0)))))))))))</f>
        <v>1.1</v>
      </c>
    </row>
    <row r="548" customFormat="false" ht="16.4" hidden="false" customHeight="false" outlineLevel="0" collapsed="false">
      <c r="A548" s="1" t="n">
        <v>547</v>
      </c>
      <c r="B548" s="5" t="str">
        <f aca="false">[1]Base_Jugadores!B548</f>
        <v>John McGinn</v>
      </c>
      <c r="C548" s="5" t="str">
        <f aca="false">IFERROR(
   _xlfn.XLOOKUP(VALUE(A548),[1]Fichajes_Realizados!A$2:A$50000,[1]Fichajes_Realizados!D$2:D$50000,,0,-1),
   _xlfn.XLOOKUP(VALUE(A548),[1]Base_Jugadores!A$2:A$50000,[1]Base_Jugadores!C$2:C$50000)
)</f>
        <v>Aston Villa</v>
      </c>
      <c r="D548" s="5" t="str">
        <f aca="false">[1]Base_Jugadores!D548</f>
        <v>Escocia</v>
      </c>
      <c r="E548" s="3"/>
      <c r="F548" s="5" t="str">
        <f aca="false">[1]Base_Jugadores!E548</f>
        <v>MC</v>
      </c>
      <c r="G548" s="5" t="n">
        <f aca="false">[1]Base_Jugadores!F548</f>
        <v>82</v>
      </c>
      <c r="H548" s="5" t="n">
        <f aca="false">[1]Base_Jugadores!G548</f>
        <v>31</v>
      </c>
      <c r="I548" s="7" t="n">
        <f aca="false" t="array" ref="I548:I548">_xlfn.XLOOKUP(G548,{55;56;57;58;59;60;61;62;63;64;65;66;67;68;69;70;71;72;73;74;75;76;77;78;79;80;81;82;83;84;85;86;87;88;89;90;91;92;93;94;95;96;97;98;99},{100000;130000;160000;190000;220000;250000;300000;350000;400000;450000;500000;600000;700000;800000;900000;1000000;1500000;2000000;3000000;4000000;5000000;6500000;8000000;10000000;12500000;15000000;20000000;25000000;30000000;35000000;40000000;55000000;70000000;80000000;90000000;110000000;130000000;160000000;190000000;220000000;250000000;280000000;310000000;340000000;400000000})</f>
        <v>25000000</v>
      </c>
      <c r="J548" s="7" t="n">
        <f aca="false">I548*S548*T548*U548</f>
        <v>24937500</v>
      </c>
      <c r="K548" s="3"/>
      <c r="L548" s="3"/>
      <c r="M548" s="3"/>
      <c r="N548" s="9" t="n">
        <v>1</v>
      </c>
      <c r="O548" s="4" t="n">
        <v>0</v>
      </c>
      <c r="P548" s="5" t="n">
        <f aca="false">IF(COUNTIF([1]Base_Jugadores!J$2:J$500,B548)&gt;0,1,0)</f>
        <v>0</v>
      </c>
      <c r="Q548" s="10" t="b">
        <f aca="false">--(COUNTIFS(
   [1]Fichajes_Realizados!A$2:A$5000,A548,
   [1]Fichajes_Realizados!G$2:G$5000,$X$3
)&gt;0)</f>
        <v>0</v>
      </c>
      <c r="R548" s="5" t="n">
        <f aca="false">_xlfn.XLOOKUP(C548, [1]Estado_Equipos!A$2:A$500, [1]Estado_Equipos!J$2:J$500, "")</f>
        <v>81</v>
      </c>
      <c r="S548" s="5" t="n">
        <f aca="false">IF(H548&lt;=16,1.45,
IF(H548&gt;=41,0.3,
CHOOSE(ROUNDDOWN((H548-16)/2,0)+1,
1.45,1.38,1.3,1.23,1.17,1.15,1.12,1.05,0.95,0.8,0.6,0.4,0.3)))</f>
        <v>1.05</v>
      </c>
      <c r="T548" s="5" t="n">
        <f aca="false">CHOOSE(N548+1,1.2,1,0.85,0.7)</f>
        <v>1</v>
      </c>
      <c r="U548" s="5" t="n">
        <f aca="false">IF(F548="PO",0.6,
IF(F548="CT",0.75,
IF(F548="LI",0.8,
IF(F548="LD",0.8,
IF(F548="MCD",0.85,
IF(F548="MC",0.95,
IF(F548="MO",1.05,
IF(F548="EI",1.1,
IF(F548="ED",1.1,
IF(F548="SD",1.15,
IF(F548="DC",1.2,0)))))))))))</f>
        <v>0.95</v>
      </c>
    </row>
    <row r="549" customFormat="false" ht="16.4" hidden="false" customHeight="false" outlineLevel="0" collapsed="false">
      <c r="A549" s="1" t="n">
        <v>548</v>
      </c>
      <c r="B549" s="5" t="str">
        <f aca="false">[1]Base_Jugadores!B549</f>
        <v>Lamare Bogarde</v>
      </c>
      <c r="C549" s="5" t="str">
        <f aca="false">IFERROR(
   _xlfn.XLOOKUP(VALUE(A549),[1]Fichajes_Realizados!A$2:A$50000,[1]Fichajes_Realizados!D$2:D$50000,,0,-1),
   _xlfn.XLOOKUP(VALUE(A549),[1]Base_Jugadores!A$2:A$50000,[1]Base_Jugadores!C$2:C$50000)
)</f>
        <v>Aston Villa</v>
      </c>
      <c r="D549" s="5" t="str">
        <f aca="false">[1]Base_Jugadores!D549</f>
        <v>Países Bajos</v>
      </c>
      <c r="E549" s="3"/>
      <c r="F549" s="5" t="str">
        <f aca="false">[1]Base_Jugadores!E549</f>
        <v>MCD</v>
      </c>
      <c r="G549" s="5" t="n">
        <f aca="false">[1]Base_Jugadores!F549</f>
        <v>66</v>
      </c>
      <c r="H549" s="5" t="n">
        <f aca="false">[1]Base_Jugadores!G549</f>
        <v>21</v>
      </c>
      <c r="I549" s="7" t="n">
        <f aca="false" t="array" ref="I549:I549">_xlfn.XLOOKUP(G549,{55;56;57;58;59;60;61;62;63;64;65;66;67;68;69;70;71;72;73;74;75;76;77;78;79;80;81;82;83;84;85;86;87;88;89;90;91;92;93;94;95;96;97;98;99},{100000;130000;160000;190000;220000;250000;300000;350000;400000;450000;500000;600000;700000;800000;900000;1000000;1500000;2000000;3000000;4000000;5000000;6500000;8000000;10000000;12500000;15000000;20000000;25000000;30000000;35000000;40000000;55000000;70000000;80000000;90000000;110000000;130000000;160000000;190000000;220000000;250000000;280000000;310000000;340000000;400000000})</f>
        <v>600000</v>
      </c>
      <c r="J549" s="7" t="n">
        <f aca="false">I549*S549*T549*U549</f>
        <v>563550</v>
      </c>
      <c r="K549" s="3"/>
      <c r="L549" s="3"/>
      <c r="M549" s="3"/>
      <c r="N549" s="9" t="n">
        <v>2</v>
      </c>
      <c r="O549" s="4" t="n">
        <v>0</v>
      </c>
      <c r="P549" s="5" t="n">
        <f aca="false">IF(COUNTIF([1]Base_Jugadores!J$2:J$500,B549)&gt;0,1,0)</f>
        <v>0</v>
      </c>
      <c r="Q549" s="10" t="b">
        <f aca="false">--(COUNTIFS(
   [1]Fichajes_Realizados!A$2:A$5000,A549,
   [1]Fichajes_Realizados!G$2:G$5000,$X$3
)&gt;0)</f>
        <v>0</v>
      </c>
      <c r="R549" s="5" t="n">
        <f aca="false">_xlfn.XLOOKUP(C549, [1]Estado_Equipos!A$2:A$500, [1]Estado_Equipos!J$2:J$500, "")</f>
        <v>81</v>
      </c>
      <c r="S549" s="5" t="n">
        <f aca="false">IF(H549&lt;=16,1.45,
IF(H549&gt;=41,0.3,
CHOOSE(ROUNDDOWN((H549-16)/2,0)+1,
1.45,1.38,1.3,1.23,1.17,1.15,1.12,1.05,0.95,0.8,0.6,0.4,0.3)))</f>
        <v>1.3</v>
      </c>
      <c r="T549" s="5" t="n">
        <f aca="false">CHOOSE(N549+1,1.2,1,0.85,0.7)</f>
        <v>0.85</v>
      </c>
      <c r="U549" s="5" t="n">
        <f aca="false">IF(F549="PO",0.6,
IF(F549="CT",0.75,
IF(F549="LI",0.8,
IF(F549="LD",0.8,
IF(F549="MCD",0.85,
IF(F549="MC",0.95,
IF(F549="MO",1.05,
IF(F549="EI",1.1,
IF(F549="ED",1.1,
IF(F549="SD",1.15,
IF(F549="DC",1.2,0)))))))))))</f>
        <v>0.85</v>
      </c>
    </row>
    <row r="550" customFormat="false" ht="16.4" hidden="false" customHeight="false" outlineLevel="0" collapsed="false">
      <c r="A550" s="1" t="n">
        <v>549</v>
      </c>
      <c r="B550" s="5" t="str">
        <f aca="false">[1]Base_Jugadores!B550</f>
        <v>Lucas Digne</v>
      </c>
      <c r="C550" s="5" t="str">
        <f aca="false">IFERROR(
   _xlfn.XLOOKUP(VALUE(A550),[1]Fichajes_Realizados!A$2:A$50000,[1]Fichajes_Realizados!D$2:D$50000,,0,-1),
   _xlfn.XLOOKUP(VALUE(A550),[1]Base_Jugadores!A$2:A$50000,[1]Base_Jugadores!C$2:C$50000)
)</f>
        <v>Aston Villa</v>
      </c>
      <c r="D550" s="5" t="str">
        <f aca="false">[1]Base_Jugadores!D550</f>
        <v>Francia</v>
      </c>
      <c r="E550" s="3"/>
      <c r="F550" s="5" t="str">
        <f aca="false">[1]Base_Jugadores!E550</f>
        <v>LI</v>
      </c>
      <c r="G550" s="5" t="n">
        <f aca="false">[1]Base_Jugadores!F550</f>
        <v>80</v>
      </c>
      <c r="H550" s="5" t="n">
        <f aca="false">[1]Base_Jugadores!G550</f>
        <v>32</v>
      </c>
      <c r="I550" s="7" t="n">
        <f aca="false" t="array" ref="I550:I550">_xlfn.XLOOKUP(G550,{55;56;57;58;59;60;61;62;63;64;65;66;67;68;69;70;71;72;73;74;75;76;77;78;79;80;81;82;83;84;85;86;87;88;89;90;91;92;93;94;95;96;97;98;99},{100000;130000;160000;190000;220000;250000;300000;350000;400000;450000;500000;600000;700000;800000;900000;1000000;1500000;2000000;3000000;4000000;5000000;6500000;8000000;10000000;12500000;15000000;20000000;25000000;30000000;35000000;40000000;55000000;70000000;80000000;90000000;110000000;130000000;160000000;190000000;220000000;250000000;280000000;310000000;340000000;400000000})</f>
        <v>15000000</v>
      </c>
      <c r="J550" s="7" t="n">
        <f aca="false">I550*S550*T550*U550</f>
        <v>13680000</v>
      </c>
      <c r="K550" s="3"/>
      <c r="L550" s="3"/>
      <c r="M550" s="3"/>
      <c r="N550" s="9" t="n">
        <v>0</v>
      </c>
      <c r="O550" s="4" t="n">
        <v>0</v>
      </c>
      <c r="P550" s="5" t="n">
        <f aca="false">IF(COUNTIF([1]Base_Jugadores!J$2:J$500,B550)&gt;0,1,0)</f>
        <v>0</v>
      </c>
      <c r="Q550" s="10" t="b">
        <f aca="false">--(COUNTIFS(
   [1]Fichajes_Realizados!A$2:A$5000,A550,
   [1]Fichajes_Realizados!G$2:G$5000,$X$3
)&gt;0)</f>
        <v>0</v>
      </c>
      <c r="R550" s="5" t="n">
        <f aca="false">_xlfn.XLOOKUP(C550, [1]Estado_Equipos!A$2:A$500, [1]Estado_Equipos!J$2:J$500, "")</f>
        <v>81</v>
      </c>
      <c r="S550" s="5" t="n">
        <f aca="false">IF(H550&lt;=16,1.45,
IF(H550&gt;=41,0.3,
CHOOSE(ROUNDDOWN((H550-16)/2,0)+1,
1.45,1.38,1.3,1.23,1.17,1.15,1.12,1.05,0.95,0.8,0.6,0.4,0.3)))</f>
        <v>0.95</v>
      </c>
      <c r="T550" s="5" t="n">
        <f aca="false">CHOOSE(N550+1,1.2,1,0.85,0.7)</f>
        <v>1.2</v>
      </c>
      <c r="U550" s="5" t="n">
        <f aca="false">IF(F550="PO",0.6,
IF(F550="CT",0.75,
IF(F550="LI",0.8,
IF(F550="LD",0.8,
IF(F550="MCD",0.85,
IF(F550="MC",0.95,
IF(F550="MO",1.05,
IF(F550="EI",1.1,
IF(F550="ED",1.1,
IF(F550="SD",1.15,
IF(F550="DC",1.2,0)))))))))))</f>
        <v>0.8</v>
      </c>
    </row>
    <row r="551" customFormat="false" ht="16.4" hidden="false" customHeight="false" outlineLevel="0" collapsed="false">
      <c r="A551" s="1" t="n">
        <v>550</v>
      </c>
      <c r="B551" s="5" t="str">
        <f aca="false">[1]Base_Jugadores!B551</f>
        <v>Marco Bizot</v>
      </c>
      <c r="C551" s="5" t="str">
        <f aca="false">IFERROR(
   _xlfn.XLOOKUP(VALUE(A551),[1]Fichajes_Realizados!A$2:A$50000,[1]Fichajes_Realizados!D$2:D$50000,,0,-1),
   _xlfn.XLOOKUP(VALUE(A551),[1]Base_Jugadores!A$2:A$50000,[1]Base_Jugadores!C$2:C$50000)
)</f>
        <v>Aston Villa</v>
      </c>
      <c r="D551" s="5" t="str">
        <f aca="false">[1]Base_Jugadores!D551</f>
        <v>Países Bajos</v>
      </c>
      <c r="E551" s="3"/>
      <c r="F551" s="5" t="str">
        <f aca="false">[1]Base_Jugadores!E551</f>
        <v>PO</v>
      </c>
      <c r="G551" s="5" t="n">
        <f aca="false">[1]Base_Jugadores!F551</f>
        <v>79</v>
      </c>
      <c r="H551" s="5" t="n">
        <f aca="false">[1]Base_Jugadores!G551</f>
        <v>34</v>
      </c>
      <c r="I551" s="7" t="n">
        <f aca="false" t="array" ref="I551:I551">_xlfn.XLOOKUP(G551,{55;56;57;58;59;60;61;62;63;64;65;66;67;68;69;70;71;72;73;74;75;76;77;78;79;80;81;82;83;84;85;86;87;88;89;90;91;92;93;94;95;96;97;98;99},{100000;130000;160000;190000;220000;250000;300000;350000;400000;450000;500000;600000;700000;800000;900000;1000000;1500000;2000000;3000000;4000000;5000000;6500000;8000000;10000000;12500000;15000000;20000000;25000000;30000000;35000000;40000000;55000000;70000000;80000000;90000000;110000000;130000000;160000000;190000000;220000000;250000000;280000000;310000000;340000000;400000000})</f>
        <v>12500000</v>
      </c>
      <c r="J551" s="7" t="n">
        <f aca="false">I551*S551*T551*U551</f>
        <v>5100000</v>
      </c>
      <c r="K551" s="3"/>
      <c r="L551" s="3"/>
      <c r="M551" s="3"/>
      <c r="N551" s="9" t="n">
        <v>2</v>
      </c>
      <c r="O551" s="4" t="n">
        <v>0</v>
      </c>
      <c r="P551" s="5" t="n">
        <f aca="false">IF(COUNTIF([1]Base_Jugadores!J$2:J$500,B551)&gt;0,1,0)</f>
        <v>0</v>
      </c>
      <c r="Q551" s="10" t="b">
        <f aca="false">--(COUNTIFS(
   [1]Fichajes_Realizados!A$2:A$5000,A551,
   [1]Fichajes_Realizados!G$2:G$5000,$X$3
)&gt;0)</f>
        <v>0</v>
      </c>
      <c r="R551" s="5" t="n">
        <f aca="false">_xlfn.XLOOKUP(C551, [1]Estado_Equipos!A$2:A$500, [1]Estado_Equipos!J$2:J$500, "")</f>
        <v>81</v>
      </c>
      <c r="S551" s="5" t="n">
        <f aca="false">IF(H551&lt;=16,1.45,
IF(H551&gt;=41,0.3,
CHOOSE(ROUNDDOWN((H551-16)/2,0)+1,
1.45,1.38,1.3,1.23,1.17,1.15,1.12,1.05,0.95,0.8,0.6,0.4,0.3)))</f>
        <v>0.8</v>
      </c>
      <c r="T551" s="5" t="n">
        <f aca="false">CHOOSE(N551+1,1.2,1,0.85,0.7)</f>
        <v>0.85</v>
      </c>
      <c r="U551" s="5" t="n">
        <f aca="false">IF(F551="PO",0.6,
IF(F551="CT",0.75,
IF(F551="LI",0.8,
IF(F551="LD",0.8,
IF(F551="MCD",0.85,
IF(F551="MC",0.95,
IF(F551="MO",1.05,
IF(F551="EI",1.1,
IF(F551="ED",1.1,
IF(F551="SD",1.15,
IF(F551="DC",1.2,0)))))))))))</f>
        <v>0.6</v>
      </c>
    </row>
    <row r="552" customFormat="false" ht="16.4" hidden="false" customHeight="false" outlineLevel="0" collapsed="false">
      <c r="A552" s="1" t="n">
        <v>551</v>
      </c>
      <c r="B552" s="5" t="str">
        <f aca="false">[1]Base_Jugadores!B552</f>
        <v>Matty Cash</v>
      </c>
      <c r="C552" s="5" t="str">
        <f aca="false">IFERROR(
   _xlfn.XLOOKUP(VALUE(A552),[1]Fichajes_Realizados!A$2:A$50000,[1]Fichajes_Realizados!D$2:D$50000,,0,-1),
   _xlfn.XLOOKUP(VALUE(A552),[1]Base_Jugadores!A$2:A$50000,[1]Base_Jugadores!C$2:C$50000)
)</f>
        <v>Aston Villa</v>
      </c>
      <c r="D552" s="5" t="str">
        <f aca="false">[1]Base_Jugadores!D552</f>
        <v>Polonia</v>
      </c>
      <c r="E552" s="3"/>
      <c r="F552" s="5" t="str">
        <f aca="false">[1]Base_Jugadores!E552</f>
        <v>LD</v>
      </c>
      <c r="G552" s="5" t="n">
        <f aca="false">[1]Base_Jugadores!F552</f>
        <v>79</v>
      </c>
      <c r="H552" s="5" t="n">
        <f aca="false">[1]Base_Jugadores!G552</f>
        <v>28</v>
      </c>
      <c r="I552" s="7" t="n">
        <f aca="false" t="array" ref="I552:I552">_xlfn.XLOOKUP(G552,{55;56;57;58;59;60;61;62;63;64;65;66;67;68;69;70;71;72;73;74;75;76;77;78;79;80;81;82;83;84;85;86;87;88;89;90;91;92;93;94;95;96;97;98;99},{100000;130000;160000;190000;220000;250000;300000;350000;400000;450000;500000;600000;700000;800000;900000;1000000;1500000;2000000;3000000;4000000;5000000;6500000;8000000;10000000;12500000;15000000;20000000;25000000;30000000;35000000;40000000;55000000;70000000;80000000;90000000;110000000;130000000;160000000;190000000;220000000;250000000;280000000;310000000;340000000;400000000})</f>
        <v>12500000</v>
      </c>
      <c r="J552" s="7" t="n">
        <f aca="false">I552*S552*T552*U552</f>
        <v>13440000</v>
      </c>
      <c r="K552" s="3"/>
      <c r="L552" s="3"/>
      <c r="M552" s="3"/>
      <c r="N552" s="9" t="n">
        <v>0</v>
      </c>
      <c r="O552" s="4" t="n">
        <v>0</v>
      </c>
      <c r="P552" s="5" t="n">
        <f aca="false">IF(COUNTIF([1]Base_Jugadores!J$2:J$500,B552)&gt;0,1,0)</f>
        <v>0</v>
      </c>
      <c r="Q552" s="10" t="b">
        <f aca="false">--(COUNTIFS(
   [1]Fichajes_Realizados!A$2:A$5000,A552,
   [1]Fichajes_Realizados!G$2:G$5000,$X$3
)&gt;0)</f>
        <v>0</v>
      </c>
      <c r="R552" s="5" t="n">
        <f aca="false">_xlfn.XLOOKUP(C552, [1]Estado_Equipos!A$2:A$500, [1]Estado_Equipos!J$2:J$500, "")</f>
        <v>81</v>
      </c>
      <c r="S552" s="5" t="n">
        <f aca="false">IF(H552&lt;=16,1.45,
IF(H552&gt;=41,0.3,
CHOOSE(ROUNDDOWN((H552-16)/2,0)+1,
1.45,1.38,1.3,1.23,1.17,1.15,1.12,1.05,0.95,0.8,0.6,0.4,0.3)))</f>
        <v>1.12</v>
      </c>
      <c r="T552" s="5" t="n">
        <f aca="false">CHOOSE(N552+1,1.2,1,0.85,0.7)</f>
        <v>1.2</v>
      </c>
      <c r="U552" s="5" t="n">
        <f aca="false">IF(F552="PO",0.6,
IF(F552="CT",0.75,
IF(F552="LI",0.8,
IF(F552="LD",0.8,
IF(F552="MCD",0.85,
IF(F552="MC",0.95,
IF(F552="MO",1.05,
IF(F552="EI",1.1,
IF(F552="ED",1.1,
IF(F552="SD",1.15,
IF(F552="DC",1.2,0)))))))))))</f>
        <v>0.8</v>
      </c>
    </row>
    <row r="553" customFormat="false" ht="16.4" hidden="false" customHeight="false" outlineLevel="0" collapsed="false">
      <c r="A553" s="1" t="n">
        <v>552</v>
      </c>
      <c r="B553" s="5" t="str">
        <f aca="false">[1]Base_Jugadores!B553</f>
        <v>Morgan Rogers</v>
      </c>
      <c r="C553" s="5" t="str">
        <f aca="false">IFERROR(
   _xlfn.XLOOKUP(VALUE(A553),[1]Fichajes_Realizados!A$2:A$50000,[1]Fichajes_Realizados!D$2:D$50000,,0,-1),
   _xlfn.XLOOKUP(VALUE(A553),[1]Base_Jugadores!A$2:A$50000,[1]Base_Jugadores!C$2:C$50000)
)</f>
        <v>Aston Villa</v>
      </c>
      <c r="D553" s="5" t="str">
        <f aca="false">[1]Base_Jugadores!D553</f>
        <v>Inglaterra</v>
      </c>
      <c r="E553" s="3"/>
      <c r="F553" s="5" t="str">
        <f aca="false">[1]Base_Jugadores!E553</f>
        <v>MO</v>
      </c>
      <c r="G553" s="5" t="n">
        <f aca="false">[1]Base_Jugadores!F553</f>
        <v>80</v>
      </c>
      <c r="H553" s="5" t="n">
        <f aca="false">[1]Base_Jugadores!G553</f>
        <v>23</v>
      </c>
      <c r="I553" s="7" t="n">
        <f aca="false" t="array" ref="I553:I553">_xlfn.XLOOKUP(G553,{55;56;57;58;59;60;61;62;63;64;65;66;67;68;69;70;71;72;73;74;75;76;77;78;79;80;81;82;83;84;85;86;87;88;89;90;91;92;93;94;95;96;97;98;99},{100000;130000;160000;190000;220000;250000;300000;350000;400000;450000;500000;600000;700000;800000;900000;1000000;1500000;2000000;3000000;4000000;5000000;6500000;8000000;10000000;12500000;15000000;20000000;25000000;30000000;35000000;40000000;55000000;70000000;80000000;90000000;110000000;130000000;160000000;190000000;220000000;250000000;280000000;310000000;340000000;400000000})</f>
        <v>15000000</v>
      </c>
      <c r="J553" s="7" t="n">
        <f aca="false">I553*S553*T553*U553</f>
        <v>23247000</v>
      </c>
      <c r="K553" s="3"/>
      <c r="L553" s="3"/>
      <c r="M553" s="3"/>
      <c r="N553" s="9" t="n">
        <v>0</v>
      </c>
      <c r="O553" s="4" t="n">
        <v>0</v>
      </c>
      <c r="P553" s="5" t="n">
        <f aca="false">IF(COUNTIF([1]Base_Jugadores!J$2:J$500,B553)&gt;0,1,0)</f>
        <v>0</v>
      </c>
      <c r="Q553" s="10" t="b">
        <f aca="false">--(COUNTIFS(
   [1]Fichajes_Realizados!A$2:A$5000,A553,
   [1]Fichajes_Realizados!G$2:G$5000,$X$3
)&gt;0)</f>
        <v>0</v>
      </c>
      <c r="R553" s="5" t="n">
        <f aca="false">_xlfn.XLOOKUP(C553, [1]Estado_Equipos!A$2:A$500, [1]Estado_Equipos!J$2:J$500, "")</f>
        <v>81</v>
      </c>
      <c r="S553" s="5" t="n">
        <f aca="false">IF(H553&lt;=16,1.45,
IF(H553&gt;=41,0.3,
CHOOSE(ROUNDDOWN((H553-16)/2,0)+1,
1.45,1.38,1.3,1.23,1.17,1.15,1.12,1.05,0.95,0.8,0.6,0.4,0.3)))</f>
        <v>1.23</v>
      </c>
      <c r="T553" s="5" t="n">
        <f aca="false">CHOOSE(N553+1,1.2,1,0.85,0.7)</f>
        <v>1.2</v>
      </c>
      <c r="U553" s="5" t="n">
        <f aca="false">IF(F553="PO",0.6,
IF(F553="CT",0.75,
IF(F553="LI",0.8,
IF(F553="LD",0.8,
IF(F553="MCD",0.85,
IF(F553="MC",0.95,
IF(F553="MO",1.05,
IF(F553="EI",1.1,
IF(F553="ED",1.1,
IF(F553="SD",1.15,
IF(F553="DC",1.2,0)))))))))))</f>
        <v>1.05</v>
      </c>
    </row>
    <row r="554" customFormat="false" ht="16.4" hidden="false" customHeight="false" outlineLevel="0" collapsed="false">
      <c r="A554" s="1" t="n">
        <v>553</v>
      </c>
      <c r="B554" s="5" t="str">
        <f aca="false">[1]Base_Jugadores!B554</f>
        <v>Ollie Watkins</v>
      </c>
      <c r="C554" s="5" t="str">
        <f aca="false">IFERROR(
   _xlfn.XLOOKUP(VALUE(A554),[1]Fichajes_Realizados!A$2:A$50000,[1]Fichajes_Realizados!D$2:D$50000,,0,-1),
   _xlfn.XLOOKUP(VALUE(A554),[1]Base_Jugadores!A$2:A$50000,[1]Base_Jugadores!C$2:C$50000)
)</f>
        <v>Aston Villa</v>
      </c>
      <c r="D554" s="5" t="str">
        <f aca="false">[1]Base_Jugadores!D554</f>
        <v>Inglaterra</v>
      </c>
      <c r="E554" s="3"/>
      <c r="F554" s="5" t="str">
        <f aca="false">[1]Base_Jugadores!E554</f>
        <v>DC</v>
      </c>
      <c r="G554" s="5" t="n">
        <f aca="false">[1]Base_Jugadores!F554</f>
        <v>85</v>
      </c>
      <c r="H554" s="5" t="n">
        <f aca="false">[1]Base_Jugadores!G554</f>
        <v>30</v>
      </c>
      <c r="I554" s="7" t="n">
        <f aca="false" t="array" ref="I554:I554">_xlfn.XLOOKUP(G554,{55;56;57;58;59;60;61;62;63;64;65;66;67;68;69;70;71;72;73;74;75;76;77;78;79;80;81;82;83;84;85;86;87;88;89;90;91;92;93;94;95;96;97;98;99},{100000;130000;160000;190000;220000;250000;300000;350000;400000;450000;500000;600000;700000;800000;900000;1000000;1500000;2000000;3000000;4000000;5000000;6500000;8000000;10000000;12500000;15000000;20000000;25000000;30000000;35000000;40000000;55000000;70000000;80000000;90000000;110000000;130000000;160000000;190000000;220000000;250000000;280000000;310000000;340000000;400000000})</f>
        <v>40000000</v>
      </c>
      <c r="J554" s="7" t="n">
        <f aca="false">I554*S554*T554*U554</f>
        <v>60480000</v>
      </c>
      <c r="K554" s="3"/>
      <c r="L554" s="3"/>
      <c r="M554" s="3"/>
      <c r="N554" s="9" t="n">
        <v>0</v>
      </c>
      <c r="O554" s="4" t="n">
        <v>0</v>
      </c>
      <c r="P554" s="5" t="n">
        <f aca="false">IF(COUNTIF([1]Base_Jugadores!J$2:J$500,B554)&gt;0,1,0)</f>
        <v>0</v>
      </c>
      <c r="Q554" s="10" t="b">
        <f aca="false">--(COUNTIFS(
   [1]Fichajes_Realizados!A$2:A$5000,A554,
   [1]Fichajes_Realizados!G$2:G$5000,$X$3
)&gt;0)</f>
        <v>0</v>
      </c>
      <c r="R554" s="5" t="n">
        <f aca="false">_xlfn.XLOOKUP(C554, [1]Estado_Equipos!A$2:A$500, [1]Estado_Equipos!J$2:J$500, "")</f>
        <v>81</v>
      </c>
      <c r="S554" s="5" t="n">
        <f aca="false">IF(H554&lt;=16,1.45,
IF(H554&gt;=41,0.3,
CHOOSE(ROUNDDOWN((H554-16)/2,0)+1,
1.45,1.38,1.3,1.23,1.17,1.15,1.12,1.05,0.95,0.8,0.6,0.4,0.3)))</f>
        <v>1.05</v>
      </c>
      <c r="T554" s="5" t="n">
        <f aca="false">CHOOSE(N554+1,1.2,1,0.85,0.7)</f>
        <v>1.2</v>
      </c>
      <c r="U554" s="5" t="n">
        <f aca="false">IF(F554="PO",0.6,
IF(F554="CT",0.75,
IF(F554="LI",0.8,
IF(F554="LD",0.8,
IF(F554="MCD",0.85,
IF(F554="MC",0.95,
IF(F554="MO",1.05,
IF(F554="EI",1.1,
IF(F554="ED",1.1,
IF(F554="SD",1.15,
IF(F554="DC",1.2,0)))))))))))</f>
        <v>1.2</v>
      </c>
    </row>
    <row r="555" customFormat="false" ht="16.4" hidden="false" customHeight="false" outlineLevel="0" collapsed="false">
      <c r="A555" s="1" t="n">
        <v>554</v>
      </c>
      <c r="B555" s="5" t="str">
        <f aca="false">[1]Base_Jugadores!B555</f>
        <v>Pau Torres</v>
      </c>
      <c r="C555" s="5" t="str">
        <f aca="false">IFERROR(
   _xlfn.XLOOKUP(VALUE(A555),[1]Fichajes_Realizados!A$2:A$50000,[1]Fichajes_Realizados!D$2:D$50000,,0,-1),
   _xlfn.XLOOKUP(VALUE(A555),[1]Base_Jugadores!A$2:A$50000,[1]Base_Jugadores!C$2:C$50000)
)</f>
        <v>Aston Villa</v>
      </c>
      <c r="D555" s="5" t="str">
        <f aca="false">[1]Base_Jugadores!D555</f>
        <v>España</v>
      </c>
      <c r="E555" s="3"/>
      <c r="F555" s="5" t="str">
        <f aca="false">[1]Base_Jugadores!E555</f>
        <v>CT</v>
      </c>
      <c r="G555" s="5" t="n">
        <f aca="false">[1]Base_Jugadores!F555</f>
        <v>83</v>
      </c>
      <c r="H555" s="5" t="n">
        <f aca="false">[1]Base_Jugadores!G555</f>
        <v>28</v>
      </c>
      <c r="I555" s="7" t="n">
        <f aca="false" t="array" ref="I555:I555">_xlfn.XLOOKUP(G555,{55;56;57;58;59;60;61;62;63;64;65;66;67;68;69;70;71;72;73;74;75;76;77;78;79;80;81;82;83;84;85;86;87;88;89;90;91;92;93;94;95;96;97;98;99},{100000;130000;160000;190000;220000;250000;300000;350000;400000;450000;500000;600000;700000;800000;900000;1000000;1500000;2000000;3000000;4000000;5000000;6500000;8000000;10000000;12500000;15000000;20000000;25000000;30000000;35000000;40000000;55000000;70000000;80000000;90000000;110000000;130000000;160000000;190000000;220000000;250000000;280000000;310000000;340000000;400000000})</f>
        <v>30000000</v>
      </c>
      <c r="J555" s="7" t="n">
        <f aca="false">I555*S555*T555*U555</f>
        <v>30240000</v>
      </c>
      <c r="K555" s="3"/>
      <c r="L555" s="3"/>
      <c r="M555" s="3"/>
      <c r="N555" s="9" t="n">
        <v>0</v>
      </c>
      <c r="O555" s="4" t="n">
        <v>0</v>
      </c>
      <c r="P555" s="5" t="n">
        <f aca="false">IF(COUNTIF([1]Base_Jugadores!J$2:J$500,B555)&gt;0,1,0)</f>
        <v>0</v>
      </c>
      <c r="Q555" s="10" t="b">
        <f aca="false">--(COUNTIFS(
   [1]Fichajes_Realizados!A$2:A$5000,A555,
   [1]Fichajes_Realizados!G$2:G$5000,$X$3
)&gt;0)</f>
        <v>0</v>
      </c>
      <c r="R555" s="5" t="n">
        <f aca="false">_xlfn.XLOOKUP(C555, [1]Estado_Equipos!A$2:A$500, [1]Estado_Equipos!J$2:J$500, "")</f>
        <v>81</v>
      </c>
      <c r="S555" s="5" t="n">
        <f aca="false">IF(H555&lt;=16,1.45,
IF(H555&gt;=41,0.3,
CHOOSE(ROUNDDOWN((H555-16)/2,0)+1,
1.45,1.38,1.3,1.23,1.17,1.15,1.12,1.05,0.95,0.8,0.6,0.4,0.3)))</f>
        <v>1.12</v>
      </c>
      <c r="T555" s="5" t="n">
        <f aca="false">CHOOSE(N555+1,1.2,1,0.85,0.7)</f>
        <v>1.2</v>
      </c>
      <c r="U555" s="5" t="n">
        <f aca="false">IF(F555="PO",0.6,
IF(F555="CT",0.75,
IF(F555="LI",0.8,
IF(F555="LD",0.8,
IF(F555="MCD",0.85,
IF(F555="MC",0.95,
IF(F555="MO",1.05,
IF(F555="EI",1.1,
IF(F555="ED",1.1,
IF(F555="SD",1.15,
IF(F555="DC",1.2,0)))))))))))</f>
        <v>0.75</v>
      </c>
    </row>
    <row r="556" customFormat="false" ht="16.4" hidden="false" customHeight="false" outlineLevel="0" collapsed="false">
      <c r="A556" s="1" t="n">
        <v>555</v>
      </c>
      <c r="B556" s="5" t="str">
        <f aca="false">[1]Base_Jugadores!B556</f>
        <v>Ross Barkley</v>
      </c>
      <c r="C556" s="5" t="str">
        <f aca="false">IFERROR(
   _xlfn.XLOOKUP(VALUE(A556),[1]Fichajes_Realizados!A$2:A$50000,[1]Fichajes_Realizados!D$2:D$50000,,0,-1),
   _xlfn.XLOOKUP(VALUE(A556),[1]Base_Jugadores!A$2:A$50000,[1]Base_Jugadores!C$2:C$50000)
)</f>
        <v>Aston Villa</v>
      </c>
      <c r="D556" s="5" t="str">
        <f aca="false">[1]Base_Jugadores!D556</f>
        <v>Inglaterra</v>
      </c>
      <c r="E556" s="3"/>
      <c r="F556" s="5" t="str">
        <f aca="false">[1]Base_Jugadores!E556</f>
        <v>MC</v>
      </c>
      <c r="G556" s="5" t="n">
        <f aca="false">[1]Base_Jugadores!F556</f>
        <v>78</v>
      </c>
      <c r="H556" s="5" t="n">
        <f aca="false">[1]Base_Jugadores!G556</f>
        <v>32</v>
      </c>
      <c r="I556" s="7" t="n">
        <f aca="false" t="array" ref="I556:I556">_xlfn.XLOOKUP(G556,{55;56;57;58;59;60;61;62;63;64;65;66;67;68;69;70;71;72;73;74;75;76;77;78;79;80;81;82;83;84;85;86;87;88;89;90;91;92;93;94;95;96;97;98;99},{100000;130000;160000;190000;220000;250000;300000;350000;400000;450000;500000;600000;700000;800000;900000;1000000;1500000;2000000;3000000;4000000;5000000;6500000;8000000;10000000;12500000;15000000;20000000;25000000;30000000;35000000;40000000;55000000;70000000;80000000;90000000;110000000;130000000;160000000;190000000;220000000;250000000;280000000;310000000;340000000;400000000})</f>
        <v>10000000</v>
      </c>
      <c r="J556" s="7" t="n">
        <f aca="false">I556*S556*T556*U556</f>
        <v>7671250</v>
      </c>
      <c r="K556" s="3"/>
      <c r="L556" s="3"/>
      <c r="M556" s="3"/>
      <c r="N556" s="9" t="n">
        <v>2</v>
      </c>
      <c r="O556" s="4" t="n">
        <v>0</v>
      </c>
      <c r="P556" s="5" t="n">
        <f aca="false">IF(COUNTIF([1]Base_Jugadores!J$2:J$500,B556)&gt;0,1,0)</f>
        <v>0</v>
      </c>
      <c r="Q556" s="10" t="b">
        <f aca="false">--(COUNTIFS(
   [1]Fichajes_Realizados!A$2:A$5000,A556,
   [1]Fichajes_Realizados!G$2:G$5000,$X$3
)&gt;0)</f>
        <v>0</v>
      </c>
      <c r="R556" s="5" t="n">
        <f aca="false">_xlfn.XLOOKUP(C556, [1]Estado_Equipos!A$2:A$500, [1]Estado_Equipos!J$2:J$500, "")</f>
        <v>81</v>
      </c>
      <c r="S556" s="5" t="n">
        <f aca="false">IF(H556&lt;=16,1.45,
IF(H556&gt;=41,0.3,
CHOOSE(ROUNDDOWN((H556-16)/2,0)+1,
1.45,1.38,1.3,1.23,1.17,1.15,1.12,1.05,0.95,0.8,0.6,0.4,0.3)))</f>
        <v>0.95</v>
      </c>
      <c r="T556" s="5" t="n">
        <f aca="false">CHOOSE(N556+1,1.2,1,0.85,0.7)</f>
        <v>0.85</v>
      </c>
      <c r="U556" s="5" t="n">
        <f aca="false">IF(F556="PO",0.6,
IF(F556="CT",0.75,
IF(F556="LI",0.8,
IF(F556="LD",0.8,
IF(F556="MCD",0.85,
IF(F556="MC",0.95,
IF(F556="MO",1.05,
IF(F556="EI",1.1,
IF(F556="ED",1.1,
IF(F556="SD",1.15,
IF(F556="DC",1.2,0)))))))))))</f>
        <v>0.95</v>
      </c>
    </row>
    <row r="557" customFormat="false" ht="16.4" hidden="false" customHeight="false" outlineLevel="0" collapsed="false">
      <c r="A557" s="1" t="n">
        <v>556</v>
      </c>
      <c r="B557" s="5" t="str">
        <f aca="false">[1]Base_Jugadores!B557</f>
        <v>Tyrone Mings</v>
      </c>
      <c r="C557" s="5" t="str">
        <f aca="false">IFERROR(
   _xlfn.XLOOKUP(VALUE(A557),[1]Fichajes_Realizados!A$2:A$50000,[1]Fichajes_Realizados!D$2:D$50000,,0,-1),
   _xlfn.XLOOKUP(VALUE(A557),[1]Base_Jugadores!A$2:A$50000,[1]Base_Jugadores!C$2:C$50000)
)</f>
        <v>Aston Villa</v>
      </c>
      <c r="D557" s="5" t="str">
        <f aca="false">[1]Base_Jugadores!D557</f>
        <v>Inglaterra</v>
      </c>
      <c r="E557" s="3"/>
      <c r="F557" s="5" t="str">
        <f aca="false">[1]Base_Jugadores!E557</f>
        <v>CT</v>
      </c>
      <c r="G557" s="5" t="n">
        <f aca="false">[1]Base_Jugadores!F557</f>
        <v>79</v>
      </c>
      <c r="H557" s="5" t="n">
        <f aca="false">[1]Base_Jugadores!G557</f>
        <v>32</v>
      </c>
      <c r="I557" s="7" t="n">
        <f aca="false" t="array" ref="I557:I557">_xlfn.XLOOKUP(G557,{55;56;57;58;59;60;61;62;63;64;65;66;67;68;69;70;71;72;73;74;75;76;77;78;79;80;81;82;83;84;85;86;87;88;89;90;91;92;93;94;95;96;97;98;99},{100000;130000;160000;190000;220000;250000;300000;350000;400000;450000;500000;600000;700000;800000;900000;1000000;1500000;2000000;3000000;4000000;5000000;6500000;8000000;10000000;12500000;15000000;20000000;25000000;30000000;35000000;40000000;55000000;70000000;80000000;90000000;110000000;130000000;160000000;190000000;220000000;250000000;280000000;310000000;340000000;400000000})</f>
        <v>12500000</v>
      </c>
      <c r="J557" s="7" t="n">
        <f aca="false">I557*S557*T557*U557</f>
        <v>8906250</v>
      </c>
      <c r="K557" s="3"/>
      <c r="L557" s="3"/>
      <c r="M557" s="3"/>
      <c r="N557" s="9" t="n">
        <v>1</v>
      </c>
      <c r="O557" s="4" t="n">
        <v>0</v>
      </c>
      <c r="P557" s="5" t="n">
        <f aca="false">IF(COUNTIF([1]Base_Jugadores!J$2:J$500,B557)&gt;0,1,0)</f>
        <v>0</v>
      </c>
      <c r="Q557" s="10" t="b">
        <f aca="false">--(COUNTIFS(
   [1]Fichajes_Realizados!A$2:A$5000,A557,
   [1]Fichajes_Realizados!G$2:G$5000,$X$3
)&gt;0)</f>
        <v>0</v>
      </c>
      <c r="R557" s="5" t="n">
        <f aca="false">_xlfn.XLOOKUP(C557, [1]Estado_Equipos!A$2:A$500, [1]Estado_Equipos!J$2:J$500, "")</f>
        <v>81</v>
      </c>
      <c r="S557" s="5" t="n">
        <f aca="false">IF(H557&lt;=16,1.45,
IF(H557&gt;=41,0.3,
CHOOSE(ROUNDDOWN((H557-16)/2,0)+1,
1.45,1.38,1.3,1.23,1.17,1.15,1.12,1.05,0.95,0.8,0.6,0.4,0.3)))</f>
        <v>0.95</v>
      </c>
      <c r="T557" s="5" t="n">
        <f aca="false">CHOOSE(N557+1,1.2,1,0.85,0.7)</f>
        <v>1</v>
      </c>
      <c r="U557" s="5" t="n">
        <f aca="false">IF(F557="PO",0.6,
IF(F557="CT",0.75,
IF(F557="LI",0.8,
IF(F557="LD",0.8,
IF(F557="MCD",0.85,
IF(F557="MC",0.95,
IF(F557="MO",1.05,
IF(F557="EI",1.1,
IF(F557="ED",1.1,
IF(F557="SD",1.15,
IF(F557="DC",1.2,0)))))))))))</f>
        <v>0.75</v>
      </c>
    </row>
    <row r="558" customFormat="false" ht="16.4" hidden="false" customHeight="false" outlineLevel="0" collapsed="false">
      <c r="A558" s="1" t="n">
        <v>557</v>
      </c>
      <c r="B558" s="5" t="str">
        <f aca="false">[1]Base_Jugadores!B558</f>
        <v>Victor Lindelöf</v>
      </c>
      <c r="C558" s="5" t="str">
        <f aca="false">IFERROR(
   _xlfn.XLOOKUP(VALUE(A558),[1]Fichajes_Realizados!A$2:A$50000,[1]Fichajes_Realizados!D$2:D$50000,,0,-1),
   _xlfn.XLOOKUP(VALUE(A558),[1]Base_Jugadores!A$2:A$50000,[1]Base_Jugadores!C$2:C$50000)
)</f>
        <v>Aston Villa</v>
      </c>
      <c r="D558" s="5" t="str">
        <f aca="false">[1]Base_Jugadores!D558</f>
        <v>Suecia</v>
      </c>
      <c r="E558" s="3"/>
      <c r="F558" s="5" t="str">
        <f aca="false">[1]Base_Jugadores!E558</f>
        <v>CT</v>
      </c>
      <c r="G558" s="5" t="n">
        <f aca="false">[1]Base_Jugadores!F558</f>
        <v>78</v>
      </c>
      <c r="H558" s="5" t="n">
        <f aca="false">[1]Base_Jugadores!G558</f>
        <v>31</v>
      </c>
      <c r="I558" s="7" t="n">
        <f aca="false" t="array" ref="I558:I558">_xlfn.XLOOKUP(G558,{55;56;57;58;59;60;61;62;63;64;65;66;67;68;69;70;71;72;73;74;75;76;77;78;79;80;81;82;83;84;85;86;87;88;89;90;91;92;93;94;95;96;97;98;99},{100000;130000;160000;190000;220000;250000;300000;350000;400000;450000;500000;600000;700000;800000;900000;1000000;1500000;2000000;3000000;4000000;5000000;6500000;8000000;10000000;12500000;15000000;20000000;25000000;30000000;35000000;40000000;55000000;70000000;80000000;90000000;110000000;130000000;160000000;190000000;220000000;250000000;280000000;310000000;340000000;400000000})</f>
        <v>10000000</v>
      </c>
      <c r="J558" s="7" t="n">
        <f aca="false">I558*S558*T558*U558</f>
        <v>6693750</v>
      </c>
      <c r="K558" s="3"/>
      <c r="L558" s="3"/>
      <c r="M558" s="3"/>
      <c r="N558" s="9" t="n">
        <v>2</v>
      </c>
      <c r="O558" s="4" t="n">
        <v>0</v>
      </c>
      <c r="P558" s="5" t="n">
        <f aca="false">IF(COUNTIF([1]Base_Jugadores!J$2:J$500,B558)&gt;0,1,0)</f>
        <v>0</v>
      </c>
      <c r="Q558" s="10" t="b">
        <f aca="false">--(COUNTIFS(
   [1]Fichajes_Realizados!A$2:A$5000,A558,
   [1]Fichajes_Realizados!G$2:G$5000,$X$3
)&gt;0)</f>
        <v>0</v>
      </c>
      <c r="R558" s="5" t="n">
        <f aca="false">_xlfn.XLOOKUP(C558, [1]Estado_Equipos!A$2:A$500, [1]Estado_Equipos!J$2:J$500, "")</f>
        <v>81</v>
      </c>
      <c r="S558" s="5" t="n">
        <f aca="false">IF(H558&lt;=16,1.45,
IF(H558&gt;=41,0.3,
CHOOSE(ROUNDDOWN((H558-16)/2,0)+1,
1.45,1.38,1.3,1.23,1.17,1.15,1.12,1.05,0.95,0.8,0.6,0.4,0.3)))</f>
        <v>1.05</v>
      </c>
      <c r="T558" s="5" t="n">
        <f aca="false">CHOOSE(N558+1,1.2,1,0.85,0.7)</f>
        <v>0.85</v>
      </c>
      <c r="U558" s="5" t="n">
        <f aca="false">IF(F558="PO",0.6,
IF(F558="CT",0.75,
IF(F558="LI",0.8,
IF(F558="LD",0.8,
IF(F558="MCD",0.85,
IF(F558="MC",0.95,
IF(F558="MO",1.05,
IF(F558="EI",1.1,
IF(F558="ED",1.1,
IF(F558="SD",1.15,
IF(F558="DC",1.2,0)))))))))))</f>
        <v>0.75</v>
      </c>
    </row>
    <row r="559" customFormat="false" ht="16.4" hidden="false" customHeight="false" outlineLevel="0" collapsed="false">
      <c r="A559" s="1" t="n">
        <v>558</v>
      </c>
      <c r="B559" s="5" t="str">
        <f aca="false">[1]Base_Jugadores!B559</f>
        <v>Youri Tielemans</v>
      </c>
      <c r="C559" s="5" t="str">
        <f aca="false">IFERROR(
   _xlfn.XLOOKUP(VALUE(A559),[1]Fichajes_Realizados!A$2:A$50000,[1]Fichajes_Realizados!D$2:D$50000,,0,-1),
   _xlfn.XLOOKUP(VALUE(A559),[1]Base_Jugadores!A$2:A$50000,[1]Base_Jugadores!C$2:C$50000)
)</f>
        <v>Aston Villa</v>
      </c>
      <c r="D559" s="5" t="str">
        <f aca="false">[1]Base_Jugadores!D559</f>
        <v>Bélgica</v>
      </c>
      <c r="E559" s="3"/>
      <c r="F559" s="5" t="str">
        <f aca="false">[1]Base_Jugadores!E559</f>
        <v>MC</v>
      </c>
      <c r="G559" s="5" t="n">
        <f aca="false">[1]Base_Jugadores!F559</f>
        <v>82</v>
      </c>
      <c r="H559" s="5" t="n">
        <f aca="false">[1]Base_Jugadores!G559</f>
        <v>28</v>
      </c>
      <c r="I559" s="7" t="n">
        <f aca="false" t="array" ref="I559:I559">_xlfn.XLOOKUP(G559,{55;56;57;58;59;60;61;62;63;64;65;66;67;68;69;70;71;72;73;74;75;76;77;78;79;80;81;82;83;84;85;86;87;88;89;90;91;92;93;94;95;96;97;98;99},{100000;130000;160000;190000;220000;250000;300000;350000;400000;450000;500000;600000;700000;800000;900000;1000000;1500000;2000000;3000000;4000000;5000000;6500000;8000000;10000000;12500000;15000000;20000000;25000000;30000000;35000000;40000000;55000000;70000000;80000000;90000000;110000000;130000000;160000000;190000000;220000000;250000000;280000000;310000000;340000000;400000000})</f>
        <v>25000000</v>
      </c>
      <c r="J559" s="7" t="n">
        <f aca="false">I559*S559*T559*U559</f>
        <v>31920000</v>
      </c>
      <c r="K559" s="3"/>
      <c r="L559" s="3"/>
      <c r="M559" s="3"/>
      <c r="N559" s="9" t="n">
        <v>0</v>
      </c>
      <c r="O559" s="4" t="n">
        <v>0</v>
      </c>
      <c r="P559" s="5" t="n">
        <f aca="false">IF(COUNTIF([1]Base_Jugadores!J$2:J$500,B559)&gt;0,1,0)</f>
        <v>0</v>
      </c>
      <c r="Q559" s="10" t="b">
        <f aca="false">--(COUNTIFS(
   [1]Fichajes_Realizados!A$2:A$5000,A559,
   [1]Fichajes_Realizados!G$2:G$5000,$X$3
)&gt;0)</f>
        <v>0</v>
      </c>
      <c r="R559" s="5" t="n">
        <f aca="false">_xlfn.XLOOKUP(C559, [1]Estado_Equipos!A$2:A$500, [1]Estado_Equipos!J$2:J$500, "")</f>
        <v>81</v>
      </c>
      <c r="S559" s="5" t="n">
        <f aca="false">IF(H559&lt;=16,1.45,
IF(H559&gt;=41,0.3,
CHOOSE(ROUNDDOWN((H559-16)/2,0)+1,
1.45,1.38,1.3,1.23,1.17,1.15,1.12,1.05,0.95,0.8,0.6,0.4,0.3)))</f>
        <v>1.12</v>
      </c>
      <c r="T559" s="5" t="n">
        <f aca="false">CHOOSE(N559+1,1.2,1,0.85,0.7)</f>
        <v>1.2</v>
      </c>
      <c r="U559" s="5" t="n">
        <f aca="false">IF(F559="PO",0.6,
IF(F559="CT",0.75,
IF(F559="LI",0.8,
IF(F559="LD",0.8,
IF(F559="MCD",0.85,
IF(F559="MC",0.95,
IF(F559="MO",1.05,
IF(F559="EI",1.1,
IF(F559="ED",1.1,
IF(F559="SD",1.15,
IF(F559="DC",1.2,0)))))))))))</f>
        <v>0.95</v>
      </c>
    </row>
    <row r="560" customFormat="false" ht="16.4" hidden="false" customHeight="false" outlineLevel="0" collapsed="false">
      <c r="A560" s="1" t="n">
        <v>559</v>
      </c>
      <c r="B560" s="5" t="str">
        <f aca="false">[1]Base_Jugadores!B560</f>
        <v>Adam Smith</v>
      </c>
      <c r="C560" s="5" t="str">
        <f aca="false">IFERROR(
   _xlfn.XLOOKUP(VALUE(A560),[1]Fichajes_Realizados!A$2:A$50000,[1]Fichajes_Realizados!D$2:D$50000,,0,-1),
   _xlfn.XLOOKUP(VALUE(A560),[1]Base_Jugadores!A$2:A$50000,[1]Base_Jugadores!C$2:C$50000)
)</f>
        <v>AFC Bournemouth</v>
      </c>
      <c r="D560" s="5" t="str">
        <f aca="false">[1]Base_Jugadores!D560</f>
        <v>Inglaterra</v>
      </c>
      <c r="E560" s="3"/>
      <c r="F560" s="5" t="str">
        <f aca="false">[1]Base_Jugadores!E560</f>
        <v>LD</v>
      </c>
      <c r="G560" s="5" t="n">
        <f aca="false">[1]Base_Jugadores!F560</f>
        <v>73</v>
      </c>
      <c r="H560" s="5" t="n">
        <f aca="false">[1]Base_Jugadores!G560</f>
        <v>34</v>
      </c>
      <c r="I560" s="7" t="n">
        <f aca="false" t="array" ref="I560:I560">_xlfn.XLOOKUP(G560,{55;56;57;58;59;60;61;62;63;64;65;66;67;68;69;70;71;72;73;74;75;76;77;78;79;80;81;82;83;84;85;86;87;88;89;90;91;92;93;94;95;96;97;98;99},{100000;130000;160000;190000;220000;250000;300000;350000;400000;450000;500000;600000;700000;800000;900000;1000000;1500000;2000000;3000000;4000000;5000000;6500000;8000000;10000000;12500000;15000000;20000000;25000000;30000000;35000000;40000000;55000000;70000000;80000000;90000000;110000000;130000000;160000000;190000000;220000000;250000000;280000000;310000000;340000000;400000000})</f>
        <v>3000000</v>
      </c>
      <c r="J560" s="7" t="n">
        <f aca="false">I560*S560*T560*U560</f>
        <v>1632000</v>
      </c>
      <c r="K560" s="3"/>
      <c r="L560" s="3"/>
      <c r="M560" s="3"/>
      <c r="N560" s="9" t="n">
        <v>2</v>
      </c>
      <c r="O560" s="4" t="n">
        <v>0</v>
      </c>
      <c r="P560" s="5" t="n">
        <f aca="false">IF(COUNTIF([1]Base_Jugadores!J$2:J$500,B560)&gt;0,1,0)</f>
        <v>0</v>
      </c>
      <c r="Q560" s="10" t="b">
        <f aca="false">--(COUNTIFS(
   [1]Fichajes_Realizados!A$2:A$5000,A560,
   [1]Fichajes_Realizados!G$2:G$5000,$X$3
)&gt;0)</f>
        <v>0</v>
      </c>
      <c r="R560" s="5" t="n">
        <f aca="false">_xlfn.XLOOKUP(C560, [1]Estado_Equipos!A$2:A$500, [1]Estado_Equipos!J$2:J$500, "")</f>
        <v>74</v>
      </c>
      <c r="S560" s="5" t="n">
        <f aca="false">IF(H560&lt;=16,1.45,
IF(H560&gt;=41,0.3,
CHOOSE(ROUNDDOWN((H560-16)/2,0)+1,
1.45,1.38,1.3,1.23,1.17,1.15,1.12,1.05,0.95,0.8,0.6,0.4,0.3)))</f>
        <v>0.8</v>
      </c>
      <c r="T560" s="5" t="n">
        <f aca="false">CHOOSE(N560+1,1.2,1,0.85,0.7)</f>
        <v>0.85</v>
      </c>
      <c r="U560" s="5" t="n">
        <f aca="false">IF(F560="PO",0.6,
IF(F560="CT",0.75,
IF(F560="LI",0.8,
IF(F560="LD",0.8,
IF(F560="MCD",0.85,
IF(F560="MC",0.95,
IF(F560="MO",1.05,
IF(F560="EI",1.1,
IF(F560="ED",1.1,
IF(F560="SD",1.15,
IF(F560="DC",1.2,0)))))))))))</f>
        <v>0.8</v>
      </c>
    </row>
    <row r="561" customFormat="false" ht="16.4" hidden="false" customHeight="false" outlineLevel="0" collapsed="false">
      <c r="A561" s="1" t="n">
        <v>560</v>
      </c>
      <c r="B561" s="5" t="str">
        <f aca="false">[1]Base_Jugadores!B561</f>
        <v>Adrien Truffert</v>
      </c>
      <c r="C561" s="5" t="str">
        <f aca="false">IFERROR(
   _xlfn.XLOOKUP(VALUE(A561),[1]Fichajes_Realizados!A$2:A$50000,[1]Fichajes_Realizados!D$2:D$50000,,0,-1),
   _xlfn.XLOOKUP(VALUE(A561),[1]Base_Jugadores!A$2:A$50000,[1]Base_Jugadores!C$2:C$50000)
)</f>
        <v>AFC Bournemouth</v>
      </c>
      <c r="D561" s="5" t="str">
        <f aca="false">[1]Base_Jugadores!D561</f>
        <v>Francia</v>
      </c>
      <c r="E561" s="3"/>
      <c r="F561" s="5" t="str">
        <f aca="false">[1]Base_Jugadores!E561</f>
        <v>LI</v>
      </c>
      <c r="G561" s="5" t="n">
        <f aca="false">[1]Base_Jugadores!F561</f>
        <v>77</v>
      </c>
      <c r="H561" s="5" t="n">
        <f aca="false">[1]Base_Jugadores!G561</f>
        <v>24</v>
      </c>
      <c r="I561" s="7" t="n">
        <f aca="false" t="array" ref="I561:I561">_xlfn.XLOOKUP(G561,{55;56;57;58;59;60;61;62;63;64;65;66;67;68;69;70;71;72;73;74;75;76;77;78;79;80;81;82;83;84;85;86;87;88;89;90;91;92;93;94;95;96;97;98;99},{100000;130000;160000;190000;220000;250000;300000;350000;400000;450000;500000;600000;700000;800000;900000;1000000;1500000;2000000;3000000;4000000;5000000;6500000;8000000;10000000;12500000;15000000;20000000;25000000;30000000;35000000;40000000;55000000;70000000;80000000;90000000;110000000;130000000;160000000;190000000;220000000;250000000;280000000;310000000;340000000;400000000})</f>
        <v>8000000</v>
      </c>
      <c r="J561" s="7" t="n">
        <f aca="false">I561*S561*T561*U561</f>
        <v>8985600</v>
      </c>
      <c r="K561" s="3"/>
      <c r="L561" s="3"/>
      <c r="M561" s="3"/>
      <c r="N561" s="9" t="n">
        <v>0</v>
      </c>
      <c r="O561" s="4" t="n">
        <v>0</v>
      </c>
      <c r="P561" s="5" t="n">
        <f aca="false">IF(COUNTIF([1]Base_Jugadores!J$2:J$500,B561)&gt;0,1,0)</f>
        <v>0</v>
      </c>
      <c r="Q561" s="10" t="b">
        <f aca="false">--(COUNTIFS(
   [1]Fichajes_Realizados!A$2:A$5000,A561,
   [1]Fichajes_Realizados!G$2:G$5000,$X$3
)&gt;0)</f>
        <v>0</v>
      </c>
      <c r="R561" s="5" t="n">
        <f aca="false">_xlfn.XLOOKUP(C561, [1]Estado_Equipos!A$2:A$500, [1]Estado_Equipos!J$2:J$500, "")</f>
        <v>74</v>
      </c>
      <c r="S561" s="5" t="n">
        <f aca="false">IF(H561&lt;=16,1.45,
IF(H561&gt;=41,0.3,
CHOOSE(ROUNDDOWN((H561-16)/2,0)+1,
1.45,1.38,1.3,1.23,1.17,1.15,1.12,1.05,0.95,0.8,0.6,0.4,0.3)))</f>
        <v>1.17</v>
      </c>
      <c r="T561" s="5" t="n">
        <f aca="false">CHOOSE(N561+1,1.2,1,0.85,0.7)</f>
        <v>1.2</v>
      </c>
      <c r="U561" s="5" t="n">
        <f aca="false">IF(F561="PO",0.6,
IF(F561="CT",0.75,
IF(F561="LI",0.8,
IF(F561="LD",0.8,
IF(F561="MCD",0.85,
IF(F561="MC",0.95,
IF(F561="MO",1.05,
IF(F561="EI",1.1,
IF(F561="ED",1.1,
IF(F561="SD",1.15,
IF(F561="DC",1.2,0)))))))))))</f>
        <v>0.8</v>
      </c>
    </row>
    <row r="562" customFormat="false" ht="16.4" hidden="false" customHeight="false" outlineLevel="0" collapsed="false">
      <c r="A562" s="1" t="n">
        <v>561</v>
      </c>
      <c r="B562" s="5" t="str">
        <f aca="false">[1]Base_Jugadores!B562</f>
        <v>Álex Jiménez S.</v>
      </c>
      <c r="C562" s="5" t="str">
        <f aca="false">IFERROR(
   _xlfn.XLOOKUP(VALUE(A562),[1]Fichajes_Realizados!A$2:A$50000,[1]Fichajes_Realizados!D$2:D$50000,,0,-1),
   _xlfn.XLOOKUP(VALUE(A562),[1]Base_Jugadores!A$2:A$50000,[1]Base_Jugadores!C$2:C$50000)
)</f>
        <v>AFC Bournemouth</v>
      </c>
      <c r="D562" s="5" t="str">
        <f aca="false">[1]Base_Jugadores!D562</f>
        <v>España</v>
      </c>
      <c r="E562" s="3"/>
      <c r="F562" s="5" t="str">
        <f aca="false">[1]Base_Jugadores!E562</f>
        <v>LD</v>
      </c>
      <c r="G562" s="5" t="n">
        <f aca="false">[1]Base_Jugadores!F562</f>
        <v>66</v>
      </c>
      <c r="H562" s="5" t="n">
        <f aca="false">[1]Base_Jugadores!G562</f>
        <v>20</v>
      </c>
      <c r="I562" s="7" t="n">
        <f aca="false" t="array" ref="I562:I562">_xlfn.XLOOKUP(G562,{55;56;57;58;59;60;61;62;63;64;65;66;67;68;69;70;71;72;73;74;75;76;77;78;79;80;81;82;83;84;85;86;87;88;89;90;91;92;93;94;95;96;97;98;99},{100000;130000;160000;190000;220000;250000;300000;350000;400000;450000;500000;600000;700000;800000;900000;1000000;1500000;2000000;3000000;4000000;5000000;6500000;8000000;10000000;12500000;15000000;20000000;25000000;30000000;35000000;40000000;55000000;70000000;80000000;90000000;110000000;130000000;160000000;190000000;220000000;250000000;280000000;310000000;340000000;400000000})</f>
        <v>600000</v>
      </c>
      <c r="J562" s="7" t="n">
        <f aca="false">I562*S562*T562*U562</f>
        <v>530400</v>
      </c>
      <c r="K562" s="3"/>
      <c r="L562" s="3"/>
      <c r="M562" s="3"/>
      <c r="N562" s="9" t="n">
        <v>2</v>
      </c>
      <c r="O562" s="4" t="n">
        <v>0</v>
      </c>
      <c r="P562" s="5" t="n">
        <f aca="false">IF(COUNTIF([1]Base_Jugadores!J$2:J$500,B562)&gt;0,1,0)</f>
        <v>0</v>
      </c>
      <c r="Q562" s="10" t="b">
        <f aca="false">--(COUNTIFS(
   [1]Fichajes_Realizados!A$2:A$5000,A562,
   [1]Fichajes_Realizados!G$2:G$5000,$X$3
)&gt;0)</f>
        <v>0</v>
      </c>
      <c r="R562" s="5" t="n">
        <f aca="false">_xlfn.XLOOKUP(C562, [1]Estado_Equipos!A$2:A$500, [1]Estado_Equipos!J$2:J$500, "")</f>
        <v>74</v>
      </c>
      <c r="S562" s="5" t="n">
        <f aca="false">IF(H562&lt;=16,1.45,
IF(H562&gt;=41,0.3,
CHOOSE(ROUNDDOWN((H562-16)/2,0)+1,
1.45,1.38,1.3,1.23,1.17,1.15,1.12,1.05,0.95,0.8,0.6,0.4,0.3)))</f>
        <v>1.3</v>
      </c>
      <c r="T562" s="5" t="n">
        <f aca="false">CHOOSE(N562+1,1.2,1,0.85,0.7)</f>
        <v>0.85</v>
      </c>
      <c r="U562" s="5" t="n">
        <f aca="false">IF(F562="PO",0.6,
IF(F562="CT",0.75,
IF(F562="LI",0.8,
IF(F562="LD",0.8,
IF(F562="MCD",0.85,
IF(F562="MC",0.95,
IF(F562="MO",1.05,
IF(F562="EI",1.1,
IF(F562="ED",1.1,
IF(F562="SD",1.15,
IF(F562="DC",1.2,0)))))))))))</f>
        <v>0.8</v>
      </c>
    </row>
    <row r="563" customFormat="false" ht="16.4" hidden="false" customHeight="false" outlineLevel="0" collapsed="false">
      <c r="A563" s="1" t="n">
        <v>562</v>
      </c>
      <c r="B563" s="5" t="str">
        <f aca="false">[1]Base_Jugadores!B563</f>
        <v>Alex Scott</v>
      </c>
      <c r="C563" s="5" t="str">
        <f aca="false">IFERROR(
   _xlfn.XLOOKUP(VALUE(A563),[1]Fichajes_Realizados!A$2:A$50000,[1]Fichajes_Realizados!D$2:D$50000,,0,-1),
   _xlfn.XLOOKUP(VALUE(A563),[1]Base_Jugadores!A$2:A$50000,[1]Base_Jugadores!C$2:C$50000)
)</f>
        <v>AFC Bournemouth</v>
      </c>
      <c r="D563" s="5" t="str">
        <f aca="false">[1]Base_Jugadores!D563</f>
        <v>Inglaterra</v>
      </c>
      <c r="E563" s="3"/>
      <c r="F563" s="5" t="str">
        <f aca="false">[1]Base_Jugadores!E563</f>
        <v>MC</v>
      </c>
      <c r="G563" s="5" t="n">
        <f aca="false">[1]Base_Jugadores!F563</f>
        <v>74</v>
      </c>
      <c r="H563" s="5" t="n">
        <f aca="false">[1]Base_Jugadores!G563</f>
        <v>22</v>
      </c>
      <c r="I563" s="7" t="n">
        <f aca="false" t="array" ref="I563:I563">_xlfn.XLOOKUP(G563,{55;56;57;58;59;60;61;62;63;64;65;66;67;68;69;70;71;72;73;74;75;76;77;78;79;80;81;82;83;84;85;86;87;88;89;90;91;92;93;94;95;96;97;98;99},{100000;130000;160000;190000;220000;250000;300000;350000;400000;450000;500000;600000;700000;800000;900000;1000000;1500000;2000000;3000000;4000000;5000000;6500000;8000000;10000000;12500000;15000000;20000000;25000000;30000000;35000000;40000000;55000000;70000000;80000000;90000000;110000000;130000000;160000000;190000000;220000000;250000000;280000000;310000000;340000000;400000000})</f>
        <v>4000000</v>
      </c>
      <c r="J563" s="7" t="n">
        <f aca="false">I563*S563*T563*U563</f>
        <v>4674000</v>
      </c>
      <c r="K563" s="3"/>
      <c r="L563" s="3"/>
      <c r="M563" s="3"/>
      <c r="N563" s="9" t="n">
        <v>1</v>
      </c>
      <c r="O563" s="4" t="n">
        <v>0</v>
      </c>
      <c r="P563" s="5" t="n">
        <f aca="false">IF(COUNTIF([1]Base_Jugadores!J$2:J$500,B563)&gt;0,1,0)</f>
        <v>0</v>
      </c>
      <c r="Q563" s="10" t="b">
        <f aca="false">--(COUNTIFS(
   [1]Fichajes_Realizados!A$2:A$5000,A563,
   [1]Fichajes_Realizados!G$2:G$5000,$X$3
)&gt;0)</f>
        <v>0</v>
      </c>
      <c r="R563" s="5" t="n">
        <f aca="false">_xlfn.XLOOKUP(C563, [1]Estado_Equipos!A$2:A$500, [1]Estado_Equipos!J$2:J$500, "")</f>
        <v>74</v>
      </c>
      <c r="S563" s="5" t="n">
        <f aca="false">IF(H563&lt;=16,1.45,
IF(H563&gt;=41,0.3,
CHOOSE(ROUNDDOWN((H563-16)/2,0)+1,
1.45,1.38,1.3,1.23,1.17,1.15,1.12,1.05,0.95,0.8,0.6,0.4,0.3)))</f>
        <v>1.23</v>
      </c>
      <c r="T563" s="5" t="n">
        <f aca="false">CHOOSE(N563+1,1.2,1,0.85,0.7)</f>
        <v>1</v>
      </c>
      <c r="U563" s="5" t="n">
        <f aca="false">IF(F563="PO",0.6,
IF(F563="CT",0.75,
IF(F563="LI",0.8,
IF(F563="LD",0.8,
IF(F563="MCD",0.85,
IF(F563="MC",0.95,
IF(F563="MO",1.05,
IF(F563="EI",1.1,
IF(F563="ED",1.1,
IF(F563="SD",1.15,
IF(F563="DC",1.2,0)))))))))))</f>
        <v>0.95</v>
      </c>
    </row>
    <row r="564" customFormat="false" ht="16.4" hidden="false" customHeight="false" outlineLevel="0" collapsed="false">
      <c r="A564" s="1" t="n">
        <v>563</v>
      </c>
      <c r="B564" s="5" t="str">
        <f aca="false">[1]Base_Jugadores!B564</f>
        <v>Amine Adli</v>
      </c>
      <c r="C564" s="5" t="str">
        <f aca="false">IFERROR(
   _xlfn.XLOOKUP(VALUE(A564),[1]Fichajes_Realizados!A$2:A$50000,[1]Fichajes_Realizados!D$2:D$50000,,0,-1),
   _xlfn.XLOOKUP(VALUE(A564),[1]Base_Jugadores!A$2:A$50000,[1]Base_Jugadores!C$2:C$50000)
)</f>
        <v>AFC Bournemouth</v>
      </c>
      <c r="D564" s="5" t="str">
        <f aca="false">[1]Base_Jugadores!D564</f>
        <v>Marruecos</v>
      </c>
      <c r="E564" s="3"/>
      <c r="F564" s="5" t="str">
        <f aca="false">[1]Base_Jugadores!E564</f>
        <v>EI</v>
      </c>
      <c r="G564" s="5" t="n">
        <f aca="false">[1]Base_Jugadores!F564</f>
        <v>80</v>
      </c>
      <c r="H564" s="5" t="n">
        <f aca="false">[1]Base_Jugadores!G564</f>
        <v>25</v>
      </c>
      <c r="I564" s="7" t="n">
        <f aca="false" t="array" ref="I564:I564">_xlfn.XLOOKUP(G564,{55;56;57;58;59;60;61;62;63;64;65;66;67;68;69;70;71;72;73;74;75;76;77;78;79;80;81;82;83;84;85;86;87;88;89;90;91;92;93;94;95;96;97;98;99},{100000;130000;160000;190000;220000;250000;300000;350000;400000;450000;500000;600000;700000;800000;900000;1000000;1500000;2000000;3000000;4000000;5000000;6500000;8000000;10000000;12500000;15000000;20000000;25000000;30000000;35000000;40000000;55000000;70000000;80000000;90000000;110000000;130000000;160000000;190000000;220000000;250000000;280000000;310000000;340000000;400000000})</f>
        <v>15000000</v>
      </c>
      <c r="J564" s="7" t="n">
        <f aca="false">I564*S564*T564*U564</f>
        <v>23166000</v>
      </c>
      <c r="K564" s="3"/>
      <c r="L564" s="3"/>
      <c r="M564" s="3"/>
      <c r="N564" s="9" t="n">
        <v>0</v>
      </c>
      <c r="O564" s="4" t="n">
        <v>0</v>
      </c>
      <c r="P564" s="5" t="n">
        <f aca="false">IF(COUNTIF([1]Base_Jugadores!J$2:J$500,B564)&gt;0,1,0)</f>
        <v>0</v>
      </c>
      <c r="Q564" s="10" t="b">
        <f aca="false">--(COUNTIFS(
   [1]Fichajes_Realizados!A$2:A$5000,A564,
   [1]Fichajes_Realizados!G$2:G$5000,$X$3
)&gt;0)</f>
        <v>0</v>
      </c>
      <c r="R564" s="5" t="n">
        <f aca="false">_xlfn.XLOOKUP(C564, [1]Estado_Equipos!A$2:A$500, [1]Estado_Equipos!J$2:J$500, "")</f>
        <v>74</v>
      </c>
      <c r="S564" s="5" t="n">
        <f aca="false">IF(H564&lt;=16,1.45,
IF(H564&gt;=41,0.3,
CHOOSE(ROUNDDOWN((H564-16)/2,0)+1,
1.45,1.38,1.3,1.23,1.17,1.15,1.12,1.05,0.95,0.8,0.6,0.4,0.3)))</f>
        <v>1.17</v>
      </c>
      <c r="T564" s="5" t="n">
        <f aca="false">CHOOSE(N564+1,1.2,1,0.85,0.7)</f>
        <v>1.2</v>
      </c>
      <c r="U564" s="5" t="n">
        <f aca="false">IF(F564="PO",0.6,
IF(F564="CT",0.75,
IF(F564="LI",0.8,
IF(F564="LD",0.8,
IF(F564="MCD",0.85,
IF(F564="MC",0.95,
IF(F564="MO",1.05,
IF(F564="EI",1.1,
IF(F564="ED",1.1,
IF(F564="SD",1.15,
IF(F564="DC",1.2,0)))))))))))</f>
        <v>1.1</v>
      </c>
    </row>
    <row r="565" customFormat="false" ht="16.4" hidden="false" customHeight="false" outlineLevel="0" collapsed="false">
      <c r="A565" s="1" t="n">
        <v>564</v>
      </c>
      <c r="B565" s="5" t="str">
        <f aca="false">[1]Base_Jugadores!B565</f>
        <v>Antoine Semenyo</v>
      </c>
      <c r="C565" s="5" t="str">
        <f aca="false">IFERROR(
   _xlfn.XLOOKUP(VALUE(A565),[1]Fichajes_Realizados!A$2:A$50000,[1]Fichajes_Realizados!D$2:D$50000,,0,-1),
   _xlfn.XLOOKUP(VALUE(A565),[1]Base_Jugadores!A$2:A$50000,[1]Base_Jugadores!C$2:C$50000)
)</f>
        <v>AFC Bournemouth</v>
      </c>
      <c r="D565" s="5" t="str">
        <f aca="false">[1]Base_Jugadores!D565</f>
        <v>Ghana</v>
      </c>
      <c r="E565" s="3"/>
      <c r="F565" s="5" t="str">
        <f aca="false">[1]Base_Jugadores!E565</f>
        <v>ED</v>
      </c>
      <c r="G565" s="5" t="n">
        <f aca="false">[1]Base_Jugadores!F565</f>
        <v>79</v>
      </c>
      <c r="H565" s="5" t="n">
        <f aca="false">[1]Base_Jugadores!G565</f>
        <v>25</v>
      </c>
      <c r="I565" s="7" t="n">
        <f aca="false" t="array" ref="I565:I565">_xlfn.XLOOKUP(G565,{55;56;57;58;59;60;61;62;63;64;65;66;67;68;69;70;71;72;73;74;75;76;77;78;79;80;81;82;83;84;85;86;87;88;89;90;91;92;93;94;95;96;97;98;99},{100000;130000;160000;190000;220000;250000;300000;350000;400000;450000;500000;600000;700000;800000;900000;1000000;1500000;2000000;3000000;4000000;5000000;6500000;8000000;10000000;12500000;15000000;20000000;25000000;30000000;35000000;40000000;55000000;70000000;80000000;90000000;110000000;130000000;160000000;190000000;220000000;250000000;280000000;310000000;340000000;400000000})</f>
        <v>12500000</v>
      </c>
      <c r="J565" s="7" t="n">
        <f aca="false">I565*S565*T565*U565</f>
        <v>19305000</v>
      </c>
      <c r="K565" s="3"/>
      <c r="L565" s="3"/>
      <c r="M565" s="3"/>
      <c r="N565" s="9" t="n">
        <v>0</v>
      </c>
      <c r="O565" s="4" t="n">
        <v>0</v>
      </c>
      <c r="P565" s="5" t="n">
        <f aca="false">IF(COUNTIF([1]Base_Jugadores!J$2:J$500,B565)&gt;0,1,0)</f>
        <v>0</v>
      </c>
      <c r="Q565" s="10" t="b">
        <f aca="false">--(COUNTIFS(
   [1]Fichajes_Realizados!A$2:A$5000,A565,
   [1]Fichajes_Realizados!G$2:G$5000,$X$3
)&gt;0)</f>
        <v>0</v>
      </c>
      <c r="R565" s="5" t="n">
        <f aca="false">_xlfn.XLOOKUP(C565, [1]Estado_Equipos!A$2:A$500, [1]Estado_Equipos!J$2:J$500, "")</f>
        <v>74</v>
      </c>
      <c r="S565" s="5" t="n">
        <f aca="false">IF(H565&lt;=16,1.45,
IF(H565&gt;=41,0.3,
CHOOSE(ROUNDDOWN((H565-16)/2,0)+1,
1.45,1.38,1.3,1.23,1.17,1.15,1.12,1.05,0.95,0.8,0.6,0.4,0.3)))</f>
        <v>1.17</v>
      </c>
      <c r="T565" s="5" t="n">
        <f aca="false">CHOOSE(N565+1,1.2,1,0.85,0.7)</f>
        <v>1.2</v>
      </c>
      <c r="U565" s="5" t="n">
        <f aca="false">IF(F565="PO",0.6,
IF(F565="CT",0.75,
IF(F565="LI",0.8,
IF(F565="LD",0.8,
IF(F565="MCD",0.85,
IF(F565="MC",0.95,
IF(F565="MO",1.05,
IF(F565="EI",1.1,
IF(F565="ED",1.1,
IF(F565="SD",1.15,
IF(F565="DC",1.2,0)))))))))))</f>
        <v>1.1</v>
      </c>
    </row>
    <row r="566" customFormat="false" ht="16.4" hidden="false" customHeight="false" outlineLevel="0" collapsed="false">
      <c r="A566" s="1" t="n">
        <v>565</v>
      </c>
      <c r="B566" s="5" t="str">
        <f aca="false">[1]Base_Jugadores!B566</f>
        <v>Bafodé Diakité</v>
      </c>
      <c r="C566" s="5" t="str">
        <f aca="false">IFERROR(
   _xlfn.XLOOKUP(VALUE(A566),[1]Fichajes_Realizados!A$2:A$50000,[1]Fichajes_Realizados!D$2:D$50000,,0,-1),
   _xlfn.XLOOKUP(VALUE(A566),[1]Base_Jugadores!A$2:A$50000,[1]Base_Jugadores!C$2:C$50000)
)</f>
        <v>AFC Bournemouth</v>
      </c>
      <c r="D566" s="5" t="str">
        <f aca="false">[1]Base_Jugadores!D566</f>
        <v>Francia</v>
      </c>
      <c r="E566" s="3"/>
      <c r="F566" s="5" t="str">
        <f aca="false">[1]Base_Jugadores!E566</f>
        <v>CT</v>
      </c>
      <c r="G566" s="5" t="n">
        <f aca="false">[1]Base_Jugadores!F566</f>
        <v>77</v>
      </c>
      <c r="H566" s="5" t="n">
        <f aca="false">[1]Base_Jugadores!G566</f>
        <v>24</v>
      </c>
      <c r="I566" s="7" t="n">
        <f aca="false" t="array" ref="I566:I566">_xlfn.XLOOKUP(G566,{55;56;57;58;59;60;61;62;63;64;65;66;67;68;69;70;71;72;73;74;75;76;77;78;79;80;81;82;83;84;85;86;87;88;89;90;91;92;93;94;95;96;97;98;99},{100000;130000;160000;190000;220000;250000;300000;350000;400000;450000;500000;600000;700000;800000;900000;1000000;1500000;2000000;3000000;4000000;5000000;6500000;8000000;10000000;12500000;15000000;20000000;25000000;30000000;35000000;40000000;55000000;70000000;80000000;90000000;110000000;130000000;160000000;190000000;220000000;250000000;280000000;310000000;340000000;400000000})</f>
        <v>8000000</v>
      </c>
      <c r="J566" s="7" t="n">
        <f aca="false">I566*S566*T566*U566</f>
        <v>8424000</v>
      </c>
      <c r="K566" s="3"/>
      <c r="L566" s="3"/>
      <c r="M566" s="3"/>
      <c r="N566" s="9" t="n">
        <v>0</v>
      </c>
      <c r="O566" s="4" t="n">
        <v>0</v>
      </c>
      <c r="P566" s="5" t="n">
        <f aca="false">IF(COUNTIF([1]Base_Jugadores!J$2:J$500,B566)&gt;0,1,0)</f>
        <v>0</v>
      </c>
      <c r="Q566" s="10" t="b">
        <f aca="false">--(COUNTIFS(
   [1]Fichajes_Realizados!A$2:A$5000,A566,
   [1]Fichajes_Realizados!G$2:G$5000,$X$3
)&gt;0)</f>
        <v>0</v>
      </c>
      <c r="R566" s="5" t="n">
        <f aca="false">_xlfn.XLOOKUP(C566, [1]Estado_Equipos!A$2:A$500, [1]Estado_Equipos!J$2:J$500, "")</f>
        <v>74</v>
      </c>
      <c r="S566" s="5" t="n">
        <f aca="false">IF(H566&lt;=16,1.45,
IF(H566&gt;=41,0.3,
CHOOSE(ROUNDDOWN((H566-16)/2,0)+1,
1.45,1.38,1.3,1.23,1.17,1.15,1.12,1.05,0.95,0.8,0.6,0.4,0.3)))</f>
        <v>1.17</v>
      </c>
      <c r="T566" s="5" t="n">
        <f aca="false">CHOOSE(N566+1,1.2,1,0.85,0.7)</f>
        <v>1.2</v>
      </c>
      <c r="U566" s="5" t="n">
        <f aca="false">IF(F566="PO",0.6,
IF(F566="CT",0.75,
IF(F566="LI",0.8,
IF(F566="LD",0.8,
IF(F566="MCD",0.85,
IF(F566="MC",0.95,
IF(F566="MO",1.05,
IF(F566="EI",1.1,
IF(F566="ED",1.1,
IF(F566="SD",1.15,
IF(F566="DC",1.2,0)))))))))))</f>
        <v>0.75</v>
      </c>
    </row>
    <row r="567" customFormat="false" ht="16.4" hidden="false" customHeight="false" outlineLevel="0" collapsed="false">
      <c r="A567" s="1" t="n">
        <v>566</v>
      </c>
      <c r="B567" s="5" t="str">
        <f aca="false">[1]Base_Jugadores!B567</f>
        <v>Ben Gannon-Doak</v>
      </c>
      <c r="C567" s="5" t="str">
        <f aca="false">IFERROR(
   _xlfn.XLOOKUP(VALUE(A567),[1]Fichajes_Realizados!A$2:A$50000,[1]Fichajes_Realizados!D$2:D$50000,,0,-1),
   _xlfn.XLOOKUP(VALUE(A567),[1]Base_Jugadores!A$2:A$50000,[1]Base_Jugadores!C$2:C$50000)
)</f>
        <v>AFC Bournemouth</v>
      </c>
      <c r="D567" s="5" t="str">
        <f aca="false">[1]Base_Jugadores!D567</f>
        <v>Escocia</v>
      </c>
      <c r="E567" s="3"/>
      <c r="F567" s="5" t="str">
        <f aca="false">[1]Base_Jugadores!E567</f>
        <v>ED</v>
      </c>
      <c r="G567" s="5" t="n">
        <f aca="false">[1]Base_Jugadores!F567</f>
        <v>70</v>
      </c>
      <c r="H567" s="5" t="n">
        <f aca="false">[1]Base_Jugadores!G567</f>
        <v>20</v>
      </c>
      <c r="I567" s="7" t="n">
        <f aca="false" t="array" ref="I567:I567">_xlfn.XLOOKUP(G567,{55;56;57;58;59;60;61;62;63;64;65;66;67;68;69;70;71;72;73;74;75;76;77;78;79;80;81;82;83;84;85;86;87;88;89;90;91;92;93;94;95;96;97;98;99},{100000;130000;160000;190000;220000;250000;300000;350000;400000;450000;500000;600000;700000;800000;900000;1000000;1500000;2000000;3000000;4000000;5000000;6500000;8000000;10000000;12500000;15000000;20000000;25000000;30000000;35000000;40000000;55000000;70000000;80000000;90000000;110000000;130000000;160000000;190000000;220000000;250000000;280000000;310000000;340000000;400000000})</f>
        <v>1000000</v>
      </c>
      <c r="J567" s="7" t="n">
        <f aca="false">I567*S567*T567*U567</f>
        <v>1215500</v>
      </c>
      <c r="K567" s="3"/>
      <c r="L567" s="3"/>
      <c r="M567" s="3"/>
      <c r="N567" s="9" t="n">
        <v>2</v>
      </c>
      <c r="O567" s="4" t="n">
        <v>0</v>
      </c>
      <c r="P567" s="5" t="n">
        <f aca="false">IF(COUNTIF([1]Base_Jugadores!J$2:J$500,B567)&gt;0,1,0)</f>
        <v>0</v>
      </c>
      <c r="Q567" s="10" t="b">
        <f aca="false">--(COUNTIFS(
   [1]Fichajes_Realizados!A$2:A$5000,A567,
   [1]Fichajes_Realizados!G$2:G$5000,$X$3
)&gt;0)</f>
        <v>0</v>
      </c>
      <c r="R567" s="5" t="n">
        <f aca="false">_xlfn.XLOOKUP(C567, [1]Estado_Equipos!A$2:A$500, [1]Estado_Equipos!J$2:J$500, "")</f>
        <v>74</v>
      </c>
      <c r="S567" s="5" t="n">
        <f aca="false">IF(H567&lt;=16,1.45,
IF(H567&gt;=41,0.3,
CHOOSE(ROUNDDOWN((H567-16)/2,0)+1,
1.45,1.38,1.3,1.23,1.17,1.15,1.12,1.05,0.95,0.8,0.6,0.4,0.3)))</f>
        <v>1.3</v>
      </c>
      <c r="T567" s="5" t="n">
        <f aca="false">CHOOSE(N567+1,1.2,1,0.85,0.7)</f>
        <v>0.85</v>
      </c>
      <c r="U567" s="5" t="n">
        <f aca="false">IF(F567="PO",0.6,
IF(F567="CT",0.75,
IF(F567="LI",0.8,
IF(F567="LD",0.8,
IF(F567="MCD",0.85,
IF(F567="MC",0.95,
IF(F567="MO",1.05,
IF(F567="EI",1.1,
IF(F567="ED",1.1,
IF(F567="SD",1.15,
IF(F567="DC",1.2,0)))))))))))</f>
        <v>1.1</v>
      </c>
    </row>
    <row r="568" customFormat="false" ht="16.4" hidden="false" customHeight="false" outlineLevel="0" collapsed="false">
      <c r="A568" s="1" t="n">
        <v>567</v>
      </c>
      <c r="B568" s="5" t="str">
        <f aca="false">[1]Base_Jugadores!B568</f>
        <v>David Brooks</v>
      </c>
      <c r="C568" s="5" t="str">
        <f aca="false">IFERROR(
   _xlfn.XLOOKUP(VALUE(A568),[1]Fichajes_Realizados!A$2:A$50000,[1]Fichajes_Realizados!D$2:D$50000,,0,-1),
   _xlfn.XLOOKUP(VALUE(A568),[1]Base_Jugadores!A$2:A$50000,[1]Base_Jugadores!C$2:C$50000)
)</f>
        <v>AFC Bournemouth</v>
      </c>
      <c r="D568" s="5" t="str">
        <f aca="false">[1]Base_Jugadores!D568</f>
        <v>Gales</v>
      </c>
      <c r="E568" s="3"/>
      <c r="F568" s="5" t="str">
        <f aca="false">[1]Base_Jugadores!E568</f>
        <v>ED</v>
      </c>
      <c r="G568" s="5" t="n">
        <f aca="false">[1]Base_Jugadores!F568</f>
        <v>74</v>
      </c>
      <c r="H568" s="5" t="n">
        <f aca="false">[1]Base_Jugadores!G568</f>
        <v>28</v>
      </c>
      <c r="I568" s="7" t="n">
        <f aca="false" t="array" ref="I568:I568">_xlfn.XLOOKUP(G568,{55;56;57;58;59;60;61;62;63;64;65;66;67;68;69;70;71;72;73;74;75;76;77;78;79;80;81;82;83;84;85;86;87;88;89;90;91;92;93;94;95;96;97;98;99},{100000;130000;160000;190000;220000;250000;300000;350000;400000;450000;500000;600000;700000;800000;900000;1000000;1500000;2000000;3000000;4000000;5000000;6500000;8000000;10000000;12500000;15000000;20000000;25000000;30000000;35000000;40000000;55000000;70000000;80000000;90000000;110000000;130000000;160000000;190000000;220000000;250000000;280000000;310000000;340000000;400000000})</f>
        <v>4000000</v>
      </c>
      <c r="J568" s="7" t="n">
        <f aca="false">I568*S568*T568*U568</f>
        <v>4928000</v>
      </c>
      <c r="K568" s="3"/>
      <c r="L568" s="3"/>
      <c r="M568" s="3"/>
      <c r="N568" s="9" t="n">
        <v>1</v>
      </c>
      <c r="O568" s="4" t="n">
        <v>0</v>
      </c>
      <c r="P568" s="5" t="n">
        <f aca="false">IF(COUNTIF([1]Base_Jugadores!J$2:J$500,B568)&gt;0,1,0)</f>
        <v>0</v>
      </c>
      <c r="Q568" s="10" t="b">
        <f aca="false">--(COUNTIFS(
   [1]Fichajes_Realizados!A$2:A$5000,A568,
   [1]Fichajes_Realizados!G$2:G$5000,$X$3
)&gt;0)</f>
        <v>0</v>
      </c>
      <c r="R568" s="5" t="n">
        <f aca="false">_xlfn.XLOOKUP(C568, [1]Estado_Equipos!A$2:A$500, [1]Estado_Equipos!J$2:J$500, "")</f>
        <v>74</v>
      </c>
      <c r="S568" s="5" t="n">
        <f aca="false">IF(H568&lt;=16,1.45,
IF(H568&gt;=41,0.3,
CHOOSE(ROUNDDOWN((H568-16)/2,0)+1,
1.45,1.38,1.3,1.23,1.17,1.15,1.12,1.05,0.95,0.8,0.6,0.4,0.3)))</f>
        <v>1.12</v>
      </c>
      <c r="T568" s="5" t="n">
        <f aca="false">CHOOSE(N568+1,1.2,1,0.85,0.7)</f>
        <v>1</v>
      </c>
      <c r="U568" s="5" t="n">
        <f aca="false">IF(F568="PO",0.6,
IF(F568="CT",0.75,
IF(F568="LI",0.8,
IF(F568="LD",0.8,
IF(F568="MCD",0.85,
IF(F568="MC",0.95,
IF(F568="MO",1.05,
IF(F568="EI",1.1,
IF(F568="ED",1.1,
IF(F568="SD",1.15,
IF(F568="DC",1.2,0)))))))))))</f>
        <v>1.1</v>
      </c>
    </row>
    <row r="569" customFormat="false" ht="16.4" hidden="false" customHeight="false" outlineLevel="0" collapsed="false">
      <c r="A569" s="1" t="n">
        <v>568</v>
      </c>
      <c r="B569" s="5" t="str">
        <f aca="false">[1]Base_Jugadores!B569</f>
        <v>Djordje Petrovic</v>
      </c>
      <c r="C569" s="5" t="str">
        <f aca="false">IFERROR(
   _xlfn.XLOOKUP(VALUE(A569),[1]Fichajes_Realizados!A$2:A$50000,[1]Fichajes_Realizados!D$2:D$50000,,0,-1),
   _xlfn.XLOOKUP(VALUE(A569),[1]Base_Jugadores!A$2:A$50000,[1]Base_Jugadores!C$2:C$50000)
)</f>
        <v>AFC Bournemouth</v>
      </c>
      <c r="D569" s="5" t="str">
        <f aca="false">[1]Base_Jugadores!D569</f>
        <v>Serbia</v>
      </c>
      <c r="E569" s="3"/>
      <c r="F569" s="5" t="str">
        <f aca="false">[1]Base_Jugadores!E569</f>
        <v>PO</v>
      </c>
      <c r="G569" s="5" t="n">
        <f aca="false">[1]Base_Jugadores!F569</f>
        <v>79</v>
      </c>
      <c r="H569" s="5" t="n">
        <f aca="false">[1]Base_Jugadores!G569</f>
        <v>26</v>
      </c>
      <c r="I569" s="7" t="n">
        <f aca="false" t="array" ref="I569:I569">_xlfn.XLOOKUP(G569,{55;56;57;58;59;60;61;62;63;64;65;66;67;68;69;70;71;72;73;74;75;76;77;78;79;80;81;82;83;84;85;86;87;88;89;90;91;92;93;94;95;96;97;98;99},{100000;130000;160000;190000;220000;250000;300000;350000;400000;450000;500000;600000;700000;800000;900000;1000000;1500000;2000000;3000000;4000000;5000000;6500000;8000000;10000000;12500000;15000000;20000000;25000000;30000000;35000000;40000000;55000000;70000000;80000000;90000000;110000000;130000000;160000000;190000000;220000000;250000000;280000000;310000000;340000000;400000000})</f>
        <v>12500000</v>
      </c>
      <c r="J569" s="7" t="n">
        <f aca="false">I569*S569*T569*U569</f>
        <v>10350000</v>
      </c>
      <c r="K569" s="3"/>
      <c r="L569" s="3"/>
      <c r="M569" s="3"/>
      <c r="N569" s="9" t="n">
        <v>0</v>
      </c>
      <c r="O569" s="4" t="n">
        <v>0</v>
      </c>
      <c r="P569" s="5" t="n">
        <f aca="false">IF(COUNTIF([1]Base_Jugadores!J$2:J$500,B569)&gt;0,1,0)</f>
        <v>0</v>
      </c>
      <c r="Q569" s="10" t="b">
        <f aca="false">--(COUNTIFS(
   [1]Fichajes_Realizados!A$2:A$5000,A569,
   [1]Fichajes_Realizados!G$2:G$5000,$X$3
)&gt;0)</f>
        <v>0</v>
      </c>
      <c r="R569" s="5" t="n">
        <f aca="false">_xlfn.XLOOKUP(C569, [1]Estado_Equipos!A$2:A$500, [1]Estado_Equipos!J$2:J$500, "")</f>
        <v>74</v>
      </c>
      <c r="S569" s="5" t="n">
        <f aca="false">IF(H569&lt;=16,1.45,
IF(H569&gt;=41,0.3,
CHOOSE(ROUNDDOWN((H569-16)/2,0)+1,
1.45,1.38,1.3,1.23,1.17,1.15,1.12,1.05,0.95,0.8,0.6,0.4,0.3)))</f>
        <v>1.15</v>
      </c>
      <c r="T569" s="5" t="n">
        <f aca="false">CHOOSE(N569+1,1.2,1,0.85,0.7)</f>
        <v>1.2</v>
      </c>
      <c r="U569" s="5" t="n">
        <f aca="false">IF(F569="PO",0.6,
IF(F569="CT",0.75,
IF(F569="LI",0.8,
IF(F569="LD",0.8,
IF(F569="MCD",0.85,
IF(F569="MC",0.95,
IF(F569="MO",1.05,
IF(F569="EI",1.1,
IF(F569="ED",1.1,
IF(F569="SD",1.15,
IF(F569="DC",1.2,0)))))))))))</f>
        <v>0.6</v>
      </c>
    </row>
    <row r="570" customFormat="false" ht="16.4" hidden="false" customHeight="false" outlineLevel="0" collapsed="false">
      <c r="A570" s="1" t="n">
        <v>569</v>
      </c>
      <c r="B570" s="5" t="str">
        <f aca="false">[1]Base_Jugadores!B570</f>
        <v>Enes Ünal</v>
      </c>
      <c r="C570" s="5" t="str">
        <f aca="false">IFERROR(
   _xlfn.XLOOKUP(VALUE(A570),[1]Fichajes_Realizados!A$2:A$50000,[1]Fichajes_Realizados!D$2:D$50000,,0,-1),
   _xlfn.XLOOKUP(VALUE(A570),[1]Base_Jugadores!A$2:A$50000,[1]Base_Jugadores!C$2:C$50000)
)</f>
        <v>AFC Bournemouth</v>
      </c>
      <c r="D570" s="5" t="str">
        <f aca="false">[1]Base_Jugadores!D570</f>
        <v>Turquía</v>
      </c>
      <c r="E570" s="3"/>
      <c r="F570" s="5" t="str">
        <f aca="false">[1]Base_Jugadores!E570</f>
        <v>DC</v>
      </c>
      <c r="G570" s="5" t="n">
        <f aca="false">[1]Base_Jugadores!F570</f>
        <v>78</v>
      </c>
      <c r="H570" s="5" t="n">
        <f aca="false">[1]Base_Jugadores!G570</f>
        <v>28</v>
      </c>
      <c r="I570" s="7" t="n">
        <f aca="false" t="array" ref="I570:I570">_xlfn.XLOOKUP(G570,{55;56;57;58;59;60;61;62;63;64;65;66;67;68;69;70;71;72;73;74;75;76;77;78;79;80;81;82;83;84;85;86;87;88;89;90;91;92;93;94;95;96;97;98;99},{100000;130000;160000;190000;220000;250000;300000;350000;400000;450000;500000;600000;700000;800000;900000;1000000;1500000;2000000;3000000;4000000;5000000;6500000;8000000;10000000;12500000;15000000;20000000;25000000;30000000;35000000;40000000;55000000;70000000;80000000;90000000;110000000;130000000;160000000;190000000;220000000;250000000;280000000;310000000;340000000;400000000})</f>
        <v>10000000</v>
      </c>
      <c r="J570" s="7" t="n">
        <f aca="false">I570*S570*T570*U570</f>
        <v>13440000</v>
      </c>
      <c r="K570" s="3"/>
      <c r="L570" s="3"/>
      <c r="M570" s="3"/>
      <c r="N570" s="9" t="n">
        <v>1</v>
      </c>
      <c r="O570" s="4" t="n">
        <v>0</v>
      </c>
      <c r="P570" s="5" t="n">
        <f aca="false">IF(COUNTIF([1]Base_Jugadores!J$2:J$500,B570)&gt;0,1,0)</f>
        <v>0</v>
      </c>
      <c r="Q570" s="10" t="b">
        <f aca="false">--(COUNTIFS(
   [1]Fichajes_Realizados!A$2:A$5000,A570,
   [1]Fichajes_Realizados!G$2:G$5000,$X$3
)&gt;0)</f>
        <v>0</v>
      </c>
      <c r="R570" s="5" t="n">
        <f aca="false">_xlfn.XLOOKUP(C570, [1]Estado_Equipos!A$2:A$500, [1]Estado_Equipos!J$2:J$500, "")</f>
        <v>74</v>
      </c>
      <c r="S570" s="5" t="n">
        <f aca="false">IF(H570&lt;=16,1.45,
IF(H570&gt;=41,0.3,
CHOOSE(ROUNDDOWN((H570-16)/2,0)+1,
1.45,1.38,1.3,1.23,1.17,1.15,1.12,1.05,0.95,0.8,0.6,0.4,0.3)))</f>
        <v>1.12</v>
      </c>
      <c r="T570" s="5" t="n">
        <f aca="false">CHOOSE(N570+1,1.2,1,0.85,0.7)</f>
        <v>1</v>
      </c>
      <c r="U570" s="5" t="n">
        <f aca="false">IF(F570="PO",0.6,
IF(F570="CT",0.75,
IF(F570="LI",0.8,
IF(F570="LD",0.8,
IF(F570="MCD",0.85,
IF(F570="MC",0.95,
IF(F570="MO",1.05,
IF(F570="EI",1.1,
IF(F570="ED",1.1,
IF(F570="SD",1.15,
IF(F570="DC",1.2,0)))))))))))</f>
        <v>1.2</v>
      </c>
    </row>
    <row r="571" customFormat="false" ht="16.4" hidden="false" customHeight="false" outlineLevel="0" collapsed="false">
      <c r="A571" s="1" t="n">
        <v>570</v>
      </c>
      <c r="B571" s="5" t="str">
        <f aca="false">[1]Base_Jugadores!B571</f>
        <v>Evanilson</v>
      </c>
      <c r="C571" s="5" t="str">
        <f aca="false">IFERROR(
   _xlfn.XLOOKUP(VALUE(A571),[1]Fichajes_Realizados!A$2:A$50000,[1]Fichajes_Realizados!D$2:D$50000,,0,-1),
   _xlfn.XLOOKUP(VALUE(A571),[1]Base_Jugadores!A$2:A$50000,[1]Base_Jugadores!C$2:C$50000)
)</f>
        <v>AFC Bournemouth</v>
      </c>
      <c r="D571" s="5" t="str">
        <f aca="false">[1]Base_Jugadores!D571</f>
        <v>Brasil</v>
      </c>
      <c r="E571" s="3"/>
      <c r="F571" s="5" t="str">
        <f aca="false">[1]Base_Jugadores!E571</f>
        <v>DC</v>
      </c>
      <c r="G571" s="5" t="n">
        <f aca="false">[1]Base_Jugadores!F571</f>
        <v>80</v>
      </c>
      <c r="H571" s="5" t="n">
        <f aca="false">[1]Base_Jugadores!G571</f>
        <v>26</v>
      </c>
      <c r="I571" s="7" t="n">
        <f aca="false" t="array" ref="I571:I571">_xlfn.XLOOKUP(G571,{55;56;57;58;59;60;61;62;63;64;65;66;67;68;69;70;71;72;73;74;75;76;77;78;79;80;81;82;83;84;85;86;87;88;89;90;91;92;93;94;95;96;97;98;99},{100000;130000;160000;190000;220000;250000;300000;350000;400000;450000;500000;600000;700000;800000;900000;1000000;1500000;2000000;3000000;4000000;5000000;6500000;8000000;10000000;12500000;15000000;20000000;25000000;30000000;35000000;40000000;55000000;70000000;80000000;90000000;110000000;130000000;160000000;190000000;220000000;250000000;280000000;310000000;340000000;400000000})</f>
        <v>15000000</v>
      </c>
      <c r="J571" s="7" t="n">
        <f aca="false">I571*S571*T571*U571</f>
        <v>24840000</v>
      </c>
      <c r="K571" s="3"/>
      <c r="L571" s="3"/>
      <c r="M571" s="3"/>
      <c r="N571" s="9" t="n">
        <v>0</v>
      </c>
      <c r="O571" s="4" t="n">
        <v>0</v>
      </c>
      <c r="P571" s="5" t="n">
        <f aca="false">IF(COUNTIF([1]Base_Jugadores!J$2:J$500,B571)&gt;0,1,0)</f>
        <v>0</v>
      </c>
      <c r="Q571" s="10" t="b">
        <f aca="false">--(COUNTIFS(
   [1]Fichajes_Realizados!A$2:A$5000,A571,
   [1]Fichajes_Realizados!G$2:G$5000,$X$3
)&gt;0)</f>
        <v>0</v>
      </c>
      <c r="R571" s="5" t="n">
        <f aca="false">_xlfn.XLOOKUP(C571, [1]Estado_Equipos!A$2:A$500, [1]Estado_Equipos!J$2:J$500, "")</f>
        <v>74</v>
      </c>
      <c r="S571" s="5" t="n">
        <f aca="false">IF(H571&lt;=16,1.45,
IF(H571&gt;=41,0.3,
CHOOSE(ROUNDDOWN((H571-16)/2,0)+1,
1.45,1.38,1.3,1.23,1.17,1.15,1.12,1.05,0.95,0.8,0.6,0.4,0.3)))</f>
        <v>1.15</v>
      </c>
      <c r="T571" s="5" t="n">
        <f aca="false">CHOOSE(N571+1,1.2,1,0.85,0.7)</f>
        <v>1.2</v>
      </c>
      <c r="U571" s="5" t="n">
        <f aca="false">IF(F571="PO",0.6,
IF(F571="CT",0.75,
IF(F571="LI",0.8,
IF(F571="LD",0.8,
IF(F571="MCD",0.85,
IF(F571="MC",0.95,
IF(F571="MO",1.05,
IF(F571="EI",1.1,
IF(F571="ED",1.1,
IF(F571="SD",1.15,
IF(F571="DC",1.2,0)))))))))))</f>
        <v>1.2</v>
      </c>
    </row>
    <row r="572" customFormat="false" ht="16.4" hidden="false" customHeight="false" outlineLevel="0" collapsed="false">
      <c r="A572" s="1" t="n">
        <v>571</v>
      </c>
      <c r="B572" s="5" t="str">
        <f aca="false">[1]Base_Jugadores!B572</f>
        <v>James Hill</v>
      </c>
      <c r="C572" s="5" t="str">
        <f aca="false">IFERROR(
   _xlfn.XLOOKUP(VALUE(A572),[1]Fichajes_Realizados!A$2:A$50000,[1]Fichajes_Realizados!D$2:D$50000,,0,-1),
   _xlfn.XLOOKUP(VALUE(A572),[1]Base_Jugadores!A$2:A$50000,[1]Base_Jugadores!C$2:C$50000)
)</f>
        <v>AFC Bournemouth</v>
      </c>
      <c r="D572" s="5" t="str">
        <f aca="false">[1]Base_Jugadores!D572</f>
        <v>Inglaterra</v>
      </c>
      <c r="E572" s="3"/>
      <c r="F572" s="5" t="str">
        <f aca="false">[1]Base_Jugadores!E572</f>
        <v>CT</v>
      </c>
      <c r="G572" s="5" t="n">
        <f aca="false">[1]Base_Jugadores!F572</f>
        <v>69</v>
      </c>
      <c r="H572" s="5" t="n">
        <f aca="false">[1]Base_Jugadores!G572</f>
        <v>23</v>
      </c>
      <c r="I572" s="7" t="n">
        <f aca="false" t="array" ref="I572:I572">_xlfn.XLOOKUP(G572,{55;56;57;58;59;60;61;62;63;64;65;66;67;68;69;70;71;72;73;74;75;76;77;78;79;80;81;82;83;84;85;86;87;88;89;90;91;92;93;94;95;96;97;98;99},{100000;130000;160000;190000;220000;250000;300000;350000;400000;450000;500000;600000;700000;800000;900000;1000000;1500000;2000000;3000000;4000000;5000000;6500000;8000000;10000000;12500000;15000000;20000000;25000000;30000000;35000000;40000000;55000000;70000000;80000000;90000000;110000000;130000000;160000000;190000000;220000000;250000000;280000000;310000000;340000000;400000000})</f>
        <v>900000</v>
      </c>
      <c r="J572" s="7" t="n">
        <f aca="false">I572*S572*T572*U572</f>
        <v>705712.5</v>
      </c>
      <c r="K572" s="3"/>
      <c r="L572" s="3"/>
      <c r="M572" s="3"/>
      <c r="N572" s="9" t="n">
        <v>2</v>
      </c>
      <c r="O572" s="4" t="n">
        <v>0</v>
      </c>
      <c r="P572" s="5" t="n">
        <f aca="false">IF(COUNTIF([1]Base_Jugadores!J$2:J$500,B572)&gt;0,1,0)</f>
        <v>0</v>
      </c>
      <c r="Q572" s="10" t="b">
        <f aca="false">--(COUNTIFS(
   [1]Fichajes_Realizados!A$2:A$5000,A572,
   [1]Fichajes_Realizados!G$2:G$5000,$X$3
)&gt;0)</f>
        <v>0</v>
      </c>
      <c r="R572" s="5" t="n">
        <f aca="false">_xlfn.XLOOKUP(C572, [1]Estado_Equipos!A$2:A$500, [1]Estado_Equipos!J$2:J$500, "")</f>
        <v>74</v>
      </c>
      <c r="S572" s="5" t="n">
        <f aca="false">IF(H572&lt;=16,1.45,
IF(H572&gt;=41,0.3,
CHOOSE(ROUNDDOWN((H572-16)/2,0)+1,
1.45,1.38,1.3,1.23,1.17,1.15,1.12,1.05,0.95,0.8,0.6,0.4,0.3)))</f>
        <v>1.23</v>
      </c>
      <c r="T572" s="5" t="n">
        <f aca="false">CHOOSE(N572+1,1.2,1,0.85,0.7)</f>
        <v>0.85</v>
      </c>
      <c r="U572" s="5" t="n">
        <f aca="false">IF(F572="PO",0.6,
IF(F572="CT",0.75,
IF(F572="LI",0.8,
IF(F572="LD",0.8,
IF(F572="MCD",0.85,
IF(F572="MC",0.95,
IF(F572="MO",1.05,
IF(F572="EI",1.1,
IF(F572="ED",1.1,
IF(F572="SD",1.15,
IF(F572="DC",1.2,0)))))))))))</f>
        <v>0.75</v>
      </c>
    </row>
    <row r="573" customFormat="false" ht="16.4" hidden="false" customHeight="false" outlineLevel="0" collapsed="false">
      <c r="A573" s="1" t="n">
        <v>572</v>
      </c>
      <c r="B573" s="5" t="str">
        <f aca="false">[1]Base_Jugadores!B573</f>
        <v>Julián Araujo</v>
      </c>
      <c r="C573" s="5" t="str">
        <f aca="false">IFERROR(
   _xlfn.XLOOKUP(VALUE(A573),[1]Fichajes_Realizados!A$2:A$50000,[1]Fichajes_Realizados!D$2:D$50000,,0,-1),
   _xlfn.XLOOKUP(VALUE(A573),[1]Base_Jugadores!A$2:A$50000,[1]Base_Jugadores!C$2:C$50000)
)</f>
        <v>AFC Bournemouth</v>
      </c>
      <c r="D573" s="5" t="str">
        <f aca="false">[1]Base_Jugadores!D573</f>
        <v>México</v>
      </c>
      <c r="E573" s="3"/>
      <c r="F573" s="5" t="str">
        <f aca="false">[1]Base_Jugadores!E573</f>
        <v>LD</v>
      </c>
      <c r="G573" s="5" t="n">
        <f aca="false">[1]Base_Jugadores!F573</f>
        <v>75</v>
      </c>
      <c r="H573" s="5" t="n">
        <f aca="false">[1]Base_Jugadores!G573</f>
        <v>24</v>
      </c>
      <c r="I573" s="7" t="n">
        <f aca="false" t="array" ref="I573:I573">_xlfn.XLOOKUP(G573,{55;56;57;58;59;60;61;62;63;64;65;66;67;68;69;70;71;72;73;74;75;76;77;78;79;80;81;82;83;84;85;86;87;88;89;90;91;92;93;94;95;96;97;98;99},{100000;130000;160000;190000;220000;250000;300000;350000;400000;450000;500000;600000;700000;800000;900000;1000000;1500000;2000000;3000000;4000000;5000000;6500000;8000000;10000000;12500000;15000000;20000000;25000000;30000000;35000000;40000000;55000000;70000000;80000000;90000000;110000000;130000000;160000000;190000000;220000000;250000000;280000000;310000000;340000000;400000000})</f>
        <v>5000000</v>
      </c>
      <c r="J573" s="7" t="n">
        <f aca="false">I573*S573*T573*U573</f>
        <v>5616000</v>
      </c>
      <c r="K573" s="3"/>
      <c r="L573" s="3"/>
      <c r="M573" s="3"/>
      <c r="N573" s="9" t="n">
        <v>0</v>
      </c>
      <c r="O573" s="4" t="n">
        <v>0</v>
      </c>
      <c r="P573" s="5" t="n">
        <f aca="false">IF(COUNTIF([1]Base_Jugadores!J$2:J$500,B573)&gt;0,1,0)</f>
        <v>0</v>
      </c>
      <c r="Q573" s="10" t="b">
        <f aca="false">--(COUNTIFS(
   [1]Fichajes_Realizados!A$2:A$5000,A573,
   [1]Fichajes_Realizados!G$2:G$5000,$X$3
)&gt;0)</f>
        <v>0</v>
      </c>
      <c r="R573" s="5" t="n">
        <f aca="false">_xlfn.XLOOKUP(C573, [1]Estado_Equipos!A$2:A$500, [1]Estado_Equipos!J$2:J$500, "")</f>
        <v>74</v>
      </c>
      <c r="S573" s="5" t="n">
        <f aca="false">IF(H573&lt;=16,1.45,
IF(H573&gt;=41,0.3,
CHOOSE(ROUNDDOWN((H573-16)/2,0)+1,
1.45,1.38,1.3,1.23,1.17,1.15,1.12,1.05,0.95,0.8,0.6,0.4,0.3)))</f>
        <v>1.17</v>
      </c>
      <c r="T573" s="5" t="n">
        <f aca="false">CHOOSE(N573+1,1.2,1,0.85,0.7)</f>
        <v>1.2</v>
      </c>
      <c r="U573" s="5" t="n">
        <f aca="false">IF(F573="PO",0.6,
IF(F573="CT",0.75,
IF(F573="LI",0.8,
IF(F573="LD",0.8,
IF(F573="MCD",0.85,
IF(F573="MC",0.95,
IF(F573="MO",1.05,
IF(F573="EI",1.1,
IF(F573="ED",1.1,
IF(F573="SD",1.15,
IF(F573="DC",1.2,0)))))))))))</f>
        <v>0.8</v>
      </c>
    </row>
    <row r="574" customFormat="false" ht="16.4" hidden="false" customHeight="false" outlineLevel="0" collapsed="false">
      <c r="A574" s="1" t="n">
        <v>573</v>
      </c>
      <c r="B574" s="5" t="str">
        <f aca="false">[1]Base_Jugadores!B574</f>
        <v>Julio Soler</v>
      </c>
      <c r="C574" s="5" t="str">
        <f aca="false">IFERROR(
   _xlfn.XLOOKUP(VALUE(A574),[1]Fichajes_Realizados!A$2:A$50000,[1]Fichajes_Realizados!D$2:D$50000,,0,-1),
   _xlfn.XLOOKUP(VALUE(A574),[1]Base_Jugadores!A$2:A$50000,[1]Base_Jugadores!C$2:C$50000)
)</f>
        <v>AFC Bournemouth</v>
      </c>
      <c r="D574" s="5" t="str">
        <f aca="false">[1]Base_Jugadores!D574</f>
        <v>Argentina</v>
      </c>
      <c r="E574" s="3"/>
      <c r="F574" s="5" t="str">
        <f aca="false">[1]Base_Jugadores!E574</f>
        <v>LI</v>
      </c>
      <c r="G574" s="5" t="n">
        <f aca="false">[1]Base_Jugadores!F574</f>
        <v>73</v>
      </c>
      <c r="H574" s="5" t="n">
        <f aca="false">[1]Base_Jugadores!G574</f>
        <v>20</v>
      </c>
      <c r="I574" s="7" t="n">
        <f aca="false" t="array" ref="I574:I574">_xlfn.XLOOKUP(G574,{55;56;57;58;59;60;61;62;63;64;65;66;67;68;69;70;71;72;73;74;75;76;77;78;79;80;81;82;83;84;85;86;87;88;89;90;91;92;93;94;95;96;97;98;99},{100000;130000;160000;190000;220000;250000;300000;350000;400000;450000;500000;600000;700000;800000;900000;1000000;1500000;2000000;3000000;4000000;5000000;6500000;8000000;10000000;12500000;15000000;20000000;25000000;30000000;35000000;40000000;55000000;70000000;80000000;90000000;110000000;130000000;160000000;190000000;220000000;250000000;280000000;310000000;340000000;400000000})</f>
        <v>3000000</v>
      </c>
      <c r="J574" s="7" t="n">
        <f aca="false">I574*S574*T574*U574</f>
        <v>2652000</v>
      </c>
      <c r="K574" s="3"/>
      <c r="L574" s="3"/>
      <c r="M574" s="3"/>
      <c r="N574" s="9" t="n">
        <v>2</v>
      </c>
      <c r="O574" s="4" t="n">
        <v>0</v>
      </c>
      <c r="P574" s="5" t="n">
        <f aca="false">IF(COUNTIF([1]Base_Jugadores!J$2:J$500,B574)&gt;0,1,0)</f>
        <v>0</v>
      </c>
      <c r="Q574" s="10" t="b">
        <f aca="false">--(COUNTIFS(
   [1]Fichajes_Realizados!A$2:A$5000,A574,
   [1]Fichajes_Realizados!G$2:G$5000,$X$3
)&gt;0)</f>
        <v>0</v>
      </c>
      <c r="R574" s="5" t="n">
        <f aca="false">_xlfn.XLOOKUP(C574, [1]Estado_Equipos!A$2:A$500, [1]Estado_Equipos!J$2:J$500, "")</f>
        <v>74</v>
      </c>
      <c r="S574" s="5" t="n">
        <f aca="false">IF(H574&lt;=16,1.45,
IF(H574&gt;=41,0.3,
CHOOSE(ROUNDDOWN((H574-16)/2,0)+1,
1.45,1.38,1.3,1.23,1.17,1.15,1.12,1.05,0.95,0.8,0.6,0.4,0.3)))</f>
        <v>1.3</v>
      </c>
      <c r="T574" s="5" t="n">
        <f aca="false">CHOOSE(N574+1,1.2,1,0.85,0.7)</f>
        <v>0.85</v>
      </c>
      <c r="U574" s="5" t="n">
        <f aca="false">IF(F574="PO",0.6,
IF(F574="CT",0.75,
IF(F574="LI",0.8,
IF(F574="LD",0.8,
IF(F574="MCD",0.85,
IF(F574="MC",0.95,
IF(F574="MO",1.05,
IF(F574="EI",1.1,
IF(F574="ED",1.1,
IF(F574="SD",1.15,
IF(F574="DC",1.2,0)))))))))))</f>
        <v>0.8</v>
      </c>
    </row>
    <row r="575" customFormat="false" ht="16.4" hidden="false" customHeight="false" outlineLevel="0" collapsed="false">
      <c r="A575" s="1" t="n">
        <v>574</v>
      </c>
      <c r="B575" s="5" t="str">
        <f aca="false">[1]Base_Jugadores!B575</f>
        <v>Junior Kroupi</v>
      </c>
      <c r="C575" s="5" t="str">
        <f aca="false">IFERROR(
   _xlfn.XLOOKUP(VALUE(A575),[1]Fichajes_Realizados!A$2:A$50000,[1]Fichajes_Realizados!D$2:D$50000,,0,-1),
   _xlfn.XLOOKUP(VALUE(A575),[1]Base_Jugadores!A$2:A$50000,[1]Base_Jugadores!C$2:C$50000)
)</f>
        <v>AFC Bournemouth</v>
      </c>
      <c r="D575" s="5" t="str">
        <f aca="false">[1]Base_Jugadores!D575</f>
        <v>Francia</v>
      </c>
      <c r="E575" s="3"/>
      <c r="F575" s="5" t="str">
        <f aca="false">[1]Base_Jugadores!E575</f>
        <v>DC</v>
      </c>
      <c r="G575" s="5" t="n">
        <f aca="false">[1]Base_Jugadores!F575</f>
        <v>73</v>
      </c>
      <c r="H575" s="5" t="n">
        <f aca="false">[1]Base_Jugadores!G575</f>
        <v>19</v>
      </c>
      <c r="I575" s="7" t="n">
        <f aca="false" t="array" ref="I575:I575">_xlfn.XLOOKUP(G575,{55;56;57;58;59;60;61;62;63;64;65;66;67;68;69;70;71;72;73;74;75;76;77;78;79;80;81;82;83;84;85;86;87;88;89;90;91;92;93;94;95;96;97;98;99},{100000;130000;160000;190000;220000;250000;300000;350000;400000;450000;500000;600000;700000;800000;900000;1000000;1500000;2000000;3000000;4000000;5000000;6500000;8000000;10000000;12500000;15000000;20000000;25000000;30000000;35000000;40000000;55000000;70000000;80000000;90000000;110000000;130000000;160000000;190000000;220000000;250000000;280000000;310000000;340000000;400000000})</f>
        <v>3000000</v>
      </c>
      <c r="J575" s="7" t="n">
        <f aca="false">I575*S575*T575*U575</f>
        <v>4222800</v>
      </c>
      <c r="K575" s="3"/>
      <c r="L575" s="3"/>
      <c r="M575" s="3"/>
      <c r="N575" s="9" t="n">
        <v>2</v>
      </c>
      <c r="O575" s="4" t="n">
        <v>0</v>
      </c>
      <c r="P575" s="5" t="n">
        <f aca="false">IF(COUNTIF([1]Base_Jugadores!J$2:J$500,B575)&gt;0,1,0)</f>
        <v>0</v>
      </c>
      <c r="Q575" s="10" t="b">
        <f aca="false">--(COUNTIFS(
   [1]Fichajes_Realizados!A$2:A$5000,A575,
   [1]Fichajes_Realizados!G$2:G$5000,$X$3
)&gt;0)</f>
        <v>0</v>
      </c>
      <c r="R575" s="5" t="n">
        <f aca="false">_xlfn.XLOOKUP(C575, [1]Estado_Equipos!A$2:A$500, [1]Estado_Equipos!J$2:J$500, "")</f>
        <v>74</v>
      </c>
      <c r="S575" s="5" t="n">
        <f aca="false">IF(H575&lt;=16,1.45,
IF(H575&gt;=41,0.3,
CHOOSE(ROUNDDOWN((H575-16)/2,0)+1,
1.45,1.38,1.3,1.23,1.17,1.15,1.12,1.05,0.95,0.8,0.6,0.4,0.3)))</f>
        <v>1.38</v>
      </c>
      <c r="T575" s="5" t="n">
        <f aca="false">CHOOSE(N575+1,1.2,1,0.85,0.7)</f>
        <v>0.85</v>
      </c>
      <c r="U575" s="5" t="n">
        <f aca="false">IF(F575="PO",0.6,
IF(F575="CT",0.75,
IF(F575="LI",0.8,
IF(F575="LD",0.8,
IF(F575="MCD",0.85,
IF(F575="MC",0.95,
IF(F575="MO",1.05,
IF(F575="EI",1.1,
IF(F575="ED",1.1,
IF(F575="SD",1.15,
IF(F575="DC",1.2,0)))))))))))</f>
        <v>1.2</v>
      </c>
    </row>
    <row r="576" customFormat="false" ht="16.4" hidden="false" customHeight="false" outlineLevel="0" collapsed="false">
      <c r="A576" s="1" t="n">
        <v>575</v>
      </c>
      <c r="B576" s="5" t="str">
        <f aca="false">[1]Base_Jugadores!B576</f>
        <v>Justin Kluivert</v>
      </c>
      <c r="C576" s="5" t="str">
        <f aca="false">IFERROR(
   _xlfn.XLOOKUP(VALUE(A576),[1]Fichajes_Realizados!A$2:A$50000,[1]Fichajes_Realizados!D$2:D$50000,,0,-1),
   _xlfn.XLOOKUP(VALUE(A576),[1]Base_Jugadores!A$2:A$50000,[1]Base_Jugadores!C$2:C$50000)
)</f>
        <v>AFC Bournemouth</v>
      </c>
      <c r="D576" s="5" t="str">
        <f aca="false">[1]Base_Jugadores!D576</f>
        <v>Países Bajos</v>
      </c>
      <c r="E576" s="3"/>
      <c r="F576" s="5" t="str">
        <f aca="false">[1]Base_Jugadores!E576</f>
        <v>MO</v>
      </c>
      <c r="G576" s="5" t="n">
        <f aca="false">[1]Base_Jugadores!F576</f>
        <v>77</v>
      </c>
      <c r="H576" s="5" t="n">
        <f aca="false">[1]Base_Jugadores!G576</f>
        <v>26</v>
      </c>
      <c r="I576" s="7" t="n">
        <f aca="false" t="array" ref="I576:I576">_xlfn.XLOOKUP(G576,{55;56;57;58;59;60;61;62;63;64;65;66;67;68;69;70;71;72;73;74;75;76;77;78;79;80;81;82;83;84;85;86;87;88;89;90;91;92;93;94;95;96;97;98;99},{100000;130000;160000;190000;220000;250000;300000;350000;400000;450000;500000;600000;700000;800000;900000;1000000;1500000;2000000;3000000;4000000;5000000;6500000;8000000;10000000;12500000;15000000;20000000;25000000;30000000;35000000;40000000;55000000;70000000;80000000;90000000;110000000;130000000;160000000;190000000;220000000;250000000;280000000;310000000;340000000;400000000})</f>
        <v>8000000</v>
      </c>
      <c r="J576" s="7" t="n">
        <f aca="false">I576*S576*T576*U576</f>
        <v>11592000</v>
      </c>
      <c r="K576" s="3"/>
      <c r="L576" s="3"/>
      <c r="M576" s="3"/>
      <c r="N576" s="9" t="n">
        <v>0</v>
      </c>
      <c r="O576" s="4" t="n">
        <v>0</v>
      </c>
      <c r="P576" s="5" t="n">
        <f aca="false">IF(COUNTIF([1]Base_Jugadores!J$2:J$500,B576)&gt;0,1,0)</f>
        <v>0</v>
      </c>
      <c r="Q576" s="10" t="b">
        <f aca="false">--(COUNTIFS(
   [1]Fichajes_Realizados!A$2:A$5000,A576,
   [1]Fichajes_Realizados!G$2:G$5000,$X$3
)&gt;0)</f>
        <v>0</v>
      </c>
      <c r="R576" s="5" t="n">
        <f aca="false">_xlfn.XLOOKUP(C576, [1]Estado_Equipos!A$2:A$500, [1]Estado_Equipos!J$2:J$500, "")</f>
        <v>74</v>
      </c>
      <c r="S576" s="5" t="n">
        <f aca="false">IF(H576&lt;=16,1.45,
IF(H576&gt;=41,0.3,
CHOOSE(ROUNDDOWN((H576-16)/2,0)+1,
1.45,1.38,1.3,1.23,1.17,1.15,1.12,1.05,0.95,0.8,0.6,0.4,0.3)))</f>
        <v>1.15</v>
      </c>
      <c r="T576" s="5" t="n">
        <f aca="false">CHOOSE(N576+1,1.2,1,0.85,0.7)</f>
        <v>1.2</v>
      </c>
      <c r="U576" s="5" t="n">
        <f aca="false">IF(F576="PO",0.6,
IF(F576="CT",0.75,
IF(F576="LI",0.8,
IF(F576="LD",0.8,
IF(F576="MCD",0.85,
IF(F576="MC",0.95,
IF(F576="MO",1.05,
IF(F576="EI",1.1,
IF(F576="ED",1.1,
IF(F576="SD",1.15,
IF(F576="DC",1.2,0)))))))))))</f>
        <v>1.05</v>
      </c>
    </row>
    <row r="577" customFormat="false" ht="16.4" hidden="false" customHeight="false" outlineLevel="0" collapsed="false">
      <c r="A577" s="1" t="n">
        <v>576</v>
      </c>
      <c r="B577" s="5" t="str">
        <f aca="false">[1]Base_Jugadores!B577</f>
        <v>Lewis Cook</v>
      </c>
      <c r="C577" s="5" t="str">
        <f aca="false">IFERROR(
   _xlfn.XLOOKUP(VALUE(A577),[1]Fichajes_Realizados!A$2:A$50000,[1]Fichajes_Realizados!D$2:D$50000,,0,-1),
   _xlfn.XLOOKUP(VALUE(A577),[1]Base_Jugadores!A$2:A$50000,[1]Base_Jugadores!C$2:C$50000)
)</f>
        <v>AFC Bournemouth</v>
      </c>
      <c r="D577" s="5" t="str">
        <f aca="false">[1]Base_Jugadores!D577</f>
        <v>Inglaterra</v>
      </c>
      <c r="E577" s="3"/>
      <c r="F577" s="5" t="str">
        <f aca="false">[1]Base_Jugadores!E577</f>
        <v>MC</v>
      </c>
      <c r="G577" s="5" t="n">
        <f aca="false">[1]Base_Jugadores!F577</f>
        <v>78</v>
      </c>
      <c r="H577" s="5" t="n">
        <f aca="false">[1]Base_Jugadores!G577</f>
        <v>28</v>
      </c>
      <c r="I577" s="7" t="n">
        <f aca="false" t="array" ref="I577:I577">_xlfn.XLOOKUP(G577,{55;56;57;58;59;60;61;62;63;64;65;66;67;68;69;70;71;72;73;74;75;76;77;78;79;80;81;82;83;84;85;86;87;88;89;90;91;92;93;94;95;96;97;98;99},{100000;130000;160000;190000;220000;250000;300000;350000;400000;450000;500000;600000;700000;800000;900000;1000000;1500000;2000000;3000000;4000000;5000000;6500000;8000000;10000000;12500000;15000000;20000000;25000000;30000000;35000000;40000000;55000000;70000000;80000000;90000000;110000000;130000000;160000000;190000000;220000000;250000000;280000000;310000000;340000000;400000000})</f>
        <v>10000000</v>
      </c>
      <c r="J577" s="7" t="n">
        <f aca="false">I577*S577*T577*U577</f>
        <v>12768000</v>
      </c>
      <c r="K577" s="3"/>
      <c r="L577" s="3"/>
      <c r="M577" s="3"/>
      <c r="N577" s="9" t="n">
        <v>0</v>
      </c>
      <c r="O577" s="4" t="n">
        <v>0</v>
      </c>
      <c r="P577" s="5" t="n">
        <f aca="false">IF(COUNTIF([1]Base_Jugadores!J$2:J$500,B577)&gt;0,1,0)</f>
        <v>0</v>
      </c>
      <c r="Q577" s="10" t="b">
        <f aca="false">--(COUNTIFS(
   [1]Fichajes_Realizados!A$2:A$5000,A577,
   [1]Fichajes_Realizados!G$2:G$5000,$X$3
)&gt;0)</f>
        <v>0</v>
      </c>
      <c r="R577" s="5" t="n">
        <f aca="false">_xlfn.XLOOKUP(C577, [1]Estado_Equipos!A$2:A$500, [1]Estado_Equipos!J$2:J$500, "")</f>
        <v>74</v>
      </c>
      <c r="S577" s="5" t="n">
        <f aca="false">IF(H577&lt;=16,1.45,
IF(H577&gt;=41,0.3,
CHOOSE(ROUNDDOWN((H577-16)/2,0)+1,
1.45,1.38,1.3,1.23,1.17,1.15,1.12,1.05,0.95,0.8,0.6,0.4,0.3)))</f>
        <v>1.12</v>
      </c>
      <c r="T577" s="5" t="n">
        <f aca="false">CHOOSE(N577+1,1.2,1,0.85,0.7)</f>
        <v>1.2</v>
      </c>
      <c r="U577" s="5" t="n">
        <f aca="false">IF(F577="PO",0.6,
IF(F577="CT",0.75,
IF(F577="LI",0.8,
IF(F577="LD",0.8,
IF(F577="MCD",0.85,
IF(F577="MC",0.95,
IF(F577="MO",1.05,
IF(F577="EI",1.1,
IF(F577="ED",1.1,
IF(F577="SD",1.15,
IF(F577="DC",1.2,0)))))))))))</f>
        <v>0.95</v>
      </c>
    </row>
    <row r="578" customFormat="false" ht="16.4" hidden="false" customHeight="false" outlineLevel="0" collapsed="false">
      <c r="A578" s="1" t="n">
        <v>577</v>
      </c>
      <c r="B578" s="5" t="str">
        <f aca="false">[1]Base_Jugadores!B578</f>
        <v>Marcos Senesi</v>
      </c>
      <c r="C578" s="5" t="str">
        <f aca="false">IFERROR(
   _xlfn.XLOOKUP(VALUE(A578),[1]Fichajes_Realizados!A$2:A$50000,[1]Fichajes_Realizados!D$2:D$50000,,0,-1),
   _xlfn.XLOOKUP(VALUE(A578),[1]Base_Jugadores!A$2:A$50000,[1]Base_Jugadores!C$2:C$50000)
)</f>
        <v>AFC Bournemouth</v>
      </c>
      <c r="D578" s="5" t="str">
        <f aca="false">[1]Base_Jugadores!D578</f>
        <v>Argentina</v>
      </c>
      <c r="E578" s="3"/>
      <c r="F578" s="5" t="str">
        <f aca="false">[1]Base_Jugadores!E578</f>
        <v>CT</v>
      </c>
      <c r="G578" s="5" t="n">
        <f aca="false">[1]Base_Jugadores!F578</f>
        <v>79</v>
      </c>
      <c r="H578" s="5" t="n">
        <f aca="false">[1]Base_Jugadores!G578</f>
        <v>28</v>
      </c>
      <c r="I578" s="7" t="n">
        <f aca="false" t="array" ref="I578:I578">_xlfn.XLOOKUP(G578,{55;56;57;58;59;60;61;62;63;64;65;66;67;68;69;70;71;72;73;74;75;76;77;78;79;80;81;82;83;84;85;86;87;88;89;90;91;92;93;94;95;96;97;98;99},{100000;130000;160000;190000;220000;250000;300000;350000;400000;450000;500000;600000;700000;800000;900000;1000000;1500000;2000000;3000000;4000000;5000000;6500000;8000000;10000000;12500000;15000000;20000000;25000000;30000000;35000000;40000000;55000000;70000000;80000000;90000000;110000000;130000000;160000000;190000000;220000000;250000000;280000000;310000000;340000000;400000000})</f>
        <v>12500000</v>
      </c>
      <c r="J578" s="7" t="n">
        <f aca="false">I578*S578*T578*U578</f>
        <v>12600000</v>
      </c>
      <c r="K578" s="3"/>
      <c r="L578" s="3"/>
      <c r="M578" s="3"/>
      <c r="N578" s="9" t="n">
        <v>0</v>
      </c>
      <c r="O578" s="4" t="n">
        <v>0</v>
      </c>
      <c r="P578" s="5" t="n">
        <f aca="false">IF(COUNTIF([1]Base_Jugadores!J$2:J$500,B578)&gt;0,1,0)</f>
        <v>0</v>
      </c>
      <c r="Q578" s="10" t="b">
        <f aca="false">--(COUNTIFS(
   [1]Fichajes_Realizados!A$2:A$5000,A578,
   [1]Fichajes_Realizados!G$2:G$5000,$X$3
)&gt;0)</f>
        <v>0</v>
      </c>
      <c r="R578" s="5" t="n">
        <f aca="false">_xlfn.XLOOKUP(C578, [1]Estado_Equipos!A$2:A$500, [1]Estado_Equipos!J$2:J$500, "")</f>
        <v>74</v>
      </c>
      <c r="S578" s="5" t="n">
        <f aca="false">IF(H578&lt;=16,1.45,
IF(H578&gt;=41,0.3,
CHOOSE(ROUNDDOWN((H578-16)/2,0)+1,
1.45,1.38,1.3,1.23,1.17,1.15,1.12,1.05,0.95,0.8,0.6,0.4,0.3)))</f>
        <v>1.12</v>
      </c>
      <c r="T578" s="5" t="n">
        <f aca="false">CHOOSE(N578+1,1.2,1,0.85,0.7)</f>
        <v>1.2</v>
      </c>
      <c r="U578" s="5" t="n">
        <f aca="false">IF(F578="PO",0.6,
IF(F578="CT",0.75,
IF(F578="LI",0.8,
IF(F578="LD",0.8,
IF(F578="MCD",0.85,
IF(F578="MC",0.95,
IF(F578="MO",1.05,
IF(F578="EI",1.1,
IF(F578="ED",1.1,
IF(F578="SD",1.15,
IF(F578="DC",1.2,0)))))))))))</f>
        <v>0.75</v>
      </c>
    </row>
    <row r="579" customFormat="false" ht="16.4" hidden="false" customHeight="false" outlineLevel="0" collapsed="false">
      <c r="A579" s="1" t="n">
        <v>578</v>
      </c>
      <c r="B579" s="5" t="str">
        <f aca="false">[1]Base_Jugadores!B579</f>
        <v>Marcus Tavernier</v>
      </c>
      <c r="C579" s="5" t="str">
        <f aca="false">IFERROR(
   _xlfn.XLOOKUP(VALUE(A579),[1]Fichajes_Realizados!A$2:A$50000,[1]Fichajes_Realizados!D$2:D$50000,,0,-1),
   _xlfn.XLOOKUP(VALUE(A579),[1]Base_Jugadores!A$2:A$50000,[1]Base_Jugadores!C$2:C$50000)
)</f>
        <v>AFC Bournemouth</v>
      </c>
      <c r="D579" s="5" t="str">
        <f aca="false">[1]Base_Jugadores!D579</f>
        <v>Inglaterra</v>
      </c>
      <c r="E579" s="3"/>
      <c r="F579" s="5" t="str">
        <f aca="false">[1]Base_Jugadores!E579</f>
        <v>MO</v>
      </c>
      <c r="G579" s="5" t="n">
        <f aca="false">[1]Base_Jugadores!F579</f>
        <v>75</v>
      </c>
      <c r="H579" s="5" t="n">
        <f aca="false">[1]Base_Jugadores!G579</f>
        <v>26</v>
      </c>
      <c r="I579" s="7" t="n">
        <f aca="false" t="array" ref="I579:I579">_xlfn.XLOOKUP(G579,{55;56;57;58;59;60;61;62;63;64;65;66;67;68;69;70;71;72;73;74;75;76;77;78;79;80;81;82;83;84;85;86;87;88;89;90;91;92;93;94;95;96;97;98;99},{100000;130000;160000;190000;220000;250000;300000;350000;400000;450000;500000;600000;700000;800000;900000;1000000;1500000;2000000;3000000;4000000;5000000;6500000;8000000;10000000;12500000;15000000;20000000;25000000;30000000;35000000;40000000;55000000;70000000;80000000;90000000;110000000;130000000;160000000;190000000;220000000;250000000;280000000;310000000;340000000;400000000})</f>
        <v>5000000</v>
      </c>
      <c r="J579" s="7" t="n">
        <f aca="false">I579*S579*T579*U579</f>
        <v>6037500</v>
      </c>
      <c r="K579" s="3"/>
      <c r="L579" s="3"/>
      <c r="M579" s="3"/>
      <c r="N579" s="9" t="n">
        <v>1</v>
      </c>
      <c r="O579" s="4" t="n">
        <v>0</v>
      </c>
      <c r="P579" s="5" t="n">
        <f aca="false">IF(COUNTIF([1]Base_Jugadores!J$2:J$500,B579)&gt;0,1,0)</f>
        <v>0</v>
      </c>
      <c r="Q579" s="10" t="b">
        <f aca="false">--(COUNTIFS(
   [1]Fichajes_Realizados!A$2:A$5000,A579,
   [1]Fichajes_Realizados!G$2:G$5000,$X$3
)&gt;0)</f>
        <v>0</v>
      </c>
      <c r="R579" s="5" t="n">
        <f aca="false">_xlfn.XLOOKUP(C579, [1]Estado_Equipos!A$2:A$500, [1]Estado_Equipos!J$2:J$500, "")</f>
        <v>74</v>
      </c>
      <c r="S579" s="5" t="n">
        <f aca="false">IF(H579&lt;=16,1.45,
IF(H579&gt;=41,0.3,
CHOOSE(ROUNDDOWN((H579-16)/2,0)+1,
1.45,1.38,1.3,1.23,1.17,1.15,1.12,1.05,0.95,0.8,0.6,0.4,0.3)))</f>
        <v>1.15</v>
      </c>
      <c r="T579" s="5" t="n">
        <f aca="false">CHOOSE(N579+1,1.2,1,0.85,0.7)</f>
        <v>1</v>
      </c>
      <c r="U579" s="5" t="n">
        <f aca="false">IF(F579="PO",0.6,
IF(F579="CT",0.75,
IF(F579="LI",0.8,
IF(F579="LD",0.8,
IF(F579="MCD",0.85,
IF(F579="MC",0.95,
IF(F579="MO",1.05,
IF(F579="EI",1.1,
IF(F579="ED",1.1,
IF(F579="SD",1.15,
IF(F579="DC",1.2,0)))))))))))</f>
        <v>1.05</v>
      </c>
    </row>
    <row r="580" customFormat="false" ht="16.4" hidden="false" customHeight="false" outlineLevel="0" collapsed="false">
      <c r="A580" s="1" t="n">
        <v>579</v>
      </c>
      <c r="B580" s="5" t="str">
        <f aca="false">[1]Base_Jugadores!B580</f>
        <v>Matai Akinmboni</v>
      </c>
      <c r="C580" s="5" t="str">
        <f aca="false">IFERROR(
   _xlfn.XLOOKUP(VALUE(A580),[1]Fichajes_Realizados!A$2:A$50000,[1]Fichajes_Realizados!D$2:D$50000,,0,-1),
   _xlfn.XLOOKUP(VALUE(A580),[1]Base_Jugadores!A$2:A$50000,[1]Base_Jugadores!C$2:C$50000)
)</f>
        <v>AFC Bournemouth</v>
      </c>
      <c r="D580" s="5" t="str">
        <f aca="false">[1]Base_Jugadores!D580</f>
        <v>Estados Unidos</v>
      </c>
      <c r="E580" s="3"/>
      <c r="F580" s="5" t="str">
        <f aca="false">[1]Base_Jugadores!E580</f>
        <v>CT</v>
      </c>
      <c r="G580" s="5" t="n">
        <f aca="false">[1]Base_Jugadores!F580</f>
        <v>58</v>
      </c>
      <c r="H580" s="5" t="n">
        <f aca="false">[1]Base_Jugadores!G580</f>
        <v>19</v>
      </c>
      <c r="I580" s="7" t="n">
        <f aca="false" t="array" ref="I580:I580">_xlfn.XLOOKUP(G580,{55;56;57;58;59;60;61;62;63;64;65;66;67;68;69;70;71;72;73;74;75;76;77;78;79;80;81;82;83;84;85;86;87;88;89;90;91;92;93;94;95;96;97;98;99},{100000;130000;160000;190000;220000;250000;300000;350000;400000;450000;500000;600000;700000;800000;900000;1000000;1500000;2000000;3000000;4000000;5000000;6500000;8000000;10000000;12500000;15000000;20000000;25000000;30000000;35000000;40000000;55000000;70000000;80000000;90000000;110000000;130000000;160000000;190000000;220000000;250000000;280000000;310000000;340000000;400000000})</f>
        <v>190000</v>
      </c>
      <c r="J580" s="7" t="n">
        <f aca="false">I580*S580*T580*U580</f>
        <v>167152.5</v>
      </c>
      <c r="K580" s="3"/>
      <c r="L580" s="3"/>
      <c r="M580" s="3"/>
      <c r="N580" s="9" t="n">
        <v>2</v>
      </c>
      <c r="O580" s="4" t="n">
        <v>0</v>
      </c>
      <c r="P580" s="5" t="n">
        <f aca="false">IF(COUNTIF([1]Base_Jugadores!J$2:J$500,B580)&gt;0,1,0)</f>
        <v>0</v>
      </c>
      <c r="Q580" s="10" t="b">
        <f aca="false">--(COUNTIFS(
   [1]Fichajes_Realizados!A$2:A$5000,A580,
   [1]Fichajes_Realizados!G$2:G$5000,$X$3
)&gt;0)</f>
        <v>0</v>
      </c>
      <c r="R580" s="5" t="n">
        <f aca="false">_xlfn.XLOOKUP(C580, [1]Estado_Equipos!A$2:A$500, [1]Estado_Equipos!J$2:J$500, "")</f>
        <v>74</v>
      </c>
      <c r="S580" s="5" t="n">
        <f aca="false">IF(H580&lt;=16,1.45,
IF(H580&gt;=41,0.3,
CHOOSE(ROUNDDOWN((H580-16)/2,0)+1,
1.45,1.38,1.3,1.23,1.17,1.15,1.12,1.05,0.95,0.8,0.6,0.4,0.3)))</f>
        <v>1.38</v>
      </c>
      <c r="T580" s="5" t="n">
        <f aca="false">CHOOSE(N580+1,1.2,1,0.85,0.7)</f>
        <v>0.85</v>
      </c>
      <c r="U580" s="5" t="n">
        <f aca="false">IF(F580="PO",0.6,
IF(F580="CT",0.75,
IF(F580="LI",0.8,
IF(F580="LD",0.8,
IF(F580="MCD",0.85,
IF(F580="MC",0.95,
IF(F580="MO",1.05,
IF(F580="EI",1.1,
IF(F580="ED",1.1,
IF(F580="SD",1.15,
IF(F580="DC",1.2,0)))))))))))</f>
        <v>0.75</v>
      </c>
    </row>
    <row r="581" customFormat="false" ht="16.4" hidden="false" customHeight="false" outlineLevel="0" collapsed="false">
      <c r="A581" s="1" t="n">
        <v>580</v>
      </c>
      <c r="B581" s="5" t="str">
        <f aca="false">[1]Base_Jugadores!B581</f>
        <v>Ryan Christie</v>
      </c>
      <c r="C581" s="5" t="str">
        <f aca="false">IFERROR(
   _xlfn.XLOOKUP(VALUE(A581),[1]Fichajes_Realizados!A$2:A$50000,[1]Fichajes_Realizados!D$2:D$50000,,0,-1),
   _xlfn.XLOOKUP(VALUE(A581),[1]Base_Jugadores!A$2:A$50000,[1]Base_Jugadores!C$2:C$50000)
)</f>
        <v>AFC Bournemouth</v>
      </c>
      <c r="D581" s="5" t="str">
        <f aca="false">[1]Base_Jugadores!D581</f>
        <v>Escocia</v>
      </c>
      <c r="E581" s="3"/>
      <c r="F581" s="5" t="str">
        <f aca="false">[1]Base_Jugadores!E581</f>
        <v>MC</v>
      </c>
      <c r="G581" s="5" t="n">
        <f aca="false">[1]Base_Jugadores!F581</f>
        <v>76</v>
      </c>
      <c r="H581" s="5" t="n">
        <f aca="false">[1]Base_Jugadores!G581</f>
        <v>30</v>
      </c>
      <c r="I581" s="7" t="n">
        <f aca="false" t="array" ref="I581:I581">_xlfn.XLOOKUP(G581,{55;56;57;58;59;60;61;62;63;64;65;66;67;68;69;70;71;72;73;74;75;76;77;78;79;80;81;82;83;84;85;86;87;88;89;90;91;92;93;94;95;96;97;98;99},{100000;130000;160000;190000;220000;250000;300000;350000;400000;450000;500000;600000;700000;800000;900000;1000000;1500000;2000000;3000000;4000000;5000000;6500000;8000000;10000000;12500000;15000000;20000000;25000000;30000000;35000000;40000000;55000000;70000000;80000000;90000000;110000000;130000000;160000000;190000000;220000000;250000000;280000000;310000000;340000000;400000000})</f>
        <v>6500000</v>
      </c>
      <c r="J581" s="7" t="n">
        <f aca="false">I581*S581*T581*U581</f>
        <v>6483750</v>
      </c>
      <c r="K581" s="3"/>
      <c r="L581" s="3"/>
      <c r="M581" s="3"/>
      <c r="N581" s="9" t="n">
        <v>1</v>
      </c>
      <c r="O581" s="4" t="n">
        <v>0</v>
      </c>
      <c r="P581" s="5" t="n">
        <f aca="false">IF(COUNTIF([1]Base_Jugadores!J$2:J$500,B581)&gt;0,1,0)</f>
        <v>0</v>
      </c>
      <c r="Q581" s="10" t="b">
        <f aca="false">--(COUNTIFS(
   [1]Fichajes_Realizados!A$2:A$5000,A581,
   [1]Fichajes_Realizados!G$2:G$5000,$X$3
)&gt;0)</f>
        <v>0</v>
      </c>
      <c r="R581" s="5" t="n">
        <f aca="false">_xlfn.XLOOKUP(C581, [1]Estado_Equipos!A$2:A$500, [1]Estado_Equipos!J$2:J$500, "")</f>
        <v>74</v>
      </c>
      <c r="S581" s="5" t="n">
        <f aca="false">IF(H581&lt;=16,1.45,
IF(H581&gt;=41,0.3,
CHOOSE(ROUNDDOWN((H581-16)/2,0)+1,
1.45,1.38,1.3,1.23,1.17,1.15,1.12,1.05,0.95,0.8,0.6,0.4,0.3)))</f>
        <v>1.05</v>
      </c>
      <c r="T581" s="5" t="n">
        <f aca="false">CHOOSE(N581+1,1.2,1,0.85,0.7)</f>
        <v>1</v>
      </c>
      <c r="U581" s="5" t="n">
        <f aca="false">IF(F581="PO",0.6,
IF(F581="CT",0.75,
IF(F581="LI",0.8,
IF(F581="LD",0.8,
IF(F581="MCD",0.85,
IF(F581="MC",0.95,
IF(F581="MO",1.05,
IF(F581="EI",1.1,
IF(F581="ED",1.1,
IF(F581="SD",1.15,
IF(F581="DC",1.2,0)))))))))))</f>
        <v>0.95</v>
      </c>
    </row>
    <row r="582" customFormat="false" ht="16.4" hidden="false" customHeight="false" outlineLevel="0" collapsed="false">
      <c r="A582" s="1" t="n">
        <v>581</v>
      </c>
      <c r="B582" s="5" t="str">
        <f aca="false">[1]Base_Jugadores!B582</f>
        <v>Tyler Adams</v>
      </c>
      <c r="C582" s="5" t="str">
        <f aca="false">IFERROR(
   _xlfn.XLOOKUP(VALUE(A582),[1]Fichajes_Realizados!A$2:A$50000,[1]Fichajes_Realizados!D$2:D$50000,,0,-1),
   _xlfn.XLOOKUP(VALUE(A582),[1]Base_Jugadores!A$2:A$50000,[1]Base_Jugadores!C$2:C$50000)
)</f>
        <v>AFC Bournemouth</v>
      </c>
      <c r="D582" s="5" t="str">
        <f aca="false">[1]Base_Jugadores!D582</f>
        <v>Estados Unidos</v>
      </c>
      <c r="E582" s="3"/>
      <c r="F582" s="5" t="str">
        <f aca="false">[1]Base_Jugadores!E582</f>
        <v>MCD</v>
      </c>
      <c r="G582" s="5" t="n">
        <f aca="false">[1]Base_Jugadores!F582</f>
        <v>78</v>
      </c>
      <c r="H582" s="5" t="n">
        <f aca="false">[1]Base_Jugadores!G582</f>
        <v>26</v>
      </c>
      <c r="I582" s="7" t="n">
        <f aca="false" t="array" ref="I582:I582">_xlfn.XLOOKUP(G582,{55;56;57;58;59;60;61;62;63;64;65;66;67;68;69;70;71;72;73;74;75;76;77;78;79;80;81;82;83;84;85;86;87;88;89;90;91;92;93;94;95;96;97;98;99},{100000;130000;160000;190000;220000;250000;300000;350000;400000;450000;500000;600000;700000;800000;900000;1000000;1500000;2000000;3000000;4000000;5000000;6500000;8000000;10000000;12500000;15000000;20000000;25000000;30000000;35000000;40000000;55000000;70000000;80000000;90000000;110000000;130000000;160000000;190000000;220000000;250000000;280000000;310000000;340000000;400000000})</f>
        <v>10000000</v>
      </c>
      <c r="J582" s="7" t="n">
        <f aca="false">I582*S582*T582*U582</f>
        <v>11730000</v>
      </c>
      <c r="K582" s="3"/>
      <c r="L582" s="3"/>
      <c r="M582" s="3"/>
      <c r="N582" s="9" t="n">
        <v>0</v>
      </c>
      <c r="O582" s="4" t="n">
        <v>0</v>
      </c>
      <c r="P582" s="5" t="n">
        <f aca="false">IF(COUNTIF([1]Base_Jugadores!J$2:J$500,B582)&gt;0,1,0)</f>
        <v>0</v>
      </c>
      <c r="Q582" s="10" t="b">
        <f aca="false">--(COUNTIFS(
   [1]Fichajes_Realizados!A$2:A$5000,A582,
   [1]Fichajes_Realizados!G$2:G$5000,$X$3
)&gt;0)</f>
        <v>0</v>
      </c>
      <c r="R582" s="5" t="n">
        <f aca="false">_xlfn.XLOOKUP(C582, [1]Estado_Equipos!A$2:A$500, [1]Estado_Equipos!J$2:J$500, "")</f>
        <v>74</v>
      </c>
      <c r="S582" s="5" t="n">
        <f aca="false">IF(H582&lt;=16,1.45,
IF(H582&gt;=41,0.3,
CHOOSE(ROUNDDOWN((H582-16)/2,0)+1,
1.45,1.38,1.3,1.23,1.17,1.15,1.12,1.05,0.95,0.8,0.6,0.4,0.3)))</f>
        <v>1.15</v>
      </c>
      <c r="T582" s="5" t="n">
        <f aca="false">CHOOSE(N582+1,1.2,1,0.85,0.7)</f>
        <v>1.2</v>
      </c>
      <c r="U582" s="5" t="n">
        <f aca="false">IF(F582="PO",0.6,
IF(F582="CT",0.75,
IF(F582="LI",0.8,
IF(F582="LD",0.8,
IF(F582="MCD",0.85,
IF(F582="MC",0.95,
IF(F582="MO",1.05,
IF(F582="EI",1.1,
IF(F582="ED",1.1,
IF(F582="SD",1.15,
IF(F582="DC",1.2,0)))))))))))</f>
        <v>0.85</v>
      </c>
    </row>
    <row r="583" customFormat="false" ht="16.4" hidden="false" customHeight="false" outlineLevel="0" collapsed="false">
      <c r="A583" s="1" t="n">
        <v>582</v>
      </c>
      <c r="B583" s="5" t="str">
        <f aca="false">[1]Base_Jugadores!B583</f>
        <v>Veljko Milosavljevic</v>
      </c>
      <c r="C583" s="5" t="str">
        <f aca="false">IFERROR(
   _xlfn.XLOOKUP(VALUE(A583),[1]Fichajes_Realizados!A$2:A$50000,[1]Fichajes_Realizados!D$2:D$50000,,0,-1),
   _xlfn.XLOOKUP(VALUE(A583),[1]Base_Jugadores!A$2:A$50000,[1]Base_Jugadores!C$2:C$50000)
)</f>
        <v>AFC Bournemouth</v>
      </c>
      <c r="D583" s="5" t="str">
        <f aca="false">[1]Base_Jugadores!D583</f>
        <v>Serbia</v>
      </c>
      <c r="E583" s="3"/>
      <c r="F583" s="5" t="str">
        <f aca="false">[1]Base_Jugadores!E583</f>
        <v>CT</v>
      </c>
      <c r="G583" s="5" t="n">
        <f aca="false">[1]Base_Jugadores!F583</f>
        <v>63</v>
      </c>
      <c r="H583" s="5" t="n">
        <f aca="false">[1]Base_Jugadores!G583</f>
        <v>18</v>
      </c>
      <c r="I583" s="7" t="n">
        <f aca="false" t="array" ref="I583:I583">_xlfn.XLOOKUP(G583,{55;56;57;58;59;60;61;62;63;64;65;66;67;68;69;70;71;72;73;74;75;76;77;78;79;80;81;82;83;84;85;86;87;88;89;90;91;92;93;94;95;96;97;98;99},{100000;130000;160000;190000;220000;250000;300000;350000;400000;450000;500000;600000;700000;800000;900000;1000000;1500000;2000000;3000000;4000000;5000000;6500000;8000000;10000000;12500000;15000000;20000000;25000000;30000000;35000000;40000000;55000000;70000000;80000000;90000000;110000000;130000000;160000000;190000000;220000000;250000000;280000000;310000000;340000000;400000000})</f>
        <v>400000</v>
      </c>
      <c r="J583" s="7" t="n">
        <f aca="false">I583*S583*T583*U583</f>
        <v>351900</v>
      </c>
      <c r="K583" s="3"/>
      <c r="L583" s="3"/>
      <c r="M583" s="3"/>
      <c r="N583" s="9" t="n">
        <v>2</v>
      </c>
      <c r="O583" s="4" t="n">
        <v>0</v>
      </c>
      <c r="P583" s="5" t="n">
        <f aca="false">IF(COUNTIF([1]Base_Jugadores!J$2:J$500,B583)&gt;0,1,0)</f>
        <v>0</v>
      </c>
      <c r="Q583" s="10" t="b">
        <f aca="false">--(COUNTIFS(
   [1]Fichajes_Realizados!A$2:A$5000,A583,
   [1]Fichajes_Realizados!G$2:G$5000,$X$3
)&gt;0)</f>
        <v>0</v>
      </c>
      <c r="R583" s="5" t="n">
        <f aca="false">_xlfn.XLOOKUP(C583, [1]Estado_Equipos!A$2:A$500, [1]Estado_Equipos!J$2:J$500, "")</f>
        <v>74</v>
      </c>
      <c r="S583" s="5" t="n">
        <f aca="false">IF(H583&lt;=16,1.45,
IF(H583&gt;=41,0.3,
CHOOSE(ROUNDDOWN((H583-16)/2,0)+1,
1.45,1.38,1.3,1.23,1.17,1.15,1.12,1.05,0.95,0.8,0.6,0.4,0.3)))</f>
        <v>1.38</v>
      </c>
      <c r="T583" s="5" t="n">
        <f aca="false">CHOOSE(N583+1,1.2,1,0.85,0.7)</f>
        <v>0.85</v>
      </c>
      <c r="U583" s="5" t="n">
        <f aca="false">IF(F583="PO",0.6,
IF(F583="CT",0.75,
IF(F583="LI",0.8,
IF(F583="LD",0.8,
IF(F583="MCD",0.85,
IF(F583="MC",0.95,
IF(F583="MO",1.05,
IF(F583="EI",1.1,
IF(F583="ED",1.1,
IF(F583="SD",1.15,
IF(F583="DC",1.2,0)))))))))))</f>
        <v>0.75</v>
      </c>
    </row>
    <row r="584" customFormat="false" ht="16.4" hidden="false" customHeight="false" outlineLevel="0" collapsed="false">
      <c r="A584" s="1" t="n">
        <v>583</v>
      </c>
      <c r="B584" s="5" t="str">
        <f aca="false">[1]Base_Jugadores!B584</f>
        <v>Will Dennis</v>
      </c>
      <c r="C584" s="5" t="str">
        <f aca="false">IFERROR(
   _xlfn.XLOOKUP(VALUE(A584),[1]Fichajes_Realizados!A$2:A$50000,[1]Fichajes_Realizados!D$2:D$50000,,0,-1),
   _xlfn.XLOOKUP(VALUE(A584),[1]Base_Jugadores!A$2:A$50000,[1]Base_Jugadores!C$2:C$50000)
)</f>
        <v>AFC Bournemouth</v>
      </c>
      <c r="D584" s="5" t="str">
        <f aca="false">[1]Base_Jugadores!D584</f>
        <v>Inglaterra</v>
      </c>
      <c r="E584" s="3"/>
      <c r="F584" s="5" t="str">
        <f aca="false">[1]Base_Jugadores!E584</f>
        <v>PO</v>
      </c>
      <c r="G584" s="5" t="n">
        <f aca="false">[1]Base_Jugadores!F584</f>
        <v>67</v>
      </c>
      <c r="H584" s="5" t="n">
        <f aca="false">[1]Base_Jugadores!G584</f>
        <v>25</v>
      </c>
      <c r="I584" s="7" t="n">
        <f aca="false" t="array" ref="I584:I584">_xlfn.XLOOKUP(G584,{55;56;57;58;59;60;61;62;63;64;65;66;67;68;69;70;71;72;73;74;75;76;77;78;79;80;81;82;83;84;85;86;87;88;89;90;91;92;93;94;95;96;97;98;99},{100000;130000;160000;190000;220000;250000;300000;350000;400000;450000;500000;600000;700000;800000;900000;1000000;1500000;2000000;3000000;4000000;5000000;6500000;8000000;10000000;12500000;15000000;20000000;25000000;30000000;35000000;40000000;55000000;70000000;80000000;90000000;110000000;130000000;160000000;190000000;220000000;250000000;280000000;310000000;340000000;400000000})</f>
        <v>700000</v>
      </c>
      <c r="J584" s="7" t="n">
        <f aca="false">I584*S584*T584*U584</f>
        <v>417690</v>
      </c>
      <c r="K584" s="3"/>
      <c r="L584" s="3"/>
      <c r="M584" s="3"/>
      <c r="N584" s="9" t="n">
        <v>2</v>
      </c>
      <c r="O584" s="4" t="n">
        <v>0</v>
      </c>
      <c r="P584" s="5" t="n">
        <f aca="false">IF(COUNTIF([1]Base_Jugadores!J$2:J$500,B584)&gt;0,1,0)</f>
        <v>0</v>
      </c>
      <c r="Q584" s="10" t="b">
        <f aca="false">--(COUNTIFS(
   [1]Fichajes_Realizados!A$2:A$5000,A584,
   [1]Fichajes_Realizados!G$2:G$5000,$X$3
)&gt;0)</f>
        <v>0</v>
      </c>
      <c r="R584" s="5" t="n">
        <f aca="false">_xlfn.XLOOKUP(C584, [1]Estado_Equipos!A$2:A$500, [1]Estado_Equipos!J$2:J$500, "")</f>
        <v>74</v>
      </c>
      <c r="S584" s="5" t="n">
        <f aca="false">IF(H584&lt;=16,1.45,
IF(H584&gt;=41,0.3,
CHOOSE(ROUNDDOWN((H584-16)/2,0)+1,
1.45,1.38,1.3,1.23,1.17,1.15,1.12,1.05,0.95,0.8,0.6,0.4,0.3)))</f>
        <v>1.17</v>
      </c>
      <c r="T584" s="5" t="n">
        <f aca="false">CHOOSE(N584+1,1.2,1,0.85,0.7)</f>
        <v>0.85</v>
      </c>
      <c r="U584" s="5" t="n">
        <f aca="false">IF(F584="PO",0.6,
IF(F584="CT",0.75,
IF(F584="LI",0.8,
IF(F584="LD",0.8,
IF(F584="MCD",0.85,
IF(F584="MC",0.95,
IF(F584="MO",1.05,
IF(F584="EI",1.1,
IF(F584="ED",1.1,
IF(F584="SD",1.15,
IF(F584="DC",1.2,0)))))))))))</f>
        <v>0.6</v>
      </c>
    </row>
    <row r="585" customFormat="false" ht="16.4" hidden="false" customHeight="false" outlineLevel="0" collapsed="false">
      <c r="A585" s="1" t="n">
        <v>584</v>
      </c>
      <c r="B585" s="5" t="str">
        <f aca="false">[1]Base_Jugadores!B585</f>
        <v>Aaron Hickey</v>
      </c>
      <c r="C585" s="5" t="str">
        <f aca="false">IFERROR(
   _xlfn.XLOOKUP(VALUE(A585),[1]Fichajes_Realizados!A$2:A$50000,[1]Fichajes_Realizados!D$2:D$50000,,0,-1),
   _xlfn.XLOOKUP(VALUE(A585),[1]Base_Jugadores!A$2:A$50000,[1]Base_Jugadores!C$2:C$50000)
)</f>
        <v>Brentford FC</v>
      </c>
      <c r="D585" s="5" t="str">
        <f aca="false">[1]Base_Jugadores!D585</f>
        <v>Escocia</v>
      </c>
      <c r="E585" s="3"/>
      <c r="F585" s="5" t="str">
        <f aca="false">[1]Base_Jugadores!E585</f>
        <v>LD</v>
      </c>
      <c r="G585" s="5" t="n">
        <f aca="false">[1]Base_Jugadores!F585</f>
        <v>76</v>
      </c>
      <c r="H585" s="5" t="n">
        <f aca="false">[1]Base_Jugadores!G585</f>
        <v>23</v>
      </c>
      <c r="I585" s="7" t="n">
        <f aca="false" t="array" ref="I585:I585">_xlfn.XLOOKUP(G585,{55;56;57;58;59;60;61;62;63;64;65;66;67;68;69;70;71;72;73;74;75;76;77;78;79;80;81;82;83;84;85;86;87;88;89;90;91;92;93;94;95;96;97;98;99},{100000;130000;160000;190000;220000;250000;300000;350000;400000;450000;500000;600000;700000;800000;900000;1000000;1500000;2000000;3000000;4000000;5000000;6500000;8000000;10000000;12500000;15000000;20000000;25000000;30000000;35000000;40000000;55000000;70000000;80000000;90000000;110000000;130000000;160000000;190000000;220000000;250000000;280000000;310000000;340000000;400000000})</f>
        <v>6500000</v>
      </c>
      <c r="J585" s="7" t="n">
        <f aca="false">I585*S585*T585*U585</f>
        <v>7675200</v>
      </c>
      <c r="K585" s="3"/>
      <c r="L585" s="3"/>
      <c r="M585" s="3"/>
      <c r="N585" s="9" t="n">
        <v>0</v>
      </c>
      <c r="O585" s="4" t="n">
        <v>0</v>
      </c>
      <c r="P585" s="5" t="n">
        <f aca="false">IF(COUNTIF([1]Base_Jugadores!J$2:J$500,B585)&gt;0,1,0)</f>
        <v>0</v>
      </c>
      <c r="Q585" s="10" t="b">
        <f aca="false">--(COUNTIFS(
   [1]Fichajes_Realizados!A$2:A$5000,A585,
   [1]Fichajes_Realizados!G$2:G$5000,$X$3
)&gt;0)</f>
        <v>0</v>
      </c>
      <c r="R585" s="5" t="n">
        <f aca="false">_xlfn.XLOOKUP(C585, [1]Estado_Equipos!A$2:A$500, [1]Estado_Equipos!J$2:J$500, "")</f>
        <v>72</v>
      </c>
      <c r="S585" s="5" t="n">
        <f aca="false">IF(H585&lt;=16,1.45,
IF(H585&gt;=41,0.3,
CHOOSE(ROUNDDOWN((H585-16)/2,0)+1,
1.45,1.38,1.3,1.23,1.17,1.15,1.12,1.05,0.95,0.8,0.6,0.4,0.3)))</f>
        <v>1.23</v>
      </c>
      <c r="T585" s="5" t="n">
        <f aca="false">CHOOSE(N585+1,1.2,1,0.85,0.7)</f>
        <v>1.2</v>
      </c>
      <c r="U585" s="5" t="n">
        <f aca="false">IF(F585="PO",0.6,
IF(F585="CT",0.75,
IF(F585="LI",0.8,
IF(F585="LD",0.8,
IF(F585="MCD",0.85,
IF(F585="MC",0.95,
IF(F585="MO",1.05,
IF(F585="EI",1.1,
IF(F585="ED",1.1,
IF(F585="SD",1.15,
IF(F585="DC",1.2,0)))))))))))</f>
        <v>0.8</v>
      </c>
    </row>
    <row r="586" customFormat="false" ht="16.4" hidden="false" customHeight="false" outlineLevel="0" collapsed="false">
      <c r="A586" s="1" t="n">
        <v>585</v>
      </c>
      <c r="B586" s="5" t="str">
        <f aca="false">[1]Base_Jugadores!B586</f>
        <v>Antoni Milambo</v>
      </c>
      <c r="C586" s="5" t="str">
        <f aca="false">IFERROR(
   _xlfn.XLOOKUP(VALUE(A586),[1]Fichajes_Realizados!A$2:A$50000,[1]Fichajes_Realizados!D$2:D$50000,,0,-1),
   _xlfn.XLOOKUP(VALUE(A586),[1]Base_Jugadores!A$2:A$50000,[1]Base_Jugadores!C$2:C$50000)
)</f>
        <v>Brentford FC</v>
      </c>
      <c r="D586" s="5" t="str">
        <f aca="false">[1]Base_Jugadores!D586</f>
        <v>Países Bajos</v>
      </c>
      <c r="E586" s="3"/>
      <c r="F586" s="5" t="str">
        <f aca="false">[1]Base_Jugadores!E586</f>
        <v>MO</v>
      </c>
      <c r="G586" s="5" t="n">
        <f aca="false">[1]Base_Jugadores!F586</f>
        <v>71</v>
      </c>
      <c r="H586" s="5" t="n">
        <f aca="false">[1]Base_Jugadores!G586</f>
        <v>20</v>
      </c>
      <c r="I586" s="7" t="n">
        <f aca="false" t="array" ref="I586:I586">_xlfn.XLOOKUP(G586,{55;56;57;58;59;60;61;62;63;64;65;66;67;68;69;70;71;72;73;74;75;76;77;78;79;80;81;82;83;84;85;86;87;88;89;90;91;92;93;94;95;96;97;98;99},{100000;130000;160000;190000;220000;250000;300000;350000;400000;450000;500000;600000;700000;800000;900000;1000000;1500000;2000000;3000000;4000000;5000000;6500000;8000000;10000000;12500000;15000000;20000000;25000000;30000000;35000000;40000000;55000000;70000000;80000000;90000000;110000000;130000000;160000000;190000000;220000000;250000000;280000000;310000000;340000000;400000000})</f>
        <v>1500000</v>
      </c>
      <c r="J586" s="7" t="n">
        <f aca="false">I586*S586*T586*U586</f>
        <v>1740375</v>
      </c>
      <c r="K586" s="3"/>
      <c r="L586" s="3"/>
      <c r="M586" s="3"/>
      <c r="N586" s="9" t="n">
        <v>2</v>
      </c>
      <c r="O586" s="4" t="n">
        <v>0</v>
      </c>
      <c r="P586" s="5" t="n">
        <f aca="false">IF(COUNTIF([1]Base_Jugadores!J$2:J$500,B586)&gt;0,1,0)</f>
        <v>0</v>
      </c>
      <c r="Q586" s="10" t="b">
        <f aca="false">--(COUNTIFS(
   [1]Fichajes_Realizados!A$2:A$5000,A586,
   [1]Fichajes_Realizados!G$2:G$5000,$X$3
)&gt;0)</f>
        <v>0</v>
      </c>
      <c r="R586" s="5" t="n">
        <f aca="false">_xlfn.XLOOKUP(C586, [1]Estado_Equipos!A$2:A$500, [1]Estado_Equipos!J$2:J$500, "")</f>
        <v>72</v>
      </c>
      <c r="S586" s="5" t="n">
        <f aca="false">IF(H586&lt;=16,1.45,
IF(H586&gt;=41,0.3,
CHOOSE(ROUNDDOWN((H586-16)/2,0)+1,
1.45,1.38,1.3,1.23,1.17,1.15,1.12,1.05,0.95,0.8,0.6,0.4,0.3)))</f>
        <v>1.3</v>
      </c>
      <c r="T586" s="5" t="n">
        <f aca="false">CHOOSE(N586+1,1.2,1,0.85,0.7)</f>
        <v>0.85</v>
      </c>
      <c r="U586" s="5" t="n">
        <f aca="false">IF(F586="PO",0.6,
IF(F586="CT",0.75,
IF(F586="LI",0.8,
IF(F586="LD",0.8,
IF(F586="MCD",0.85,
IF(F586="MC",0.95,
IF(F586="MO",1.05,
IF(F586="EI",1.1,
IF(F586="ED",1.1,
IF(F586="SD",1.15,
IF(F586="DC",1.2,0)))))))))))</f>
        <v>1.05</v>
      </c>
    </row>
    <row r="587" customFormat="false" ht="16.4" hidden="false" customHeight="false" outlineLevel="0" collapsed="false">
      <c r="A587" s="1" t="n">
        <v>586</v>
      </c>
      <c r="B587" s="5" t="str">
        <f aca="false">[1]Base_Jugadores!B587</f>
        <v>Caoimhín Kelleher</v>
      </c>
      <c r="C587" s="5" t="str">
        <f aca="false">IFERROR(
   _xlfn.XLOOKUP(VALUE(A587),[1]Fichajes_Realizados!A$2:A$50000,[1]Fichajes_Realizados!D$2:D$50000,,0,-1),
   _xlfn.XLOOKUP(VALUE(A587),[1]Base_Jugadores!A$2:A$50000,[1]Base_Jugadores!C$2:C$50000)
)</f>
        <v>Brentford FC</v>
      </c>
      <c r="D587" s="5" t="str">
        <f aca="false">[1]Base_Jugadores!D587</f>
        <v>Irlanda</v>
      </c>
      <c r="E587" s="3"/>
      <c r="F587" s="5" t="str">
        <f aca="false">[1]Base_Jugadores!E587</f>
        <v>PO</v>
      </c>
      <c r="G587" s="5" t="n">
        <f aca="false">[1]Base_Jugadores!F587</f>
        <v>77</v>
      </c>
      <c r="H587" s="5" t="n">
        <f aca="false">[1]Base_Jugadores!G587</f>
        <v>27</v>
      </c>
      <c r="I587" s="7" t="n">
        <f aca="false" t="array" ref="I587:I587">_xlfn.XLOOKUP(G587,{55;56;57;58;59;60;61;62;63;64;65;66;67;68;69;70;71;72;73;74;75;76;77;78;79;80;81;82;83;84;85;86;87;88;89;90;91;92;93;94;95;96;97;98;99},{100000;130000;160000;190000;220000;250000;300000;350000;400000;450000;500000;600000;700000;800000;900000;1000000;1500000;2000000;3000000;4000000;5000000;6500000;8000000;10000000;12500000;15000000;20000000;25000000;30000000;35000000;40000000;55000000;70000000;80000000;90000000;110000000;130000000;160000000;190000000;220000000;250000000;280000000;310000000;340000000;400000000})</f>
        <v>8000000</v>
      </c>
      <c r="J587" s="7" t="n">
        <f aca="false">I587*S587*T587*U587</f>
        <v>6624000</v>
      </c>
      <c r="K587" s="3"/>
      <c r="L587" s="3"/>
      <c r="M587" s="3"/>
      <c r="N587" s="9" t="n">
        <v>0</v>
      </c>
      <c r="O587" s="4" t="n">
        <v>0</v>
      </c>
      <c r="P587" s="5" t="n">
        <f aca="false">IF(COUNTIF([1]Base_Jugadores!J$2:J$500,B587)&gt;0,1,0)</f>
        <v>0</v>
      </c>
      <c r="Q587" s="10" t="b">
        <f aca="false">--(COUNTIFS(
   [1]Fichajes_Realizados!A$2:A$5000,A587,
   [1]Fichajes_Realizados!G$2:G$5000,$X$3
)&gt;0)</f>
        <v>0</v>
      </c>
      <c r="R587" s="5" t="n">
        <f aca="false">_xlfn.XLOOKUP(C587, [1]Estado_Equipos!A$2:A$500, [1]Estado_Equipos!J$2:J$500, "")</f>
        <v>72</v>
      </c>
      <c r="S587" s="5" t="n">
        <f aca="false">IF(H587&lt;=16,1.45,
IF(H587&gt;=41,0.3,
CHOOSE(ROUNDDOWN((H587-16)/2,0)+1,
1.45,1.38,1.3,1.23,1.17,1.15,1.12,1.05,0.95,0.8,0.6,0.4,0.3)))</f>
        <v>1.15</v>
      </c>
      <c r="T587" s="5" t="n">
        <f aca="false">CHOOSE(N587+1,1.2,1,0.85,0.7)</f>
        <v>1.2</v>
      </c>
      <c r="U587" s="5" t="n">
        <f aca="false">IF(F587="PO",0.6,
IF(F587="CT",0.75,
IF(F587="LI",0.8,
IF(F587="LD",0.8,
IF(F587="MCD",0.85,
IF(F587="MC",0.95,
IF(F587="MO",1.05,
IF(F587="EI",1.1,
IF(F587="ED",1.1,
IF(F587="SD",1.15,
IF(F587="DC",1.2,0)))))))))))</f>
        <v>0.6</v>
      </c>
    </row>
    <row r="588" customFormat="false" ht="16.4" hidden="false" customHeight="false" outlineLevel="0" collapsed="false">
      <c r="A588" s="1" t="n">
        <v>587</v>
      </c>
      <c r="B588" s="5" t="str">
        <f aca="false">[1]Base_Jugadores!B588</f>
        <v>Dango Ouattara</v>
      </c>
      <c r="C588" s="5" t="str">
        <f aca="false">IFERROR(
   _xlfn.XLOOKUP(VALUE(A588),[1]Fichajes_Realizados!A$2:A$50000,[1]Fichajes_Realizados!D$2:D$50000,,0,-1),
   _xlfn.XLOOKUP(VALUE(A588),[1]Base_Jugadores!A$2:A$50000,[1]Base_Jugadores!C$2:C$50000)
)</f>
        <v>Brentford FC</v>
      </c>
      <c r="D588" s="5" t="str">
        <f aca="false">[1]Base_Jugadores!D588</f>
        <v>Burkina Faso</v>
      </c>
      <c r="E588" s="3"/>
      <c r="F588" s="5" t="str">
        <f aca="false">[1]Base_Jugadores!E588</f>
        <v>ED</v>
      </c>
      <c r="G588" s="5" t="n">
        <f aca="false">[1]Base_Jugadores!F588</f>
        <v>76</v>
      </c>
      <c r="H588" s="5" t="n">
        <f aca="false">[1]Base_Jugadores!G588</f>
        <v>23</v>
      </c>
      <c r="I588" s="7" t="n">
        <f aca="false" t="array" ref="I588:I588">_xlfn.XLOOKUP(G588,{55;56;57;58;59;60;61;62;63;64;65;66;67;68;69;70;71;72;73;74;75;76;77;78;79;80;81;82;83;84;85;86;87;88;89;90;91;92;93;94;95;96;97;98;99},{100000;130000;160000;190000;220000;250000;300000;350000;400000;450000;500000;600000;700000;800000;900000;1000000;1500000;2000000;3000000;4000000;5000000;6500000;8000000;10000000;12500000;15000000;20000000;25000000;30000000;35000000;40000000;55000000;70000000;80000000;90000000;110000000;130000000;160000000;190000000;220000000;250000000;280000000;310000000;340000000;400000000})</f>
        <v>6500000</v>
      </c>
      <c r="J588" s="7" t="n">
        <f aca="false">I588*S588*T588*U588</f>
        <v>10553400</v>
      </c>
      <c r="K588" s="3"/>
      <c r="L588" s="3"/>
      <c r="M588" s="3"/>
      <c r="N588" s="9" t="n">
        <v>0</v>
      </c>
      <c r="O588" s="4" t="n">
        <v>0</v>
      </c>
      <c r="P588" s="5" t="n">
        <f aca="false">IF(COUNTIF([1]Base_Jugadores!J$2:J$500,B588)&gt;0,1,0)</f>
        <v>0</v>
      </c>
      <c r="Q588" s="10" t="b">
        <f aca="false">--(COUNTIFS(
   [1]Fichajes_Realizados!A$2:A$5000,A588,
   [1]Fichajes_Realizados!G$2:G$5000,$X$3
)&gt;0)</f>
        <v>0</v>
      </c>
      <c r="R588" s="5" t="n">
        <f aca="false">_xlfn.XLOOKUP(C588, [1]Estado_Equipos!A$2:A$500, [1]Estado_Equipos!J$2:J$500, "")</f>
        <v>72</v>
      </c>
      <c r="S588" s="5" t="n">
        <f aca="false">IF(H588&lt;=16,1.45,
IF(H588&gt;=41,0.3,
CHOOSE(ROUNDDOWN((H588-16)/2,0)+1,
1.45,1.38,1.3,1.23,1.17,1.15,1.12,1.05,0.95,0.8,0.6,0.4,0.3)))</f>
        <v>1.23</v>
      </c>
      <c r="T588" s="5" t="n">
        <f aca="false">CHOOSE(N588+1,1.2,1,0.85,0.7)</f>
        <v>1.2</v>
      </c>
      <c r="U588" s="5" t="n">
        <f aca="false">IF(F588="PO",0.6,
IF(F588="CT",0.75,
IF(F588="LI",0.8,
IF(F588="LD",0.8,
IF(F588="MCD",0.85,
IF(F588="MC",0.95,
IF(F588="MO",1.05,
IF(F588="EI",1.1,
IF(F588="ED",1.1,
IF(F588="SD",1.15,
IF(F588="DC",1.2,0)))))))))))</f>
        <v>1.1</v>
      </c>
    </row>
    <row r="589" customFormat="false" ht="16.4" hidden="false" customHeight="false" outlineLevel="0" collapsed="false">
      <c r="A589" s="1" t="n">
        <v>588</v>
      </c>
      <c r="B589" s="5" t="str">
        <f aca="false">[1]Base_Jugadores!B589</f>
        <v>Ellery Balcombe</v>
      </c>
      <c r="C589" s="5" t="str">
        <f aca="false">IFERROR(
   _xlfn.XLOOKUP(VALUE(A589),[1]Fichajes_Realizados!A$2:A$50000,[1]Fichajes_Realizados!D$2:D$50000,,0,-1),
   _xlfn.XLOOKUP(VALUE(A589),[1]Base_Jugadores!A$2:A$50000,[1]Base_Jugadores!C$2:C$50000)
)</f>
        <v>Brentford FC</v>
      </c>
      <c r="D589" s="5" t="str">
        <f aca="false">[1]Base_Jugadores!D589</f>
        <v>Inglaterra</v>
      </c>
      <c r="E589" s="3"/>
      <c r="F589" s="5" t="str">
        <f aca="false">[1]Base_Jugadores!E589</f>
        <v>PO</v>
      </c>
      <c r="G589" s="5" t="n">
        <f aca="false">[1]Base_Jugadores!F589</f>
        <v>62</v>
      </c>
      <c r="H589" s="5" t="n">
        <f aca="false">[1]Base_Jugadores!G589</f>
        <v>26</v>
      </c>
      <c r="I589" s="7" t="n">
        <f aca="false" t="array" ref="I589:I589">_xlfn.XLOOKUP(G589,{55;56;57;58;59;60;61;62;63;64;65;66;67;68;69;70;71;72;73;74;75;76;77;78;79;80;81;82;83;84;85;86;87;88;89;90;91;92;93;94;95;96;97;98;99},{100000;130000;160000;190000;220000;250000;300000;350000;400000;450000;500000;600000;700000;800000;900000;1000000;1500000;2000000;3000000;4000000;5000000;6500000;8000000;10000000;12500000;15000000;20000000;25000000;30000000;35000000;40000000;55000000;70000000;80000000;90000000;110000000;130000000;160000000;190000000;220000000;250000000;280000000;310000000;340000000;400000000})</f>
        <v>350000</v>
      </c>
      <c r="J589" s="7" t="n">
        <f aca="false">I589*S589*T589*U589</f>
        <v>205275</v>
      </c>
      <c r="K589" s="3"/>
      <c r="L589" s="3"/>
      <c r="M589" s="3"/>
      <c r="N589" s="9" t="n">
        <v>2</v>
      </c>
      <c r="O589" s="4" t="n">
        <v>0</v>
      </c>
      <c r="P589" s="5" t="n">
        <f aca="false">IF(COUNTIF([1]Base_Jugadores!J$2:J$500,B589)&gt;0,1,0)</f>
        <v>0</v>
      </c>
      <c r="Q589" s="10" t="b">
        <f aca="false">--(COUNTIFS(
   [1]Fichajes_Realizados!A$2:A$5000,A589,
   [1]Fichajes_Realizados!G$2:G$5000,$X$3
)&gt;0)</f>
        <v>0</v>
      </c>
      <c r="R589" s="5" t="n">
        <f aca="false">_xlfn.XLOOKUP(C589, [1]Estado_Equipos!A$2:A$500, [1]Estado_Equipos!J$2:J$500, "")</f>
        <v>72</v>
      </c>
      <c r="S589" s="5" t="n">
        <f aca="false">IF(H589&lt;=16,1.45,
IF(H589&gt;=41,0.3,
CHOOSE(ROUNDDOWN((H589-16)/2,0)+1,
1.45,1.38,1.3,1.23,1.17,1.15,1.12,1.05,0.95,0.8,0.6,0.4,0.3)))</f>
        <v>1.15</v>
      </c>
      <c r="T589" s="5" t="n">
        <f aca="false">CHOOSE(N589+1,1.2,1,0.85,0.7)</f>
        <v>0.85</v>
      </c>
      <c r="U589" s="5" t="n">
        <f aca="false">IF(F589="PO",0.6,
IF(F589="CT",0.75,
IF(F589="LI",0.8,
IF(F589="LD",0.8,
IF(F589="MCD",0.85,
IF(F589="MC",0.95,
IF(F589="MO",1.05,
IF(F589="EI",1.1,
IF(F589="ED",1.1,
IF(F589="SD",1.15,
IF(F589="DC",1.2,0)))))))))))</f>
        <v>0.6</v>
      </c>
    </row>
    <row r="590" customFormat="false" ht="16.4" hidden="false" customHeight="false" outlineLevel="0" collapsed="false">
      <c r="A590" s="1" t="n">
        <v>589</v>
      </c>
      <c r="B590" s="5" t="str">
        <f aca="false">[1]Base_Jugadores!B590</f>
        <v>Ethan Pinnock</v>
      </c>
      <c r="C590" s="5" t="str">
        <f aca="false">IFERROR(
   _xlfn.XLOOKUP(VALUE(A590),[1]Fichajes_Realizados!A$2:A$50000,[1]Fichajes_Realizados!D$2:D$50000,,0,-1),
   _xlfn.XLOOKUP(VALUE(A590),[1]Base_Jugadores!A$2:A$50000,[1]Base_Jugadores!C$2:C$50000)
)</f>
        <v>Brentford FC</v>
      </c>
      <c r="D590" s="5" t="str">
        <f aca="false">[1]Base_Jugadores!D590</f>
        <v>Jamaica</v>
      </c>
      <c r="E590" s="3"/>
      <c r="F590" s="5" t="str">
        <f aca="false">[1]Base_Jugadores!E590</f>
        <v>CT</v>
      </c>
      <c r="G590" s="5" t="n">
        <f aca="false">[1]Base_Jugadores!F590</f>
        <v>79</v>
      </c>
      <c r="H590" s="5" t="n">
        <f aca="false">[1]Base_Jugadores!G590</f>
        <v>32</v>
      </c>
      <c r="I590" s="7" t="n">
        <f aca="false" t="array" ref="I590:I590">_xlfn.XLOOKUP(G590,{55;56;57;58;59;60;61;62;63;64;65;66;67;68;69;70;71;72;73;74;75;76;77;78;79;80;81;82;83;84;85;86;87;88;89;90;91;92;93;94;95;96;97;98;99},{100000;130000;160000;190000;220000;250000;300000;350000;400000;450000;500000;600000;700000;800000;900000;1000000;1500000;2000000;3000000;4000000;5000000;6500000;8000000;10000000;12500000;15000000;20000000;25000000;30000000;35000000;40000000;55000000;70000000;80000000;90000000;110000000;130000000;160000000;190000000;220000000;250000000;280000000;310000000;340000000;400000000})</f>
        <v>12500000</v>
      </c>
      <c r="J590" s="7" t="n">
        <f aca="false">I590*S590*T590*U590</f>
        <v>10687500</v>
      </c>
      <c r="K590" s="3"/>
      <c r="L590" s="3"/>
      <c r="M590" s="3"/>
      <c r="N590" s="9" t="n">
        <v>0</v>
      </c>
      <c r="O590" s="4" t="n">
        <v>0</v>
      </c>
      <c r="P590" s="5" t="n">
        <f aca="false">IF(COUNTIF([1]Base_Jugadores!J$2:J$500,B590)&gt;0,1,0)</f>
        <v>0</v>
      </c>
      <c r="Q590" s="10" t="b">
        <f aca="false">--(COUNTIFS(
   [1]Fichajes_Realizados!A$2:A$5000,A590,
   [1]Fichajes_Realizados!G$2:G$5000,$X$3
)&gt;0)</f>
        <v>0</v>
      </c>
      <c r="R590" s="5" t="n">
        <f aca="false">_xlfn.XLOOKUP(C590, [1]Estado_Equipos!A$2:A$500, [1]Estado_Equipos!J$2:J$500, "")</f>
        <v>72</v>
      </c>
      <c r="S590" s="5" t="n">
        <f aca="false">IF(H590&lt;=16,1.45,
IF(H590&gt;=41,0.3,
CHOOSE(ROUNDDOWN((H590-16)/2,0)+1,
1.45,1.38,1.3,1.23,1.17,1.15,1.12,1.05,0.95,0.8,0.6,0.4,0.3)))</f>
        <v>0.95</v>
      </c>
      <c r="T590" s="5" t="n">
        <f aca="false">CHOOSE(N590+1,1.2,1,0.85,0.7)</f>
        <v>1.2</v>
      </c>
      <c r="U590" s="5" t="n">
        <f aca="false">IF(F590="PO",0.6,
IF(F590="CT",0.75,
IF(F590="LI",0.8,
IF(F590="LD",0.8,
IF(F590="MCD",0.85,
IF(F590="MC",0.95,
IF(F590="MO",1.05,
IF(F590="EI",1.1,
IF(F590="ED",1.1,
IF(F590="SD",1.15,
IF(F590="DC",1.2,0)))))))))))</f>
        <v>0.75</v>
      </c>
    </row>
    <row r="591" customFormat="false" ht="16.4" hidden="false" customHeight="false" outlineLevel="0" collapsed="false">
      <c r="A591" s="1" t="n">
        <v>590</v>
      </c>
      <c r="B591" s="5" t="str">
        <f aca="false">[1]Base_Jugadores!B591</f>
        <v>Fábio Carvalho</v>
      </c>
      <c r="C591" s="5" t="str">
        <f aca="false">IFERROR(
   _xlfn.XLOOKUP(VALUE(A591),[1]Fichajes_Realizados!A$2:A$50000,[1]Fichajes_Realizados!D$2:D$50000,,0,-1),
   _xlfn.XLOOKUP(VALUE(A591),[1]Base_Jugadores!A$2:A$50000,[1]Base_Jugadores!C$2:C$50000)
)</f>
        <v>Brentford FC</v>
      </c>
      <c r="D591" s="5" t="str">
        <f aca="false">[1]Base_Jugadores!D591</f>
        <v>Portugal</v>
      </c>
      <c r="E591" s="3"/>
      <c r="F591" s="5" t="str">
        <f aca="false">[1]Base_Jugadores!E591</f>
        <v>MO</v>
      </c>
      <c r="G591" s="5" t="n">
        <f aca="false">[1]Base_Jugadores!F591</f>
        <v>75</v>
      </c>
      <c r="H591" s="5" t="n">
        <f aca="false">[1]Base_Jugadores!G591</f>
        <v>23</v>
      </c>
      <c r="I591" s="7" t="n">
        <f aca="false" t="array" ref="I591:I591">_xlfn.XLOOKUP(G591,{55;56;57;58;59;60;61;62;63;64;65;66;67;68;69;70;71;72;73;74;75;76;77;78;79;80;81;82;83;84;85;86;87;88;89;90;91;92;93;94;95;96;97;98;99},{100000;130000;160000;190000;220000;250000;300000;350000;400000;450000;500000;600000;700000;800000;900000;1000000;1500000;2000000;3000000;4000000;5000000;6500000;8000000;10000000;12500000;15000000;20000000;25000000;30000000;35000000;40000000;55000000;70000000;80000000;90000000;110000000;130000000;160000000;190000000;220000000;250000000;280000000;310000000;340000000;400000000})</f>
        <v>5000000</v>
      </c>
      <c r="J591" s="7" t="n">
        <f aca="false">I591*S591*T591*U591</f>
        <v>7749000</v>
      </c>
      <c r="K591" s="3"/>
      <c r="L591" s="3"/>
      <c r="M591" s="3"/>
      <c r="N591" s="9" t="n">
        <v>0</v>
      </c>
      <c r="O591" s="4" t="n">
        <v>0</v>
      </c>
      <c r="P591" s="5" t="n">
        <f aca="false">IF(COUNTIF([1]Base_Jugadores!J$2:J$500,B591)&gt;0,1,0)</f>
        <v>0</v>
      </c>
      <c r="Q591" s="10" t="b">
        <f aca="false">--(COUNTIFS(
   [1]Fichajes_Realizados!A$2:A$5000,A591,
   [1]Fichajes_Realizados!G$2:G$5000,$X$3
)&gt;0)</f>
        <v>0</v>
      </c>
      <c r="R591" s="5" t="n">
        <f aca="false">_xlfn.XLOOKUP(C591, [1]Estado_Equipos!A$2:A$500, [1]Estado_Equipos!J$2:J$500, "")</f>
        <v>72</v>
      </c>
      <c r="S591" s="5" t="n">
        <f aca="false">IF(H591&lt;=16,1.45,
IF(H591&gt;=41,0.3,
CHOOSE(ROUNDDOWN((H591-16)/2,0)+1,
1.45,1.38,1.3,1.23,1.17,1.15,1.12,1.05,0.95,0.8,0.6,0.4,0.3)))</f>
        <v>1.23</v>
      </c>
      <c r="T591" s="5" t="n">
        <f aca="false">CHOOSE(N591+1,1.2,1,0.85,0.7)</f>
        <v>1.2</v>
      </c>
      <c r="U591" s="5" t="n">
        <f aca="false">IF(F591="PO",0.6,
IF(F591="CT",0.75,
IF(F591="LI",0.8,
IF(F591="LD",0.8,
IF(F591="MCD",0.85,
IF(F591="MC",0.95,
IF(F591="MO",1.05,
IF(F591="EI",1.1,
IF(F591="ED",1.1,
IF(F591="SD",1.15,
IF(F591="DC",1.2,0)))))))))))</f>
        <v>1.05</v>
      </c>
    </row>
    <row r="592" customFormat="false" ht="16.4" hidden="false" customHeight="false" outlineLevel="0" collapsed="false">
      <c r="A592" s="1" t="n">
        <v>591</v>
      </c>
      <c r="B592" s="5" t="str">
        <f aca="false">[1]Base_Jugadores!B592</f>
        <v>Frank Onyeka</v>
      </c>
      <c r="C592" s="5" t="str">
        <f aca="false">IFERROR(
   _xlfn.XLOOKUP(VALUE(A592),[1]Fichajes_Realizados!A$2:A$50000,[1]Fichajes_Realizados!D$2:D$50000,,0,-1),
   _xlfn.XLOOKUP(VALUE(A592),[1]Base_Jugadores!A$2:A$50000,[1]Base_Jugadores!C$2:C$50000)
)</f>
        <v>Brentford FC</v>
      </c>
      <c r="D592" s="5" t="str">
        <f aca="false">[1]Base_Jugadores!D592</f>
        <v>Nigeria</v>
      </c>
      <c r="E592" s="3"/>
      <c r="F592" s="5" t="str">
        <f aca="false">[1]Base_Jugadores!E592</f>
        <v>MC</v>
      </c>
      <c r="G592" s="5" t="n">
        <f aca="false">[1]Base_Jugadores!F592</f>
        <v>73</v>
      </c>
      <c r="H592" s="5" t="n">
        <f aca="false">[1]Base_Jugadores!G592</f>
        <v>27</v>
      </c>
      <c r="I592" s="7" t="n">
        <f aca="false" t="array" ref="I592:I592">_xlfn.XLOOKUP(G592,{55;56;57;58;59;60;61;62;63;64;65;66;67;68;69;70;71;72;73;74;75;76;77;78;79;80;81;82;83;84;85;86;87;88;89;90;91;92;93;94;95;96;97;98;99},{100000;130000;160000;190000;220000;250000;300000;350000;400000;450000;500000;600000;700000;800000;900000;1000000;1500000;2000000;3000000;4000000;5000000;6500000;8000000;10000000;12500000;15000000;20000000;25000000;30000000;35000000;40000000;55000000;70000000;80000000;90000000;110000000;130000000;160000000;190000000;220000000;250000000;280000000;310000000;340000000;400000000})</f>
        <v>3000000</v>
      </c>
      <c r="J592" s="7" t="n">
        <f aca="false">I592*S592*T592*U592</f>
        <v>2785875</v>
      </c>
      <c r="K592" s="3"/>
      <c r="L592" s="3"/>
      <c r="M592" s="3"/>
      <c r="N592" s="9" t="n">
        <v>2</v>
      </c>
      <c r="O592" s="4" t="n">
        <v>0</v>
      </c>
      <c r="P592" s="5" t="n">
        <f aca="false">IF(COUNTIF([1]Base_Jugadores!J$2:J$500,B592)&gt;0,1,0)</f>
        <v>0</v>
      </c>
      <c r="Q592" s="10" t="b">
        <f aca="false">--(COUNTIFS(
   [1]Fichajes_Realizados!A$2:A$5000,A592,
   [1]Fichajes_Realizados!G$2:G$5000,$X$3
)&gt;0)</f>
        <v>0</v>
      </c>
      <c r="R592" s="5" t="n">
        <f aca="false">_xlfn.XLOOKUP(C592, [1]Estado_Equipos!A$2:A$500, [1]Estado_Equipos!J$2:J$500, "")</f>
        <v>72</v>
      </c>
      <c r="S592" s="5" t="n">
        <f aca="false">IF(H592&lt;=16,1.45,
IF(H592&gt;=41,0.3,
CHOOSE(ROUNDDOWN((H592-16)/2,0)+1,
1.45,1.38,1.3,1.23,1.17,1.15,1.12,1.05,0.95,0.8,0.6,0.4,0.3)))</f>
        <v>1.15</v>
      </c>
      <c r="T592" s="5" t="n">
        <f aca="false">CHOOSE(N592+1,1.2,1,0.85,0.7)</f>
        <v>0.85</v>
      </c>
      <c r="U592" s="5" t="n">
        <f aca="false">IF(F592="PO",0.6,
IF(F592="CT",0.75,
IF(F592="LI",0.8,
IF(F592="LD",0.8,
IF(F592="MCD",0.85,
IF(F592="MC",0.95,
IF(F592="MO",1.05,
IF(F592="EI",1.1,
IF(F592="ED",1.1,
IF(F592="SD",1.15,
IF(F592="DC",1.2,0)))))))))))</f>
        <v>0.95</v>
      </c>
    </row>
    <row r="593" customFormat="false" ht="16.4" hidden="false" customHeight="false" outlineLevel="0" collapsed="false">
      <c r="A593" s="1" t="n">
        <v>592</v>
      </c>
      <c r="B593" s="5" t="str">
        <f aca="false">[1]Base_Jugadores!B593</f>
        <v>Gustavo Nunes</v>
      </c>
      <c r="C593" s="5" t="str">
        <f aca="false">IFERROR(
   _xlfn.XLOOKUP(VALUE(A593),[1]Fichajes_Realizados!A$2:A$50000,[1]Fichajes_Realizados!D$2:D$50000,,0,-1),
   _xlfn.XLOOKUP(VALUE(A593),[1]Base_Jugadores!A$2:A$50000,[1]Base_Jugadores!C$2:C$50000)
)</f>
        <v>Brentford FC</v>
      </c>
      <c r="D593" s="5" t="str">
        <f aca="false">[1]Base_Jugadores!D593</f>
        <v>Brasil</v>
      </c>
      <c r="E593" s="3"/>
      <c r="F593" s="5" t="str">
        <f aca="false">[1]Base_Jugadores!E593</f>
        <v>EI</v>
      </c>
      <c r="G593" s="5" t="n">
        <f aca="false">[1]Base_Jugadores!F593</f>
        <v>66</v>
      </c>
      <c r="H593" s="5" t="n">
        <f aca="false">[1]Base_Jugadores!G593</f>
        <v>20</v>
      </c>
      <c r="I593" s="7" t="n">
        <f aca="false" t="array" ref="I593:I593">_xlfn.XLOOKUP(G593,{55;56;57;58;59;60;61;62;63;64;65;66;67;68;69;70;71;72;73;74;75;76;77;78;79;80;81;82;83;84;85;86;87;88;89;90;91;92;93;94;95;96;97;98;99},{100000;130000;160000;190000;220000;250000;300000;350000;400000;450000;500000;600000;700000;800000;900000;1000000;1500000;2000000;3000000;4000000;5000000;6500000;8000000;10000000;12500000;15000000;20000000;25000000;30000000;35000000;40000000;55000000;70000000;80000000;90000000;110000000;130000000;160000000;190000000;220000000;250000000;280000000;310000000;340000000;400000000})</f>
        <v>600000</v>
      </c>
      <c r="J593" s="7" t="n">
        <f aca="false">I593*S593*T593*U593</f>
        <v>729300</v>
      </c>
      <c r="K593" s="3"/>
      <c r="L593" s="3"/>
      <c r="M593" s="3"/>
      <c r="N593" s="9" t="n">
        <v>2</v>
      </c>
      <c r="O593" s="4" t="n">
        <v>1</v>
      </c>
      <c r="P593" s="5" t="n">
        <f aca="false">IF(COUNTIF([1]Base_Jugadores!J$2:J$500,B593)&gt;0,1,0)</f>
        <v>0</v>
      </c>
      <c r="Q593" s="10" t="b">
        <f aca="false">--(COUNTIFS(
   [1]Fichajes_Realizados!A$2:A$5000,A593,
   [1]Fichajes_Realizados!G$2:G$5000,$X$3
)&gt;0)</f>
        <v>0</v>
      </c>
      <c r="R593" s="5" t="n">
        <f aca="false">_xlfn.XLOOKUP(C593, [1]Estado_Equipos!A$2:A$500, [1]Estado_Equipos!J$2:J$500, "")</f>
        <v>72</v>
      </c>
      <c r="S593" s="5" t="n">
        <f aca="false">IF(H593&lt;=16,1.45,
IF(H593&gt;=41,0.3,
CHOOSE(ROUNDDOWN((H593-16)/2,0)+1,
1.45,1.38,1.3,1.23,1.17,1.15,1.12,1.05,0.95,0.8,0.6,0.4,0.3)))</f>
        <v>1.3</v>
      </c>
      <c r="T593" s="5" t="n">
        <f aca="false">CHOOSE(N593+1,1.2,1,0.85,0.7)</f>
        <v>0.85</v>
      </c>
      <c r="U593" s="5" t="n">
        <f aca="false">IF(F593="PO",0.6,
IF(F593="CT",0.75,
IF(F593="LI",0.8,
IF(F593="LD",0.8,
IF(F593="MCD",0.85,
IF(F593="MC",0.95,
IF(F593="MO",1.05,
IF(F593="EI",1.1,
IF(F593="ED",1.1,
IF(F593="SD",1.15,
IF(F593="DC",1.2,0)))))))))))</f>
        <v>1.1</v>
      </c>
    </row>
    <row r="594" customFormat="false" ht="16.4" hidden="false" customHeight="false" outlineLevel="0" collapsed="false">
      <c r="A594" s="1" t="n">
        <v>593</v>
      </c>
      <c r="B594" s="5" t="str">
        <f aca="false">[1]Base_Jugadores!B594</f>
        <v>Hákon Valdimarsson</v>
      </c>
      <c r="C594" s="5" t="str">
        <f aca="false">IFERROR(
   _xlfn.XLOOKUP(VALUE(A594),[1]Fichajes_Realizados!A$2:A$50000,[1]Fichajes_Realizados!D$2:D$50000,,0,-1),
   _xlfn.XLOOKUP(VALUE(A594),[1]Base_Jugadores!A$2:A$50000,[1]Base_Jugadores!C$2:C$50000)
)</f>
        <v>Brentford FC</v>
      </c>
      <c r="D594" s="5" t="str">
        <f aca="false">[1]Base_Jugadores!D594</f>
        <v>Islandia</v>
      </c>
      <c r="E594" s="3"/>
      <c r="F594" s="5" t="str">
        <f aca="false">[1]Base_Jugadores!E594</f>
        <v>PO</v>
      </c>
      <c r="G594" s="5" t="n">
        <f aca="false">[1]Base_Jugadores!F594</f>
        <v>68</v>
      </c>
      <c r="H594" s="5" t="n">
        <f aca="false">[1]Base_Jugadores!G594</f>
        <v>24</v>
      </c>
      <c r="I594" s="7" t="n">
        <f aca="false" t="array" ref="I594:I594">_xlfn.XLOOKUP(G594,{55;56;57;58;59;60;61;62;63;64;65;66;67;68;69;70;71;72;73;74;75;76;77;78;79;80;81;82;83;84;85;86;87;88;89;90;91;92;93;94;95;96;97;98;99},{100000;130000;160000;190000;220000;250000;300000;350000;400000;450000;500000;600000;700000;800000;900000;1000000;1500000;2000000;3000000;4000000;5000000;6500000;8000000;10000000;12500000;15000000;20000000;25000000;30000000;35000000;40000000;55000000;70000000;80000000;90000000;110000000;130000000;160000000;190000000;220000000;250000000;280000000;310000000;340000000;400000000})</f>
        <v>800000</v>
      </c>
      <c r="J594" s="7" t="n">
        <f aca="false">I594*S594*T594*U594</f>
        <v>477360</v>
      </c>
      <c r="K594" s="3"/>
      <c r="L594" s="3"/>
      <c r="M594" s="3"/>
      <c r="N594" s="9" t="n">
        <v>2</v>
      </c>
      <c r="O594" s="4" t="n">
        <v>0</v>
      </c>
      <c r="P594" s="5" t="n">
        <f aca="false">IF(COUNTIF([1]Base_Jugadores!J$2:J$500,B594)&gt;0,1,0)</f>
        <v>0</v>
      </c>
      <c r="Q594" s="10" t="b">
        <f aca="false">--(COUNTIFS(
   [1]Fichajes_Realizados!A$2:A$5000,A594,
   [1]Fichajes_Realizados!G$2:G$5000,$X$3
)&gt;0)</f>
        <v>0</v>
      </c>
      <c r="R594" s="5" t="n">
        <f aca="false">_xlfn.XLOOKUP(C594, [1]Estado_Equipos!A$2:A$500, [1]Estado_Equipos!J$2:J$500, "")</f>
        <v>72</v>
      </c>
      <c r="S594" s="5" t="n">
        <f aca="false">IF(H594&lt;=16,1.45,
IF(H594&gt;=41,0.3,
CHOOSE(ROUNDDOWN((H594-16)/2,0)+1,
1.45,1.38,1.3,1.23,1.17,1.15,1.12,1.05,0.95,0.8,0.6,0.4,0.3)))</f>
        <v>1.17</v>
      </c>
      <c r="T594" s="5" t="n">
        <f aca="false">CHOOSE(N594+1,1.2,1,0.85,0.7)</f>
        <v>0.85</v>
      </c>
      <c r="U594" s="5" t="n">
        <f aca="false">IF(F594="PO",0.6,
IF(F594="CT",0.75,
IF(F594="LI",0.8,
IF(F594="LD",0.8,
IF(F594="MCD",0.85,
IF(F594="MC",0.95,
IF(F594="MO",1.05,
IF(F594="EI",1.1,
IF(F594="ED",1.1,
IF(F594="SD",1.15,
IF(F594="DC",1.2,0)))))))))))</f>
        <v>0.6</v>
      </c>
    </row>
    <row r="595" customFormat="false" ht="16.4" hidden="false" customHeight="false" outlineLevel="0" collapsed="false">
      <c r="A595" s="1" t="n">
        <v>594</v>
      </c>
      <c r="B595" s="5" t="str">
        <f aca="false">[1]Base_Jugadores!B595</f>
        <v>Igor Thiago</v>
      </c>
      <c r="C595" s="5" t="str">
        <f aca="false">IFERROR(
   _xlfn.XLOOKUP(VALUE(A595),[1]Fichajes_Realizados!A$2:A$50000,[1]Fichajes_Realizados!D$2:D$50000,,0,-1),
   _xlfn.XLOOKUP(VALUE(A595),[1]Base_Jugadores!A$2:A$50000,[1]Base_Jugadores!C$2:C$50000)
)</f>
        <v>Brentford FC</v>
      </c>
      <c r="D595" s="5" t="str">
        <f aca="false">[1]Base_Jugadores!D595</f>
        <v>Brasil</v>
      </c>
      <c r="E595" s="3"/>
      <c r="F595" s="5" t="str">
        <f aca="false">[1]Base_Jugadores!E595</f>
        <v>DC</v>
      </c>
      <c r="G595" s="5" t="n">
        <f aca="false">[1]Base_Jugadores!F595</f>
        <v>76</v>
      </c>
      <c r="H595" s="5" t="n">
        <f aca="false">[1]Base_Jugadores!G595</f>
        <v>24</v>
      </c>
      <c r="I595" s="7" t="n">
        <f aca="false" t="array" ref="I595:I595">_xlfn.XLOOKUP(G595,{55;56;57;58;59;60;61;62;63;64;65;66;67;68;69;70;71;72;73;74;75;76;77;78;79;80;81;82;83;84;85;86;87;88;89;90;91;92;93;94;95;96;97;98;99},{100000;130000;160000;190000;220000;250000;300000;350000;400000;450000;500000;600000;700000;800000;900000;1000000;1500000;2000000;3000000;4000000;5000000;6500000;8000000;10000000;12500000;15000000;20000000;25000000;30000000;35000000;40000000;55000000;70000000;80000000;90000000;110000000;130000000;160000000;190000000;220000000;250000000;280000000;310000000;340000000;400000000})</f>
        <v>6500000</v>
      </c>
      <c r="J595" s="7" t="n">
        <f aca="false">I595*S595*T595*U595</f>
        <v>10951200</v>
      </c>
      <c r="K595" s="3"/>
      <c r="L595" s="3"/>
      <c r="M595" s="3"/>
      <c r="N595" s="9" t="n">
        <v>0</v>
      </c>
      <c r="O595" s="4" t="n">
        <v>0</v>
      </c>
      <c r="P595" s="5" t="n">
        <f aca="false">IF(COUNTIF([1]Base_Jugadores!J$2:J$500,B595)&gt;0,1,0)</f>
        <v>0</v>
      </c>
      <c r="Q595" s="10" t="b">
        <f aca="false">--(COUNTIFS(
   [1]Fichajes_Realizados!A$2:A$5000,A595,
   [1]Fichajes_Realizados!G$2:G$5000,$X$3
)&gt;0)</f>
        <v>0</v>
      </c>
      <c r="R595" s="5" t="n">
        <f aca="false">_xlfn.XLOOKUP(C595, [1]Estado_Equipos!A$2:A$500, [1]Estado_Equipos!J$2:J$500, "")</f>
        <v>72</v>
      </c>
      <c r="S595" s="5" t="n">
        <f aca="false">IF(H595&lt;=16,1.45,
IF(H595&gt;=41,0.3,
CHOOSE(ROUNDDOWN((H595-16)/2,0)+1,
1.45,1.38,1.3,1.23,1.17,1.15,1.12,1.05,0.95,0.8,0.6,0.4,0.3)))</f>
        <v>1.17</v>
      </c>
      <c r="T595" s="5" t="n">
        <f aca="false">CHOOSE(N595+1,1.2,1,0.85,0.7)</f>
        <v>1.2</v>
      </c>
      <c r="U595" s="5" t="n">
        <f aca="false">IF(F595="PO",0.6,
IF(F595="CT",0.75,
IF(F595="LI",0.8,
IF(F595="LD",0.8,
IF(F595="MCD",0.85,
IF(F595="MC",0.95,
IF(F595="MO",1.05,
IF(F595="EI",1.1,
IF(F595="ED",1.1,
IF(F595="SD",1.15,
IF(F595="DC",1.2,0)))))))))))</f>
        <v>1.2</v>
      </c>
    </row>
    <row r="596" customFormat="false" ht="16.4" hidden="false" customHeight="false" outlineLevel="0" collapsed="false">
      <c r="A596" s="1" t="n">
        <v>595</v>
      </c>
      <c r="B596" s="5" t="str">
        <f aca="false">[1]Base_Jugadores!B596</f>
        <v>Jordan Henderson</v>
      </c>
      <c r="C596" s="5" t="str">
        <f aca="false">IFERROR(
   _xlfn.XLOOKUP(VALUE(A596),[1]Fichajes_Realizados!A$2:A$50000,[1]Fichajes_Realizados!D$2:D$50000,,0,-1),
   _xlfn.XLOOKUP(VALUE(A596),[1]Base_Jugadores!A$2:A$50000,[1]Base_Jugadores!C$2:C$50000)
)</f>
        <v>Brentford FC</v>
      </c>
      <c r="D596" s="5" t="str">
        <f aca="false">[1]Base_Jugadores!D596</f>
        <v>Inglaterra</v>
      </c>
      <c r="E596" s="3"/>
      <c r="F596" s="5" t="str">
        <f aca="false">[1]Base_Jugadores!E596</f>
        <v>MCD</v>
      </c>
      <c r="G596" s="5" t="n">
        <f aca="false">[1]Base_Jugadores!F596</f>
        <v>82</v>
      </c>
      <c r="H596" s="5" t="n">
        <f aca="false">[1]Base_Jugadores!G596</f>
        <v>35</v>
      </c>
      <c r="I596" s="7" t="n">
        <f aca="false" t="array" ref="I596:I596">_xlfn.XLOOKUP(G596,{55;56;57;58;59;60;61;62;63;64;65;66;67;68;69;70;71;72;73;74;75;76;77;78;79;80;81;82;83;84;85;86;87;88;89;90;91;92;93;94;95;96;97;98;99},{100000;130000;160000;190000;220000;250000;300000;350000;400000;450000;500000;600000;700000;800000;900000;1000000;1500000;2000000;3000000;4000000;5000000;6500000;8000000;10000000;12500000;15000000;20000000;25000000;30000000;35000000;40000000;55000000;70000000;80000000;90000000;110000000;130000000;160000000;190000000;220000000;250000000;280000000;310000000;340000000;400000000})</f>
        <v>25000000</v>
      </c>
      <c r="J596" s="7" t="n">
        <f aca="false">I596*S596*T596*U596</f>
        <v>20400000</v>
      </c>
      <c r="K596" s="3"/>
      <c r="L596" s="3"/>
      <c r="M596" s="3"/>
      <c r="N596" s="9" t="n">
        <v>0</v>
      </c>
      <c r="O596" s="4" t="n">
        <v>0</v>
      </c>
      <c r="P596" s="5" t="n">
        <f aca="false">IF(COUNTIF([1]Base_Jugadores!J$2:J$500,B596)&gt;0,1,0)</f>
        <v>0</v>
      </c>
      <c r="Q596" s="10" t="b">
        <f aca="false">--(COUNTIFS(
   [1]Fichajes_Realizados!A$2:A$5000,A596,
   [1]Fichajes_Realizados!G$2:G$5000,$X$3
)&gt;0)</f>
        <v>0</v>
      </c>
      <c r="R596" s="5" t="n">
        <f aca="false">_xlfn.XLOOKUP(C596, [1]Estado_Equipos!A$2:A$500, [1]Estado_Equipos!J$2:J$500, "")</f>
        <v>72</v>
      </c>
      <c r="S596" s="5" t="n">
        <f aca="false">IF(H596&lt;=16,1.45,
IF(H596&gt;=41,0.3,
CHOOSE(ROUNDDOWN((H596-16)/2,0)+1,
1.45,1.38,1.3,1.23,1.17,1.15,1.12,1.05,0.95,0.8,0.6,0.4,0.3)))</f>
        <v>0.8</v>
      </c>
      <c r="T596" s="5" t="n">
        <f aca="false">CHOOSE(N596+1,1.2,1,0.85,0.7)</f>
        <v>1.2</v>
      </c>
      <c r="U596" s="5" t="n">
        <f aca="false">IF(F596="PO",0.6,
IF(F596="CT",0.75,
IF(F596="LI",0.8,
IF(F596="LD",0.8,
IF(F596="MCD",0.85,
IF(F596="MC",0.95,
IF(F596="MO",1.05,
IF(F596="EI",1.1,
IF(F596="ED",1.1,
IF(F596="SD",1.15,
IF(F596="DC",1.2,0)))))))))))</f>
        <v>0.85</v>
      </c>
    </row>
    <row r="597" customFormat="false" ht="16.4" hidden="false" customHeight="false" outlineLevel="0" collapsed="false">
      <c r="A597" s="1" t="n">
        <v>596</v>
      </c>
      <c r="B597" s="5" t="str">
        <f aca="false">[1]Base_Jugadores!B597</f>
        <v>Josh Dasilva</v>
      </c>
      <c r="C597" s="5" t="str">
        <f aca="false">IFERROR(
   _xlfn.XLOOKUP(VALUE(A597),[1]Fichajes_Realizados!A$2:A$50000,[1]Fichajes_Realizados!D$2:D$50000,,0,-1),
   _xlfn.XLOOKUP(VALUE(A597),[1]Base_Jugadores!A$2:A$50000,[1]Base_Jugadores!C$2:C$50000)
)</f>
        <v>Brentford FC</v>
      </c>
      <c r="D597" s="5" t="str">
        <f aca="false">[1]Base_Jugadores!D597</f>
        <v>Inglaterra</v>
      </c>
      <c r="E597" s="3"/>
      <c r="F597" s="5" t="str">
        <f aca="false">[1]Base_Jugadores!E597</f>
        <v>MC</v>
      </c>
      <c r="G597" s="5" t="n">
        <f aca="false">[1]Base_Jugadores!F597</f>
        <v>73</v>
      </c>
      <c r="H597" s="5" t="n">
        <f aca="false">[1]Base_Jugadores!G597</f>
        <v>27</v>
      </c>
      <c r="I597" s="7" t="n">
        <f aca="false" t="array" ref="I597:I597">_xlfn.XLOOKUP(G597,{55;56;57;58;59;60;61;62;63;64;65;66;67;68;69;70;71;72;73;74;75;76;77;78;79;80;81;82;83;84;85;86;87;88;89;90;91;92;93;94;95;96;97;98;99},{100000;130000;160000;190000;220000;250000;300000;350000;400000;450000;500000;600000;700000;800000;900000;1000000;1500000;2000000;3000000;4000000;5000000;6500000;8000000;10000000;12500000;15000000;20000000;25000000;30000000;35000000;40000000;55000000;70000000;80000000;90000000;110000000;130000000;160000000;190000000;220000000;250000000;280000000;310000000;340000000;400000000})</f>
        <v>3000000</v>
      </c>
      <c r="J597" s="7" t="n">
        <f aca="false">I597*S597*T597*U597</f>
        <v>2785875</v>
      </c>
      <c r="K597" s="3"/>
      <c r="L597" s="3"/>
      <c r="M597" s="3"/>
      <c r="N597" s="9" t="n">
        <v>2</v>
      </c>
      <c r="O597" s="4" t="n">
        <v>0</v>
      </c>
      <c r="P597" s="5" t="n">
        <f aca="false">IF(COUNTIF([1]Base_Jugadores!J$2:J$500,B597)&gt;0,1,0)</f>
        <v>0</v>
      </c>
      <c r="Q597" s="10" t="b">
        <f aca="false">--(COUNTIFS(
   [1]Fichajes_Realizados!A$2:A$5000,A597,
   [1]Fichajes_Realizados!G$2:G$5000,$X$3
)&gt;0)</f>
        <v>0</v>
      </c>
      <c r="R597" s="5" t="n">
        <f aca="false">_xlfn.XLOOKUP(C597, [1]Estado_Equipos!A$2:A$500, [1]Estado_Equipos!J$2:J$500, "")</f>
        <v>72</v>
      </c>
      <c r="S597" s="5" t="n">
        <f aca="false">IF(H597&lt;=16,1.45,
IF(H597&gt;=41,0.3,
CHOOSE(ROUNDDOWN((H597-16)/2,0)+1,
1.45,1.38,1.3,1.23,1.17,1.15,1.12,1.05,0.95,0.8,0.6,0.4,0.3)))</f>
        <v>1.15</v>
      </c>
      <c r="T597" s="5" t="n">
        <f aca="false">CHOOSE(N597+1,1.2,1,0.85,0.7)</f>
        <v>0.85</v>
      </c>
      <c r="U597" s="5" t="n">
        <f aca="false">IF(F597="PO",0.6,
IF(F597="CT",0.75,
IF(F597="LI",0.8,
IF(F597="LD",0.8,
IF(F597="MCD",0.85,
IF(F597="MC",0.95,
IF(F597="MO",1.05,
IF(F597="EI",1.1,
IF(F597="ED",1.1,
IF(F597="SD",1.15,
IF(F597="DC",1.2,0)))))))))))</f>
        <v>0.95</v>
      </c>
    </row>
    <row r="598" customFormat="false" ht="16.4" hidden="false" customHeight="false" outlineLevel="0" collapsed="false">
      <c r="A598" s="1" t="n">
        <v>597</v>
      </c>
      <c r="B598" s="5" t="str">
        <f aca="false">[1]Base_Jugadores!B598</f>
        <v>Keane Lewis-Potter</v>
      </c>
      <c r="C598" s="5" t="str">
        <f aca="false">IFERROR(
   _xlfn.XLOOKUP(VALUE(A598),[1]Fichajes_Realizados!A$2:A$50000,[1]Fichajes_Realizados!D$2:D$50000,,0,-1),
   _xlfn.XLOOKUP(VALUE(A598),[1]Base_Jugadores!A$2:A$50000,[1]Base_Jugadores!C$2:C$50000)
)</f>
        <v>Brentford FC</v>
      </c>
      <c r="D598" s="5" t="str">
        <f aca="false">[1]Base_Jugadores!D598</f>
        <v>Inglaterra</v>
      </c>
      <c r="E598" s="3"/>
      <c r="F598" s="5" t="str">
        <f aca="false">[1]Base_Jugadores!E598</f>
        <v>EI</v>
      </c>
      <c r="G598" s="5" t="n">
        <f aca="false">[1]Base_Jugadores!F598</f>
        <v>74</v>
      </c>
      <c r="H598" s="5" t="n">
        <f aca="false">[1]Base_Jugadores!G598</f>
        <v>24</v>
      </c>
      <c r="I598" s="7" t="n">
        <f aca="false" t="array" ref="I598:I598">_xlfn.XLOOKUP(G598,{55;56;57;58;59;60;61;62;63;64;65;66;67;68;69;70;71;72;73;74;75;76;77;78;79;80;81;82;83;84;85;86;87;88;89;90;91;92;93;94;95;96;97;98;99},{100000;130000;160000;190000;220000;250000;300000;350000;400000;450000;500000;600000;700000;800000;900000;1000000;1500000;2000000;3000000;4000000;5000000;6500000;8000000;10000000;12500000;15000000;20000000;25000000;30000000;35000000;40000000;55000000;70000000;80000000;90000000;110000000;130000000;160000000;190000000;220000000;250000000;280000000;310000000;340000000;400000000})</f>
        <v>4000000</v>
      </c>
      <c r="J598" s="7" t="n">
        <f aca="false">I598*S598*T598*U598</f>
        <v>5148000</v>
      </c>
      <c r="K598" s="3"/>
      <c r="L598" s="3"/>
      <c r="M598" s="3"/>
      <c r="N598" s="9" t="n">
        <v>1</v>
      </c>
      <c r="O598" s="4" t="n">
        <v>0</v>
      </c>
      <c r="P598" s="5" t="n">
        <f aca="false">IF(COUNTIF([1]Base_Jugadores!J$2:J$500,B598)&gt;0,1,0)</f>
        <v>0</v>
      </c>
      <c r="Q598" s="10" t="b">
        <f aca="false">--(COUNTIFS(
   [1]Fichajes_Realizados!A$2:A$5000,A598,
   [1]Fichajes_Realizados!G$2:G$5000,$X$3
)&gt;0)</f>
        <v>0</v>
      </c>
      <c r="R598" s="5" t="n">
        <f aca="false">_xlfn.XLOOKUP(C598, [1]Estado_Equipos!A$2:A$500, [1]Estado_Equipos!J$2:J$500, "")</f>
        <v>72</v>
      </c>
      <c r="S598" s="5" t="n">
        <f aca="false">IF(H598&lt;=16,1.45,
IF(H598&gt;=41,0.3,
CHOOSE(ROUNDDOWN((H598-16)/2,0)+1,
1.45,1.38,1.3,1.23,1.17,1.15,1.12,1.05,0.95,0.8,0.6,0.4,0.3)))</f>
        <v>1.17</v>
      </c>
      <c r="T598" s="5" t="n">
        <f aca="false">CHOOSE(N598+1,1.2,1,0.85,0.7)</f>
        <v>1</v>
      </c>
      <c r="U598" s="5" t="n">
        <f aca="false">IF(F598="PO",0.6,
IF(F598="CT",0.75,
IF(F598="LI",0.8,
IF(F598="LD",0.8,
IF(F598="MCD",0.85,
IF(F598="MC",0.95,
IF(F598="MO",1.05,
IF(F598="EI",1.1,
IF(F598="ED",1.1,
IF(F598="SD",1.15,
IF(F598="DC",1.2,0)))))))))))</f>
        <v>1.1</v>
      </c>
    </row>
    <row r="599" customFormat="false" ht="16.4" hidden="false" customHeight="false" outlineLevel="0" collapsed="false">
      <c r="A599" s="1" t="n">
        <v>598</v>
      </c>
      <c r="B599" s="5" t="str">
        <f aca="false">[1]Base_Jugadores!B599</f>
        <v>Kevin Schade</v>
      </c>
      <c r="C599" s="5" t="str">
        <f aca="false">IFERROR(
   _xlfn.XLOOKUP(VALUE(A599),[1]Fichajes_Realizados!A$2:A$50000,[1]Fichajes_Realizados!D$2:D$50000,,0,-1),
   _xlfn.XLOOKUP(VALUE(A599),[1]Base_Jugadores!A$2:A$50000,[1]Base_Jugadores!C$2:C$50000)
)</f>
        <v>Brentford FC</v>
      </c>
      <c r="D599" s="5" t="str">
        <f aca="false">[1]Base_Jugadores!D599</f>
        <v>Alemania</v>
      </c>
      <c r="E599" s="3"/>
      <c r="F599" s="5" t="str">
        <f aca="false">[1]Base_Jugadores!E599</f>
        <v>EI</v>
      </c>
      <c r="G599" s="5" t="n">
        <f aca="false">[1]Base_Jugadores!F599</f>
        <v>75</v>
      </c>
      <c r="H599" s="5" t="n">
        <f aca="false">[1]Base_Jugadores!G599</f>
        <v>24</v>
      </c>
      <c r="I599" s="7" t="n">
        <f aca="false" t="array" ref="I599:I599">_xlfn.XLOOKUP(G599,{55;56;57;58;59;60;61;62;63;64;65;66;67;68;69;70;71;72;73;74;75;76;77;78;79;80;81;82;83;84;85;86;87;88;89;90;91;92;93;94;95;96;97;98;99},{100000;130000;160000;190000;220000;250000;300000;350000;400000;450000;500000;600000;700000;800000;900000;1000000;1500000;2000000;3000000;4000000;5000000;6500000;8000000;10000000;12500000;15000000;20000000;25000000;30000000;35000000;40000000;55000000;70000000;80000000;90000000;110000000;130000000;160000000;190000000;220000000;250000000;280000000;310000000;340000000;400000000})</f>
        <v>5000000</v>
      </c>
      <c r="J599" s="7" t="n">
        <f aca="false">I599*S599*T599*U599</f>
        <v>6435000</v>
      </c>
      <c r="K599" s="3"/>
      <c r="L599" s="3"/>
      <c r="M599" s="3"/>
      <c r="N599" s="9" t="n">
        <v>1</v>
      </c>
      <c r="O599" s="4" t="n">
        <v>0</v>
      </c>
      <c r="P599" s="5" t="n">
        <f aca="false">IF(COUNTIF([1]Base_Jugadores!J$2:J$500,B599)&gt;0,1,0)</f>
        <v>0</v>
      </c>
      <c r="Q599" s="10" t="b">
        <f aca="false">--(COUNTIFS(
   [1]Fichajes_Realizados!A$2:A$5000,A599,
   [1]Fichajes_Realizados!G$2:G$5000,$X$3
)&gt;0)</f>
        <v>0</v>
      </c>
      <c r="R599" s="5" t="n">
        <f aca="false">_xlfn.XLOOKUP(C599, [1]Estado_Equipos!A$2:A$500, [1]Estado_Equipos!J$2:J$500, "")</f>
        <v>72</v>
      </c>
      <c r="S599" s="5" t="n">
        <f aca="false">IF(H599&lt;=16,1.45,
IF(H599&gt;=41,0.3,
CHOOSE(ROUNDDOWN((H599-16)/2,0)+1,
1.45,1.38,1.3,1.23,1.17,1.15,1.12,1.05,0.95,0.8,0.6,0.4,0.3)))</f>
        <v>1.17</v>
      </c>
      <c r="T599" s="5" t="n">
        <f aca="false">CHOOSE(N599+1,1.2,1,0.85,0.7)</f>
        <v>1</v>
      </c>
      <c r="U599" s="5" t="n">
        <f aca="false">IF(F599="PO",0.6,
IF(F599="CT",0.75,
IF(F599="LI",0.8,
IF(F599="LD",0.8,
IF(F599="MCD",0.85,
IF(F599="MC",0.95,
IF(F599="MO",1.05,
IF(F599="EI",1.1,
IF(F599="ED",1.1,
IF(F599="SD",1.15,
IF(F599="DC",1.2,0)))))))))))</f>
        <v>1.1</v>
      </c>
    </row>
    <row r="600" customFormat="false" ht="16.4" hidden="false" customHeight="false" outlineLevel="0" collapsed="false">
      <c r="A600" s="1" t="n">
        <v>599</v>
      </c>
      <c r="B600" s="5" t="str">
        <f aca="false">[1]Base_Jugadores!B600</f>
        <v>Kristoffer Ajer</v>
      </c>
      <c r="C600" s="5" t="str">
        <f aca="false">IFERROR(
   _xlfn.XLOOKUP(VALUE(A600),[1]Fichajes_Realizados!A$2:A$50000,[1]Fichajes_Realizados!D$2:D$50000,,0,-1),
   _xlfn.XLOOKUP(VALUE(A600),[1]Base_Jugadores!A$2:A$50000,[1]Base_Jugadores!C$2:C$50000)
)</f>
        <v>Brentford FC</v>
      </c>
      <c r="D600" s="5" t="str">
        <f aca="false">[1]Base_Jugadores!D600</f>
        <v>Noruega</v>
      </c>
      <c r="E600" s="3"/>
      <c r="F600" s="5" t="str">
        <f aca="false">[1]Base_Jugadores!E600</f>
        <v>CT</v>
      </c>
      <c r="G600" s="5" t="n">
        <f aca="false">[1]Base_Jugadores!F600</f>
        <v>76</v>
      </c>
      <c r="H600" s="5" t="n">
        <f aca="false">[1]Base_Jugadores!G600</f>
        <v>27</v>
      </c>
      <c r="I600" s="7" t="n">
        <f aca="false" t="array" ref="I600:I600">_xlfn.XLOOKUP(G600,{55;56;57;58;59;60;61;62;63;64;65;66;67;68;69;70;71;72;73;74;75;76;77;78;79;80;81;82;83;84;85;86;87;88;89;90;91;92;93;94;95;96;97;98;99},{100000;130000;160000;190000;220000;250000;300000;350000;400000;450000;500000;600000;700000;800000;900000;1000000;1500000;2000000;3000000;4000000;5000000;6500000;8000000;10000000;12500000;15000000;20000000;25000000;30000000;35000000;40000000;55000000;70000000;80000000;90000000;110000000;130000000;160000000;190000000;220000000;250000000;280000000;310000000;340000000;400000000})</f>
        <v>6500000</v>
      </c>
      <c r="J600" s="7" t="n">
        <f aca="false">I600*S600*T600*U600</f>
        <v>5606250</v>
      </c>
      <c r="K600" s="3"/>
      <c r="L600" s="3"/>
      <c r="M600" s="3"/>
      <c r="N600" s="9" t="n">
        <v>1</v>
      </c>
      <c r="O600" s="4" t="n">
        <v>0</v>
      </c>
      <c r="P600" s="5" t="n">
        <f aca="false">IF(COUNTIF([1]Base_Jugadores!J$2:J$500,B600)&gt;0,1,0)</f>
        <v>0</v>
      </c>
      <c r="Q600" s="10" t="b">
        <f aca="false">--(COUNTIFS(
   [1]Fichajes_Realizados!A$2:A$5000,A600,
   [1]Fichajes_Realizados!G$2:G$5000,$X$3
)&gt;0)</f>
        <v>0</v>
      </c>
      <c r="R600" s="5" t="n">
        <f aca="false">_xlfn.XLOOKUP(C600, [1]Estado_Equipos!A$2:A$500, [1]Estado_Equipos!J$2:J$500, "")</f>
        <v>72</v>
      </c>
      <c r="S600" s="5" t="n">
        <f aca="false">IF(H600&lt;=16,1.45,
IF(H600&gt;=41,0.3,
CHOOSE(ROUNDDOWN((H600-16)/2,0)+1,
1.45,1.38,1.3,1.23,1.17,1.15,1.12,1.05,0.95,0.8,0.6,0.4,0.3)))</f>
        <v>1.15</v>
      </c>
      <c r="T600" s="5" t="n">
        <f aca="false">CHOOSE(N600+1,1.2,1,0.85,0.7)</f>
        <v>1</v>
      </c>
      <c r="U600" s="5" t="n">
        <f aca="false">IF(F600="PO",0.6,
IF(F600="CT",0.75,
IF(F600="LI",0.8,
IF(F600="LD",0.8,
IF(F600="MCD",0.85,
IF(F600="MC",0.95,
IF(F600="MO",1.05,
IF(F600="EI",1.1,
IF(F600="ED",1.1,
IF(F600="SD",1.15,
IF(F600="DC",1.2,0)))))))))))</f>
        <v>0.75</v>
      </c>
    </row>
    <row r="601" customFormat="false" ht="16.4" hidden="false" customHeight="false" outlineLevel="0" collapsed="false">
      <c r="A601" s="1" t="n">
        <v>600</v>
      </c>
      <c r="B601" s="5" t="str">
        <f aca="false">[1]Base_Jugadores!B601</f>
        <v>Mathias Jensen J.</v>
      </c>
      <c r="C601" s="5" t="str">
        <f aca="false">IFERROR(
   _xlfn.XLOOKUP(VALUE(A601),[1]Fichajes_Realizados!A$2:A$50000,[1]Fichajes_Realizados!D$2:D$50000,,0,-1),
   _xlfn.XLOOKUP(VALUE(A601),[1]Base_Jugadores!A$2:A$50000,[1]Base_Jugadores!C$2:C$50000)
)</f>
        <v>Brentford FC</v>
      </c>
      <c r="D601" s="5" t="str">
        <f aca="false">[1]Base_Jugadores!D601</f>
        <v>Dinamarca</v>
      </c>
      <c r="E601" s="3"/>
      <c r="F601" s="5" t="str">
        <f aca="false">[1]Base_Jugadores!E601</f>
        <v>MC</v>
      </c>
      <c r="G601" s="5" t="n">
        <f aca="false">[1]Base_Jugadores!F601</f>
        <v>77</v>
      </c>
      <c r="H601" s="5" t="n">
        <f aca="false">[1]Base_Jugadores!G601</f>
        <v>29</v>
      </c>
      <c r="I601" s="7" t="n">
        <f aca="false" t="array" ref="I601:I601">_xlfn.XLOOKUP(G601,{55;56;57;58;59;60;61;62;63;64;65;66;67;68;69;70;71;72;73;74;75;76;77;78;79;80;81;82;83;84;85;86;87;88;89;90;91;92;93;94;95;96;97;98;99},{100000;130000;160000;190000;220000;250000;300000;350000;400000;450000;500000;600000;700000;800000;900000;1000000;1500000;2000000;3000000;4000000;5000000;6500000;8000000;10000000;12500000;15000000;20000000;25000000;30000000;35000000;40000000;55000000;70000000;80000000;90000000;110000000;130000000;160000000;190000000;220000000;250000000;280000000;310000000;340000000;400000000})</f>
        <v>8000000</v>
      </c>
      <c r="J601" s="7" t="n">
        <f aca="false">I601*S601*T601*U601</f>
        <v>10214400</v>
      </c>
      <c r="K601" s="3"/>
      <c r="L601" s="3"/>
      <c r="M601" s="3"/>
      <c r="N601" s="9" t="n">
        <v>0</v>
      </c>
      <c r="O601" s="4" t="n">
        <v>0</v>
      </c>
      <c r="P601" s="5" t="n">
        <f aca="false">IF(COUNTIF([1]Base_Jugadores!J$2:J$500,B601)&gt;0,1,0)</f>
        <v>0</v>
      </c>
      <c r="Q601" s="10" t="b">
        <f aca="false">--(COUNTIFS(
   [1]Fichajes_Realizados!A$2:A$5000,A601,
   [1]Fichajes_Realizados!G$2:G$5000,$X$3
)&gt;0)</f>
        <v>0</v>
      </c>
      <c r="R601" s="5" t="n">
        <f aca="false">_xlfn.XLOOKUP(C601, [1]Estado_Equipos!A$2:A$500, [1]Estado_Equipos!J$2:J$500, "")</f>
        <v>72</v>
      </c>
      <c r="S601" s="5" t="n">
        <f aca="false">IF(H601&lt;=16,1.45,
IF(H601&gt;=41,0.3,
CHOOSE(ROUNDDOWN((H601-16)/2,0)+1,
1.45,1.38,1.3,1.23,1.17,1.15,1.12,1.05,0.95,0.8,0.6,0.4,0.3)))</f>
        <v>1.12</v>
      </c>
      <c r="T601" s="5" t="n">
        <f aca="false">CHOOSE(N601+1,1.2,1,0.85,0.7)</f>
        <v>1.2</v>
      </c>
      <c r="U601" s="5" t="n">
        <f aca="false">IF(F601="PO",0.6,
IF(F601="CT",0.75,
IF(F601="LI",0.8,
IF(F601="LD",0.8,
IF(F601="MCD",0.85,
IF(F601="MC",0.95,
IF(F601="MO",1.05,
IF(F601="EI",1.1,
IF(F601="ED",1.1,
IF(F601="SD",1.15,
IF(F601="DC",1.2,0)))))))))))</f>
        <v>0.95</v>
      </c>
    </row>
    <row r="602" customFormat="false" ht="16.4" hidden="false" customHeight="false" outlineLevel="0" collapsed="false">
      <c r="A602" s="1" t="n">
        <v>601</v>
      </c>
      <c r="B602" s="5" t="str">
        <f aca="false">[1]Base_Jugadores!B602</f>
        <v>Matthew Cox</v>
      </c>
      <c r="C602" s="5" t="str">
        <f aca="false">IFERROR(
   _xlfn.XLOOKUP(VALUE(A602),[1]Fichajes_Realizados!A$2:A$50000,[1]Fichajes_Realizados!D$2:D$50000,,0,-1),
   _xlfn.XLOOKUP(VALUE(A602),[1]Base_Jugadores!A$2:A$50000,[1]Base_Jugadores!C$2:C$50000)
)</f>
        <v>Brentford FC</v>
      </c>
      <c r="D602" s="5" t="str">
        <f aca="false">[1]Base_Jugadores!D602</f>
        <v>Inglaterra</v>
      </c>
      <c r="E602" s="3"/>
      <c r="F602" s="5" t="str">
        <f aca="false">[1]Base_Jugadores!E602</f>
        <v>PO</v>
      </c>
      <c r="G602" s="5" t="n">
        <f aca="false">[1]Base_Jugadores!F602</f>
        <v>65</v>
      </c>
      <c r="H602" s="5" t="n">
        <f aca="false">[1]Base_Jugadores!G602</f>
        <v>22</v>
      </c>
      <c r="I602" s="7" t="n">
        <f aca="false" t="array" ref="I602:I602">_xlfn.XLOOKUP(G602,{55;56;57;58;59;60;61;62;63;64;65;66;67;68;69;70;71;72;73;74;75;76;77;78;79;80;81;82;83;84;85;86;87;88;89;90;91;92;93;94;95;96;97;98;99},{100000;130000;160000;190000;220000;250000;300000;350000;400000;450000;500000;600000;700000;800000;900000;1000000;1500000;2000000;3000000;4000000;5000000;6500000;8000000;10000000;12500000;15000000;20000000;25000000;30000000;35000000;40000000;55000000;70000000;80000000;90000000;110000000;130000000;160000000;190000000;220000000;250000000;280000000;310000000;340000000;400000000})</f>
        <v>500000</v>
      </c>
      <c r="J602" s="7" t="n">
        <f aca="false">I602*S602*T602*U602</f>
        <v>313650</v>
      </c>
      <c r="K602" s="3"/>
      <c r="L602" s="3"/>
      <c r="M602" s="3"/>
      <c r="N602" s="9" t="n">
        <v>2</v>
      </c>
      <c r="O602" s="4" t="n">
        <v>1</v>
      </c>
      <c r="P602" s="5" t="n">
        <f aca="false">IF(COUNTIF([1]Base_Jugadores!J$2:J$500,B602)&gt;0,1,0)</f>
        <v>0</v>
      </c>
      <c r="Q602" s="10" t="b">
        <f aca="false">--(COUNTIFS(
   [1]Fichajes_Realizados!A$2:A$5000,A602,
   [1]Fichajes_Realizados!G$2:G$5000,$X$3
)&gt;0)</f>
        <v>0</v>
      </c>
      <c r="R602" s="5" t="n">
        <f aca="false">_xlfn.XLOOKUP(C602, [1]Estado_Equipos!A$2:A$500, [1]Estado_Equipos!J$2:J$500, "")</f>
        <v>72</v>
      </c>
      <c r="S602" s="5" t="n">
        <f aca="false">IF(H602&lt;=16,1.45,
IF(H602&gt;=41,0.3,
CHOOSE(ROUNDDOWN((H602-16)/2,0)+1,
1.45,1.38,1.3,1.23,1.17,1.15,1.12,1.05,0.95,0.8,0.6,0.4,0.3)))</f>
        <v>1.23</v>
      </c>
      <c r="T602" s="5" t="n">
        <f aca="false">CHOOSE(N602+1,1.2,1,0.85,0.7)</f>
        <v>0.85</v>
      </c>
      <c r="U602" s="5" t="n">
        <f aca="false">IF(F602="PO",0.6,
IF(F602="CT",0.75,
IF(F602="LI",0.8,
IF(F602="LD",0.8,
IF(F602="MCD",0.85,
IF(F602="MC",0.95,
IF(F602="MO",1.05,
IF(F602="EI",1.1,
IF(F602="ED",1.1,
IF(F602="SD",1.15,
IF(F602="DC",1.2,0)))))))))))</f>
        <v>0.6</v>
      </c>
    </row>
    <row r="603" customFormat="false" ht="16.4" hidden="false" customHeight="false" outlineLevel="0" collapsed="false">
      <c r="A603" s="1" t="n">
        <v>602</v>
      </c>
      <c r="B603" s="5" t="str">
        <f aca="false">[1]Base_Jugadores!B603</f>
        <v>Michael Kayode</v>
      </c>
      <c r="C603" s="5" t="str">
        <f aca="false">IFERROR(
   _xlfn.XLOOKUP(VALUE(A603),[1]Fichajes_Realizados!A$2:A$50000,[1]Fichajes_Realizados!D$2:D$50000,,0,-1),
   _xlfn.XLOOKUP(VALUE(A603),[1]Base_Jugadores!A$2:A$50000,[1]Base_Jugadores!C$2:C$50000)
)</f>
        <v>Brentford FC</v>
      </c>
      <c r="D603" s="5" t="str">
        <f aca="false">[1]Base_Jugadores!D603</f>
        <v>Italia</v>
      </c>
      <c r="E603" s="3"/>
      <c r="F603" s="5" t="str">
        <f aca="false">[1]Base_Jugadores!E603</f>
        <v>LD</v>
      </c>
      <c r="G603" s="5" t="n">
        <f aca="false">[1]Base_Jugadores!F603</f>
        <v>74</v>
      </c>
      <c r="H603" s="5" t="n">
        <f aca="false">[1]Base_Jugadores!G603</f>
        <v>21</v>
      </c>
      <c r="I603" s="7" t="n">
        <f aca="false" t="array" ref="I603:I603">_xlfn.XLOOKUP(G603,{55;56;57;58;59;60;61;62;63;64;65;66;67;68;69;70;71;72;73;74;75;76;77;78;79;80;81;82;83;84;85;86;87;88;89;90;91;92;93;94;95;96;97;98;99},{100000;130000;160000;190000;220000;250000;300000;350000;400000;450000;500000;600000;700000;800000;900000;1000000;1500000;2000000;3000000;4000000;5000000;6500000;8000000;10000000;12500000;15000000;20000000;25000000;30000000;35000000;40000000;55000000;70000000;80000000;90000000;110000000;130000000;160000000;190000000;220000000;250000000;280000000;310000000;340000000;400000000})</f>
        <v>4000000</v>
      </c>
      <c r="J603" s="7" t="n">
        <f aca="false">I603*S603*T603*U603</f>
        <v>3536000</v>
      </c>
      <c r="K603" s="3"/>
      <c r="L603" s="3"/>
      <c r="M603" s="3"/>
      <c r="N603" s="9" t="n">
        <v>2</v>
      </c>
      <c r="O603" s="4" t="n">
        <v>0</v>
      </c>
      <c r="P603" s="5" t="n">
        <f aca="false">IF(COUNTIF([1]Base_Jugadores!J$2:J$500,B603)&gt;0,1,0)</f>
        <v>0</v>
      </c>
      <c r="Q603" s="10" t="b">
        <f aca="false">--(COUNTIFS(
   [1]Fichajes_Realizados!A$2:A$5000,A603,
   [1]Fichajes_Realizados!G$2:G$5000,$X$3
)&gt;0)</f>
        <v>0</v>
      </c>
      <c r="R603" s="5" t="n">
        <f aca="false">_xlfn.XLOOKUP(C603, [1]Estado_Equipos!A$2:A$500, [1]Estado_Equipos!J$2:J$500, "")</f>
        <v>72</v>
      </c>
      <c r="S603" s="5" t="n">
        <f aca="false">IF(H603&lt;=16,1.45,
IF(H603&gt;=41,0.3,
CHOOSE(ROUNDDOWN((H603-16)/2,0)+1,
1.45,1.38,1.3,1.23,1.17,1.15,1.12,1.05,0.95,0.8,0.6,0.4,0.3)))</f>
        <v>1.3</v>
      </c>
      <c r="T603" s="5" t="n">
        <f aca="false">CHOOSE(N603+1,1.2,1,0.85,0.7)</f>
        <v>0.85</v>
      </c>
      <c r="U603" s="5" t="n">
        <f aca="false">IF(F603="PO",0.6,
IF(F603="CT",0.75,
IF(F603="LI",0.8,
IF(F603="LD",0.8,
IF(F603="MCD",0.85,
IF(F603="MC",0.95,
IF(F603="MO",1.05,
IF(F603="EI",1.1,
IF(F603="ED",1.1,
IF(F603="SD",1.15,
IF(F603="DC",1.2,0)))))))))))</f>
        <v>0.8</v>
      </c>
    </row>
    <row r="604" customFormat="false" ht="16.4" hidden="false" customHeight="false" outlineLevel="0" collapsed="false">
      <c r="A604" s="1" t="n">
        <v>603</v>
      </c>
      <c r="B604" s="5" t="str">
        <f aca="false">[1]Base_Jugadores!B604</f>
        <v>Mikkel Damsgaard</v>
      </c>
      <c r="C604" s="5" t="str">
        <f aca="false">IFERROR(
   _xlfn.XLOOKUP(VALUE(A604),[1]Fichajes_Realizados!A$2:A$50000,[1]Fichajes_Realizados!D$2:D$50000,,0,-1),
   _xlfn.XLOOKUP(VALUE(A604),[1]Base_Jugadores!A$2:A$50000,[1]Base_Jugadores!C$2:C$50000)
)</f>
        <v>Brentford FC</v>
      </c>
      <c r="D604" s="5" t="str">
        <f aca="false">[1]Base_Jugadores!D604</f>
        <v>Dinamarca</v>
      </c>
      <c r="E604" s="3"/>
      <c r="F604" s="5" t="str">
        <f aca="false">[1]Base_Jugadores!E604</f>
        <v>MO</v>
      </c>
      <c r="G604" s="5" t="n">
        <f aca="false">[1]Base_Jugadores!F604</f>
        <v>72</v>
      </c>
      <c r="H604" s="5" t="n">
        <f aca="false">[1]Base_Jugadores!G604</f>
        <v>25</v>
      </c>
      <c r="I604" s="7" t="n">
        <f aca="false" t="array" ref="I604:I604">_xlfn.XLOOKUP(G604,{55;56;57;58;59;60;61;62;63;64;65;66;67;68;69;70;71;72;73;74;75;76;77;78;79;80;81;82;83;84;85;86;87;88;89;90;91;92;93;94;95;96;97;98;99},{100000;130000;160000;190000;220000;250000;300000;350000;400000;450000;500000;600000;700000;800000;900000;1000000;1500000;2000000;3000000;4000000;5000000;6500000;8000000;10000000;12500000;15000000;20000000;25000000;30000000;35000000;40000000;55000000;70000000;80000000;90000000;110000000;130000000;160000000;190000000;220000000;250000000;280000000;310000000;340000000;400000000})</f>
        <v>2000000</v>
      </c>
      <c r="J604" s="7" t="n">
        <f aca="false">I604*S604*T604*U604</f>
        <v>2088450</v>
      </c>
      <c r="K604" s="3"/>
      <c r="L604" s="3"/>
      <c r="M604" s="3"/>
      <c r="N604" s="9" t="n">
        <v>2</v>
      </c>
      <c r="O604" s="4" t="n">
        <v>0</v>
      </c>
      <c r="P604" s="5" t="n">
        <f aca="false">IF(COUNTIF([1]Base_Jugadores!J$2:J$500,B604)&gt;0,1,0)</f>
        <v>0</v>
      </c>
      <c r="Q604" s="10" t="b">
        <f aca="false">--(COUNTIFS(
   [1]Fichajes_Realizados!A$2:A$5000,A604,
   [1]Fichajes_Realizados!G$2:G$5000,$X$3
)&gt;0)</f>
        <v>0</v>
      </c>
      <c r="R604" s="5" t="n">
        <f aca="false">_xlfn.XLOOKUP(C604, [1]Estado_Equipos!A$2:A$500, [1]Estado_Equipos!J$2:J$500, "")</f>
        <v>72</v>
      </c>
      <c r="S604" s="5" t="n">
        <f aca="false">IF(H604&lt;=16,1.45,
IF(H604&gt;=41,0.3,
CHOOSE(ROUNDDOWN((H604-16)/2,0)+1,
1.45,1.38,1.3,1.23,1.17,1.15,1.12,1.05,0.95,0.8,0.6,0.4,0.3)))</f>
        <v>1.17</v>
      </c>
      <c r="T604" s="5" t="n">
        <f aca="false">CHOOSE(N604+1,1.2,1,0.85,0.7)</f>
        <v>0.85</v>
      </c>
      <c r="U604" s="5" t="n">
        <f aca="false">IF(F604="PO",0.6,
IF(F604="CT",0.75,
IF(F604="LI",0.8,
IF(F604="LD",0.8,
IF(F604="MCD",0.85,
IF(F604="MC",0.95,
IF(F604="MO",1.05,
IF(F604="EI",1.1,
IF(F604="ED",1.1,
IF(F604="SD",1.15,
IF(F604="DC",1.2,0)))))))))))</f>
        <v>1.05</v>
      </c>
    </row>
    <row r="605" customFormat="false" ht="16.4" hidden="false" customHeight="false" outlineLevel="0" collapsed="false">
      <c r="A605" s="1" t="n">
        <v>604</v>
      </c>
      <c r="B605" s="5" t="str">
        <f aca="false">[1]Base_Jugadores!B605</f>
        <v>Myles Peart-Harris</v>
      </c>
      <c r="C605" s="5" t="str">
        <f aca="false">IFERROR(
   _xlfn.XLOOKUP(VALUE(A605),[1]Fichajes_Realizados!A$2:A$50000,[1]Fichajes_Realizados!D$2:D$50000,,0,-1),
   _xlfn.XLOOKUP(VALUE(A605),[1]Base_Jugadores!A$2:A$50000,[1]Base_Jugadores!C$2:C$50000)
)</f>
        <v>Brentford FC</v>
      </c>
      <c r="D605" s="5" t="str">
        <f aca="false">[1]Base_Jugadores!D605</f>
        <v>Jamaica</v>
      </c>
      <c r="E605" s="3"/>
      <c r="F605" s="5" t="str">
        <f aca="false">[1]Base_Jugadores!E605</f>
        <v>MO</v>
      </c>
      <c r="G605" s="5" t="n">
        <f aca="false">[1]Base_Jugadores!F605</f>
        <v>67</v>
      </c>
      <c r="H605" s="5" t="n">
        <f aca="false">[1]Base_Jugadores!G605</f>
        <v>23</v>
      </c>
      <c r="I605" s="7" t="n">
        <f aca="false" t="array" ref="I605:I605">_xlfn.XLOOKUP(G605,{55;56;57;58;59;60;61;62;63;64;65;66;67;68;69;70;71;72;73;74;75;76;77;78;79;80;81;82;83;84;85;86;87;88;89;90;91;92;93;94;95;96;97;98;99},{100000;130000;160000;190000;220000;250000;300000;350000;400000;450000;500000;600000;700000;800000;900000;1000000;1500000;2000000;3000000;4000000;5000000;6500000;8000000;10000000;12500000;15000000;20000000;25000000;30000000;35000000;40000000;55000000;70000000;80000000;90000000;110000000;130000000;160000000;190000000;220000000;250000000;280000000;310000000;340000000;400000000})</f>
        <v>700000</v>
      </c>
      <c r="J605" s="7" t="n">
        <f aca="false">I605*S605*T605*U605</f>
        <v>768442.5</v>
      </c>
      <c r="K605" s="3"/>
      <c r="L605" s="3"/>
      <c r="M605" s="3"/>
      <c r="N605" s="9" t="n">
        <v>2</v>
      </c>
      <c r="O605" s="4" t="n">
        <v>0</v>
      </c>
      <c r="P605" s="5" t="n">
        <f aca="false">IF(COUNTIF([1]Base_Jugadores!J$2:J$500,B605)&gt;0,1,0)</f>
        <v>0</v>
      </c>
      <c r="Q605" s="10" t="b">
        <f aca="false">--(COUNTIFS(
   [1]Fichajes_Realizados!A$2:A$5000,A605,
   [1]Fichajes_Realizados!G$2:G$5000,$X$3
)&gt;0)</f>
        <v>0</v>
      </c>
      <c r="R605" s="5" t="n">
        <f aca="false">_xlfn.XLOOKUP(C605, [1]Estado_Equipos!A$2:A$500, [1]Estado_Equipos!J$2:J$500, "")</f>
        <v>72</v>
      </c>
      <c r="S605" s="5" t="n">
        <f aca="false">IF(H605&lt;=16,1.45,
IF(H605&gt;=41,0.3,
CHOOSE(ROUNDDOWN((H605-16)/2,0)+1,
1.45,1.38,1.3,1.23,1.17,1.15,1.12,1.05,0.95,0.8,0.6,0.4,0.3)))</f>
        <v>1.23</v>
      </c>
      <c r="T605" s="5" t="n">
        <f aca="false">CHOOSE(N605+1,1.2,1,0.85,0.7)</f>
        <v>0.85</v>
      </c>
      <c r="U605" s="5" t="n">
        <f aca="false">IF(F605="PO",0.6,
IF(F605="CT",0.75,
IF(F605="LI",0.8,
IF(F605="LD",0.8,
IF(F605="MCD",0.85,
IF(F605="MC",0.95,
IF(F605="MO",1.05,
IF(F605="EI",1.1,
IF(F605="ED",1.1,
IF(F605="SD",1.15,
IF(F605="DC",1.2,0)))))))))))</f>
        <v>1.05</v>
      </c>
    </row>
    <row r="606" customFormat="false" ht="16.4" hidden="false" customHeight="false" outlineLevel="0" collapsed="false">
      <c r="A606" s="1" t="n">
        <v>605</v>
      </c>
      <c r="B606" s="5" t="str">
        <f aca="false">[1]Base_Jugadores!B606</f>
        <v>Nathan Collins</v>
      </c>
      <c r="C606" s="5" t="str">
        <f aca="false">IFERROR(
   _xlfn.XLOOKUP(VALUE(A606),[1]Fichajes_Realizados!A$2:A$50000,[1]Fichajes_Realizados!D$2:D$50000,,0,-1),
   _xlfn.XLOOKUP(VALUE(A606),[1]Base_Jugadores!A$2:A$50000,[1]Base_Jugadores!C$2:C$50000)
)</f>
        <v>Brentford FC</v>
      </c>
      <c r="D606" s="5" t="str">
        <f aca="false">[1]Base_Jugadores!D606</f>
        <v>Irlanda</v>
      </c>
      <c r="E606" s="3"/>
      <c r="F606" s="5" t="str">
        <f aca="false">[1]Base_Jugadores!E606</f>
        <v>CT</v>
      </c>
      <c r="G606" s="5" t="n">
        <f aca="false">[1]Base_Jugadores!F606</f>
        <v>77</v>
      </c>
      <c r="H606" s="5" t="n">
        <f aca="false">[1]Base_Jugadores!G606</f>
        <v>24</v>
      </c>
      <c r="I606" s="7" t="n">
        <f aca="false" t="array" ref="I606:I606">_xlfn.XLOOKUP(G606,{55;56;57;58;59;60;61;62;63;64;65;66;67;68;69;70;71;72;73;74;75;76;77;78;79;80;81;82;83;84;85;86;87;88;89;90;91;92;93;94;95;96;97;98;99},{100000;130000;160000;190000;220000;250000;300000;350000;400000;450000;500000;600000;700000;800000;900000;1000000;1500000;2000000;3000000;4000000;5000000;6500000;8000000;10000000;12500000;15000000;20000000;25000000;30000000;35000000;40000000;55000000;70000000;80000000;90000000;110000000;130000000;160000000;190000000;220000000;250000000;280000000;310000000;340000000;400000000})</f>
        <v>8000000</v>
      </c>
      <c r="J606" s="7" t="n">
        <f aca="false">I606*S606*T606*U606</f>
        <v>7020000</v>
      </c>
      <c r="K606" s="3"/>
      <c r="L606" s="3"/>
      <c r="M606" s="3"/>
      <c r="N606" s="9" t="n">
        <v>1</v>
      </c>
      <c r="O606" s="4" t="n">
        <v>0</v>
      </c>
      <c r="P606" s="5" t="n">
        <f aca="false">IF(COUNTIF([1]Base_Jugadores!J$2:J$500,B606)&gt;0,1,0)</f>
        <v>0</v>
      </c>
      <c r="Q606" s="10" t="b">
        <f aca="false">--(COUNTIFS(
   [1]Fichajes_Realizados!A$2:A$5000,A606,
   [1]Fichajes_Realizados!G$2:G$5000,$X$3
)&gt;0)</f>
        <v>0</v>
      </c>
      <c r="R606" s="5" t="n">
        <f aca="false">_xlfn.XLOOKUP(C606, [1]Estado_Equipos!A$2:A$500, [1]Estado_Equipos!J$2:J$500, "")</f>
        <v>72</v>
      </c>
      <c r="S606" s="5" t="n">
        <f aca="false">IF(H606&lt;=16,1.45,
IF(H606&gt;=41,0.3,
CHOOSE(ROUNDDOWN((H606-16)/2,0)+1,
1.45,1.38,1.3,1.23,1.17,1.15,1.12,1.05,0.95,0.8,0.6,0.4,0.3)))</f>
        <v>1.17</v>
      </c>
      <c r="T606" s="5" t="n">
        <f aca="false">CHOOSE(N606+1,1.2,1,0.85,0.7)</f>
        <v>1</v>
      </c>
      <c r="U606" s="5" t="n">
        <f aca="false">IF(F606="PO",0.6,
IF(F606="CT",0.75,
IF(F606="LI",0.8,
IF(F606="LD",0.8,
IF(F606="MCD",0.85,
IF(F606="MC",0.95,
IF(F606="MO",1.05,
IF(F606="EI",1.1,
IF(F606="ED",1.1,
IF(F606="SD",1.15,
IF(F606="DC",1.2,0)))))))))))</f>
        <v>0.75</v>
      </c>
    </row>
    <row r="607" customFormat="false" ht="16.4" hidden="false" customHeight="false" outlineLevel="0" collapsed="false">
      <c r="A607" s="1" t="n">
        <v>606</v>
      </c>
      <c r="B607" s="5" t="str">
        <f aca="false">[1]Base_Jugadores!B607</f>
        <v>Paris Maghoma</v>
      </c>
      <c r="C607" s="5" t="str">
        <f aca="false">IFERROR(
   _xlfn.XLOOKUP(VALUE(A607),[1]Fichajes_Realizados!A$2:A$50000,[1]Fichajes_Realizados!D$2:D$50000,,0,-1),
   _xlfn.XLOOKUP(VALUE(A607),[1]Base_Jugadores!A$2:A$50000,[1]Base_Jugadores!C$2:C$50000)
)</f>
        <v>Brentford FC</v>
      </c>
      <c r="D607" s="5" t="str">
        <f aca="false">[1]Base_Jugadores!D607</f>
        <v>Inglaterra</v>
      </c>
      <c r="E607" s="3"/>
      <c r="F607" s="5" t="str">
        <f aca="false">[1]Base_Jugadores!E607</f>
        <v>MC</v>
      </c>
      <c r="G607" s="5" t="n">
        <f aca="false">[1]Base_Jugadores!F607</f>
        <v>67</v>
      </c>
      <c r="H607" s="5" t="n">
        <f aca="false">[1]Base_Jugadores!G607</f>
        <v>24</v>
      </c>
      <c r="I607" s="7" t="n">
        <f aca="false" t="array" ref="I607:I607">_xlfn.XLOOKUP(G607,{55;56;57;58;59;60;61;62;63;64;65;66;67;68;69;70;71;72;73;74;75;76;77;78;79;80;81;82;83;84;85;86;87;88;89;90;91;92;93;94;95;96;97;98;99},{100000;130000;160000;190000;220000;250000;300000;350000;400000;450000;500000;600000;700000;800000;900000;1000000;1500000;2000000;3000000;4000000;5000000;6500000;8000000;10000000;12500000;15000000;20000000;25000000;30000000;35000000;40000000;55000000;70000000;80000000;90000000;110000000;130000000;160000000;190000000;220000000;250000000;280000000;310000000;340000000;400000000})</f>
        <v>700000</v>
      </c>
      <c r="J607" s="7" t="n">
        <f aca="false">I607*S607*T607*U607</f>
        <v>661342.5</v>
      </c>
      <c r="K607" s="3"/>
      <c r="L607" s="3"/>
      <c r="M607" s="3"/>
      <c r="N607" s="9" t="n">
        <v>2</v>
      </c>
      <c r="O607" s="4" t="n">
        <v>0</v>
      </c>
      <c r="P607" s="5" t="n">
        <f aca="false">IF(COUNTIF([1]Base_Jugadores!J$2:J$500,B607)&gt;0,1,0)</f>
        <v>0</v>
      </c>
      <c r="Q607" s="10" t="b">
        <f aca="false">--(COUNTIFS(
   [1]Fichajes_Realizados!A$2:A$5000,A607,
   [1]Fichajes_Realizados!G$2:G$5000,$X$3
)&gt;0)</f>
        <v>0</v>
      </c>
      <c r="R607" s="5" t="n">
        <f aca="false">_xlfn.XLOOKUP(C607, [1]Estado_Equipos!A$2:A$500, [1]Estado_Equipos!J$2:J$500, "")</f>
        <v>72</v>
      </c>
      <c r="S607" s="5" t="n">
        <f aca="false">IF(H607&lt;=16,1.45,
IF(H607&gt;=41,0.3,
CHOOSE(ROUNDDOWN((H607-16)/2,0)+1,
1.45,1.38,1.3,1.23,1.17,1.15,1.12,1.05,0.95,0.8,0.6,0.4,0.3)))</f>
        <v>1.17</v>
      </c>
      <c r="T607" s="5" t="n">
        <f aca="false">CHOOSE(N607+1,1.2,1,0.85,0.7)</f>
        <v>0.85</v>
      </c>
      <c r="U607" s="5" t="n">
        <f aca="false">IF(F607="PO",0.6,
IF(F607="CT",0.75,
IF(F607="LI",0.8,
IF(F607="LD",0.8,
IF(F607="MCD",0.85,
IF(F607="MC",0.95,
IF(F607="MO",1.05,
IF(F607="EI",1.1,
IF(F607="ED",1.1,
IF(F607="SD",1.15,
IF(F607="DC",1.2,0)))))))))))</f>
        <v>0.95</v>
      </c>
    </row>
    <row r="608" customFormat="false" ht="16.4" hidden="false" customHeight="false" outlineLevel="0" collapsed="false">
      <c r="A608" s="1" t="n">
        <v>607</v>
      </c>
      <c r="B608" s="5" t="str">
        <f aca="false">[1]Base_Jugadores!B608</f>
        <v>Reiss Nelson</v>
      </c>
      <c r="C608" s="5" t="str">
        <f aca="false">IFERROR(
   _xlfn.XLOOKUP(VALUE(A608),[1]Fichajes_Realizados!A$2:A$50000,[1]Fichajes_Realizados!D$2:D$50000,,0,-1),
   _xlfn.XLOOKUP(VALUE(A608),[1]Base_Jugadores!A$2:A$50000,[1]Base_Jugadores!C$2:C$50000)
)</f>
        <v>Brentford FC</v>
      </c>
      <c r="D608" s="5" t="str">
        <f aca="false">[1]Base_Jugadores!D608</f>
        <v>Inglaterra</v>
      </c>
      <c r="E608" s="3"/>
      <c r="F608" s="5" t="str">
        <f aca="false">[1]Base_Jugadores!E608</f>
        <v>EI</v>
      </c>
      <c r="G608" s="5" t="n">
        <f aca="false">[1]Base_Jugadores!F608</f>
        <v>77</v>
      </c>
      <c r="H608" s="5" t="n">
        <f aca="false">[1]Base_Jugadores!G608</f>
        <v>26</v>
      </c>
      <c r="I608" s="7" t="n">
        <f aca="false" t="array" ref="I608:I608">_xlfn.XLOOKUP(G608,{55;56;57;58;59;60;61;62;63;64;65;66;67;68;69;70;71;72;73;74;75;76;77;78;79;80;81;82;83;84;85;86;87;88;89;90;91;92;93;94;95;96;97;98;99},{100000;130000;160000;190000;220000;250000;300000;350000;400000;450000;500000;600000;700000;800000;900000;1000000;1500000;2000000;3000000;4000000;5000000;6500000;8000000;10000000;12500000;15000000;20000000;25000000;30000000;35000000;40000000;55000000;70000000;80000000;90000000;110000000;130000000;160000000;190000000;220000000;250000000;280000000;310000000;340000000;400000000})</f>
        <v>8000000</v>
      </c>
      <c r="J608" s="7" t="n">
        <f aca="false">I608*S608*T608*U608</f>
        <v>12144000</v>
      </c>
      <c r="K608" s="3"/>
      <c r="L608" s="3"/>
      <c r="M608" s="3"/>
      <c r="N608" s="9" t="n">
        <v>0</v>
      </c>
      <c r="O608" s="4" t="n">
        <v>0</v>
      </c>
      <c r="P608" s="5" t="n">
        <f aca="false">IF(COUNTIF([1]Base_Jugadores!J$2:J$500,B608)&gt;0,1,0)</f>
        <v>0</v>
      </c>
      <c r="Q608" s="10" t="b">
        <f aca="false">--(COUNTIFS(
   [1]Fichajes_Realizados!A$2:A$5000,A608,
   [1]Fichajes_Realizados!G$2:G$5000,$X$3
)&gt;0)</f>
        <v>0</v>
      </c>
      <c r="R608" s="5" t="n">
        <f aca="false">_xlfn.XLOOKUP(C608, [1]Estado_Equipos!A$2:A$500, [1]Estado_Equipos!J$2:J$500, "")</f>
        <v>72</v>
      </c>
      <c r="S608" s="5" t="n">
        <f aca="false">IF(H608&lt;=16,1.45,
IF(H608&gt;=41,0.3,
CHOOSE(ROUNDDOWN((H608-16)/2,0)+1,
1.45,1.38,1.3,1.23,1.17,1.15,1.12,1.05,0.95,0.8,0.6,0.4,0.3)))</f>
        <v>1.15</v>
      </c>
      <c r="T608" s="5" t="n">
        <f aca="false">CHOOSE(N608+1,1.2,1,0.85,0.7)</f>
        <v>1.2</v>
      </c>
      <c r="U608" s="5" t="n">
        <f aca="false">IF(F608="PO",0.6,
IF(F608="CT",0.75,
IF(F608="LI",0.8,
IF(F608="LD",0.8,
IF(F608="MCD",0.85,
IF(F608="MC",0.95,
IF(F608="MO",1.05,
IF(F608="EI",1.1,
IF(F608="ED",1.1,
IF(F608="SD",1.15,
IF(F608="DC",1.2,0)))))))))))</f>
        <v>1.1</v>
      </c>
    </row>
    <row r="609" customFormat="false" ht="16.4" hidden="false" customHeight="false" outlineLevel="0" collapsed="false">
      <c r="A609" s="1" t="n">
        <v>608</v>
      </c>
      <c r="B609" s="5" t="str">
        <f aca="false">[1]Base_Jugadores!B609</f>
        <v>Rico Henry</v>
      </c>
      <c r="C609" s="5" t="str">
        <f aca="false">IFERROR(
   _xlfn.XLOOKUP(VALUE(A609),[1]Fichajes_Realizados!A$2:A$50000,[1]Fichajes_Realizados!D$2:D$50000,,0,-1),
   _xlfn.XLOOKUP(VALUE(A609),[1]Base_Jugadores!A$2:A$50000,[1]Base_Jugadores!C$2:C$50000)
)</f>
        <v>Brentford FC</v>
      </c>
      <c r="D609" s="5" t="str">
        <f aca="false">[1]Base_Jugadores!D609</f>
        <v>Jamaica</v>
      </c>
      <c r="E609" s="3"/>
      <c r="F609" s="5" t="str">
        <f aca="false">[1]Base_Jugadores!E609</f>
        <v>LI</v>
      </c>
      <c r="G609" s="5" t="n">
        <f aca="false">[1]Base_Jugadores!F609</f>
        <v>78</v>
      </c>
      <c r="H609" s="5" t="n">
        <f aca="false">[1]Base_Jugadores!G609</f>
        <v>28</v>
      </c>
      <c r="I609" s="7" t="n">
        <f aca="false" t="array" ref="I609:I609">_xlfn.XLOOKUP(G609,{55;56;57;58;59;60;61;62;63;64;65;66;67;68;69;70;71;72;73;74;75;76;77;78;79;80;81;82;83;84;85;86;87;88;89;90;91;92;93;94;95;96;97;98;99},{100000;130000;160000;190000;220000;250000;300000;350000;400000;450000;500000;600000;700000;800000;900000;1000000;1500000;2000000;3000000;4000000;5000000;6500000;8000000;10000000;12500000;15000000;20000000;25000000;30000000;35000000;40000000;55000000;70000000;80000000;90000000;110000000;130000000;160000000;190000000;220000000;250000000;280000000;310000000;340000000;400000000})</f>
        <v>10000000</v>
      </c>
      <c r="J609" s="7" t="n">
        <f aca="false">I609*S609*T609*U609</f>
        <v>10752000</v>
      </c>
      <c r="K609" s="3"/>
      <c r="L609" s="3"/>
      <c r="M609" s="3"/>
      <c r="N609" s="9" t="n">
        <v>0</v>
      </c>
      <c r="O609" s="4" t="n">
        <v>0</v>
      </c>
      <c r="P609" s="5" t="n">
        <f aca="false">IF(COUNTIF([1]Base_Jugadores!J$2:J$500,B609)&gt;0,1,0)</f>
        <v>0</v>
      </c>
      <c r="Q609" s="10" t="b">
        <f aca="false">--(COUNTIFS(
   [1]Fichajes_Realizados!A$2:A$5000,A609,
   [1]Fichajes_Realizados!G$2:G$5000,$X$3
)&gt;0)</f>
        <v>0</v>
      </c>
      <c r="R609" s="5" t="n">
        <f aca="false">_xlfn.XLOOKUP(C609, [1]Estado_Equipos!A$2:A$500, [1]Estado_Equipos!J$2:J$500, "")</f>
        <v>72</v>
      </c>
      <c r="S609" s="5" t="n">
        <f aca="false">IF(H609&lt;=16,1.45,
IF(H609&gt;=41,0.3,
CHOOSE(ROUNDDOWN((H609-16)/2,0)+1,
1.45,1.38,1.3,1.23,1.17,1.15,1.12,1.05,0.95,0.8,0.6,0.4,0.3)))</f>
        <v>1.12</v>
      </c>
      <c r="T609" s="5" t="n">
        <f aca="false">CHOOSE(N609+1,1.2,1,0.85,0.7)</f>
        <v>1.2</v>
      </c>
      <c r="U609" s="5" t="n">
        <f aca="false">IF(F609="PO",0.6,
IF(F609="CT",0.75,
IF(F609="LI",0.8,
IF(F609="LD",0.8,
IF(F609="MCD",0.85,
IF(F609="MC",0.95,
IF(F609="MO",1.05,
IF(F609="EI",1.1,
IF(F609="ED",1.1,
IF(F609="SD",1.15,
IF(F609="DC",1.2,0)))))))))))</f>
        <v>0.8</v>
      </c>
    </row>
    <row r="610" customFormat="false" ht="16.4" hidden="false" customHeight="false" outlineLevel="0" collapsed="false">
      <c r="A610" s="1" t="n">
        <v>609</v>
      </c>
      <c r="B610" s="5" t="str">
        <f aca="false">[1]Base_Jugadores!B610</f>
        <v>Romelle Donovan</v>
      </c>
      <c r="C610" s="5" t="str">
        <f aca="false">IFERROR(
   _xlfn.XLOOKUP(VALUE(A610),[1]Fichajes_Realizados!A$2:A$50000,[1]Fichajes_Realizados!D$2:D$50000,,0,-1),
   _xlfn.XLOOKUP(VALUE(A610),[1]Base_Jugadores!A$2:A$50000,[1]Base_Jugadores!C$2:C$50000)
)</f>
        <v>Brentford FC</v>
      </c>
      <c r="D610" s="5" t="str">
        <f aca="false">[1]Base_Jugadores!D610</f>
        <v>Inglaterra</v>
      </c>
      <c r="E610" s="3"/>
      <c r="F610" s="5" t="str">
        <f aca="false">[1]Base_Jugadores!E610</f>
        <v>ED</v>
      </c>
      <c r="G610" s="5" t="n">
        <f aca="false">[1]Base_Jugadores!F610</f>
        <v>58</v>
      </c>
      <c r="H610" s="5" t="n">
        <f aca="false">[1]Base_Jugadores!G610</f>
        <v>19</v>
      </c>
      <c r="I610" s="7" t="n">
        <f aca="false" t="array" ref="I610:I610">_xlfn.XLOOKUP(G610,{55;56;57;58;59;60;61;62;63;64;65;66;67;68;69;70;71;72;73;74;75;76;77;78;79;80;81;82;83;84;85;86;87;88;89;90;91;92;93;94;95;96;97;98;99},{100000;130000;160000;190000;220000;250000;300000;350000;400000;450000;500000;600000;700000;800000;900000;1000000;1500000;2000000;3000000;4000000;5000000;6500000;8000000;10000000;12500000;15000000;20000000;25000000;30000000;35000000;40000000;55000000;70000000;80000000;90000000;110000000;130000000;160000000;190000000;220000000;250000000;280000000;310000000;340000000;400000000})</f>
        <v>190000</v>
      </c>
      <c r="J610" s="7" t="n">
        <f aca="false">I610*S610*T610*U610</f>
        <v>245157</v>
      </c>
      <c r="K610" s="3"/>
      <c r="L610" s="3"/>
      <c r="M610" s="3"/>
      <c r="N610" s="9" t="n">
        <v>2</v>
      </c>
      <c r="O610" s="4" t="n">
        <v>1</v>
      </c>
      <c r="P610" s="5" t="n">
        <f aca="false">IF(COUNTIF([1]Base_Jugadores!J$2:J$500,B610)&gt;0,1,0)</f>
        <v>0</v>
      </c>
      <c r="Q610" s="10" t="b">
        <f aca="false">--(COUNTIFS(
   [1]Fichajes_Realizados!A$2:A$5000,A610,
   [1]Fichajes_Realizados!G$2:G$5000,$X$3
)&gt;0)</f>
        <v>0</v>
      </c>
      <c r="R610" s="5" t="n">
        <f aca="false">_xlfn.XLOOKUP(C610, [1]Estado_Equipos!A$2:A$500, [1]Estado_Equipos!J$2:J$500, "")</f>
        <v>72</v>
      </c>
      <c r="S610" s="5" t="n">
        <f aca="false">IF(H610&lt;=16,1.45,
IF(H610&gt;=41,0.3,
CHOOSE(ROUNDDOWN((H610-16)/2,0)+1,
1.45,1.38,1.3,1.23,1.17,1.15,1.12,1.05,0.95,0.8,0.6,0.4,0.3)))</f>
        <v>1.38</v>
      </c>
      <c r="T610" s="5" t="n">
        <f aca="false">CHOOSE(N610+1,1.2,1,0.85,0.7)</f>
        <v>0.85</v>
      </c>
      <c r="U610" s="5" t="n">
        <f aca="false">IF(F610="PO",0.6,
IF(F610="CT",0.75,
IF(F610="LI",0.8,
IF(F610="LD",0.8,
IF(F610="MCD",0.85,
IF(F610="MC",0.95,
IF(F610="MO",1.05,
IF(F610="EI",1.1,
IF(F610="ED",1.1,
IF(F610="SD",1.15,
IF(F610="DC",1.2,0)))))))))))</f>
        <v>1.1</v>
      </c>
    </row>
    <row r="611" customFormat="false" ht="16.4" hidden="false" customHeight="false" outlineLevel="0" collapsed="false">
      <c r="A611" s="1" t="n">
        <v>610</v>
      </c>
      <c r="B611" s="5" t="str">
        <f aca="false">[1]Base_Jugadores!B611</f>
        <v>S. van den Berg</v>
      </c>
      <c r="C611" s="5" t="str">
        <f aca="false">IFERROR(
   _xlfn.XLOOKUP(VALUE(A611),[1]Fichajes_Realizados!A$2:A$50000,[1]Fichajes_Realizados!D$2:D$50000,,0,-1),
   _xlfn.XLOOKUP(VALUE(A611),[1]Base_Jugadores!A$2:A$50000,[1]Base_Jugadores!C$2:C$50000)
)</f>
        <v>Brentford FC</v>
      </c>
      <c r="D611" s="5" t="str">
        <f aca="false">[1]Base_Jugadores!D611</f>
        <v>Países Bajos</v>
      </c>
      <c r="E611" s="3"/>
      <c r="F611" s="5" t="str">
        <f aca="false">[1]Base_Jugadores!E611</f>
        <v>CT</v>
      </c>
      <c r="G611" s="5" t="n">
        <f aca="false">[1]Base_Jugadores!F611</f>
        <v>77</v>
      </c>
      <c r="H611" s="5" t="n">
        <f aca="false">[1]Base_Jugadores!G611</f>
        <v>24</v>
      </c>
      <c r="I611" s="7" t="n">
        <f aca="false" t="array" ref="I611:I611">_xlfn.XLOOKUP(G611,{55;56;57;58;59;60;61;62;63;64;65;66;67;68;69;70;71;72;73;74;75;76;77;78;79;80;81;82;83;84;85;86;87;88;89;90;91;92;93;94;95;96;97;98;99},{100000;130000;160000;190000;220000;250000;300000;350000;400000;450000;500000;600000;700000;800000;900000;1000000;1500000;2000000;3000000;4000000;5000000;6500000;8000000;10000000;12500000;15000000;20000000;25000000;30000000;35000000;40000000;55000000;70000000;80000000;90000000;110000000;130000000;160000000;190000000;220000000;250000000;280000000;310000000;340000000;400000000})</f>
        <v>8000000</v>
      </c>
      <c r="J611" s="7" t="n">
        <f aca="false">I611*S611*T611*U611</f>
        <v>8424000</v>
      </c>
      <c r="K611" s="3"/>
      <c r="L611" s="3"/>
      <c r="M611" s="3"/>
      <c r="N611" s="9" t="n">
        <v>0</v>
      </c>
      <c r="O611" s="4" t="n">
        <v>0</v>
      </c>
      <c r="P611" s="5" t="n">
        <f aca="false">IF(COUNTIF([1]Base_Jugadores!J$2:J$500,B611)&gt;0,1,0)</f>
        <v>0</v>
      </c>
      <c r="Q611" s="10" t="b">
        <f aca="false">--(COUNTIFS(
   [1]Fichajes_Realizados!A$2:A$5000,A611,
   [1]Fichajes_Realizados!G$2:G$5000,$X$3
)&gt;0)</f>
        <v>0</v>
      </c>
      <c r="R611" s="5" t="n">
        <f aca="false">_xlfn.XLOOKUP(C611, [1]Estado_Equipos!A$2:A$500, [1]Estado_Equipos!J$2:J$500, "")</f>
        <v>72</v>
      </c>
      <c r="S611" s="5" t="n">
        <f aca="false">IF(H611&lt;=16,1.45,
IF(H611&gt;=41,0.3,
CHOOSE(ROUNDDOWN((H611-16)/2,0)+1,
1.45,1.38,1.3,1.23,1.17,1.15,1.12,1.05,0.95,0.8,0.6,0.4,0.3)))</f>
        <v>1.17</v>
      </c>
      <c r="T611" s="5" t="n">
        <f aca="false">CHOOSE(N611+1,1.2,1,0.85,0.7)</f>
        <v>1.2</v>
      </c>
      <c r="U611" s="5" t="n">
        <f aca="false">IF(F611="PO",0.6,
IF(F611="CT",0.75,
IF(F611="LI",0.8,
IF(F611="LD",0.8,
IF(F611="MCD",0.85,
IF(F611="MC",0.95,
IF(F611="MO",1.05,
IF(F611="EI",1.1,
IF(F611="ED",1.1,
IF(F611="SD",1.15,
IF(F611="DC",1.2,0)))))))))))</f>
        <v>0.75</v>
      </c>
    </row>
    <row r="612" customFormat="false" ht="16.4" hidden="false" customHeight="false" outlineLevel="0" collapsed="false">
      <c r="A612" s="1" t="n">
        <v>611</v>
      </c>
      <c r="B612" s="5" t="str">
        <f aca="false">[1]Base_Jugadores!B612</f>
        <v>Vitaly Janelt</v>
      </c>
      <c r="C612" s="5" t="str">
        <f aca="false">IFERROR(
   _xlfn.XLOOKUP(VALUE(A612),[1]Fichajes_Realizados!A$2:A$50000,[1]Fichajes_Realizados!D$2:D$50000,,0,-1),
   _xlfn.XLOOKUP(VALUE(A612),[1]Base_Jugadores!A$2:A$50000,[1]Base_Jugadores!C$2:C$50000)
)</f>
        <v>Brentford FC</v>
      </c>
      <c r="D612" s="5" t="str">
        <f aca="false">[1]Base_Jugadores!D612</f>
        <v>Alemania</v>
      </c>
      <c r="E612" s="3"/>
      <c r="F612" s="5" t="str">
        <f aca="false">[1]Base_Jugadores!E612</f>
        <v>MCD</v>
      </c>
      <c r="G612" s="5" t="n">
        <f aca="false">[1]Base_Jugadores!F612</f>
        <v>76</v>
      </c>
      <c r="H612" s="5" t="n">
        <f aca="false">[1]Base_Jugadores!G612</f>
        <v>27</v>
      </c>
      <c r="I612" s="7" t="n">
        <f aca="false" t="array" ref="I612:I612">_xlfn.XLOOKUP(G612,{55;56;57;58;59;60;61;62;63;64;65;66;67;68;69;70;71;72;73;74;75;76;77;78;79;80;81;82;83;84;85;86;87;88;89;90;91;92;93;94;95;96;97;98;99},{100000;130000;160000;190000;220000;250000;300000;350000;400000;450000;500000;600000;700000;800000;900000;1000000;1500000;2000000;3000000;4000000;5000000;6500000;8000000;10000000;12500000;15000000;20000000;25000000;30000000;35000000;40000000;55000000;70000000;80000000;90000000;110000000;130000000;160000000;190000000;220000000;250000000;280000000;310000000;340000000;400000000})</f>
        <v>6500000</v>
      </c>
      <c r="J612" s="7" t="n">
        <f aca="false">I612*S612*T612*U612</f>
        <v>6353750</v>
      </c>
      <c r="K612" s="3"/>
      <c r="L612" s="3"/>
      <c r="M612" s="3"/>
      <c r="N612" s="9" t="n">
        <v>1</v>
      </c>
      <c r="O612" s="4" t="n">
        <v>0</v>
      </c>
      <c r="P612" s="5" t="n">
        <f aca="false">IF(COUNTIF([1]Base_Jugadores!J$2:J$500,B612)&gt;0,1,0)</f>
        <v>0</v>
      </c>
      <c r="Q612" s="10" t="b">
        <f aca="false">--(COUNTIFS(
   [1]Fichajes_Realizados!A$2:A$5000,A612,
   [1]Fichajes_Realizados!G$2:G$5000,$X$3
)&gt;0)</f>
        <v>0</v>
      </c>
      <c r="R612" s="5" t="n">
        <f aca="false">_xlfn.XLOOKUP(C612, [1]Estado_Equipos!A$2:A$500, [1]Estado_Equipos!J$2:J$500, "")</f>
        <v>72</v>
      </c>
      <c r="S612" s="5" t="n">
        <f aca="false">IF(H612&lt;=16,1.45,
IF(H612&gt;=41,0.3,
CHOOSE(ROUNDDOWN((H612-16)/2,0)+1,
1.45,1.38,1.3,1.23,1.17,1.15,1.12,1.05,0.95,0.8,0.6,0.4,0.3)))</f>
        <v>1.15</v>
      </c>
      <c r="T612" s="5" t="n">
        <f aca="false">CHOOSE(N612+1,1.2,1,0.85,0.7)</f>
        <v>1</v>
      </c>
      <c r="U612" s="5" t="n">
        <f aca="false">IF(F612="PO",0.6,
IF(F612="CT",0.75,
IF(F612="LI",0.8,
IF(F612="LD",0.8,
IF(F612="MCD",0.85,
IF(F612="MC",0.95,
IF(F612="MO",1.05,
IF(F612="EI",1.1,
IF(F612="ED",1.1,
IF(F612="SD",1.15,
IF(F612="DC",1.2,0)))))))))))</f>
        <v>0.85</v>
      </c>
    </row>
    <row r="613" customFormat="false" ht="16.4" hidden="false" customHeight="false" outlineLevel="0" collapsed="false">
      <c r="A613" s="1" t="n">
        <v>612</v>
      </c>
      <c r="B613" s="5" t="str">
        <f aca="false">[1]Base_Jugadores!B613</f>
        <v>Yegor Yarmolyuk</v>
      </c>
      <c r="C613" s="5" t="str">
        <f aca="false">IFERROR(
   _xlfn.XLOOKUP(VALUE(A613),[1]Fichajes_Realizados!A$2:A$50000,[1]Fichajes_Realizados!D$2:D$50000,,0,-1),
   _xlfn.XLOOKUP(VALUE(A613),[1]Base_Jugadores!A$2:A$50000,[1]Base_Jugadores!C$2:C$50000)
)</f>
        <v>Brentford FC</v>
      </c>
      <c r="D613" s="5" t="str">
        <f aca="false">[1]Base_Jugadores!D613</f>
        <v>Ucrania</v>
      </c>
      <c r="E613" s="3"/>
      <c r="F613" s="5" t="str">
        <f aca="false">[1]Base_Jugadores!E613</f>
        <v>MC</v>
      </c>
      <c r="G613" s="5" t="n">
        <f aca="false">[1]Base_Jugadores!F613</f>
        <v>68</v>
      </c>
      <c r="H613" s="5" t="n">
        <f aca="false">[1]Base_Jugadores!G613</f>
        <v>21</v>
      </c>
      <c r="I613" s="7" t="n">
        <f aca="false" t="array" ref="I613:I613">_xlfn.XLOOKUP(G613,{55;56;57;58;59;60;61;62;63;64;65;66;67;68;69;70;71;72;73;74;75;76;77;78;79;80;81;82;83;84;85;86;87;88;89;90;91;92;93;94;95;96;97;98;99},{100000;130000;160000;190000;220000;250000;300000;350000;400000;450000;500000;600000;700000;800000;900000;1000000;1500000;2000000;3000000;4000000;5000000;6500000;8000000;10000000;12500000;15000000;20000000;25000000;30000000;35000000;40000000;55000000;70000000;80000000;90000000;110000000;130000000;160000000;190000000;220000000;250000000;280000000;310000000;340000000;400000000})</f>
        <v>800000</v>
      </c>
      <c r="J613" s="7" t="n">
        <f aca="false">I613*S613*T613*U613</f>
        <v>839800</v>
      </c>
      <c r="K613" s="3"/>
      <c r="L613" s="3"/>
      <c r="M613" s="3"/>
      <c r="N613" s="9" t="n">
        <v>2</v>
      </c>
      <c r="O613" s="4" t="n">
        <v>1</v>
      </c>
      <c r="P613" s="5" t="n">
        <f aca="false">IF(COUNTIF([1]Base_Jugadores!J$2:J$500,B613)&gt;0,1,0)</f>
        <v>0</v>
      </c>
      <c r="Q613" s="10" t="b">
        <f aca="false">--(COUNTIFS(
   [1]Fichajes_Realizados!A$2:A$5000,A613,
   [1]Fichajes_Realizados!G$2:G$5000,$X$3
)&gt;0)</f>
        <v>0</v>
      </c>
      <c r="R613" s="5" t="n">
        <f aca="false">_xlfn.XLOOKUP(C613, [1]Estado_Equipos!A$2:A$500, [1]Estado_Equipos!J$2:J$500, "")</f>
        <v>72</v>
      </c>
      <c r="S613" s="5" t="n">
        <f aca="false">IF(H613&lt;=16,1.45,
IF(H613&gt;=41,0.3,
CHOOSE(ROUNDDOWN((H613-16)/2,0)+1,
1.45,1.38,1.3,1.23,1.17,1.15,1.12,1.05,0.95,0.8,0.6,0.4,0.3)))</f>
        <v>1.3</v>
      </c>
      <c r="T613" s="5" t="n">
        <f aca="false">CHOOSE(N613+1,1.2,1,0.85,0.7)</f>
        <v>0.85</v>
      </c>
      <c r="U613" s="5" t="n">
        <f aca="false">IF(F613="PO",0.6,
IF(F613="CT",0.75,
IF(F613="LI",0.8,
IF(F613="LD",0.8,
IF(F613="MCD",0.85,
IF(F613="MC",0.95,
IF(F613="MO",1.05,
IF(F613="EI",1.1,
IF(F613="ED",1.1,
IF(F613="SD",1.15,
IF(F613="DC",1.2,0)))))))))))</f>
        <v>0.95</v>
      </c>
    </row>
    <row r="614" customFormat="false" ht="16.4" hidden="false" customHeight="false" outlineLevel="0" collapsed="false">
      <c r="A614" s="1" t="n">
        <v>613</v>
      </c>
      <c r="B614" s="5" t="str">
        <f aca="false">[1]Base_Jugadores!B614</f>
        <v>Yunus Konak</v>
      </c>
      <c r="C614" s="5" t="str">
        <f aca="false">IFERROR(
   _xlfn.XLOOKUP(VALUE(A614),[1]Fichajes_Realizados!A$2:A$50000,[1]Fichajes_Realizados!D$2:D$50000,,0,-1),
   _xlfn.XLOOKUP(VALUE(A614),[1]Base_Jugadores!A$2:A$50000,[1]Base_Jugadores!C$2:C$50000)
)</f>
        <v>Brentford FC</v>
      </c>
      <c r="D614" s="5" t="str">
        <f aca="false">[1]Base_Jugadores!D614</f>
        <v>Turquía</v>
      </c>
      <c r="E614" s="3"/>
      <c r="F614" s="5" t="str">
        <f aca="false">[1]Base_Jugadores!E614</f>
        <v>MCD</v>
      </c>
      <c r="G614" s="5" t="n">
        <f aca="false">[1]Base_Jugadores!F614</f>
        <v>62</v>
      </c>
      <c r="H614" s="5" t="n">
        <f aca="false">[1]Base_Jugadores!G614</f>
        <v>19</v>
      </c>
      <c r="I614" s="7" t="n">
        <f aca="false" t="array" ref="I614:I614">_xlfn.XLOOKUP(G614,{55;56;57;58;59;60;61;62;63;64;65;66;67;68;69;70;71;72;73;74;75;76;77;78;79;80;81;82;83;84;85;86;87;88;89;90;91;92;93;94;95;96;97;98;99},{100000;130000;160000;190000;220000;250000;300000;350000;400000;450000;500000;600000;700000;800000;900000;1000000;1500000;2000000;3000000;4000000;5000000;6500000;8000000;10000000;12500000;15000000;20000000;25000000;30000000;35000000;40000000;55000000;70000000;80000000;90000000;110000000;130000000;160000000;190000000;220000000;250000000;280000000;310000000;340000000;400000000})</f>
        <v>350000</v>
      </c>
      <c r="J614" s="7" t="n">
        <f aca="false">I614*S614*T614*U614</f>
        <v>348967.5</v>
      </c>
      <c r="K614" s="3"/>
      <c r="L614" s="3"/>
      <c r="M614" s="3"/>
      <c r="N614" s="9" t="n">
        <v>2</v>
      </c>
      <c r="O614" s="4" t="n">
        <v>1</v>
      </c>
      <c r="P614" s="5" t="n">
        <f aca="false">IF(COUNTIF([1]Base_Jugadores!J$2:J$500,B614)&gt;0,1,0)</f>
        <v>0</v>
      </c>
      <c r="Q614" s="10" t="b">
        <f aca="false">--(COUNTIFS(
   [1]Fichajes_Realizados!A$2:A$5000,A614,
   [1]Fichajes_Realizados!G$2:G$5000,$X$3
)&gt;0)</f>
        <v>0</v>
      </c>
      <c r="R614" s="5" t="n">
        <f aca="false">_xlfn.XLOOKUP(C614, [1]Estado_Equipos!A$2:A$500, [1]Estado_Equipos!J$2:J$500, "")</f>
        <v>72</v>
      </c>
      <c r="S614" s="5" t="n">
        <f aca="false">IF(H614&lt;=16,1.45,
IF(H614&gt;=41,0.3,
CHOOSE(ROUNDDOWN((H614-16)/2,0)+1,
1.45,1.38,1.3,1.23,1.17,1.15,1.12,1.05,0.95,0.8,0.6,0.4,0.3)))</f>
        <v>1.38</v>
      </c>
      <c r="T614" s="5" t="n">
        <f aca="false">CHOOSE(N614+1,1.2,1,0.85,0.7)</f>
        <v>0.85</v>
      </c>
      <c r="U614" s="5" t="n">
        <f aca="false">IF(F614="PO",0.6,
IF(F614="CT",0.75,
IF(F614="LI",0.8,
IF(F614="LD",0.8,
IF(F614="MCD",0.85,
IF(F614="MC",0.95,
IF(F614="MO",1.05,
IF(F614="EI",1.1,
IF(F614="ED",1.1,
IF(F614="SD",1.15,
IF(F614="DC",1.2,0)))))))))))</f>
        <v>0.85</v>
      </c>
    </row>
    <row r="615" customFormat="false" ht="16.4" hidden="false" customHeight="false" outlineLevel="0" collapsed="false">
      <c r="A615" s="1" t="n">
        <v>614</v>
      </c>
      <c r="B615" s="5" t="str">
        <f aca="false">[1]Base_Jugadores!B615</f>
        <v>Adam Webster</v>
      </c>
      <c r="C615" s="5" t="str">
        <f aca="false">IFERROR(
   _xlfn.XLOOKUP(VALUE(A615),[1]Fichajes_Realizados!A$2:A$50000,[1]Fichajes_Realizados!D$2:D$50000,,0,-1),
   _xlfn.XLOOKUP(VALUE(A615),[1]Base_Jugadores!A$2:A$50000,[1]Base_Jugadores!C$2:C$50000)
)</f>
        <v>Brighton &amp; Hove Albion</v>
      </c>
      <c r="D615" s="5" t="str">
        <f aca="false">[1]Base_Jugadores!D615</f>
        <v>Inglaterra</v>
      </c>
      <c r="E615" s="3"/>
      <c r="F615" s="5" t="str">
        <f aca="false">[1]Base_Jugadores!E615</f>
        <v>CT</v>
      </c>
      <c r="G615" s="5" t="n">
        <f aca="false">[1]Base_Jugadores!F615</f>
        <v>76</v>
      </c>
      <c r="H615" s="5" t="n">
        <f aca="false">[1]Base_Jugadores!G615</f>
        <v>30</v>
      </c>
      <c r="I615" s="7" t="n">
        <f aca="false" t="array" ref="I615:I615">_xlfn.XLOOKUP(G615,{55;56;57;58;59;60;61;62;63;64;65;66;67;68;69;70;71;72;73;74;75;76;77;78;79;80;81;82;83;84;85;86;87;88;89;90;91;92;93;94;95;96;97;98;99},{100000;130000;160000;190000;220000;250000;300000;350000;400000;450000;500000;600000;700000;800000;900000;1000000;1500000;2000000;3000000;4000000;5000000;6500000;8000000;10000000;12500000;15000000;20000000;25000000;30000000;35000000;40000000;55000000;70000000;80000000;90000000;110000000;130000000;160000000;190000000;220000000;250000000;280000000;310000000;340000000;400000000})</f>
        <v>6500000</v>
      </c>
      <c r="J615" s="7" t="n">
        <f aca="false">I615*S615*T615*U615</f>
        <v>5118750</v>
      </c>
      <c r="K615" s="3"/>
      <c r="L615" s="3"/>
      <c r="M615" s="3"/>
      <c r="N615" s="9" t="n">
        <v>1</v>
      </c>
      <c r="O615" s="4" t="n">
        <v>0</v>
      </c>
      <c r="P615" s="5" t="n">
        <f aca="false">IF(COUNTIF([1]Base_Jugadores!J$2:J$500,B615)&gt;0,1,0)</f>
        <v>0</v>
      </c>
      <c r="Q615" s="10" t="b">
        <f aca="false">--(COUNTIFS(
   [1]Fichajes_Realizados!A$2:A$5000,A615,
   [1]Fichajes_Realizados!G$2:G$5000,$X$3
)&gt;0)</f>
        <v>0</v>
      </c>
      <c r="R615" s="5" t="n">
        <f aca="false">_xlfn.XLOOKUP(C615, [1]Estado_Equipos!A$2:A$500, [1]Estado_Equipos!J$2:J$500, "")</f>
        <v>76</v>
      </c>
      <c r="S615" s="5" t="n">
        <f aca="false">IF(H615&lt;=16,1.45,
IF(H615&gt;=41,0.3,
CHOOSE(ROUNDDOWN((H615-16)/2,0)+1,
1.45,1.38,1.3,1.23,1.17,1.15,1.12,1.05,0.95,0.8,0.6,0.4,0.3)))</f>
        <v>1.05</v>
      </c>
      <c r="T615" s="5" t="n">
        <f aca="false">CHOOSE(N615+1,1.2,1,0.85,0.7)</f>
        <v>1</v>
      </c>
      <c r="U615" s="5" t="n">
        <f aca="false">IF(F615="PO",0.6,
IF(F615="CT",0.75,
IF(F615="LI",0.8,
IF(F615="LD",0.8,
IF(F615="MCD",0.85,
IF(F615="MC",0.95,
IF(F615="MO",1.05,
IF(F615="EI",1.1,
IF(F615="ED",1.1,
IF(F615="SD",1.15,
IF(F615="DC",1.2,0)))))))))))</f>
        <v>0.75</v>
      </c>
    </row>
    <row r="616" customFormat="false" ht="16.4" hidden="false" customHeight="false" outlineLevel="0" collapsed="false">
      <c r="A616" s="1" t="n">
        <v>615</v>
      </c>
      <c r="B616" s="5" t="str">
        <f aca="false">[1]Base_Jugadores!B616</f>
        <v>Bart Verbruggen</v>
      </c>
      <c r="C616" s="5" t="str">
        <f aca="false">IFERROR(
   _xlfn.XLOOKUP(VALUE(A616),[1]Fichajes_Realizados!A$2:A$50000,[1]Fichajes_Realizados!D$2:D$50000,,0,-1),
   _xlfn.XLOOKUP(VALUE(A616),[1]Base_Jugadores!A$2:A$50000,[1]Base_Jugadores!C$2:C$50000)
)</f>
        <v>Brighton &amp; Hove Albion</v>
      </c>
      <c r="D616" s="5" t="str">
        <f aca="false">[1]Base_Jugadores!D616</f>
        <v>Países Bajos</v>
      </c>
      <c r="E616" s="3"/>
      <c r="F616" s="5" t="str">
        <f aca="false">[1]Base_Jugadores!E616</f>
        <v>PO</v>
      </c>
      <c r="G616" s="5" t="n">
        <f aca="false">[1]Base_Jugadores!F616</f>
        <v>77</v>
      </c>
      <c r="H616" s="5" t="n">
        <f aca="false">[1]Base_Jugadores!G616</f>
        <v>23</v>
      </c>
      <c r="I616" s="7" t="n">
        <f aca="false" t="array" ref="I616:I616">_xlfn.XLOOKUP(G616,{55;56;57;58;59;60;61;62;63;64;65;66;67;68;69;70;71;72;73;74;75;76;77;78;79;80;81;82;83;84;85;86;87;88;89;90;91;92;93;94;95;96;97;98;99},{100000;130000;160000;190000;220000;250000;300000;350000;400000;450000;500000;600000;700000;800000;900000;1000000;1500000;2000000;3000000;4000000;5000000;6500000;8000000;10000000;12500000;15000000;20000000;25000000;30000000;35000000;40000000;55000000;70000000;80000000;90000000;110000000;130000000;160000000;190000000;220000000;250000000;280000000;310000000;340000000;400000000})</f>
        <v>8000000</v>
      </c>
      <c r="J616" s="7" t="n">
        <f aca="false">I616*S616*T616*U616</f>
        <v>7084800</v>
      </c>
      <c r="K616" s="3"/>
      <c r="L616" s="3"/>
      <c r="M616" s="3"/>
      <c r="N616" s="9" t="n">
        <v>0</v>
      </c>
      <c r="O616" s="4" t="n">
        <v>0</v>
      </c>
      <c r="P616" s="5" t="n">
        <f aca="false">IF(COUNTIF([1]Base_Jugadores!J$2:J$500,B616)&gt;0,1,0)</f>
        <v>0</v>
      </c>
      <c r="Q616" s="10" t="b">
        <f aca="false">--(COUNTIFS(
   [1]Fichajes_Realizados!A$2:A$5000,A616,
   [1]Fichajes_Realizados!G$2:G$5000,$X$3
)&gt;0)</f>
        <v>0</v>
      </c>
      <c r="R616" s="5" t="n">
        <f aca="false">_xlfn.XLOOKUP(C616, [1]Estado_Equipos!A$2:A$500, [1]Estado_Equipos!J$2:J$500, "")</f>
        <v>76</v>
      </c>
      <c r="S616" s="5" t="n">
        <f aca="false">IF(H616&lt;=16,1.45,
IF(H616&gt;=41,0.3,
CHOOSE(ROUNDDOWN((H616-16)/2,0)+1,
1.45,1.38,1.3,1.23,1.17,1.15,1.12,1.05,0.95,0.8,0.6,0.4,0.3)))</f>
        <v>1.23</v>
      </c>
      <c r="T616" s="5" t="n">
        <f aca="false">CHOOSE(N616+1,1.2,1,0.85,0.7)</f>
        <v>1.2</v>
      </c>
      <c r="U616" s="5" t="n">
        <f aca="false">IF(F616="PO",0.6,
IF(F616="CT",0.75,
IF(F616="LI",0.8,
IF(F616="LD",0.8,
IF(F616="MCD",0.85,
IF(F616="MC",0.95,
IF(F616="MO",1.05,
IF(F616="EI",1.1,
IF(F616="ED",1.1,
IF(F616="SD",1.15,
IF(F616="DC",1.2,0)))))))))))</f>
        <v>0.6</v>
      </c>
    </row>
    <row r="617" customFormat="false" ht="16.4" hidden="false" customHeight="false" outlineLevel="0" collapsed="false">
      <c r="A617" s="1" t="n">
        <v>616</v>
      </c>
      <c r="B617" s="5" t="str">
        <f aca="false">[1]Base_Jugadores!B617</f>
        <v>Brajan Gruda</v>
      </c>
      <c r="C617" s="5" t="str">
        <f aca="false">IFERROR(
   _xlfn.XLOOKUP(VALUE(A617),[1]Fichajes_Realizados!A$2:A$50000,[1]Fichajes_Realizados!D$2:D$50000,,0,-1),
   _xlfn.XLOOKUP(VALUE(A617),[1]Base_Jugadores!A$2:A$50000,[1]Base_Jugadores!C$2:C$50000)
)</f>
        <v>Brighton &amp; Hove Albion</v>
      </c>
      <c r="D617" s="5" t="str">
        <f aca="false">[1]Base_Jugadores!D617</f>
        <v>Alemania</v>
      </c>
      <c r="E617" s="3"/>
      <c r="F617" s="5" t="str">
        <f aca="false">[1]Base_Jugadores!E617</f>
        <v>MO</v>
      </c>
      <c r="G617" s="5" t="n">
        <f aca="false">[1]Base_Jugadores!F617</f>
        <v>73</v>
      </c>
      <c r="H617" s="5" t="n">
        <f aca="false">[1]Base_Jugadores!G617</f>
        <v>21</v>
      </c>
      <c r="I617" s="7" t="n">
        <f aca="false" t="array" ref="I617:I617">_xlfn.XLOOKUP(G617,{55;56;57;58;59;60;61;62;63;64;65;66;67;68;69;70;71;72;73;74;75;76;77;78;79;80;81;82;83;84;85;86;87;88;89;90;91;92;93;94;95;96;97;98;99},{100000;130000;160000;190000;220000;250000;300000;350000;400000;450000;500000;600000;700000;800000;900000;1000000;1500000;2000000;3000000;4000000;5000000;6500000;8000000;10000000;12500000;15000000;20000000;25000000;30000000;35000000;40000000;55000000;70000000;80000000;90000000;110000000;130000000;160000000;190000000;220000000;250000000;280000000;310000000;340000000;400000000})</f>
        <v>3000000</v>
      </c>
      <c r="J617" s="7" t="n">
        <f aca="false">I617*S617*T617*U617</f>
        <v>3480750</v>
      </c>
      <c r="K617" s="3"/>
      <c r="L617" s="3"/>
      <c r="M617" s="3"/>
      <c r="N617" s="9" t="n">
        <v>2</v>
      </c>
      <c r="O617" s="4" t="n">
        <v>0</v>
      </c>
      <c r="P617" s="5" t="n">
        <f aca="false">IF(COUNTIF([1]Base_Jugadores!J$2:J$500,B617)&gt;0,1,0)</f>
        <v>0</v>
      </c>
      <c r="Q617" s="10" t="b">
        <f aca="false">--(COUNTIFS(
   [1]Fichajes_Realizados!A$2:A$5000,A617,
   [1]Fichajes_Realizados!G$2:G$5000,$X$3
)&gt;0)</f>
        <v>0</v>
      </c>
      <c r="R617" s="5" t="n">
        <f aca="false">_xlfn.XLOOKUP(C617, [1]Estado_Equipos!A$2:A$500, [1]Estado_Equipos!J$2:J$500, "")</f>
        <v>76</v>
      </c>
      <c r="S617" s="5" t="n">
        <f aca="false">IF(H617&lt;=16,1.45,
IF(H617&gt;=41,0.3,
CHOOSE(ROUNDDOWN((H617-16)/2,0)+1,
1.45,1.38,1.3,1.23,1.17,1.15,1.12,1.05,0.95,0.8,0.6,0.4,0.3)))</f>
        <v>1.3</v>
      </c>
      <c r="T617" s="5" t="n">
        <f aca="false">CHOOSE(N617+1,1.2,1,0.85,0.7)</f>
        <v>0.85</v>
      </c>
      <c r="U617" s="5" t="n">
        <f aca="false">IF(F617="PO",0.6,
IF(F617="CT",0.75,
IF(F617="LI",0.8,
IF(F617="LD",0.8,
IF(F617="MCD",0.85,
IF(F617="MC",0.95,
IF(F617="MO",1.05,
IF(F617="EI",1.1,
IF(F617="ED",1.1,
IF(F617="SD",1.15,
IF(F617="DC",1.2,0)))))))))))</f>
        <v>1.05</v>
      </c>
    </row>
    <row r="618" customFormat="false" ht="16.4" hidden="false" customHeight="false" outlineLevel="0" collapsed="false">
      <c r="A618" s="1" t="n">
        <v>617</v>
      </c>
      <c r="B618" s="5" t="str">
        <f aca="false">[1]Base_Jugadores!B618</f>
        <v>C. Kostoulas</v>
      </c>
      <c r="C618" s="5" t="str">
        <f aca="false">IFERROR(
   _xlfn.XLOOKUP(VALUE(A618),[1]Fichajes_Realizados!A$2:A$50000,[1]Fichajes_Realizados!D$2:D$50000,,0,-1),
   _xlfn.XLOOKUP(VALUE(A618),[1]Base_Jugadores!A$2:A$50000,[1]Base_Jugadores!C$2:C$50000)
)</f>
        <v>Brighton &amp; Hove Albion</v>
      </c>
      <c r="D618" s="5" t="str">
        <f aca="false">[1]Base_Jugadores!D618</f>
        <v>Grecia</v>
      </c>
      <c r="E618" s="3"/>
      <c r="F618" s="5" t="str">
        <f aca="false">[1]Base_Jugadores!E618</f>
        <v>DC</v>
      </c>
      <c r="G618" s="5" t="n">
        <f aca="false">[1]Base_Jugadores!F618</f>
        <v>70</v>
      </c>
      <c r="H618" s="5" t="n">
        <f aca="false">[1]Base_Jugadores!G618</f>
        <v>18</v>
      </c>
      <c r="I618" s="7" t="n">
        <f aca="false" t="array" ref="I618:I618">_xlfn.XLOOKUP(G618,{55;56;57;58;59;60;61;62;63;64;65;66;67;68;69;70;71;72;73;74;75;76;77;78;79;80;81;82;83;84;85;86;87;88;89;90;91;92;93;94;95;96;97;98;99},{100000;130000;160000;190000;220000;250000;300000;350000;400000;450000;500000;600000;700000;800000;900000;1000000;1500000;2000000;3000000;4000000;5000000;6500000;8000000;10000000;12500000;15000000;20000000;25000000;30000000;35000000;40000000;55000000;70000000;80000000;90000000;110000000;130000000;160000000;190000000;220000000;250000000;280000000;310000000;340000000;400000000})</f>
        <v>1000000</v>
      </c>
      <c r="J618" s="7" t="n">
        <f aca="false">I618*S618*T618*U618</f>
        <v>1407600</v>
      </c>
      <c r="K618" s="3"/>
      <c r="L618" s="3"/>
      <c r="M618" s="3"/>
      <c r="N618" s="9" t="n">
        <v>2</v>
      </c>
      <c r="O618" s="4" t="n">
        <v>0</v>
      </c>
      <c r="P618" s="5" t="n">
        <f aca="false">IF(COUNTIF([1]Base_Jugadores!J$2:J$500,B618)&gt;0,1,0)</f>
        <v>0</v>
      </c>
      <c r="Q618" s="10" t="b">
        <f aca="false">--(COUNTIFS(
   [1]Fichajes_Realizados!A$2:A$5000,A618,
   [1]Fichajes_Realizados!G$2:G$5000,$X$3
)&gt;0)</f>
        <v>0</v>
      </c>
      <c r="R618" s="5" t="n">
        <f aca="false">_xlfn.XLOOKUP(C618, [1]Estado_Equipos!A$2:A$500, [1]Estado_Equipos!J$2:J$500, "")</f>
        <v>76</v>
      </c>
      <c r="S618" s="5" t="n">
        <f aca="false">IF(H618&lt;=16,1.45,
IF(H618&gt;=41,0.3,
CHOOSE(ROUNDDOWN((H618-16)/2,0)+1,
1.45,1.38,1.3,1.23,1.17,1.15,1.12,1.05,0.95,0.8,0.6,0.4,0.3)))</f>
        <v>1.38</v>
      </c>
      <c r="T618" s="5" t="n">
        <f aca="false">CHOOSE(N618+1,1.2,1,0.85,0.7)</f>
        <v>0.85</v>
      </c>
      <c r="U618" s="5" t="n">
        <f aca="false">IF(F618="PO",0.6,
IF(F618="CT",0.75,
IF(F618="LI",0.8,
IF(F618="LD",0.8,
IF(F618="MCD",0.85,
IF(F618="MC",0.95,
IF(F618="MO",1.05,
IF(F618="EI",1.1,
IF(F618="ED",1.1,
IF(F618="SD",1.15,
IF(F618="DC",1.2,0)))))))))))</f>
        <v>1.2</v>
      </c>
    </row>
    <row r="619" customFormat="false" ht="16.4" hidden="false" customHeight="false" outlineLevel="0" collapsed="false">
      <c r="A619" s="1" t="n">
        <v>618</v>
      </c>
      <c r="B619" s="5" t="str">
        <f aca="false">[1]Base_Jugadores!B619</f>
        <v>Carlos Baleba</v>
      </c>
      <c r="C619" s="5" t="str">
        <f aca="false">IFERROR(
   _xlfn.XLOOKUP(VALUE(A619),[1]Fichajes_Realizados!A$2:A$50000,[1]Fichajes_Realizados!D$2:D$50000,,0,-1),
   _xlfn.XLOOKUP(VALUE(A619),[1]Base_Jugadores!A$2:A$50000,[1]Base_Jugadores!C$2:C$50000)
)</f>
        <v>Brighton &amp; Hove Albion</v>
      </c>
      <c r="D619" s="5" t="str">
        <f aca="false">[1]Base_Jugadores!D619</f>
        <v>Camerún</v>
      </c>
      <c r="E619" s="3"/>
      <c r="F619" s="5" t="str">
        <f aca="false">[1]Base_Jugadores!E619</f>
        <v>MCD</v>
      </c>
      <c r="G619" s="5" t="n">
        <f aca="false">[1]Base_Jugadores!F619</f>
        <v>79</v>
      </c>
      <c r="H619" s="5" t="n">
        <f aca="false">[1]Base_Jugadores!G619</f>
        <v>21</v>
      </c>
      <c r="I619" s="7" t="n">
        <f aca="false" t="array" ref="I619:I619">_xlfn.XLOOKUP(G619,{55;56;57;58;59;60;61;62;63;64;65;66;67;68;69;70;71;72;73;74;75;76;77;78;79;80;81;82;83;84;85;86;87;88;89;90;91;92;93;94;95;96;97;98;99},{100000;130000;160000;190000;220000;250000;300000;350000;400000;450000;500000;600000;700000;800000;900000;1000000;1500000;2000000;3000000;4000000;5000000;6500000;8000000;10000000;12500000;15000000;20000000;25000000;30000000;35000000;40000000;55000000;70000000;80000000;90000000;110000000;130000000;160000000;190000000;220000000;250000000;280000000;310000000;340000000;400000000})</f>
        <v>12500000</v>
      </c>
      <c r="J619" s="7" t="n">
        <f aca="false">I619*S619*T619*U619</f>
        <v>16575000</v>
      </c>
      <c r="K619" s="3"/>
      <c r="L619" s="3"/>
      <c r="M619" s="3"/>
      <c r="N619" s="9" t="n">
        <v>0</v>
      </c>
      <c r="O619" s="4" t="n">
        <v>0</v>
      </c>
      <c r="P619" s="5" t="n">
        <f aca="false">IF(COUNTIF([1]Base_Jugadores!J$2:J$500,B619)&gt;0,1,0)</f>
        <v>0</v>
      </c>
      <c r="Q619" s="10" t="b">
        <f aca="false">--(COUNTIFS(
   [1]Fichajes_Realizados!A$2:A$5000,A619,
   [1]Fichajes_Realizados!G$2:G$5000,$X$3
)&gt;0)</f>
        <v>0</v>
      </c>
      <c r="R619" s="5" t="n">
        <f aca="false">_xlfn.XLOOKUP(C619, [1]Estado_Equipos!A$2:A$500, [1]Estado_Equipos!J$2:J$500, "")</f>
        <v>76</v>
      </c>
      <c r="S619" s="5" t="n">
        <f aca="false">IF(H619&lt;=16,1.45,
IF(H619&gt;=41,0.3,
CHOOSE(ROUNDDOWN((H619-16)/2,0)+1,
1.45,1.38,1.3,1.23,1.17,1.15,1.12,1.05,0.95,0.8,0.6,0.4,0.3)))</f>
        <v>1.3</v>
      </c>
      <c r="T619" s="5" t="n">
        <f aca="false">CHOOSE(N619+1,1.2,1,0.85,0.7)</f>
        <v>1.2</v>
      </c>
      <c r="U619" s="5" t="n">
        <f aca="false">IF(F619="PO",0.6,
IF(F619="CT",0.75,
IF(F619="LI",0.8,
IF(F619="LD",0.8,
IF(F619="MCD",0.85,
IF(F619="MC",0.95,
IF(F619="MO",1.05,
IF(F619="EI",1.1,
IF(F619="ED",1.1,
IF(F619="SD",1.15,
IF(F619="DC",1.2,0)))))))))))</f>
        <v>0.85</v>
      </c>
    </row>
    <row r="620" customFormat="false" ht="16.4" hidden="false" customHeight="false" outlineLevel="0" collapsed="false">
      <c r="A620" s="1" t="n">
        <v>619</v>
      </c>
      <c r="B620" s="5" t="str">
        <f aca="false">[1]Base_Jugadores!B620</f>
        <v>Danny Welbeck</v>
      </c>
      <c r="C620" s="5" t="str">
        <f aca="false">IFERROR(
   _xlfn.XLOOKUP(VALUE(A620),[1]Fichajes_Realizados!A$2:A$50000,[1]Fichajes_Realizados!D$2:D$50000,,0,-1),
   _xlfn.XLOOKUP(VALUE(A620),[1]Base_Jugadores!A$2:A$50000,[1]Base_Jugadores!C$2:C$50000)
)</f>
        <v>Brighton &amp; Hove Albion</v>
      </c>
      <c r="D620" s="5" t="str">
        <f aca="false">[1]Base_Jugadores!D620</f>
        <v>Inglaterra</v>
      </c>
      <c r="E620" s="3"/>
      <c r="F620" s="5" t="str">
        <f aca="false">[1]Base_Jugadores!E620</f>
        <v>DC</v>
      </c>
      <c r="G620" s="5" t="n">
        <f aca="false">[1]Base_Jugadores!F620</f>
        <v>77</v>
      </c>
      <c r="H620" s="5" t="n">
        <f aca="false">[1]Base_Jugadores!G620</f>
        <v>35</v>
      </c>
      <c r="I620" s="7" t="n">
        <f aca="false" t="array" ref="I620:I620">_xlfn.XLOOKUP(G620,{55;56;57;58;59;60;61;62;63;64;65;66;67;68;69;70;71;72;73;74;75;76;77;78;79;80;81;82;83;84;85;86;87;88;89;90;91;92;93;94;95;96;97;98;99},{100000;130000;160000;190000;220000;250000;300000;350000;400000;450000;500000;600000;700000;800000;900000;1000000;1500000;2000000;3000000;4000000;5000000;6500000;8000000;10000000;12500000;15000000;20000000;25000000;30000000;35000000;40000000;55000000;70000000;80000000;90000000;110000000;130000000;160000000;190000000;220000000;250000000;280000000;310000000;340000000;400000000})</f>
        <v>8000000</v>
      </c>
      <c r="J620" s="7" t="n">
        <f aca="false">I620*S620*T620*U620</f>
        <v>7680000</v>
      </c>
      <c r="K620" s="3"/>
      <c r="L620" s="3"/>
      <c r="M620" s="3"/>
      <c r="N620" s="9" t="n">
        <v>1</v>
      </c>
      <c r="O620" s="4" t="n">
        <v>0</v>
      </c>
      <c r="P620" s="5" t="n">
        <f aca="false">IF(COUNTIF([1]Base_Jugadores!J$2:J$500,B620)&gt;0,1,0)</f>
        <v>0</v>
      </c>
      <c r="Q620" s="10" t="b">
        <f aca="false">--(COUNTIFS(
   [1]Fichajes_Realizados!A$2:A$5000,A620,
   [1]Fichajes_Realizados!G$2:G$5000,$X$3
)&gt;0)</f>
        <v>0</v>
      </c>
      <c r="R620" s="5" t="n">
        <f aca="false">_xlfn.XLOOKUP(C620, [1]Estado_Equipos!A$2:A$500, [1]Estado_Equipos!J$2:J$500, "")</f>
        <v>76</v>
      </c>
      <c r="S620" s="5" t="n">
        <f aca="false">IF(H620&lt;=16,1.45,
IF(H620&gt;=41,0.3,
CHOOSE(ROUNDDOWN((H620-16)/2,0)+1,
1.45,1.38,1.3,1.23,1.17,1.15,1.12,1.05,0.95,0.8,0.6,0.4,0.3)))</f>
        <v>0.8</v>
      </c>
      <c r="T620" s="5" t="n">
        <f aca="false">CHOOSE(N620+1,1.2,1,0.85,0.7)</f>
        <v>1</v>
      </c>
      <c r="U620" s="5" t="n">
        <f aca="false">IF(F620="PO",0.6,
IF(F620="CT",0.75,
IF(F620="LI",0.8,
IF(F620="LD",0.8,
IF(F620="MCD",0.85,
IF(F620="MC",0.95,
IF(F620="MO",1.05,
IF(F620="EI",1.1,
IF(F620="ED",1.1,
IF(F620="SD",1.15,
IF(F620="DC",1.2,0)))))))))))</f>
        <v>1.2</v>
      </c>
    </row>
    <row r="621" customFormat="false" ht="16.4" hidden="false" customHeight="false" outlineLevel="0" collapsed="false">
      <c r="A621" s="1" t="n">
        <v>620</v>
      </c>
      <c r="B621" s="5" t="str">
        <f aca="false">[1]Base_Jugadores!B621</f>
        <v>Diego Coppola</v>
      </c>
      <c r="C621" s="5" t="str">
        <f aca="false">IFERROR(
   _xlfn.XLOOKUP(VALUE(A621),[1]Fichajes_Realizados!A$2:A$50000,[1]Fichajes_Realizados!D$2:D$50000,,0,-1),
   _xlfn.XLOOKUP(VALUE(A621),[1]Base_Jugadores!A$2:A$50000,[1]Base_Jugadores!C$2:C$50000)
)</f>
        <v>Brighton &amp; Hove Albion</v>
      </c>
      <c r="D621" s="5" t="str">
        <f aca="false">[1]Base_Jugadores!D621</f>
        <v>Italia</v>
      </c>
      <c r="E621" s="3"/>
      <c r="F621" s="5" t="str">
        <f aca="false">[1]Base_Jugadores!E621</f>
        <v>CT</v>
      </c>
      <c r="G621" s="5" t="n">
        <f aca="false">[1]Base_Jugadores!F621</f>
        <v>72</v>
      </c>
      <c r="H621" s="5" t="n">
        <f aca="false">[1]Base_Jugadores!G621</f>
        <v>22</v>
      </c>
      <c r="I621" s="7" t="n">
        <f aca="false" t="array" ref="I621:I621">_xlfn.XLOOKUP(G621,{55;56;57;58;59;60;61;62;63;64;65;66;67;68;69;70;71;72;73;74;75;76;77;78;79;80;81;82;83;84;85;86;87;88;89;90;91;92;93;94;95;96;97;98;99},{100000;130000;160000;190000;220000;250000;300000;350000;400000;450000;500000;600000;700000;800000;900000;1000000;1500000;2000000;3000000;4000000;5000000;6500000;8000000;10000000;12500000;15000000;20000000;25000000;30000000;35000000;40000000;55000000;70000000;80000000;90000000;110000000;130000000;160000000;190000000;220000000;250000000;280000000;310000000;340000000;400000000})</f>
        <v>2000000</v>
      </c>
      <c r="J621" s="7" t="n">
        <f aca="false">I621*S621*T621*U621</f>
        <v>1568250</v>
      </c>
      <c r="K621" s="3"/>
      <c r="L621" s="3"/>
      <c r="M621" s="3"/>
      <c r="N621" s="9" t="n">
        <v>2</v>
      </c>
      <c r="O621" s="4" t="n">
        <v>0</v>
      </c>
      <c r="P621" s="5" t="n">
        <f aca="false">IF(COUNTIF([1]Base_Jugadores!J$2:J$500,B621)&gt;0,1,0)</f>
        <v>0</v>
      </c>
      <c r="Q621" s="10" t="b">
        <f aca="false">--(COUNTIFS(
   [1]Fichajes_Realizados!A$2:A$5000,A621,
   [1]Fichajes_Realizados!G$2:G$5000,$X$3
)&gt;0)</f>
        <v>0</v>
      </c>
      <c r="R621" s="5" t="n">
        <f aca="false">_xlfn.XLOOKUP(C621, [1]Estado_Equipos!A$2:A$500, [1]Estado_Equipos!J$2:J$500, "")</f>
        <v>76</v>
      </c>
      <c r="S621" s="5" t="n">
        <f aca="false">IF(H621&lt;=16,1.45,
IF(H621&gt;=41,0.3,
CHOOSE(ROUNDDOWN((H621-16)/2,0)+1,
1.45,1.38,1.3,1.23,1.17,1.15,1.12,1.05,0.95,0.8,0.6,0.4,0.3)))</f>
        <v>1.23</v>
      </c>
      <c r="T621" s="5" t="n">
        <f aca="false">CHOOSE(N621+1,1.2,1,0.85,0.7)</f>
        <v>0.85</v>
      </c>
      <c r="U621" s="5" t="n">
        <f aca="false">IF(F621="PO",0.6,
IF(F621="CT",0.75,
IF(F621="LI",0.8,
IF(F621="LD",0.8,
IF(F621="MCD",0.85,
IF(F621="MC",0.95,
IF(F621="MO",1.05,
IF(F621="EI",1.1,
IF(F621="ED",1.1,
IF(F621="SD",1.15,
IF(F621="DC",1.2,0)))))))))))</f>
        <v>0.75</v>
      </c>
    </row>
    <row r="622" customFormat="false" ht="16.4" hidden="false" customHeight="false" outlineLevel="0" collapsed="false">
      <c r="A622" s="1" t="n">
        <v>621</v>
      </c>
      <c r="B622" s="5" t="str">
        <f aca="false">[1]Base_Jugadores!B622</f>
        <v>Diego Gómez A.</v>
      </c>
      <c r="C622" s="5" t="str">
        <f aca="false">IFERROR(
   _xlfn.XLOOKUP(VALUE(A622),[1]Fichajes_Realizados!A$2:A$50000,[1]Fichajes_Realizados!D$2:D$50000,,0,-1),
   _xlfn.XLOOKUP(VALUE(A622),[1]Base_Jugadores!A$2:A$50000,[1]Base_Jugadores!C$2:C$50000)
)</f>
        <v>Brighton &amp; Hove Albion</v>
      </c>
      <c r="D622" s="5" t="str">
        <f aca="false">[1]Base_Jugadores!D622</f>
        <v>Paraguay</v>
      </c>
      <c r="E622" s="3"/>
      <c r="F622" s="5" t="str">
        <f aca="false">[1]Base_Jugadores!E622</f>
        <v>MC</v>
      </c>
      <c r="G622" s="5" t="n">
        <f aca="false">[1]Base_Jugadores!F622</f>
        <v>68</v>
      </c>
      <c r="H622" s="5" t="n">
        <f aca="false">[1]Base_Jugadores!G622</f>
        <v>22</v>
      </c>
      <c r="I622" s="7" t="n">
        <f aca="false" t="array" ref="I622:I622">_xlfn.XLOOKUP(G622,{55;56;57;58;59;60;61;62;63;64;65;66;67;68;69;70;71;72;73;74;75;76;77;78;79;80;81;82;83;84;85;86;87;88;89;90;91;92;93;94;95;96;97;98;99},{100000;130000;160000;190000;220000;250000;300000;350000;400000;450000;500000;600000;700000;800000;900000;1000000;1500000;2000000;3000000;4000000;5000000;6500000;8000000;10000000;12500000;15000000;20000000;25000000;30000000;35000000;40000000;55000000;70000000;80000000;90000000;110000000;130000000;160000000;190000000;220000000;250000000;280000000;310000000;340000000;400000000})</f>
        <v>800000</v>
      </c>
      <c r="J622" s="7" t="n">
        <f aca="false">I622*S622*T622*U622</f>
        <v>794580</v>
      </c>
      <c r="K622" s="3"/>
      <c r="L622" s="3"/>
      <c r="M622" s="3"/>
      <c r="N622" s="9" t="n">
        <v>2</v>
      </c>
      <c r="O622" s="4" t="n">
        <v>0</v>
      </c>
      <c r="P622" s="5" t="n">
        <f aca="false">IF(COUNTIF([1]Base_Jugadores!J$2:J$500,B622)&gt;0,1,0)</f>
        <v>0</v>
      </c>
      <c r="Q622" s="10" t="b">
        <f aca="false">--(COUNTIFS(
   [1]Fichajes_Realizados!A$2:A$5000,A622,
   [1]Fichajes_Realizados!G$2:G$5000,$X$3
)&gt;0)</f>
        <v>0</v>
      </c>
      <c r="R622" s="5" t="n">
        <f aca="false">_xlfn.XLOOKUP(C622, [1]Estado_Equipos!A$2:A$500, [1]Estado_Equipos!J$2:J$500, "")</f>
        <v>76</v>
      </c>
      <c r="S622" s="5" t="n">
        <f aca="false">IF(H622&lt;=16,1.45,
IF(H622&gt;=41,0.3,
CHOOSE(ROUNDDOWN((H622-16)/2,0)+1,
1.45,1.38,1.3,1.23,1.17,1.15,1.12,1.05,0.95,0.8,0.6,0.4,0.3)))</f>
        <v>1.23</v>
      </c>
      <c r="T622" s="5" t="n">
        <f aca="false">CHOOSE(N622+1,1.2,1,0.85,0.7)</f>
        <v>0.85</v>
      </c>
      <c r="U622" s="5" t="n">
        <f aca="false">IF(F622="PO",0.6,
IF(F622="CT",0.75,
IF(F622="LI",0.8,
IF(F622="LD",0.8,
IF(F622="MCD",0.85,
IF(F622="MC",0.95,
IF(F622="MO",1.05,
IF(F622="EI",1.1,
IF(F622="ED",1.1,
IF(F622="SD",1.15,
IF(F622="DC",1.2,0)))))))))))</f>
        <v>0.95</v>
      </c>
    </row>
    <row r="623" customFormat="false" ht="16.4" hidden="false" customHeight="false" outlineLevel="0" collapsed="false">
      <c r="A623" s="1" t="n">
        <v>622</v>
      </c>
      <c r="B623" s="5" t="str">
        <f aca="false">[1]Base_Jugadores!B623</f>
        <v>Ferdi Kadıoğlu</v>
      </c>
      <c r="C623" s="5" t="str">
        <f aca="false">IFERROR(
   _xlfn.XLOOKUP(VALUE(A623),[1]Fichajes_Realizados!A$2:A$50000,[1]Fichajes_Realizados!D$2:D$50000,,0,-1),
   _xlfn.XLOOKUP(VALUE(A623),[1]Base_Jugadores!A$2:A$50000,[1]Base_Jugadores!C$2:C$50000)
)</f>
        <v>Brighton &amp; Hove Albion</v>
      </c>
      <c r="D623" s="5" t="str">
        <f aca="false">[1]Base_Jugadores!D623</f>
        <v>Turquía</v>
      </c>
      <c r="E623" s="3"/>
      <c r="F623" s="5" t="str">
        <f aca="false">[1]Base_Jugadores!E623</f>
        <v>LI</v>
      </c>
      <c r="G623" s="5" t="n">
        <f aca="false">[1]Base_Jugadores!F623</f>
        <v>81</v>
      </c>
      <c r="H623" s="5" t="n">
        <f aca="false">[1]Base_Jugadores!G623</f>
        <v>26</v>
      </c>
      <c r="I623" s="7" t="n">
        <f aca="false" t="array" ref="I623:I623">_xlfn.XLOOKUP(G623,{55;56;57;58;59;60;61;62;63;64;65;66;67;68;69;70;71;72;73;74;75;76;77;78;79;80;81;82;83;84;85;86;87;88;89;90;91;92;93;94;95;96;97;98;99},{100000;130000;160000;190000;220000;250000;300000;350000;400000;450000;500000;600000;700000;800000;900000;1000000;1500000;2000000;3000000;4000000;5000000;6500000;8000000;10000000;12500000;15000000;20000000;25000000;30000000;35000000;40000000;55000000;70000000;80000000;90000000;110000000;130000000;160000000;190000000;220000000;250000000;280000000;310000000;340000000;400000000})</f>
        <v>20000000</v>
      </c>
      <c r="J623" s="7" t="n">
        <f aca="false">I623*S623*T623*U623</f>
        <v>22080000</v>
      </c>
      <c r="K623" s="3"/>
      <c r="L623" s="3"/>
      <c r="M623" s="3"/>
      <c r="N623" s="9" t="n">
        <v>0</v>
      </c>
      <c r="O623" s="4" t="n">
        <v>0</v>
      </c>
      <c r="P623" s="5" t="n">
        <f aca="false">IF(COUNTIF([1]Base_Jugadores!J$2:J$500,B623)&gt;0,1,0)</f>
        <v>0</v>
      </c>
      <c r="Q623" s="10" t="b">
        <f aca="false">--(COUNTIFS(
   [1]Fichajes_Realizados!A$2:A$5000,A623,
   [1]Fichajes_Realizados!G$2:G$5000,$X$3
)&gt;0)</f>
        <v>0</v>
      </c>
      <c r="R623" s="5" t="n">
        <f aca="false">_xlfn.XLOOKUP(C623, [1]Estado_Equipos!A$2:A$500, [1]Estado_Equipos!J$2:J$500, "")</f>
        <v>76</v>
      </c>
      <c r="S623" s="5" t="n">
        <f aca="false">IF(H623&lt;=16,1.45,
IF(H623&gt;=41,0.3,
CHOOSE(ROUNDDOWN((H623-16)/2,0)+1,
1.45,1.38,1.3,1.23,1.17,1.15,1.12,1.05,0.95,0.8,0.6,0.4,0.3)))</f>
        <v>1.15</v>
      </c>
      <c r="T623" s="5" t="n">
        <f aca="false">CHOOSE(N623+1,1.2,1,0.85,0.7)</f>
        <v>1.2</v>
      </c>
      <c r="U623" s="5" t="n">
        <f aca="false">IF(F623="PO",0.6,
IF(F623="CT",0.75,
IF(F623="LI",0.8,
IF(F623="LD",0.8,
IF(F623="MCD",0.85,
IF(F623="MC",0.95,
IF(F623="MO",1.05,
IF(F623="EI",1.1,
IF(F623="ED",1.1,
IF(F623="SD",1.15,
IF(F623="DC",1.2,0)))))))))))</f>
        <v>0.8</v>
      </c>
    </row>
    <row r="624" customFormat="false" ht="16.4" hidden="false" customHeight="false" outlineLevel="0" collapsed="false">
      <c r="A624" s="1" t="n">
        <v>623</v>
      </c>
      <c r="B624" s="5" t="str">
        <f aca="false">[1]Base_Jugadores!B624</f>
        <v>Georginio Rutter</v>
      </c>
      <c r="C624" s="5" t="str">
        <f aca="false">IFERROR(
   _xlfn.XLOOKUP(VALUE(A624),[1]Fichajes_Realizados!A$2:A$50000,[1]Fichajes_Realizados!D$2:D$50000,,0,-1),
   _xlfn.XLOOKUP(VALUE(A624),[1]Base_Jugadores!A$2:A$50000,[1]Base_Jugadores!C$2:C$50000)
)</f>
        <v>Brighton &amp; Hove Albion</v>
      </c>
      <c r="D624" s="5" t="str">
        <f aca="false">[1]Base_Jugadores!D624</f>
        <v>Francia</v>
      </c>
      <c r="E624" s="3"/>
      <c r="F624" s="5" t="str">
        <f aca="false">[1]Base_Jugadores!E624</f>
        <v>DC</v>
      </c>
      <c r="G624" s="5" t="n">
        <f aca="false">[1]Base_Jugadores!F624</f>
        <v>78</v>
      </c>
      <c r="H624" s="5" t="n">
        <f aca="false">[1]Base_Jugadores!G624</f>
        <v>23</v>
      </c>
      <c r="I624" s="7" t="n">
        <f aca="false" t="array" ref="I624:I624">_xlfn.XLOOKUP(G624,{55;56;57;58;59;60;61;62;63;64;65;66;67;68;69;70;71;72;73;74;75;76;77;78;79;80;81;82;83;84;85;86;87;88;89;90;91;92;93;94;95;96;97;98;99},{100000;130000;160000;190000;220000;250000;300000;350000;400000;450000;500000;600000;700000;800000;900000;1000000;1500000;2000000;3000000;4000000;5000000;6500000;8000000;10000000;12500000;15000000;20000000;25000000;30000000;35000000;40000000;55000000;70000000;80000000;90000000;110000000;130000000;160000000;190000000;220000000;250000000;280000000;310000000;340000000;400000000})</f>
        <v>10000000</v>
      </c>
      <c r="J624" s="7" t="n">
        <f aca="false">I624*S624*T624*U624</f>
        <v>17712000</v>
      </c>
      <c r="K624" s="3"/>
      <c r="L624" s="3"/>
      <c r="M624" s="3"/>
      <c r="N624" s="9" t="n">
        <v>0</v>
      </c>
      <c r="O624" s="4" t="n">
        <v>0</v>
      </c>
      <c r="P624" s="5" t="n">
        <f aca="false">IF(COUNTIF([1]Base_Jugadores!J$2:J$500,B624)&gt;0,1,0)</f>
        <v>0</v>
      </c>
      <c r="Q624" s="10" t="b">
        <f aca="false">--(COUNTIFS(
   [1]Fichajes_Realizados!A$2:A$5000,A624,
   [1]Fichajes_Realizados!G$2:G$5000,$X$3
)&gt;0)</f>
        <v>0</v>
      </c>
      <c r="R624" s="5" t="n">
        <f aca="false">_xlfn.XLOOKUP(C624, [1]Estado_Equipos!A$2:A$500, [1]Estado_Equipos!J$2:J$500, "")</f>
        <v>76</v>
      </c>
      <c r="S624" s="5" t="n">
        <f aca="false">IF(H624&lt;=16,1.45,
IF(H624&gt;=41,0.3,
CHOOSE(ROUNDDOWN((H624-16)/2,0)+1,
1.45,1.38,1.3,1.23,1.17,1.15,1.12,1.05,0.95,0.8,0.6,0.4,0.3)))</f>
        <v>1.23</v>
      </c>
      <c r="T624" s="5" t="n">
        <f aca="false">CHOOSE(N624+1,1.2,1,0.85,0.7)</f>
        <v>1.2</v>
      </c>
      <c r="U624" s="5" t="n">
        <f aca="false">IF(F624="PO",0.6,
IF(F624="CT",0.75,
IF(F624="LI",0.8,
IF(F624="LD",0.8,
IF(F624="MCD",0.85,
IF(F624="MC",0.95,
IF(F624="MO",1.05,
IF(F624="EI",1.1,
IF(F624="ED",1.1,
IF(F624="SD",1.15,
IF(F624="DC",1.2,0)))))))))))</f>
        <v>1.2</v>
      </c>
    </row>
    <row r="625" customFormat="false" ht="16.4" hidden="false" customHeight="false" outlineLevel="0" collapsed="false">
      <c r="A625" s="1" t="n">
        <v>624</v>
      </c>
      <c r="B625" s="5" t="str">
        <f aca="false">[1]Base_Jugadores!B625</f>
        <v>J. van Hecke</v>
      </c>
      <c r="C625" s="5" t="str">
        <f aca="false">IFERROR(
   _xlfn.XLOOKUP(VALUE(A625),[1]Fichajes_Realizados!A$2:A$50000,[1]Fichajes_Realizados!D$2:D$50000,,0,-1),
   _xlfn.XLOOKUP(VALUE(A625),[1]Base_Jugadores!A$2:A$50000,[1]Base_Jugadores!C$2:C$50000)
)</f>
        <v>Brighton &amp; Hove Albion</v>
      </c>
      <c r="D625" s="5" t="str">
        <f aca="false">[1]Base_Jugadores!D625</f>
        <v>Países Bajos</v>
      </c>
      <c r="E625" s="3"/>
      <c r="F625" s="5" t="str">
        <f aca="false">[1]Base_Jugadores!E625</f>
        <v>CT</v>
      </c>
      <c r="G625" s="5" t="n">
        <f aca="false">[1]Base_Jugadores!F625</f>
        <v>77</v>
      </c>
      <c r="H625" s="5" t="n">
        <f aca="false">[1]Base_Jugadores!G625</f>
        <v>25</v>
      </c>
      <c r="I625" s="7" t="n">
        <f aca="false" t="array" ref="I625:I625">_xlfn.XLOOKUP(G625,{55;56;57;58;59;60;61;62;63;64;65;66;67;68;69;70;71;72;73;74;75;76;77;78;79;80;81;82;83;84;85;86;87;88;89;90;91;92;93;94;95;96;97;98;99},{100000;130000;160000;190000;220000;250000;300000;350000;400000;450000;500000;600000;700000;800000;900000;1000000;1500000;2000000;3000000;4000000;5000000;6500000;8000000;10000000;12500000;15000000;20000000;25000000;30000000;35000000;40000000;55000000;70000000;80000000;90000000;110000000;130000000;160000000;190000000;220000000;250000000;280000000;310000000;340000000;400000000})</f>
        <v>8000000</v>
      </c>
      <c r="J625" s="7" t="n">
        <f aca="false">I625*S625*T625*U625</f>
        <v>7020000</v>
      </c>
      <c r="K625" s="3"/>
      <c r="L625" s="3"/>
      <c r="M625" s="3"/>
      <c r="N625" s="9" t="n">
        <v>1</v>
      </c>
      <c r="O625" s="4" t="n">
        <v>0</v>
      </c>
      <c r="P625" s="5" t="n">
        <f aca="false">IF(COUNTIF([1]Base_Jugadores!J$2:J$500,B625)&gt;0,1,0)</f>
        <v>0</v>
      </c>
      <c r="Q625" s="10" t="b">
        <f aca="false">--(COUNTIFS(
   [1]Fichajes_Realizados!A$2:A$5000,A625,
   [1]Fichajes_Realizados!G$2:G$5000,$X$3
)&gt;0)</f>
        <v>0</v>
      </c>
      <c r="R625" s="5" t="n">
        <f aca="false">_xlfn.XLOOKUP(C625, [1]Estado_Equipos!A$2:A$500, [1]Estado_Equipos!J$2:J$500, "")</f>
        <v>76</v>
      </c>
      <c r="S625" s="5" t="n">
        <f aca="false">IF(H625&lt;=16,1.45,
IF(H625&gt;=41,0.3,
CHOOSE(ROUNDDOWN((H625-16)/2,0)+1,
1.45,1.38,1.3,1.23,1.17,1.15,1.12,1.05,0.95,0.8,0.6,0.4,0.3)))</f>
        <v>1.17</v>
      </c>
      <c r="T625" s="5" t="n">
        <f aca="false">CHOOSE(N625+1,1.2,1,0.85,0.7)</f>
        <v>1</v>
      </c>
      <c r="U625" s="5" t="n">
        <f aca="false">IF(F625="PO",0.6,
IF(F625="CT",0.75,
IF(F625="LI",0.8,
IF(F625="LD",0.8,
IF(F625="MCD",0.85,
IF(F625="MC",0.95,
IF(F625="MO",1.05,
IF(F625="EI",1.1,
IF(F625="ED",1.1,
IF(F625="SD",1.15,
IF(F625="DC",1.2,0)))))))))))</f>
        <v>0.75</v>
      </c>
    </row>
    <row r="626" customFormat="false" ht="16.4" hidden="false" customHeight="false" outlineLevel="0" collapsed="false">
      <c r="A626" s="1" t="n">
        <v>625</v>
      </c>
      <c r="B626" s="5" t="str">
        <f aca="false">[1]Base_Jugadores!B626</f>
        <v>Jack Hinshelwood</v>
      </c>
      <c r="C626" s="5" t="str">
        <f aca="false">IFERROR(
   _xlfn.XLOOKUP(VALUE(A626),[1]Fichajes_Realizados!A$2:A$50000,[1]Fichajes_Realizados!D$2:D$50000,,0,-1),
   _xlfn.XLOOKUP(VALUE(A626),[1]Base_Jugadores!A$2:A$50000,[1]Base_Jugadores!C$2:C$50000)
)</f>
        <v>Brighton &amp; Hove Albion</v>
      </c>
      <c r="D626" s="5" t="str">
        <f aca="false">[1]Base_Jugadores!D626</f>
        <v>Inglaterra</v>
      </c>
      <c r="E626" s="3"/>
      <c r="F626" s="5" t="str">
        <f aca="false">[1]Base_Jugadores!E626</f>
        <v>MCD</v>
      </c>
      <c r="G626" s="5" t="n">
        <f aca="false">[1]Base_Jugadores!F626</f>
        <v>71</v>
      </c>
      <c r="H626" s="5" t="n">
        <f aca="false">[1]Base_Jugadores!G626</f>
        <v>20</v>
      </c>
      <c r="I626" s="7" t="n">
        <f aca="false" t="array" ref="I626:I626">_xlfn.XLOOKUP(G626,{55;56;57;58;59;60;61;62;63;64;65;66;67;68;69;70;71;72;73;74;75;76;77;78;79;80;81;82;83;84;85;86;87;88;89;90;91;92;93;94;95;96;97;98;99},{100000;130000;160000;190000;220000;250000;300000;350000;400000;450000;500000;600000;700000;800000;900000;1000000;1500000;2000000;3000000;4000000;5000000;6500000;8000000;10000000;12500000;15000000;20000000;25000000;30000000;35000000;40000000;55000000;70000000;80000000;90000000;110000000;130000000;160000000;190000000;220000000;250000000;280000000;310000000;340000000;400000000})</f>
        <v>1500000</v>
      </c>
      <c r="J626" s="7" t="n">
        <f aca="false">I626*S626*T626*U626</f>
        <v>1408875</v>
      </c>
      <c r="K626" s="3"/>
      <c r="L626" s="3"/>
      <c r="M626" s="3"/>
      <c r="N626" s="9" t="n">
        <v>2</v>
      </c>
      <c r="O626" s="4" t="n">
        <v>0</v>
      </c>
      <c r="P626" s="5" t="n">
        <f aca="false">IF(COUNTIF([1]Base_Jugadores!J$2:J$500,B626)&gt;0,1,0)</f>
        <v>0</v>
      </c>
      <c r="Q626" s="10" t="b">
        <f aca="false">--(COUNTIFS(
   [1]Fichajes_Realizados!A$2:A$5000,A626,
   [1]Fichajes_Realizados!G$2:G$5000,$X$3
)&gt;0)</f>
        <v>0</v>
      </c>
      <c r="R626" s="5" t="n">
        <f aca="false">_xlfn.XLOOKUP(C626, [1]Estado_Equipos!A$2:A$500, [1]Estado_Equipos!J$2:J$500, "")</f>
        <v>76</v>
      </c>
      <c r="S626" s="5" t="n">
        <f aca="false">IF(H626&lt;=16,1.45,
IF(H626&gt;=41,0.3,
CHOOSE(ROUNDDOWN((H626-16)/2,0)+1,
1.45,1.38,1.3,1.23,1.17,1.15,1.12,1.05,0.95,0.8,0.6,0.4,0.3)))</f>
        <v>1.3</v>
      </c>
      <c r="T626" s="5" t="n">
        <f aca="false">CHOOSE(N626+1,1.2,1,0.85,0.7)</f>
        <v>0.85</v>
      </c>
      <c r="U626" s="5" t="n">
        <f aca="false">IF(F626="PO",0.6,
IF(F626="CT",0.75,
IF(F626="LI",0.8,
IF(F626="LD",0.8,
IF(F626="MCD",0.85,
IF(F626="MC",0.95,
IF(F626="MO",1.05,
IF(F626="EI",1.1,
IF(F626="ED",1.1,
IF(F626="SD",1.15,
IF(F626="DC",1.2,0)))))))))))</f>
        <v>0.85</v>
      </c>
    </row>
    <row r="627" customFormat="false" ht="16.4" hidden="false" customHeight="false" outlineLevel="0" collapsed="false">
      <c r="A627" s="1" t="n">
        <v>626</v>
      </c>
      <c r="B627" s="5" t="str">
        <f aca="false">[1]Base_Jugadores!B627</f>
        <v>James Milner</v>
      </c>
      <c r="C627" s="5" t="str">
        <f aca="false">IFERROR(
   _xlfn.XLOOKUP(VALUE(A627),[1]Fichajes_Realizados!A$2:A$50000,[1]Fichajes_Realizados!D$2:D$50000,,0,-1),
   _xlfn.XLOOKUP(VALUE(A627),[1]Base_Jugadores!A$2:A$50000,[1]Base_Jugadores!C$2:C$50000)
)</f>
        <v>Brighton &amp; Hove Albion</v>
      </c>
      <c r="D627" s="5" t="str">
        <f aca="false">[1]Base_Jugadores!D627</f>
        <v>Inglaterra</v>
      </c>
      <c r="E627" s="3"/>
      <c r="F627" s="5" t="str">
        <f aca="false">[1]Base_Jugadores!E627</f>
        <v>MC</v>
      </c>
      <c r="G627" s="5" t="n">
        <f aca="false">[1]Base_Jugadores!F627</f>
        <v>75</v>
      </c>
      <c r="H627" s="5" t="n">
        <f aca="false">[1]Base_Jugadores!G627</f>
        <v>39</v>
      </c>
      <c r="I627" s="7" t="n">
        <f aca="false" t="array" ref="I627:I627">_xlfn.XLOOKUP(G627,{55;56;57;58;59;60;61;62;63;64;65;66;67;68;69;70;71;72;73;74;75;76;77;78;79;80;81;82;83;84;85;86;87;88;89;90;91;92;93;94;95;96;97;98;99},{100000;130000;160000;190000;220000;250000;300000;350000;400000;450000;500000;600000;700000;800000;900000;1000000;1500000;2000000;3000000;4000000;5000000;6500000;8000000;10000000;12500000;15000000;20000000;25000000;30000000;35000000;40000000;55000000;70000000;80000000;90000000;110000000;130000000;160000000;190000000;220000000;250000000;280000000;310000000;340000000;400000000})</f>
        <v>5000000</v>
      </c>
      <c r="J627" s="7" t="n">
        <f aca="false">I627*S627*T627*U627</f>
        <v>2280000</v>
      </c>
      <c r="K627" s="3"/>
      <c r="L627" s="3"/>
      <c r="M627" s="3"/>
      <c r="N627" s="9" t="n">
        <v>0</v>
      </c>
      <c r="O627" s="4" t="n">
        <v>0</v>
      </c>
      <c r="P627" s="5" t="n">
        <f aca="false">IF(COUNTIF([1]Base_Jugadores!J$2:J$500,B627)&gt;0,1,0)</f>
        <v>0</v>
      </c>
      <c r="Q627" s="10" t="b">
        <f aca="false">--(COUNTIFS(
   [1]Fichajes_Realizados!A$2:A$5000,A627,
   [1]Fichajes_Realizados!G$2:G$5000,$X$3
)&gt;0)</f>
        <v>0</v>
      </c>
      <c r="R627" s="5" t="n">
        <f aca="false">_xlfn.XLOOKUP(C627, [1]Estado_Equipos!A$2:A$500, [1]Estado_Equipos!J$2:J$500, "")</f>
        <v>76</v>
      </c>
      <c r="S627" s="5" t="n">
        <f aca="false">IF(H627&lt;=16,1.45,
IF(H627&gt;=41,0.3,
CHOOSE(ROUNDDOWN((H627-16)/2,0)+1,
1.45,1.38,1.3,1.23,1.17,1.15,1.12,1.05,0.95,0.8,0.6,0.4,0.3)))</f>
        <v>0.4</v>
      </c>
      <c r="T627" s="5" t="n">
        <f aca="false">CHOOSE(N627+1,1.2,1,0.85,0.7)</f>
        <v>1.2</v>
      </c>
      <c r="U627" s="5" t="n">
        <f aca="false">IF(F627="PO",0.6,
IF(F627="CT",0.75,
IF(F627="LI",0.8,
IF(F627="LD",0.8,
IF(F627="MCD",0.85,
IF(F627="MC",0.95,
IF(F627="MO",1.05,
IF(F627="EI",1.1,
IF(F627="ED",1.1,
IF(F627="SD",1.15,
IF(F627="DC",1.2,0)))))))))))</f>
        <v>0.95</v>
      </c>
    </row>
    <row r="628" customFormat="false" ht="16.4" hidden="false" customHeight="false" outlineLevel="0" collapsed="false">
      <c r="A628" s="1" t="n">
        <v>627</v>
      </c>
      <c r="B628" s="5" t="str">
        <f aca="false">[1]Base_Jugadores!B628</f>
        <v>Jason Steele</v>
      </c>
      <c r="C628" s="5" t="str">
        <f aca="false">IFERROR(
   _xlfn.XLOOKUP(VALUE(A628),[1]Fichajes_Realizados!A$2:A$50000,[1]Fichajes_Realizados!D$2:D$50000,,0,-1),
   _xlfn.XLOOKUP(VALUE(A628),[1]Base_Jugadores!A$2:A$50000,[1]Base_Jugadores!C$2:C$50000)
)</f>
        <v>Brighton &amp; Hove Albion</v>
      </c>
      <c r="D628" s="5" t="str">
        <f aca="false">[1]Base_Jugadores!D628</f>
        <v>Inglaterra</v>
      </c>
      <c r="E628" s="3"/>
      <c r="F628" s="5" t="str">
        <f aca="false">[1]Base_Jugadores!E628</f>
        <v>PO</v>
      </c>
      <c r="G628" s="5" t="n">
        <f aca="false">[1]Base_Jugadores!F628</f>
        <v>74</v>
      </c>
      <c r="H628" s="5" t="n">
        <f aca="false">[1]Base_Jugadores!G628</f>
        <v>35</v>
      </c>
      <c r="I628" s="7" t="n">
        <f aca="false" t="array" ref="I628:I628">_xlfn.XLOOKUP(G628,{55;56;57;58;59;60;61;62;63;64;65;66;67;68;69;70;71;72;73;74;75;76;77;78;79;80;81;82;83;84;85;86;87;88;89;90;91;92;93;94;95;96;97;98;99},{100000;130000;160000;190000;220000;250000;300000;350000;400000;450000;500000;600000;700000;800000;900000;1000000;1500000;2000000;3000000;4000000;5000000;6500000;8000000;10000000;12500000;15000000;20000000;25000000;30000000;35000000;40000000;55000000;70000000;80000000;90000000;110000000;130000000;160000000;190000000;220000000;250000000;280000000;310000000;340000000;400000000})</f>
        <v>4000000</v>
      </c>
      <c r="J628" s="7" t="n">
        <f aca="false">I628*S628*T628*U628</f>
        <v>1632000</v>
      </c>
      <c r="K628" s="3"/>
      <c r="L628" s="3"/>
      <c r="M628" s="3"/>
      <c r="N628" s="9" t="n">
        <v>2</v>
      </c>
      <c r="O628" s="4" t="n">
        <v>0</v>
      </c>
      <c r="P628" s="5" t="n">
        <f aca="false">IF(COUNTIF([1]Base_Jugadores!J$2:J$500,B628)&gt;0,1,0)</f>
        <v>0</v>
      </c>
      <c r="Q628" s="10" t="b">
        <f aca="false">--(COUNTIFS(
   [1]Fichajes_Realizados!A$2:A$5000,A628,
   [1]Fichajes_Realizados!G$2:G$5000,$X$3
)&gt;0)</f>
        <v>0</v>
      </c>
      <c r="R628" s="5" t="n">
        <f aca="false">_xlfn.XLOOKUP(C628, [1]Estado_Equipos!A$2:A$500, [1]Estado_Equipos!J$2:J$500, "")</f>
        <v>76</v>
      </c>
      <c r="S628" s="5" t="n">
        <f aca="false">IF(H628&lt;=16,1.45,
IF(H628&gt;=41,0.3,
CHOOSE(ROUNDDOWN((H628-16)/2,0)+1,
1.45,1.38,1.3,1.23,1.17,1.15,1.12,1.05,0.95,0.8,0.6,0.4,0.3)))</f>
        <v>0.8</v>
      </c>
      <c r="T628" s="5" t="n">
        <f aca="false">CHOOSE(N628+1,1.2,1,0.85,0.7)</f>
        <v>0.85</v>
      </c>
      <c r="U628" s="5" t="n">
        <f aca="false">IF(F628="PO",0.6,
IF(F628="CT",0.75,
IF(F628="LI",0.8,
IF(F628="LD",0.8,
IF(F628="MCD",0.85,
IF(F628="MC",0.95,
IF(F628="MO",1.05,
IF(F628="EI",1.1,
IF(F628="ED",1.1,
IF(F628="SD",1.15,
IF(F628="DC",1.2,0)))))))))))</f>
        <v>0.6</v>
      </c>
    </row>
    <row r="629" customFormat="false" ht="16.4" hidden="false" customHeight="false" outlineLevel="0" collapsed="false">
      <c r="A629" s="1" t="n">
        <v>628</v>
      </c>
      <c r="B629" s="5" t="str">
        <f aca="false">[1]Base_Jugadores!B629</f>
        <v>Joël Veltman</v>
      </c>
      <c r="C629" s="5" t="str">
        <f aca="false">IFERROR(
   _xlfn.XLOOKUP(VALUE(A629),[1]Fichajes_Realizados!A$2:A$50000,[1]Fichajes_Realizados!D$2:D$50000,,0,-1),
   _xlfn.XLOOKUP(VALUE(A629),[1]Base_Jugadores!A$2:A$50000,[1]Base_Jugadores!C$2:C$50000)
)</f>
        <v>Brighton &amp; Hove Albion</v>
      </c>
      <c r="D629" s="5" t="str">
        <f aca="false">[1]Base_Jugadores!D629</f>
        <v>Países Bajos</v>
      </c>
      <c r="E629" s="3"/>
      <c r="F629" s="5" t="str">
        <f aca="false">[1]Base_Jugadores!E629</f>
        <v>LD</v>
      </c>
      <c r="G629" s="5" t="n">
        <f aca="false">[1]Base_Jugadores!F629</f>
        <v>77</v>
      </c>
      <c r="H629" s="5" t="n">
        <f aca="false">[1]Base_Jugadores!G629</f>
        <v>33</v>
      </c>
      <c r="I629" s="7" t="n">
        <f aca="false" t="array" ref="I629:I629">_xlfn.XLOOKUP(G629,{55;56;57;58;59;60;61;62;63;64;65;66;67;68;69;70;71;72;73;74;75;76;77;78;79;80;81;82;83;84;85;86;87;88;89;90;91;92;93;94;95;96;97;98;99},{100000;130000;160000;190000;220000;250000;300000;350000;400000;450000;500000;600000;700000;800000;900000;1000000;1500000;2000000;3000000;4000000;5000000;6500000;8000000;10000000;12500000;15000000;20000000;25000000;30000000;35000000;40000000;55000000;70000000;80000000;90000000;110000000;130000000;160000000;190000000;220000000;250000000;280000000;310000000;340000000;400000000})</f>
        <v>8000000</v>
      </c>
      <c r="J629" s="7" t="n">
        <f aca="false">I629*S629*T629*U629</f>
        <v>7296000</v>
      </c>
      <c r="K629" s="3"/>
      <c r="L629" s="3"/>
      <c r="M629" s="3"/>
      <c r="N629" s="9" t="n">
        <v>0</v>
      </c>
      <c r="O629" s="4" t="n">
        <v>0</v>
      </c>
      <c r="P629" s="5" t="n">
        <f aca="false">IF(COUNTIF([1]Base_Jugadores!J$2:J$500,B629)&gt;0,1,0)</f>
        <v>0</v>
      </c>
      <c r="Q629" s="10" t="b">
        <f aca="false">--(COUNTIFS(
   [1]Fichajes_Realizados!A$2:A$5000,A629,
   [1]Fichajes_Realizados!G$2:G$5000,$X$3
)&gt;0)</f>
        <v>0</v>
      </c>
      <c r="R629" s="5" t="n">
        <f aca="false">_xlfn.XLOOKUP(C629, [1]Estado_Equipos!A$2:A$500, [1]Estado_Equipos!J$2:J$500, "")</f>
        <v>76</v>
      </c>
      <c r="S629" s="5" t="n">
        <f aca="false">IF(H629&lt;=16,1.45,
IF(H629&gt;=41,0.3,
CHOOSE(ROUNDDOWN((H629-16)/2,0)+1,
1.45,1.38,1.3,1.23,1.17,1.15,1.12,1.05,0.95,0.8,0.6,0.4,0.3)))</f>
        <v>0.95</v>
      </c>
      <c r="T629" s="5" t="n">
        <f aca="false">CHOOSE(N629+1,1.2,1,0.85,0.7)</f>
        <v>1.2</v>
      </c>
      <c r="U629" s="5" t="n">
        <f aca="false">IF(F629="PO",0.6,
IF(F629="CT",0.75,
IF(F629="LI",0.8,
IF(F629="LD",0.8,
IF(F629="MCD",0.85,
IF(F629="MC",0.95,
IF(F629="MO",1.05,
IF(F629="EI",1.1,
IF(F629="ED",1.1,
IF(F629="SD",1.15,
IF(F629="DC",1.2,0)))))))))))</f>
        <v>0.8</v>
      </c>
    </row>
    <row r="630" customFormat="false" ht="16.4" hidden="false" customHeight="false" outlineLevel="0" collapsed="false">
      <c r="A630" s="1" t="n">
        <v>629</v>
      </c>
      <c r="B630" s="5" t="str">
        <f aca="false">[1]Base_Jugadores!B630</f>
        <v>Kaoru Mitoma</v>
      </c>
      <c r="C630" s="5" t="str">
        <f aca="false">IFERROR(
   _xlfn.XLOOKUP(VALUE(A630),[1]Fichajes_Realizados!A$2:A$50000,[1]Fichajes_Realizados!D$2:D$50000,,0,-1),
   _xlfn.XLOOKUP(VALUE(A630),[1]Base_Jugadores!A$2:A$50000,[1]Base_Jugadores!C$2:C$50000)
)</f>
        <v>Brighton &amp; Hove Albion</v>
      </c>
      <c r="D630" s="5" t="str">
        <f aca="false">[1]Base_Jugadores!D630</f>
        <v>Japón</v>
      </c>
      <c r="E630" s="3"/>
      <c r="F630" s="5" t="str">
        <f aca="false">[1]Base_Jugadores!E630</f>
        <v>EI</v>
      </c>
      <c r="G630" s="5" t="n">
        <f aca="false">[1]Base_Jugadores!F630</f>
        <v>81</v>
      </c>
      <c r="H630" s="5" t="n">
        <f aca="false">[1]Base_Jugadores!G630</f>
        <v>28</v>
      </c>
      <c r="I630" s="7" t="n">
        <f aca="false" t="array" ref="I630:I630">_xlfn.XLOOKUP(G630,{55;56;57;58;59;60;61;62;63;64;65;66;67;68;69;70;71;72;73;74;75;76;77;78;79;80;81;82;83;84;85;86;87;88;89;90;91;92;93;94;95;96;97;98;99},{100000;130000;160000;190000;220000;250000;300000;350000;400000;450000;500000;600000;700000;800000;900000;1000000;1500000;2000000;3000000;4000000;5000000;6500000;8000000;10000000;12500000;15000000;20000000;25000000;30000000;35000000;40000000;55000000;70000000;80000000;90000000;110000000;130000000;160000000;190000000;220000000;250000000;280000000;310000000;340000000;400000000})</f>
        <v>20000000</v>
      </c>
      <c r="J630" s="7" t="n">
        <f aca="false">I630*S630*T630*U630</f>
        <v>29568000</v>
      </c>
      <c r="K630" s="3"/>
      <c r="L630" s="3"/>
      <c r="M630" s="3"/>
      <c r="N630" s="9" t="n">
        <v>0</v>
      </c>
      <c r="O630" s="4" t="n">
        <v>0</v>
      </c>
      <c r="P630" s="5" t="n">
        <f aca="false">IF(COUNTIF([1]Base_Jugadores!J$2:J$500,B630)&gt;0,1,0)</f>
        <v>0</v>
      </c>
      <c r="Q630" s="10" t="b">
        <f aca="false">--(COUNTIFS(
   [1]Fichajes_Realizados!A$2:A$5000,A630,
   [1]Fichajes_Realizados!G$2:G$5000,$X$3
)&gt;0)</f>
        <v>0</v>
      </c>
      <c r="R630" s="5" t="n">
        <f aca="false">_xlfn.XLOOKUP(C630, [1]Estado_Equipos!A$2:A$500, [1]Estado_Equipos!J$2:J$500, "")</f>
        <v>76</v>
      </c>
      <c r="S630" s="5" t="n">
        <f aca="false">IF(H630&lt;=16,1.45,
IF(H630&gt;=41,0.3,
CHOOSE(ROUNDDOWN((H630-16)/2,0)+1,
1.45,1.38,1.3,1.23,1.17,1.15,1.12,1.05,0.95,0.8,0.6,0.4,0.3)))</f>
        <v>1.12</v>
      </c>
      <c r="T630" s="5" t="n">
        <f aca="false">CHOOSE(N630+1,1.2,1,0.85,0.7)</f>
        <v>1.2</v>
      </c>
      <c r="U630" s="5" t="n">
        <f aca="false">IF(F630="PO",0.6,
IF(F630="CT",0.75,
IF(F630="LI",0.8,
IF(F630="LD",0.8,
IF(F630="MCD",0.85,
IF(F630="MC",0.95,
IF(F630="MO",1.05,
IF(F630="EI",1.1,
IF(F630="ED",1.1,
IF(F630="SD",1.15,
IF(F630="DC",1.2,0)))))))))))</f>
        <v>1.1</v>
      </c>
    </row>
    <row r="631" customFormat="false" ht="16.4" hidden="false" customHeight="false" outlineLevel="0" collapsed="false">
      <c r="A631" s="1" t="n">
        <v>630</v>
      </c>
      <c r="B631" s="5" t="str">
        <f aca="false">[1]Base_Jugadores!B631</f>
        <v>Lewis Dunk</v>
      </c>
      <c r="C631" s="5" t="str">
        <f aca="false">IFERROR(
   _xlfn.XLOOKUP(VALUE(A631),[1]Fichajes_Realizados!A$2:A$50000,[1]Fichajes_Realizados!D$2:D$50000,,0,-1),
   _xlfn.XLOOKUP(VALUE(A631),[1]Base_Jugadores!A$2:A$50000,[1]Base_Jugadores!C$2:C$50000)
)</f>
        <v>Brighton &amp; Hove Albion</v>
      </c>
      <c r="D631" s="5" t="str">
        <f aca="false">[1]Base_Jugadores!D631</f>
        <v>Inglaterra</v>
      </c>
      <c r="E631" s="3"/>
      <c r="F631" s="5" t="str">
        <f aca="false">[1]Base_Jugadores!E631</f>
        <v>CT</v>
      </c>
      <c r="G631" s="5" t="n">
        <f aca="false">[1]Base_Jugadores!F631</f>
        <v>79</v>
      </c>
      <c r="H631" s="5" t="n">
        <f aca="false">[1]Base_Jugadores!G631</f>
        <v>34</v>
      </c>
      <c r="I631" s="7" t="n">
        <f aca="false" t="array" ref="I631:I631">_xlfn.XLOOKUP(G631,{55;56;57;58;59;60;61;62;63;64;65;66;67;68;69;70;71;72;73;74;75;76;77;78;79;80;81;82;83;84;85;86;87;88;89;90;91;92;93;94;95;96;97;98;99},{100000;130000;160000;190000;220000;250000;300000;350000;400000;450000;500000;600000;700000;800000;900000;1000000;1500000;2000000;3000000;4000000;5000000;6500000;8000000;10000000;12500000;15000000;20000000;25000000;30000000;35000000;40000000;55000000;70000000;80000000;90000000;110000000;130000000;160000000;190000000;220000000;250000000;280000000;310000000;340000000;400000000})</f>
        <v>12500000</v>
      </c>
      <c r="J631" s="7" t="n">
        <f aca="false">I631*S631*T631*U631</f>
        <v>9000000</v>
      </c>
      <c r="K631" s="3"/>
      <c r="L631" s="3"/>
      <c r="M631" s="3"/>
      <c r="N631" s="9" t="n">
        <v>0</v>
      </c>
      <c r="O631" s="4" t="n">
        <v>0</v>
      </c>
      <c r="P631" s="5" t="n">
        <f aca="false">IF(COUNTIF([1]Base_Jugadores!J$2:J$500,B631)&gt;0,1,0)</f>
        <v>0</v>
      </c>
      <c r="Q631" s="10" t="b">
        <f aca="false">--(COUNTIFS(
   [1]Fichajes_Realizados!A$2:A$5000,A631,
   [1]Fichajes_Realizados!G$2:G$5000,$X$3
)&gt;0)</f>
        <v>0</v>
      </c>
      <c r="R631" s="5" t="n">
        <f aca="false">_xlfn.XLOOKUP(C631, [1]Estado_Equipos!A$2:A$500, [1]Estado_Equipos!J$2:J$500, "")</f>
        <v>76</v>
      </c>
      <c r="S631" s="5" t="n">
        <f aca="false">IF(H631&lt;=16,1.45,
IF(H631&gt;=41,0.3,
CHOOSE(ROUNDDOWN((H631-16)/2,0)+1,
1.45,1.38,1.3,1.23,1.17,1.15,1.12,1.05,0.95,0.8,0.6,0.4,0.3)))</f>
        <v>0.8</v>
      </c>
      <c r="T631" s="5" t="n">
        <f aca="false">CHOOSE(N631+1,1.2,1,0.85,0.7)</f>
        <v>1.2</v>
      </c>
      <c r="U631" s="5" t="n">
        <f aca="false">IF(F631="PO",0.6,
IF(F631="CT",0.75,
IF(F631="LI",0.8,
IF(F631="LD",0.8,
IF(F631="MCD",0.85,
IF(F631="MC",0.95,
IF(F631="MO",1.05,
IF(F631="EI",1.1,
IF(F631="ED",1.1,
IF(F631="SD",1.15,
IF(F631="DC",1.2,0)))))))))))</f>
        <v>0.75</v>
      </c>
    </row>
    <row r="632" customFormat="false" ht="16.4" hidden="false" customHeight="false" outlineLevel="0" collapsed="false">
      <c r="A632" s="1" t="n">
        <v>631</v>
      </c>
      <c r="B632" s="5" t="str">
        <f aca="false">[1]Base_Jugadores!B632</f>
        <v>Mats Wieffer</v>
      </c>
      <c r="C632" s="5" t="str">
        <f aca="false">IFERROR(
   _xlfn.XLOOKUP(VALUE(A632),[1]Fichajes_Realizados!A$2:A$50000,[1]Fichajes_Realizados!D$2:D$50000,,0,-1),
   _xlfn.XLOOKUP(VALUE(A632),[1]Base_Jugadores!A$2:A$50000,[1]Base_Jugadores!C$2:C$50000)
)</f>
        <v>Brighton &amp; Hove Albion</v>
      </c>
      <c r="D632" s="5" t="str">
        <f aca="false">[1]Base_Jugadores!D632</f>
        <v>Países Bajos</v>
      </c>
      <c r="E632" s="3"/>
      <c r="F632" s="5" t="str">
        <f aca="false">[1]Base_Jugadores!E632</f>
        <v>MCD</v>
      </c>
      <c r="G632" s="5" t="n">
        <f aca="false">[1]Base_Jugadores!F632</f>
        <v>80</v>
      </c>
      <c r="H632" s="5" t="n">
        <f aca="false">[1]Base_Jugadores!G632</f>
        <v>26</v>
      </c>
      <c r="I632" s="7" t="n">
        <f aca="false" t="array" ref="I632:I632">_xlfn.XLOOKUP(G632,{55;56;57;58;59;60;61;62;63;64;65;66;67;68;69;70;71;72;73;74;75;76;77;78;79;80;81;82;83;84;85;86;87;88;89;90;91;92;93;94;95;96;97;98;99},{100000;130000;160000;190000;220000;250000;300000;350000;400000;450000;500000;600000;700000;800000;900000;1000000;1500000;2000000;3000000;4000000;5000000;6500000;8000000;10000000;12500000;15000000;20000000;25000000;30000000;35000000;40000000;55000000;70000000;80000000;90000000;110000000;130000000;160000000;190000000;220000000;250000000;280000000;310000000;340000000;400000000})</f>
        <v>15000000</v>
      </c>
      <c r="J632" s="7" t="n">
        <f aca="false">I632*S632*T632*U632</f>
        <v>17595000</v>
      </c>
      <c r="K632" s="3"/>
      <c r="L632" s="3"/>
      <c r="M632" s="3"/>
      <c r="N632" s="9" t="n">
        <v>0</v>
      </c>
      <c r="O632" s="4" t="n">
        <v>0</v>
      </c>
      <c r="P632" s="5" t="n">
        <f aca="false">IF(COUNTIF([1]Base_Jugadores!J$2:J$500,B632)&gt;0,1,0)</f>
        <v>0</v>
      </c>
      <c r="Q632" s="10" t="b">
        <f aca="false">--(COUNTIFS(
   [1]Fichajes_Realizados!A$2:A$5000,A632,
   [1]Fichajes_Realizados!G$2:G$5000,$X$3
)&gt;0)</f>
        <v>0</v>
      </c>
      <c r="R632" s="5" t="n">
        <f aca="false">_xlfn.XLOOKUP(C632, [1]Estado_Equipos!A$2:A$500, [1]Estado_Equipos!J$2:J$500, "")</f>
        <v>76</v>
      </c>
      <c r="S632" s="5" t="n">
        <f aca="false">IF(H632&lt;=16,1.45,
IF(H632&gt;=41,0.3,
CHOOSE(ROUNDDOWN((H632-16)/2,0)+1,
1.45,1.38,1.3,1.23,1.17,1.15,1.12,1.05,0.95,0.8,0.6,0.4,0.3)))</f>
        <v>1.15</v>
      </c>
      <c r="T632" s="5" t="n">
        <f aca="false">CHOOSE(N632+1,1.2,1,0.85,0.7)</f>
        <v>1.2</v>
      </c>
      <c r="U632" s="5" t="n">
        <f aca="false">IF(F632="PO",0.6,
IF(F632="CT",0.75,
IF(F632="LI",0.8,
IF(F632="LD",0.8,
IF(F632="MCD",0.85,
IF(F632="MC",0.95,
IF(F632="MO",1.05,
IF(F632="EI",1.1,
IF(F632="ED",1.1,
IF(F632="SD",1.15,
IF(F632="DC",1.2,0)))))))))))</f>
        <v>0.85</v>
      </c>
    </row>
    <row r="633" customFormat="false" ht="16.4" hidden="false" customHeight="false" outlineLevel="0" collapsed="false">
      <c r="A633" s="1" t="n">
        <v>632</v>
      </c>
      <c r="B633" s="5" t="str">
        <f aca="false">[1]Base_Jugadores!B633</f>
        <v>Maxim De Cuyper</v>
      </c>
      <c r="C633" s="5" t="str">
        <f aca="false">IFERROR(
   _xlfn.XLOOKUP(VALUE(A633),[1]Fichajes_Realizados!A$2:A$50000,[1]Fichajes_Realizados!D$2:D$50000,,0,-1),
   _xlfn.XLOOKUP(VALUE(A633),[1]Base_Jugadores!A$2:A$50000,[1]Base_Jugadores!C$2:C$50000)
)</f>
        <v>Brighton &amp; Hove Albion</v>
      </c>
      <c r="D633" s="5" t="str">
        <f aca="false">[1]Base_Jugadores!D633</f>
        <v>Bélgica</v>
      </c>
      <c r="E633" s="3"/>
      <c r="F633" s="5" t="str">
        <f aca="false">[1]Base_Jugadores!E633</f>
        <v>LI</v>
      </c>
      <c r="G633" s="5" t="n">
        <f aca="false">[1]Base_Jugadores!F633</f>
        <v>78</v>
      </c>
      <c r="H633" s="5" t="n">
        <f aca="false">[1]Base_Jugadores!G633</f>
        <v>25</v>
      </c>
      <c r="I633" s="7" t="n">
        <f aca="false" t="array" ref="I633:I633">_xlfn.XLOOKUP(G633,{55;56;57;58;59;60;61;62;63;64;65;66;67;68;69;70;71;72;73;74;75;76;77;78;79;80;81;82;83;84;85;86;87;88;89;90;91;92;93;94;95;96;97;98;99},{100000;130000;160000;190000;220000;250000;300000;350000;400000;450000;500000;600000;700000;800000;900000;1000000;1500000;2000000;3000000;4000000;5000000;6500000;8000000;10000000;12500000;15000000;20000000;25000000;30000000;35000000;40000000;55000000;70000000;80000000;90000000;110000000;130000000;160000000;190000000;220000000;250000000;280000000;310000000;340000000;400000000})</f>
        <v>10000000</v>
      </c>
      <c r="J633" s="7" t="n">
        <f aca="false">I633*S633*T633*U633</f>
        <v>9360000</v>
      </c>
      <c r="K633" s="3"/>
      <c r="L633" s="3"/>
      <c r="M633" s="3"/>
      <c r="N633" s="9" t="n">
        <v>1</v>
      </c>
      <c r="O633" s="4" t="n">
        <v>0</v>
      </c>
      <c r="P633" s="5" t="n">
        <f aca="false">IF(COUNTIF([1]Base_Jugadores!J$2:J$500,B633)&gt;0,1,0)</f>
        <v>0</v>
      </c>
      <c r="Q633" s="10" t="b">
        <f aca="false">--(COUNTIFS(
   [1]Fichajes_Realizados!A$2:A$5000,A633,
   [1]Fichajes_Realizados!G$2:G$5000,$X$3
)&gt;0)</f>
        <v>0</v>
      </c>
      <c r="R633" s="5" t="n">
        <f aca="false">_xlfn.XLOOKUP(C633, [1]Estado_Equipos!A$2:A$500, [1]Estado_Equipos!J$2:J$500, "")</f>
        <v>76</v>
      </c>
      <c r="S633" s="5" t="n">
        <f aca="false">IF(H633&lt;=16,1.45,
IF(H633&gt;=41,0.3,
CHOOSE(ROUNDDOWN((H633-16)/2,0)+1,
1.45,1.38,1.3,1.23,1.17,1.15,1.12,1.05,0.95,0.8,0.6,0.4,0.3)))</f>
        <v>1.17</v>
      </c>
      <c r="T633" s="5" t="n">
        <f aca="false">CHOOSE(N633+1,1.2,1,0.85,0.7)</f>
        <v>1</v>
      </c>
      <c r="U633" s="5" t="n">
        <f aca="false">IF(F633="PO",0.6,
IF(F633="CT",0.75,
IF(F633="LI",0.8,
IF(F633="LD",0.8,
IF(F633="MCD",0.85,
IF(F633="MC",0.95,
IF(F633="MO",1.05,
IF(F633="EI",1.1,
IF(F633="ED",1.1,
IF(F633="SD",1.15,
IF(F633="DC",1.2,0)))))))))))</f>
        <v>0.8</v>
      </c>
    </row>
    <row r="634" customFormat="false" ht="16.4" hidden="false" customHeight="false" outlineLevel="0" collapsed="false">
      <c r="A634" s="1" t="n">
        <v>633</v>
      </c>
      <c r="B634" s="5" t="str">
        <f aca="false">[1]Base_Jugadores!B634</f>
        <v>Olivier Boscagli</v>
      </c>
      <c r="C634" s="5" t="str">
        <f aca="false">IFERROR(
   _xlfn.XLOOKUP(VALUE(A634),[1]Fichajes_Realizados!A$2:A$50000,[1]Fichajes_Realizados!D$2:D$50000,,0,-1),
   _xlfn.XLOOKUP(VALUE(A634),[1]Base_Jugadores!A$2:A$50000,[1]Base_Jugadores!C$2:C$50000)
)</f>
        <v>Brighton &amp; Hove Albion</v>
      </c>
      <c r="D634" s="5" t="str">
        <f aca="false">[1]Base_Jugadores!D634</f>
        <v>Francia</v>
      </c>
      <c r="E634" s="3"/>
      <c r="F634" s="5" t="str">
        <f aca="false">[1]Base_Jugadores!E634</f>
        <v>CT</v>
      </c>
      <c r="G634" s="5" t="n">
        <f aca="false">[1]Base_Jugadores!F634</f>
        <v>80</v>
      </c>
      <c r="H634" s="5" t="n">
        <f aca="false">[1]Base_Jugadores!G634</f>
        <v>28</v>
      </c>
      <c r="I634" s="7" t="n">
        <f aca="false" t="array" ref="I634:I634">_xlfn.XLOOKUP(G634,{55;56;57;58;59;60;61;62;63;64;65;66;67;68;69;70;71;72;73;74;75;76;77;78;79;80;81;82;83;84;85;86;87;88;89;90;91;92;93;94;95;96;97;98;99},{100000;130000;160000;190000;220000;250000;300000;350000;400000;450000;500000;600000;700000;800000;900000;1000000;1500000;2000000;3000000;4000000;5000000;6500000;8000000;10000000;12500000;15000000;20000000;25000000;30000000;35000000;40000000;55000000;70000000;80000000;90000000;110000000;130000000;160000000;190000000;220000000;250000000;280000000;310000000;340000000;400000000})</f>
        <v>15000000</v>
      </c>
      <c r="J634" s="7" t="n">
        <f aca="false">I634*S634*T634*U634</f>
        <v>15120000</v>
      </c>
      <c r="K634" s="3"/>
      <c r="L634" s="3"/>
      <c r="M634" s="3"/>
      <c r="N634" s="9" t="n">
        <v>0</v>
      </c>
      <c r="O634" s="4" t="n">
        <v>0</v>
      </c>
      <c r="P634" s="5" t="n">
        <f aca="false">IF(COUNTIF([1]Base_Jugadores!J$2:J$500,B634)&gt;0,1,0)</f>
        <v>0</v>
      </c>
      <c r="Q634" s="10" t="b">
        <f aca="false">--(COUNTIFS(
   [1]Fichajes_Realizados!A$2:A$5000,A634,
   [1]Fichajes_Realizados!G$2:G$5000,$X$3
)&gt;0)</f>
        <v>0</v>
      </c>
      <c r="R634" s="5" t="n">
        <f aca="false">_xlfn.XLOOKUP(C634, [1]Estado_Equipos!A$2:A$500, [1]Estado_Equipos!J$2:J$500, "")</f>
        <v>76</v>
      </c>
      <c r="S634" s="5" t="n">
        <f aca="false">IF(H634&lt;=16,1.45,
IF(H634&gt;=41,0.3,
CHOOSE(ROUNDDOWN((H634-16)/2,0)+1,
1.45,1.38,1.3,1.23,1.17,1.15,1.12,1.05,0.95,0.8,0.6,0.4,0.3)))</f>
        <v>1.12</v>
      </c>
      <c r="T634" s="5" t="n">
        <f aca="false">CHOOSE(N634+1,1.2,1,0.85,0.7)</f>
        <v>1.2</v>
      </c>
      <c r="U634" s="5" t="n">
        <f aca="false">IF(F634="PO",0.6,
IF(F634="CT",0.75,
IF(F634="LI",0.8,
IF(F634="LD",0.8,
IF(F634="MCD",0.85,
IF(F634="MC",0.95,
IF(F634="MO",1.05,
IF(F634="EI",1.1,
IF(F634="ED",1.1,
IF(F634="SD",1.15,
IF(F634="DC",1.2,0)))))))))))</f>
        <v>0.75</v>
      </c>
    </row>
    <row r="635" customFormat="false" ht="16.4" hidden="false" customHeight="false" outlineLevel="0" collapsed="false">
      <c r="A635" s="1" t="n">
        <v>634</v>
      </c>
      <c r="B635" s="5" t="str">
        <f aca="false">[1]Base_Jugadores!B635</f>
        <v>Solly March</v>
      </c>
      <c r="C635" s="5" t="str">
        <f aca="false">IFERROR(
   _xlfn.XLOOKUP(VALUE(A635),[1]Fichajes_Realizados!A$2:A$50000,[1]Fichajes_Realizados!D$2:D$50000,,0,-1),
   _xlfn.XLOOKUP(VALUE(A635),[1]Base_Jugadores!A$2:A$50000,[1]Base_Jugadores!C$2:C$50000)
)</f>
        <v>Brighton &amp; Hove Albion</v>
      </c>
      <c r="D635" s="5" t="str">
        <f aca="false">[1]Base_Jugadores!D635</f>
        <v>Inglaterra</v>
      </c>
      <c r="E635" s="3"/>
      <c r="F635" s="5" t="str">
        <f aca="false">[1]Base_Jugadores!E635</f>
        <v>ED</v>
      </c>
      <c r="G635" s="5" t="n">
        <f aca="false">[1]Base_Jugadores!F635</f>
        <v>78</v>
      </c>
      <c r="H635" s="5" t="n">
        <f aca="false">[1]Base_Jugadores!G635</f>
        <v>31</v>
      </c>
      <c r="I635" s="7" t="n">
        <f aca="false" t="array" ref="I635:I635">_xlfn.XLOOKUP(G635,{55;56;57;58;59;60;61;62;63;64;65;66;67;68;69;70;71;72;73;74;75;76;77;78;79;80;81;82;83;84;85;86;87;88;89;90;91;92;93;94;95;96;97;98;99},{100000;130000;160000;190000;220000;250000;300000;350000;400000;450000;500000;600000;700000;800000;900000;1000000;1500000;2000000;3000000;4000000;5000000;6500000;8000000;10000000;12500000;15000000;20000000;25000000;30000000;35000000;40000000;55000000;70000000;80000000;90000000;110000000;130000000;160000000;190000000;220000000;250000000;280000000;310000000;340000000;400000000})</f>
        <v>10000000</v>
      </c>
      <c r="J635" s="7" t="n">
        <f aca="false">I635*S635*T635*U635</f>
        <v>13860000</v>
      </c>
      <c r="K635" s="3"/>
      <c r="L635" s="3"/>
      <c r="M635" s="3"/>
      <c r="N635" s="9" t="n">
        <v>0</v>
      </c>
      <c r="O635" s="4" t="n">
        <v>0</v>
      </c>
      <c r="P635" s="5" t="n">
        <f aca="false">IF(COUNTIF([1]Base_Jugadores!J$2:J$500,B635)&gt;0,1,0)</f>
        <v>0</v>
      </c>
      <c r="Q635" s="10" t="b">
        <f aca="false">--(COUNTIFS(
   [1]Fichajes_Realizados!A$2:A$5000,A635,
   [1]Fichajes_Realizados!G$2:G$5000,$X$3
)&gt;0)</f>
        <v>0</v>
      </c>
      <c r="R635" s="5" t="n">
        <f aca="false">_xlfn.XLOOKUP(C635, [1]Estado_Equipos!A$2:A$500, [1]Estado_Equipos!J$2:J$500, "")</f>
        <v>76</v>
      </c>
      <c r="S635" s="5" t="n">
        <f aca="false">IF(H635&lt;=16,1.45,
IF(H635&gt;=41,0.3,
CHOOSE(ROUNDDOWN((H635-16)/2,0)+1,
1.45,1.38,1.3,1.23,1.17,1.15,1.12,1.05,0.95,0.8,0.6,0.4,0.3)))</f>
        <v>1.05</v>
      </c>
      <c r="T635" s="5" t="n">
        <f aca="false">CHOOSE(N635+1,1.2,1,0.85,0.7)</f>
        <v>1.2</v>
      </c>
      <c r="U635" s="5" t="n">
        <f aca="false">IF(F635="PO",0.6,
IF(F635="CT",0.75,
IF(F635="LI",0.8,
IF(F635="LD",0.8,
IF(F635="MCD",0.85,
IF(F635="MC",0.95,
IF(F635="MO",1.05,
IF(F635="EI",1.1,
IF(F635="ED",1.1,
IF(F635="SD",1.15,
IF(F635="DC",1.2,0)))))))))))</f>
        <v>1.1</v>
      </c>
    </row>
    <row r="636" customFormat="false" ht="16.4" hidden="false" customHeight="false" outlineLevel="0" collapsed="false">
      <c r="A636" s="1" t="n">
        <v>635</v>
      </c>
      <c r="B636" s="5" t="str">
        <f aca="false">[1]Base_Jugadores!B636</f>
        <v>Tom McGill</v>
      </c>
      <c r="C636" s="5" t="str">
        <f aca="false">IFERROR(
   _xlfn.XLOOKUP(VALUE(A636),[1]Fichajes_Realizados!A$2:A$50000,[1]Fichajes_Realizados!D$2:D$50000,,0,-1),
   _xlfn.XLOOKUP(VALUE(A636),[1]Base_Jugadores!A$2:A$50000,[1]Base_Jugadores!C$2:C$50000)
)</f>
        <v>Brighton &amp; Hove Albion</v>
      </c>
      <c r="D636" s="5" t="str">
        <f aca="false">[1]Base_Jugadores!D636</f>
        <v>Canadá</v>
      </c>
      <c r="E636" s="3"/>
      <c r="F636" s="5" t="str">
        <f aca="false">[1]Base_Jugadores!E636</f>
        <v>PO</v>
      </c>
      <c r="G636" s="5" t="n">
        <f aca="false">[1]Base_Jugadores!F636</f>
        <v>69</v>
      </c>
      <c r="H636" s="5" t="n">
        <f aca="false">[1]Base_Jugadores!G636</f>
        <v>25</v>
      </c>
      <c r="I636" s="7" t="n">
        <f aca="false" t="array" ref="I636:I636">_xlfn.XLOOKUP(G636,{55;56;57;58;59;60;61;62;63;64;65;66;67;68;69;70;71;72;73;74;75;76;77;78;79;80;81;82;83;84;85;86;87;88;89;90;91;92;93;94;95;96;97;98;99},{100000;130000;160000;190000;220000;250000;300000;350000;400000;450000;500000;600000;700000;800000;900000;1000000;1500000;2000000;3000000;4000000;5000000;6500000;8000000;10000000;12500000;15000000;20000000;25000000;30000000;35000000;40000000;55000000;70000000;80000000;90000000;110000000;130000000;160000000;190000000;220000000;250000000;280000000;310000000;340000000;400000000})</f>
        <v>900000</v>
      </c>
      <c r="J636" s="7" t="n">
        <f aca="false">I636*S636*T636*U636</f>
        <v>537030</v>
      </c>
      <c r="K636" s="3"/>
      <c r="L636" s="3"/>
      <c r="M636" s="3"/>
      <c r="N636" s="9" t="n">
        <v>2</v>
      </c>
      <c r="O636" s="4" t="n">
        <v>0</v>
      </c>
      <c r="P636" s="5" t="n">
        <f aca="false">IF(COUNTIF([1]Base_Jugadores!J$2:J$500,B636)&gt;0,1,0)</f>
        <v>0</v>
      </c>
      <c r="Q636" s="10" t="b">
        <f aca="false">--(COUNTIFS(
   [1]Fichajes_Realizados!A$2:A$5000,A636,
   [1]Fichajes_Realizados!G$2:G$5000,$X$3
)&gt;0)</f>
        <v>0</v>
      </c>
      <c r="R636" s="5" t="n">
        <f aca="false">_xlfn.XLOOKUP(C636, [1]Estado_Equipos!A$2:A$500, [1]Estado_Equipos!J$2:J$500, "")</f>
        <v>76</v>
      </c>
      <c r="S636" s="5" t="n">
        <f aca="false">IF(H636&lt;=16,1.45,
IF(H636&gt;=41,0.3,
CHOOSE(ROUNDDOWN((H636-16)/2,0)+1,
1.45,1.38,1.3,1.23,1.17,1.15,1.12,1.05,0.95,0.8,0.6,0.4,0.3)))</f>
        <v>1.17</v>
      </c>
      <c r="T636" s="5" t="n">
        <f aca="false">CHOOSE(N636+1,1.2,1,0.85,0.7)</f>
        <v>0.85</v>
      </c>
      <c r="U636" s="5" t="n">
        <f aca="false">IF(F636="PO",0.6,
IF(F636="CT",0.75,
IF(F636="LI",0.8,
IF(F636="LD",0.8,
IF(F636="MCD",0.85,
IF(F636="MC",0.95,
IF(F636="MO",1.05,
IF(F636="EI",1.1,
IF(F636="ED",1.1,
IF(F636="SD",1.15,
IF(F636="DC",1.2,0)))))))))))</f>
        <v>0.6</v>
      </c>
    </row>
    <row r="637" customFormat="false" ht="16.4" hidden="false" customHeight="false" outlineLevel="0" collapsed="false">
      <c r="A637" s="1" t="n">
        <v>636</v>
      </c>
      <c r="B637" s="5" t="str">
        <f aca="false">[1]Base_Jugadores!B637</f>
        <v>Yankuba Minteh</v>
      </c>
      <c r="C637" s="5" t="str">
        <f aca="false">IFERROR(
   _xlfn.XLOOKUP(VALUE(A637),[1]Fichajes_Realizados!A$2:A$50000,[1]Fichajes_Realizados!D$2:D$50000,,0,-1),
   _xlfn.XLOOKUP(VALUE(A637),[1]Base_Jugadores!A$2:A$50000,[1]Base_Jugadores!C$2:C$50000)
)</f>
        <v>Brighton &amp; Hove Albion</v>
      </c>
      <c r="D637" s="5" t="str">
        <f aca="false">[1]Base_Jugadores!D637</f>
        <v>Gambia</v>
      </c>
      <c r="E637" s="3"/>
      <c r="F637" s="5" t="str">
        <f aca="false">[1]Base_Jugadores!E637</f>
        <v>ED</v>
      </c>
      <c r="G637" s="5" t="n">
        <f aca="false">[1]Base_Jugadores!F637</f>
        <v>76</v>
      </c>
      <c r="H637" s="5" t="n">
        <f aca="false">[1]Base_Jugadores!G637</f>
        <v>21</v>
      </c>
      <c r="I637" s="7" t="n">
        <f aca="false" t="array" ref="I637:I637">_xlfn.XLOOKUP(G637,{55;56;57;58;59;60;61;62;63;64;65;66;67;68;69;70;71;72;73;74;75;76;77;78;79;80;81;82;83;84;85;86;87;88;89;90;91;92;93;94;95;96;97;98;99},{100000;130000;160000;190000;220000;250000;300000;350000;400000;450000;500000;600000;700000;800000;900000;1000000;1500000;2000000;3000000;4000000;5000000;6500000;8000000;10000000;12500000;15000000;20000000;25000000;30000000;35000000;40000000;55000000;70000000;80000000;90000000;110000000;130000000;160000000;190000000;220000000;250000000;280000000;310000000;340000000;400000000})</f>
        <v>6500000</v>
      </c>
      <c r="J637" s="7" t="n">
        <f aca="false">I637*S637*T637*U637</f>
        <v>9295000</v>
      </c>
      <c r="K637" s="3"/>
      <c r="L637" s="3"/>
      <c r="M637" s="3"/>
      <c r="N637" s="9" t="n">
        <v>1</v>
      </c>
      <c r="O637" s="4" t="n">
        <v>0</v>
      </c>
      <c r="P637" s="5" t="n">
        <f aca="false">IF(COUNTIF([1]Base_Jugadores!J$2:J$500,B637)&gt;0,1,0)</f>
        <v>0</v>
      </c>
      <c r="Q637" s="10" t="b">
        <f aca="false">--(COUNTIFS(
   [1]Fichajes_Realizados!A$2:A$5000,A637,
   [1]Fichajes_Realizados!G$2:G$5000,$X$3
)&gt;0)</f>
        <v>0</v>
      </c>
      <c r="R637" s="5" t="n">
        <f aca="false">_xlfn.XLOOKUP(C637, [1]Estado_Equipos!A$2:A$500, [1]Estado_Equipos!J$2:J$500, "")</f>
        <v>76</v>
      </c>
      <c r="S637" s="5" t="n">
        <f aca="false">IF(H637&lt;=16,1.45,
IF(H637&gt;=41,0.3,
CHOOSE(ROUNDDOWN((H637-16)/2,0)+1,
1.45,1.38,1.3,1.23,1.17,1.15,1.12,1.05,0.95,0.8,0.6,0.4,0.3)))</f>
        <v>1.3</v>
      </c>
      <c r="T637" s="5" t="n">
        <f aca="false">CHOOSE(N637+1,1.2,1,0.85,0.7)</f>
        <v>1</v>
      </c>
      <c r="U637" s="5" t="n">
        <f aca="false">IF(F637="PO",0.6,
IF(F637="CT",0.75,
IF(F637="LI",0.8,
IF(F637="LD",0.8,
IF(F637="MCD",0.85,
IF(F637="MC",0.95,
IF(F637="MO",1.05,
IF(F637="EI",1.1,
IF(F637="ED",1.1,
IF(F637="SD",1.15,
IF(F637="DC",1.2,0)))))))))))</f>
        <v>1.1</v>
      </c>
    </row>
    <row r="638" customFormat="false" ht="16.4" hidden="false" customHeight="false" outlineLevel="0" collapsed="false">
      <c r="A638" s="1" t="n">
        <v>637</v>
      </c>
      <c r="B638" s="5" t="str">
        <f aca="false">[1]Base_Jugadores!B638</f>
        <v>Yasin Ayari</v>
      </c>
      <c r="C638" s="5" t="str">
        <f aca="false">IFERROR(
   _xlfn.XLOOKUP(VALUE(A638),[1]Fichajes_Realizados!A$2:A$50000,[1]Fichajes_Realizados!D$2:D$50000,,0,-1),
   _xlfn.XLOOKUP(VALUE(A638),[1]Base_Jugadores!A$2:A$50000,[1]Base_Jugadores!C$2:C$50000)
)</f>
        <v>Brighton &amp; Hove Albion</v>
      </c>
      <c r="D638" s="5" t="str">
        <f aca="false">[1]Base_Jugadores!D638</f>
        <v>Suecia</v>
      </c>
      <c r="E638" s="3"/>
      <c r="F638" s="5" t="str">
        <f aca="false">[1]Base_Jugadores!E638</f>
        <v>MC</v>
      </c>
      <c r="G638" s="5" t="n">
        <f aca="false">[1]Base_Jugadores!F638</f>
        <v>67</v>
      </c>
      <c r="H638" s="5" t="n">
        <f aca="false">[1]Base_Jugadores!G638</f>
        <v>22</v>
      </c>
      <c r="I638" s="7" t="n">
        <f aca="false" t="array" ref="I638:I638">_xlfn.XLOOKUP(G638,{55;56;57;58;59;60;61;62;63;64;65;66;67;68;69;70;71;72;73;74;75;76;77;78;79;80;81;82;83;84;85;86;87;88;89;90;91;92;93;94;95;96;97;98;99},{100000;130000;160000;190000;220000;250000;300000;350000;400000;450000;500000;600000;700000;800000;900000;1000000;1500000;2000000;3000000;4000000;5000000;6500000;8000000;10000000;12500000;15000000;20000000;25000000;30000000;35000000;40000000;55000000;70000000;80000000;90000000;110000000;130000000;160000000;190000000;220000000;250000000;280000000;310000000;340000000;400000000})</f>
        <v>700000</v>
      </c>
      <c r="J638" s="7" t="n">
        <f aca="false">I638*S638*T638*U638</f>
        <v>695257.5</v>
      </c>
      <c r="K638" s="3"/>
      <c r="L638" s="3"/>
      <c r="M638" s="3"/>
      <c r="N638" s="9" t="n">
        <v>2</v>
      </c>
      <c r="O638" s="4" t="n">
        <v>0</v>
      </c>
      <c r="P638" s="5" t="n">
        <f aca="false">IF(COUNTIF([1]Base_Jugadores!J$2:J$500,B638)&gt;0,1,0)</f>
        <v>0</v>
      </c>
      <c r="Q638" s="10" t="b">
        <f aca="false">--(COUNTIFS(
   [1]Fichajes_Realizados!A$2:A$5000,A638,
   [1]Fichajes_Realizados!G$2:G$5000,$X$3
)&gt;0)</f>
        <v>0</v>
      </c>
      <c r="R638" s="5" t="n">
        <f aca="false">_xlfn.XLOOKUP(C638, [1]Estado_Equipos!A$2:A$500, [1]Estado_Equipos!J$2:J$500, "")</f>
        <v>76</v>
      </c>
      <c r="S638" s="5" t="n">
        <f aca="false">IF(H638&lt;=16,1.45,
IF(H638&gt;=41,0.3,
CHOOSE(ROUNDDOWN((H638-16)/2,0)+1,
1.45,1.38,1.3,1.23,1.17,1.15,1.12,1.05,0.95,0.8,0.6,0.4,0.3)))</f>
        <v>1.23</v>
      </c>
      <c r="T638" s="5" t="n">
        <f aca="false">CHOOSE(N638+1,1.2,1,0.85,0.7)</f>
        <v>0.85</v>
      </c>
      <c r="U638" s="5" t="n">
        <f aca="false">IF(F638="PO",0.6,
IF(F638="CT",0.75,
IF(F638="LI",0.8,
IF(F638="LD",0.8,
IF(F638="MCD",0.85,
IF(F638="MC",0.95,
IF(F638="MO",1.05,
IF(F638="EI",1.1,
IF(F638="ED",1.1,
IF(F638="SD",1.15,
IF(F638="DC",1.2,0)))))))))))</f>
        <v>0.95</v>
      </c>
    </row>
    <row r="639" customFormat="false" ht="16.4" hidden="false" customHeight="false" outlineLevel="0" collapsed="false">
      <c r="A639" s="1" t="n">
        <v>638</v>
      </c>
      <c r="B639" s="5" t="str">
        <f aca="false">[1]Base_Jugadores!B639</f>
        <v>Armando Broja</v>
      </c>
      <c r="C639" s="5" t="str">
        <f aca="false">IFERROR(
   _xlfn.XLOOKUP(VALUE(A639),[1]Fichajes_Realizados!A$2:A$50000,[1]Fichajes_Realizados!D$2:D$50000,,0,-1),
   _xlfn.XLOOKUP(VALUE(A639),[1]Base_Jugadores!A$2:A$50000,[1]Base_Jugadores!C$2:C$50000)
)</f>
        <v>Burnley FC</v>
      </c>
      <c r="D639" s="5" t="str">
        <f aca="false">[1]Base_Jugadores!D639</f>
        <v>Albania</v>
      </c>
      <c r="E639" s="3"/>
      <c r="F639" s="5" t="str">
        <f aca="false">[1]Base_Jugadores!E639</f>
        <v>DC</v>
      </c>
      <c r="G639" s="5" t="n">
        <f aca="false">[1]Base_Jugadores!F639</f>
        <v>74</v>
      </c>
      <c r="H639" s="5" t="n">
        <f aca="false">[1]Base_Jugadores!G639</f>
        <v>24</v>
      </c>
      <c r="I639" s="7" t="n">
        <f aca="false" t="array" ref="I639:I639">_xlfn.XLOOKUP(G639,{55;56;57;58;59;60;61;62;63;64;65;66;67;68;69;70;71;72;73;74;75;76;77;78;79;80;81;82;83;84;85;86;87;88;89;90;91;92;93;94;95;96;97;98;99},{100000;130000;160000;190000;220000;250000;300000;350000;400000;450000;500000;600000;700000;800000;900000;1000000;1500000;2000000;3000000;4000000;5000000;6500000;8000000;10000000;12500000;15000000;20000000;25000000;30000000;35000000;40000000;55000000;70000000;80000000;90000000;110000000;130000000;160000000;190000000;220000000;250000000;280000000;310000000;340000000;400000000})</f>
        <v>4000000</v>
      </c>
      <c r="J639" s="7" t="n">
        <f aca="false">I639*S639*T639*U639</f>
        <v>5616000</v>
      </c>
      <c r="K639" s="3"/>
      <c r="L639" s="3"/>
      <c r="M639" s="3"/>
      <c r="N639" s="9" t="n">
        <v>1</v>
      </c>
      <c r="O639" s="4" t="n">
        <v>0</v>
      </c>
      <c r="P639" s="5" t="n">
        <f aca="false">IF(COUNTIF([1]Base_Jugadores!J$2:J$500,B639)&gt;0,1,0)</f>
        <v>0</v>
      </c>
      <c r="Q639" s="10" t="b">
        <f aca="false">--(COUNTIFS(
   [1]Fichajes_Realizados!A$2:A$5000,A639,
   [1]Fichajes_Realizados!G$2:G$5000,$X$3
)&gt;0)</f>
        <v>0</v>
      </c>
      <c r="R639" s="5" t="n">
        <f aca="false">_xlfn.XLOOKUP(C639, [1]Estado_Equipos!A$2:A$500, [1]Estado_Equipos!J$2:J$500, "")</f>
        <v>73</v>
      </c>
      <c r="S639" s="5" t="n">
        <f aca="false">IF(H639&lt;=16,1.45,
IF(H639&gt;=41,0.3,
CHOOSE(ROUNDDOWN((H639-16)/2,0)+1,
1.45,1.38,1.3,1.23,1.17,1.15,1.12,1.05,0.95,0.8,0.6,0.4,0.3)))</f>
        <v>1.17</v>
      </c>
      <c r="T639" s="5" t="n">
        <f aca="false">CHOOSE(N639+1,1.2,1,0.85,0.7)</f>
        <v>1</v>
      </c>
      <c r="U639" s="5" t="n">
        <f aca="false">IF(F639="PO",0.6,
IF(F639="CT",0.75,
IF(F639="LI",0.8,
IF(F639="LD",0.8,
IF(F639="MCD",0.85,
IF(F639="MC",0.95,
IF(F639="MO",1.05,
IF(F639="EI",1.1,
IF(F639="ED",1.1,
IF(F639="SD",1.15,
IF(F639="DC",1.2,0)))))))))))</f>
        <v>1.2</v>
      </c>
    </row>
    <row r="640" customFormat="false" ht="16.4" hidden="false" customHeight="false" outlineLevel="0" collapsed="false">
      <c r="A640" s="1" t="n">
        <v>639</v>
      </c>
      <c r="B640" s="5" t="str">
        <f aca="false">[1]Base_Jugadores!B640</f>
        <v>Ashley Barnes</v>
      </c>
      <c r="C640" s="5" t="str">
        <f aca="false">IFERROR(
   _xlfn.XLOOKUP(VALUE(A640),[1]Fichajes_Realizados!A$2:A$50000,[1]Fichajes_Realizados!D$2:D$50000,,0,-1),
   _xlfn.XLOOKUP(VALUE(A640),[1]Base_Jugadores!A$2:A$50000,[1]Base_Jugadores!C$2:C$50000)
)</f>
        <v>Burnley FC</v>
      </c>
      <c r="D640" s="5" t="str">
        <f aca="false">[1]Base_Jugadores!D640</f>
        <v>Inglaterra</v>
      </c>
      <c r="E640" s="3"/>
      <c r="F640" s="5" t="str">
        <f aca="false">[1]Base_Jugadores!E640</f>
        <v>DC</v>
      </c>
      <c r="G640" s="5" t="n">
        <f aca="false">[1]Base_Jugadores!F640</f>
        <v>72</v>
      </c>
      <c r="H640" s="5" t="n">
        <f aca="false">[1]Base_Jugadores!G640</f>
        <v>36</v>
      </c>
      <c r="I640" s="7" t="n">
        <f aca="false" t="array" ref="I640:I640">_xlfn.XLOOKUP(G640,{55;56;57;58;59;60;61;62;63;64;65;66;67;68;69;70;71;72;73;74;75;76;77;78;79;80;81;82;83;84;85;86;87;88;89;90;91;92;93;94;95;96;97;98;99},{100000;130000;160000;190000;220000;250000;300000;350000;400000;450000;500000;600000;700000;800000;900000;1000000;1500000;2000000;3000000;4000000;5000000;6500000;8000000;10000000;12500000;15000000;20000000;25000000;30000000;35000000;40000000;55000000;70000000;80000000;90000000;110000000;130000000;160000000;190000000;220000000;250000000;280000000;310000000;340000000;400000000})</f>
        <v>2000000</v>
      </c>
      <c r="J640" s="7" t="n">
        <f aca="false">I640*S640*T640*U640</f>
        <v>1224000</v>
      </c>
      <c r="K640" s="3"/>
      <c r="L640" s="3"/>
      <c r="M640" s="3"/>
      <c r="N640" s="9" t="n">
        <v>2</v>
      </c>
      <c r="O640" s="4" t="n">
        <v>0</v>
      </c>
      <c r="P640" s="5" t="n">
        <f aca="false">IF(COUNTIF([1]Base_Jugadores!J$2:J$500,B640)&gt;0,1,0)</f>
        <v>0</v>
      </c>
      <c r="Q640" s="10" t="b">
        <f aca="false">--(COUNTIFS(
   [1]Fichajes_Realizados!A$2:A$5000,A640,
   [1]Fichajes_Realizados!G$2:G$5000,$X$3
)&gt;0)</f>
        <v>0</v>
      </c>
      <c r="R640" s="5" t="n">
        <f aca="false">_xlfn.XLOOKUP(C640, [1]Estado_Equipos!A$2:A$500, [1]Estado_Equipos!J$2:J$500, "")</f>
        <v>73</v>
      </c>
      <c r="S640" s="5" t="n">
        <f aca="false">IF(H640&lt;=16,1.45,
IF(H640&gt;=41,0.3,
CHOOSE(ROUNDDOWN((H640-16)/2,0)+1,
1.45,1.38,1.3,1.23,1.17,1.15,1.12,1.05,0.95,0.8,0.6,0.4,0.3)))</f>
        <v>0.6</v>
      </c>
      <c r="T640" s="5" t="n">
        <f aca="false">CHOOSE(N640+1,1.2,1,0.85,0.7)</f>
        <v>0.85</v>
      </c>
      <c r="U640" s="5" t="n">
        <f aca="false">IF(F640="PO",0.6,
IF(F640="CT",0.75,
IF(F640="LI",0.8,
IF(F640="LD",0.8,
IF(F640="MCD",0.85,
IF(F640="MC",0.95,
IF(F640="MO",1.05,
IF(F640="EI",1.1,
IF(F640="ED",1.1,
IF(F640="SD",1.15,
IF(F640="DC",1.2,0)))))))))))</f>
        <v>1.2</v>
      </c>
    </row>
    <row r="641" customFormat="false" ht="16.4" hidden="false" customHeight="false" outlineLevel="0" collapsed="false">
      <c r="A641" s="1" t="n">
        <v>640</v>
      </c>
      <c r="B641" s="5" t="str">
        <f aca="false">[1]Base_Jugadores!B641</f>
        <v>Axel Tuanzebe</v>
      </c>
      <c r="C641" s="5" t="str">
        <f aca="false">IFERROR(
   _xlfn.XLOOKUP(VALUE(A641),[1]Fichajes_Realizados!A$2:A$50000,[1]Fichajes_Realizados!D$2:D$50000,,0,-1),
   _xlfn.XLOOKUP(VALUE(A641),[1]Base_Jugadores!A$2:A$50000,[1]Base_Jugadores!C$2:C$50000)
)</f>
        <v>Burnley FC</v>
      </c>
      <c r="D641" s="5" t="str">
        <f aca="false">[1]Base_Jugadores!D641</f>
        <v>RD del Congo</v>
      </c>
      <c r="E641" s="3"/>
      <c r="F641" s="5" t="str">
        <f aca="false">[1]Base_Jugadores!E641</f>
        <v>CT</v>
      </c>
      <c r="G641" s="5" t="n">
        <f aca="false">[1]Base_Jugadores!F641</f>
        <v>74</v>
      </c>
      <c r="H641" s="5" t="n">
        <f aca="false">[1]Base_Jugadores!G641</f>
        <v>28</v>
      </c>
      <c r="I641" s="7" t="n">
        <f aca="false" t="array" ref="I641:I641">_xlfn.XLOOKUP(G641,{55;56;57;58;59;60;61;62;63;64;65;66;67;68;69;70;71;72;73;74;75;76;77;78;79;80;81;82;83;84;85;86;87;88;89;90;91;92;93;94;95;96;97;98;99},{100000;130000;160000;190000;220000;250000;300000;350000;400000;450000;500000;600000;700000;800000;900000;1000000;1500000;2000000;3000000;4000000;5000000;6500000;8000000;10000000;12500000;15000000;20000000;25000000;30000000;35000000;40000000;55000000;70000000;80000000;90000000;110000000;130000000;160000000;190000000;220000000;250000000;280000000;310000000;340000000;400000000})</f>
        <v>4000000</v>
      </c>
      <c r="J641" s="7" t="n">
        <f aca="false">I641*S641*T641*U641</f>
        <v>2856000</v>
      </c>
      <c r="K641" s="3"/>
      <c r="L641" s="3"/>
      <c r="M641" s="3"/>
      <c r="N641" s="9" t="n">
        <v>2</v>
      </c>
      <c r="O641" s="4" t="n">
        <v>0</v>
      </c>
      <c r="P641" s="5" t="n">
        <f aca="false">IF(COUNTIF([1]Base_Jugadores!J$2:J$500,B641)&gt;0,1,0)</f>
        <v>0</v>
      </c>
      <c r="Q641" s="10" t="b">
        <f aca="false">--(COUNTIFS(
   [1]Fichajes_Realizados!A$2:A$5000,A641,
   [1]Fichajes_Realizados!G$2:G$5000,$X$3
)&gt;0)</f>
        <v>0</v>
      </c>
      <c r="R641" s="5" t="n">
        <f aca="false">_xlfn.XLOOKUP(C641, [1]Estado_Equipos!A$2:A$500, [1]Estado_Equipos!J$2:J$500, "")</f>
        <v>73</v>
      </c>
      <c r="S641" s="5" t="n">
        <f aca="false">IF(H641&lt;=16,1.45,
IF(H641&gt;=41,0.3,
CHOOSE(ROUNDDOWN((H641-16)/2,0)+1,
1.45,1.38,1.3,1.23,1.17,1.15,1.12,1.05,0.95,0.8,0.6,0.4,0.3)))</f>
        <v>1.12</v>
      </c>
      <c r="T641" s="5" t="n">
        <f aca="false">CHOOSE(N641+1,1.2,1,0.85,0.7)</f>
        <v>0.85</v>
      </c>
      <c r="U641" s="5" t="n">
        <f aca="false">IF(F641="PO",0.6,
IF(F641="CT",0.75,
IF(F641="LI",0.8,
IF(F641="LD",0.8,
IF(F641="MCD",0.85,
IF(F641="MC",0.95,
IF(F641="MO",1.05,
IF(F641="EI",1.1,
IF(F641="ED",1.1,
IF(F641="SD",1.15,
IF(F641="DC",1.2,0)))))))))))</f>
        <v>0.75</v>
      </c>
    </row>
    <row r="642" customFormat="false" ht="16.4" hidden="false" customHeight="false" outlineLevel="0" collapsed="false">
      <c r="A642" s="1" t="n">
        <v>641</v>
      </c>
      <c r="B642" s="5" t="str">
        <f aca="false">[1]Base_Jugadores!B642</f>
        <v>Bashir Humphreys</v>
      </c>
      <c r="C642" s="5" t="str">
        <f aca="false">IFERROR(
   _xlfn.XLOOKUP(VALUE(A642),[1]Fichajes_Realizados!A$2:A$50000,[1]Fichajes_Realizados!D$2:D$50000,,0,-1),
   _xlfn.XLOOKUP(VALUE(A642),[1]Base_Jugadores!A$2:A$50000,[1]Base_Jugadores!C$2:C$50000)
)</f>
        <v>Burnley FC</v>
      </c>
      <c r="D642" s="5" t="str">
        <f aca="false">[1]Base_Jugadores!D642</f>
        <v>Inglaterra</v>
      </c>
      <c r="E642" s="3"/>
      <c r="F642" s="5" t="str">
        <f aca="false">[1]Base_Jugadores!E642</f>
        <v>CT</v>
      </c>
      <c r="G642" s="5" t="n">
        <f aca="false">[1]Base_Jugadores!F642</f>
        <v>71</v>
      </c>
      <c r="H642" s="5" t="n">
        <f aca="false">[1]Base_Jugadores!G642</f>
        <v>22</v>
      </c>
      <c r="I642" s="7" t="n">
        <f aca="false" t="array" ref="I642:I642">_xlfn.XLOOKUP(G642,{55;56;57;58;59;60;61;62;63;64;65;66;67;68;69;70;71;72;73;74;75;76;77;78;79;80;81;82;83;84;85;86;87;88;89;90;91;92;93;94;95;96;97;98;99},{100000;130000;160000;190000;220000;250000;300000;350000;400000;450000;500000;600000;700000;800000;900000;1000000;1500000;2000000;3000000;4000000;5000000;6500000;8000000;10000000;12500000;15000000;20000000;25000000;30000000;35000000;40000000;55000000;70000000;80000000;90000000;110000000;130000000;160000000;190000000;220000000;250000000;280000000;310000000;340000000;400000000})</f>
        <v>1500000</v>
      </c>
      <c r="J642" s="7" t="n">
        <f aca="false">I642*S642*T642*U642</f>
        <v>1176187.5</v>
      </c>
      <c r="K642" s="3"/>
      <c r="L642" s="3"/>
      <c r="M642" s="3"/>
      <c r="N642" s="9" t="n">
        <v>2</v>
      </c>
      <c r="O642" s="4" t="n">
        <v>1</v>
      </c>
      <c r="P642" s="5" t="n">
        <f aca="false">IF(COUNTIF([1]Base_Jugadores!J$2:J$500,B642)&gt;0,1,0)</f>
        <v>0</v>
      </c>
      <c r="Q642" s="10" t="b">
        <f aca="false">--(COUNTIFS(
   [1]Fichajes_Realizados!A$2:A$5000,A642,
   [1]Fichajes_Realizados!G$2:G$5000,$X$3
)&gt;0)</f>
        <v>0</v>
      </c>
      <c r="R642" s="5" t="n">
        <f aca="false">_xlfn.XLOOKUP(C642, [1]Estado_Equipos!A$2:A$500, [1]Estado_Equipos!J$2:J$500, "")</f>
        <v>73</v>
      </c>
      <c r="S642" s="5" t="n">
        <f aca="false">IF(H642&lt;=16,1.45,
IF(H642&gt;=41,0.3,
CHOOSE(ROUNDDOWN((H642-16)/2,0)+1,
1.45,1.38,1.3,1.23,1.17,1.15,1.12,1.05,0.95,0.8,0.6,0.4,0.3)))</f>
        <v>1.23</v>
      </c>
      <c r="T642" s="5" t="n">
        <f aca="false">CHOOSE(N642+1,1.2,1,0.85,0.7)</f>
        <v>0.85</v>
      </c>
      <c r="U642" s="5" t="n">
        <f aca="false">IF(F642="PO",0.6,
IF(F642="CT",0.75,
IF(F642="LI",0.8,
IF(F642="LD",0.8,
IF(F642="MCD",0.85,
IF(F642="MC",0.95,
IF(F642="MO",1.05,
IF(F642="EI",1.1,
IF(F642="ED",1.1,
IF(F642="SD",1.15,
IF(F642="DC",1.2,0)))))))))))</f>
        <v>0.75</v>
      </c>
    </row>
    <row r="643" customFormat="false" ht="16.4" hidden="false" customHeight="false" outlineLevel="0" collapsed="false">
      <c r="A643" s="1" t="n">
        <v>642</v>
      </c>
      <c r="B643" s="5" t="str">
        <f aca="false">[1]Base_Jugadores!B643</f>
        <v>Connor Roberts</v>
      </c>
      <c r="C643" s="5" t="str">
        <f aca="false">IFERROR(
   _xlfn.XLOOKUP(VALUE(A643),[1]Fichajes_Realizados!A$2:A$50000,[1]Fichajes_Realizados!D$2:D$50000,,0,-1),
   _xlfn.XLOOKUP(VALUE(A643),[1]Base_Jugadores!A$2:A$50000,[1]Base_Jugadores!C$2:C$50000)
)</f>
        <v>Burnley FC</v>
      </c>
      <c r="D643" s="5" t="str">
        <f aca="false">[1]Base_Jugadores!D643</f>
        <v>Gales</v>
      </c>
      <c r="E643" s="3"/>
      <c r="F643" s="5" t="str">
        <f aca="false">[1]Base_Jugadores!E643</f>
        <v>LD</v>
      </c>
      <c r="G643" s="5" t="n">
        <f aca="false">[1]Base_Jugadores!F643</f>
        <v>75</v>
      </c>
      <c r="H643" s="5" t="n">
        <f aca="false">[1]Base_Jugadores!G643</f>
        <v>30</v>
      </c>
      <c r="I643" s="7" t="n">
        <f aca="false" t="array" ref="I643:I643">_xlfn.XLOOKUP(G643,{55;56;57;58;59;60;61;62;63;64;65;66;67;68;69;70;71;72;73;74;75;76;77;78;79;80;81;82;83;84;85;86;87;88;89;90;91;92;93;94;95;96;97;98;99},{100000;130000;160000;190000;220000;250000;300000;350000;400000;450000;500000;600000;700000;800000;900000;1000000;1500000;2000000;3000000;4000000;5000000;6500000;8000000;10000000;12500000;15000000;20000000;25000000;30000000;35000000;40000000;55000000;70000000;80000000;90000000;110000000;130000000;160000000;190000000;220000000;250000000;280000000;310000000;340000000;400000000})</f>
        <v>5000000</v>
      </c>
      <c r="J643" s="7" t="n">
        <f aca="false">I643*S643*T643*U643</f>
        <v>5040000</v>
      </c>
      <c r="K643" s="3"/>
      <c r="L643" s="3"/>
      <c r="M643" s="3"/>
      <c r="N643" s="9" t="n">
        <v>0</v>
      </c>
      <c r="O643" s="4" t="n">
        <v>0</v>
      </c>
      <c r="P643" s="5" t="n">
        <f aca="false">IF(COUNTIF([1]Base_Jugadores!J$2:J$500,B643)&gt;0,1,0)</f>
        <v>0</v>
      </c>
      <c r="Q643" s="10" t="b">
        <f aca="false">--(COUNTIFS(
   [1]Fichajes_Realizados!A$2:A$5000,A643,
   [1]Fichajes_Realizados!G$2:G$5000,$X$3
)&gt;0)</f>
        <v>0</v>
      </c>
      <c r="R643" s="5" t="n">
        <f aca="false">_xlfn.XLOOKUP(C643, [1]Estado_Equipos!A$2:A$500, [1]Estado_Equipos!J$2:J$500, "")</f>
        <v>73</v>
      </c>
      <c r="S643" s="5" t="n">
        <f aca="false">IF(H643&lt;=16,1.45,
IF(H643&gt;=41,0.3,
CHOOSE(ROUNDDOWN((H643-16)/2,0)+1,
1.45,1.38,1.3,1.23,1.17,1.15,1.12,1.05,0.95,0.8,0.6,0.4,0.3)))</f>
        <v>1.05</v>
      </c>
      <c r="T643" s="5" t="n">
        <f aca="false">CHOOSE(N643+1,1.2,1,0.85,0.7)</f>
        <v>1.2</v>
      </c>
      <c r="U643" s="5" t="n">
        <f aca="false">IF(F643="PO",0.6,
IF(F643="CT",0.75,
IF(F643="LI",0.8,
IF(F643="LD",0.8,
IF(F643="MCD",0.85,
IF(F643="MC",0.95,
IF(F643="MO",1.05,
IF(F643="EI",1.1,
IF(F643="ED",1.1,
IF(F643="SD",1.15,
IF(F643="DC",1.2,0)))))))))))</f>
        <v>0.8</v>
      </c>
    </row>
    <row r="644" customFormat="false" ht="16.4" hidden="false" customHeight="false" outlineLevel="0" collapsed="false">
      <c r="A644" s="1" t="n">
        <v>643</v>
      </c>
      <c r="B644" s="5" t="str">
        <f aca="false">[1]Base_Jugadores!B644</f>
        <v>Enock Agyei</v>
      </c>
      <c r="C644" s="5" t="str">
        <f aca="false">IFERROR(
   _xlfn.XLOOKUP(VALUE(A644),[1]Fichajes_Realizados!A$2:A$50000,[1]Fichajes_Realizados!D$2:D$50000,,0,-1),
   _xlfn.XLOOKUP(VALUE(A644),[1]Base_Jugadores!A$2:A$50000,[1]Base_Jugadores!C$2:C$50000)
)</f>
        <v>Burnley FC</v>
      </c>
      <c r="D644" s="5" t="str">
        <f aca="false">[1]Base_Jugadores!D644</f>
        <v>Bélgica</v>
      </c>
      <c r="E644" s="3"/>
      <c r="F644" s="5" t="str">
        <f aca="false">[1]Base_Jugadores!E644</f>
        <v>ED</v>
      </c>
      <c r="G644" s="5" t="n">
        <f aca="false">[1]Base_Jugadores!F644</f>
        <v>66</v>
      </c>
      <c r="H644" s="5" t="n">
        <f aca="false">[1]Base_Jugadores!G644</f>
        <v>20</v>
      </c>
      <c r="I644" s="7" t="n">
        <f aca="false" t="array" ref="I644:I644">_xlfn.XLOOKUP(G644,{55;56;57;58;59;60;61;62;63;64;65;66;67;68;69;70;71;72;73;74;75;76;77;78;79;80;81;82;83;84;85;86;87;88;89;90;91;92;93;94;95;96;97;98;99},{100000;130000;160000;190000;220000;250000;300000;350000;400000;450000;500000;600000;700000;800000;900000;1000000;1500000;2000000;3000000;4000000;5000000;6500000;8000000;10000000;12500000;15000000;20000000;25000000;30000000;35000000;40000000;55000000;70000000;80000000;90000000;110000000;130000000;160000000;190000000;220000000;250000000;280000000;310000000;340000000;400000000})</f>
        <v>600000</v>
      </c>
      <c r="J644" s="7" t="n">
        <f aca="false">I644*S644*T644*U644</f>
        <v>729300</v>
      </c>
      <c r="K644" s="3"/>
      <c r="L644" s="3"/>
      <c r="M644" s="3"/>
      <c r="N644" s="9" t="n">
        <v>2</v>
      </c>
      <c r="O644" s="4" t="n">
        <v>1</v>
      </c>
      <c r="P644" s="5" t="n">
        <f aca="false">IF(COUNTIF([1]Base_Jugadores!J$2:J$500,B644)&gt;0,1,0)</f>
        <v>0</v>
      </c>
      <c r="Q644" s="10" t="b">
        <f aca="false">--(COUNTIFS(
   [1]Fichajes_Realizados!A$2:A$5000,A644,
   [1]Fichajes_Realizados!G$2:G$5000,$X$3
)&gt;0)</f>
        <v>0</v>
      </c>
      <c r="R644" s="5" t="n">
        <f aca="false">_xlfn.XLOOKUP(C644, [1]Estado_Equipos!A$2:A$500, [1]Estado_Equipos!J$2:J$500, "")</f>
        <v>73</v>
      </c>
      <c r="S644" s="5" t="n">
        <f aca="false">IF(H644&lt;=16,1.45,
IF(H644&gt;=41,0.3,
CHOOSE(ROUNDDOWN((H644-16)/2,0)+1,
1.45,1.38,1.3,1.23,1.17,1.15,1.12,1.05,0.95,0.8,0.6,0.4,0.3)))</f>
        <v>1.3</v>
      </c>
      <c r="T644" s="5" t="n">
        <f aca="false">CHOOSE(N644+1,1.2,1,0.85,0.7)</f>
        <v>0.85</v>
      </c>
      <c r="U644" s="5" t="n">
        <f aca="false">IF(F644="PO",0.6,
IF(F644="CT",0.75,
IF(F644="LI",0.8,
IF(F644="LD",0.8,
IF(F644="MCD",0.85,
IF(F644="MC",0.95,
IF(F644="MO",1.05,
IF(F644="EI",1.1,
IF(F644="ED",1.1,
IF(F644="SD",1.15,
IF(F644="DC",1.2,0)))))))))))</f>
        <v>1.1</v>
      </c>
    </row>
    <row r="645" customFormat="false" ht="16.4" hidden="false" customHeight="false" outlineLevel="0" collapsed="false">
      <c r="A645" s="1" t="n">
        <v>644</v>
      </c>
      <c r="B645" s="5" t="str">
        <f aca="false">[1]Base_Jugadores!B645</f>
        <v>Florentino Luís</v>
      </c>
      <c r="C645" s="5" t="str">
        <f aca="false">IFERROR(
   _xlfn.XLOOKUP(VALUE(A645),[1]Fichajes_Realizados!A$2:A$50000,[1]Fichajes_Realizados!D$2:D$50000,,0,-1),
   _xlfn.XLOOKUP(VALUE(A645),[1]Base_Jugadores!A$2:A$50000,[1]Base_Jugadores!C$2:C$50000)
)</f>
        <v>Burnley FC</v>
      </c>
      <c r="D645" s="5" t="str">
        <f aca="false">[1]Base_Jugadores!D645</f>
        <v>Portugal</v>
      </c>
      <c r="E645" s="3"/>
      <c r="F645" s="5" t="str">
        <f aca="false">[1]Base_Jugadores!E645</f>
        <v>MCD</v>
      </c>
      <c r="G645" s="5" t="n">
        <f aca="false">[1]Base_Jugadores!F645</f>
        <v>80</v>
      </c>
      <c r="H645" s="5" t="n">
        <f aca="false">[1]Base_Jugadores!G645</f>
        <v>26</v>
      </c>
      <c r="I645" s="7" t="n">
        <f aca="false" t="array" ref="I645:I645">_xlfn.XLOOKUP(G645,{55;56;57;58;59;60;61;62;63;64;65;66;67;68;69;70;71;72;73;74;75;76;77;78;79;80;81;82;83;84;85;86;87;88;89;90;91;92;93;94;95;96;97;98;99},{100000;130000;160000;190000;220000;250000;300000;350000;400000;450000;500000;600000;700000;800000;900000;1000000;1500000;2000000;3000000;4000000;5000000;6500000;8000000;10000000;12500000;15000000;20000000;25000000;30000000;35000000;40000000;55000000;70000000;80000000;90000000;110000000;130000000;160000000;190000000;220000000;250000000;280000000;310000000;340000000;400000000})</f>
        <v>15000000</v>
      </c>
      <c r="J645" s="7" t="n">
        <f aca="false">I645*S645*T645*U645</f>
        <v>17595000</v>
      </c>
      <c r="K645" s="3"/>
      <c r="L645" s="3"/>
      <c r="M645" s="3"/>
      <c r="N645" s="9" t="n">
        <v>0</v>
      </c>
      <c r="O645" s="4" t="n">
        <v>0</v>
      </c>
      <c r="P645" s="5" t="n">
        <f aca="false">IF(COUNTIF([1]Base_Jugadores!J$2:J$500,B645)&gt;0,1,0)</f>
        <v>0</v>
      </c>
      <c r="Q645" s="10" t="b">
        <f aca="false">--(COUNTIFS(
   [1]Fichajes_Realizados!A$2:A$5000,A645,
   [1]Fichajes_Realizados!G$2:G$5000,$X$3
)&gt;0)</f>
        <v>0</v>
      </c>
      <c r="R645" s="5" t="n">
        <f aca="false">_xlfn.XLOOKUP(C645, [1]Estado_Equipos!A$2:A$500, [1]Estado_Equipos!J$2:J$500, "")</f>
        <v>73</v>
      </c>
      <c r="S645" s="5" t="n">
        <f aca="false">IF(H645&lt;=16,1.45,
IF(H645&gt;=41,0.3,
CHOOSE(ROUNDDOWN((H645-16)/2,0)+1,
1.45,1.38,1.3,1.23,1.17,1.15,1.12,1.05,0.95,0.8,0.6,0.4,0.3)))</f>
        <v>1.15</v>
      </c>
      <c r="T645" s="5" t="n">
        <f aca="false">CHOOSE(N645+1,1.2,1,0.85,0.7)</f>
        <v>1.2</v>
      </c>
      <c r="U645" s="5" t="n">
        <f aca="false">IF(F645="PO",0.6,
IF(F645="CT",0.75,
IF(F645="LI",0.8,
IF(F645="LD",0.8,
IF(F645="MCD",0.85,
IF(F645="MC",0.95,
IF(F645="MO",1.05,
IF(F645="EI",1.1,
IF(F645="ED",1.1,
IF(F645="SD",1.15,
IF(F645="DC",1.2,0)))))))))))</f>
        <v>0.85</v>
      </c>
    </row>
    <row r="646" customFormat="false" ht="16.4" hidden="false" customHeight="false" outlineLevel="0" collapsed="false">
      <c r="A646" s="1" t="n">
        <v>645</v>
      </c>
      <c r="B646" s="5" t="str">
        <f aca="false">[1]Base_Jugadores!B646</f>
        <v>Hannes Delcroix</v>
      </c>
      <c r="C646" s="5" t="str">
        <f aca="false">IFERROR(
   _xlfn.XLOOKUP(VALUE(A646),[1]Fichajes_Realizados!A$2:A$50000,[1]Fichajes_Realizados!D$2:D$50000,,0,-1),
   _xlfn.XLOOKUP(VALUE(A646),[1]Base_Jugadores!A$2:A$50000,[1]Base_Jugadores!C$2:C$50000)
)</f>
        <v>Burnley FC</v>
      </c>
      <c r="D646" s="5" t="str">
        <f aca="false">[1]Base_Jugadores!D646</f>
        <v>Haití</v>
      </c>
      <c r="E646" s="3"/>
      <c r="F646" s="5" t="str">
        <f aca="false">[1]Base_Jugadores!E646</f>
        <v>CT</v>
      </c>
      <c r="G646" s="5" t="n">
        <f aca="false">[1]Base_Jugadores!F646</f>
        <v>72</v>
      </c>
      <c r="H646" s="5" t="n">
        <f aca="false">[1]Base_Jugadores!G646</f>
        <v>26</v>
      </c>
      <c r="I646" s="7" t="n">
        <f aca="false" t="array" ref="I646:I646">_xlfn.XLOOKUP(G646,{55;56;57;58;59;60;61;62;63;64;65;66;67;68;69;70;71;72;73;74;75;76;77;78;79;80;81;82;83;84;85;86;87;88;89;90;91;92;93;94;95;96;97;98;99},{100000;130000;160000;190000;220000;250000;300000;350000;400000;450000;500000;600000;700000;800000;900000;1000000;1500000;2000000;3000000;4000000;5000000;6500000;8000000;10000000;12500000;15000000;20000000;25000000;30000000;35000000;40000000;55000000;70000000;80000000;90000000;110000000;130000000;160000000;190000000;220000000;250000000;280000000;310000000;340000000;400000000})</f>
        <v>2000000</v>
      </c>
      <c r="J646" s="7" t="n">
        <f aca="false">I646*S646*T646*U646</f>
        <v>1466250</v>
      </c>
      <c r="K646" s="3"/>
      <c r="L646" s="3"/>
      <c r="M646" s="3"/>
      <c r="N646" s="9" t="n">
        <v>2</v>
      </c>
      <c r="O646" s="4" t="n">
        <v>0</v>
      </c>
      <c r="P646" s="5" t="n">
        <f aca="false">IF(COUNTIF([1]Base_Jugadores!J$2:J$500,B646)&gt;0,1,0)</f>
        <v>0</v>
      </c>
      <c r="Q646" s="10" t="b">
        <f aca="false">--(COUNTIFS(
   [1]Fichajes_Realizados!A$2:A$5000,A646,
   [1]Fichajes_Realizados!G$2:G$5000,$X$3
)&gt;0)</f>
        <v>0</v>
      </c>
      <c r="R646" s="5" t="n">
        <f aca="false">_xlfn.XLOOKUP(C646, [1]Estado_Equipos!A$2:A$500, [1]Estado_Equipos!J$2:J$500, "")</f>
        <v>73</v>
      </c>
      <c r="S646" s="5" t="n">
        <f aca="false">IF(H646&lt;=16,1.45,
IF(H646&gt;=41,0.3,
CHOOSE(ROUNDDOWN((H646-16)/2,0)+1,
1.45,1.38,1.3,1.23,1.17,1.15,1.12,1.05,0.95,0.8,0.6,0.4,0.3)))</f>
        <v>1.15</v>
      </c>
      <c r="T646" s="5" t="n">
        <f aca="false">CHOOSE(N646+1,1.2,1,0.85,0.7)</f>
        <v>0.85</v>
      </c>
      <c r="U646" s="5" t="n">
        <f aca="false">IF(F646="PO",0.6,
IF(F646="CT",0.75,
IF(F646="LI",0.8,
IF(F646="LD",0.8,
IF(F646="MCD",0.85,
IF(F646="MC",0.95,
IF(F646="MO",1.05,
IF(F646="EI",1.1,
IF(F646="ED",1.1,
IF(F646="SD",1.15,
IF(F646="DC",1.2,0)))))))))))</f>
        <v>0.75</v>
      </c>
    </row>
    <row r="647" customFormat="false" ht="16.4" hidden="false" customHeight="false" outlineLevel="0" collapsed="false">
      <c r="A647" s="1" t="n">
        <v>646</v>
      </c>
      <c r="B647" s="5" t="str">
        <f aca="false">[1]Base_Jugadores!B647</f>
        <v>Hannibal</v>
      </c>
      <c r="C647" s="5" t="str">
        <f aca="false">IFERROR(
   _xlfn.XLOOKUP(VALUE(A647),[1]Fichajes_Realizados!A$2:A$50000,[1]Fichajes_Realizados!D$2:D$50000,,0,-1),
   _xlfn.XLOOKUP(VALUE(A647),[1]Base_Jugadores!A$2:A$50000,[1]Base_Jugadores!C$2:C$50000)
)</f>
        <v>Burnley FC</v>
      </c>
      <c r="D647" s="5" t="str">
        <f aca="false">[1]Base_Jugadores!D647</f>
        <v>Túnez</v>
      </c>
      <c r="E647" s="3"/>
      <c r="F647" s="5" t="str">
        <f aca="false">[1]Base_Jugadores!E647</f>
        <v>MO</v>
      </c>
      <c r="G647" s="5" t="n">
        <f aca="false">[1]Base_Jugadores!F647</f>
        <v>71</v>
      </c>
      <c r="H647" s="5" t="n">
        <f aca="false">[1]Base_Jugadores!G647</f>
        <v>22</v>
      </c>
      <c r="I647" s="7" t="n">
        <f aca="false" t="array" ref="I647:I647">_xlfn.XLOOKUP(G647,{55;56;57;58;59;60;61;62;63;64;65;66;67;68;69;70;71;72;73;74;75;76;77;78;79;80;81;82;83;84;85;86;87;88;89;90;91;92;93;94;95;96;97;98;99},{100000;130000;160000;190000;220000;250000;300000;350000;400000;450000;500000;600000;700000;800000;900000;1000000;1500000;2000000;3000000;4000000;5000000;6500000;8000000;10000000;12500000;15000000;20000000;25000000;30000000;35000000;40000000;55000000;70000000;80000000;90000000;110000000;130000000;160000000;190000000;220000000;250000000;280000000;310000000;340000000;400000000})</f>
        <v>1500000</v>
      </c>
      <c r="J647" s="7" t="n">
        <f aca="false">I647*S647*T647*U647</f>
        <v>1646662.5</v>
      </c>
      <c r="K647" s="3"/>
      <c r="L647" s="3"/>
      <c r="M647" s="3"/>
      <c r="N647" s="9" t="n">
        <v>2</v>
      </c>
      <c r="O647" s="4" t="n">
        <v>1</v>
      </c>
      <c r="P647" s="5" t="n">
        <f aca="false">IF(COUNTIF([1]Base_Jugadores!J$2:J$500,B647)&gt;0,1,0)</f>
        <v>0</v>
      </c>
      <c r="Q647" s="10" t="b">
        <f aca="false">--(COUNTIFS(
   [1]Fichajes_Realizados!A$2:A$5000,A647,
   [1]Fichajes_Realizados!G$2:G$5000,$X$3
)&gt;0)</f>
        <v>0</v>
      </c>
      <c r="R647" s="5" t="n">
        <f aca="false">_xlfn.XLOOKUP(C647, [1]Estado_Equipos!A$2:A$500, [1]Estado_Equipos!J$2:J$500, "")</f>
        <v>73</v>
      </c>
      <c r="S647" s="5" t="n">
        <f aca="false">IF(H647&lt;=16,1.45,
IF(H647&gt;=41,0.3,
CHOOSE(ROUNDDOWN((H647-16)/2,0)+1,
1.45,1.38,1.3,1.23,1.17,1.15,1.12,1.05,0.95,0.8,0.6,0.4,0.3)))</f>
        <v>1.23</v>
      </c>
      <c r="T647" s="5" t="n">
        <f aca="false">CHOOSE(N647+1,1.2,1,0.85,0.7)</f>
        <v>0.85</v>
      </c>
      <c r="U647" s="5" t="n">
        <f aca="false">IF(F647="PO",0.6,
IF(F647="CT",0.75,
IF(F647="LI",0.8,
IF(F647="LD",0.8,
IF(F647="MCD",0.85,
IF(F647="MC",0.95,
IF(F647="MO",1.05,
IF(F647="EI",1.1,
IF(F647="ED",1.1,
IF(F647="SD",1.15,
IF(F647="DC",1.2,0)))))))))))</f>
        <v>1.05</v>
      </c>
    </row>
    <row r="648" customFormat="false" ht="16.4" hidden="false" customHeight="false" outlineLevel="0" collapsed="false">
      <c r="A648" s="1" t="n">
        <v>647</v>
      </c>
      <c r="B648" s="5" t="str">
        <f aca="false">[1]Base_Jugadores!B648</f>
        <v>Hjalmar Ekdal</v>
      </c>
      <c r="C648" s="5" t="str">
        <f aca="false">IFERROR(
   _xlfn.XLOOKUP(VALUE(A648),[1]Fichajes_Realizados!A$2:A$50000,[1]Fichajes_Realizados!D$2:D$50000,,0,-1),
   _xlfn.XLOOKUP(VALUE(A648),[1]Base_Jugadores!A$2:A$50000,[1]Base_Jugadores!C$2:C$50000)
)</f>
        <v>Burnley FC</v>
      </c>
      <c r="D648" s="5" t="str">
        <f aca="false">[1]Base_Jugadores!D648</f>
        <v>Suecia</v>
      </c>
      <c r="E648" s="3"/>
      <c r="F648" s="5" t="str">
        <f aca="false">[1]Base_Jugadores!E648</f>
        <v>CT</v>
      </c>
      <c r="G648" s="5" t="n">
        <f aca="false">[1]Base_Jugadores!F648</f>
        <v>73</v>
      </c>
      <c r="H648" s="5" t="n">
        <f aca="false">[1]Base_Jugadores!G648</f>
        <v>27</v>
      </c>
      <c r="I648" s="7" t="n">
        <f aca="false" t="array" ref="I648:I648">_xlfn.XLOOKUP(G648,{55;56;57;58;59;60;61;62;63;64;65;66;67;68;69;70;71;72;73;74;75;76;77;78;79;80;81;82;83;84;85;86;87;88;89;90;91;92;93;94;95;96;97;98;99},{100000;130000;160000;190000;220000;250000;300000;350000;400000;450000;500000;600000;700000;800000;900000;1000000;1500000;2000000;3000000;4000000;5000000;6500000;8000000;10000000;12500000;15000000;20000000;25000000;30000000;35000000;40000000;55000000;70000000;80000000;90000000;110000000;130000000;160000000;190000000;220000000;250000000;280000000;310000000;340000000;400000000})</f>
        <v>3000000</v>
      </c>
      <c r="J648" s="7" t="n">
        <f aca="false">I648*S648*T648*U648</f>
        <v>2199375</v>
      </c>
      <c r="K648" s="3"/>
      <c r="L648" s="3"/>
      <c r="M648" s="3"/>
      <c r="N648" s="9" t="n">
        <v>2</v>
      </c>
      <c r="O648" s="4" t="n">
        <v>0</v>
      </c>
      <c r="P648" s="5" t="n">
        <f aca="false">IF(COUNTIF([1]Base_Jugadores!J$2:J$500,B648)&gt;0,1,0)</f>
        <v>0</v>
      </c>
      <c r="Q648" s="10" t="b">
        <f aca="false">--(COUNTIFS(
   [1]Fichajes_Realizados!A$2:A$5000,A648,
   [1]Fichajes_Realizados!G$2:G$5000,$X$3
)&gt;0)</f>
        <v>0</v>
      </c>
      <c r="R648" s="5" t="n">
        <f aca="false">_xlfn.XLOOKUP(C648, [1]Estado_Equipos!A$2:A$500, [1]Estado_Equipos!J$2:J$500, "")</f>
        <v>73</v>
      </c>
      <c r="S648" s="5" t="n">
        <f aca="false">IF(H648&lt;=16,1.45,
IF(H648&gt;=41,0.3,
CHOOSE(ROUNDDOWN((H648-16)/2,0)+1,
1.45,1.38,1.3,1.23,1.17,1.15,1.12,1.05,0.95,0.8,0.6,0.4,0.3)))</f>
        <v>1.15</v>
      </c>
      <c r="T648" s="5" t="n">
        <f aca="false">CHOOSE(N648+1,1.2,1,0.85,0.7)</f>
        <v>0.85</v>
      </c>
      <c r="U648" s="5" t="n">
        <f aca="false">IF(F648="PO",0.6,
IF(F648="CT",0.75,
IF(F648="LI",0.8,
IF(F648="LD",0.8,
IF(F648="MCD",0.85,
IF(F648="MC",0.95,
IF(F648="MO",1.05,
IF(F648="EI",1.1,
IF(F648="ED",1.1,
IF(F648="SD",1.15,
IF(F648="DC",1.2,0)))))))))))</f>
        <v>0.75</v>
      </c>
    </row>
    <row r="649" customFormat="false" ht="16.4" hidden="false" customHeight="false" outlineLevel="0" collapsed="false">
      <c r="A649" s="1" t="n">
        <v>648</v>
      </c>
      <c r="B649" s="5" t="str">
        <f aca="false">[1]Base_Jugadores!B649</f>
        <v>J. Bruun Larsen</v>
      </c>
      <c r="C649" s="5" t="str">
        <f aca="false">IFERROR(
   _xlfn.XLOOKUP(VALUE(A649),[1]Fichajes_Realizados!A$2:A$50000,[1]Fichajes_Realizados!D$2:D$50000,,0,-1),
   _xlfn.XLOOKUP(VALUE(A649),[1]Base_Jugadores!A$2:A$50000,[1]Base_Jugadores!C$2:C$50000)
)</f>
        <v>Burnley FC</v>
      </c>
      <c r="D649" s="5" t="str">
        <f aca="false">[1]Base_Jugadores!D649</f>
        <v>Dinamarca</v>
      </c>
      <c r="E649" s="3"/>
      <c r="F649" s="5" t="str">
        <f aca="false">[1]Base_Jugadores!E649</f>
        <v>EI</v>
      </c>
      <c r="G649" s="5" t="n">
        <f aca="false">[1]Base_Jugadores!F649</f>
        <v>75</v>
      </c>
      <c r="H649" s="5" t="n">
        <f aca="false">[1]Base_Jugadores!G649</f>
        <v>27</v>
      </c>
      <c r="I649" s="7" t="n">
        <f aca="false" t="array" ref="I649:I649">_xlfn.XLOOKUP(G649,{55;56;57;58;59;60;61;62;63;64;65;66;67;68;69;70;71;72;73;74;75;76;77;78;79;80;81;82;83;84;85;86;87;88;89;90;91;92;93;94;95;96;97;98;99},{100000;130000;160000;190000;220000;250000;300000;350000;400000;450000;500000;600000;700000;800000;900000;1000000;1500000;2000000;3000000;4000000;5000000;6500000;8000000;10000000;12500000;15000000;20000000;25000000;30000000;35000000;40000000;55000000;70000000;80000000;90000000;110000000;130000000;160000000;190000000;220000000;250000000;280000000;310000000;340000000;400000000})</f>
        <v>5000000</v>
      </c>
      <c r="J649" s="7" t="n">
        <f aca="false">I649*S649*T649*U649</f>
        <v>7590000</v>
      </c>
      <c r="K649" s="3"/>
      <c r="L649" s="3"/>
      <c r="M649" s="3"/>
      <c r="N649" s="9" t="n">
        <v>0</v>
      </c>
      <c r="O649" s="4" t="n">
        <v>0</v>
      </c>
      <c r="P649" s="5" t="n">
        <f aca="false">IF(COUNTIF([1]Base_Jugadores!J$2:J$500,B649)&gt;0,1,0)</f>
        <v>0</v>
      </c>
      <c r="Q649" s="10" t="b">
        <f aca="false">--(COUNTIFS(
   [1]Fichajes_Realizados!A$2:A$5000,A649,
   [1]Fichajes_Realizados!G$2:G$5000,$X$3
)&gt;0)</f>
        <v>0</v>
      </c>
      <c r="R649" s="5" t="n">
        <f aca="false">_xlfn.XLOOKUP(C649, [1]Estado_Equipos!A$2:A$500, [1]Estado_Equipos!J$2:J$500, "")</f>
        <v>73</v>
      </c>
      <c r="S649" s="5" t="n">
        <f aca="false">IF(H649&lt;=16,1.45,
IF(H649&gt;=41,0.3,
CHOOSE(ROUNDDOWN((H649-16)/2,0)+1,
1.45,1.38,1.3,1.23,1.17,1.15,1.12,1.05,0.95,0.8,0.6,0.4,0.3)))</f>
        <v>1.15</v>
      </c>
      <c r="T649" s="5" t="n">
        <f aca="false">CHOOSE(N649+1,1.2,1,0.85,0.7)</f>
        <v>1.2</v>
      </c>
      <c r="U649" s="5" t="n">
        <f aca="false">IF(F649="PO",0.6,
IF(F649="CT",0.75,
IF(F649="LI",0.8,
IF(F649="LD",0.8,
IF(F649="MCD",0.85,
IF(F649="MC",0.95,
IF(F649="MO",1.05,
IF(F649="EI",1.1,
IF(F649="ED",1.1,
IF(F649="SD",1.15,
IF(F649="DC",1.2,0)))))))))))</f>
        <v>1.1</v>
      </c>
    </row>
    <row r="650" customFormat="false" ht="16.4" hidden="false" customHeight="false" outlineLevel="0" collapsed="false">
      <c r="A650" s="1" t="n">
        <v>649</v>
      </c>
      <c r="B650" s="5" t="str">
        <f aca="false">[1]Base_Jugadores!B650</f>
        <v>Jaidon Anthony</v>
      </c>
      <c r="C650" s="5" t="str">
        <f aca="false">IFERROR(
   _xlfn.XLOOKUP(VALUE(A650),[1]Fichajes_Realizados!A$2:A$50000,[1]Fichajes_Realizados!D$2:D$50000,,0,-1),
   _xlfn.XLOOKUP(VALUE(A650),[1]Base_Jugadores!A$2:A$50000,[1]Base_Jugadores!C$2:C$50000)
)</f>
        <v>Burnley FC</v>
      </c>
      <c r="D650" s="5" t="str">
        <f aca="false">[1]Base_Jugadores!D650</f>
        <v>Inglaterra</v>
      </c>
      <c r="E650" s="3"/>
      <c r="F650" s="5" t="str">
        <f aca="false">[1]Base_Jugadores!E650</f>
        <v>EI</v>
      </c>
      <c r="G650" s="5" t="n">
        <f aca="false">[1]Base_Jugadores!F650</f>
        <v>74</v>
      </c>
      <c r="H650" s="5" t="n">
        <f aca="false">[1]Base_Jugadores!G650</f>
        <v>26</v>
      </c>
      <c r="I650" s="7" t="n">
        <f aca="false" t="array" ref="I650:I650">_xlfn.XLOOKUP(G650,{55;56;57;58;59;60;61;62;63;64;65;66;67;68;69;70;71;72;73;74;75;76;77;78;79;80;81;82;83;84;85;86;87;88;89;90;91;92;93;94;95;96;97;98;99},{100000;130000;160000;190000;220000;250000;300000;350000;400000;450000;500000;600000;700000;800000;900000;1000000;1500000;2000000;3000000;4000000;5000000;6500000;8000000;10000000;12500000;15000000;20000000;25000000;30000000;35000000;40000000;55000000;70000000;80000000;90000000;110000000;130000000;160000000;190000000;220000000;250000000;280000000;310000000;340000000;400000000})</f>
        <v>4000000</v>
      </c>
      <c r="J650" s="7" t="n">
        <f aca="false">I650*S650*T650*U650</f>
        <v>5060000</v>
      </c>
      <c r="K650" s="3"/>
      <c r="L650" s="3"/>
      <c r="M650" s="3"/>
      <c r="N650" s="9" t="n">
        <v>1</v>
      </c>
      <c r="O650" s="4" t="n">
        <v>0</v>
      </c>
      <c r="P650" s="5" t="n">
        <f aca="false">IF(COUNTIF([1]Base_Jugadores!J$2:J$500,B650)&gt;0,1,0)</f>
        <v>0</v>
      </c>
      <c r="Q650" s="10" t="b">
        <f aca="false">--(COUNTIFS(
   [1]Fichajes_Realizados!A$2:A$5000,A650,
   [1]Fichajes_Realizados!G$2:G$5000,$X$3
)&gt;0)</f>
        <v>0</v>
      </c>
      <c r="R650" s="5" t="n">
        <f aca="false">_xlfn.XLOOKUP(C650, [1]Estado_Equipos!A$2:A$500, [1]Estado_Equipos!J$2:J$500, "")</f>
        <v>73</v>
      </c>
      <c r="S650" s="5" t="n">
        <f aca="false">IF(H650&lt;=16,1.45,
IF(H650&gt;=41,0.3,
CHOOSE(ROUNDDOWN((H650-16)/2,0)+1,
1.45,1.38,1.3,1.23,1.17,1.15,1.12,1.05,0.95,0.8,0.6,0.4,0.3)))</f>
        <v>1.15</v>
      </c>
      <c r="T650" s="5" t="n">
        <f aca="false">CHOOSE(N650+1,1.2,1,0.85,0.7)</f>
        <v>1</v>
      </c>
      <c r="U650" s="5" t="n">
        <f aca="false">IF(F650="PO",0.6,
IF(F650="CT",0.75,
IF(F650="LI",0.8,
IF(F650="LD",0.8,
IF(F650="MCD",0.85,
IF(F650="MC",0.95,
IF(F650="MO",1.05,
IF(F650="EI",1.1,
IF(F650="ED",1.1,
IF(F650="SD",1.15,
IF(F650="DC",1.2,0)))))))))))</f>
        <v>1.1</v>
      </c>
    </row>
    <row r="651" customFormat="false" ht="16.4" hidden="false" customHeight="false" outlineLevel="0" collapsed="false">
      <c r="A651" s="1" t="n">
        <v>650</v>
      </c>
      <c r="B651" s="5" t="str">
        <f aca="false">[1]Base_Jugadores!B651</f>
        <v>Jaydon Banel</v>
      </c>
      <c r="C651" s="5" t="str">
        <f aca="false">IFERROR(
   _xlfn.XLOOKUP(VALUE(A651),[1]Fichajes_Realizados!A$2:A$50000,[1]Fichajes_Realizados!D$2:D$50000,,0,-1),
   _xlfn.XLOOKUP(VALUE(A651),[1]Base_Jugadores!A$2:A$50000,[1]Base_Jugadores!C$2:C$50000)
)</f>
        <v>Burnley FC</v>
      </c>
      <c r="D651" s="5" t="str">
        <f aca="false">[1]Base_Jugadores!D651</f>
        <v>Países Bajos</v>
      </c>
      <c r="E651" s="3"/>
      <c r="F651" s="5" t="str">
        <f aca="false">[1]Base_Jugadores!E651</f>
        <v>EI</v>
      </c>
      <c r="G651" s="5" t="n">
        <f aca="false">[1]Base_Jugadores!F651</f>
        <v>64</v>
      </c>
      <c r="H651" s="5" t="n">
        <f aca="false">[1]Base_Jugadores!G651</f>
        <v>21</v>
      </c>
      <c r="I651" s="7" t="n">
        <f aca="false" t="array" ref="I651:I651">_xlfn.XLOOKUP(G651,{55;56;57;58;59;60;61;62;63;64;65;66;67;68;69;70;71;72;73;74;75;76;77;78;79;80;81;82;83;84;85;86;87;88;89;90;91;92;93;94;95;96;97;98;99},{100000;130000;160000;190000;220000;250000;300000;350000;400000;450000;500000;600000;700000;800000;900000;1000000;1500000;2000000;3000000;4000000;5000000;6500000;8000000;10000000;12500000;15000000;20000000;25000000;30000000;35000000;40000000;55000000;70000000;80000000;90000000;110000000;130000000;160000000;190000000;220000000;250000000;280000000;310000000;340000000;400000000})</f>
        <v>450000</v>
      </c>
      <c r="J651" s="7" t="n">
        <f aca="false">I651*S651*T651*U651</f>
        <v>546975</v>
      </c>
      <c r="K651" s="3"/>
      <c r="L651" s="3"/>
      <c r="M651" s="3"/>
      <c r="N651" s="9" t="n">
        <v>2</v>
      </c>
      <c r="O651" s="4" t="n">
        <v>1</v>
      </c>
      <c r="P651" s="5" t="n">
        <f aca="false">IF(COUNTIF([1]Base_Jugadores!J$2:J$500,B651)&gt;0,1,0)</f>
        <v>0</v>
      </c>
      <c r="Q651" s="10" t="b">
        <f aca="false">--(COUNTIFS(
   [1]Fichajes_Realizados!A$2:A$5000,A651,
   [1]Fichajes_Realizados!G$2:G$5000,$X$3
)&gt;0)</f>
        <v>0</v>
      </c>
      <c r="R651" s="5" t="n">
        <f aca="false">_xlfn.XLOOKUP(C651, [1]Estado_Equipos!A$2:A$500, [1]Estado_Equipos!J$2:J$500, "")</f>
        <v>73</v>
      </c>
      <c r="S651" s="5" t="n">
        <f aca="false">IF(H651&lt;=16,1.45,
IF(H651&gt;=41,0.3,
CHOOSE(ROUNDDOWN((H651-16)/2,0)+1,
1.45,1.38,1.3,1.23,1.17,1.15,1.12,1.05,0.95,0.8,0.6,0.4,0.3)))</f>
        <v>1.3</v>
      </c>
      <c r="T651" s="5" t="n">
        <f aca="false">CHOOSE(N651+1,1.2,1,0.85,0.7)</f>
        <v>0.85</v>
      </c>
      <c r="U651" s="5" t="n">
        <f aca="false">IF(F651="PO",0.6,
IF(F651="CT",0.75,
IF(F651="LI",0.8,
IF(F651="LD",0.8,
IF(F651="MCD",0.85,
IF(F651="MC",0.95,
IF(F651="MO",1.05,
IF(F651="EI",1.1,
IF(F651="ED",1.1,
IF(F651="SD",1.15,
IF(F651="DC",1.2,0)))))))))))</f>
        <v>1.1</v>
      </c>
    </row>
    <row r="652" customFormat="false" ht="16.4" hidden="false" customHeight="false" outlineLevel="0" collapsed="false">
      <c r="A652" s="1" t="n">
        <v>651</v>
      </c>
      <c r="B652" s="5" t="str">
        <f aca="false">[1]Base_Jugadores!B652</f>
        <v>Joe Worrall</v>
      </c>
      <c r="C652" s="5" t="str">
        <f aca="false">IFERROR(
   _xlfn.XLOOKUP(VALUE(A652),[1]Fichajes_Realizados!A$2:A$50000,[1]Fichajes_Realizados!D$2:D$50000,,0,-1),
   _xlfn.XLOOKUP(VALUE(A652),[1]Base_Jugadores!A$2:A$50000,[1]Base_Jugadores!C$2:C$50000)
)</f>
        <v>Burnley FC</v>
      </c>
      <c r="D652" s="5" t="str">
        <f aca="false">[1]Base_Jugadores!D652</f>
        <v>Inglaterra</v>
      </c>
      <c r="E652" s="3"/>
      <c r="F652" s="5" t="str">
        <f aca="false">[1]Base_Jugadores!E652</f>
        <v>CT</v>
      </c>
      <c r="G652" s="5" t="n">
        <f aca="false">[1]Base_Jugadores!F652</f>
        <v>74</v>
      </c>
      <c r="H652" s="5" t="n">
        <f aca="false">[1]Base_Jugadores!G652</f>
        <v>28</v>
      </c>
      <c r="I652" s="7" t="n">
        <f aca="false" t="array" ref="I652:I652">_xlfn.XLOOKUP(G652,{55;56;57;58;59;60;61;62;63;64;65;66;67;68;69;70;71;72;73;74;75;76;77;78;79;80;81;82;83;84;85;86;87;88;89;90;91;92;93;94;95;96;97;98;99},{100000;130000;160000;190000;220000;250000;300000;350000;400000;450000;500000;600000;700000;800000;900000;1000000;1500000;2000000;3000000;4000000;5000000;6500000;8000000;10000000;12500000;15000000;20000000;25000000;30000000;35000000;40000000;55000000;70000000;80000000;90000000;110000000;130000000;160000000;190000000;220000000;250000000;280000000;310000000;340000000;400000000})</f>
        <v>4000000</v>
      </c>
      <c r="J652" s="7" t="n">
        <f aca="false">I652*S652*T652*U652</f>
        <v>3360000</v>
      </c>
      <c r="K652" s="3"/>
      <c r="L652" s="3"/>
      <c r="M652" s="3"/>
      <c r="N652" s="9" t="n">
        <v>1</v>
      </c>
      <c r="O652" s="4" t="n">
        <v>0</v>
      </c>
      <c r="P652" s="5" t="n">
        <f aca="false">IF(COUNTIF([1]Base_Jugadores!J$2:J$500,B652)&gt;0,1,0)</f>
        <v>0</v>
      </c>
      <c r="Q652" s="10" t="b">
        <f aca="false">--(COUNTIFS(
   [1]Fichajes_Realizados!A$2:A$5000,A652,
   [1]Fichajes_Realizados!G$2:G$5000,$X$3
)&gt;0)</f>
        <v>0</v>
      </c>
      <c r="R652" s="5" t="n">
        <f aca="false">_xlfn.XLOOKUP(C652, [1]Estado_Equipos!A$2:A$500, [1]Estado_Equipos!J$2:J$500, "")</f>
        <v>73</v>
      </c>
      <c r="S652" s="5" t="n">
        <f aca="false">IF(H652&lt;=16,1.45,
IF(H652&gt;=41,0.3,
CHOOSE(ROUNDDOWN((H652-16)/2,0)+1,
1.45,1.38,1.3,1.23,1.17,1.15,1.12,1.05,0.95,0.8,0.6,0.4,0.3)))</f>
        <v>1.12</v>
      </c>
      <c r="T652" s="5" t="n">
        <f aca="false">CHOOSE(N652+1,1.2,1,0.85,0.7)</f>
        <v>1</v>
      </c>
      <c r="U652" s="5" t="n">
        <f aca="false">IF(F652="PO",0.6,
IF(F652="CT",0.75,
IF(F652="LI",0.8,
IF(F652="LD",0.8,
IF(F652="MCD",0.85,
IF(F652="MC",0.95,
IF(F652="MO",1.05,
IF(F652="EI",1.1,
IF(F652="ED",1.1,
IF(F652="SD",1.15,
IF(F652="DC",1.2,0)))))))))))</f>
        <v>0.75</v>
      </c>
    </row>
    <row r="653" customFormat="false" ht="16.4" hidden="false" customHeight="false" outlineLevel="0" collapsed="false">
      <c r="A653" s="1" t="n">
        <v>652</v>
      </c>
      <c r="B653" s="5" t="str">
        <f aca="false">[1]Base_Jugadores!B653</f>
        <v>Jordan Beyer</v>
      </c>
      <c r="C653" s="5" t="str">
        <f aca="false">IFERROR(
   _xlfn.XLOOKUP(VALUE(A653),[1]Fichajes_Realizados!A$2:A$50000,[1]Fichajes_Realizados!D$2:D$50000,,0,-1),
   _xlfn.XLOOKUP(VALUE(A653),[1]Base_Jugadores!A$2:A$50000,[1]Base_Jugadores!C$2:C$50000)
)</f>
        <v>Burnley FC</v>
      </c>
      <c r="D653" s="5" t="str">
        <f aca="false">[1]Base_Jugadores!D653</f>
        <v>Alemania</v>
      </c>
      <c r="E653" s="3"/>
      <c r="F653" s="5" t="str">
        <f aca="false">[1]Base_Jugadores!E653</f>
        <v>CT</v>
      </c>
      <c r="G653" s="5" t="n">
        <f aca="false">[1]Base_Jugadores!F653</f>
        <v>75</v>
      </c>
      <c r="H653" s="5" t="n">
        <f aca="false">[1]Base_Jugadores!G653</f>
        <v>25</v>
      </c>
      <c r="I653" s="7" t="n">
        <f aca="false" t="array" ref="I653:I653">_xlfn.XLOOKUP(G653,{55;56;57;58;59;60;61;62;63;64;65;66;67;68;69;70;71;72;73;74;75;76;77;78;79;80;81;82;83;84;85;86;87;88;89;90;91;92;93;94;95;96;97;98;99},{100000;130000;160000;190000;220000;250000;300000;350000;400000;450000;500000;600000;700000;800000;900000;1000000;1500000;2000000;3000000;4000000;5000000;6500000;8000000;10000000;12500000;15000000;20000000;25000000;30000000;35000000;40000000;55000000;70000000;80000000;90000000;110000000;130000000;160000000;190000000;220000000;250000000;280000000;310000000;340000000;400000000})</f>
        <v>5000000</v>
      </c>
      <c r="J653" s="7" t="n">
        <f aca="false">I653*S653*T653*U653</f>
        <v>5265000</v>
      </c>
      <c r="K653" s="3"/>
      <c r="L653" s="3"/>
      <c r="M653" s="3"/>
      <c r="N653" s="9" t="n">
        <v>0</v>
      </c>
      <c r="O653" s="4" t="n">
        <v>0</v>
      </c>
      <c r="P653" s="5" t="n">
        <f aca="false">IF(COUNTIF([1]Base_Jugadores!J$2:J$500,B653)&gt;0,1,0)</f>
        <v>0</v>
      </c>
      <c r="Q653" s="10" t="b">
        <f aca="false">--(COUNTIFS(
   [1]Fichajes_Realizados!A$2:A$5000,A653,
   [1]Fichajes_Realizados!G$2:G$5000,$X$3
)&gt;0)</f>
        <v>0</v>
      </c>
      <c r="R653" s="5" t="n">
        <f aca="false">_xlfn.XLOOKUP(C653, [1]Estado_Equipos!A$2:A$500, [1]Estado_Equipos!J$2:J$500, "")</f>
        <v>73</v>
      </c>
      <c r="S653" s="5" t="n">
        <f aca="false">IF(H653&lt;=16,1.45,
IF(H653&gt;=41,0.3,
CHOOSE(ROUNDDOWN((H653-16)/2,0)+1,
1.45,1.38,1.3,1.23,1.17,1.15,1.12,1.05,0.95,0.8,0.6,0.4,0.3)))</f>
        <v>1.17</v>
      </c>
      <c r="T653" s="5" t="n">
        <f aca="false">CHOOSE(N653+1,1.2,1,0.85,0.7)</f>
        <v>1.2</v>
      </c>
      <c r="U653" s="5" t="n">
        <f aca="false">IF(F653="PO",0.6,
IF(F653="CT",0.75,
IF(F653="LI",0.8,
IF(F653="LD",0.8,
IF(F653="MCD",0.85,
IF(F653="MC",0.95,
IF(F653="MO",1.05,
IF(F653="EI",1.1,
IF(F653="ED",1.1,
IF(F653="SD",1.15,
IF(F653="DC",1.2,0)))))))))))</f>
        <v>0.75</v>
      </c>
    </row>
    <row r="654" customFormat="false" ht="16.4" hidden="false" customHeight="false" outlineLevel="0" collapsed="false">
      <c r="A654" s="1" t="n">
        <v>653</v>
      </c>
      <c r="B654" s="5" t="str">
        <f aca="false">[1]Base_Jugadores!B654</f>
        <v>Josh Cullen</v>
      </c>
      <c r="C654" s="5" t="str">
        <f aca="false">IFERROR(
   _xlfn.XLOOKUP(VALUE(A654),[1]Fichajes_Realizados!A$2:A$50000,[1]Fichajes_Realizados!D$2:D$50000,,0,-1),
   _xlfn.XLOOKUP(VALUE(A654),[1]Base_Jugadores!A$2:A$50000,[1]Base_Jugadores!C$2:C$50000)
)</f>
        <v>Burnley FC</v>
      </c>
      <c r="D654" s="5" t="str">
        <f aca="false">[1]Base_Jugadores!D654</f>
        <v>Irlanda</v>
      </c>
      <c r="E654" s="3"/>
      <c r="F654" s="5" t="str">
        <f aca="false">[1]Base_Jugadores!E654</f>
        <v>MC</v>
      </c>
      <c r="G654" s="5" t="n">
        <f aca="false">[1]Base_Jugadores!F654</f>
        <v>76</v>
      </c>
      <c r="H654" s="5" t="n">
        <f aca="false">[1]Base_Jugadores!G654</f>
        <v>29</v>
      </c>
      <c r="I654" s="7" t="n">
        <f aca="false" t="array" ref="I654:I654">_xlfn.XLOOKUP(G654,{55;56;57;58;59;60;61;62;63;64;65;66;67;68;69;70;71;72;73;74;75;76;77;78;79;80;81;82;83;84;85;86;87;88;89;90;91;92;93;94;95;96;97;98;99},{100000;130000;160000;190000;220000;250000;300000;350000;400000;450000;500000;600000;700000;800000;900000;1000000;1500000;2000000;3000000;4000000;5000000;6500000;8000000;10000000;12500000;15000000;20000000;25000000;30000000;35000000;40000000;55000000;70000000;80000000;90000000;110000000;130000000;160000000;190000000;220000000;250000000;280000000;310000000;340000000;400000000})</f>
        <v>6500000</v>
      </c>
      <c r="J654" s="7" t="n">
        <f aca="false">I654*S654*T654*U654</f>
        <v>8299200</v>
      </c>
      <c r="K654" s="3"/>
      <c r="L654" s="3"/>
      <c r="M654" s="3"/>
      <c r="N654" s="9" t="n">
        <v>0</v>
      </c>
      <c r="O654" s="4" t="n">
        <v>0</v>
      </c>
      <c r="P654" s="5" t="n">
        <f aca="false">IF(COUNTIF([1]Base_Jugadores!J$2:J$500,B654)&gt;0,1,0)</f>
        <v>0</v>
      </c>
      <c r="Q654" s="10" t="b">
        <f aca="false">--(COUNTIFS(
   [1]Fichajes_Realizados!A$2:A$5000,A654,
   [1]Fichajes_Realizados!G$2:G$5000,$X$3
)&gt;0)</f>
        <v>0</v>
      </c>
      <c r="R654" s="5" t="n">
        <f aca="false">_xlfn.XLOOKUP(C654, [1]Estado_Equipos!A$2:A$500, [1]Estado_Equipos!J$2:J$500, "")</f>
        <v>73</v>
      </c>
      <c r="S654" s="5" t="n">
        <f aca="false">IF(H654&lt;=16,1.45,
IF(H654&gt;=41,0.3,
CHOOSE(ROUNDDOWN((H654-16)/2,0)+1,
1.45,1.38,1.3,1.23,1.17,1.15,1.12,1.05,0.95,0.8,0.6,0.4,0.3)))</f>
        <v>1.12</v>
      </c>
      <c r="T654" s="5" t="n">
        <f aca="false">CHOOSE(N654+1,1.2,1,0.85,0.7)</f>
        <v>1.2</v>
      </c>
      <c r="U654" s="5" t="n">
        <f aca="false">IF(F654="PO",0.6,
IF(F654="CT",0.75,
IF(F654="LI",0.8,
IF(F654="LD",0.8,
IF(F654="MCD",0.85,
IF(F654="MC",0.95,
IF(F654="MO",1.05,
IF(F654="EI",1.1,
IF(F654="ED",1.1,
IF(F654="SD",1.15,
IF(F654="DC",1.2,0)))))))))))</f>
        <v>0.95</v>
      </c>
    </row>
    <row r="655" customFormat="false" ht="16.4" hidden="false" customHeight="false" outlineLevel="0" collapsed="false">
      <c r="A655" s="1" t="n">
        <v>654</v>
      </c>
      <c r="B655" s="5" t="str">
        <f aca="false">[1]Base_Jugadores!B655</f>
        <v>Josh Laurent</v>
      </c>
      <c r="C655" s="5" t="str">
        <f aca="false">IFERROR(
   _xlfn.XLOOKUP(VALUE(A655),[1]Fichajes_Realizados!A$2:A$50000,[1]Fichajes_Realizados!D$2:D$50000,,0,-1),
   _xlfn.XLOOKUP(VALUE(A655),[1]Base_Jugadores!A$2:A$50000,[1]Base_Jugadores!C$2:C$50000)
)</f>
        <v>Burnley FC</v>
      </c>
      <c r="D655" s="5" t="str">
        <f aca="false">[1]Base_Jugadores!D655</f>
        <v>Inglaterra</v>
      </c>
      <c r="E655" s="3"/>
      <c r="F655" s="5" t="str">
        <f aca="false">[1]Base_Jugadores!E655</f>
        <v>MC</v>
      </c>
      <c r="G655" s="5" t="n">
        <f aca="false">[1]Base_Jugadores!F655</f>
        <v>70</v>
      </c>
      <c r="H655" s="5" t="n">
        <f aca="false">[1]Base_Jugadores!G655</f>
        <v>30</v>
      </c>
      <c r="I655" s="7" t="n">
        <f aca="false" t="array" ref="I655:I655">_xlfn.XLOOKUP(G655,{55;56;57;58;59;60;61;62;63;64;65;66;67;68;69;70;71;72;73;74;75;76;77;78;79;80;81;82;83;84;85;86;87;88;89;90;91;92;93;94;95;96;97;98;99},{100000;130000;160000;190000;220000;250000;300000;350000;400000;450000;500000;600000;700000;800000;900000;1000000;1500000;2000000;3000000;4000000;5000000;6500000;8000000;10000000;12500000;15000000;20000000;25000000;30000000;35000000;40000000;55000000;70000000;80000000;90000000;110000000;130000000;160000000;190000000;220000000;250000000;280000000;310000000;340000000;400000000})</f>
        <v>1000000</v>
      </c>
      <c r="J655" s="7" t="n">
        <f aca="false">I655*S655*T655*U655</f>
        <v>847875</v>
      </c>
      <c r="K655" s="3"/>
      <c r="L655" s="3"/>
      <c r="M655" s="3"/>
      <c r="N655" s="9" t="n">
        <v>2</v>
      </c>
      <c r="O655" s="4" t="n">
        <v>0</v>
      </c>
      <c r="P655" s="5" t="n">
        <f aca="false">IF(COUNTIF([1]Base_Jugadores!J$2:J$500,B655)&gt;0,1,0)</f>
        <v>0</v>
      </c>
      <c r="Q655" s="10" t="b">
        <f aca="false">--(COUNTIFS(
   [1]Fichajes_Realizados!A$2:A$5000,A655,
   [1]Fichajes_Realizados!G$2:G$5000,$X$3
)&gt;0)</f>
        <v>0</v>
      </c>
      <c r="R655" s="5" t="n">
        <f aca="false">_xlfn.XLOOKUP(C655, [1]Estado_Equipos!A$2:A$500, [1]Estado_Equipos!J$2:J$500, "")</f>
        <v>73</v>
      </c>
      <c r="S655" s="5" t="n">
        <f aca="false">IF(H655&lt;=16,1.45,
IF(H655&gt;=41,0.3,
CHOOSE(ROUNDDOWN((H655-16)/2,0)+1,
1.45,1.38,1.3,1.23,1.17,1.15,1.12,1.05,0.95,0.8,0.6,0.4,0.3)))</f>
        <v>1.05</v>
      </c>
      <c r="T655" s="5" t="n">
        <f aca="false">CHOOSE(N655+1,1.2,1,0.85,0.7)</f>
        <v>0.85</v>
      </c>
      <c r="U655" s="5" t="n">
        <f aca="false">IF(F655="PO",0.6,
IF(F655="CT",0.75,
IF(F655="LI",0.8,
IF(F655="LD",0.8,
IF(F655="MCD",0.85,
IF(F655="MC",0.95,
IF(F655="MO",1.05,
IF(F655="EI",1.1,
IF(F655="ED",1.1,
IF(F655="SD",1.15,
IF(F655="DC",1.2,0)))))))))))</f>
        <v>0.95</v>
      </c>
    </row>
    <row r="656" customFormat="false" ht="16.4" hidden="false" customHeight="false" outlineLevel="0" collapsed="false">
      <c r="A656" s="1" t="n">
        <v>655</v>
      </c>
      <c r="B656" s="5" t="str">
        <f aca="false">[1]Base_Jugadores!B656</f>
        <v>Kyle Walker</v>
      </c>
      <c r="C656" s="5" t="str">
        <f aca="false">IFERROR(
   _xlfn.XLOOKUP(VALUE(A656),[1]Fichajes_Realizados!A$2:A$50000,[1]Fichajes_Realizados!D$2:D$50000,,0,-1),
   _xlfn.XLOOKUP(VALUE(A656),[1]Base_Jugadores!A$2:A$50000,[1]Base_Jugadores!C$2:C$50000)
)</f>
        <v>Burnley FC</v>
      </c>
      <c r="D656" s="5" t="str">
        <f aca="false">[1]Base_Jugadores!D656</f>
        <v>Inglaterra</v>
      </c>
      <c r="E656" s="3"/>
      <c r="F656" s="5" t="str">
        <f aca="false">[1]Base_Jugadores!E656</f>
        <v>LD</v>
      </c>
      <c r="G656" s="5" t="n">
        <f aca="false">[1]Base_Jugadores!F656</f>
        <v>83</v>
      </c>
      <c r="H656" s="5" t="n">
        <f aca="false">[1]Base_Jugadores!G656</f>
        <v>35</v>
      </c>
      <c r="I656" s="7" t="n">
        <f aca="false" t="array" ref="I656:I656">_xlfn.XLOOKUP(G656,{55;56;57;58;59;60;61;62;63;64;65;66;67;68;69;70;71;72;73;74;75;76;77;78;79;80;81;82;83;84;85;86;87;88;89;90;91;92;93;94;95;96;97;98;99},{100000;130000;160000;190000;220000;250000;300000;350000;400000;450000;500000;600000;700000;800000;900000;1000000;1500000;2000000;3000000;4000000;5000000;6500000;8000000;10000000;12500000;15000000;20000000;25000000;30000000;35000000;40000000;55000000;70000000;80000000;90000000;110000000;130000000;160000000;190000000;220000000;250000000;280000000;310000000;340000000;400000000})</f>
        <v>30000000</v>
      </c>
      <c r="J656" s="7" t="n">
        <f aca="false">I656*S656*T656*U656</f>
        <v>23040000</v>
      </c>
      <c r="K656" s="3"/>
      <c r="L656" s="3"/>
      <c r="M656" s="3"/>
      <c r="N656" s="9" t="n">
        <v>0</v>
      </c>
      <c r="O656" s="4" t="n">
        <v>0</v>
      </c>
      <c r="P656" s="5" t="n">
        <f aca="false">IF(COUNTIF([1]Base_Jugadores!J$2:J$500,B656)&gt;0,1,0)</f>
        <v>0</v>
      </c>
      <c r="Q656" s="10" t="b">
        <f aca="false">--(COUNTIFS(
   [1]Fichajes_Realizados!A$2:A$5000,A656,
   [1]Fichajes_Realizados!G$2:G$5000,$X$3
)&gt;0)</f>
        <v>0</v>
      </c>
      <c r="R656" s="5" t="n">
        <f aca="false">_xlfn.XLOOKUP(C656, [1]Estado_Equipos!A$2:A$500, [1]Estado_Equipos!J$2:J$500, "")</f>
        <v>73</v>
      </c>
      <c r="S656" s="5" t="n">
        <f aca="false">IF(H656&lt;=16,1.45,
IF(H656&gt;=41,0.3,
CHOOSE(ROUNDDOWN((H656-16)/2,0)+1,
1.45,1.38,1.3,1.23,1.17,1.15,1.12,1.05,0.95,0.8,0.6,0.4,0.3)))</f>
        <v>0.8</v>
      </c>
      <c r="T656" s="5" t="n">
        <f aca="false">CHOOSE(N656+1,1.2,1,0.85,0.7)</f>
        <v>1.2</v>
      </c>
      <c r="U656" s="5" t="n">
        <f aca="false">IF(F656="PO",0.6,
IF(F656="CT",0.75,
IF(F656="LI",0.8,
IF(F656="LD",0.8,
IF(F656="MCD",0.85,
IF(F656="MC",0.95,
IF(F656="MO",1.05,
IF(F656="EI",1.1,
IF(F656="ED",1.1,
IF(F656="SD",1.15,
IF(F656="DC",1.2,0)))))))))))</f>
        <v>0.8</v>
      </c>
    </row>
    <row r="657" customFormat="false" ht="16.4" hidden="false" customHeight="false" outlineLevel="0" collapsed="false">
      <c r="A657" s="1" t="n">
        <v>656</v>
      </c>
      <c r="B657" s="5" t="str">
        <f aca="false">[1]Base_Jugadores!B657</f>
        <v>L. Ugochukwu</v>
      </c>
      <c r="C657" s="5" t="str">
        <f aca="false">IFERROR(
   _xlfn.XLOOKUP(VALUE(A657),[1]Fichajes_Realizados!A$2:A$50000,[1]Fichajes_Realizados!D$2:D$50000,,0,-1),
   _xlfn.XLOOKUP(VALUE(A657),[1]Base_Jugadores!A$2:A$50000,[1]Base_Jugadores!C$2:C$50000)
)</f>
        <v>Burnley FC</v>
      </c>
      <c r="D657" s="5" t="str">
        <f aca="false">[1]Base_Jugadores!D657</f>
        <v>Francia</v>
      </c>
      <c r="E657" s="3"/>
      <c r="F657" s="5" t="str">
        <f aca="false">[1]Base_Jugadores!E657</f>
        <v>MCD</v>
      </c>
      <c r="G657" s="5" t="n">
        <f aca="false">[1]Base_Jugadores!F657</f>
        <v>74</v>
      </c>
      <c r="H657" s="5" t="n">
        <f aca="false">[1]Base_Jugadores!G657</f>
        <v>21</v>
      </c>
      <c r="I657" s="7" t="n">
        <f aca="false" t="array" ref="I657:I657">_xlfn.XLOOKUP(G657,{55;56;57;58;59;60;61;62;63;64;65;66;67;68;69;70;71;72;73;74;75;76;77;78;79;80;81;82;83;84;85;86;87;88;89;90;91;92;93;94;95;96;97;98;99},{100000;130000;160000;190000;220000;250000;300000;350000;400000;450000;500000;600000;700000;800000;900000;1000000;1500000;2000000;3000000;4000000;5000000;6500000;8000000;10000000;12500000;15000000;20000000;25000000;30000000;35000000;40000000;55000000;70000000;80000000;90000000;110000000;130000000;160000000;190000000;220000000;250000000;280000000;310000000;340000000;400000000})</f>
        <v>4000000</v>
      </c>
      <c r="J657" s="7" t="n">
        <f aca="false">I657*S657*T657*U657</f>
        <v>4420000</v>
      </c>
      <c r="K657" s="3"/>
      <c r="L657" s="3"/>
      <c r="M657" s="3"/>
      <c r="N657" s="9" t="n">
        <v>1</v>
      </c>
      <c r="O657" s="4" t="n">
        <v>0</v>
      </c>
      <c r="P657" s="5" t="n">
        <f aca="false">IF(COUNTIF([1]Base_Jugadores!J$2:J$500,B657)&gt;0,1,0)</f>
        <v>0</v>
      </c>
      <c r="Q657" s="10" t="b">
        <f aca="false">--(COUNTIFS(
   [1]Fichajes_Realizados!A$2:A$5000,A657,
   [1]Fichajes_Realizados!G$2:G$5000,$X$3
)&gt;0)</f>
        <v>0</v>
      </c>
      <c r="R657" s="5" t="n">
        <f aca="false">_xlfn.XLOOKUP(C657, [1]Estado_Equipos!A$2:A$500, [1]Estado_Equipos!J$2:J$500, "")</f>
        <v>73</v>
      </c>
      <c r="S657" s="5" t="n">
        <f aca="false">IF(H657&lt;=16,1.45,
IF(H657&gt;=41,0.3,
CHOOSE(ROUNDDOWN((H657-16)/2,0)+1,
1.45,1.38,1.3,1.23,1.17,1.15,1.12,1.05,0.95,0.8,0.6,0.4,0.3)))</f>
        <v>1.3</v>
      </c>
      <c r="T657" s="5" t="n">
        <f aca="false">CHOOSE(N657+1,1.2,1,0.85,0.7)</f>
        <v>1</v>
      </c>
      <c r="U657" s="5" t="n">
        <f aca="false">IF(F657="PO",0.6,
IF(F657="CT",0.75,
IF(F657="LI",0.8,
IF(F657="LD",0.8,
IF(F657="MCD",0.85,
IF(F657="MC",0.95,
IF(F657="MO",1.05,
IF(F657="EI",1.1,
IF(F657="ED",1.1,
IF(F657="SD",1.15,
IF(F657="DC",1.2,0)))))))))))</f>
        <v>0.85</v>
      </c>
    </row>
    <row r="658" customFormat="false" ht="16.4" hidden="false" customHeight="false" outlineLevel="0" collapsed="false">
      <c r="A658" s="1" t="n">
        <v>657</v>
      </c>
      <c r="B658" s="5" t="str">
        <f aca="false">[1]Base_Jugadores!B658</f>
        <v>Loum Tchaouna</v>
      </c>
      <c r="C658" s="5" t="str">
        <f aca="false">IFERROR(
   _xlfn.XLOOKUP(VALUE(A658),[1]Fichajes_Realizados!A$2:A$50000,[1]Fichajes_Realizados!D$2:D$50000,,0,-1),
   _xlfn.XLOOKUP(VALUE(A658),[1]Base_Jugadores!A$2:A$50000,[1]Base_Jugadores!C$2:C$50000)
)</f>
        <v>Burnley FC</v>
      </c>
      <c r="D658" s="5" t="str">
        <f aca="false">[1]Base_Jugadores!D658</f>
        <v>Francia</v>
      </c>
      <c r="E658" s="3"/>
      <c r="F658" s="5" t="str">
        <f aca="false">[1]Base_Jugadores!E658</f>
        <v>ED</v>
      </c>
      <c r="G658" s="5" t="n">
        <f aca="false">[1]Base_Jugadores!F658</f>
        <v>71</v>
      </c>
      <c r="H658" s="5" t="n">
        <f aca="false">[1]Base_Jugadores!G658</f>
        <v>22</v>
      </c>
      <c r="I658" s="7" t="n">
        <f aca="false" t="array" ref="I658:I658">_xlfn.XLOOKUP(G658,{55;56;57;58;59;60;61;62;63;64;65;66;67;68;69;70;71;72;73;74;75;76;77;78;79;80;81;82;83;84;85;86;87;88;89;90;91;92;93;94;95;96;97;98;99},{100000;130000;160000;190000;220000;250000;300000;350000;400000;450000;500000;600000;700000;800000;900000;1000000;1500000;2000000;3000000;4000000;5000000;6500000;8000000;10000000;12500000;15000000;20000000;25000000;30000000;35000000;40000000;55000000;70000000;80000000;90000000;110000000;130000000;160000000;190000000;220000000;250000000;280000000;310000000;340000000;400000000})</f>
        <v>1500000</v>
      </c>
      <c r="J658" s="7" t="n">
        <f aca="false">I658*S658*T658*U658</f>
        <v>1725075</v>
      </c>
      <c r="K658" s="3"/>
      <c r="L658" s="3"/>
      <c r="M658" s="3"/>
      <c r="N658" s="9" t="n">
        <v>2</v>
      </c>
      <c r="O658" s="4" t="n">
        <v>1</v>
      </c>
      <c r="P658" s="5" t="n">
        <f aca="false">IF(COUNTIF([1]Base_Jugadores!J$2:J$500,B658)&gt;0,1,0)</f>
        <v>0</v>
      </c>
      <c r="Q658" s="10" t="b">
        <f aca="false">--(COUNTIFS(
   [1]Fichajes_Realizados!A$2:A$5000,A658,
   [1]Fichajes_Realizados!G$2:G$5000,$X$3
)&gt;0)</f>
        <v>0</v>
      </c>
      <c r="R658" s="5" t="n">
        <f aca="false">_xlfn.XLOOKUP(C658, [1]Estado_Equipos!A$2:A$500, [1]Estado_Equipos!J$2:J$500, "")</f>
        <v>73</v>
      </c>
      <c r="S658" s="5" t="n">
        <f aca="false">IF(H658&lt;=16,1.45,
IF(H658&gt;=41,0.3,
CHOOSE(ROUNDDOWN((H658-16)/2,0)+1,
1.45,1.38,1.3,1.23,1.17,1.15,1.12,1.05,0.95,0.8,0.6,0.4,0.3)))</f>
        <v>1.23</v>
      </c>
      <c r="T658" s="5" t="n">
        <f aca="false">CHOOSE(N658+1,1.2,1,0.85,0.7)</f>
        <v>0.85</v>
      </c>
      <c r="U658" s="5" t="n">
        <f aca="false">IF(F658="PO",0.6,
IF(F658="CT",0.75,
IF(F658="LI",0.8,
IF(F658="LD",0.8,
IF(F658="MCD",0.85,
IF(F658="MC",0.95,
IF(F658="MO",1.05,
IF(F658="EI",1.1,
IF(F658="ED",1.1,
IF(F658="SD",1.15,
IF(F658="DC",1.2,0)))))))))))</f>
        <v>1.1</v>
      </c>
    </row>
    <row r="659" customFormat="false" ht="16.4" hidden="false" customHeight="false" outlineLevel="0" collapsed="false">
      <c r="A659" s="1" t="n">
        <v>658</v>
      </c>
      <c r="B659" s="5" t="str">
        <f aca="false">[1]Base_Jugadores!B659</f>
        <v>Lucas Pires</v>
      </c>
      <c r="C659" s="5" t="str">
        <f aca="false">IFERROR(
   _xlfn.XLOOKUP(VALUE(A659),[1]Fichajes_Realizados!A$2:A$50000,[1]Fichajes_Realizados!D$2:D$50000,,0,-1),
   _xlfn.XLOOKUP(VALUE(A659),[1]Base_Jugadores!A$2:A$50000,[1]Base_Jugadores!C$2:C$50000)
)</f>
        <v>Burnley FC</v>
      </c>
      <c r="D659" s="5" t="str">
        <f aca="false">[1]Base_Jugadores!D659</f>
        <v>Brasil</v>
      </c>
      <c r="E659" s="3"/>
      <c r="F659" s="5" t="str">
        <f aca="false">[1]Base_Jugadores!E659</f>
        <v>LI</v>
      </c>
      <c r="G659" s="5" t="n">
        <f aca="false">[1]Base_Jugadores!F659</f>
        <v>72</v>
      </c>
      <c r="H659" s="5" t="n">
        <f aca="false">[1]Base_Jugadores!G659</f>
        <v>24</v>
      </c>
      <c r="I659" s="7" t="n">
        <f aca="false" t="array" ref="I659:I659">_xlfn.XLOOKUP(G659,{55;56;57;58;59;60;61;62;63;64;65;66;67;68;69;70;71;72;73;74;75;76;77;78;79;80;81;82;83;84;85;86;87;88;89;90;91;92;93;94;95;96;97;98;99},{100000;130000;160000;190000;220000;250000;300000;350000;400000;450000;500000;600000;700000;800000;900000;1000000;1500000;2000000;3000000;4000000;5000000;6500000;8000000;10000000;12500000;15000000;20000000;25000000;30000000;35000000;40000000;55000000;70000000;80000000;90000000;110000000;130000000;160000000;190000000;220000000;250000000;280000000;310000000;340000000;400000000})</f>
        <v>2000000</v>
      </c>
      <c r="J659" s="7" t="n">
        <f aca="false">I659*S659*T659*U659</f>
        <v>1591200</v>
      </c>
      <c r="K659" s="3"/>
      <c r="L659" s="3"/>
      <c r="M659" s="3"/>
      <c r="N659" s="9" t="n">
        <v>2</v>
      </c>
      <c r="O659" s="4" t="n">
        <v>0</v>
      </c>
      <c r="P659" s="5" t="n">
        <f aca="false">IF(COUNTIF([1]Base_Jugadores!J$2:J$500,B659)&gt;0,1,0)</f>
        <v>0</v>
      </c>
      <c r="Q659" s="10" t="b">
        <f aca="false">--(COUNTIFS(
   [1]Fichajes_Realizados!A$2:A$5000,A659,
   [1]Fichajes_Realizados!G$2:G$5000,$X$3
)&gt;0)</f>
        <v>0</v>
      </c>
      <c r="R659" s="5" t="n">
        <f aca="false">_xlfn.XLOOKUP(C659, [1]Estado_Equipos!A$2:A$500, [1]Estado_Equipos!J$2:J$500, "")</f>
        <v>73</v>
      </c>
      <c r="S659" s="5" t="n">
        <f aca="false">IF(H659&lt;=16,1.45,
IF(H659&gt;=41,0.3,
CHOOSE(ROUNDDOWN((H659-16)/2,0)+1,
1.45,1.38,1.3,1.23,1.17,1.15,1.12,1.05,0.95,0.8,0.6,0.4,0.3)))</f>
        <v>1.17</v>
      </c>
      <c r="T659" s="5" t="n">
        <f aca="false">CHOOSE(N659+1,1.2,1,0.85,0.7)</f>
        <v>0.85</v>
      </c>
      <c r="U659" s="5" t="n">
        <f aca="false">IF(F659="PO",0.6,
IF(F659="CT",0.75,
IF(F659="LI",0.8,
IF(F659="LD",0.8,
IF(F659="MCD",0.85,
IF(F659="MC",0.95,
IF(F659="MO",1.05,
IF(F659="EI",1.1,
IF(F659="ED",1.1,
IF(F659="SD",1.15,
IF(F659="DC",1.2,0)))))))))))</f>
        <v>0.8</v>
      </c>
    </row>
    <row r="660" customFormat="false" ht="16.4" hidden="false" customHeight="false" outlineLevel="0" collapsed="false">
      <c r="A660" s="1" t="n">
        <v>659</v>
      </c>
      <c r="B660" s="5" t="str">
        <f aca="false">[1]Base_Jugadores!B660</f>
        <v>Lyle Foster</v>
      </c>
      <c r="C660" s="5" t="str">
        <f aca="false">IFERROR(
   _xlfn.XLOOKUP(VALUE(A660),[1]Fichajes_Realizados!A$2:A$50000,[1]Fichajes_Realizados!D$2:D$50000,,0,-1),
   _xlfn.XLOOKUP(VALUE(A660),[1]Base_Jugadores!A$2:A$50000,[1]Base_Jugadores!C$2:C$50000)
)</f>
        <v>Burnley FC</v>
      </c>
      <c r="D660" s="5" t="str">
        <f aca="false">[1]Base_Jugadores!D660</f>
        <v>Sudáfrica</v>
      </c>
      <c r="E660" s="3"/>
      <c r="F660" s="5" t="str">
        <f aca="false">[1]Base_Jugadores!E660</f>
        <v>DC</v>
      </c>
      <c r="G660" s="5" t="n">
        <f aca="false">[1]Base_Jugadores!F660</f>
        <v>73</v>
      </c>
      <c r="H660" s="5" t="n">
        <f aca="false">[1]Base_Jugadores!G660</f>
        <v>25</v>
      </c>
      <c r="I660" s="7" t="n">
        <f aca="false" t="array" ref="I660:I660">_xlfn.XLOOKUP(G660,{55;56;57;58;59;60;61;62;63;64;65;66;67;68;69;70;71;72;73;74;75;76;77;78;79;80;81;82;83;84;85;86;87;88;89;90;91;92;93;94;95;96;97;98;99},{100000;130000;160000;190000;220000;250000;300000;350000;400000;450000;500000;600000;700000;800000;900000;1000000;1500000;2000000;3000000;4000000;5000000;6500000;8000000;10000000;12500000;15000000;20000000;25000000;30000000;35000000;40000000;55000000;70000000;80000000;90000000;110000000;130000000;160000000;190000000;220000000;250000000;280000000;310000000;340000000;400000000})</f>
        <v>3000000</v>
      </c>
      <c r="J660" s="7" t="n">
        <f aca="false">I660*S660*T660*U660</f>
        <v>3580200</v>
      </c>
      <c r="K660" s="3"/>
      <c r="L660" s="3"/>
      <c r="M660" s="3"/>
      <c r="N660" s="9" t="n">
        <v>2</v>
      </c>
      <c r="O660" s="4" t="n">
        <v>0</v>
      </c>
      <c r="P660" s="5" t="n">
        <f aca="false">IF(COUNTIF([1]Base_Jugadores!J$2:J$500,B660)&gt;0,1,0)</f>
        <v>0</v>
      </c>
      <c r="Q660" s="10" t="b">
        <f aca="false">--(COUNTIFS(
   [1]Fichajes_Realizados!A$2:A$5000,A660,
   [1]Fichajes_Realizados!G$2:G$5000,$X$3
)&gt;0)</f>
        <v>0</v>
      </c>
      <c r="R660" s="5" t="n">
        <f aca="false">_xlfn.XLOOKUP(C660, [1]Estado_Equipos!A$2:A$500, [1]Estado_Equipos!J$2:J$500, "")</f>
        <v>73</v>
      </c>
      <c r="S660" s="5" t="n">
        <f aca="false">IF(H660&lt;=16,1.45,
IF(H660&gt;=41,0.3,
CHOOSE(ROUNDDOWN((H660-16)/2,0)+1,
1.45,1.38,1.3,1.23,1.17,1.15,1.12,1.05,0.95,0.8,0.6,0.4,0.3)))</f>
        <v>1.17</v>
      </c>
      <c r="T660" s="5" t="n">
        <f aca="false">CHOOSE(N660+1,1.2,1,0.85,0.7)</f>
        <v>0.85</v>
      </c>
      <c r="U660" s="5" t="n">
        <f aca="false">IF(F660="PO",0.6,
IF(F660="CT",0.75,
IF(F660="LI",0.8,
IF(F660="LD",0.8,
IF(F660="MCD",0.85,
IF(F660="MC",0.95,
IF(F660="MO",1.05,
IF(F660="EI",1.1,
IF(F660="ED",1.1,
IF(F660="SD",1.15,
IF(F660="DC",1.2,0)))))))))))</f>
        <v>1.2</v>
      </c>
    </row>
    <row r="661" customFormat="false" ht="16.4" hidden="false" customHeight="false" outlineLevel="0" collapsed="false">
      <c r="A661" s="1" t="n">
        <v>660</v>
      </c>
      <c r="B661" s="5" t="str">
        <f aca="false">[1]Base_Jugadores!B661</f>
        <v>Marcus Edwards</v>
      </c>
      <c r="C661" s="5" t="str">
        <f aca="false">IFERROR(
   _xlfn.XLOOKUP(VALUE(A661),[1]Fichajes_Realizados!A$2:A$50000,[1]Fichajes_Realizados!D$2:D$50000,,0,-1),
   _xlfn.XLOOKUP(VALUE(A661),[1]Base_Jugadores!A$2:A$50000,[1]Base_Jugadores!C$2:C$50000)
)</f>
        <v>Burnley FC</v>
      </c>
      <c r="D661" s="5" t="str">
        <f aca="false">[1]Base_Jugadores!D661</f>
        <v>Inglaterra</v>
      </c>
      <c r="E661" s="3"/>
      <c r="F661" s="5" t="str">
        <f aca="false">[1]Base_Jugadores!E661</f>
        <v>ED</v>
      </c>
      <c r="G661" s="5" t="n">
        <f aca="false">[1]Base_Jugadores!F661</f>
        <v>78</v>
      </c>
      <c r="H661" s="5" t="n">
        <f aca="false">[1]Base_Jugadores!G661</f>
        <v>27</v>
      </c>
      <c r="I661" s="7" t="n">
        <f aca="false" t="array" ref="I661:I661">_xlfn.XLOOKUP(G661,{55;56;57;58;59;60;61;62;63;64;65;66;67;68;69;70;71;72;73;74;75;76;77;78;79;80;81;82;83;84;85;86;87;88;89;90;91;92;93;94;95;96;97;98;99},{100000;130000;160000;190000;220000;250000;300000;350000;400000;450000;500000;600000;700000;800000;900000;1000000;1500000;2000000;3000000;4000000;5000000;6500000;8000000;10000000;12500000;15000000;20000000;25000000;30000000;35000000;40000000;55000000;70000000;80000000;90000000;110000000;130000000;160000000;190000000;220000000;250000000;280000000;310000000;340000000;400000000})</f>
        <v>10000000</v>
      </c>
      <c r="J661" s="7" t="n">
        <f aca="false">I661*S661*T661*U661</f>
        <v>15180000</v>
      </c>
      <c r="K661" s="3"/>
      <c r="L661" s="3"/>
      <c r="M661" s="3"/>
      <c r="N661" s="9" t="n">
        <v>0</v>
      </c>
      <c r="O661" s="4" t="n">
        <v>0</v>
      </c>
      <c r="P661" s="5" t="n">
        <f aca="false">IF(COUNTIF([1]Base_Jugadores!J$2:J$500,B661)&gt;0,1,0)</f>
        <v>0</v>
      </c>
      <c r="Q661" s="10" t="b">
        <f aca="false">--(COUNTIFS(
   [1]Fichajes_Realizados!A$2:A$5000,A661,
   [1]Fichajes_Realizados!G$2:G$5000,$X$3
)&gt;0)</f>
        <v>0</v>
      </c>
      <c r="R661" s="5" t="n">
        <f aca="false">_xlfn.XLOOKUP(C661, [1]Estado_Equipos!A$2:A$500, [1]Estado_Equipos!J$2:J$500, "")</f>
        <v>73</v>
      </c>
      <c r="S661" s="5" t="n">
        <f aca="false">IF(H661&lt;=16,1.45,
IF(H661&gt;=41,0.3,
CHOOSE(ROUNDDOWN((H661-16)/2,0)+1,
1.45,1.38,1.3,1.23,1.17,1.15,1.12,1.05,0.95,0.8,0.6,0.4,0.3)))</f>
        <v>1.15</v>
      </c>
      <c r="T661" s="5" t="n">
        <f aca="false">CHOOSE(N661+1,1.2,1,0.85,0.7)</f>
        <v>1.2</v>
      </c>
      <c r="U661" s="5" t="n">
        <f aca="false">IF(F661="PO",0.6,
IF(F661="CT",0.75,
IF(F661="LI",0.8,
IF(F661="LD",0.8,
IF(F661="MCD",0.85,
IF(F661="MC",0.95,
IF(F661="MO",1.05,
IF(F661="EI",1.1,
IF(F661="ED",1.1,
IF(F661="SD",1.15,
IF(F661="DC",1.2,0)))))))))))</f>
        <v>1.1</v>
      </c>
    </row>
    <row r="662" customFormat="false" ht="16.4" hidden="false" customHeight="false" outlineLevel="0" collapsed="false">
      <c r="A662" s="1" t="n">
        <v>661</v>
      </c>
      <c r="B662" s="5" t="str">
        <f aca="false">[1]Base_Jugadores!B662</f>
        <v>Martin Dúbravka</v>
      </c>
      <c r="C662" s="5" t="str">
        <f aca="false">IFERROR(
   _xlfn.XLOOKUP(VALUE(A662),[1]Fichajes_Realizados!A$2:A$50000,[1]Fichajes_Realizados!D$2:D$50000,,0,-1),
   _xlfn.XLOOKUP(VALUE(A662),[1]Base_Jugadores!A$2:A$50000,[1]Base_Jugadores!C$2:C$50000)
)</f>
        <v>Burnley FC</v>
      </c>
      <c r="D662" s="5" t="str">
        <f aca="false">[1]Base_Jugadores!D662</f>
        <v>Eslovaquia</v>
      </c>
      <c r="E662" s="3"/>
      <c r="F662" s="5" t="str">
        <f aca="false">[1]Base_Jugadores!E662</f>
        <v>PO</v>
      </c>
      <c r="G662" s="5" t="n">
        <f aca="false">[1]Base_Jugadores!F662</f>
        <v>77</v>
      </c>
      <c r="H662" s="5" t="n">
        <f aca="false">[1]Base_Jugadores!G662</f>
        <v>36</v>
      </c>
      <c r="I662" s="7" t="n">
        <f aca="false" t="array" ref="I662:I662">_xlfn.XLOOKUP(G662,{55;56;57;58;59;60;61;62;63;64;65;66;67;68;69;70;71;72;73;74;75;76;77;78;79;80;81;82;83;84;85;86;87;88;89;90;91;92;93;94;95;96;97;98;99},{100000;130000;160000;190000;220000;250000;300000;350000;400000;450000;500000;600000;700000;800000;900000;1000000;1500000;2000000;3000000;4000000;5000000;6500000;8000000;10000000;12500000;15000000;20000000;25000000;30000000;35000000;40000000;55000000;70000000;80000000;90000000;110000000;130000000;160000000;190000000;220000000;250000000;280000000;310000000;340000000;400000000})</f>
        <v>8000000</v>
      </c>
      <c r="J662" s="7" t="n">
        <f aca="false">I662*S662*T662*U662</f>
        <v>3456000</v>
      </c>
      <c r="K662" s="3"/>
      <c r="L662" s="3"/>
      <c r="M662" s="3"/>
      <c r="N662" s="9" t="n">
        <v>0</v>
      </c>
      <c r="O662" s="4" t="n">
        <v>0</v>
      </c>
      <c r="P662" s="5" t="n">
        <f aca="false">IF(COUNTIF([1]Base_Jugadores!J$2:J$500,B662)&gt;0,1,0)</f>
        <v>0</v>
      </c>
      <c r="Q662" s="10" t="b">
        <f aca="false">--(COUNTIFS(
   [1]Fichajes_Realizados!A$2:A$5000,A662,
   [1]Fichajes_Realizados!G$2:G$5000,$X$3
)&gt;0)</f>
        <v>0</v>
      </c>
      <c r="R662" s="5" t="n">
        <f aca="false">_xlfn.XLOOKUP(C662, [1]Estado_Equipos!A$2:A$500, [1]Estado_Equipos!J$2:J$500, "")</f>
        <v>73</v>
      </c>
      <c r="S662" s="5" t="n">
        <f aca="false">IF(H662&lt;=16,1.45,
IF(H662&gt;=41,0.3,
CHOOSE(ROUNDDOWN((H662-16)/2,0)+1,
1.45,1.38,1.3,1.23,1.17,1.15,1.12,1.05,0.95,0.8,0.6,0.4,0.3)))</f>
        <v>0.6</v>
      </c>
      <c r="T662" s="5" t="n">
        <f aca="false">CHOOSE(N662+1,1.2,1,0.85,0.7)</f>
        <v>1.2</v>
      </c>
      <c r="U662" s="5" t="n">
        <f aca="false">IF(F662="PO",0.6,
IF(F662="CT",0.75,
IF(F662="LI",0.8,
IF(F662="LD",0.8,
IF(F662="MCD",0.85,
IF(F662="MC",0.95,
IF(F662="MO",1.05,
IF(F662="EI",1.1,
IF(F662="ED",1.1,
IF(F662="SD",1.15,
IF(F662="DC",1.2,0)))))))))))</f>
        <v>0.6</v>
      </c>
    </row>
    <row r="663" customFormat="false" ht="16.4" hidden="false" customHeight="false" outlineLevel="0" collapsed="false">
      <c r="A663" s="1" t="n">
        <v>662</v>
      </c>
      <c r="B663" s="5" t="str">
        <f aca="false">[1]Base_Jugadores!B663</f>
        <v>Maxime Estève</v>
      </c>
      <c r="C663" s="5" t="str">
        <f aca="false">IFERROR(
   _xlfn.XLOOKUP(VALUE(A663),[1]Fichajes_Realizados!A$2:A$50000,[1]Fichajes_Realizados!D$2:D$50000,,0,-1),
   _xlfn.XLOOKUP(VALUE(A663),[1]Base_Jugadores!A$2:A$50000,[1]Base_Jugadores!C$2:C$50000)
)</f>
        <v>Burnley FC</v>
      </c>
      <c r="D663" s="5" t="str">
        <f aca="false">[1]Base_Jugadores!D663</f>
        <v>Francia</v>
      </c>
      <c r="E663" s="3"/>
      <c r="F663" s="5" t="str">
        <f aca="false">[1]Base_Jugadores!E663</f>
        <v>CT</v>
      </c>
      <c r="G663" s="5" t="n">
        <f aca="false">[1]Base_Jugadores!F663</f>
        <v>75</v>
      </c>
      <c r="H663" s="5" t="n">
        <f aca="false">[1]Base_Jugadores!G663</f>
        <v>23</v>
      </c>
      <c r="I663" s="7" t="n">
        <f aca="false" t="array" ref="I663:I663">_xlfn.XLOOKUP(G663,{55;56;57;58;59;60;61;62;63;64;65;66;67;68;69;70;71;72;73;74;75;76;77;78;79;80;81;82;83;84;85;86;87;88;89;90;91;92;93;94;95;96;97;98;99},{100000;130000;160000;190000;220000;250000;300000;350000;400000;450000;500000;600000;700000;800000;900000;1000000;1500000;2000000;3000000;4000000;5000000;6500000;8000000;10000000;12500000;15000000;20000000;25000000;30000000;35000000;40000000;55000000;70000000;80000000;90000000;110000000;130000000;160000000;190000000;220000000;250000000;280000000;310000000;340000000;400000000})</f>
        <v>5000000</v>
      </c>
      <c r="J663" s="7" t="n">
        <f aca="false">I663*S663*T663*U663</f>
        <v>5535000</v>
      </c>
      <c r="K663" s="3"/>
      <c r="L663" s="3"/>
      <c r="M663" s="3"/>
      <c r="N663" s="9" t="n">
        <v>0</v>
      </c>
      <c r="O663" s="4" t="n">
        <v>0</v>
      </c>
      <c r="P663" s="5" t="n">
        <f aca="false">IF(COUNTIF([1]Base_Jugadores!J$2:J$500,B663)&gt;0,1,0)</f>
        <v>0</v>
      </c>
      <c r="Q663" s="10" t="b">
        <f aca="false">--(COUNTIFS(
   [1]Fichajes_Realizados!A$2:A$5000,A663,
   [1]Fichajes_Realizados!G$2:G$5000,$X$3
)&gt;0)</f>
        <v>0</v>
      </c>
      <c r="R663" s="5" t="n">
        <f aca="false">_xlfn.XLOOKUP(C663, [1]Estado_Equipos!A$2:A$500, [1]Estado_Equipos!J$2:J$500, "")</f>
        <v>73</v>
      </c>
      <c r="S663" s="5" t="n">
        <f aca="false">IF(H663&lt;=16,1.45,
IF(H663&gt;=41,0.3,
CHOOSE(ROUNDDOWN((H663-16)/2,0)+1,
1.45,1.38,1.3,1.23,1.17,1.15,1.12,1.05,0.95,0.8,0.6,0.4,0.3)))</f>
        <v>1.23</v>
      </c>
      <c r="T663" s="5" t="n">
        <f aca="false">CHOOSE(N663+1,1.2,1,0.85,0.7)</f>
        <v>1.2</v>
      </c>
      <c r="U663" s="5" t="n">
        <f aca="false">IF(F663="PO",0.6,
IF(F663="CT",0.75,
IF(F663="LI",0.8,
IF(F663="LD",0.8,
IF(F663="MCD",0.85,
IF(F663="MC",0.95,
IF(F663="MO",1.05,
IF(F663="EI",1.1,
IF(F663="ED",1.1,
IF(F663="SD",1.15,
IF(F663="DC",1.2,0)))))))))))</f>
        <v>0.75</v>
      </c>
    </row>
    <row r="664" customFormat="false" ht="16.4" hidden="false" customHeight="false" outlineLevel="0" collapsed="false">
      <c r="A664" s="1" t="n">
        <v>663</v>
      </c>
      <c r="B664" s="5" t="str">
        <f aca="false">[1]Base_Jugadores!B664</f>
        <v>Mike Tresor</v>
      </c>
      <c r="C664" s="5" t="str">
        <f aca="false">IFERROR(
   _xlfn.XLOOKUP(VALUE(A664),[1]Fichajes_Realizados!A$2:A$50000,[1]Fichajes_Realizados!D$2:D$50000,,0,-1),
   _xlfn.XLOOKUP(VALUE(A664),[1]Base_Jugadores!A$2:A$50000,[1]Base_Jugadores!C$2:C$50000)
)</f>
        <v>Burnley FC</v>
      </c>
      <c r="D664" s="5" t="str">
        <f aca="false">[1]Base_Jugadores!D664</f>
        <v>Bélgica</v>
      </c>
      <c r="E664" s="3"/>
      <c r="F664" s="5" t="str">
        <f aca="false">[1]Base_Jugadores!E664</f>
        <v>MO</v>
      </c>
      <c r="G664" s="5" t="n">
        <f aca="false">[1]Base_Jugadores!F664</f>
        <v>73</v>
      </c>
      <c r="H664" s="5" t="n">
        <f aca="false">[1]Base_Jugadores!G664</f>
        <v>26</v>
      </c>
      <c r="I664" s="7" t="n">
        <f aca="false" t="array" ref="I664:I664">_xlfn.XLOOKUP(G664,{55;56;57;58;59;60;61;62;63;64;65;66;67;68;69;70;71;72;73;74;75;76;77;78;79;80;81;82;83;84;85;86;87;88;89;90;91;92;93;94;95;96;97;98;99},{100000;130000;160000;190000;220000;250000;300000;350000;400000;450000;500000;600000;700000;800000;900000;1000000;1500000;2000000;3000000;4000000;5000000;6500000;8000000;10000000;12500000;15000000;20000000;25000000;30000000;35000000;40000000;55000000;70000000;80000000;90000000;110000000;130000000;160000000;190000000;220000000;250000000;280000000;310000000;340000000;400000000})</f>
        <v>3000000</v>
      </c>
      <c r="J664" s="7" t="n">
        <f aca="false">I664*S664*T664*U664</f>
        <v>4347000</v>
      </c>
      <c r="K664" s="3"/>
      <c r="L664" s="3"/>
      <c r="M664" s="3"/>
      <c r="N664" s="9" t="n">
        <v>0</v>
      </c>
      <c r="O664" s="4" t="n">
        <v>0</v>
      </c>
      <c r="P664" s="5" t="n">
        <f aca="false">IF(COUNTIF([1]Base_Jugadores!J$2:J$500,B664)&gt;0,1,0)</f>
        <v>0</v>
      </c>
      <c r="Q664" s="10" t="b">
        <f aca="false">--(COUNTIFS(
   [1]Fichajes_Realizados!A$2:A$5000,A664,
   [1]Fichajes_Realizados!G$2:G$5000,$X$3
)&gt;0)</f>
        <v>0</v>
      </c>
      <c r="R664" s="5" t="n">
        <f aca="false">_xlfn.XLOOKUP(C664, [1]Estado_Equipos!A$2:A$500, [1]Estado_Equipos!J$2:J$500, "")</f>
        <v>73</v>
      </c>
      <c r="S664" s="5" t="n">
        <f aca="false">IF(H664&lt;=16,1.45,
IF(H664&gt;=41,0.3,
CHOOSE(ROUNDDOWN((H664-16)/2,0)+1,
1.45,1.38,1.3,1.23,1.17,1.15,1.12,1.05,0.95,0.8,0.6,0.4,0.3)))</f>
        <v>1.15</v>
      </c>
      <c r="T664" s="5" t="n">
        <f aca="false">CHOOSE(N664+1,1.2,1,0.85,0.7)</f>
        <v>1.2</v>
      </c>
      <c r="U664" s="5" t="n">
        <f aca="false">IF(F664="PO",0.6,
IF(F664="CT",0.75,
IF(F664="LI",0.8,
IF(F664="LD",0.8,
IF(F664="MCD",0.85,
IF(F664="MC",0.95,
IF(F664="MO",1.05,
IF(F664="EI",1.1,
IF(F664="ED",1.1,
IF(F664="SD",1.15,
IF(F664="DC",1.2,0)))))))))))</f>
        <v>1.05</v>
      </c>
    </row>
    <row r="665" customFormat="false" ht="16.4" hidden="false" customHeight="false" outlineLevel="0" collapsed="false">
      <c r="A665" s="1" t="n">
        <v>664</v>
      </c>
      <c r="B665" s="5" t="str">
        <f aca="false">[1]Base_Jugadores!B665</f>
        <v>Oliver Sonne</v>
      </c>
      <c r="C665" s="5" t="str">
        <f aca="false">IFERROR(
   _xlfn.XLOOKUP(VALUE(A665),[1]Fichajes_Realizados!A$2:A$50000,[1]Fichajes_Realizados!D$2:D$50000,,0,-1),
   _xlfn.XLOOKUP(VALUE(A665),[1]Base_Jugadores!A$2:A$50000,[1]Base_Jugadores!C$2:C$50000)
)</f>
        <v>Burnley FC</v>
      </c>
      <c r="D665" s="5" t="str">
        <f aca="false">[1]Base_Jugadores!D665</f>
        <v>Perú</v>
      </c>
      <c r="E665" s="3"/>
      <c r="F665" s="5" t="str">
        <f aca="false">[1]Base_Jugadores!E665</f>
        <v>LD</v>
      </c>
      <c r="G665" s="5" t="n">
        <f aca="false">[1]Base_Jugadores!F665</f>
        <v>70</v>
      </c>
      <c r="H665" s="5" t="n">
        <f aca="false">[1]Base_Jugadores!G665</f>
        <v>25</v>
      </c>
      <c r="I665" s="7" t="n">
        <f aca="false" t="array" ref="I665:I665">_xlfn.XLOOKUP(G665,{55;56;57;58;59;60;61;62;63;64;65;66;67;68;69;70;71;72;73;74;75;76;77;78;79;80;81;82;83;84;85;86;87;88;89;90;91;92;93;94;95;96;97;98;99},{100000;130000;160000;190000;220000;250000;300000;350000;400000;450000;500000;600000;700000;800000;900000;1000000;1500000;2000000;3000000;4000000;5000000;6500000;8000000;10000000;12500000;15000000;20000000;25000000;30000000;35000000;40000000;55000000;70000000;80000000;90000000;110000000;130000000;160000000;190000000;220000000;250000000;280000000;310000000;340000000;400000000})</f>
        <v>1000000</v>
      </c>
      <c r="J665" s="7" t="n">
        <f aca="false">I665*S665*T665*U665</f>
        <v>795600</v>
      </c>
      <c r="K665" s="3"/>
      <c r="L665" s="3"/>
      <c r="M665" s="3"/>
      <c r="N665" s="9" t="n">
        <v>2</v>
      </c>
      <c r="O665" s="4" t="n">
        <v>0</v>
      </c>
      <c r="P665" s="5" t="n">
        <f aca="false">IF(COUNTIF([1]Base_Jugadores!J$2:J$500,B665)&gt;0,1,0)</f>
        <v>0</v>
      </c>
      <c r="Q665" s="10" t="b">
        <f aca="false">--(COUNTIFS(
   [1]Fichajes_Realizados!A$2:A$5000,A665,
   [1]Fichajes_Realizados!G$2:G$5000,$X$3
)&gt;0)</f>
        <v>0</v>
      </c>
      <c r="R665" s="5" t="n">
        <f aca="false">_xlfn.XLOOKUP(C665, [1]Estado_Equipos!A$2:A$500, [1]Estado_Equipos!J$2:J$500, "")</f>
        <v>73</v>
      </c>
      <c r="S665" s="5" t="n">
        <f aca="false">IF(H665&lt;=16,1.45,
IF(H665&gt;=41,0.3,
CHOOSE(ROUNDDOWN((H665-16)/2,0)+1,
1.45,1.38,1.3,1.23,1.17,1.15,1.12,1.05,0.95,0.8,0.6,0.4,0.3)))</f>
        <v>1.17</v>
      </c>
      <c r="T665" s="5" t="n">
        <f aca="false">CHOOSE(N665+1,1.2,1,0.85,0.7)</f>
        <v>0.85</v>
      </c>
      <c r="U665" s="5" t="n">
        <f aca="false">IF(F665="PO",0.6,
IF(F665="CT",0.75,
IF(F665="LI",0.8,
IF(F665="LD",0.8,
IF(F665="MCD",0.85,
IF(F665="MC",0.95,
IF(F665="MO",1.05,
IF(F665="EI",1.1,
IF(F665="ED",1.1,
IF(F665="SD",1.15,
IF(F665="DC",1.2,0)))))))))))</f>
        <v>0.8</v>
      </c>
    </row>
    <row r="666" customFormat="false" ht="16.4" hidden="false" customHeight="false" outlineLevel="0" collapsed="false">
      <c r="A666" s="1" t="n">
        <v>665</v>
      </c>
      <c r="B666" s="5" t="str">
        <f aca="false">[1]Base_Jugadores!B666</f>
        <v>Václav Hladký</v>
      </c>
      <c r="C666" s="5" t="str">
        <f aca="false">IFERROR(
   _xlfn.XLOOKUP(VALUE(A666),[1]Fichajes_Realizados!A$2:A$50000,[1]Fichajes_Realizados!D$2:D$50000,,0,-1),
   _xlfn.XLOOKUP(VALUE(A666),[1]Base_Jugadores!A$2:A$50000,[1]Base_Jugadores!C$2:C$50000)
)</f>
        <v>Burnley FC</v>
      </c>
      <c r="D666" s="5" t="str">
        <f aca="false">[1]Base_Jugadores!D666</f>
        <v>República Checa</v>
      </c>
      <c r="E666" s="3"/>
      <c r="F666" s="5" t="str">
        <f aca="false">[1]Base_Jugadores!E666</f>
        <v>PO</v>
      </c>
      <c r="G666" s="5" t="n">
        <f aca="false">[1]Base_Jugadores!F666</f>
        <v>69</v>
      </c>
      <c r="H666" s="5" t="n">
        <f aca="false">[1]Base_Jugadores!G666</f>
        <v>35</v>
      </c>
      <c r="I666" s="7" t="n">
        <f aca="false" t="array" ref="I666:I666">_xlfn.XLOOKUP(G666,{55;56;57;58;59;60;61;62;63;64;65;66;67;68;69;70;71;72;73;74;75;76;77;78;79;80;81;82;83;84;85;86;87;88;89;90;91;92;93;94;95;96;97;98;99},{100000;130000;160000;190000;220000;250000;300000;350000;400000;450000;500000;600000;700000;800000;900000;1000000;1500000;2000000;3000000;4000000;5000000;6500000;8000000;10000000;12500000;15000000;20000000;25000000;30000000;35000000;40000000;55000000;70000000;80000000;90000000;110000000;130000000;160000000;190000000;220000000;250000000;280000000;310000000;340000000;400000000})</f>
        <v>900000</v>
      </c>
      <c r="J666" s="7" t="n">
        <f aca="false">I666*S666*T666*U666</f>
        <v>367200</v>
      </c>
      <c r="K666" s="3"/>
      <c r="L666" s="3"/>
      <c r="M666" s="3"/>
      <c r="N666" s="9" t="n">
        <v>2</v>
      </c>
      <c r="O666" s="4" t="n">
        <v>0</v>
      </c>
      <c r="P666" s="5" t="n">
        <f aca="false">IF(COUNTIF([1]Base_Jugadores!J$2:J$500,B666)&gt;0,1,0)</f>
        <v>0</v>
      </c>
      <c r="Q666" s="10" t="b">
        <f aca="false">--(COUNTIFS(
   [1]Fichajes_Realizados!A$2:A$5000,A666,
   [1]Fichajes_Realizados!G$2:G$5000,$X$3
)&gt;0)</f>
        <v>0</v>
      </c>
      <c r="R666" s="5" t="n">
        <f aca="false">_xlfn.XLOOKUP(C666, [1]Estado_Equipos!A$2:A$500, [1]Estado_Equipos!J$2:J$500, "")</f>
        <v>73</v>
      </c>
      <c r="S666" s="5" t="n">
        <f aca="false">IF(H666&lt;=16,1.45,
IF(H666&gt;=41,0.3,
CHOOSE(ROUNDDOWN((H666-16)/2,0)+1,
1.45,1.38,1.3,1.23,1.17,1.15,1.12,1.05,0.95,0.8,0.6,0.4,0.3)))</f>
        <v>0.8</v>
      </c>
      <c r="T666" s="5" t="n">
        <f aca="false">CHOOSE(N666+1,1.2,1,0.85,0.7)</f>
        <v>0.85</v>
      </c>
      <c r="U666" s="5" t="n">
        <f aca="false">IF(F666="PO",0.6,
IF(F666="CT",0.75,
IF(F666="LI",0.8,
IF(F666="LD",0.8,
IF(F666="MCD",0.85,
IF(F666="MC",0.95,
IF(F666="MO",1.05,
IF(F666="EI",1.1,
IF(F666="ED",1.1,
IF(F666="SD",1.15,
IF(F666="DC",1.2,0)))))))))))</f>
        <v>0.6</v>
      </c>
    </row>
    <row r="667" customFormat="false" ht="16.4" hidden="false" customHeight="false" outlineLevel="0" collapsed="false">
      <c r="A667" s="1" t="n">
        <v>666</v>
      </c>
      <c r="B667" s="5" t="str">
        <f aca="false">[1]Base_Jugadores!B667</f>
        <v>Zeki Amdouni</v>
      </c>
      <c r="C667" s="5" t="str">
        <f aca="false">IFERROR(
   _xlfn.XLOOKUP(VALUE(A667),[1]Fichajes_Realizados!A$2:A$50000,[1]Fichajes_Realizados!D$2:D$50000,,0,-1),
   _xlfn.XLOOKUP(VALUE(A667),[1]Base_Jugadores!A$2:A$50000,[1]Base_Jugadores!C$2:C$50000)
)</f>
        <v>Burnley FC</v>
      </c>
      <c r="D667" s="5" t="str">
        <f aca="false">[1]Base_Jugadores!D667</f>
        <v>Suiza</v>
      </c>
      <c r="E667" s="3"/>
      <c r="F667" s="5" t="str">
        <f aca="false">[1]Base_Jugadores!E667</f>
        <v>DC</v>
      </c>
      <c r="G667" s="5" t="n">
        <f aca="false">[1]Base_Jugadores!F667</f>
        <v>74</v>
      </c>
      <c r="H667" s="5" t="n">
        <f aca="false">[1]Base_Jugadores!G667</f>
        <v>25</v>
      </c>
      <c r="I667" s="7" t="n">
        <f aca="false" t="array" ref="I667:I667">_xlfn.XLOOKUP(G667,{55;56;57;58;59;60;61;62;63;64;65;66;67;68;69;70;71;72;73;74;75;76;77;78;79;80;81;82;83;84;85;86;87;88;89;90;91;92;93;94;95;96;97;98;99},{100000;130000;160000;190000;220000;250000;300000;350000;400000;450000;500000;600000;700000;800000;900000;1000000;1500000;2000000;3000000;4000000;5000000;6500000;8000000;10000000;12500000;15000000;20000000;25000000;30000000;35000000;40000000;55000000;70000000;80000000;90000000;110000000;130000000;160000000;190000000;220000000;250000000;280000000;310000000;340000000;400000000})</f>
        <v>4000000</v>
      </c>
      <c r="J667" s="7" t="n">
        <f aca="false">I667*S667*T667*U667</f>
        <v>6739200</v>
      </c>
      <c r="K667" s="3"/>
      <c r="L667" s="3"/>
      <c r="M667" s="3"/>
      <c r="N667" s="9" t="n">
        <v>0</v>
      </c>
      <c r="O667" s="4" t="n">
        <v>0</v>
      </c>
      <c r="P667" s="5" t="n">
        <f aca="false">IF(COUNTIF([1]Base_Jugadores!J$2:J$500,B667)&gt;0,1,0)</f>
        <v>0</v>
      </c>
      <c r="Q667" s="10" t="b">
        <f aca="false">--(COUNTIFS(
   [1]Fichajes_Realizados!A$2:A$5000,A667,
   [1]Fichajes_Realizados!G$2:G$5000,$X$3
)&gt;0)</f>
        <v>0</v>
      </c>
      <c r="R667" s="5" t="n">
        <f aca="false">_xlfn.XLOOKUP(C667, [1]Estado_Equipos!A$2:A$500, [1]Estado_Equipos!J$2:J$500, "")</f>
        <v>73</v>
      </c>
      <c r="S667" s="5" t="n">
        <f aca="false">IF(H667&lt;=16,1.45,
IF(H667&gt;=41,0.3,
CHOOSE(ROUNDDOWN((H667-16)/2,0)+1,
1.45,1.38,1.3,1.23,1.17,1.15,1.12,1.05,0.95,0.8,0.6,0.4,0.3)))</f>
        <v>1.17</v>
      </c>
      <c r="T667" s="5" t="n">
        <f aca="false">CHOOSE(N667+1,1.2,1,0.85,0.7)</f>
        <v>1.2</v>
      </c>
      <c r="U667" s="5" t="n">
        <f aca="false">IF(F667="PO",0.6,
IF(F667="CT",0.75,
IF(F667="LI",0.8,
IF(F667="LD",0.8,
IF(F667="MCD",0.85,
IF(F667="MC",0.95,
IF(F667="MO",1.05,
IF(F667="EI",1.1,
IF(F667="ED",1.1,
IF(F667="SD",1.15,
IF(F667="DC",1.2,0)))))))))))</f>
        <v>1.2</v>
      </c>
    </row>
    <row r="668" customFormat="false" ht="16.4" hidden="false" customHeight="false" outlineLevel="0" collapsed="false">
      <c r="A668" s="1" t="n">
        <v>667</v>
      </c>
      <c r="B668" s="5" t="str">
        <f aca="false">[1]Base_Jugadores!B668</f>
        <v>Zian Flemming</v>
      </c>
      <c r="C668" s="5" t="str">
        <f aca="false">IFERROR(
   _xlfn.XLOOKUP(VALUE(A668),[1]Fichajes_Realizados!A$2:A$50000,[1]Fichajes_Realizados!D$2:D$50000,,0,-1),
   _xlfn.XLOOKUP(VALUE(A668),[1]Base_Jugadores!A$2:A$50000,[1]Base_Jugadores!C$2:C$50000)
)</f>
        <v>Burnley FC</v>
      </c>
      <c r="D668" s="5" t="str">
        <f aca="false">[1]Base_Jugadores!D668</f>
        <v>Países Bajos</v>
      </c>
      <c r="E668" s="3"/>
      <c r="F668" s="5" t="str">
        <f aca="false">[1]Base_Jugadores!E668</f>
        <v>DC</v>
      </c>
      <c r="G668" s="5" t="n">
        <f aca="false">[1]Base_Jugadores!F668</f>
        <v>74</v>
      </c>
      <c r="H668" s="5" t="n">
        <f aca="false">[1]Base_Jugadores!G668</f>
        <v>27</v>
      </c>
      <c r="I668" s="7" t="n">
        <f aca="false" t="array" ref="I668:I668">_xlfn.XLOOKUP(G668,{55;56;57;58;59;60;61;62;63;64;65;66;67;68;69;70;71;72;73;74;75;76;77;78;79;80;81;82;83;84;85;86;87;88;89;90;91;92;93;94;95;96;97;98;99},{100000;130000;160000;190000;220000;250000;300000;350000;400000;450000;500000;600000;700000;800000;900000;1000000;1500000;2000000;3000000;4000000;5000000;6500000;8000000;10000000;12500000;15000000;20000000;25000000;30000000;35000000;40000000;55000000;70000000;80000000;90000000;110000000;130000000;160000000;190000000;220000000;250000000;280000000;310000000;340000000;400000000})</f>
        <v>4000000</v>
      </c>
      <c r="J668" s="7" t="n">
        <f aca="false">I668*S668*T668*U668</f>
        <v>5520000</v>
      </c>
      <c r="K668" s="3"/>
      <c r="L668" s="3"/>
      <c r="M668" s="3"/>
      <c r="N668" s="9" t="n">
        <v>1</v>
      </c>
      <c r="O668" s="4" t="n">
        <v>0</v>
      </c>
      <c r="P668" s="5" t="n">
        <f aca="false">IF(COUNTIF([1]Base_Jugadores!J$2:J$500,B668)&gt;0,1,0)</f>
        <v>0</v>
      </c>
      <c r="Q668" s="10" t="b">
        <f aca="false">--(COUNTIFS(
   [1]Fichajes_Realizados!A$2:A$5000,A668,
   [1]Fichajes_Realizados!G$2:G$5000,$X$3
)&gt;0)</f>
        <v>0</v>
      </c>
      <c r="R668" s="5" t="n">
        <f aca="false">_xlfn.XLOOKUP(C668, [1]Estado_Equipos!A$2:A$500, [1]Estado_Equipos!J$2:J$500, "")</f>
        <v>73</v>
      </c>
      <c r="S668" s="5" t="n">
        <f aca="false">IF(H668&lt;=16,1.45,
IF(H668&gt;=41,0.3,
CHOOSE(ROUNDDOWN((H668-16)/2,0)+1,
1.45,1.38,1.3,1.23,1.17,1.15,1.12,1.05,0.95,0.8,0.6,0.4,0.3)))</f>
        <v>1.15</v>
      </c>
      <c r="T668" s="5" t="n">
        <f aca="false">CHOOSE(N668+1,1.2,1,0.85,0.7)</f>
        <v>1</v>
      </c>
      <c r="U668" s="5" t="n">
        <f aca="false">IF(F668="PO",0.6,
IF(F668="CT",0.75,
IF(F668="LI",0.8,
IF(F668="LD",0.8,
IF(F668="MCD",0.85,
IF(F668="MC",0.95,
IF(F668="MO",1.05,
IF(F668="EI",1.1,
IF(F668="ED",1.1,
IF(F668="SD",1.15,
IF(F668="DC",1.2,0)))))))))))</f>
        <v>1.2</v>
      </c>
    </row>
    <row r="669" customFormat="false" ht="16.4" hidden="false" customHeight="false" outlineLevel="0" collapsed="false">
      <c r="A669" s="1" t="n">
        <v>668</v>
      </c>
      <c r="B669" s="5" t="str">
        <f aca="false">[1]Base_Jugadores!B669</f>
        <v>A. Garnacho</v>
      </c>
      <c r="C669" s="5" t="str">
        <f aca="false">IFERROR(
   _xlfn.XLOOKUP(VALUE(A669),[1]Fichajes_Realizados!A$2:A$50000,[1]Fichajes_Realizados!D$2:D$50000,,0,-1),
   _xlfn.XLOOKUP(VALUE(A669),[1]Base_Jugadores!A$2:A$50000,[1]Base_Jugadores!C$2:C$50000)
)</f>
        <v>Chelsea FC</v>
      </c>
      <c r="D669" s="5" t="str">
        <f aca="false">[1]Base_Jugadores!D669</f>
        <v>Argentina</v>
      </c>
      <c r="E669" s="3"/>
      <c r="F669" s="5" t="str">
        <f aca="false">[1]Base_Jugadores!E669</f>
        <v>EI</v>
      </c>
      <c r="G669" s="5" t="n">
        <f aca="false">[1]Base_Jugadores!F669</f>
        <v>79</v>
      </c>
      <c r="H669" s="5" t="n">
        <f aca="false">[1]Base_Jugadores!G669</f>
        <v>21</v>
      </c>
      <c r="I669" s="7" t="n">
        <f aca="false" t="array" ref="I669:I669">_xlfn.XLOOKUP(G669,{55;56;57;58;59;60;61;62;63;64;65;66;67;68;69;70;71;72;73;74;75;76;77;78;79;80;81;82;83;84;85;86;87;88;89;90;91;92;93;94;95;96;97;98;99},{100000;130000;160000;190000;220000;250000;300000;350000;400000;450000;500000;600000;700000;800000;900000;1000000;1500000;2000000;3000000;4000000;5000000;6500000;8000000;10000000;12500000;15000000;20000000;25000000;30000000;35000000;40000000;55000000;70000000;80000000;90000000;110000000;130000000;160000000;190000000;220000000;250000000;280000000;310000000;340000000;400000000})</f>
        <v>12500000</v>
      </c>
      <c r="J669" s="7" t="n">
        <f aca="false">I669*S669*T669*U669</f>
        <v>17875000</v>
      </c>
      <c r="K669" s="3"/>
      <c r="L669" s="3"/>
      <c r="M669" s="3"/>
      <c r="N669" s="9" t="n">
        <v>1</v>
      </c>
      <c r="O669" s="4" t="n">
        <v>0</v>
      </c>
      <c r="P669" s="5" t="n">
        <f aca="false">IF(COUNTIF([1]Base_Jugadores!J$2:J$500,B669)&gt;0,1,0)</f>
        <v>0</v>
      </c>
      <c r="Q669" s="10" t="b">
        <f aca="false">--(COUNTIFS(
   [1]Fichajes_Realizados!A$2:A$5000,A669,
   [1]Fichajes_Realizados!G$2:G$5000,$X$3
)&gt;0)</f>
        <v>0</v>
      </c>
      <c r="R669" s="5" t="n">
        <f aca="false">_xlfn.XLOOKUP(C669, [1]Estado_Equipos!A$2:A$500, [1]Estado_Equipos!J$2:J$500, "")</f>
        <v>81</v>
      </c>
      <c r="S669" s="5" t="n">
        <f aca="false">IF(H669&lt;=16,1.45,
IF(H669&gt;=41,0.3,
CHOOSE(ROUNDDOWN((H669-16)/2,0)+1,
1.45,1.38,1.3,1.23,1.17,1.15,1.12,1.05,0.95,0.8,0.6,0.4,0.3)))</f>
        <v>1.3</v>
      </c>
      <c r="T669" s="5" t="n">
        <f aca="false">CHOOSE(N669+1,1.2,1,0.85,0.7)</f>
        <v>1</v>
      </c>
      <c r="U669" s="5" t="n">
        <f aca="false">IF(F669="PO",0.6,
IF(F669="CT",0.75,
IF(F669="LI",0.8,
IF(F669="LD",0.8,
IF(F669="MCD",0.85,
IF(F669="MC",0.95,
IF(F669="MO",1.05,
IF(F669="EI",1.1,
IF(F669="ED",1.1,
IF(F669="SD",1.15,
IF(F669="DC",1.2,0)))))))))))</f>
        <v>1.1</v>
      </c>
    </row>
    <row r="670" customFormat="false" ht="16.4" hidden="false" customHeight="false" outlineLevel="0" collapsed="false">
      <c r="A670" s="1" t="n">
        <v>669</v>
      </c>
      <c r="B670" s="5" t="str">
        <f aca="false">[1]Base_Jugadores!B670</f>
        <v>Andrey Santos</v>
      </c>
      <c r="C670" s="5" t="str">
        <f aca="false">IFERROR(
   _xlfn.XLOOKUP(VALUE(A670),[1]Fichajes_Realizados!A$2:A$50000,[1]Fichajes_Realizados!D$2:D$50000,,0,-1),
   _xlfn.XLOOKUP(VALUE(A670),[1]Base_Jugadores!A$2:A$50000,[1]Base_Jugadores!C$2:C$50000)
)</f>
        <v>Chelsea FC</v>
      </c>
      <c r="D670" s="5" t="str">
        <f aca="false">[1]Base_Jugadores!D670</f>
        <v>Brasil</v>
      </c>
      <c r="E670" s="3"/>
      <c r="F670" s="5" t="str">
        <f aca="false">[1]Base_Jugadores!E670</f>
        <v>MC</v>
      </c>
      <c r="G670" s="5" t="n">
        <f aca="false">[1]Base_Jugadores!F670</f>
        <v>77</v>
      </c>
      <c r="H670" s="5" t="n">
        <f aca="false">[1]Base_Jugadores!G670</f>
        <v>21</v>
      </c>
      <c r="I670" s="7" t="n">
        <f aca="false" t="array" ref="I670:I670">_xlfn.XLOOKUP(G670,{55;56;57;58;59;60;61;62;63;64;65;66;67;68;69;70;71;72;73;74;75;76;77;78;79;80;81;82;83;84;85;86;87;88;89;90;91;92;93;94;95;96;97;98;99},{100000;130000;160000;190000;220000;250000;300000;350000;400000;450000;500000;600000;700000;800000;900000;1000000;1500000;2000000;3000000;4000000;5000000;6500000;8000000;10000000;12500000;15000000;20000000;25000000;30000000;35000000;40000000;55000000;70000000;80000000;90000000;110000000;130000000;160000000;190000000;220000000;250000000;280000000;310000000;340000000;400000000})</f>
        <v>8000000</v>
      </c>
      <c r="J670" s="7" t="n">
        <f aca="false">I670*S670*T670*U670</f>
        <v>8398000</v>
      </c>
      <c r="K670" s="3"/>
      <c r="L670" s="3"/>
      <c r="M670" s="3"/>
      <c r="N670" s="9" t="n">
        <v>2</v>
      </c>
      <c r="O670" s="4" t="n">
        <v>0</v>
      </c>
      <c r="P670" s="5" t="n">
        <f aca="false">IF(COUNTIF([1]Base_Jugadores!J$2:J$500,B670)&gt;0,1,0)</f>
        <v>0</v>
      </c>
      <c r="Q670" s="10" t="b">
        <f aca="false">--(COUNTIFS(
   [1]Fichajes_Realizados!A$2:A$5000,A670,
   [1]Fichajes_Realizados!G$2:G$5000,$X$3
)&gt;0)</f>
        <v>0</v>
      </c>
      <c r="R670" s="5" t="n">
        <f aca="false">_xlfn.XLOOKUP(C670, [1]Estado_Equipos!A$2:A$500, [1]Estado_Equipos!J$2:J$500, "")</f>
        <v>81</v>
      </c>
      <c r="S670" s="5" t="n">
        <f aca="false">IF(H670&lt;=16,1.45,
IF(H670&gt;=41,0.3,
CHOOSE(ROUNDDOWN((H670-16)/2,0)+1,
1.45,1.38,1.3,1.23,1.17,1.15,1.12,1.05,0.95,0.8,0.6,0.4,0.3)))</f>
        <v>1.3</v>
      </c>
      <c r="T670" s="5" t="n">
        <f aca="false">CHOOSE(N670+1,1.2,1,0.85,0.7)</f>
        <v>0.85</v>
      </c>
      <c r="U670" s="5" t="n">
        <f aca="false">IF(F670="PO",0.6,
IF(F670="CT",0.75,
IF(F670="LI",0.8,
IF(F670="LD",0.8,
IF(F670="MCD",0.85,
IF(F670="MC",0.95,
IF(F670="MO",1.05,
IF(F670="EI",1.1,
IF(F670="ED",1.1,
IF(F670="SD",1.15,
IF(F670="DC",1.2,0)))))))))))</f>
        <v>0.95</v>
      </c>
    </row>
    <row r="671" customFormat="false" ht="16.4" hidden="false" customHeight="false" outlineLevel="0" collapsed="false">
      <c r="A671" s="1" t="n">
        <v>670</v>
      </c>
      <c r="B671" s="5" t="str">
        <f aca="false">[1]Base_Jugadores!B671</f>
        <v>Axel Disasi</v>
      </c>
      <c r="C671" s="5" t="str">
        <f aca="false">IFERROR(
   _xlfn.XLOOKUP(VALUE(A671),[1]Fichajes_Realizados!A$2:A$50000,[1]Fichajes_Realizados!D$2:D$50000,,0,-1),
   _xlfn.XLOOKUP(VALUE(A671),[1]Base_Jugadores!A$2:A$50000,[1]Base_Jugadores!C$2:C$50000)
)</f>
        <v>Chelsea FC</v>
      </c>
      <c r="D671" s="5" t="str">
        <f aca="false">[1]Base_Jugadores!D671</f>
        <v>Francia</v>
      </c>
      <c r="E671" s="3"/>
      <c r="F671" s="5" t="str">
        <f aca="false">[1]Base_Jugadores!E671</f>
        <v>CT</v>
      </c>
      <c r="G671" s="5" t="n">
        <f aca="false">[1]Base_Jugadores!F671</f>
        <v>79</v>
      </c>
      <c r="H671" s="5" t="n">
        <f aca="false">[1]Base_Jugadores!G671</f>
        <v>27</v>
      </c>
      <c r="I671" s="7" t="n">
        <f aca="false" t="array" ref="I671:I671">_xlfn.XLOOKUP(G671,{55;56;57;58;59;60;61;62;63;64;65;66;67;68;69;70;71;72;73;74;75;76;77;78;79;80;81;82;83;84;85;86;87;88;89;90;91;92;93;94;95;96;97;98;99},{100000;130000;160000;190000;220000;250000;300000;350000;400000;450000;500000;600000;700000;800000;900000;1000000;1500000;2000000;3000000;4000000;5000000;6500000;8000000;10000000;12500000;15000000;20000000;25000000;30000000;35000000;40000000;55000000;70000000;80000000;90000000;110000000;130000000;160000000;190000000;220000000;250000000;280000000;310000000;340000000;400000000})</f>
        <v>12500000</v>
      </c>
      <c r="J671" s="7" t="n">
        <f aca="false">I671*S671*T671*U671</f>
        <v>9164062.5</v>
      </c>
      <c r="K671" s="3"/>
      <c r="L671" s="3"/>
      <c r="M671" s="3"/>
      <c r="N671" s="9" t="n">
        <v>2</v>
      </c>
      <c r="O671" s="4" t="n">
        <v>0</v>
      </c>
      <c r="P671" s="5" t="n">
        <f aca="false">IF(COUNTIF([1]Base_Jugadores!J$2:J$500,B671)&gt;0,1,0)</f>
        <v>0</v>
      </c>
      <c r="Q671" s="10" t="b">
        <f aca="false">--(COUNTIFS(
   [1]Fichajes_Realizados!A$2:A$5000,A671,
   [1]Fichajes_Realizados!G$2:G$5000,$X$3
)&gt;0)</f>
        <v>0</v>
      </c>
      <c r="R671" s="5" t="n">
        <f aca="false">_xlfn.XLOOKUP(C671, [1]Estado_Equipos!A$2:A$500, [1]Estado_Equipos!J$2:J$500, "")</f>
        <v>81</v>
      </c>
      <c r="S671" s="5" t="n">
        <f aca="false">IF(H671&lt;=16,1.45,
IF(H671&gt;=41,0.3,
CHOOSE(ROUNDDOWN((H671-16)/2,0)+1,
1.45,1.38,1.3,1.23,1.17,1.15,1.12,1.05,0.95,0.8,0.6,0.4,0.3)))</f>
        <v>1.15</v>
      </c>
      <c r="T671" s="5" t="n">
        <f aca="false">CHOOSE(N671+1,1.2,1,0.85,0.7)</f>
        <v>0.85</v>
      </c>
      <c r="U671" s="5" t="n">
        <f aca="false">IF(F671="PO",0.6,
IF(F671="CT",0.75,
IF(F671="LI",0.8,
IF(F671="LD",0.8,
IF(F671="MCD",0.85,
IF(F671="MC",0.95,
IF(F671="MO",1.05,
IF(F671="EI",1.1,
IF(F671="ED",1.1,
IF(F671="SD",1.15,
IF(F671="DC",1.2,0)))))))))))</f>
        <v>0.75</v>
      </c>
    </row>
    <row r="672" customFormat="false" ht="16.4" hidden="false" customHeight="false" outlineLevel="0" collapsed="false">
      <c r="A672" s="1" t="n">
        <v>671</v>
      </c>
      <c r="B672" s="5" t="str">
        <f aca="false">[1]Base_Jugadores!B672</f>
        <v>B. Badiashile</v>
      </c>
      <c r="C672" s="5" t="str">
        <f aca="false">IFERROR(
   _xlfn.XLOOKUP(VALUE(A672),[1]Fichajes_Realizados!A$2:A$50000,[1]Fichajes_Realizados!D$2:D$50000,,0,-1),
   _xlfn.XLOOKUP(VALUE(A672),[1]Base_Jugadores!A$2:A$50000,[1]Base_Jugadores!C$2:C$50000)
)</f>
        <v>Chelsea FC</v>
      </c>
      <c r="D672" s="5" t="str">
        <f aca="false">[1]Base_Jugadores!D672</f>
        <v>Francia</v>
      </c>
      <c r="E672" s="3"/>
      <c r="F672" s="5" t="str">
        <f aca="false">[1]Base_Jugadores!E672</f>
        <v>CT</v>
      </c>
      <c r="G672" s="5" t="n">
        <f aca="false">[1]Base_Jugadores!F672</f>
        <v>78</v>
      </c>
      <c r="H672" s="5" t="n">
        <f aca="false">[1]Base_Jugadores!G672</f>
        <v>24</v>
      </c>
      <c r="I672" s="7" t="n">
        <f aca="false" t="array" ref="I672:I672">_xlfn.XLOOKUP(G672,{55;56;57;58;59;60;61;62;63;64;65;66;67;68;69;70;71;72;73;74;75;76;77;78;79;80;81;82;83;84;85;86;87;88;89;90;91;92;93;94;95;96;97;98;99},{100000;130000;160000;190000;220000;250000;300000;350000;400000;450000;500000;600000;700000;800000;900000;1000000;1500000;2000000;3000000;4000000;5000000;6500000;8000000;10000000;12500000;15000000;20000000;25000000;30000000;35000000;40000000;55000000;70000000;80000000;90000000;110000000;130000000;160000000;190000000;220000000;250000000;280000000;310000000;340000000;400000000})</f>
        <v>10000000</v>
      </c>
      <c r="J672" s="7" t="n">
        <f aca="false">I672*S672*T672*U672</f>
        <v>7458750</v>
      </c>
      <c r="K672" s="3"/>
      <c r="L672" s="3"/>
      <c r="M672" s="3"/>
      <c r="N672" s="9" t="n">
        <v>2</v>
      </c>
      <c r="O672" s="4" t="n">
        <v>0</v>
      </c>
      <c r="P672" s="5" t="n">
        <f aca="false">IF(COUNTIF([1]Base_Jugadores!J$2:J$500,B672)&gt;0,1,0)</f>
        <v>0</v>
      </c>
      <c r="Q672" s="10" t="b">
        <f aca="false">--(COUNTIFS(
   [1]Fichajes_Realizados!A$2:A$5000,A672,
   [1]Fichajes_Realizados!G$2:G$5000,$X$3
)&gt;0)</f>
        <v>0</v>
      </c>
      <c r="R672" s="5" t="n">
        <f aca="false">_xlfn.XLOOKUP(C672, [1]Estado_Equipos!A$2:A$500, [1]Estado_Equipos!J$2:J$500, "")</f>
        <v>81</v>
      </c>
      <c r="S672" s="5" t="n">
        <f aca="false">IF(H672&lt;=16,1.45,
IF(H672&gt;=41,0.3,
CHOOSE(ROUNDDOWN((H672-16)/2,0)+1,
1.45,1.38,1.3,1.23,1.17,1.15,1.12,1.05,0.95,0.8,0.6,0.4,0.3)))</f>
        <v>1.17</v>
      </c>
      <c r="T672" s="5" t="n">
        <f aca="false">CHOOSE(N672+1,1.2,1,0.85,0.7)</f>
        <v>0.85</v>
      </c>
      <c r="U672" s="5" t="n">
        <f aca="false">IF(F672="PO",0.6,
IF(F672="CT",0.75,
IF(F672="LI",0.8,
IF(F672="LD",0.8,
IF(F672="MCD",0.85,
IF(F672="MC",0.95,
IF(F672="MO",1.05,
IF(F672="EI",1.1,
IF(F672="ED",1.1,
IF(F672="SD",1.15,
IF(F672="DC",1.2,0)))))))))))</f>
        <v>0.75</v>
      </c>
    </row>
    <row r="673" customFormat="false" ht="16.4" hidden="false" customHeight="false" outlineLevel="0" collapsed="false">
      <c r="A673" s="1" t="n">
        <v>672</v>
      </c>
      <c r="B673" s="5" t="str">
        <f aca="false">[1]Base_Jugadores!B673</f>
        <v>Cole Palmer</v>
      </c>
      <c r="C673" s="5" t="str">
        <f aca="false">IFERROR(
   _xlfn.XLOOKUP(VALUE(A673),[1]Fichajes_Realizados!A$2:A$50000,[1]Fichajes_Realizados!D$2:D$50000,,0,-1),
   _xlfn.XLOOKUP(VALUE(A673),[1]Base_Jugadores!A$2:A$50000,[1]Base_Jugadores!C$2:C$50000)
)</f>
        <v>Chelsea FC</v>
      </c>
      <c r="D673" s="5" t="str">
        <f aca="false">[1]Base_Jugadores!D673</f>
        <v>Inglaterra</v>
      </c>
      <c r="E673" s="3"/>
      <c r="F673" s="5" t="str">
        <f aca="false">[1]Base_Jugadores!E673</f>
        <v>MO</v>
      </c>
      <c r="G673" s="5" t="n">
        <f aca="false">[1]Base_Jugadores!F673</f>
        <v>85</v>
      </c>
      <c r="H673" s="5" t="n">
        <f aca="false">[1]Base_Jugadores!G673</f>
        <v>23</v>
      </c>
      <c r="I673" s="7" t="n">
        <f aca="false" t="array" ref="I673:I673">_xlfn.XLOOKUP(G673,{55;56;57;58;59;60;61;62;63;64;65;66;67;68;69;70;71;72;73;74;75;76;77;78;79;80;81;82;83;84;85;86;87;88;89;90;91;92;93;94;95;96;97;98;99},{100000;130000;160000;190000;220000;250000;300000;350000;400000;450000;500000;600000;700000;800000;900000;1000000;1500000;2000000;3000000;4000000;5000000;6500000;8000000;10000000;12500000;15000000;20000000;25000000;30000000;35000000;40000000;55000000;70000000;80000000;90000000;110000000;130000000;160000000;190000000;220000000;250000000;280000000;310000000;340000000;400000000})</f>
        <v>40000000</v>
      </c>
      <c r="J673" s="7" t="n">
        <f aca="false">I673*S673*T673*U673</f>
        <v>61992000</v>
      </c>
      <c r="K673" s="3"/>
      <c r="L673" s="3"/>
      <c r="M673" s="3"/>
      <c r="N673" s="9" t="n">
        <v>0</v>
      </c>
      <c r="O673" s="4" t="n">
        <v>0</v>
      </c>
      <c r="P673" s="5" t="n">
        <f aca="false">IF(COUNTIF([1]Base_Jugadores!J$2:J$500,B673)&gt;0,1,0)</f>
        <v>0</v>
      </c>
      <c r="Q673" s="10" t="b">
        <f aca="false">--(COUNTIFS(
   [1]Fichajes_Realizados!A$2:A$5000,A673,
   [1]Fichajes_Realizados!G$2:G$5000,$X$3
)&gt;0)</f>
        <v>0</v>
      </c>
      <c r="R673" s="5" t="n">
        <f aca="false">_xlfn.XLOOKUP(C673, [1]Estado_Equipos!A$2:A$500, [1]Estado_Equipos!J$2:J$500, "")</f>
        <v>81</v>
      </c>
      <c r="S673" s="5" t="n">
        <f aca="false">IF(H673&lt;=16,1.45,
IF(H673&gt;=41,0.3,
CHOOSE(ROUNDDOWN((H673-16)/2,0)+1,
1.45,1.38,1.3,1.23,1.17,1.15,1.12,1.05,0.95,0.8,0.6,0.4,0.3)))</f>
        <v>1.23</v>
      </c>
      <c r="T673" s="5" t="n">
        <f aca="false">CHOOSE(N673+1,1.2,1,0.85,0.7)</f>
        <v>1.2</v>
      </c>
      <c r="U673" s="5" t="n">
        <f aca="false">IF(F673="PO",0.6,
IF(F673="CT",0.75,
IF(F673="LI",0.8,
IF(F673="LD",0.8,
IF(F673="MCD",0.85,
IF(F673="MC",0.95,
IF(F673="MO",1.05,
IF(F673="EI",1.1,
IF(F673="ED",1.1,
IF(F673="SD",1.15,
IF(F673="DC",1.2,0)))))))))))</f>
        <v>1.05</v>
      </c>
    </row>
    <row r="674" customFormat="false" ht="16.4" hidden="false" customHeight="false" outlineLevel="0" collapsed="false">
      <c r="A674" s="1" t="n">
        <v>673</v>
      </c>
      <c r="B674" s="5" t="str">
        <f aca="false">[1]Base_Jugadores!B674</f>
        <v>Dário Essugo</v>
      </c>
      <c r="C674" s="5" t="str">
        <f aca="false">IFERROR(
   _xlfn.XLOOKUP(VALUE(A674),[1]Fichajes_Realizados!A$2:A$50000,[1]Fichajes_Realizados!D$2:D$50000,,0,-1),
   _xlfn.XLOOKUP(VALUE(A674),[1]Base_Jugadores!A$2:A$50000,[1]Base_Jugadores!C$2:C$50000)
)</f>
        <v>Chelsea FC</v>
      </c>
      <c r="D674" s="5" t="str">
        <f aca="false">[1]Base_Jugadores!D674</f>
        <v>Portugal</v>
      </c>
      <c r="E674" s="3"/>
      <c r="F674" s="5" t="str">
        <f aca="false">[1]Base_Jugadores!E674</f>
        <v>MCD</v>
      </c>
      <c r="G674" s="5" t="n">
        <f aca="false">[1]Base_Jugadores!F674</f>
        <v>74</v>
      </c>
      <c r="H674" s="5" t="n">
        <f aca="false">[1]Base_Jugadores!G674</f>
        <v>20</v>
      </c>
      <c r="I674" s="7" t="n">
        <f aca="false" t="array" ref="I674:I674">_xlfn.XLOOKUP(G674,{55;56;57;58;59;60;61;62;63;64;65;66;67;68;69;70;71;72;73;74;75;76;77;78;79;80;81;82;83;84;85;86;87;88;89;90;91;92;93;94;95;96;97;98;99},{100000;130000;160000;190000;220000;250000;300000;350000;400000;450000;500000;600000;700000;800000;900000;1000000;1500000;2000000;3000000;4000000;5000000;6500000;8000000;10000000;12500000;15000000;20000000;25000000;30000000;35000000;40000000;55000000;70000000;80000000;90000000;110000000;130000000;160000000;190000000;220000000;250000000;280000000;310000000;340000000;400000000})</f>
        <v>4000000</v>
      </c>
      <c r="J674" s="7" t="n">
        <f aca="false">I674*S674*T674*U674</f>
        <v>3757000</v>
      </c>
      <c r="K674" s="3"/>
      <c r="L674" s="3"/>
      <c r="M674" s="3"/>
      <c r="N674" s="9" t="n">
        <v>2</v>
      </c>
      <c r="O674" s="4" t="n">
        <v>0</v>
      </c>
      <c r="P674" s="5" t="n">
        <f aca="false">IF(COUNTIF([1]Base_Jugadores!J$2:J$500,B674)&gt;0,1,0)</f>
        <v>0</v>
      </c>
      <c r="Q674" s="10" t="b">
        <f aca="false">--(COUNTIFS(
   [1]Fichajes_Realizados!A$2:A$5000,A674,
   [1]Fichajes_Realizados!G$2:G$5000,$X$3
)&gt;0)</f>
        <v>0</v>
      </c>
      <c r="R674" s="5" t="n">
        <f aca="false">_xlfn.XLOOKUP(C674, [1]Estado_Equipos!A$2:A$500, [1]Estado_Equipos!J$2:J$500, "")</f>
        <v>81</v>
      </c>
      <c r="S674" s="5" t="n">
        <f aca="false">IF(H674&lt;=16,1.45,
IF(H674&gt;=41,0.3,
CHOOSE(ROUNDDOWN((H674-16)/2,0)+1,
1.45,1.38,1.3,1.23,1.17,1.15,1.12,1.05,0.95,0.8,0.6,0.4,0.3)))</f>
        <v>1.3</v>
      </c>
      <c r="T674" s="5" t="n">
        <f aca="false">CHOOSE(N674+1,1.2,1,0.85,0.7)</f>
        <v>0.85</v>
      </c>
      <c r="U674" s="5" t="n">
        <f aca="false">IF(F674="PO",0.6,
IF(F674="CT",0.75,
IF(F674="LI",0.8,
IF(F674="LD",0.8,
IF(F674="MCD",0.85,
IF(F674="MC",0.95,
IF(F674="MO",1.05,
IF(F674="EI",1.1,
IF(F674="ED",1.1,
IF(F674="SD",1.15,
IF(F674="DC",1.2,0)))))))))))</f>
        <v>0.85</v>
      </c>
    </row>
    <row r="675" customFormat="false" ht="16.4" hidden="false" customHeight="false" outlineLevel="0" collapsed="false">
      <c r="A675" s="1" t="n">
        <v>674</v>
      </c>
      <c r="B675" s="5" t="str">
        <f aca="false">[1]Base_Jugadores!B675</f>
        <v>Enzo Fernández</v>
      </c>
      <c r="C675" s="5" t="str">
        <f aca="false">IFERROR(
   _xlfn.XLOOKUP(VALUE(A675),[1]Fichajes_Realizados!A$2:A$50000,[1]Fichajes_Realizados!D$2:D$50000,,0,-1),
   _xlfn.XLOOKUP(VALUE(A675),[1]Base_Jugadores!A$2:A$50000,[1]Base_Jugadores!C$2:C$50000)
)</f>
        <v>Chelsea FC</v>
      </c>
      <c r="D675" s="5" t="str">
        <f aca="false">[1]Base_Jugadores!D675</f>
        <v>Argentina</v>
      </c>
      <c r="E675" s="3"/>
      <c r="F675" s="5" t="str">
        <f aca="false">[1]Base_Jugadores!E675</f>
        <v>MC</v>
      </c>
      <c r="G675" s="5" t="n">
        <f aca="false">[1]Base_Jugadores!F675</f>
        <v>83</v>
      </c>
      <c r="H675" s="5" t="n">
        <f aca="false">[1]Base_Jugadores!G675</f>
        <v>24</v>
      </c>
      <c r="I675" s="7" t="n">
        <f aca="false" t="array" ref="I675:I675">_xlfn.XLOOKUP(G675,{55;56;57;58;59;60;61;62;63;64;65;66;67;68;69;70;71;72;73;74;75;76;77;78;79;80;81;82;83;84;85;86;87;88;89;90;91;92;93;94;95;96;97;98;99},{100000;130000;160000;190000;220000;250000;300000;350000;400000;450000;500000;600000;700000;800000;900000;1000000;1500000;2000000;3000000;4000000;5000000;6500000;8000000;10000000;12500000;15000000;20000000;25000000;30000000;35000000;40000000;55000000;70000000;80000000;90000000;110000000;130000000;160000000;190000000;220000000;250000000;280000000;310000000;340000000;400000000})</f>
        <v>30000000</v>
      </c>
      <c r="J675" s="7" t="n">
        <f aca="false">I675*S675*T675*U675</f>
        <v>40014000</v>
      </c>
      <c r="K675" s="3"/>
      <c r="L675" s="3"/>
      <c r="M675" s="3"/>
      <c r="N675" s="9" t="n">
        <v>0</v>
      </c>
      <c r="O675" s="4" t="n">
        <v>0</v>
      </c>
      <c r="P675" s="5" t="n">
        <f aca="false">IF(COUNTIF([1]Base_Jugadores!J$2:J$500,B675)&gt;0,1,0)</f>
        <v>0</v>
      </c>
      <c r="Q675" s="10" t="b">
        <f aca="false">--(COUNTIFS(
   [1]Fichajes_Realizados!A$2:A$5000,A675,
   [1]Fichajes_Realizados!G$2:G$5000,$X$3
)&gt;0)</f>
        <v>0</v>
      </c>
      <c r="R675" s="5" t="n">
        <f aca="false">_xlfn.XLOOKUP(C675, [1]Estado_Equipos!A$2:A$500, [1]Estado_Equipos!J$2:J$500, "")</f>
        <v>81</v>
      </c>
      <c r="S675" s="5" t="n">
        <f aca="false">IF(H675&lt;=16,1.45,
IF(H675&gt;=41,0.3,
CHOOSE(ROUNDDOWN((H675-16)/2,0)+1,
1.45,1.38,1.3,1.23,1.17,1.15,1.12,1.05,0.95,0.8,0.6,0.4,0.3)))</f>
        <v>1.17</v>
      </c>
      <c r="T675" s="5" t="n">
        <f aca="false">CHOOSE(N675+1,1.2,1,0.85,0.7)</f>
        <v>1.2</v>
      </c>
      <c r="U675" s="5" t="n">
        <f aca="false">IF(F675="PO",0.6,
IF(F675="CT",0.75,
IF(F675="LI",0.8,
IF(F675="LD",0.8,
IF(F675="MCD",0.85,
IF(F675="MC",0.95,
IF(F675="MO",1.05,
IF(F675="EI",1.1,
IF(F675="ED",1.1,
IF(F675="SD",1.15,
IF(F675="DC",1.2,0)))))))))))</f>
        <v>0.95</v>
      </c>
    </row>
    <row r="676" customFormat="false" ht="16.4" hidden="false" customHeight="false" outlineLevel="0" collapsed="false">
      <c r="A676" s="1" t="n">
        <v>675</v>
      </c>
      <c r="B676" s="5" t="str">
        <f aca="false">[1]Base_Jugadores!B676</f>
        <v>Estêvão</v>
      </c>
      <c r="C676" s="5" t="str">
        <f aca="false">IFERROR(
   _xlfn.XLOOKUP(VALUE(A676),[1]Fichajes_Realizados!A$2:A$50000,[1]Fichajes_Realizados!D$2:D$50000,,0,-1),
   _xlfn.XLOOKUP(VALUE(A676),[1]Base_Jugadores!A$2:A$50000,[1]Base_Jugadores!C$2:C$50000)
)</f>
        <v>Chelsea FC</v>
      </c>
      <c r="D676" s="5" t="str">
        <f aca="false">[1]Base_Jugadores!D676</f>
        <v>Brasil</v>
      </c>
      <c r="E676" s="3"/>
      <c r="F676" s="5" t="str">
        <f aca="false">[1]Base_Jugadores!E676</f>
        <v>ED</v>
      </c>
      <c r="G676" s="5" t="n">
        <f aca="false">[1]Base_Jugadores!F676</f>
        <v>79</v>
      </c>
      <c r="H676" s="5" t="n">
        <f aca="false">[1]Base_Jugadores!G676</f>
        <v>18</v>
      </c>
      <c r="I676" s="7" t="n">
        <f aca="false" t="array" ref="I676:I676">_xlfn.XLOOKUP(G676,{55;56;57;58;59;60;61;62;63;64;65;66;67;68;69;70;71;72;73;74;75;76;77;78;79;80;81;82;83;84;85;86;87;88;89;90;91;92;93;94;95;96;97;98;99},{100000;130000;160000;190000;220000;250000;300000;350000;400000;450000;500000;600000;700000;800000;900000;1000000;1500000;2000000;3000000;4000000;5000000;6500000;8000000;10000000;12500000;15000000;20000000;25000000;30000000;35000000;40000000;55000000;70000000;80000000;90000000;110000000;130000000;160000000;190000000;220000000;250000000;280000000;310000000;340000000;400000000})</f>
        <v>12500000</v>
      </c>
      <c r="J676" s="7" t="n">
        <f aca="false">I676*S676*T676*U676</f>
        <v>18975000</v>
      </c>
      <c r="K676" s="3"/>
      <c r="L676" s="3"/>
      <c r="M676" s="3"/>
      <c r="N676" s="9" t="n">
        <v>1</v>
      </c>
      <c r="O676" s="4" t="n">
        <v>1</v>
      </c>
      <c r="P676" s="5" t="n">
        <f aca="false">IF(COUNTIF([1]Base_Jugadores!J$2:J$500,B676)&gt;0,1,0)</f>
        <v>0</v>
      </c>
      <c r="Q676" s="10" t="b">
        <f aca="false">--(COUNTIFS(
   [1]Fichajes_Realizados!A$2:A$5000,A676,
   [1]Fichajes_Realizados!G$2:G$5000,$X$3
)&gt;0)</f>
        <v>0</v>
      </c>
      <c r="R676" s="5" t="n">
        <f aca="false">_xlfn.XLOOKUP(C676, [1]Estado_Equipos!A$2:A$500, [1]Estado_Equipos!J$2:J$500, "")</f>
        <v>81</v>
      </c>
      <c r="S676" s="5" t="n">
        <f aca="false">IF(H676&lt;=16,1.45,
IF(H676&gt;=41,0.3,
CHOOSE(ROUNDDOWN((H676-16)/2,0)+1,
1.45,1.38,1.3,1.23,1.17,1.15,1.12,1.05,0.95,0.8,0.6,0.4,0.3)))</f>
        <v>1.38</v>
      </c>
      <c r="T676" s="5" t="n">
        <f aca="false">CHOOSE(N676+1,1.2,1,0.85,0.7)</f>
        <v>1</v>
      </c>
      <c r="U676" s="5" t="n">
        <f aca="false">IF(F676="PO",0.6,
IF(F676="CT",0.75,
IF(F676="LI",0.8,
IF(F676="LD",0.8,
IF(F676="MCD",0.85,
IF(F676="MC",0.95,
IF(F676="MO",1.05,
IF(F676="EI",1.1,
IF(F676="ED",1.1,
IF(F676="SD",1.15,
IF(F676="DC",1.2,0)))))))))))</f>
        <v>1.1</v>
      </c>
    </row>
    <row r="677" customFormat="false" ht="16.4" hidden="false" customHeight="false" outlineLevel="0" collapsed="false">
      <c r="A677" s="1" t="n">
        <v>676</v>
      </c>
      <c r="B677" s="5" t="str">
        <f aca="false">[1]Base_Jugadores!B677</f>
        <v>F. Buonanotte</v>
      </c>
      <c r="C677" s="5" t="str">
        <f aca="false">IFERROR(
   _xlfn.XLOOKUP(VALUE(A677),[1]Fichajes_Realizados!A$2:A$50000,[1]Fichajes_Realizados!D$2:D$50000,,0,-1),
   _xlfn.XLOOKUP(VALUE(A677),[1]Base_Jugadores!A$2:A$50000,[1]Base_Jugadores!C$2:C$50000)
)</f>
        <v>Chelsea FC</v>
      </c>
      <c r="D677" s="5" t="str">
        <f aca="false">[1]Base_Jugadores!D677</f>
        <v>Argentina</v>
      </c>
      <c r="E677" s="3"/>
      <c r="F677" s="5" t="str">
        <f aca="false">[1]Base_Jugadores!E677</f>
        <v>MO</v>
      </c>
      <c r="G677" s="5" t="n">
        <f aca="false">[1]Base_Jugadores!F677</f>
        <v>76</v>
      </c>
      <c r="H677" s="5" t="n">
        <f aca="false">[1]Base_Jugadores!G677</f>
        <v>21</v>
      </c>
      <c r="I677" s="7" t="n">
        <f aca="false" t="array" ref="I677:I677">_xlfn.XLOOKUP(G677,{55;56;57;58;59;60;61;62;63;64;65;66;67;68;69;70;71;72;73;74;75;76;77;78;79;80;81;82;83;84;85;86;87;88;89;90;91;92;93;94;95;96;97;98;99},{100000;130000;160000;190000;220000;250000;300000;350000;400000;450000;500000;600000;700000;800000;900000;1000000;1500000;2000000;3000000;4000000;5000000;6500000;8000000;10000000;12500000;15000000;20000000;25000000;30000000;35000000;40000000;55000000;70000000;80000000;90000000;110000000;130000000;160000000;190000000;220000000;250000000;280000000;310000000;340000000;400000000})</f>
        <v>6500000</v>
      </c>
      <c r="J677" s="7" t="n">
        <f aca="false">I677*S677*T677*U677</f>
        <v>7541625</v>
      </c>
      <c r="K677" s="3"/>
      <c r="L677" s="3"/>
      <c r="M677" s="3"/>
      <c r="N677" s="9" t="n">
        <v>2</v>
      </c>
      <c r="O677" s="4" t="n">
        <v>0</v>
      </c>
      <c r="P677" s="5" t="n">
        <f aca="false">IF(COUNTIF([1]Base_Jugadores!J$2:J$500,B677)&gt;0,1,0)</f>
        <v>0</v>
      </c>
      <c r="Q677" s="10" t="b">
        <f aca="false">--(COUNTIFS(
   [1]Fichajes_Realizados!A$2:A$5000,A677,
   [1]Fichajes_Realizados!G$2:G$5000,$X$3
)&gt;0)</f>
        <v>0</v>
      </c>
      <c r="R677" s="5" t="n">
        <f aca="false">_xlfn.XLOOKUP(C677, [1]Estado_Equipos!A$2:A$500, [1]Estado_Equipos!J$2:J$500, "")</f>
        <v>81</v>
      </c>
      <c r="S677" s="5" t="n">
        <f aca="false">IF(H677&lt;=16,1.45,
IF(H677&gt;=41,0.3,
CHOOSE(ROUNDDOWN((H677-16)/2,0)+1,
1.45,1.38,1.3,1.23,1.17,1.15,1.12,1.05,0.95,0.8,0.6,0.4,0.3)))</f>
        <v>1.3</v>
      </c>
      <c r="T677" s="5" t="n">
        <f aca="false">CHOOSE(N677+1,1.2,1,0.85,0.7)</f>
        <v>0.85</v>
      </c>
      <c r="U677" s="5" t="n">
        <f aca="false">IF(F677="PO",0.6,
IF(F677="CT",0.75,
IF(F677="LI",0.8,
IF(F677="LD",0.8,
IF(F677="MCD",0.85,
IF(F677="MC",0.95,
IF(F677="MO",1.05,
IF(F677="EI",1.1,
IF(F677="ED",1.1,
IF(F677="SD",1.15,
IF(F677="DC",1.2,0)))))))))))</f>
        <v>1.05</v>
      </c>
    </row>
    <row r="678" customFormat="false" ht="16.4" hidden="false" customHeight="false" outlineLevel="0" collapsed="false">
      <c r="A678" s="1" t="n">
        <v>677</v>
      </c>
      <c r="B678" s="5" t="str">
        <f aca="false">[1]Base_Jugadores!B678</f>
        <v>Filip Jørgensen</v>
      </c>
      <c r="C678" s="5" t="str">
        <f aca="false">IFERROR(
   _xlfn.XLOOKUP(VALUE(A678),[1]Fichajes_Realizados!A$2:A$50000,[1]Fichajes_Realizados!D$2:D$50000,,0,-1),
   _xlfn.XLOOKUP(VALUE(A678),[1]Base_Jugadores!A$2:A$50000,[1]Base_Jugadores!C$2:C$50000)
)</f>
        <v>Chelsea FC</v>
      </c>
      <c r="D678" s="5" t="str">
        <f aca="false">[1]Base_Jugadores!D678</f>
        <v>Dinamarca</v>
      </c>
      <c r="E678" s="3"/>
      <c r="F678" s="5" t="str">
        <f aca="false">[1]Base_Jugadores!E678</f>
        <v>PO</v>
      </c>
      <c r="G678" s="5" t="n">
        <f aca="false">[1]Base_Jugadores!F678</f>
        <v>77</v>
      </c>
      <c r="H678" s="5" t="n">
        <f aca="false">[1]Base_Jugadores!G678</f>
        <v>23</v>
      </c>
      <c r="I678" s="7" t="n">
        <f aca="false" t="array" ref="I678:I678">_xlfn.XLOOKUP(G678,{55;56;57;58;59;60;61;62;63;64;65;66;67;68;69;70;71;72;73;74;75;76;77;78;79;80;81;82;83;84;85;86;87;88;89;90;91;92;93;94;95;96;97;98;99},{100000;130000;160000;190000;220000;250000;300000;350000;400000;450000;500000;600000;700000;800000;900000;1000000;1500000;2000000;3000000;4000000;5000000;6500000;8000000;10000000;12500000;15000000;20000000;25000000;30000000;35000000;40000000;55000000;70000000;80000000;90000000;110000000;130000000;160000000;190000000;220000000;250000000;280000000;310000000;340000000;400000000})</f>
        <v>8000000</v>
      </c>
      <c r="J678" s="7" t="n">
        <f aca="false">I678*S678*T678*U678</f>
        <v>5018400</v>
      </c>
      <c r="K678" s="3"/>
      <c r="L678" s="3"/>
      <c r="M678" s="3"/>
      <c r="N678" s="9" t="n">
        <v>2</v>
      </c>
      <c r="O678" s="4" t="n">
        <v>0</v>
      </c>
      <c r="P678" s="5" t="n">
        <f aca="false">IF(COUNTIF([1]Base_Jugadores!J$2:J$500,B678)&gt;0,1,0)</f>
        <v>0</v>
      </c>
      <c r="Q678" s="10" t="b">
        <f aca="false">--(COUNTIFS(
   [1]Fichajes_Realizados!A$2:A$5000,A678,
   [1]Fichajes_Realizados!G$2:G$5000,$X$3
)&gt;0)</f>
        <v>0</v>
      </c>
      <c r="R678" s="5" t="n">
        <f aca="false">_xlfn.XLOOKUP(C678, [1]Estado_Equipos!A$2:A$500, [1]Estado_Equipos!J$2:J$500, "")</f>
        <v>81</v>
      </c>
      <c r="S678" s="5" t="n">
        <f aca="false">IF(H678&lt;=16,1.45,
IF(H678&gt;=41,0.3,
CHOOSE(ROUNDDOWN((H678-16)/2,0)+1,
1.45,1.38,1.3,1.23,1.17,1.15,1.12,1.05,0.95,0.8,0.6,0.4,0.3)))</f>
        <v>1.23</v>
      </c>
      <c r="T678" s="5" t="n">
        <f aca="false">CHOOSE(N678+1,1.2,1,0.85,0.7)</f>
        <v>0.85</v>
      </c>
      <c r="U678" s="5" t="n">
        <f aca="false">IF(F678="PO",0.6,
IF(F678="CT",0.75,
IF(F678="LI",0.8,
IF(F678="LD",0.8,
IF(F678="MCD",0.85,
IF(F678="MC",0.95,
IF(F678="MO",1.05,
IF(F678="EI",1.1,
IF(F678="ED",1.1,
IF(F678="SD",1.15,
IF(F678="DC",1.2,0)))))))))))</f>
        <v>0.6</v>
      </c>
    </row>
    <row r="679" customFormat="false" ht="16.4" hidden="false" customHeight="false" outlineLevel="0" collapsed="false">
      <c r="A679" s="1" t="n">
        <v>678</v>
      </c>
      <c r="B679" s="5" t="str">
        <f aca="false">[1]Base_Jugadores!B679</f>
        <v>Gabriel Slonina</v>
      </c>
      <c r="C679" s="5" t="str">
        <f aca="false">IFERROR(
   _xlfn.XLOOKUP(VALUE(A679),[1]Fichajes_Realizados!A$2:A$50000,[1]Fichajes_Realizados!D$2:D$50000,,0,-1),
   _xlfn.XLOOKUP(VALUE(A679),[1]Base_Jugadores!A$2:A$50000,[1]Base_Jugadores!C$2:C$50000)
)</f>
        <v>Chelsea FC</v>
      </c>
      <c r="D679" s="5" t="str">
        <f aca="false">[1]Base_Jugadores!D679</f>
        <v>Estados Unidos</v>
      </c>
      <c r="E679" s="3"/>
      <c r="F679" s="5" t="str">
        <f aca="false">[1]Base_Jugadores!E679</f>
        <v>PO</v>
      </c>
      <c r="G679" s="5" t="n">
        <f aca="false">[1]Base_Jugadores!F679</f>
        <v>68</v>
      </c>
      <c r="H679" s="5" t="n">
        <f aca="false">[1]Base_Jugadores!G679</f>
        <v>21</v>
      </c>
      <c r="I679" s="7" t="n">
        <f aca="false" t="array" ref="I679:I679">_xlfn.XLOOKUP(G679,{55;56;57;58;59;60;61;62;63;64;65;66;67;68;69;70;71;72;73;74;75;76;77;78;79;80;81;82;83;84;85;86;87;88;89;90;91;92;93;94;95;96;97;98;99},{100000;130000;160000;190000;220000;250000;300000;350000;400000;450000;500000;600000;700000;800000;900000;1000000;1500000;2000000;3000000;4000000;5000000;6500000;8000000;10000000;12500000;15000000;20000000;25000000;30000000;35000000;40000000;55000000;70000000;80000000;90000000;110000000;130000000;160000000;190000000;220000000;250000000;280000000;310000000;340000000;400000000})</f>
        <v>800000</v>
      </c>
      <c r="J679" s="7" t="n">
        <f aca="false">I679*S679*T679*U679</f>
        <v>436800</v>
      </c>
      <c r="K679" s="3"/>
      <c r="L679" s="3"/>
      <c r="M679" s="3"/>
      <c r="N679" s="9" t="n">
        <v>3</v>
      </c>
      <c r="O679" s="4" t="n">
        <v>0</v>
      </c>
      <c r="P679" s="5" t="n">
        <f aca="false">IF(COUNTIF([1]Base_Jugadores!J$2:J$500,B679)&gt;0,1,0)</f>
        <v>0</v>
      </c>
      <c r="Q679" s="10" t="b">
        <f aca="false">--(COUNTIFS(
   [1]Fichajes_Realizados!A$2:A$5000,A679,
   [1]Fichajes_Realizados!G$2:G$5000,$X$3
)&gt;0)</f>
        <v>0</v>
      </c>
      <c r="R679" s="5" t="n">
        <f aca="false">_xlfn.XLOOKUP(C679, [1]Estado_Equipos!A$2:A$500, [1]Estado_Equipos!J$2:J$500, "")</f>
        <v>81</v>
      </c>
      <c r="S679" s="5" t="n">
        <f aca="false">IF(H679&lt;=16,1.45,
IF(H679&gt;=41,0.3,
CHOOSE(ROUNDDOWN((H679-16)/2,0)+1,
1.45,1.38,1.3,1.23,1.17,1.15,1.12,1.05,0.95,0.8,0.6,0.4,0.3)))</f>
        <v>1.3</v>
      </c>
      <c r="T679" s="5" t="n">
        <f aca="false">CHOOSE(N679+1,1.2,1,0.85,0.7)</f>
        <v>0.7</v>
      </c>
      <c r="U679" s="5" t="n">
        <f aca="false">IF(F679="PO",0.6,
IF(F679="CT",0.75,
IF(F679="LI",0.8,
IF(F679="LD",0.8,
IF(F679="MCD",0.85,
IF(F679="MC",0.95,
IF(F679="MO",1.05,
IF(F679="EI",1.1,
IF(F679="ED",1.1,
IF(F679="SD",1.15,
IF(F679="DC",1.2,0)))))))))))</f>
        <v>0.6</v>
      </c>
    </row>
    <row r="680" customFormat="false" ht="16.4" hidden="false" customHeight="false" outlineLevel="0" collapsed="false">
      <c r="A680" s="1" t="n">
        <v>679</v>
      </c>
      <c r="B680" s="5" t="str">
        <f aca="false">[1]Base_Jugadores!B680</f>
        <v>J. Acheampong</v>
      </c>
      <c r="C680" s="5" t="str">
        <f aca="false">IFERROR(
   _xlfn.XLOOKUP(VALUE(A680),[1]Fichajes_Realizados!A$2:A$50000,[1]Fichajes_Realizados!D$2:D$50000,,0,-1),
   _xlfn.XLOOKUP(VALUE(A680),[1]Base_Jugadores!A$2:A$50000,[1]Base_Jugadores!C$2:C$50000)
)</f>
        <v>Chelsea FC</v>
      </c>
      <c r="D680" s="5" t="str">
        <f aca="false">[1]Base_Jugadores!D680</f>
        <v>Inglaterra</v>
      </c>
      <c r="E680" s="3"/>
      <c r="F680" s="5" t="str">
        <f aca="false">[1]Base_Jugadores!E680</f>
        <v>LD</v>
      </c>
      <c r="G680" s="5" t="n">
        <f aca="false">[1]Base_Jugadores!F680</f>
        <v>67</v>
      </c>
      <c r="H680" s="5" t="n">
        <f aca="false">[1]Base_Jugadores!G680</f>
        <v>19</v>
      </c>
      <c r="I680" s="7" t="n">
        <f aca="false" t="array" ref="I680:I680">_xlfn.XLOOKUP(G680,{55;56;57;58;59;60;61;62;63;64;65;66;67;68;69;70;71;72;73;74;75;76;77;78;79;80;81;82;83;84;85;86;87;88;89;90;91;92;93;94;95;96;97;98;99},{100000;130000;160000;190000;220000;250000;300000;350000;400000;450000;500000;600000;700000;800000;900000;1000000;1500000;2000000;3000000;4000000;5000000;6500000;8000000;10000000;12500000;15000000;20000000;25000000;30000000;35000000;40000000;55000000;70000000;80000000;90000000;110000000;130000000;160000000;190000000;220000000;250000000;280000000;310000000;340000000;400000000})</f>
        <v>700000</v>
      </c>
      <c r="J680" s="7" t="n">
        <f aca="false">I680*S680*T680*U680</f>
        <v>540960</v>
      </c>
      <c r="K680" s="3"/>
      <c r="L680" s="3"/>
      <c r="M680" s="3"/>
      <c r="N680" s="9" t="n">
        <v>3</v>
      </c>
      <c r="O680" s="4" t="n">
        <v>1</v>
      </c>
      <c r="P680" s="5" t="n">
        <f aca="false">IF(COUNTIF([1]Base_Jugadores!J$2:J$500,B680)&gt;0,1,0)</f>
        <v>0</v>
      </c>
      <c r="Q680" s="10" t="b">
        <f aca="false">--(COUNTIFS(
   [1]Fichajes_Realizados!A$2:A$5000,A680,
   [1]Fichajes_Realizados!G$2:G$5000,$X$3
)&gt;0)</f>
        <v>0</v>
      </c>
      <c r="R680" s="5" t="n">
        <f aca="false">_xlfn.XLOOKUP(C680, [1]Estado_Equipos!A$2:A$500, [1]Estado_Equipos!J$2:J$500, "")</f>
        <v>81</v>
      </c>
      <c r="S680" s="5" t="n">
        <f aca="false">IF(H680&lt;=16,1.45,
IF(H680&gt;=41,0.3,
CHOOSE(ROUNDDOWN((H680-16)/2,0)+1,
1.45,1.38,1.3,1.23,1.17,1.15,1.12,1.05,0.95,0.8,0.6,0.4,0.3)))</f>
        <v>1.38</v>
      </c>
      <c r="T680" s="5" t="n">
        <f aca="false">CHOOSE(N680+1,1.2,1,0.85,0.7)</f>
        <v>0.7</v>
      </c>
      <c r="U680" s="5" t="n">
        <f aca="false">IF(F680="PO",0.6,
IF(F680="CT",0.75,
IF(F680="LI",0.8,
IF(F680="LD",0.8,
IF(F680="MCD",0.85,
IF(F680="MC",0.95,
IF(F680="MO",1.05,
IF(F680="EI",1.1,
IF(F680="ED",1.1,
IF(F680="SD",1.15,
IF(F680="DC",1.2,0)))))))))))</f>
        <v>0.8</v>
      </c>
    </row>
    <row r="681" customFormat="false" ht="16.4" hidden="false" customHeight="false" outlineLevel="0" collapsed="false">
      <c r="A681" s="1" t="n">
        <v>680</v>
      </c>
      <c r="B681" s="5" t="str">
        <f aca="false">[1]Base_Jugadores!B681</f>
        <v>Jamie Gittens</v>
      </c>
      <c r="C681" s="5" t="str">
        <f aca="false">IFERROR(
   _xlfn.XLOOKUP(VALUE(A681),[1]Fichajes_Realizados!A$2:A$50000,[1]Fichajes_Realizados!D$2:D$50000,,0,-1),
   _xlfn.XLOOKUP(VALUE(A681),[1]Base_Jugadores!A$2:A$50000,[1]Base_Jugadores!C$2:C$50000)
)</f>
        <v>Chelsea FC</v>
      </c>
      <c r="D681" s="5" t="str">
        <f aca="false">[1]Base_Jugadores!D681</f>
        <v>Inglaterra</v>
      </c>
      <c r="E681" s="3"/>
      <c r="F681" s="5" t="str">
        <f aca="false">[1]Base_Jugadores!E681</f>
        <v>EI</v>
      </c>
      <c r="G681" s="5" t="n">
        <f aca="false">[1]Base_Jugadores!F681</f>
        <v>79</v>
      </c>
      <c r="H681" s="5" t="n">
        <f aca="false">[1]Base_Jugadores!G681</f>
        <v>21</v>
      </c>
      <c r="I681" s="7" t="n">
        <f aca="false" t="array" ref="I681:I681">_xlfn.XLOOKUP(G681,{55;56;57;58;59;60;61;62;63;64;65;66;67;68;69;70;71;72;73;74;75;76;77;78;79;80;81;82;83;84;85;86;87;88;89;90;91;92;93;94;95;96;97;98;99},{100000;130000;160000;190000;220000;250000;300000;350000;400000;450000;500000;600000;700000;800000;900000;1000000;1500000;2000000;3000000;4000000;5000000;6500000;8000000;10000000;12500000;15000000;20000000;25000000;30000000;35000000;40000000;55000000;70000000;80000000;90000000;110000000;130000000;160000000;190000000;220000000;250000000;280000000;310000000;340000000;400000000})</f>
        <v>12500000</v>
      </c>
      <c r="J681" s="7" t="n">
        <f aca="false">I681*S681*T681*U681</f>
        <v>21450000</v>
      </c>
      <c r="K681" s="3"/>
      <c r="L681" s="3"/>
      <c r="M681" s="3"/>
      <c r="N681" s="9" t="n">
        <v>0</v>
      </c>
      <c r="O681" s="4" t="n">
        <v>1</v>
      </c>
      <c r="P681" s="5" t="n">
        <f aca="false">IF(COUNTIF([1]Base_Jugadores!J$2:J$500,B681)&gt;0,1,0)</f>
        <v>0</v>
      </c>
      <c r="Q681" s="10" t="b">
        <f aca="false">--(COUNTIFS(
   [1]Fichajes_Realizados!A$2:A$5000,A681,
   [1]Fichajes_Realizados!G$2:G$5000,$X$3
)&gt;0)</f>
        <v>0</v>
      </c>
      <c r="R681" s="5" t="n">
        <f aca="false">_xlfn.XLOOKUP(C681, [1]Estado_Equipos!A$2:A$500, [1]Estado_Equipos!J$2:J$500, "")</f>
        <v>81</v>
      </c>
      <c r="S681" s="5" t="n">
        <f aca="false">IF(H681&lt;=16,1.45,
IF(H681&gt;=41,0.3,
CHOOSE(ROUNDDOWN((H681-16)/2,0)+1,
1.45,1.38,1.3,1.23,1.17,1.15,1.12,1.05,0.95,0.8,0.6,0.4,0.3)))</f>
        <v>1.3</v>
      </c>
      <c r="T681" s="5" t="n">
        <f aca="false">CHOOSE(N681+1,1.2,1,0.85,0.7)</f>
        <v>1.2</v>
      </c>
      <c r="U681" s="5" t="n">
        <f aca="false">IF(F681="PO",0.6,
IF(F681="CT",0.75,
IF(F681="LI",0.8,
IF(F681="LD",0.8,
IF(F681="MCD",0.85,
IF(F681="MC",0.95,
IF(F681="MO",1.05,
IF(F681="EI",1.1,
IF(F681="ED",1.1,
IF(F681="SD",1.15,
IF(F681="DC",1.2,0)))))))))))</f>
        <v>1.1</v>
      </c>
    </row>
    <row r="682" customFormat="false" ht="16.4" hidden="false" customHeight="false" outlineLevel="0" collapsed="false">
      <c r="A682" s="1" t="n">
        <v>681</v>
      </c>
      <c r="B682" s="5" t="str">
        <f aca="false">[1]Base_Jugadores!B682</f>
        <v>João Pedro J.</v>
      </c>
      <c r="C682" s="5" t="str">
        <f aca="false">IFERROR(
   _xlfn.XLOOKUP(VALUE(A682),[1]Fichajes_Realizados!A$2:A$50000,[1]Fichajes_Realizados!D$2:D$50000,,0,-1),
   _xlfn.XLOOKUP(VALUE(A682),[1]Base_Jugadores!A$2:A$50000,[1]Base_Jugadores!C$2:C$50000)
)</f>
        <v>Chelsea FC</v>
      </c>
      <c r="D682" s="5" t="str">
        <f aca="false">[1]Base_Jugadores!D682</f>
        <v>Brasil</v>
      </c>
      <c r="E682" s="3"/>
      <c r="F682" s="5" t="str">
        <f aca="false">[1]Base_Jugadores!E682</f>
        <v>DC</v>
      </c>
      <c r="G682" s="5" t="n">
        <f aca="false">[1]Base_Jugadores!F682</f>
        <v>79</v>
      </c>
      <c r="H682" s="5" t="n">
        <f aca="false">[1]Base_Jugadores!G682</f>
        <v>24</v>
      </c>
      <c r="I682" s="7" t="n">
        <f aca="false" t="array" ref="I682:I682">_xlfn.XLOOKUP(G682,{55;56;57;58;59;60;61;62;63;64;65;66;67;68;69;70;71;72;73;74;75;76;77;78;79;80;81;82;83;84;85;86;87;88;89;90;91;92;93;94;95;96;97;98;99},{100000;130000;160000;190000;220000;250000;300000;350000;400000;450000;500000;600000;700000;800000;900000;1000000;1500000;2000000;3000000;4000000;5000000;6500000;8000000;10000000;12500000;15000000;20000000;25000000;30000000;35000000;40000000;55000000;70000000;80000000;90000000;110000000;130000000;160000000;190000000;220000000;250000000;280000000;310000000;340000000;400000000})</f>
        <v>12500000</v>
      </c>
      <c r="J682" s="7" t="n">
        <f aca="false">I682*S682*T682*U682</f>
        <v>21060000</v>
      </c>
      <c r="K682" s="3"/>
      <c r="L682" s="3"/>
      <c r="M682" s="3"/>
      <c r="N682" s="9" t="n">
        <v>0</v>
      </c>
      <c r="O682" s="4" t="n">
        <v>0</v>
      </c>
      <c r="P682" s="5" t="n">
        <f aca="false">IF(COUNTIF([1]Base_Jugadores!J$2:J$500,B682)&gt;0,1,0)</f>
        <v>0</v>
      </c>
      <c r="Q682" s="10" t="b">
        <f aca="false">--(COUNTIFS(
   [1]Fichajes_Realizados!A$2:A$5000,A682,
   [1]Fichajes_Realizados!G$2:G$5000,$X$3
)&gt;0)</f>
        <v>0</v>
      </c>
      <c r="R682" s="5" t="n">
        <f aca="false">_xlfn.XLOOKUP(C682, [1]Estado_Equipos!A$2:A$500, [1]Estado_Equipos!J$2:J$500, "")</f>
        <v>81</v>
      </c>
      <c r="S682" s="5" t="n">
        <f aca="false">IF(H682&lt;=16,1.45,
IF(H682&gt;=41,0.3,
CHOOSE(ROUNDDOWN((H682-16)/2,0)+1,
1.45,1.38,1.3,1.23,1.17,1.15,1.12,1.05,0.95,0.8,0.6,0.4,0.3)))</f>
        <v>1.17</v>
      </c>
      <c r="T682" s="5" t="n">
        <f aca="false">CHOOSE(N682+1,1.2,1,0.85,0.7)</f>
        <v>1.2</v>
      </c>
      <c r="U682" s="5" t="n">
        <f aca="false">IF(F682="PO",0.6,
IF(F682="CT",0.75,
IF(F682="LI",0.8,
IF(F682="LD",0.8,
IF(F682="MCD",0.85,
IF(F682="MC",0.95,
IF(F682="MO",1.05,
IF(F682="EI",1.1,
IF(F682="ED",1.1,
IF(F682="SD",1.15,
IF(F682="DC",1.2,0)))))))))))</f>
        <v>1.2</v>
      </c>
    </row>
    <row r="683" customFormat="false" ht="16.4" hidden="false" customHeight="false" outlineLevel="0" collapsed="false">
      <c r="A683" s="1" t="n">
        <v>682</v>
      </c>
      <c r="B683" s="5" t="str">
        <f aca="false">[1]Base_Jugadores!B683</f>
        <v>Jorrel Hato</v>
      </c>
      <c r="C683" s="5" t="str">
        <f aca="false">IFERROR(
   _xlfn.XLOOKUP(VALUE(A683),[1]Fichajes_Realizados!A$2:A$50000,[1]Fichajes_Realizados!D$2:D$50000,,0,-1),
   _xlfn.XLOOKUP(VALUE(A683),[1]Base_Jugadores!A$2:A$50000,[1]Base_Jugadores!C$2:C$50000)
)</f>
        <v>Chelsea FC</v>
      </c>
      <c r="D683" s="5" t="str">
        <f aca="false">[1]Base_Jugadores!D683</f>
        <v>Países Bajos</v>
      </c>
      <c r="E683" s="3"/>
      <c r="F683" s="5" t="str">
        <f aca="false">[1]Base_Jugadores!E683</f>
        <v>LI</v>
      </c>
      <c r="G683" s="5" t="n">
        <f aca="false">[1]Base_Jugadores!F683</f>
        <v>80</v>
      </c>
      <c r="H683" s="5" t="n">
        <f aca="false">[1]Base_Jugadores!G683</f>
        <v>19</v>
      </c>
      <c r="I683" s="7" t="n">
        <f aca="false" t="array" ref="I683:I683">_xlfn.XLOOKUP(G683,{55;56;57;58;59;60;61;62;63;64;65;66;67;68;69;70;71;72;73;74;75;76;77;78;79;80;81;82;83;84;85;86;87;88;89;90;91;92;93;94;95;96;97;98;99},{100000;130000;160000;190000;220000;250000;300000;350000;400000;450000;500000;600000;700000;800000;900000;1000000;1500000;2000000;3000000;4000000;5000000;6500000;8000000;10000000;12500000;15000000;20000000;25000000;30000000;35000000;40000000;55000000;70000000;80000000;90000000;110000000;130000000;160000000;190000000;220000000;250000000;280000000;310000000;340000000;400000000})</f>
        <v>15000000</v>
      </c>
      <c r="J683" s="7" t="n">
        <f aca="false">I683*S683*T683*U683</f>
        <v>16560000</v>
      </c>
      <c r="K683" s="3"/>
      <c r="L683" s="3"/>
      <c r="M683" s="3"/>
      <c r="N683" s="9" t="n">
        <v>1</v>
      </c>
      <c r="O683" s="4" t="n">
        <v>0</v>
      </c>
      <c r="P683" s="5" t="n">
        <f aca="false">IF(COUNTIF([1]Base_Jugadores!J$2:J$500,B683)&gt;0,1,0)</f>
        <v>0</v>
      </c>
      <c r="Q683" s="10" t="b">
        <f aca="false">--(COUNTIFS(
   [1]Fichajes_Realizados!A$2:A$5000,A683,
   [1]Fichajes_Realizados!G$2:G$5000,$X$3
)&gt;0)</f>
        <v>0</v>
      </c>
      <c r="R683" s="5" t="n">
        <f aca="false">_xlfn.XLOOKUP(C683, [1]Estado_Equipos!A$2:A$500, [1]Estado_Equipos!J$2:J$500, "")</f>
        <v>81</v>
      </c>
      <c r="S683" s="5" t="n">
        <f aca="false">IF(H683&lt;=16,1.45,
IF(H683&gt;=41,0.3,
CHOOSE(ROUNDDOWN((H683-16)/2,0)+1,
1.45,1.38,1.3,1.23,1.17,1.15,1.12,1.05,0.95,0.8,0.6,0.4,0.3)))</f>
        <v>1.38</v>
      </c>
      <c r="T683" s="5" t="n">
        <f aca="false">CHOOSE(N683+1,1.2,1,0.85,0.7)</f>
        <v>1</v>
      </c>
      <c r="U683" s="5" t="n">
        <f aca="false">IF(F683="PO",0.6,
IF(F683="CT",0.75,
IF(F683="LI",0.8,
IF(F683="LD",0.8,
IF(F683="MCD",0.85,
IF(F683="MC",0.95,
IF(F683="MO",1.05,
IF(F683="EI",1.1,
IF(F683="ED",1.1,
IF(F683="SD",1.15,
IF(F683="DC",1.2,0)))))))))))</f>
        <v>0.8</v>
      </c>
    </row>
    <row r="684" customFormat="false" ht="16.4" hidden="false" customHeight="false" outlineLevel="0" collapsed="false">
      <c r="A684" s="1" t="n">
        <v>683</v>
      </c>
      <c r="B684" s="5" t="str">
        <f aca="false">[1]Base_Jugadores!B684</f>
        <v>Levi Colwill</v>
      </c>
      <c r="C684" s="5" t="str">
        <f aca="false">IFERROR(
   _xlfn.XLOOKUP(VALUE(A684),[1]Fichajes_Realizados!A$2:A$50000,[1]Fichajes_Realizados!D$2:D$50000,,0,-1),
   _xlfn.XLOOKUP(VALUE(A684),[1]Base_Jugadores!A$2:A$50000,[1]Base_Jugadores!C$2:C$50000)
)</f>
        <v>Chelsea FC</v>
      </c>
      <c r="D684" s="5" t="str">
        <f aca="false">[1]Base_Jugadores!D684</f>
        <v>Inglaterra</v>
      </c>
      <c r="E684" s="3"/>
      <c r="F684" s="5" t="str">
        <f aca="false">[1]Base_Jugadores!E684</f>
        <v>CT</v>
      </c>
      <c r="G684" s="5" t="n">
        <f aca="false">[1]Base_Jugadores!F684</f>
        <v>80</v>
      </c>
      <c r="H684" s="5" t="n">
        <f aca="false">[1]Base_Jugadores!G684</f>
        <v>22</v>
      </c>
      <c r="I684" s="7" t="n">
        <f aca="false" t="array" ref="I684:I684">_xlfn.XLOOKUP(G684,{55;56;57;58;59;60;61;62;63;64;65;66;67;68;69;70;71;72;73;74;75;76;77;78;79;80;81;82;83;84;85;86;87;88;89;90;91;92;93;94;95;96;97;98;99},{100000;130000;160000;190000;220000;250000;300000;350000;400000;450000;500000;600000;700000;800000;900000;1000000;1500000;2000000;3000000;4000000;5000000;6500000;8000000;10000000;12500000;15000000;20000000;25000000;30000000;35000000;40000000;55000000;70000000;80000000;90000000;110000000;130000000;160000000;190000000;220000000;250000000;280000000;310000000;340000000;400000000})</f>
        <v>15000000</v>
      </c>
      <c r="J684" s="7" t="n">
        <f aca="false">I684*S684*T684*U684</f>
        <v>16605000</v>
      </c>
      <c r="K684" s="3"/>
      <c r="L684" s="3"/>
      <c r="M684" s="3"/>
      <c r="N684" s="9" t="n">
        <v>0</v>
      </c>
      <c r="O684" s="4" t="n">
        <v>1</v>
      </c>
      <c r="P684" s="5" t="n">
        <f aca="false">IF(COUNTIF([1]Base_Jugadores!J$2:J$500,B684)&gt;0,1,0)</f>
        <v>0</v>
      </c>
      <c r="Q684" s="10" t="b">
        <f aca="false">--(COUNTIFS(
   [1]Fichajes_Realizados!A$2:A$5000,A684,
   [1]Fichajes_Realizados!G$2:G$5000,$X$3
)&gt;0)</f>
        <v>0</v>
      </c>
      <c r="R684" s="5" t="n">
        <f aca="false">_xlfn.XLOOKUP(C684, [1]Estado_Equipos!A$2:A$500, [1]Estado_Equipos!J$2:J$500, "")</f>
        <v>81</v>
      </c>
      <c r="S684" s="5" t="n">
        <f aca="false">IF(H684&lt;=16,1.45,
IF(H684&gt;=41,0.3,
CHOOSE(ROUNDDOWN((H684-16)/2,0)+1,
1.45,1.38,1.3,1.23,1.17,1.15,1.12,1.05,0.95,0.8,0.6,0.4,0.3)))</f>
        <v>1.23</v>
      </c>
      <c r="T684" s="5" t="n">
        <f aca="false">CHOOSE(N684+1,1.2,1,0.85,0.7)</f>
        <v>1.2</v>
      </c>
      <c r="U684" s="5" t="n">
        <f aca="false">IF(F684="PO",0.6,
IF(F684="CT",0.75,
IF(F684="LI",0.8,
IF(F684="LD",0.8,
IF(F684="MCD",0.85,
IF(F684="MC",0.95,
IF(F684="MO",1.05,
IF(F684="EI",1.1,
IF(F684="ED",1.1,
IF(F684="SD",1.15,
IF(F684="DC",1.2,0)))))))))))</f>
        <v>0.75</v>
      </c>
    </row>
    <row r="685" customFormat="false" ht="16.4" hidden="false" customHeight="false" outlineLevel="0" collapsed="false">
      <c r="A685" s="1" t="n">
        <v>684</v>
      </c>
      <c r="B685" s="5" t="str">
        <f aca="false">[1]Base_Jugadores!B685</f>
        <v>Liam Delap</v>
      </c>
      <c r="C685" s="5" t="str">
        <f aca="false">IFERROR(
   _xlfn.XLOOKUP(VALUE(A685),[1]Fichajes_Realizados!A$2:A$50000,[1]Fichajes_Realizados!D$2:D$50000,,0,-1),
   _xlfn.XLOOKUP(VALUE(A685),[1]Base_Jugadores!A$2:A$50000,[1]Base_Jugadores!C$2:C$50000)
)</f>
        <v>Chelsea FC</v>
      </c>
      <c r="D685" s="5" t="str">
        <f aca="false">[1]Base_Jugadores!D685</f>
        <v>Inglaterra</v>
      </c>
      <c r="E685" s="3"/>
      <c r="F685" s="5" t="str">
        <f aca="false">[1]Base_Jugadores!E685</f>
        <v>DC</v>
      </c>
      <c r="G685" s="5" t="n">
        <f aca="false">[1]Base_Jugadores!F685</f>
        <v>77</v>
      </c>
      <c r="H685" s="5" t="n">
        <f aca="false">[1]Base_Jugadores!G685</f>
        <v>22</v>
      </c>
      <c r="I685" s="7" t="n">
        <f aca="false" t="array" ref="I685:I685">_xlfn.XLOOKUP(G685,{55;56;57;58;59;60;61;62;63;64;65;66;67;68;69;70;71;72;73;74;75;76;77;78;79;80;81;82;83;84;85;86;87;88;89;90;91;92;93;94;95;96;97;98;99},{100000;130000;160000;190000;220000;250000;300000;350000;400000;450000;500000;600000;700000;800000;900000;1000000;1500000;2000000;3000000;4000000;5000000;6500000;8000000;10000000;12500000;15000000;20000000;25000000;30000000;35000000;40000000;55000000;70000000;80000000;90000000;110000000;130000000;160000000;190000000;220000000;250000000;280000000;310000000;340000000;400000000})</f>
        <v>8000000</v>
      </c>
      <c r="J685" s="7" t="n">
        <f aca="false">I685*S685*T685*U685</f>
        <v>10036800</v>
      </c>
      <c r="K685" s="3"/>
      <c r="L685" s="3"/>
      <c r="M685" s="3"/>
      <c r="N685" s="9" t="n">
        <v>2</v>
      </c>
      <c r="O685" s="4" t="n">
        <v>0</v>
      </c>
      <c r="P685" s="5" t="n">
        <f aca="false">IF(COUNTIF([1]Base_Jugadores!J$2:J$500,B685)&gt;0,1,0)</f>
        <v>0</v>
      </c>
      <c r="Q685" s="10" t="b">
        <f aca="false">--(COUNTIFS(
   [1]Fichajes_Realizados!A$2:A$5000,A685,
   [1]Fichajes_Realizados!G$2:G$5000,$X$3
)&gt;0)</f>
        <v>0</v>
      </c>
      <c r="R685" s="5" t="n">
        <f aca="false">_xlfn.XLOOKUP(C685, [1]Estado_Equipos!A$2:A$500, [1]Estado_Equipos!J$2:J$500, "")</f>
        <v>81</v>
      </c>
      <c r="S685" s="5" t="n">
        <f aca="false">IF(H685&lt;=16,1.45,
IF(H685&gt;=41,0.3,
CHOOSE(ROUNDDOWN((H685-16)/2,0)+1,
1.45,1.38,1.3,1.23,1.17,1.15,1.12,1.05,0.95,0.8,0.6,0.4,0.3)))</f>
        <v>1.23</v>
      </c>
      <c r="T685" s="5" t="n">
        <f aca="false">CHOOSE(N685+1,1.2,1,0.85,0.7)</f>
        <v>0.85</v>
      </c>
      <c r="U685" s="5" t="n">
        <f aca="false">IF(F685="PO",0.6,
IF(F685="CT",0.75,
IF(F685="LI",0.8,
IF(F685="LD",0.8,
IF(F685="MCD",0.85,
IF(F685="MC",0.95,
IF(F685="MO",1.05,
IF(F685="EI",1.1,
IF(F685="ED",1.1,
IF(F685="SD",1.15,
IF(F685="DC",1.2,0)))))))))))</f>
        <v>1.2</v>
      </c>
    </row>
    <row r="686" customFormat="false" ht="16.4" hidden="false" customHeight="false" outlineLevel="0" collapsed="false">
      <c r="A686" s="1" t="n">
        <v>685</v>
      </c>
      <c r="B686" s="5" t="str">
        <f aca="false">[1]Base_Jugadores!B686</f>
        <v>Malo Gusto</v>
      </c>
      <c r="C686" s="5" t="str">
        <f aca="false">IFERROR(
   _xlfn.XLOOKUP(VALUE(A686),[1]Fichajes_Realizados!A$2:A$50000,[1]Fichajes_Realizados!D$2:D$50000,,0,-1),
   _xlfn.XLOOKUP(VALUE(A686),[1]Base_Jugadores!A$2:A$50000,[1]Base_Jugadores!C$2:C$50000)
)</f>
        <v>Chelsea FC</v>
      </c>
      <c r="D686" s="5" t="str">
        <f aca="false">[1]Base_Jugadores!D686</f>
        <v>Francia</v>
      </c>
      <c r="E686" s="3"/>
      <c r="F686" s="5" t="str">
        <f aca="false">[1]Base_Jugadores!E686</f>
        <v>LD</v>
      </c>
      <c r="G686" s="5" t="n">
        <f aca="false">[1]Base_Jugadores!F686</f>
        <v>80</v>
      </c>
      <c r="H686" s="5" t="n">
        <f aca="false">[1]Base_Jugadores!G686</f>
        <v>22</v>
      </c>
      <c r="I686" s="7" t="n">
        <f aca="false" t="array" ref="I686:I686">_xlfn.XLOOKUP(G686,{55;56;57;58;59;60;61;62;63;64;65;66;67;68;69;70;71;72;73;74;75;76;77;78;79;80;81;82;83;84;85;86;87;88;89;90;91;92;93;94;95;96;97;98;99},{100000;130000;160000;190000;220000;250000;300000;350000;400000;450000;500000;600000;700000;800000;900000;1000000;1500000;2000000;3000000;4000000;5000000;6500000;8000000;10000000;12500000;15000000;20000000;25000000;30000000;35000000;40000000;55000000;70000000;80000000;90000000;110000000;130000000;160000000;190000000;220000000;250000000;280000000;310000000;340000000;400000000})</f>
        <v>15000000</v>
      </c>
      <c r="J686" s="7" t="n">
        <f aca="false">I686*S686*T686*U686</f>
        <v>14760000</v>
      </c>
      <c r="K686" s="3"/>
      <c r="L686" s="3"/>
      <c r="M686" s="3"/>
      <c r="N686" s="9" t="n">
        <v>1</v>
      </c>
      <c r="O686" s="4" t="n">
        <v>0</v>
      </c>
      <c r="P686" s="5" t="n">
        <f aca="false">IF(COUNTIF([1]Base_Jugadores!J$2:J$500,B686)&gt;0,1,0)</f>
        <v>0</v>
      </c>
      <c r="Q686" s="10" t="b">
        <f aca="false">--(COUNTIFS(
   [1]Fichajes_Realizados!A$2:A$5000,A686,
   [1]Fichajes_Realizados!G$2:G$5000,$X$3
)&gt;0)</f>
        <v>0</v>
      </c>
      <c r="R686" s="5" t="n">
        <f aca="false">_xlfn.XLOOKUP(C686, [1]Estado_Equipos!A$2:A$500, [1]Estado_Equipos!J$2:J$500, "")</f>
        <v>81</v>
      </c>
      <c r="S686" s="5" t="n">
        <f aca="false">IF(H686&lt;=16,1.45,
IF(H686&gt;=41,0.3,
CHOOSE(ROUNDDOWN((H686-16)/2,0)+1,
1.45,1.38,1.3,1.23,1.17,1.15,1.12,1.05,0.95,0.8,0.6,0.4,0.3)))</f>
        <v>1.23</v>
      </c>
      <c r="T686" s="5" t="n">
        <f aca="false">CHOOSE(N686+1,1.2,1,0.85,0.7)</f>
        <v>1</v>
      </c>
      <c r="U686" s="5" t="n">
        <f aca="false">IF(F686="PO",0.6,
IF(F686="CT",0.75,
IF(F686="LI",0.8,
IF(F686="LD",0.8,
IF(F686="MCD",0.85,
IF(F686="MC",0.95,
IF(F686="MO",1.05,
IF(F686="EI",1.1,
IF(F686="ED",1.1,
IF(F686="SD",1.15,
IF(F686="DC",1.2,0)))))))))))</f>
        <v>0.8</v>
      </c>
    </row>
    <row r="687" customFormat="false" ht="16.4" hidden="false" customHeight="false" outlineLevel="0" collapsed="false">
      <c r="A687" s="1" t="n">
        <v>686</v>
      </c>
      <c r="B687" s="5" t="str">
        <f aca="false">[1]Base_Jugadores!B687</f>
        <v>Marc Cucurella</v>
      </c>
      <c r="C687" s="5" t="str">
        <f aca="false">IFERROR(
   _xlfn.XLOOKUP(VALUE(A687),[1]Fichajes_Realizados!A$2:A$50000,[1]Fichajes_Realizados!D$2:D$50000,,0,-1),
   _xlfn.XLOOKUP(VALUE(A687),[1]Base_Jugadores!A$2:A$50000,[1]Base_Jugadores!C$2:C$50000)
)</f>
        <v>Chelsea FC</v>
      </c>
      <c r="D687" s="5" t="str">
        <f aca="false">[1]Base_Jugadores!D687</f>
        <v>España</v>
      </c>
      <c r="E687" s="3"/>
      <c r="F687" s="5" t="str">
        <f aca="false">[1]Base_Jugadores!E687</f>
        <v>LI</v>
      </c>
      <c r="G687" s="5" t="n">
        <f aca="false">[1]Base_Jugadores!F687</f>
        <v>83</v>
      </c>
      <c r="H687" s="5" t="n">
        <f aca="false">[1]Base_Jugadores!G687</f>
        <v>27</v>
      </c>
      <c r="I687" s="7" t="n">
        <f aca="false" t="array" ref="I687:I687">_xlfn.XLOOKUP(G687,{55;56;57;58;59;60;61;62;63;64;65;66;67;68;69;70;71;72;73;74;75;76;77;78;79;80;81;82;83;84;85;86;87;88;89;90;91;92;93;94;95;96;97;98;99},{100000;130000;160000;190000;220000;250000;300000;350000;400000;450000;500000;600000;700000;800000;900000;1000000;1500000;2000000;3000000;4000000;5000000;6500000;8000000;10000000;12500000;15000000;20000000;25000000;30000000;35000000;40000000;55000000;70000000;80000000;90000000;110000000;130000000;160000000;190000000;220000000;250000000;280000000;310000000;340000000;400000000})</f>
        <v>30000000</v>
      </c>
      <c r="J687" s="7" t="n">
        <f aca="false">I687*S687*T687*U687</f>
        <v>33120000</v>
      </c>
      <c r="K687" s="3"/>
      <c r="L687" s="3"/>
      <c r="M687" s="3"/>
      <c r="N687" s="9" t="n">
        <v>0</v>
      </c>
      <c r="O687" s="4" t="n">
        <v>0</v>
      </c>
      <c r="P687" s="5" t="n">
        <f aca="false">IF(COUNTIF([1]Base_Jugadores!J$2:J$500,B687)&gt;0,1,0)</f>
        <v>0</v>
      </c>
      <c r="Q687" s="10" t="b">
        <f aca="false">--(COUNTIFS(
   [1]Fichajes_Realizados!A$2:A$5000,A687,
   [1]Fichajes_Realizados!G$2:G$5000,$X$3
)&gt;0)</f>
        <v>0</v>
      </c>
      <c r="R687" s="5" t="n">
        <f aca="false">_xlfn.XLOOKUP(C687, [1]Estado_Equipos!A$2:A$500, [1]Estado_Equipos!J$2:J$500, "")</f>
        <v>81</v>
      </c>
      <c r="S687" s="5" t="n">
        <f aca="false">IF(H687&lt;=16,1.45,
IF(H687&gt;=41,0.3,
CHOOSE(ROUNDDOWN((H687-16)/2,0)+1,
1.45,1.38,1.3,1.23,1.17,1.15,1.12,1.05,0.95,0.8,0.6,0.4,0.3)))</f>
        <v>1.15</v>
      </c>
      <c r="T687" s="5" t="n">
        <f aca="false">CHOOSE(N687+1,1.2,1,0.85,0.7)</f>
        <v>1.2</v>
      </c>
      <c r="U687" s="5" t="n">
        <f aca="false">IF(F687="PO",0.6,
IF(F687="CT",0.75,
IF(F687="LI",0.8,
IF(F687="LD",0.8,
IF(F687="MCD",0.85,
IF(F687="MC",0.95,
IF(F687="MO",1.05,
IF(F687="EI",1.1,
IF(F687="ED",1.1,
IF(F687="SD",1.15,
IF(F687="DC",1.2,0)))))))))))</f>
        <v>0.8</v>
      </c>
    </row>
    <row r="688" customFormat="false" ht="16.4" hidden="false" customHeight="false" outlineLevel="0" collapsed="false">
      <c r="A688" s="1" t="n">
        <v>687</v>
      </c>
      <c r="B688" s="5" t="str">
        <f aca="false">[1]Base_Jugadores!B688</f>
        <v>Marc Guiu</v>
      </c>
      <c r="C688" s="5" t="str">
        <f aca="false">IFERROR(
   _xlfn.XLOOKUP(VALUE(A688),[1]Fichajes_Realizados!A$2:A$50000,[1]Fichajes_Realizados!D$2:D$50000,,0,-1),
   _xlfn.XLOOKUP(VALUE(A688),[1]Base_Jugadores!A$2:A$50000,[1]Base_Jugadores!C$2:C$50000)
)</f>
        <v>Chelsea FC</v>
      </c>
      <c r="D688" s="5" t="str">
        <f aca="false">[1]Base_Jugadores!D688</f>
        <v>España</v>
      </c>
      <c r="E688" s="3"/>
      <c r="F688" s="5" t="str">
        <f aca="false">[1]Base_Jugadores!E688</f>
        <v>DC</v>
      </c>
      <c r="G688" s="5" t="n">
        <f aca="false">[1]Base_Jugadores!F688</f>
        <v>69</v>
      </c>
      <c r="H688" s="5" t="n">
        <f aca="false">[1]Base_Jugadores!G688</f>
        <v>19</v>
      </c>
      <c r="I688" s="7" t="n">
        <f aca="false" t="array" ref="I688:I688">_xlfn.XLOOKUP(G688,{55;56;57;58;59;60;61;62;63;64;65;66;67;68;69;70;71;72;73;74;75;76;77;78;79;80;81;82;83;84;85;86;87;88;89;90;91;92;93;94;95;96;97;98;99},{100000;130000;160000;190000;220000;250000;300000;350000;400000;450000;500000;600000;700000;800000;900000;1000000;1500000;2000000;3000000;4000000;5000000;6500000;8000000;10000000;12500000;15000000;20000000;25000000;30000000;35000000;40000000;55000000;70000000;80000000;90000000;110000000;130000000;160000000;190000000;220000000;250000000;280000000;310000000;340000000;400000000})</f>
        <v>900000</v>
      </c>
      <c r="J688" s="7" t="n">
        <f aca="false">I688*S688*T688*U688</f>
        <v>1266840</v>
      </c>
      <c r="K688" s="3"/>
      <c r="L688" s="3"/>
      <c r="M688" s="3"/>
      <c r="N688" s="9" t="n">
        <v>2</v>
      </c>
      <c r="O688" s="4" t="n">
        <v>0</v>
      </c>
      <c r="P688" s="5" t="n">
        <f aca="false">IF(COUNTIF([1]Base_Jugadores!J$2:J$500,B688)&gt;0,1,0)</f>
        <v>0</v>
      </c>
      <c r="Q688" s="10" t="b">
        <f aca="false">--(COUNTIFS(
   [1]Fichajes_Realizados!A$2:A$5000,A688,
   [1]Fichajes_Realizados!G$2:G$5000,$X$3
)&gt;0)</f>
        <v>0</v>
      </c>
      <c r="R688" s="5" t="n">
        <f aca="false">_xlfn.XLOOKUP(C688, [1]Estado_Equipos!A$2:A$500, [1]Estado_Equipos!J$2:J$500, "")</f>
        <v>81</v>
      </c>
      <c r="S688" s="5" t="n">
        <f aca="false">IF(H688&lt;=16,1.45,
IF(H688&gt;=41,0.3,
CHOOSE(ROUNDDOWN((H688-16)/2,0)+1,
1.45,1.38,1.3,1.23,1.17,1.15,1.12,1.05,0.95,0.8,0.6,0.4,0.3)))</f>
        <v>1.38</v>
      </c>
      <c r="T688" s="5" t="n">
        <f aca="false">CHOOSE(N688+1,1.2,1,0.85,0.7)</f>
        <v>0.85</v>
      </c>
      <c r="U688" s="5" t="n">
        <f aca="false">IF(F688="PO",0.6,
IF(F688="CT",0.75,
IF(F688="LI",0.8,
IF(F688="LD",0.8,
IF(F688="MCD",0.85,
IF(F688="MC",0.95,
IF(F688="MO",1.05,
IF(F688="EI",1.1,
IF(F688="ED",1.1,
IF(F688="SD",1.15,
IF(F688="DC",1.2,0)))))))))))</f>
        <v>1.2</v>
      </c>
    </row>
    <row r="689" customFormat="false" ht="16.4" hidden="false" customHeight="false" outlineLevel="0" collapsed="false">
      <c r="A689" s="1" t="n">
        <v>688</v>
      </c>
      <c r="B689" s="5" t="str">
        <f aca="false">[1]Base_Jugadores!B689</f>
        <v>Moisés Caicedo</v>
      </c>
      <c r="C689" s="5" t="str">
        <f aca="false">IFERROR(
   _xlfn.XLOOKUP(VALUE(A689),[1]Fichajes_Realizados!A$2:A$50000,[1]Fichajes_Realizados!D$2:D$50000,,0,-1),
   _xlfn.XLOOKUP(VALUE(A689),[1]Base_Jugadores!A$2:A$50000,[1]Base_Jugadores!C$2:C$50000)
)</f>
        <v>Chelsea FC</v>
      </c>
      <c r="D689" s="5" t="str">
        <f aca="false">[1]Base_Jugadores!D689</f>
        <v>Ecuador</v>
      </c>
      <c r="E689" s="3"/>
      <c r="F689" s="5" t="str">
        <f aca="false">[1]Base_Jugadores!E689</f>
        <v>MCD</v>
      </c>
      <c r="G689" s="5" t="n">
        <f aca="false">[1]Base_Jugadores!F689</f>
        <v>85</v>
      </c>
      <c r="H689" s="5" t="n">
        <f aca="false">[1]Base_Jugadores!G689</f>
        <v>24</v>
      </c>
      <c r="I689" s="7" t="n">
        <f aca="false" t="array" ref="I689:I689">_xlfn.XLOOKUP(G689,{55;56;57;58;59;60;61;62;63;64;65;66;67;68;69;70;71;72;73;74;75;76;77;78;79;80;81;82;83;84;85;86;87;88;89;90;91;92;93;94;95;96;97;98;99},{100000;130000;160000;190000;220000;250000;300000;350000;400000;450000;500000;600000;700000;800000;900000;1000000;1500000;2000000;3000000;4000000;5000000;6500000;8000000;10000000;12500000;15000000;20000000;25000000;30000000;35000000;40000000;55000000;70000000;80000000;90000000;110000000;130000000;160000000;190000000;220000000;250000000;280000000;310000000;340000000;400000000})</f>
        <v>40000000</v>
      </c>
      <c r="J689" s="7" t="n">
        <f aca="false">I689*S689*T689*U689</f>
        <v>47736000</v>
      </c>
      <c r="K689" s="3"/>
      <c r="L689" s="3"/>
      <c r="M689" s="3"/>
      <c r="N689" s="9" t="n">
        <v>0</v>
      </c>
      <c r="O689" s="4" t="n">
        <v>0</v>
      </c>
      <c r="P689" s="5" t="n">
        <f aca="false">IF(COUNTIF([1]Base_Jugadores!J$2:J$500,B689)&gt;0,1,0)</f>
        <v>0</v>
      </c>
      <c r="Q689" s="10" t="b">
        <f aca="false">--(COUNTIFS(
   [1]Fichajes_Realizados!A$2:A$5000,A689,
   [1]Fichajes_Realizados!G$2:G$5000,$X$3
)&gt;0)</f>
        <v>0</v>
      </c>
      <c r="R689" s="5" t="n">
        <f aca="false">_xlfn.XLOOKUP(C689, [1]Estado_Equipos!A$2:A$500, [1]Estado_Equipos!J$2:J$500, "")</f>
        <v>81</v>
      </c>
      <c r="S689" s="5" t="n">
        <f aca="false">IF(H689&lt;=16,1.45,
IF(H689&gt;=41,0.3,
CHOOSE(ROUNDDOWN((H689-16)/2,0)+1,
1.45,1.38,1.3,1.23,1.17,1.15,1.12,1.05,0.95,0.8,0.6,0.4,0.3)))</f>
        <v>1.17</v>
      </c>
      <c r="T689" s="5" t="n">
        <f aca="false">CHOOSE(N689+1,1.2,1,0.85,0.7)</f>
        <v>1.2</v>
      </c>
      <c r="U689" s="5" t="n">
        <f aca="false">IF(F689="PO",0.6,
IF(F689="CT",0.75,
IF(F689="LI",0.8,
IF(F689="LD",0.8,
IF(F689="MCD",0.85,
IF(F689="MC",0.95,
IF(F689="MO",1.05,
IF(F689="EI",1.1,
IF(F689="ED",1.1,
IF(F689="SD",1.15,
IF(F689="DC",1.2,0)))))))))))</f>
        <v>0.85</v>
      </c>
    </row>
    <row r="690" customFormat="false" ht="16.4" hidden="false" customHeight="false" outlineLevel="0" collapsed="false">
      <c r="A690" s="1" t="n">
        <v>689</v>
      </c>
      <c r="B690" s="5" t="str">
        <f aca="false">[1]Base_Jugadores!B690</f>
        <v>Mykhaylo Mudryk</v>
      </c>
      <c r="C690" s="5" t="str">
        <f aca="false">IFERROR(
   _xlfn.XLOOKUP(VALUE(A690),[1]Fichajes_Realizados!A$2:A$50000,[1]Fichajes_Realizados!D$2:D$50000,,0,-1),
   _xlfn.XLOOKUP(VALUE(A690),[1]Base_Jugadores!A$2:A$50000,[1]Base_Jugadores!C$2:C$50000)
)</f>
        <v>Chelsea FC</v>
      </c>
      <c r="D690" s="5" t="str">
        <f aca="false">[1]Base_Jugadores!D690</f>
        <v>Ucrania</v>
      </c>
      <c r="E690" s="3"/>
      <c r="F690" s="5" t="str">
        <f aca="false">[1]Base_Jugadores!E690</f>
        <v>EI</v>
      </c>
      <c r="G690" s="5" t="n">
        <f aca="false">[1]Base_Jugadores!F690</f>
        <v>77</v>
      </c>
      <c r="H690" s="5" t="n">
        <f aca="false">[1]Base_Jugadores!G690</f>
        <v>24</v>
      </c>
      <c r="I690" s="7" t="n">
        <f aca="false" t="array" ref="I690:I690">_xlfn.XLOOKUP(G690,{55;56;57;58;59;60;61;62;63;64;65;66;67;68;69;70;71;72;73;74;75;76;77;78;79;80;81;82;83;84;85;86;87;88;89;90;91;92;93;94;95;96;97;98;99},{100000;130000;160000;190000;220000;250000;300000;350000;400000;450000;500000;600000;700000;800000;900000;1000000;1500000;2000000;3000000;4000000;5000000;6500000;8000000;10000000;12500000;15000000;20000000;25000000;30000000;35000000;40000000;55000000;70000000;80000000;90000000;110000000;130000000;160000000;190000000;220000000;250000000;280000000;310000000;340000000;400000000})</f>
        <v>8000000</v>
      </c>
      <c r="J690" s="7" t="n">
        <f aca="false">I690*S690*T690*U690</f>
        <v>7207200</v>
      </c>
      <c r="K690" s="3"/>
      <c r="L690" s="3"/>
      <c r="M690" s="3"/>
      <c r="N690" s="9" t="n">
        <v>3</v>
      </c>
      <c r="O690" s="4" t="n">
        <v>0</v>
      </c>
      <c r="P690" s="5" t="n">
        <f aca="false">IF(COUNTIF([1]Base_Jugadores!J$2:J$500,B690)&gt;0,1,0)</f>
        <v>0</v>
      </c>
      <c r="Q690" s="10" t="b">
        <f aca="false">--(COUNTIFS(
   [1]Fichajes_Realizados!A$2:A$5000,A690,
   [1]Fichajes_Realizados!G$2:G$5000,$X$3
)&gt;0)</f>
        <v>0</v>
      </c>
      <c r="R690" s="5" t="n">
        <f aca="false">_xlfn.XLOOKUP(C690, [1]Estado_Equipos!A$2:A$500, [1]Estado_Equipos!J$2:J$500, "")</f>
        <v>81</v>
      </c>
      <c r="S690" s="5" t="n">
        <f aca="false">IF(H690&lt;=16,1.45,
IF(H690&gt;=41,0.3,
CHOOSE(ROUNDDOWN((H690-16)/2,0)+1,
1.45,1.38,1.3,1.23,1.17,1.15,1.12,1.05,0.95,0.8,0.6,0.4,0.3)))</f>
        <v>1.17</v>
      </c>
      <c r="T690" s="5" t="n">
        <f aca="false">CHOOSE(N690+1,1.2,1,0.85,0.7)</f>
        <v>0.7</v>
      </c>
      <c r="U690" s="5" t="n">
        <f aca="false">IF(F690="PO",0.6,
IF(F690="CT",0.75,
IF(F690="LI",0.8,
IF(F690="LD",0.8,
IF(F690="MCD",0.85,
IF(F690="MC",0.95,
IF(F690="MO",1.05,
IF(F690="EI",1.1,
IF(F690="ED",1.1,
IF(F690="SD",1.15,
IF(F690="DC",1.2,0)))))))))))</f>
        <v>1.1</v>
      </c>
    </row>
    <row r="691" customFormat="false" ht="16.4" hidden="false" customHeight="false" outlineLevel="0" collapsed="false">
      <c r="A691" s="1" t="n">
        <v>690</v>
      </c>
      <c r="B691" s="5" t="str">
        <f aca="false">[1]Base_Jugadores!B691</f>
        <v>Pedro Neto</v>
      </c>
      <c r="C691" s="5" t="str">
        <f aca="false">IFERROR(
   _xlfn.XLOOKUP(VALUE(A691),[1]Fichajes_Realizados!A$2:A$50000,[1]Fichajes_Realizados!D$2:D$50000,,0,-1),
   _xlfn.XLOOKUP(VALUE(A691),[1]Base_Jugadores!A$2:A$50000,[1]Base_Jugadores!C$2:C$50000)
)</f>
        <v>Chelsea FC</v>
      </c>
      <c r="D691" s="5" t="str">
        <f aca="false">[1]Base_Jugadores!D691</f>
        <v>Portugal</v>
      </c>
      <c r="E691" s="3"/>
      <c r="F691" s="5" t="str">
        <f aca="false">[1]Base_Jugadores!E691</f>
        <v>ED</v>
      </c>
      <c r="G691" s="5" t="n">
        <f aca="false">[1]Base_Jugadores!F691</f>
        <v>81</v>
      </c>
      <c r="H691" s="5" t="n">
        <f aca="false">[1]Base_Jugadores!G691</f>
        <v>25</v>
      </c>
      <c r="I691" s="7" t="n">
        <f aca="false" t="array" ref="I691:I691">_xlfn.XLOOKUP(G691,{55;56;57;58;59;60;61;62;63;64;65;66;67;68;69;70;71;72;73;74;75;76;77;78;79;80;81;82;83;84;85;86;87;88;89;90;91;92;93;94;95;96;97;98;99},{100000;130000;160000;190000;220000;250000;300000;350000;400000;450000;500000;600000;700000;800000;900000;1000000;1500000;2000000;3000000;4000000;5000000;6500000;8000000;10000000;12500000;15000000;20000000;25000000;30000000;35000000;40000000;55000000;70000000;80000000;90000000;110000000;130000000;160000000;190000000;220000000;250000000;280000000;310000000;340000000;400000000})</f>
        <v>20000000</v>
      </c>
      <c r="J691" s="7" t="n">
        <f aca="false">I691*S691*T691*U691</f>
        <v>25740000</v>
      </c>
      <c r="K691" s="3"/>
      <c r="L691" s="3"/>
      <c r="M691" s="3"/>
      <c r="N691" s="9" t="n">
        <v>1</v>
      </c>
      <c r="O691" s="4" t="n">
        <v>0</v>
      </c>
      <c r="P691" s="5" t="n">
        <f aca="false">IF(COUNTIF([1]Base_Jugadores!J$2:J$500,B691)&gt;0,1,0)</f>
        <v>0</v>
      </c>
      <c r="Q691" s="10" t="b">
        <f aca="false">--(COUNTIFS(
   [1]Fichajes_Realizados!A$2:A$5000,A691,
   [1]Fichajes_Realizados!G$2:G$5000,$X$3
)&gt;0)</f>
        <v>0</v>
      </c>
      <c r="R691" s="5" t="n">
        <f aca="false">_xlfn.XLOOKUP(C691, [1]Estado_Equipos!A$2:A$500, [1]Estado_Equipos!J$2:J$500, "")</f>
        <v>81</v>
      </c>
      <c r="S691" s="5" t="n">
        <f aca="false">IF(H691&lt;=16,1.45,
IF(H691&gt;=41,0.3,
CHOOSE(ROUNDDOWN((H691-16)/2,0)+1,
1.45,1.38,1.3,1.23,1.17,1.15,1.12,1.05,0.95,0.8,0.6,0.4,0.3)))</f>
        <v>1.17</v>
      </c>
      <c r="T691" s="5" t="n">
        <f aca="false">CHOOSE(N691+1,1.2,1,0.85,0.7)</f>
        <v>1</v>
      </c>
      <c r="U691" s="5" t="n">
        <f aca="false">IF(F691="PO",0.6,
IF(F691="CT",0.75,
IF(F691="LI",0.8,
IF(F691="LD",0.8,
IF(F691="MCD",0.85,
IF(F691="MC",0.95,
IF(F691="MO",1.05,
IF(F691="EI",1.1,
IF(F691="ED",1.1,
IF(F691="SD",1.15,
IF(F691="DC",1.2,0)))))))))))</f>
        <v>1.1</v>
      </c>
    </row>
    <row r="692" customFormat="false" ht="16.4" hidden="false" customHeight="false" outlineLevel="0" collapsed="false">
      <c r="A692" s="1" t="n">
        <v>691</v>
      </c>
      <c r="B692" s="5" t="str">
        <f aca="false">[1]Base_Jugadores!B692</f>
        <v>Raheem Sterling</v>
      </c>
      <c r="C692" s="5" t="str">
        <f aca="false">IFERROR(
   _xlfn.XLOOKUP(VALUE(A692),[1]Fichajes_Realizados!A$2:A$50000,[1]Fichajes_Realizados!D$2:D$50000,,0,-1),
   _xlfn.XLOOKUP(VALUE(A692),[1]Base_Jugadores!A$2:A$50000,[1]Base_Jugadores!C$2:C$50000)
)</f>
        <v>Chelsea FC</v>
      </c>
      <c r="D692" s="5" t="str">
        <f aca="false">[1]Base_Jugadores!D692</f>
        <v>Inglaterra</v>
      </c>
      <c r="E692" s="3"/>
      <c r="F692" s="5" t="str">
        <f aca="false">[1]Base_Jugadores!E692</f>
        <v>ED</v>
      </c>
      <c r="G692" s="5" t="n">
        <f aca="false">[1]Base_Jugadores!F692</f>
        <v>82</v>
      </c>
      <c r="H692" s="5" t="n">
        <f aca="false">[1]Base_Jugadores!G692</f>
        <v>31</v>
      </c>
      <c r="I692" s="7" t="n">
        <f aca="false" t="array" ref="I692:I692">_xlfn.XLOOKUP(G692,{55;56;57;58;59;60;61;62;63;64;65;66;67;68;69;70;71;72;73;74;75;76;77;78;79;80;81;82;83;84;85;86;87;88;89;90;91;92;93;94;95;96;97;98;99},{100000;130000;160000;190000;220000;250000;300000;350000;400000;450000;500000;600000;700000;800000;900000;1000000;1500000;2000000;3000000;4000000;5000000;6500000;8000000;10000000;12500000;15000000;20000000;25000000;30000000;35000000;40000000;55000000;70000000;80000000;90000000;110000000;130000000;160000000;190000000;220000000;250000000;280000000;310000000;340000000;400000000})</f>
        <v>25000000</v>
      </c>
      <c r="J692" s="7" t="n">
        <f aca="false">I692*S692*T692*U692</f>
        <v>34650000</v>
      </c>
      <c r="K692" s="3"/>
      <c r="L692" s="3"/>
      <c r="M692" s="3"/>
      <c r="N692" s="9" t="n">
        <v>0</v>
      </c>
      <c r="O692" s="4" t="n">
        <v>0</v>
      </c>
      <c r="P692" s="5" t="n">
        <f aca="false">IF(COUNTIF([1]Base_Jugadores!J$2:J$500,B692)&gt;0,1,0)</f>
        <v>0</v>
      </c>
      <c r="Q692" s="10" t="b">
        <f aca="false">--(COUNTIFS(
   [1]Fichajes_Realizados!A$2:A$5000,A692,
   [1]Fichajes_Realizados!G$2:G$5000,$X$3
)&gt;0)</f>
        <v>0</v>
      </c>
      <c r="R692" s="5" t="n">
        <f aca="false">_xlfn.XLOOKUP(C692, [1]Estado_Equipos!A$2:A$500, [1]Estado_Equipos!J$2:J$500, "")</f>
        <v>81</v>
      </c>
      <c r="S692" s="5" t="n">
        <f aca="false">IF(H692&lt;=16,1.45,
IF(H692&gt;=41,0.3,
CHOOSE(ROUNDDOWN((H692-16)/2,0)+1,
1.45,1.38,1.3,1.23,1.17,1.15,1.12,1.05,0.95,0.8,0.6,0.4,0.3)))</f>
        <v>1.05</v>
      </c>
      <c r="T692" s="5" t="n">
        <f aca="false">CHOOSE(N692+1,1.2,1,0.85,0.7)</f>
        <v>1.2</v>
      </c>
      <c r="U692" s="5" t="n">
        <f aca="false">IF(F692="PO",0.6,
IF(F692="CT",0.75,
IF(F692="LI",0.8,
IF(F692="LD",0.8,
IF(F692="MCD",0.85,
IF(F692="MC",0.95,
IF(F692="MO",1.05,
IF(F692="EI",1.1,
IF(F692="ED",1.1,
IF(F692="SD",1.15,
IF(F692="DC",1.2,0)))))))))))</f>
        <v>1.1</v>
      </c>
    </row>
    <row r="693" customFormat="false" ht="16.4" hidden="false" customHeight="false" outlineLevel="0" collapsed="false">
      <c r="A693" s="1" t="n">
        <v>692</v>
      </c>
      <c r="B693" s="5" t="str">
        <f aca="false">[1]Base_Jugadores!B693</f>
        <v>Reece James</v>
      </c>
      <c r="C693" s="5" t="str">
        <f aca="false">IFERROR(
   _xlfn.XLOOKUP(VALUE(A693),[1]Fichajes_Realizados!A$2:A$50000,[1]Fichajes_Realizados!D$2:D$50000,,0,-1),
   _xlfn.XLOOKUP(VALUE(A693),[1]Base_Jugadores!A$2:A$50000,[1]Base_Jugadores!C$2:C$50000)
)</f>
        <v>Chelsea FC</v>
      </c>
      <c r="D693" s="5" t="str">
        <f aca="false">[1]Base_Jugadores!D693</f>
        <v>Inglaterra</v>
      </c>
      <c r="E693" s="3"/>
      <c r="F693" s="5" t="str">
        <f aca="false">[1]Base_Jugadores!E693</f>
        <v>LD</v>
      </c>
      <c r="G693" s="5" t="n">
        <f aca="false">[1]Base_Jugadores!F693</f>
        <v>82</v>
      </c>
      <c r="H693" s="5" t="n">
        <f aca="false">[1]Base_Jugadores!G693</f>
        <v>26</v>
      </c>
      <c r="I693" s="7" t="n">
        <f aca="false" t="array" ref="I693:I693">_xlfn.XLOOKUP(G693,{55;56;57;58;59;60;61;62;63;64;65;66;67;68;69;70;71;72;73;74;75;76;77;78;79;80;81;82;83;84;85;86;87;88;89;90;91;92;93;94;95;96;97;98;99},{100000;130000;160000;190000;220000;250000;300000;350000;400000;450000;500000;600000;700000;800000;900000;1000000;1500000;2000000;3000000;4000000;5000000;6500000;8000000;10000000;12500000;15000000;20000000;25000000;30000000;35000000;40000000;55000000;70000000;80000000;90000000;110000000;130000000;160000000;190000000;220000000;250000000;280000000;310000000;340000000;400000000})</f>
        <v>25000000</v>
      </c>
      <c r="J693" s="7" t="n">
        <f aca="false">I693*S693*T693*U693</f>
        <v>27600000</v>
      </c>
      <c r="K693" s="3"/>
      <c r="L693" s="3"/>
      <c r="M693" s="3"/>
      <c r="N693" s="9" t="n">
        <v>0</v>
      </c>
      <c r="O693" s="4" t="n">
        <v>0</v>
      </c>
      <c r="P693" s="5" t="n">
        <f aca="false">IF(COUNTIF([1]Base_Jugadores!J$2:J$500,B693)&gt;0,1,0)</f>
        <v>0</v>
      </c>
      <c r="Q693" s="10" t="b">
        <f aca="false">--(COUNTIFS(
   [1]Fichajes_Realizados!A$2:A$5000,A693,
   [1]Fichajes_Realizados!G$2:G$5000,$X$3
)&gt;0)</f>
        <v>0</v>
      </c>
      <c r="R693" s="5" t="n">
        <f aca="false">_xlfn.XLOOKUP(C693, [1]Estado_Equipos!A$2:A$500, [1]Estado_Equipos!J$2:J$500, "")</f>
        <v>81</v>
      </c>
      <c r="S693" s="5" t="n">
        <f aca="false">IF(H693&lt;=16,1.45,
IF(H693&gt;=41,0.3,
CHOOSE(ROUNDDOWN((H693-16)/2,0)+1,
1.45,1.38,1.3,1.23,1.17,1.15,1.12,1.05,0.95,0.8,0.6,0.4,0.3)))</f>
        <v>1.15</v>
      </c>
      <c r="T693" s="5" t="n">
        <f aca="false">CHOOSE(N693+1,1.2,1,0.85,0.7)</f>
        <v>1.2</v>
      </c>
      <c r="U693" s="5" t="n">
        <f aca="false">IF(F693="PO",0.6,
IF(F693="CT",0.75,
IF(F693="LI",0.8,
IF(F693="LD",0.8,
IF(F693="MCD",0.85,
IF(F693="MC",0.95,
IF(F693="MO",1.05,
IF(F693="EI",1.1,
IF(F693="ED",1.1,
IF(F693="SD",1.15,
IF(F693="DC",1.2,0)))))))))))</f>
        <v>0.8</v>
      </c>
    </row>
    <row r="694" customFormat="false" ht="16.4" hidden="false" customHeight="false" outlineLevel="0" collapsed="false">
      <c r="A694" s="1" t="n">
        <v>693</v>
      </c>
      <c r="B694" s="5" t="str">
        <f aca="false">[1]Base_Jugadores!B694</f>
        <v>Reggie Walsh</v>
      </c>
      <c r="C694" s="5" t="str">
        <f aca="false">IFERROR(
   _xlfn.XLOOKUP(VALUE(A694),[1]Fichajes_Realizados!A$2:A$50000,[1]Fichajes_Realizados!D$2:D$50000,,0,-1),
   _xlfn.XLOOKUP(VALUE(A694),[1]Base_Jugadores!A$2:A$50000,[1]Base_Jugadores!C$2:C$50000)
)</f>
        <v>Chelsea FC</v>
      </c>
      <c r="D694" s="5" t="str">
        <f aca="false">[1]Base_Jugadores!D694</f>
        <v>Inglaterra</v>
      </c>
      <c r="E694" s="3"/>
      <c r="F694" s="5" t="str">
        <f aca="false">[1]Base_Jugadores!E694</f>
        <v>MC</v>
      </c>
      <c r="G694" s="5" t="n">
        <f aca="false">[1]Base_Jugadores!F694</f>
        <v>58</v>
      </c>
      <c r="H694" s="5" t="n">
        <f aca="false">[1]Base_Jugadores!G694</f>
        <v>17</v>
      </c>
      <c r="I694" s="7" t="n">
        <f aca="false" t="array" ref="I694:I694">_xlfn.XLOOKUP(G694,{55;56;57;58;59;60;61;62;63;64;65;66;67;68;69;70;71;72;73;74;75;76;77;78;79;80;81;82;83;84;85;86;87;88;89;90;91;92;93;94;95;96;97;98;99},{100000;130000;160000;190000;220000;250000;300000;350000;400000;450000;500000;600000;700000;800000;900000;1000000;1500000;2000000;3000000;4000000;5000000;6500000;8000000;10000000;12500000;15000000;20000000;25000000;30000000;35000000;40000000;55000000;70000000;80000000;90000000;110000000;130000000;160000000;190000000;220000000;250000000;280000000;310000000;340000000;400000000})</f>
        <v>190000</v>
      </c>
      <c r="J694" s="7" t="n">
        <f aca="false">I694*S694*T694*U694</f>
        <v>222466.25</v>
      </c>
      <c r="K694" s="3"/>
      <c r="L694" s="3"/>
      <c r="M694" s="3"/>
      <c r="N694" s="9" t="n">
        <v>2</v>
      </c>
      <c r="O694" s="4" t="n">
        <v>0</v>
      </c>
      <c r="P694" s="5" t="n">
        <f aca="false">IF(COUNTIF([1]Base_Jugadores!J$2:J$500,B694)&gt;0,1,0)</f>
        <v>0</v>
      </c>
      <c r="Q694" s="10" t="b">
        <f aca="false">--(COUNTIFS(
   [1]Fichajes_Realizados!A$2:A$5000,A694,
   [1]Fichajes_Realizados!G$2:G$5000,$X$3
)&gt;0)</f>
        <v>0</v>
      </c>
      <c r="R694" s="5" t="n">
        <f aca="false">_xlfn.XLOOKUP(C694, [1]Estado_Equipos!A$2:A$500, [1]Estado_Equipos!J$2:J$500, "")</f>
        <v>81</v>
      </c>
      <c r="S694" s="5" t="n">
        <f aca="false">IF(H694&lt;=16,1.45,
IF(H694&gt;=41,0.3,
CHOOSE(ROUNDDOWN((H694-16)/2,0)+1,
1.45,1.38,1.3,1.23,1.17,1.15,1.12,1.05,0.95,0.8,0.6,0.4,0.3)))</f>
        <v>1.45</v>
      </c>
      <c r="T694" s="5" t="n">
        <f aca="false">CHOOSE(N694+1,1.2,1,0.85,0.7)</f>
        <v>0.85</v>
      </c>
      <c r="U694" s="5" t="n">
        <f aca="false">IF(F694="PO",0.6,
IF(F694="CT",0.75,
IF(F694="LI",0.8,
IF(F694="LD",0.8,
IF(F694="MCD",0.85,
IF(F694="MC",0.95,
IF(F694="MO",1.05,
IF(F694="EI",1.1,
IF(F694="ED",1.1,
IF(F694="SD",1.15,
IF(F694="DC",1.2,0)))))))))))</f>
        <v>0.95</v>
      </c>
    </row>
    <row r="695" customFormat="false" ht="16.4" hidden="false" customHeight="false" outlineLevel="0" collapsed="false">
      <c r="A695" s="1" t="n">
        <v>694</v>
      </c>
      <c r="B695" s="5" t="str">
        <f aca="false">[1]Base_Jugadores!B695</f>
        <v>Robert Sánchez</v>
      </c>
      <c r="C695" s="5" t="str">
        <f aca="false">IFERROR(
   _xlfn.XLOOKUP(VALUE(A695),[1]Fichajes_Realizados!A$2:A$50000,[1]Fichajes_Realizados!D$2:D$50000,,0,-1),
   _xlfn.XLOOKUP(VALUE(A695),[1]Base_Jugadores!A$2:A$50000,[1]Base_Jugadores!C$2:C$50000)
)</f>
        <v>Chelsea FC</v>
      </c>
      <c r="D695" s="5" t="str">
        <f aca="false">[1]Base_Jugadores!D695</f>
        <v>España</v>
      </c>
      <c r="E695" s="3"/>
      <c r="F695" s="5" t="str">
        <f aca="false">[1]Base_Jugadores!E695</f>
        <v>PO</v>
      </c>
      <c r="G695" s="5" t="n">
        <f aca="false">[1]Base_Jugadores!F695</f>
        <v>79</v>
      </c>
      <c r="H695" s="5" t="n">
        <f aca="false">[1]Base_Jugadores!G695</f>
        <v>28</v>
      </c>
      <c r="I695" s="7" t="n">
        <f aca="false" t="array" ref="I695:I695">_xlfn.XLOOKUP(G695,{55;56;57;58;59;60;61;62;63;64;65;66;67;68;69;70;71;72;73;74;75;76;77;78;79;80;81;82;83;84;85;86;87;88;89;90;91;92;93;94;95;96;97;98;99},{100000;130000;160000;190000;220000;250000;300000;350000;400000;450000;500000;600000;700000;800000;900000;1000000;1500000;2000000;3000000;4000000;5000000;6500000;8000000;10000000;12500000;15000000;20000000;25000000;30000000;35000000;40000000;55000000;70000000;80000000;90000000;110000000;130000000;160000000;190000000;220000000;250000000;280000000;310000000;340000000;400000000})</f>
        <v>12500000</v>
      </c>
      <c r="J695" s="7" t="n">
        <f aca="false">I695*S695*T695*U695</f>
        <v>10080000</v>
      </c>
      <c r="K695" s="3"/>
      <c r="L695" s="3"/>
      <c r="M695" s="3"/>
      <c r="N695" s="9" t="n">
        <v>0</v>
      </c>
      <c r="O695" s="4" t="n">
        <v>0</v>
      </c>
      <c r="P695" s="5" t="n">
        <f aca="false">IF(COUNTIF([1]Base_Jugadores!J$2:J$500,B695)&gt;0,1,0)</f>
        <v>0</v>
      </c>
      <c r="Q695" s="10" t="b">
        <f aca="false">--(COUNTIFS(
   [1]Fichajes_Realizados!A$2:A$5000,A695,
   [1]Fichajes_Realizados!G$2:G$5000,$X$3
)&gt;0)</f>
        <v>0</v>
      </c>
      <c r="R695" s="5" t="n">
        <f aca="false">_xlfn.XLOOKUP(C695, [1]Estado_Equipos!A$2:A$500, [1]Estado_Equipos!J$2:J$500, "")</f>
        <v>81</v>
      </c>
      <c r="S695" s="5" t="n">
        <f aca="false">IF(H695&lt;=16,1.45,
IF(H695&gt;=41,0.3,
CHOOSE(ROUNDDOWN((H695-16)/2,0)+1,
1.45,1.38,1.3,1.23,1.17,1.15,1.12,1.05,0.95,0.8,0.6,0.4,0.3)))</f>
        <v>1.12</v>
      </c>
      <c r="T695" s="5" t="n">
        <f aca="false">CHOOSE(N695+1,1.2,1,0.85,0.7)</f>
        <v>1.2</v>
      </c>
      <c r="U695" s="5" t="n">
        <f aca="false">IF(F695="PO",0.6,
IF(F695="CT",0.75,
IF(F695="LI",0.8,
IF(F695="LD",0.8,
IF(F695="MCD",0.85,
IF(F695="MC",0.95,
IF(F695="MO",1.05,
IF(F695="EI",1.1,
IF(F695="ED",1.1,
IF(F695="SD",1.15,
IF(F695="DC",1.2,0)))))))))))</f>
        <v>0.6</v>
      </c>
    </row>
    <row r="696" customFormat="false" ht="16.4" hidden="false" customHeight="false" outlineLevel="0" collapsed="false">
      <c r="A696" s="1" t="n">
        <v>695</v>
      </c>
      <c r="B696" s="5" t="str">
        <f aca="false">[1]Base_Jugadores!B696</f>
        <v>Roméo Lavia</v>
      </c>
      <c r="C696" s="5" t="str">
        <f aca="false">IFERROR(
   _xlfn.XLOOKUP(VALUE(A696),[1]Fichajes_Realizados!A$2:A$50000,[1]Fichajes_Realizados!D$2:D$50000,,0,-1),
   _xlfn.XLOOKUP(VALUE(A696),[1]Base_Jugadores!A$2:A$50000,[1]Base_Jugadores!C$2:C$50000)
)</f>
        <v>Chelsea FC</v>
      </c>
      <c r="D696" s="5" t="str">
        <f aca="false">[1]Base_Jugadores!D696</f>
        <v>Bélgica</v>
      </c>
      <c r="E696" s="3"/>
      <c r="F696" s="5" t="str">
        <f aca="false">[1]Base_Jugadores!E696</f>
        <v>MCD</v>
      </c>
      <c r="G696" s="5" t="n">
        <f aca="false">[1]Base_Jugadores!F696</f>
        <v>75</v>
      </c>
      <c r="H696" s="5" t="n">
        <f aca="false">[1]Base_Jugadores!G696</f>
        <v>21</v>
      </c>
      <c r="I696" s="7" t="n">
        <f aca="false" t="array" ref="I696:I696">_xlfn.XLOOKUP(G696,{55;56;57;58;59;60;61;62;63;64;65;66;67;68;69;70;71;72;73;74;75;76;77;78;79;80;81;82;83;84;85;86;87;88;89;90;91;92;93;94;95;96;97;98;99},{100000;130000;160000;190000;220000;250000;300000;350000;400000;450000;500000;600000;700000;800000;900000;1000000;1500000;2000000;3000000;4000000;5000000;6500000;8000000;10000000;12500000;15000000;20000000;25000000;30000000;35000000;40000000;55000000;70000000;80000000;90000000;110000000;130000000;160000000;190000000;220000000;250000000;280000000;310000000;340000000;400000000})</f>
        <v>5000000</v>
      </c>
      <c r="J696" s="7" t="n">
        <f aca="false">I696*S696*T696*U696</f>
        <v>4696250</v>
      </c>
      <c r="K696" s="3"/>
      <c r="L696" s="3"/>
      <c r="M696" s="3"/>
      <c r="N696" s="9" t="n">
        <v>2</v>
      </c>
      <c r="O696" s="4" t="n">
        <v>0</v>
      </c>
      <c r="P696" s="5" t="n">
        <f aca="false">IF(COUNTIF([1]Base_Jugadores!J$2:J$500,B696)&gt;0,1,0)</f>
        <v>0</v>
      </c>
      <c r="Q696" s="10" t="b">
        <f aca="false">--(COUNTIFS(
   [1]Fichajes_Realizados!A$2:A$5000,A696,
   [1]Fichajes_Realizados!G$2:G$5000,$X$3
)&gt;0)</f>
        <v>0</v>
      </c>
      <c r="R696" s="5" t="n">
        <f aca="false">_xlfn.XLOOKUP(C696, [1]Estado_Equipos!A$2:A$500, [1]Estado_Equipos!J$2:J$500, "")</f>
        <v>81</v>
      </c>
      <c r="S696" s="5" t="n">
        <f aca="false">IF(H696&lt;=16,1.45,
IF(H696&gt;=41,0.3,
CHOOSE(ROUNDDOWN((H696-16)/2,0)+1,
1.45,1.38,1.3,1.23,1.17,1.15,1.12,1.05,0.95,0.8,0.6,0.4,0.3)))</f>
        <v>1.3</v>
      </c>
      <c r="T696" s="5" t="n">
        <f aca="false">CHOOSE(N696+1,1.2,1,0.85,0.7)</f>
        <v>0.85</v>
      </c>
      <c r="U696" s="5" t="n">
        <f aca="false">IF(F696="PO",0.6,
IF(F696="CT",0.75,
IF(F696="LI",0.8,
IF(F696="LD",0.8,
IF(F696="MCD",0.85,
IF(F696="MC",0.95,
IF(F696="MO",1.05,
IF(F696="EI",1.1,
IF(F696="ED",1.1,
IF(F696="SD",1.15,
IF(F696="DC",1.2,0)))))))))))</f>
        <v>0.85</v>
      </c>
    </row>
    <row r="697" customFormat="false" ht="16.4" hidden="false" customHeight="false" outlineLevel="0" collapsed="false">
      <c r="A697" s="1" t="n">
        <v>696</v>
      </c>
      <c r="B697" s="5" t="str">
        <f aca="false">[1]Base_Jugadores!B697</f>
        <v>T. Adarabioyo</v>
      </c>
      <c r="C697" s="5" t="str">
        <f aca="false">IFERROR(
   _xlfn.XLOOKUP(VALUE(A697),[1]Fichajes_Realizados!A$2:A$50000,[1]Fichajes_Realizados!D$2:D$50000,,0,-1),
   _xlfn.XLOOKUP(VALUE(A697),[1]Base_Jugadores!A$2:A$50000,[1]Base_Jugadores!C$2:C$50000)
)</f>
        <v>Chelsea FC</v>
      </c>
      <c r="D697" s="5" t="str">
        <f aca="false">[1]Base_Jugadores!D697</f>
        <v>Inglaterra</v>
      </c>
      <c r="E697" s="3"/>
      <c r="F697" s="5" t="str">
        <f aca="false">[1]Base_Jugadores!E697</f>
        <v>CT</v>
      </c>
      <c r="G697" s="5" t="n">
        <f aca="false">[1]Base_Jugadores!F697</f>
        <v>78</v>
      </c>
      <c r="H697" s="5" t="n">
        <f aca="false">[1]Base_Jugadores!G697</f>
        <v>28</v>
      </c>
      <c r="I697" s="7" t="n">
        <f aca="false" t="array" ref="I697:I697">_xlfn.XLOOKUP(G697,{55;56;57;58;59;60;61;62;63;64;65;66;67;68;69;70;71;72;73;74;75;76;77;78;79;80;81;82;83;84;85;86;87;88;89;90;91;92;93;94;95;96;97;98;99},{100000;130000;160000;190000;220000;250000;300000;350000;400000;450000;500000;600000;700000;800000;900000;1000000;1500000;2000000;3000000;4000000;5000000;6500000;8000000;10000000;12500000;15000000;20000000;25000000;30000000;35000000;40000000;55000000;70000000;80000000;90000000;110000000;130000000;160000000;190000000;220000000;250000000;280000000;310000000;340000000;400000000})</f>
        <v>10000000</v>
      </c>
      <c r="J697" s="7" t="n">
        <f aca="false">I697*S697*T697*U697</f>
        <v>5880000</v>
      </c>
      <c r="K697" s="3"/>
      <c r="L697" s="3"/>
      <c r="M697" s="3"/>
      <c r="N697" s="9" t="n">
        <v>3</v>
      </c>
      <c r="O697" s="4" t="n">
        <v>0</v>
      </c>
      <c r="P697" s="5" t="n">
        <f aca="false">IF(COUNTIF([1]Base_Jugadores!J$2:J$500,B697)&gt;0,1,0)</f>
        <v>0</v>
      </c>
      <c r="Q697" s="10" t="b">
        <f aca="false">--(COUNTIFS(
   [1]Fichajes_Realizados!A$2:A$5000,A697,
   [1]Fichajes_Realizados!G$2:G$5000,$X$3
)&gt;0)</f>
        <v>0</v>
      </c>
      <c r="R697" s="5" t="n">
        <f aca="false">_xlfn.XLOOKUP(C697, [1]Estado_Equipos!A$2:A$500, [1]Estado_Equipos!J$2:J$500, "")</f>
        <v>81</v>
      </c>
      <c r="S697" s="5" t="n">
        <f aca="false">IF(H697&lt;=16,1.45,
IF(H697&gt;=41,0.3,
CHOOSE(ROUNDDOWN((H697-16)/2,0)+1,
1.45,1.38,1.3,1.23,1.17,1.15,1.12,1.05,0.95,0.8,0.6,0.4,0.3)))</f>
        <v>1.12</v>
      </c>
      <c r="T697" s="5" t="n">
        <f aca="false">CHOOSE(N697+1,1.2,1,0.85,0.7)</f>
        <v>0.7</v>
      </c>
      <c r="U697" s="5" t="n">
        <f aca="false">IF(F697="PO",0.6,
IF(F697="CT",0.75,
IF(F697="LI",0.8,
IF(F697="LD",0.8,
IF(F697="MCD",0.85,
IF(F697="MC",0.95,
IF(F697="MO",1.05,
IF(F697="EI",1.1,
IF(F697="ED",1.1,
IF(F697="SD",1.15,
IF(F697="DC",1.2,0)))))))))))</f>
        <v>0.75</v>
      </c>
    </row>
    <row r="698" customFormat="false" ht="16.4" hidden="false" customHeight="false" outlineLevel="0" collapsed="false">
      <c r="A698" s="1" t="n">
        <v>697</v>
      </c>
      <c r="B698" s="5" t="str">
        <f aca="false">[1]Base_Jugadores!B698</f>
        <v>Trevoh Chalobah</v>
      </c>
      <c r="C698" s="5" t="str">
        <f aca="false">IFERROR(
   _xlfn.XLOOKUP(VALUE(A698),[1]Fichajes_Realizados!A$2:A$50000,[1]Fichajes_Realizados!D$2:D$50000,,0,-1),
   _xlfn.XLOOKUP(VALUE(A698),[1]Base_Jugadores!A$2:A$50000,[1]Base_Jugadores!C$2:C$50000)
)</f>
        <v>Chelsea FC</v>
      </c>
      <c r="D698" s="5" t="str">
        <f aca="false">[1]Base_Jugadores!D698</f>
        <v>Inglaterra</v>
      </c>
      <c r="E698" s="3"/>
      <c r="F698" s="5" t="str">
        <f aca="false">[1]Base_Jugadores!E698</f>
        <v>CT</v>
      </c>
      <c r="G698" s="5" t="n">
        <f aca="false">[1]Base_Jugadores!F698</f>
        <v>78</v>
      </c>
      <c r="H698" s="5" t="n">
        <f aca="false">[1]Base_Jugadores!G698</f>
        <v>26</v>
      </c>
      <c r="I698" s="7" t="n">
        <f aca="false" t="array" ref="I698:I698">_xlfn.XLOOKUP(G698,{55;56;57;58;59;60;61;62;63;64;65;66;67;68;69;70;71;72;73;74;75;76;77;78;79;80;81;82;83;84;85;86;87;88;89;90;91;92;93;94;95;96;97;98;99},{100000;130000;160000;190000;220000;250000;300000;350000;400000;450000;500000;600000;700000;800000;900000;1000000;1500000;2000000;3000000;4000000;5000000;6500000;8000000;10000000;12500000;15000000;20000000;25000000;30000000;35000000;40000000;55000000;70000000;80000000;90000000;110000000;130000000;160000000;190000000;220000000;250000000;280000000;310000000;340000000;400000000})</f>
        <v>10000000</v>
      </c>
      <c r="J698" s="7" t="n">
        <f aca="false">I698*S698*T698*U698</f>
        <v>7331250</v>
      </c>
      <c r="K698" s="3"/>
      <c r="L698" s="3"/>
      <c r="M698" s="3"/>
      <c r="N698" s="9" t="n">
        <v>2</v>
      </c>
      <c r="O698" s="4" t="n">
        <v>0</v>
      </c>
      <c r="P698" s="5" t="n">
        <f aca="false">IF(COUNTIF([1]Base_Jugadores!J$2:J$500,B698)&gt;0,1,0)</f>
        <v>0</v>
      </c>
      <c r="Q698" s="10" t="b">
        <f aca="false">--(COUNTIFS(
   [1]Fichajes_Realizados!A$2:A$5000,A698,
   [1]Fichajes_Realizados!G$2:G$5000,$X$3
)&gt;0)</f>
        <v>0</v>
      </c>
      <c r="R698" s="5" t="n">
        <f aca="false">_xlfn.XLOOKUP(C698, [1]Estado_Equipos!A$2:A$500, [1]Estado_Equipos!J$2:J$500, "")</f>
        <v>81</v>
      </c>
      <c r="S698" s="5" t="n">
        <f aca="false">IF(H698&lt;=16,1.45,
IF(H698&gt;=41,0.3,
CHOOSE(ROUNDDOWN((H698-16)/2,0)+1,
1.45,1.38,1.3,1.23,1.17,1.15,1.12,1.05,0.95,0.8,0.6,0.4,0.3)))</f>
        <v>1.15</v>
      </c>
      <c r="T698" s="5" t="n">
        <f aca="false">CHOOSE(N698+1,1.2,1,0.85,0.7)</f>
        <v>0.85</v>
      </c>
      <c r="U698" s="5" t="n">
        <f aca="false">IF(F698="PO",0.6,
IF(F698="CT",0.75,
IF(F698="LI",0.8,
IF(F698="LD",0.8,
IF(F698="MCD",0.85,
IF(F698="MC",0.95,
IF(F698="MO",1.05,
IF(F698="EI",1.1,
IF(F698="ED",1.1,
IF(F698="SD",1.15,
IF(F698="DC",1.2,0)))))))))))</f>
        <v>0.75</v>
      </c>
    </row>
    <row r="699" customFormat="false" ht="16.4" hidden="false" customHeight="false" outlineLevel="0" collapsed="false">
      <c r="A699" s="1" t="n">
        <v>698</v>
      </c>
      <c r="B699" s="5" t="str">
        <f aca="false">[1]Base_Jugadores!B699</f>
        <v>Tyrique George</v>
      </c>
      <c r="C699" s="5" t="str">
        <f aca="false">IFERROR(
   _xlfn.XLOOKUP(VALUE(A699),[1]Fichajes_Realizados!A$2:A$50000,[1]Fichajes_Realizados!D$2:D$50000,,0,-1),
   _xlfn.XLOOKUP(VALUE(A699),[1]Base_Jugadores!A$2:A$50000,[1]Base_Jugadores!C$2:C$50000)
)</f>
        <v>Chelsea FC</v>
      </c>
      <c r="D699" s="5" t="str">
        <f aca="false">[1]Base_Jugadores!D699</f>
        <v>Inglaterra</v>
      </c>
      <c r="E699" s="3"/>
      <c r="F699" s="5" t="str">
        <f aca="false">[1]Base_Jugadores!E699</f>
        <v>EI</v>
      </c>
      <c r="G699" s="5" t="n">
        <f aca="false">[1]Base_Jugadores!F699</f>
        <v>65</v>
      </c>
      <c r="H699" s="5" t="n">
        <f aca="false">[1]Base_Jugadores!G699</f>
        <v>19</v>
      </c>
      <c r="I699" s="7" t="n">
        <f aca="false" t="array" ref="I699:I699">_xlfn.XLOOKUP(G699,{55;56;57;58;59;60;61;62;63;64;65;66;67;68;69;70;71;72;73;74;75;76;77;78;79;80;81;82;83;84;85;86;87;88;89;90;91;92;93;94;95;96;97;98;99},{100000;130000;160000;190000;220000;250000;300000;350000;400000;450000;500000;600000;700000;800000;900000;1000000;1500000;2000000;3000000;4000000;5000000;6500000;8000000;10000000;12500000;15000000;20000000;25000000;30000000;35000000;40000000;55000000;70000000;80000000;90000000;110000000;130000000;160000000;190000000;220000000;250000000;280000000;310000000;340000000;400000000})</f>
        <v>500000</v>
      </c>
      <c r="J699" s="7" t="n">
        <f aca="false">I699*S699*T699*U699</f>
        <v>531300</v>
      </c>
      <c r="K699" s="3"/>
      <c r="L699" s="3"/>
      <c r="M699" s="3"/>
      <c r="N699" s="9" t="n">
        <v>3</v>
      </c>
      <c r="O699" s="4" t="n">
        <v>1</v>
      </c>
      <c r="P699" s="5" t="n">
        <f aca="false">IF(COUNTIF([1]Base_Jugadores!J$2:J$500,B699)&gt;0,1,0)</f>
        <v>0</v>
      </c>
      <c r="Q699" s="10" t="b">
        <f aca="false">--(COUNTIFS(
   [1]Fichajes_Realizados!A$2:A$5000,A699,
   [1]Fichajes_Realizados!G$2:G$5000,$X$3
)&gt;0)</f>
        <v>0</v>
      </c>
      <c r="R699" s="5" t="n">
        <f aca="false">_xlfn.XLOOKUP(C699, [1]Estado_Equipos!A$2:A$500, [1]Estado_Equipos!J$2:J$500, "")</f>
        <v>81</v>
      </c>
      <c r="S699" s="5" t="n">
        <f aca="false">IF(H699&lt;=16,1.45,
IF(H699&gt;=41,0.3,
CHOOSE(ROUNDDOWN((H699-16)/2,0)+1,
1.45,1.38,1.3,1.23,1.17,1.15,1.12,1.05,0.95,0.8,0.6,0.4,0.3)))</f>
        <v>1.38</v>
      </c>
      <c r="T699" s="5" t="n">
        <f aca="false">CHOOSE(N699+1,1.2,1,0.85,0.7)</f>
        <v>0.7</v>
      </c>
      <c r="U699" s="5" t="n">
        <f aca="false">IF(F699="PO",0.6,
IF(F699="CT",0.75,
IF(F699="LI",0.8,
IF(F699="LD",0.8,
IF(F699="MCD",0.85,
IF(F699="MC",0.95,
IF(F699="MO",1.05,
IF(F699="EI",1.1,
IF(F699="ED",1.1,
IF(F699="SD",1.15,
IF(F699="DC",1.2,0)))))))))))</f>
        <v>1.1</v>
      </c>
    </row>
    <row r="700" customFormat="false" ht="16.4" hidden="false" customHeight="false" outlineLevel="0" collapsed="false">
      <c r="A700" s="1" t="n">
        <v>699</v>
      </c>
      <c r="B700" s="5" t="str">
        <f aca="false">[1]Base_Jugadores!B700</f>
        <v>Wesley Fofana</v>
      </c>
      <c r="C700" s="5" t="str">
        <f aca="false">IFERROR(
   _xlfn.XLOOKUP(VALUE(A700),[1]Fichajes_Realizados!A$2:A$50000,[1]Fichajes_Realizados!D$2:D$50000,,0,-1),
   _xlfn.XLOOKUP(VALUE(A700),[1]Base_Jugadores!A$2:A$50000,[1]Base_Jugadores!C$2:C$50000)
)</f>
        <v>Chelsea FC</v>
      </c>
      <c r="D700" s="5" t="str">
        <f aca="false">[1]Base_Jugadores!D700</f>
        <v>Francia</v>
      </c>
      <c r="E700" s="3"/>
      <c r="F700" s="5" t="str">
        <f aca="false">[1]Base_Jugadores!E700</f>
        <v>CT</v>
      </c>
      <c r="G700" s="5" t="n">
        <f aca="false">[1]Base_Jugadores!F700</f>
        <v>79</v>
      </c>
      <c r="H700" s="5" t="n">
        <f aca="false">[1]Base_Jugadores!G700</f>
        <v>25</v>
      </c>
      <c r="I700" s="7" t="n">
        <f aca="false" t="array" ref="I700:I700">_xlfn.XLOOKUP(G700,{55;56;57;58;59;60;61;62;63;64;65;66;67;68;69;70;71;72;73;74;75;76;77;78;79;80;81;82;83;84;85;86;87;88;89;90;91;92;93;94;95;96;97;98;99},{100000;130000;160000;190000;220000;250000;300000;350000;400000;450000;500000;600000;700000;800000;900000;1000000;1500000;2000000;3000000;4000000;5000000;6500000;8000000;10000000;12500000;15000000;20000000;25000000;30000000;35000000;40000000;55000000;70000000;80000000;90000000;110000000;130000000;160000000;190000000;220000000;250000000;280000000;310000000;340000000;400000000})</f>
        <v>12500000</v>
      </c>
      <c r="J700" s="7" t="n">
        <f aca="false">I700*S700*T700*U700</f>
        <v>13162500</v>
      </c>
      <c r="K700" s="3"/>
      <c r="L700" s="3"/>
      <c r="M700" s="3"/>
      <c r="N700" s="9" t="n">
        <v>0</v>
      </c>
      <c r="O700" s="4" t="n">
        <v>0</v>
      </c>
      <c r="P700" s="5" t="n">
        <f aca="false">IF(COUNTIF([1]Base_Jugadores!J$2:J$500,B700)&gt;0,1,0)</f>
        <v>0</v>
      </c>
      <c r="Q700" s="10" t="b">
        <f aca="false">--(COUNTIFS(
   [1]Fichajes_Realizados!A$2:A$5000,A700,
   [1]Fichajes_Realizados!G$2:G$5000,$X$3
)&gt;0)</f>
        <v>0</v>
      </c>
      <c r="R700" s="5" t="n">
        <f aca="false">_xlfn.XLOOKUP(C700, [1]Estado_Equipos!A$2:A$500, [1]Estado_Equipos!J$2:J$500, "")</f>
        <v>81</v>
      </c>
      <c r="S700" s="5" t="n">
        <f aca="false">IF(H700&lt;=16,1.45,
IF(H700&gt;=41,0.3,
CHOOSE(ROUNDDOWN((H700-16)/2,0)+1,
1.45,1.38,1.3,1.23,1.17,1.15,1.12,1.05,0.95,0.8,0.6,0.4,0.3)))</f>
        <v>1.17</v>
      </c>
      <c r="T700" s="5" t="n">
        <f aca="false">CHOOSE(N700+1,1.2,1,0.85,0.7)</f>
        <v>1.2</v>
      </c>
      <c r="U700" s="5" t="n">
        <f aca="false">IF(F700="PO",0.6,
IF(F700="CT",0.75,
IF(F700="LI",0.8,
IF(F700="LD",0.8,
IF(F700="MCD",0.85,
IF(F700="MC",0.95,
IF(F700="MO",1.05,
IF(F700="EI",1.1,
IF(F700="ED",1.1,
IF(F700="SD",1.15,
IF(F700="DC",1.2,0)))))))))))</f>
        <v>0.75</v>
      </c>
    </row>
    <row r="701" customFormat="false" ht="16.4" hidden="false" customHeight="false" outlineLevel="0" collapsed="false">
      <c r="A701" s="1" t="n">
        <v>700</v>
      </c>
      <c r="B701" s="5" t="str">
        <f aca="false">[1]Base_Jugadores!B701</f>
        <v>Adam Wharton</v>
      </c>
      <c r="C701" s="5" t="str">
        <f aca="false">IFERROR(
   _xlfn.XLOOKUP(VALUE(A701),[1]Fichajes_Realizados!A$2:A$50000,[1]Fichajes_Realizados!D$2:D$50000,,0,-1),
   _xlfn.XLOOKUP(VALUE(A701),[1]Base_Jugadores!A$2:A$50000,[1]Base_Jugadores!C$2:C$50000)
)</f>
        <v>Crystal Palace</v>
      </c>
      <c r="D701" s="5" t="str">
        <f aca="false">[1]Base_Jugadores!D701</f>
        <v>Inglaterra</v>
      </c>
      <c r="E701" s="3"/>
      <c r="F701" s="5" t="str">
        <f aca="false">[1]Base_Jugadores!E701</f>
        <v>MCD</v>
      </c>
      <c r="G701" s="5" t="n">
        <f aca="false">[1]Base_Jugadores!F701</f>
        <v>81</v>
      </c>
      <c r="H701" s="5" t="n">
        <f aca="false">[1]Base_Jugadores!G701</f>
        <v>21</v>
      </c>
      <c r="I701" s="7" t="n">
        <f aca="false" t="array" ref="I701:I701">_xlfn.XLOOKUP(G701,{55;56;57;58;59;60;61;62;63;64;65;66;67;68;69;70;71;72;73;74;75;76;77;78;79;80;81;82;83;84;85;86;87;88;89;90;91;92;93;94;95;96;97;98;99},{100000;130000;160000;190000;220000;250000;300000;350000;400000;450000;500000;600000;700000;800000;900000;1000000;1500000;2000000;3000000;4000000;5000000;6500000;8000000;10000000;12500000;15000000;20000000;25000000;30000000;35000000;40000000;55000000;70000000;80000000;90000000;110000000;130000000;160000000;190000000;220000000;250000000;280000000;310000000;340000000;400000000})</f>
        <v>20000000</v>
      </c>
      <c r="J701" s="7" t="n">
        <f aca="false">I701*S701*T701*U701</f>
        <v>26520000</v>
      </c>
      <c r="K701" s="3"/>
      <c r="L701" s="3"/>
      <c r="M701" s="3"/>
      <c r="N701" s="9" t="n">
        <v>0</v>
      </c>
      <c r="O701" s="4" t="n">
        <v>1</v>
      </c>
      <c r="P701" s="5" t="n">
        <f aca="false">IF(COUNTIF([1]Base_Jugadores!J$2:J$500,B701)&gt;0,1,0)</f>
        <v>0</v>
      </c>
      <c r="Q701" s="10" t="b">
        <f aca="false">--(COUNTIFS(
   [1]Fichajes_Realizados!A$2:A$5000,A701,
   [1]Fichajes_Realizados!G$2:G$5000,$X$3
)&gt;0)</f>
        <v>0</v>
      </c>
      <c r="R701" s="5" t="n">
        <f aca="false">_xlfn.XLOOKUP(C701, [1]Estado_Equipos!A$2:A$500, [1]Estado_Equipos!J$2:J$500, "")</f>
        <v>74</v>
      </c>
      <c r="S701" s="5" t="n">
        <f aca="false">IF(H701&lt;=16,1.45,
IF(H701&gt;=41,0.3,
CHOOSE(ROUNDDOWN((H701-16)/2,0)+1,
1.45,1.38,1.3,1.23,1.17,1.15,1.12,1.05,0.95,0.8,0.6,0.4,0.3)))</f>
        <v>1.3</v>
      </c>
      <c r="T701" s="5" t="n">
        <f aca="false">CHOOSE(N701+1,1.2,1,0.85,0.7)</f>
        <v>1.2</v>
      </c>
      <c r="U701" s="5" t="n">
        <f aca="false">IF(F701="PO",0.6,
IF(F701="CT",0.75,
IF(F701="LI",0.8,
IF(F701="LD",0.8,
IF(F701="MCD",0.85,
IF(F701="MC",0.95,
IF(F701="MO",1.05,
IF(F701="EI",1.1,
IF(F701="ED",1.1,
IF(F701="SD",1.15,
IF(F701="DC",1.2,0)))))))))))</f>
        <v>0.85</v>
      </c>
    </row>
    <row r="702" customFormat="false" ht="16.4" hidden="false" customHeight="false" outlineLevel="0" collapsed="false">
      <c r="A702" s="1" t="n">
        <v>701</v>
      </c>
      <c r="B702" s="5" t="str">
        <f aca="false">[1]Base_Jugadores!B702</f>
        <v>Asher Agbinone</v>
      </c>
      <c r="C702" s="5" t="str">
        <f aca="false">IFERROR(
   _xlfn.XLOOKUP(VALUE(A702),[1]Fichajes_Realizados!A$2:A$50000,[1]Fichajes_Realizados!D$2:D$50000,,0,-1),
   _xlfn.XLOOKUP(VALUE(A702),[1]Base_Jugadores!A$2:A$50000,[1]Base_Jugadores!C$2:C$50000)
)</f>
        <v>Crystal Palace</v>
      </c>
      <c r="D702" s="5" t="str">
        <f aca="false">[1]Base_Jugadores!D702</f>
        <v>Inglaterra</v>
      </c>
      <c r="E702" s="3"/>
      <c r="F702" s="5" t="str">
        <f aca="false">[1]Base_Jugadores!E702</f>
        <v>EI</v>
      </c>
      <c r="G702" s="5" t="n">
        <f aca="false">[1]Base_Jugadores!F702</f>
        <v>63</v>
      </c>
      <c r="H702" s="5" t="n">
        <f aca="false">[1]Base_Jugadores!G702</f>
        <v>20</v>
      </c>
      <c r="I702" s="7" t="n">
        <f aca="false" t="array" ref="I702:I702">_xlfn.XLOOKUP(G702,{55;56;57;58;59;60;61;62;63;64;65;66;67;68;69;70;71;72;73;74;75;76;77;78;79;80;81;82;83;84;85;86;87;88;89;90;91;92;93;94;95;96;97;98;99},{100000;130000;160000;190000;220000;250000;300000;350000;400000;450000;500000;600000;700000;800000;900000;1000000;1500000;2000000;3000000;4000000;5000000;6500000;8000000;10000000;12500000;15000000;20000000;25000000;30000000;35000000;40000000;55000000;70000000;80000000;90000000;110000000;130000000;160000000;190000000;220000000;250000000;280000000;310000000;340000000;400000000})</f>
        <v>400000</v>
      </c>
      <c r="J702" s="7" t="n">
        <f aca="false">I702*S702*T702*U702</f>
        <v>486200</v>
      </c>
      <c r="K702" s="3"/>
      <c r="L702" s="3"/>
      <c r="M702" s="3"/>
      <c r="N702" s="9" t="n">
        <v>2</v>
      </c>
      <c r="O702" s="4" t="n">
        <v>1</v>
      </c>
      <c r="P702" s="5" t="n">
        <f aca="false">IF(COUNTIF([1]Base_Jugadores!J$2:J$500,B702)&gt;0,1,0)</f>
        <v>0</v>
      </c>
      <c r="Q702" s="10" t="b">
        <f aca="false">--(COUNTIFS(
   [1]Fichajes_Realizados!A$2:A$5000,A702,
   [1]Fichajes_Realizados!G$2:G$5000,$X$3
)&gt;0)</f>
        <v>0</v>
      </c>
      <c r="R702" s="5" t="n">
        <f aca="false">_xlfn.XLOOKUP(C702, [1]Estado_Equipos!A$2:A$500, [1]Estado_Equipos!J$2:J$500, "")</f>
        <v>74</v>
      </c>
      <c r="S702" s="5" t="n">
        <f aca="false">IF(H702&lt;=16,1.45,
IF(H702&gt;=41,0.3,
CHOOSE(ROUNDDOWN((H702-16)/2,0)+1,
1.45,1.38,1.3,1.23,1.17,1.15,1.12,1.05,0.95,0.8,0.6,0.4,0.3)))</f>
        <v>1.3</v>
      </c>
      <c r="T702" s="5" t="n">
        <f aca="false">CHOOSE(N702+1,1.2,1,0.85,0.7)</f>
        <v>0.85</v>
      </c>
      <c r="U702" s="5" t="n">
        <f aca="false">IF(F702="PO",0.6,
IF(F702="CT",0.75,
IF(F702="LI",0.8,
IF(F702="LD",0.8,
IF(F702="MCD",0.85,
IF(F702="MC",0.95,
IF(F702="MO",1.05,
IF(F702="EI",1.1,
IF(F702="ED",1.1,
IF(F702="SD",1.15,
IF(F702="DC",1.2,0)))))))))))</f>
        <v>1.1</v>
      </c>
    </row>
    <row r="703" customFormat="false" ht="16.4" hidden="false" customHeight="false" outlineLevel="0" collapsed="false">
      <c r="A703" s="1" t="n">
        <v>702</v>
      </c>
      <c r="B703" s="5" t="str">
        <f aca="false">[1]Base_Jugadores!B703</f>
        <v>Borna Sosa</v>
      </c>
      <c r="C703" s="5" t="str">
        <f aca="false">IFERROR(
   _xlfn.XLOOKUP(VALUE(A703),[1]Fichajes_Realizados!A$2:A$50000,[1]Fichajes_Realizados!D$2:D$50000,,0,-1),
   _xlfn.XLOOKUP(VALUE(A703),[1]Base_Jugadores!A$2:A$50000,[1]Base_Jugadores!C$2:C$50000)
)</f>
        <v>Crystal Palace</v>
      </c>
      <c r="D703" s="5" t="str">
        <f aca="false">[1]Base_Jugadores!D703</f>
        <v>Croacia</v>
      </c>
      <c r="E703" s="3"/>
      <c r="F703" s="5" t="str">
        <f aca="false">[1]Base_Jugadores!E703</f>
        <v>LI</v>
      </c>
      <c r="G703" s="5" t="n">
        <f aca="false">[1]Base_Jugadores!F703</f>
        <v>76</v>
      </c>
      <c r="H703" s="5" t="n">
        <f aca="false">[1]Base_Jugadores!G703</f>
        <v>27</v>
      </c>
      <c r="I703" s="7" t="n">
        <f aca="false" t="array" ref="I703:I703">_xlfn.XLOOKUP(G703,{55;56;57;58;59;60;61;62;63;64;65;66;67;68;69;70;71;72;73;74;75;76;77;78;79;80;81;82;83;84;85;86;87;88;89;90;91;92;93;94;95;96;97;98;99},{100000;130000;160000;190000;220000;250000;300000;350000;400000;450000;500000;600000;700000;800000;900000;1000000;1500000;2000000;3000000;4000000;5000000;6500000;8000000;10000000;12500000;15000000;20000000;25000000;30000000;35000000;40000000;55000000;70000000;80000000;90000000;110000000;130000000;160000000;190000000;220000000;250000000;280000000;310000000;340000000;400000000})</f>
        <v>6500000</v>
      </c>
      <c r="J703" s="7" t="n">
        <f aca="false">I703*S703*T703*U703</f>
        <v>5980000</v>
      </c>
      <c r="K703" s="3"/>
      <c r="L703" s="3"/>
      <c r="M703" s="3"/>
      <c r="N703" s="9" t="n">
        <v>1</v>
      </c>
      <c r="O703" s="4" t="n">
        <v>0</v>
      </c>
      <c r="P703" s="5" t="n">
        <f aca="false">IF(COUNTIF([1]Base_Jugadores!J$2:J$500,B703)&gt;0,1,0)</f>
        <v>0</v>
      </c>
      <c r="Q703" s="10" t="b">
        <f aca="false">--(COUNTIFS(
   [1]Fichajes_Realizados!A$2:A$5000,A703,
   [1]Fichajes_Realizados!G$2:G$5000,$X$3
)&gt;0)</f>
        <v>0</v>
      </c>
      <c r="R703" s="5" t="n">
        <f aca="false">_xlfn.XLOOKUP(C703, [1]Estado_Equipos!A$2:A$500, [1]Estado_Equipos!J$2:J$500, "")</f>
        <v>74</v>
      </c>
      <c r="S703" s="5" t="n">
        <f aca="false">IF(H703&lt;=16,1.45,
IF(H703&gt;=41,0.3,
CHOOSE(ROUNDDOWN((H703-16)/2,0)+1,
1.45,1.38,1.3,1.23,1.17,1.15,1.12,1.05,0.95,0.8,0.6,0.4,0.3)))</f>
        <v>1.15</v>
      </c>
      <c r="T703" s="5" t="n">
        <f aca="false">CHOOSE(N703+1,1.2,1,0.85,0.7)</f>
        <v>1</v>
      </c>
      <c r="U703" s="5" t="n">
        <f aca="false">IF(F703="PO",0.6,
IF(F703="CT",0.75,
IF(F703="LI",0.8,
IF(F703="LD",0.8,
IF(F703="MCD",0.85,
IF(F703="MC",0.95,
IF(F703="MO",1.05,
IF(F703="EI",1.1,
IF(F703="ED",1.1,
IF(F703="SD",1.15,
IF(F703="DC",1.2,0)))))))))))</f>
        <v>0.8</v>
      </c>
    </row>
    <row r="704" customFormat="false" ht="16.4" hidden="false" customHeight="false" outlineLevel="0" collapsed="false">
      <c r="A704" s="1" t="n">
        <v>703</v>
      </c>
      <c r="B704" s="5" t="str">
        <f aca="false">[1]Base_Jugadores!B704</f>
        <v>Caleb Kporha</v>
      </c>
      <c r="C704" s="5" t="str">
        <f aca="false">IFERROR(
   _xlfn.XLOOKUP(VALUE(A704),[1]Fichajes_Realizados!A$2:A$50000,[1]Fichajes_Realizados!D$2:D$50000,,0,-1),
   _xlfn.XLOOKUP(VALUE(A704),[1]Base_Jugadores!A$2:A$50000,[1]Base_Jugadores!C$2:C$50000)
)</f>
        <v>Crystal Palace</v>
      </c>
      <c r="D704" s="5" t="str">
        <f aca="false">[1]Base_Jugadores!D704</f>
        <v>Inglaterra</v>
      </c>
      <c r="E704" s="3"/>
      <c r="F704" s="5" t="str">
        <f aca="false">[1]Base_Jugadores!E704</f>
        <v>LD</v>
      </c>
      <c r="G704" s="5" t="n">
        <f aca="false">[1]Base_Jugadores!F704</f>
        <v>63</v>
      </c>
      <c r="H704" s="5" t="n">
        <f aca="false">[1]Base_Jugadores!G704</f>
        <v>19</v>
      </c>
      <c r="I704" s="7" t="n">
        <f aca="false" t="array" ref="I704:I704">_xlfn.XLOOKUP(G704,{55;56;57;58;59;60;61;62;63;64;65;66;67;68;69;70;71;72;73;74;75;76;77;78;79;80;81;82;83;84;85;86;87;88;89;90;91;92;93;94;95;96;97;98;99},{100000;130000;160000;190000;220000;250000;300000;350000;400000;450000;500000;600000;700000;800000;900000;1000000;1500000;2000000;3000000;4000000;5000000;6500000;8000000;10000000;12500000;15000000;20000000;25000000;30000000;35000000;40000000;55000000;70000000;80000000;90000000;110000000;130000000;160000000;190000000;220000000;250000000;280000000;310000000;340000000;400000000})</f>
        <v>400000</v>
      </c>
      <c r="J704" s="7" t="n">
        <f aca="false">I704*S704*T704*U704</f>
        <v>375360</v>
      </c>
      <c r="K704" s="3"/>
      <c r="L704" s="3"/>
      <c r="M704" s="3"/>
      <c r="N704" s="9" t="n">
        <v>2</v>
      </c>
      <c r="O704" s="4" t="n">
        <v>0</v>
      </c>
      <c r="P704" s="5" t="n">
        <f aca="false">IF(COUNTIF([1]Base_Jugadores!J$2:J$500,B704)&gt;0,1,0)</f>
        <v>0</v>
      </c>
      <c r="Q704" s="10" t="b">
        <f aca="false">--(COUNTIFS(
   [1]Fichajes_Realizados!A$2:A$5000,A704,
   [1]Fichajes_Realizados!G$2:G$5000,$X$3
)&gt;0)</f>
        <v>0</v>
      </c>
      <c r="R704" s="5" t="n">
        <f aca="false">_xlfn.XLOOKUP(C704, [1]Estado_Equipos!A$2:A$500, [1]Estado_Equipos!J$2:J$500, "")</f>
        <v>74</v>
      </c>
      <c r="S704" s="5" t="n">
        <f aca="false">IF(H704&lt;=16,1.45,
IF(H704&gt;=41,0.3,
CHOOSE(ROUNDDOWN((H704-16)/2,0)+1,
1.45,1.38,1.3,1.23,1.17,1.15,1.12,1.05,0.95,0.8,0.6,0.4,0.3)))</f>
        <v>1.38</v>
      </c>
      <c r="T704" s="5" t="n">
        <f aca="false">CHOOSE(N704+1,1.2,1,0.85,0.7)</f>
        <v>0.85</v>
      </c>
      <c r="U704" s="5" t="n">
        <f aca="false">IF(F704="PO",0.6,
IF(F704="CT",0.75,
IF(F704="LI",0.8,
IF(F704="LD",0.8,
IF(F704="MCD",0.85,
IF(F704="MC",0.95,
IF(F704="MO",1.05,
IF(F704="EI",1.1,
IF(F704="ED",1.1,
IF(F704="SD",1.15,
IF(F704="DC",1.2,0)))))))))))</f>
        <v>0.8</v>
      </c>
    </row>
    <row r="705" customFormat="false" ht="16.4" hidden="false" customHeight="false" outlineLevel="0" collapsed="false">
      <c r="A705" s="1" t="n">
        <v>704</v>
      </c>
      <c r="B705" s="5" t="str">
        <f aca="false">[1]Base_Jugadores!B705</f>
        <v>Chadi Riad</v>
      </c>
      <c r="C705" s="5" t="str">
        <f aca="false">IFERROR(
   _xlfn.XLOOKUP(VALUE(A705),[1]Fichajes_Realizados!A$2:A$50000,[1]Fichajes_Realizados!D$2:D$50000,,0,-1),
   _xlfn.XLOOKUP(VALUE(A705),[1]Base_Jugadores!A$2:A$50000,[1]Base_Jugadores!C$2:C$50000)
)</f>
        <v>Crystal Palace</v>
      </c>
      <c r="D705" s="5" t="str">
        <f aca="false">[1]Base_Jugadores!D705</f>
        <v>Marruecos</v>
      </c>
      <c r="E705" s="3"/>
      <c r="F705" s="5" t="str">
        <f aca="false">[1]Base_Jugadores!E705</f>
        <v>CT</v>
      </c>
      <c r="G705" s="5" t="n">
        <f aca="false">[1]Base_Jugadores!F705</f>
        <v>74</v>
      </c>
      <c r="H705" s="5" t="n">
        <f aca="false">[1]Base_Jugadores!G705</f>
        <v>22</v>
      </c>
      <c r="I705" s="7" t="n">
        <f aca="false" t="array" ref="I705:I705">_xlfn.XLOOKUP(G705,{55;56;57;58;59;60;61;62;63;64;65;66;67;68;69;70;71;72;73;74;75;76;77;78;79;80;81;82;83;84;85;86;87;88;89;90;91;92;93;94;95;96;97;98;99},{100000;130000;160000;190000;220000;250000;300000;350000;400000;450000;500000;600000;700000;800000;900000;1000000;1500000;2000000;3000000;4000000;5000000;6500000;8000000;10000000;12500000;15000000;20000000;25000000;30000000;35000000;40000000;55000000;70000000;80000000;90000000;110000000;130000000;160000000;190000000;220000000;250000000;280000000;310000000;340000000;400000000})</f>
        <v>4000000</v>
      </c>
      <c r="J705" s="7" t="n">
        <f aca="false">I705*S705*T705*U705</f>
        <v>3136500</v>
      </c>
      <c r="K705" s="3"/>
      <c r="L705" s="3"/>
      <c r="M705" s="3"/>
      <c r="N705" s="9" t="n">
        <v>2</v>
      </c>
      <c r="O705" s="4" t="n">
        <v>1</v>
      </c>
      <c r="P705" s="5" t="n">
        <f aca="false">IF(COUNTIF([1]Base_Jugadores!J$2:J$500,B705)&gt;0,1,0)</f>
        <v>0</v>
      </c>
      <c r="Q705" s="10" t="b">
        <f aca="false">--(COUNTIFS(
   [1]Fichajes_Realizados!A$2:A$5000,A705,
   [1]Fichajes_Realizados!G$2:G$5000,$X$3
)&gt;0)</f>
        <v>0</v>
      </c>
      <c r="R705" s="5" t="n">
        <f aca="false">_xlfn.XLOOKUP(C705, [1]Estado_Equipos!A$2:A$500, [1]Estado_Equipos!J$2:J$500, "")</f>
        <v>74</v>
      </c>
      <c r="S705" s="5" t="n">
        <f aca="false">IF(H705&lt;=16,1.45,
IF(H705&gt;=41,0.3,
CHOOSE(ROUNDDOWN((H705-16)/2,0)+1,
1.45,1.38,1.3,1.23,1.17,1.15,1.12,1.05,0.95,0.8,0.6,0.4,0.3)))</f>
        <v>1.23</v>
      </c>
      <c r="T705" s="5" t="n">
        <f aca="false">CHOOSE(N705+1,1.2,1,0.85,0.7)</f>
        <v>0.85</v>
      </c>
      <c r="U705" s="5" t="n">
        <f aca="false">IF(F705="PO",0.6,
IF(F705="CT",0.75,
IF(F705="LI",0.8,
IF(F705="LD",0.8,
IF(F705="MCD",0.85,
IF(F705="MC",0.95,
IF(F705="MO",1.05,
IF(F705="EI",1.1,
IF(F705="ED",1.1,
IF(F705="SD",1.15,
IF(F705="DC",1.2,0)))))))))))</f>
        <v>0.75</v>
      </c>
    </row>
    <row r="706" customFormat="false" ht="16.4" hidden="false" customHeight="false" outlineLevel="0" collapsed="false">
      <c r="A706" s="1" t="n">
        <v>705</v>
      </c>
      <c r="B706" s="5" t="str">
        <f aca="false">[1]Base_Jugadores!B706</f>
        <v>Cheick Doucouré</v>
      </c>
      <c r="C706" s="5" t="str">
        <f aca="false">IFERROR(
   _xlfn.XLOOKUP(VALUE(A706),[1]Fichajes_Realizados!A$2:A$50000,[1]Fichajes_Realizados!D$2:D$50000,,0,-1),
   _xlfn.XLOOKUP(VALUE(A706),[1]Base_Jugadores!A$2:A$50000,[1]Base_Jugadores!C$2:C$50000)
)</f>
        <v>Crystal Palace</v>
      </c>
      <c r="D706" s="5" t="str">
        <f aca="false">[1]Base_Jugadores!D706</f>
        <v>Malí</v>
      </c>
      <c r="E706" s="3"/>
      <c r="F706" s="5" t="str">
        <f aca="false">[1]Base_Jugadores!E706</f>
        <v>MCD</v>
      </c>
      <c r="G706" s="5" t="n">
        <f aca="false">[1]Base_Jugadores!F706</f>
        <v>79</v>
      </c>
      <c r="H706" s="5" t="n">
        <f aca="false">[1]Base_Jugadores!G706</f>
        <v>25</v>
      </c>
      <c r="I706" s="7" t="n">
        <f aca="false" t="array" ref="I706:I706">_xlfn.XLOOKUP(G706,{55;56;57;58;59;60;61;62;63;64;65;66;67;68;69;70;71;72;73;74;75;76;77;78;79;80;81;82;83;84;85;86;87;88;89;90;91;92;93;94;95;96;97;98;99},{100000;130000;160000;190000;220000;250000;300000;350000;400000;450000;500000;600000;700000;800000;900000;1000000;1500000;2000000;3000000;4000000;5000000;6500000;8000000;10000000;12500000;15000000;20000000;25000000;30000000;35000000;40000000;55000000;70000000;80000000;90000000;110000000;130000000;160000000;190000000;220000000;250000000;280000000;310000000;340000000;400000000})</f>
        <v>12500000</v>
      </c>
      <c r="J706" s="7" t="n">
        <f aca="false">I706*S706*T706*U706</f>
        <v>14917500</v>
      </c>
      <c r="K706" s="3"/>
      <c r="L706" s="3"/>
      <c r="M706" s="3"/>
      <c r="N706" s="9" t="n">
        <v>0</v>
      </c>
      <c r="O706" s="4" t="n">
        <v>0</v>
      </c>
      <c r="P706" s="5" t="n">
        <f aca="false">IF(COUNTIF([1]Base_Jugadores!J$2:J$500,B706)&gt;0,1,0)</f>
        <v>0</v>
      </c>
      <c r="Q706" s="10" t="b">
        <f aca="false">--(COUNTIFS(
   [1]Fichajes_Realizados!A$2:A$5000,A706,
   [1]Fichajes_Realizados!G$2:G$5000,$X$3
)&gt;0)</f>
        <v>0</v>
      </c>
      <c r="R706" s="5" t="n">
        <f aca="false">_xlfn.XLOOKUP(C706, [1]Estado_Equipos!A$2:A$500, [1]Estado_Equipos!J$2:J$500, "")</f>
        <v>74</v>
      </c>
      <c r="S706" s="5" t="n">
        <f aca="false">IF(H706&lt;=16,1.45,
IF(H706&gt;=41,0.3,
CHOOSE(ROUNDDOWN((H706-16)/2,0)+1,
1.45,1.38,1.3,1.23,1.17,1.15,1.12,1.05,0.95,0.8,0.6,0.4,0.3)))</f>
        <v>1.17</v>
      </c>
      <c r="T706" s="5" t="n">
        <f aca="false">CHOOSE(N706+1,1.2,1,0.85,0.7)</f>
        <v>1.2</v>
      </c>
      <c r="U706" s="5" t="n">
        <f aca="false">IF(F706="PO",0.6,
IF(F706="CT",0.75,
IF(F706="LI",0.8,
IF(F706="LD",0.8,
IF(F706="MCD",0.85,
IF(F706="MC",0.95,
IF(F706="MO",1.05,
IF(F706="EI",1.1,
IF(F706="ED",1.1,
IF(F706="SD",1.15,
IF(F706="DC",1.2,0)))))))))))</f>
        <v>0.85</v>
      </c>
    </row>
    <row r="707" customFormat="false" ht="16.4" hidden="false" customHeight="false" outlineLevel="0" collapsed="false">
      <c r="A707" s="1" t="n">
        <v>706</v>
      </c>
      <c r="B707" s="5" t="str">
        <f aca="false">[1]Base_Jugadores!B707</f>
        <v>Chris Richards</v>
      </c>
      <c r="C707" s="5" t="str">
        <f aca="false">IFERROR(
   _xlfn.XLOOKUP(VALUE(A707),[1]Fichajes_Realizados!A$2:A$50000,[1]Fichajes_Realizados!D$2:D$50000,,0,-1),
   _xlfn.XLOOKUP(VALUE(A707),[1]Base_Jugadores!A$2:A$50000,[1]Base_Jugadores!C$2:C$50000)
)</f>
        <v>Crystal Palace</v>
      </c>
      <c r="D707" s="5" t="str">
        <f aca="false">[1]Base_Jugadores!D707</f>
        <v>Estados Unidos</v>
      </c>
      <c r="E707" s="3"/>
      <c r="F707" s="5" t="str">
        <f aca="false">[1]Base_Jugadores!E707</f>
        <v>CT</v>
      </c>
      <c r="G707" s="5" t="n">
        <f aca="false">[1]Base_Jugadores!F707</f>
        <v>76</v>
      </c>
      <c r="H707" s="5" t="n">
        <f aca="false">[1]Base_Jugadores!G707</f>
        <v>25</v>
      </c>
      <c r="I707" s="7" t="n">
        <f aca="false" t="array" ref="I707:I707">_xlfn.XLOOKUP(G707,{55;56;57;58;59;60;61;62;63;64;65;66;67;68;69;70;71;72;73;74;75;76;77;78;79;80;81;82;83;84;85;86;87;88;89;90;91;92;93;94;95;96;97;98;99},{100000;130000;160000;190000;220000;250000;300000;350000;400000;450000;500000;600000;700000;800000;900000;1000000;1500000;2000000;3000000;4000000;5000000;6500000;8000000;10000000;12500000;15000000;20000000;25000000;30000000;35000000;40000000;55000000;70000000;80000000;90000000;110000000;130000000;160000000;190000000;220000000;250000000;280000000;310000000;340000000;400000000})</f>
        <v>6500000</v>
      </c>
      <c r="J707" s="7" t="n">
        <f aca="false">I707*S707*T707*U707</f>
        <v>6844500</v>
      </c>
      <c r="K707" s="3"/>
      <c r="L707" s="3"/>
      <c r="M707" s="3"/>
      <c r="N707" s="9" t="n">
        <v>0</v>
      </c>
      <c r="O707" s="4" t="n">
        <v>0</v>
      </c>
      <c r="P707" s="5" t="n">
        <f aca="false">IF(COUNTIF([1]Base_Jugadores!J$2:J$500,B707)&gt;0,1,0)</f>
        <v>0</v>
      </c>
      <c r="Q707" s="10" t="b">
        <f aca="false">--(COUNTIFS(
   [1]Fichajes_Realizados!A$2:A$5000,A707,
   [1]Fichajes_Realizados!G$2:G$5000,$X$3
)&gt;0)</f>
        <v>0</v>
      </c>
      <c r="R707" s="5" t="n">
        <f aca="false">_xlfn.XLOOKUP(C707, [1]Estado_Equipos!A$2:A$500, [1]Estado_Equipos!J$2:J$500, "")</f>
        <v>74</v>
      </c>
      <c r="S707" s="5" t="n">
        <f aca="false">IF(H707&lt;=16,1.45,
IF(H707&gt;=41,0.3,
CHOOSE(ROUNDDOWN((H707-16)/2,0)+1,
1.45,1.38,1.3,1.23,1.17,1.15,1.12,1.05,0.95,0.8,0.6,0.4,0.3)))</f>
        <v>1.17</v>
      </c>
      <c r="T707" s="5" t="n">
        <f aca="false">CHOOSE(N707+1,1.2,1,0.85,0.7)</f>
        <v>1.2</v>
      </c>
      <c r="U707" s="5" t="n">
        <f aca="false">IF(F707="PO",0.6,
IF(F707="CT",0.75,
IF(F707="LI",0.8,
IF(F707="LD",0.8,
IF(F707="MCD",0.85,
IF(F707="MC",0.95,
IF(F707="MO",1.05,
IF(F707="EI",1.1,
IF(F707="ED",1.1,
IF(F707="SD",1.15,
IF(F707="DC",1.2,0)))))))))))</f>
        <v>0.75</v>
      </c>
    </row>
    <row r="708" customFormat="false" ht="16.4" hidden="false" customHeight="false" outlineLevel="0" collapsed="false">
      <c r="A708" s="1" t="n">
        <v>707</v>
      </c>
      <c r="B708" s="5" t="str">
        <f aca="false">[1]Base_Jugadores!B708</f>
        <v>Christantus Uche</v>
      </c>
      <c r="C708" s="5" t="str">
        <f aca="false">IFERROR(
   _xlfn.XLOOKUP(VALUE(A708),[1]Fichajes_Realizados!A$2:A$50000,[1]Fichajes_Realizados!D$2:D$50000,,0,-1),
   _xlfn.XLOOKUP(VALUE(A708),[1]Base_Jugadores!A$2:A$50000,[1]Base_Jugadores!C$2:C$50000)
)</f>
        <v>Crystal Palace</v>
      </c>
      <c r="D708" s="5" t="str">
        <f aca="false">[1]Base_Jugadores!D708</f>
        <v>Nigeria</v>
      </c>
      <c r="E708" s="3"/>
      <c r="F708" s="5" t="str">
        <f aca="false">[1]Base_Jugadores!E708</f>
        <v>DC</v>
      </c>
      <c r="G708" s="5" t="n">
        <f aca="false">[1]Base_Jugadores!F708</f>
        <v>71</v>
      </c>
      <c r="H708" s="5" t="n">
        <f aca="false">[1]Base_Jugadores!G708</f>
        <v>22</v>
      </c>
      <c r="I708" s="7" t="n">
        <f aca="false" t="array" ref="I708:I708">_xlfn.XLOOKUP(G708,{55;56;57;58;59;60;61;62;63;64;65;66;67;68;69;70;71;72;73;74;75;76;77;78;79;80;81;82;83;84;85;86;87;88;89;90;91;92;93;94;95;96;97;98;99},{100000;130000;160000;190000;220000;250000;300000;350000;400000;450000;500000;600000;700000;800000;900000;1000000;1500000;2000000;3000000;4000000;5000000;6500000;8000000;10000000;12500000;15000000;20000000;25000000;30000000;35000000;40000000;55000000;70000000;80000000;90000000;110000000;130000000;160000000;190000000;220000000;250000000;280000000;310000000;340000000;400000000})</f>
        <v>1500000</v>
      </c>
      <c r="J708" s="7" t="n">
        <f aca="false">I708*S708*T708*U708</f>
        <v>1881900</v>
      </c>
      <c r="K708" s="3"/>
      <c r="L708" s="3"/>
      <c r="M708" s="3"/>
      <c r="N708" s="9" t="n">
        <v>2</v>
      </c>
      <c r="O708" s="4" t="n">
        <v>1</v>
      </c>
      <c r="P708" s="5" t="n">
        <f aca="false">IF(COUNTIF([1]Base_Jugadores!J$2:J$500,B708)&gt;0,1,0)</f>
        <v>0</v>
      </c>
      <c r="Q708" s="10" t="b">
        <f aca="false">--(COUNTIFS(
   [1]Fichajes_Realizados!A$2:A$5000,A708,
   [1]Fichajes_Realizados!G$2:G$5000,$X$3
)&gt;0)</f>
        <v>0</v>
      </c>
      <c r="R708" s="5" t="n">
        <f aca="false">_xlfn.XLOOKUP(C708, [1]Estado_Equipos!A$2:A$500, [1]Estado_Equipos!J$2:J$500, "")</f>
        <v>74</v>
      </c>
      <c r="S708" s="5" t="n">
        <f aca="false">IF(H708&lt;=16,1.45,
IF(H708&gt;=41,0.3,
CHOOSE(ROUNDDOWN((H708-16)/2,0)+1,
1.45,1.38,1.3,1.23,1.17,1.15,1.12,1.05,0.95,0.8,0.6,0.4,0.3)))</f>
        <v>1.23</v>
      </c>
      <c r="T708" s="5" t="n">
        <f aca="false">CHOOSE(N708+1,1.2,1,0.85,0.7)</f>
        <v>0.85</v>
      </c>
      <c r="U708" s="5" t="n">
        <f aca="false">IF(F708="PO",0.6,
IF(F708="CT",0.75,
IF(F708="LI",0.8,
IF(F708="LD",0.8,
IF(F708="MCD",0.85,
IF(F708="MC",0.95,
IF(F708="MO",1.05,
IF(F708="EI",1.1,
IF(F708="ED",1.1,
IF(F708="SD",1.15,
IF(F708="DC",1.2,0)))))))))))</f>
        <v>1.2</v>
      </c>
    </row>
    <row r="709" customFormat="false" ht="16.4" hidden="false" customHeight="false" outlineLevel="0" collapsed="false">
      <c r="A709" s="1" t="n">
        <v>708</v>
      </c>
      <c r="B709" s="5" t="str">
        <f aca="false">[1]Base_Jugadores!B709</f>
        <v>Daichi Kamada</v>
      </c>
      <c r="C709" s="5" t="str">
        <f aca="false">IFERROR(
   _xlfn.XLOOKUP(VALUE(A709),[1]Fichajes_Realizados!A$2:A$50000,[1]Fichajes_Realizados!D$2:D$50000,,0,-1),
   _xlfn.XLOOKUP(VALUE(A709),[1]Base_Jugadores!A$2:A$50000,[1]Base_Jugadores!C$2:C$50000)
)</f>
        <v>Crystal Palace</v>
      </c>
      <c r="D709" s="5" t="str">
        <f aca="false">[1]Base_Jugadores!D709</f>
        <v>Japón</v>
      </c>
      <c r="E709" s="3"/>
      <c r="F709" s="5" t="str">
        <f aca="false">[1]Base_Jugadores!E709</f>
        <v>MO</v>
      </c>
      <c r="G709" s="5" t="n">
        <f aca="false">[1]Base_Jugadores!F709</f>
        <v>80</v>
      </c>
      <c r="H709" s="5" t="n">
        <f aca="false">[1]Base_Jugadores!G709</f>
        <v>29</v>
      </c>
      <c r="I709" s="7" t="n">
        <f aca="false" t="array" ref="I709:I709">_xlfn.XLOOKUP(G709,{55;56;57;58;59;60;61;62;63;64;65;66;67;68;69;70;71;72;73;74;75;76;77;78;79;80;81;82;83;84;85;86;87;88;89;90;91;92;93;94;95;96;97;98;99},{100000;130000;160000;190000;220000;250000;300000;350000;400000;450000;500000;600000;700000;800000;900000;1000000;1500000;2000000;3000000;4000000;5000000;6500000;8000000;10000000;12500000;15000000;20000000;25000000;30000000;35000000;40000000;55000000;70000000;80000000;90000000;110000000;130000000;160000000;190000000;220000000;250000000;280000000;310000000;340000000;400000000})</f>
        <v>15000000</v>
      </c>
      <c r="J709" s="7" t="n">
        <f aca="false">I709*S709*T709*U709</f>
        <v>21168000</v>
      </c>
      <c r="K709" s="3"/>
      <c r="L709" s="3"/>
      <c r="M709" s="3"/>
      <c r="N709" s="9" t="n">
        <v>0</v>
      </c>
      <c r="O709" s="4" t="n">
        <v>0</v>
      </c>
      <c r="P709" s="5" t="n">
        <f aca="false">IF(COUNTIF([1]Base_Jugadores!J$2:J$500,B709)&gt;0,1,0)</f>
        <v>0</v>
      </c>
      <c r="Q709" s="10" t="b">
        <f aca="false">--(COUNTIFS(
   [1]Fichajes_Realizados!A$2:A$5000,A709,
   [1]Fichajes_Realizados!G$2:G$5000,$X$3
)&gt;0)</f>
        <v>0</v>
      </c>
      <c r="R709" s="5" t="n">
        <f aca="false">_xlfn.XLOOKUP(C709, [1]Estado_Equipos!A$2:A$500, [1]Estado_Equipos!J$2:J$500, "")</f>
        <v>74</v>
      </c>
      <c r="S709" s="5" t="n">
        <f aca="false">IF(H709&lt;=16,1.45,
IF(H709&gt;=41,0.3,
CHOOSE(ROUNDDOWN((H709-16)/2,0)+1,
1.45,1.38,1.3,1.23,1.17,1.15,1.12,1.05,0.95,0.8,0.6,0.4,0.3)))</f>
        <v>1.12</v>
      </c>
      <c r="T709" s="5" t="n">
        <f aca="false">CHOOSE(N709+1,1.2,1,0.85,0.7)</f>
        <v>1.2</v>
      </c>
      <c r="U709" s="5" t="n">
        <f aca="false">IF(F709="PO",0.6,
IF(F709="CT",0.75,
IF(F709="LI",0.8,
IF(F709="LD",0.8,
IF(F709="MCD",0.85,
IF(F709="MC",0.95,
IF(F709="MO",1.05,
IF(F709="EI",1.1,
IF(F709="ED",1.1,
IF(F709="SD",1.15,
IF(F709="DC",1.2,0)))))))))))</f>
        <v>1.05</v>
      </c>
    </row>
    <row r="710" customFormat="false" ht="16.4" hidden="false" customHeight="false" outlineLevel="0" collapsed="false">
      <c r="A710" s="1" t="n">
        <v>709</v>
      </c>
      <c r="B710" s="5" t="str">
        <f aca="false">[1]Base_Jugadores!B710</f>
        <v>Daniel Muñoz</v>
      </c>
      <c r="C710" s="5" t="str">
        <f aca="false">IFERROR(
   _xlfn.XLOOKUP(VALUE(A710),[1]Fichajes_Realizados!A$2:A$50000,[1]Fichajes_Realizados!D$2:D$50000,,0,-1),
   _xlfn.XLOOKUP(VALUE(A710),[1]Base_Jugadores!A$2:A$50000,[1]Base_Jugadores!C$2:C$50000)
)</f>
        <v>Crystal Palace</v>
      </c>
      <c r="D710" s="5" t="str">
        <f aca="false">[1]Base_Jugadores!D710</f>
        <v>Colombia</v>
      </c>
      <c r="E710" s="3"/>
      <c r="F710" s="5" t="str">
        <f aca="false">[1]Base_Jugadores!E710</f>
        <v>LD</v>
      </c>
      <c r="G710" s="5" t="n">
        <f aca="false">[1]Base_Jugadores!F710</f>
        <v>80</v>
      </c>
      <c r="H710" s="5" t="n">
        <f aca="false">[1]Base_Jugadores!G710</f>
        <v>29</v>
      </c>
      <c r="I710" s="7" t="n">
        <f aca="false" t="array" ref="I710:I710">_xlfn.XLOOKUP(G710,{55;56;57;58;59;60;61;62;63;64;65;66;67;68;69;70;71;72;73;74;75;76;77;78;79;80;81;82;83;84;85;86;87;88;89;90;91;92;93;94;95;96;97;98;99},{100000;130000;160000;190000;220000;250000;300000;350000;400000;450000;500000;600000;700000;800000;900000;1000000;1500000;2000000;3000000;4000000;5000000;6500000;8000000;10000000;12500000;15000000;20000000;25000000;30000000;35000000;40000000;55000000;70000000;80000000;90000000;110000000;130000000;160000000;190000000;220000000;250000000;280000000;310000000;340000000;400000000})</f>
        <v>15000000</v>
      </c>
      <c r="J710" s="7" t="n">
        <f aca="false">I710*S710*T710*U710</f>
        <v>16128000</v>
      </c>
      <c r="K710" s="3"/>
      <c r="L710" s="3"/>
      <c r="M710" s="3"/>
      <c r="N710" s="9" t="n">
        <v>0</v>
      </c>
      <c r="O710" s="4" t="n">
        <v>0</v>
      </c>
      <c r="P710" s="5" t="n">
        <f aca="false">IF(COUNTIF([1]Base_Jugadores!J$2:J$500,B710)&gt;0,1,0)</f>
        <v>0</v>
      </c>
      <c r="Q710" s="10" t="b">
        <f aca="false">--(COUNTIFS(
   [1]Fichajes_Realizados!A$2:A$5000,A710,
   [1]Fichajes_Realizados!G$2:G$5000,$X$3
)&gt;0)</f>
        <v>0</v>
      </c>
      <c r="R710" s="5" t="n">
        <f aca="false">_xlfn.XLOOKUP(C710, [1]Estado_Equipos!A$2:A$500, [1]Estado_Equipos!J$2:J$500, "")</f>
        <v>74</v>
      </c>
      <c r="S710" s="5" t="n">
        <f aca="false">IF(H710&lt;=16,1.45,
IF(H710&gt;=41,0.3,
CHOOSE(ROUNDDOWN((H710-16)/2,0)+1,
1.45,1.38,1.3,1.23,1.17,1.15,1.12,1.05,0.95,0.8,0.6,0.4,0.3)))</f>
        <v>1.12</v>
      </c>
      <c r="T710" s="5" t="n">
        <f aca="false">CHOOSE(N710+1,1.2,1,0.85,0.7)</f>
        <v>1.2</v>
      </c>
      <c r="U710" s="5" t="n">
        <f aca="false">IF(F710="PO",0.6,
IF(F710="CT",0.75,
IF(F710="LI",0.8,
IF(F710="LD",0.8,
IF(F710="MCD",0.85,
IF(F710="MC",0.95,
IF(F710="MO",1.05,
IF(F710="EI",1.1,
IF(F710="ED",1.1,
IF(F710="SD",1.15,
IF(F710="DC",1.2,0)))))))))))</f>
        <v>0.8</v>
      </c>
    </row>
    <row r="711" customFormat="false" ht="16.4" hidden="false" customHeight="false" outlineLevel="0" collapsed="false">
      <c r="A711" s="1" t="n">
        <v>710</v>
      </c>
      <c r="B711" s="5" t="str">
        <f aca="false">[1]Base_Jugadores!B711</f>
        <v>Dean Henderson</v>
      </c>
      <c r="C711" s="5" t="str">
        <f aca="false">IFERROR(
   _xlfn.XLOOKUP(VALUE(A711),[1]Fichajes_Realizados!A$2:A$50000,[1]Fichajes_Realizados!D$2:D$50000,,0,-1),
   _xlfn.XLOOKUP(VALUE(A711),[1]Base_Jugadores!A$2:A$50000,[1]Base_Jugadores!C$2:C$50000)
)</f>
        <v>Crystal Palace</v>
      </c>
      <c r="D711" s="5" t="str">
        <f aca="false">[1]Base_Jugadores!D711</f>
        <v>Inglaterra</v>
      </c>
      <c r="E711" s="3"/>
      <c r="F711" s="5" t="str">
        <f aca="false">[1]Base_Jugadores!E711</f>
        <v>PO</v>
      </c>
      <c r="G711" s="5" t="n">
        <f aca="false">[1]Base_Jugadores!F711</f>
        <v>79</v>
      </c>
      <c r="H711" s="5" t="n">
        <f aca="false">[1]Base_Jugadores!G711</f>
        <v>28</v>
      </c>
      <c r="I711" s="7" t="n">
        <f aca="false" t="array" ref="I711:I711">_xlfn.XLOOKUP(G711,{55;56;57;58;59;60;61;62;63;64;65;66;67;68;69;70;71;72;73;74;75;76;77;78;79;80;81;82;83;84;85;86;87;88;89;90;91;92;93;94;95;96;97;98;99},{100000;130000;160000;190000;220000;250000;300000;350000;400000;450000;500000;600000;700000;800000;900000;1000000;1500000;2000000;3000000;4000000;5000000;6500000;8000000;10000000;12500000;15000000;20000000;25000000;30000000;35000000;40000000;55000000;70000000;80000000;90000000;110000000;130000000;160000000;190000000;220000000;250000000;280000000;310000000;340000000;400000000})</f>
        <v>12500000</v>
      </c>
      <c r="J711" s="7" t="n">
        <f aca="false">I711*S711*T711*U711</f>
        <v>7140000</v>
      </c>
      <c r="K711" s="3"/>
      <c r="L711" s="3"/>
      <c r="M711" s="3"/>
      <c r="N711" s="9" t="n">
        <v>2</v>
      </c>
      <c r="O711" s="4" t="n">
        <v>0</v>
      </c>
      <c r="P711" s="5" t="n">
        <f aca="false">IF(COUNTIF([1]Base_Jugadores!J$2:J$500,B711)&gt;0,1,0)</f>
        <v>0</v>
      </c>
      <c r="Q711" s="10" t="b">
        <f aca="false">--(COUNTIFS(
   [1]Fichajes_Realizados!A$2:A$5000,A711,
   [1]Fichajes_Realizados!G$2:G$5000,$X$3
)&gt;0)</f>
        <v>0</v>
      </c>
      <c r="R711" s="5" t="n">
        <f aca="false">_xlfn.XLOOKUP(C711, [1]Estado_Equipos!A$2:A$500, [1]Estado_Equipos!J$2:J$500, "")</f>
        <v>74</v>
      </c>
      <c r="S711" s="5" t="n">
        <f aca="false">IF(H711&lt;=16,1.45,
IF(H711&gt;=41,0.3,
CHOOSE(ROUNDDOWN((H711-16)/2,0)+1,
1.45,1.38,1.3,1.23,1.17,1.15,1.12,1.05,0.95,0.8,0.6,0.4,0.3)))</f>
        <v>1.12</v>
      </c>
      <c r="T711" s="5" t="n">
        <f aca="false">CHOOSE(N711+1,1.2,1,0.85,0.7)</f>
        <v>0.85</v>
      </c>
      <c r="U711" s="5" t="n">
        <f aca="false">IF(F711="PO",0.6,
IF(F711="CT",0.75,
IF(F711="LI",0.8,
IF(F711="LD",0.8,
IF(F711="MCD",0.85,
IF(F711="MC",0.95,
IF(F711="MO",1.05,
IF(F711="EI",1.1,
IF(F711="ED",1.1,
IF(F711="SD",1.15,
IF(F711="DC",1.2,0)))))))))))</f>
        <v>0.6</v>
      </c>
    </row>
    <row r="712" customFormat="false" ht="16.4" hidden="false" customHeight="false" outlineLevel="0" collapsed="false">
      <c r="A712" s="1" t="n">
        <v>711</v>
      </c>
      <c r="B712" s="5" t="str">
        <f aca="false">[1]Base_Jugadores!B712</f>
        <v>Eddie Nketiah</v>
      </c>
      <c r="C712" s="5" t="str">
        <f aca="false">IFERROR(
   _xlfn.XLOOKUP(VALUE(A712),[1]Fichajes_Realizados!A$2:A$50000,[1]Fichajes_Realizados!D$2:D$50000,,0,-1),
   _xlfn.XLOOKUP(VALUE(A712),[1]Base_Jugadores!A$2:A$50000,[1]Base_Jugadores!C$2:C$50000)
)</f>
        <v>Crystal Palace</v>
      </c>
      <c r="D712" s="5" t="str">
        <f aca="false">[1]Base_Jugadores!D712</f>
        <v>Inglaterra</v>
      </c>
      <c r="E712" s="3"/>
      <c r="F712" s="5" t="str">
        <f aca="false">[1]Base_Jugadores!E712</f>
        <v>DC</v>
      </c>
      <c r="G712" s="5" t="n">
        <f aca="false">[1]Base_Jugadores!F712</f>
        <v>76</v>
      </c>
      <c r="H712" s="5" t="n">
        <f aca="false">[1]Base_Jugadores!G712</f>
        <v>26</v>
      </c>
      <c r="I712" s="7" t="n">
        <f aca="false" t="array" ref="I712:I712">_xlfn.XLOOKUP(G712,{55;56;57;58;59;60;61;62;63;64;65;66;67;68;69;70;71;72;73;74;75;76;77;78;79;80;81;82;83;84;85;86;87;88;89;90;91;92;93;94;95;96;97;98;99},{100000;130000;160000;190000;220000;250000;300000;350000;400000;450000;500000;600000;700000;800000;900000;1000000;1500000;2000000;3000000;4000000;5000000;6500000;8000000;10000000;12500000;15000000;20000000;25000000;30000000;35000000;40000000;55000000;70000000;80000000;90000000;110000000;130000000;160000000;190000000;220000000;250000000;280000000;310000000;340000000;400000000})</f>
        <v>6500000</v>
      </c>
      <c r="J712" s="7" t="n">
        <f aca="false">I712*S712*T712*U712</f>
        <v>8970000</v>
      </c>
      <c r="K712" s="3"/>
      <c r="L712" s="3"/>
      <c r="M712" s="3"/>
      <c r="N712" s="9" t="n">
        <v>1</v>
      </c>
      <c r="O712" s="4" t="n">
        <v>0</v>
      </c>
      <c r="P712" s="5" t="n">
        <f aca="false">IF(COUNTIF([1]Base_Jugadores!J$2:J$500,B712)&gt;0,1,0)</f>
        <v>0</v>
      </c>
      <c r="Q712" s="10" t="b">
        <f aca="false">--(COUNTIFS(
   [1]Fichajes_Realizados!A$2:A$5000,A712,
   [1]Fichajes_Realizados!G$2:G$5000,$X$3
)&gt;0)</f>
        <v>0</v>
      </c>
      <c r="R712" s="5" t="n">
        <f aca="false">_xlfn.XLOOKUP(C712, [1]Estado_Equipos!A$2:A$500, [1]Estado_Equipos!J$2:J$500, "")</f>
        <v>74</v>
      </c>
      <c r="S712" s="5" t="n">
        <f aca="false">IF(H712&lt;=16,1.45,
IF(H712&gt;=41,0.3,
CHOOSE(ROUNDDOWN((H712-16)/2,0)+1,
1.45,1.38,1.3,1.23,1.17,1.15,1.12,1.05,0.95,0.8,0.6,0.4,0.3)))</f>
        <v>1.15</v>
      </c>
      <c r="T712" s="5" t="n">
        <f aca="false">CHOOSE(N712+1,1.2,1,0.85,0.7)</f>
        <v>1</v>
      </c>
      <c r="U712" s="5" t="n">
        <f aca="false">IF(F712="PO",0.6,
IF(F712="CT",0.75,
IF(F712="LI",0.8,
IF(F712="LD",0.8,
IF(F712="MCD",0.85,
IF(F712="MC",0.95,
IF(F712="MO",1.05,
IF(F712="EI",1.1,
IF(F712="ED",1.1,
IF(F712="SD",1.15,
IF(F712="DC",1.2,0)))))))))))</f>
        <v>1.2</v>
      </c>
    </row>
    <row r="713" customFormat="false" ht="16.4" hidden="false" customHeight="false" outlineLevel="0" collapsed="false">
      <c r="A713" s="1" t="n">
        <v>712</v>
      </c>
      <c r="B713" s="5" t="str">
        <f aca="false">[1]Base_Jugadores!B713</f>
        <v>Ismaïla Sarr</v>
      </c>
      <c r="C713" s="5" t="str">
        <f aca="false">IFERROR(
   _xlfn.XLOOKUP(VALUE(A713),[1]Fichajes_Realizados!A$2:A$50000,[1]Fichajes_Realizados!D$2:D$50000,,0,-1),
   _xlfn.XLOOKUP(VALUE(A713),[1]Base_Jugadores!A$2:A$50000,[1]Base_Jugadores!C$2:C$50000)
)</f>
        <v>Crystal Palace</v>
      </c>
      <c r="D713" s="5" t="str">
        <f aca="false">[1]Base_Jugadores!D713</f>
        <v>Senegal</v>
      </c>
      <c r="E713" s="3"/>
      <c r="F713" s="5" t="str">
        <f aca="false">[1]Base_Jugadores!E713</f>
        <v>ED</v>
      </c>
      <c r="G713" s="5" t="n">
        <f aca="false">[1]Base_Jugadores!F713</f>
        <v>77</v>
      </c>
      <c r="H713" s="5" t="n">
        <f aca="false">[1]Base_Jugadores!G713</f>
        <v>27</v>
      </c>
      <c r="I713" s="7" t="n">
        <f aca="false" t="array" ref="I713:I713">_xlfn.XLOOKUP(G713,{55;56;57;58;59;60;61;62;63;64;65;66;67;68;69;70;71;72;73;74;75;76;77;78;79;80;81;82;83;84;85;86;87;88;89;90;91;92;93;94;95;96;97;98;99},{100000;130000;160000;190000;220000;250000;300000;350000;400000;450000;500000;600000;700000;800000;900000;1000000;1500000;2000000;3000000;4000000;5000000;6500000;8000000;10000000;12500000;15000000;20000000;25000000;30000000;35000000;40000000;55000000;70000000;80000000;90000000;110000000;130000000;160000000;190000000;220000000;250000000;280000000;310000000;340000000;400000000})</f>
        <v>8000000</v>
      </c>
      <c r="J713" s="7" t="n">
        <f aca="false">I713*S713*T713*U713</f>
        <v>10120000</v>
      </c>
      <c r="K713" s="3"/>
      <c r="L713" s="3"/>
      <c r="M713" s="3"/>
      <c r="N713" s="9" t="n">
        <v>1</v>
      </c>
      <c r="O713" s="4" t="n">
        <v>0</v>
      </c>
      <c r="P713" s="5" t="n">
        <f aca="false">IF(COUNTIF([1]Base_Jugadores!J$2:J$500,B713)&gt;0,1,0)</f>
        <v>0</v>
      </c>
      <c r="Q713" s="10" t="b">
        <f aca="false">--(COUNTIFS(
   [1]Fichajes_Realizados!A$2:A$5000,A713,
   [1]Fichajes_Realizados!G$2:G$5000,$X$3
)&gt;0)</f>
        <v>0</v>
      </c>
      <c r="R713" s="5" t="n">
        <f aca="false">_xlfn.XLOOKUP(C713, [1]Estado_Equipos!A$2:A$500, [1]Estado_Equipos!J$2:J$500, "")</f>
        <v>74</v>
      </c>
      <c r="S713" s="5" t="n">
        <f aca="false">IF(H713&lt;=16,1.45,
IF(H713&gt;=41,0.3,
CHOOSE(ROUNDDOWN((H713-16)/2,0)+1,
1.45,1.38,1.3,1.23,1.17,1.15,1.12,1.05,0.95,0.8,0.6,0.4,0.3)))</f>
        <v>1.15</v>
      </c>
      <c r="T713" s="5" t="n">
        <f aca="false">CHOOSE(N713+1,1.2,1,0.85,0.7)</f>
        <v>1</v>
      </c>
      <c r="U713" s="5" t="n">
        <f aca="false">IF(F713="PO",0.6,
IF(F713="CT",0.75,
IF(F713="LI",0.8,
IF(F713="LD",0.8,
IF(F713="MCD",0.85,
IF(F713="MC",0.95,
IF(F713="MO",1.05,
IF(F713="EI",1.1,
IF(F713="ED",1.1,
IF(F713="SD",1.15,
IF(F713="DC",1.2,0)))))))))))</f>
        <v>1.1</v>
      </c>
    </row>
    <row r="714" customFormat="false" ht="16.4" hidden="false" customHeight="false" outlineLevel="0" collapsed="false">
      <c r="A714" s="1" t="n">
        <v>713</v>
      </c>
      <c r="B714" s="5" t="str">
        <f aca="false">[1]Base_Jugadores!B714</f>
        <v>Jaydee Canvot</v>
      </c>
      <c r="C714" s="5" t="str">
        <f aca="false">IFERROR(
   _xlfn.XLOOKUP(VALUE(A714),[1]Fichajes_Realizados!A$2:A$50000,[1]Fichajes_Realizados!D$2:D$50000,,0,-1),
   _xlfn.XLOOKUP(VALUE(A714),[1]Base_Jugadores!A$2:A$50000,[1]Base_Jugadores!C$2:C$50000)
)</f>
        <v>Crystal Palace</v>
      </c>
      <c r="D714" s="5" t="str">
        <f aca="false">[1]Base_Jugadores!D714</f>
        <v>Francia</v>
      </c>
      <c r="E714" s="3"/>
      <c r="F714" s="5" t="str">
        <f aca="false">[1]Base_Jugadores!E714</f>
        <v>CT</v>
      </c>
      <c r="G714" s="5" t="n">
        <f aca="false">[1]Base_Jugadores!F714</f>
        <v>64</v>
      </c>
      <c r="H714" s="5" t="n">
        <f aca="false">[1]Base_Jugadores!G714</f>
        <v>19</v>
      </c>
      <c r="I714" s="7" t="n">
        <f aca="false" t="array" ref="I714:I714">_xlfn.XLOOKUP(G714,{55;56;57;58;59;60;61;62;63;64;65;66;67;68;69;70;71;72;73;74;75;76;77;78;79;80;81;82;83;84;85;86;87;88;89;90;91;92;93;94;95;96;97;98;99},{100000;130000;160000;190000;220000;250000;300000;350000;400000;450000;500000;600000;700000;800000;900000;1000000;1500000;2000000;3000000;4000000;5000000;6500000;8000000;10000000;12500000;15000000;20000000;25000000;30000000;35000000;40000000;55000000;70000000;80000000;90000000;110000000;130000000;160000000;190000000;220000000;250000000;280000000;310000000;340000000;400000000})</f>
        <v>450000</v>
      </c>
      <c r="J714" s="7" t="n">
        <f aca="false">I714*S714*T714*U714</f>
        <v>395887.5</v>
      </c>
      <c r="K714" s="3"/>
      <c r="L714" s="3"/>
      <c r="M714" s="3"/>
      <c r="N714" s="9" t="n">
        <v>2</v>
      </c>
      <c r="O714" s="4" t="n">
        <v>0</v>
      </c>
      <c r="P714" s="5" t="n">
        <f aca="false">IF(COUNTIF([1]Base_Jugadores!J$2:J$500,B714)&gt;0,1,0)</f>
        <v>0</v>
      </c>
      <c r="Q714" s="10" t="b">
        <f aca="false">--(COUNTIFS(
   [1]Fichajes_Realizados!A$2:A$5000,A714,
   [1]Fichajes_Realizados!G$2:G$5000,$X$3
)&gt;0)</f>
        <v>0</v>
      </c>
      <c r="R714" s="5" t="n">
        <f aca="false">_xlfn.XLOOKUP(C714, [1]Estado_Equipos!A$2:A$500, [1]Estado_Equipos!J$2:J$500, "")</f>
        <v>74</v>
      </c>
      <c r="S714" s="5" t="n">
        <f aca="false">IF(H714&lt;=16,1.45,
IF(H714&gt;=41,0.3,
CHOOSE(ROUNDDOWN((H714-16)/2,0)+1,
1.45,1.38,1.3,1.23,1.17,1.15,1.12,1.05,0.95,0.8,0.6,0.4,0.3)))</f>
        <v>1.38</v>
      </c>
      <c r="T714" s="5" t="n">
        <f aca="false">CHOOSE(N714+1,1.2,1,0.85,0.7)</f>
        <v>0.85</v>
      </c>
      <c r="U714" s="5" t="n">
        <f aca="false">IF(F714="PO",0.6,
IF(F714="CT",0.75,
IF(F714="LI",0.8,
IF(F714="LD",0.8,
IF(F714="MCD",0.85,
IF(F714="MC",0.95,
IF(F714="MO",1.05,
IF(F714="EI",1.1,
IF(F714="ED",1.1,
IF(F714="SD",1.15,
IF(F714="DC",1.2,0)))))))))))</f>
        <v>0.75</v>
      </c>
    </row>
    <row r="715" customFormat="false" ht="16.4" hidden="false" customHeight="false" outlineLevel="0" collapsed="false">
      <c r="A715" s="1" t="n">
        <v>714</v>
      </c>
      <c r="B715" s="5" t="str">
        <f aca="false">[1]Base_Jugadores!B715</f>
        <v>Jean Mateta</v>
      </c>
      <c r="C715" s="5" t="str">
        <f aca="false">IFERROR(
   _xlfn.XLOOKUP(VALUE(A715),[1]Fichajes_Realizados!A$2:A$50000,[1]Fichajes_Realizados!D$2:D$50000,,0,-1),
   _xlfn.XLOOKUP(VALUE(A715),[1]Base_Jugadores!A$2:A$50000,[1]Base_Jugadores!C$2:C$50000)
)</f>
        <v>Crystal Palace</v>
      </c>
      <c r="D715" s="5" t="str">
        <f aca="false">[1]Base_Jugadores!D715</f>
        <v>Francia</v>
      </c>
      <c r="E715" s="3"/>
      <c r="F715" s="5" t="str">
        <f aca="false">[1]Base_Jugadores!E715</f>
        <v>DC</v>
      </c>
      <c r="G715" s="5" t="n">
        <f aca="false">[1]Base_Jugadores!F715</f>
        <v>80</v>
      </c>
      <c r="H715" s="5" t="n">
        <f aca="false">[1]Base_Jugadores!G715</f>
        <v>28</v>
      </c>
      <c r="I715" s="7" t="n">
        <f aca="false" t="array" ref="I715:I715">_xlfn.XLOOKUP(G715,{55;56;57;58;59;60;61;62;63;64;65;66;67;68;69;70;71;72;73;74;75;76;77;78;79;80;81;82;83;84;85;86;87;88;89;90;91;92;93;94;95;96;97;98;99},{100000;130000;160000;190000;220000;250000;300000;350000;400000;450000;500000;600000;700000;800000;900000;1000000;1500000;2000000;3000000;4000000;5000000;6500000;8000000;10000000;12500000;15000000;20000000;25000000;30000000;35000000;40000000;55000000;70000000;80000000;90000000;110000000;130000000;160000000;190000000;220000000;250000000;280000000;310000000;340000000;400000000})</f>
        <v>15000000</v>
      </c>
      <c r="J715" s="7" t="n">
        <f aca="false">I715*S715*T715*U715</f>
        <v>24192000</v>
      </c>
      <c r="K715" s="3"/>
      <c r="L715" s="3"/>
      <c r="M715" s="3"/>
      <c r="N715" s="9" t="n">
        <v>0</v>
      </c>
      <c r="O715" s="4" t="n">
        <v>0</v>
      </c>
      <c r="P715" s="5" t="n">
        <f aca="false">IF(COUNTIF([1]Base_Jugadores!J$2:J$500,B715)&gt;0,1,0)</f>
        <v>0</v>
      </c>
      <c r="Q715" s="10" t="b">
        <f aca="false">--(COUNTIFS(
   [1]Fichajes_Realizados!A$2:A$5000,A715,
   [1]Fichajes_Realizados!G$2:G$5000,$X$3
)&gt;0)</f>
        <v>0</v>
      </c>
      <c r="R715" s="5" t="n">
        <f aca="false">_xlfn.XLOOKUP(C715, [1]Estado_Equipos!A$2:A$500, [1]Estado_Equipos!J$2:J$500, "")</f>
        <v>74</v>
      </c>
      <c r="S715" s="5" t="n">
        <f aca="false">IF(H715&lt;=16,1.45,
IF(H715&gt;=41,0.3,
CHOOSE(ROUNDDOWN((H715-16)/2,0)+1,
1.45,1.38,1.3,1.23,1.17,1.15,1.12,1.05,0.95,0.8,0.6,0.4,0.3)))</f>
        <v>1.12</v>
      </c>
      <c r="T715" s="5" t="n">
        <f aca="false">CHOOSE(N715+1,1.2,1,0.85,0.7)</f>
        <v>1.2</v>
      </c>
      <c r="U715" s="5" t="n">
        <f aca="false">IF(F715="PO",0.6,
IF(F715="CT",0.75,
IF(F715="LI",0.8,
IF(F715="LD",0.8,
IF(F715="MCD",0.85,
IF(F715="MC",0.95,
IF(F715="MO",1.05,
IF(F715="EI",1.1,
IF(F715="ED",1.1,
IF(F715="SD",1.15,
IF(F715="DC",1.2,0)))))))))))</f>
        <v>1.2</v>
      </c>
    </row>
    <row r="716" customFormat="false" ht="16.4" hidden="false" customHeight="false" outlineLevel="0" collapsed="false">
      <c r="A716" s="1" t="n">
        <v>715</v>
      </c>
      <c r="B716" s="5" t="str">
        <f aca="false">[1]Base_Jugadores!B716</f>
        <v>Jefferson Lerma</v>
      </c>
      <c r="C716" s="5" t="str">
        <f aca="false">IFERROR(
   _xlfn.XLOOKUP(VALUE(A716),[1]Fichajes_Realizados!A$2:A$50000,[1]Fichajes_Realizados!D$2:D$50000,,0,-1),
   _xlfn.XLOOKUP(VALUE(A716),[1]Base_Jugadores!A$2:A$50000,[1]Base_Jugadores!C$2:C$50000)
)</f>
        <v>Crystal Palace</v>
      </c>
      <c r="D716" s="5" t="str">
        <f aca="false">[1]Base_Jugadores!D716</f>
        <v>Colombia</v>
      </c>
      <c r="E716" s="3"/>
      <c r="F716" s="5" t="str">
        <f aca="false">[1]Base_Jugadores!E716</f>
        <v>MCD</v>
      </c>
      <c r="G716" s="5" t="n">
        <f aca="false">[1]Base_Jugadores!F716</f>
        <v>79</v>
      </c>
      <c r="H716" s="5" t="n">
        <f aca="false">[1]Base_Jugadores!G716</f>
        <v>31</v>
      </c>
      <c r="I716" s="7" t="n">
        <f aca="false" t="array" ref="I716:I716">_xlfn.XLOOKUP(G716,{55;56;57;58;59;60;61;62;63;64;65;66;67;68;69;70;71;72;73;74;75;76;77;78;79;80;81;82;83;84;85;86;87;88;89;90;91;92;93;94;95;96;97;98;99},{100000;130000;160000;190000;220000;250000;300000;350000;400000;450000;500000;600000;700000;800000;900000;1000000;1500000;2000000;3000000;4000000;5000000;6500000;8000000;10000000;12500000;15000000;20000000;25000000;30000000;35000000;40000000;55000000;70000000;80000000;90000000;110000000;130000000;160000000;190000000;220000000;250000000;280000000;310000000;340000000;400000000})</f>
        <v>12500000</v>
      </c>
      <c r="J716" s="7" t="n">
        <f aca="false">I716*S716*T716*U716</f>
        <v>13387500</v>
      </c>
      <c r="K716" s="3"/>
      <c r="L716" s="3"/>
      <c r="M716" s="3"/>
      <c r="N716" s="9" t="n">
        <v>0</v>
      </c>
      <c r="O716" s="4" t="n">
        <v>0</v>
      </c>
      <c r="P716" s="5" t="n">
        <f aca="false">IF(COUNTIF([1]Base_Jugadores!J$2:J$500,B716)&gt;0,1,0)</f>
        <v>0</v>
      </c>
      <c r="Q716" s="10" t="b">
        <f aca="false">--(COUNTIFS(
   [1]Fichajes_Realizados!A$2:A$5000,A716,
   [1]Fichajes_Realizados!G$2:G$5000,$X$3
)&gt;0)</f>
        <v>0</v>
      </c>
      <c r="R716" s="5" t="n">
        <f aca="false">_xlfn.XLOOKUP(C716, [1]Estado_Equipos!A$2:A$500, [1]Estado_Equipos!J$2:J$500, "")</f>
        <v>74</v>
      </c>
      <c r="S716" s="5" t="n">
        <f aca="false">IF(H716&lt;=16,1.45,
IF(H716&gt;=41,0.3,
CHOOSE(ROUNDDOWN((H716-16)/2,0)+1,
1.45,1.38,1.3,1.23,1.17,1.15,1.12,1.05,0.95,0.8,0.6,0.4,0.3)))</f>
        <v>1.05</v>
      </c>
      <c r="T716" s="5" t="n">
        <f aca="false">CHOOSE(N716+1,1.2,1,0.85,0.7)</f>
        <v>1.2</v>
      </c>
      <c r="U716" s="5" t="n">
        <f aca="false">IF(F716="PO",0.6,
IF(F716="CT",0.75,
IF(F716="LI",0.8,
IF(F716="LD",0.8,
IF(F716="MCD",0.85,
IF(F716="MC",0.95,
IF(F716="MO",1.05,
IF(F716="EI",1.1,
IF(F716="ED",1.1,
IF(F716="SD",1.15,
IF(F716="DC",1.2,0)))))))))))</f>
        <v>0.85</v>
      </c>
    </row>
    <row r="717" customFormat="false" ht="16.4" hidden="false" customHeight="false" outlineLevel="0" collapsed="false">
      <c r="A717" s="1" t="n">
        <v>716</v>
      </c>
      <c r="B717" s="5" t="str">
        <f aca="false">[1]Base_Jugadores!B717</f>
        <v>Justin Devenny</v>
      </c>
      <c r="C717" s="5" t="str">
        <f aca="false">IFERROR(
   _xlfn.XLOOKUP(VALUE(A717),[1]Fichajes_Realizados!A$2:A$50000,[1]Fichajes_Realizados!D$2:D$50000,,0,-1),
   _xlfn.XLOOKUP(VALUE(A717),[1]Base_Jugadores!A$2:A$50000,[1]Base_Jugadores!C$2:C$50000)
)</f>
        <v>Crystal Palace</v>
      </c>
      <c r="D717" s="5" t="str">
        <f aca="false">[1]Base_Jugadores!D717</f>
        <v>Irlanda del Norte</v>
      </c>
      <c r="E717" s="3"/>
      <c r="F717" s="5" t="str">
        <f aca="false">[1]Base_Jugadores!E717</f>
        <v>MO</v>
      </c>
      <c r="G717" s="5" t="n">
        <f aca="false">[1]Base_Jugadores!F717</f>
        <v>62</v>
      </c>
      <c r="H717" s="5" t="n">
        <f aca="false">[1]Base_Jugadores!G717</f>
        <v>22</v>
      </c>
      <c r="I717" s="7" t="n">
        <f aca="false" t="array" ref="I717:I717">_xlfn.XLOOKUP(G717,{55;56;57;58;59;60;61;62;63;64;65;66;67;68;69;70;71;72;73;74;75;76;77;78;79;80;81;82;83;84;85;86;87;88;89;90;91;92;93;94;95;96;97;98;99},{100000;130000;160000;190000;220000;250000;300000;350000;400000;450000;500000;600000;700000;800000;900000;1000000;1500000;2000000;3000000;4000000;5000000;6500000;8000000;10000000;12500000;15000000;20000000;25000000;30000000;35000000;40000000;55000000;70000000;80000000;90000000;110000000;130000000;160000000;190000000;220000000;250000000;280000000;310000000;340000000;400000000})</f>
        <v>350000</v>
      </c>
      <c r="J717" s="7" t="n">
        <f aca="false">I717*S717*T717*U717</f>
        <v>384221.25</v>
      </c>
      <c r="K717" s="3"/>
      <c r="L717" s="3"/>
      <c r="M717" s="3"/>
      <c r="N717" s="9" t="n">
        <v>2</v>
      </c>
      <c r="O717" s="4" t="n">
        <v>0</v>
      </c>
      <c r="P717" s="5" t="n">
        <f aca="false">IF(COUNTIF([1]Base_Jugadores!J$2:J$500,B717)&gt;0,1,0)</f>
        <v>0</v>
      </c>
      <c r="Q717" s="10" t="b">
        <f aca="false">--(COUNTIFS(
   [1]Fichajes_Realizados!A$2:A$5000,A717,
   [1]Fichajes_Realizados!G$2:G$5000,$X$3
)&gt;0)</f>
        <v>0</v>
      </c>
      <c r="R717" s="5" t="n">
        <f aca="false">_xlfn.XLOOKUP(C717, [1]Estado_Equipos!A$2:A$500, [1]Estado_Equipos!J$2:J$500, "")</f>
        <v>74</v>
      </c>
      <c r="S717" s="5" t="n">
        <f aca="false">IF(H717&lt;=16,1.45,
IF(H717&gt;=41,0.3,
CHOOSE(ROUNDDOWN((H717-16)/2,0)+1,
1.45,1.38,1.3,1.23,1.17,1.15,1.12,1.05,0.95,0.8,0.6,0.4,0.3)))</f>
        <v>1.23</v>
      </c>
      <c r="T717" s="5" t="n">
        <f aca="false">CHOOSE(N717+1,1.2,1,0.85,0.7)</f>
        <v>0.85</v>
      </c>
      <c r="U717" s="5" t="n">
        <f aca="false">IF(F717="PO",0.6,
IF(F717="CT",0.75,
IF(F717="LI",0.8,
IF(F717="LD",0.8,
IF(F717="MCD",0.85,
IF(F717="MC",0.95,
IF(F717="MO",1.05,
IF(F717="EI",1.1,
IF(F717="ED",1.1,
IF(F717="SD",1.15,
IF(F717="DC",1.2,0)))))))))))</f>
        <v>1.05</v>
      </c>
    </row>
    <row r="718" customFormat="false" ht="16.4" hidden="false" customHeight="false" outlineLevel="0" collapsed="false">
      <c r="A718" s="1" t="n">
        <v>717</v>
      </c>
      <c r="B718" s="5" t="str">
        <f aca="false">[1]Base_Jugadores!B718</f>
        <v>Marc Guéhi</v>
      </c>
      <c r="C718" s="5" t="str">
        <f aca="false">IFERROR(
   _xlfn.XLOOKUP(VALUE(A718),[1]Fichajes_Realizados!A$2:A$50000,[1]Fichajes_Realizados!D$2:D$50000,,0,-1),
   _xlfn.XLOOKUP(VALUE(A718),[1]Base_Jugadores!A$2:A$50000,[1]Base_Jugadores!C$2:C$50000)
)</f>
        <v>Crystal Palace</v>
      </c>
      <c r="D718" s="5" t="str">
        <f aca="false">[1]Base_Jugadores!D718</f>
        <v>Inglaterra</v>
      </c>
      <c r="E718" s="3"/>
      <c r="F718" s="5" t="str">
        <f aca="false">[1]Base_Jugadores!E718</f>
        <v>CT</v>
      </c>
      <c r="G718" s="5" t="n">
        <f aca="false">[1]Base_Jugadores!F718</f>
        <v>81</v>
      </c>
      <c r="H718" s="5" t="n">
        <f aca="false">[1]Base_Jugadores!G718</f>
        <v>25</v>
      </c>
      <c r="I718" s="7" t="n">
        <f aca="false" t="array" ref="I718:I718">_xlfn.XLOOKUP(G718,{55;56;57;58;59;60;61;62;63;64;65;66;67;68;69;70;71;72;73;74;75;76;77;78;79;80;81;82;83;84;85;86;87;88;89;90;91;92;93;94;95;96;97;98;99},{100000;130000;160000;190000;220000;250000;300000;350000;400000;450000;500000;600000;700000;800000;900000;1000000;1500000;2000000;3000000;4000000;5000000;6500000;8000000;10000000;12500000;15000000;20000000;25000000;30000000;35000000;40000000;55000000;70000000;80000000;90000000;110000000;130000000;160000000;190000000;220000000;250000000;280000000;310000000;340000000;400000000})</f>
        <v>20000000</v>
      </c>
      <c r="J718" s="7" t="n">
        <f aca="false">I718*S718*T718*U718</f>
        <v>21060000</v>
      </c>
      <c r="K718" s="3"/>
      <c r="L718" s="3"/>
      <c r="M718" s="3"/>
      <c r="N718" s="9" t="n">
        <v>0</v>
      </c>
      <c r="O718" s="4" t="n">
        <v>0</v>
      </c>
      <c r="P718" s="5" t="n">
        <f aca="false">IF(COUNTIF([1]Base_Jugadores!J$2:J$500,B718)&gt;0,1,0)</f>
        <v>0</v>
      </c>
      <c r="Q718" s="10" t="b">
        <f aca="false">--(COUNTIFS(
   [1]Fichajes_Realizados!A$2:A$5000,A718,
   [1]Fichajes_Realizados!G$2:G$5000,$X$3
)&gt;0)</f>
        <v>0</v>
      </c>
      <c r="R718" s="5" t="n">
        <f aca="false">_xlfn.XLOOKUP(C718, [1]Estado_Equipos!A$2:A$500, [1]Estado_Equipos!J$2:J$500, "")</f>
        <v>74</v>
      </c>
      <c r="S718" s="5" t="n">
        <f aca="false">IF(H718&lt;=16,1.45,
IF(H718&gt;=41,0.3,
CHOOSE(ROUNDDOWN((H718-16)/2,0)+1,
1.45,1.38,1.3,1.23,1.17,1.15,1.12,1.05,0.95,0.8,0.6,0.4,0.3)))</f>
        <v>1.17</v>
      </c>
      <c r="T718" s="5" t="n">
        <f aca="false">CHOOSE(N718+1,1.2,1,0.85,0.7)</f>
        <v>1.2</v>
      </c>
      <c r="U718" s="5" t="n">
        <f aca="false">IF(F718="PO",0.6,
IF(F718="CT",0.75,
IF(F718="LI",0.8,
IF(F718="LD",0.8,
IF(F718="MCD",0.85,
IF(F718="MC",0.95,
IF(F718="MO",1.05,
IF(F718="EI",1.1,
IF(F718="ED",1.1,
IF(F718="SD",1.15,
IF(F718="DC",1.2,0)))))))))))</f>
        <v>0.75</v>
      </c>
    </row>
    <row r="719" customFormat="false" ht="16.4" hidden="false" customHeight="false" outlineLevel="0" collapsed="false">
      <c r="A719" s="1" t="n">
        <v>718</v>
      </c>
      <c r="B719" s="5" t="str">
        <f aca="false">[1]Base_Jugadores!B719</f>
        <v>Maxence Lacroix</v>
      </c>
      <c r="C719" s="5" t="str">
        <f aca="false">IFERROR(
   _xlfn.XLOOKUP(VALUE(A719),[1]Fichajes_Realizados!A$2:A$50000,[1]Fichajes_Realizados!D$2:D$50000,,0,-1),
   _xlfn.XLOOKUP(VALUE(A719),[1]Base_Jugadores!A$2:A$50000,[1]Base_Jugadores!C$2:C$50000)
)</f>
        <v>Crystal Palace</v>
      </c>
      <c r="D719" s="5" t="str">
        <f aca="false">[1]Base_Jugadores!D719</f>
        <v>Francia</v>
      </c>
      <c r="E719" s="3"/>
      <c r="F719" s="5" t="str">
        <f aca="false">[1]Base_Jugadores!E719</f>
        <v>CT</v>
      </c>
      <c r="G719" s="5" t="n">
        <f aca="false">[1]Base_Jugadores!F719</f>
        <v>77</v>
      </c>
      <c r="H719" s="5" t="n">
        <f aca="false">[1]Base_Jugadores!G719</f>
        <v>25</v>
      </c>
      <c r="I719" s="7" t="n">
        <f aca="false" t="array" ref="I719:I719">_xlfn.XLOOKUP(G719,{55;56;57;58;59;60;61;62;63;64;65;66;67;68;69;70;71;72;73;74;75;76;77;78;79;80;81;82;83;84;85;86;87;88;89;90;91;92;93;94;95;96;97;98;99},{100000;130000;160000;190000;220000;250000;300000;350000;400000;450000;500000;600000;700000;800000;900000;1000000;1500000;2000000;3000000;4000000;5000000;6500000;8000000;10000000;12500000;15000000;20000000;25000000;30000000;35000000;40000000;55000000;70000000;80000000;90000000;110000000;130000000;160000000;190000000;220000000;250000000;280000000;310000000;340000000;400000000})</f>
        <v>8000000</v>
      </c>
      <c r="J719" s="7" t="n">
        <f aca="false">I719*S719*T719*U719</f>
        <v>8424000</v>
      </c>
      <c r="K719" s="3"/>
      <c r="L719" s="3"/>
      <c r="M719" s="3"/>
      <c r="N719" s="9" t="n">
        <v>0</v>
      </c>
      <c r="O719" s="4" t="n">
        <v>0</v>
      </c>
      <c r="P719" s="5" t="n">
        <f aca="false">IF(COUNTIF([1]Base_Jugadores!J$2:J$500,B719)&gt;0,1,0)</f>
        <v>0</v>
      </c>
      <c r="Q719" s="10" t="b">
        <f aca="false">--(COUNTIFS(
   [1]Fichajes_Realizados!A$2:A$5000,A719,
   [1]Fichajes_Realizados!G$2:G$5000,$X$3
)&gt;0)</f>
        <v>0</v>
      </c>
      <c r="R719" s="5" t="n">
        <f aca="false">_xlfn.XLOOKUP(C719, [1]Estado_Equipos!A$2:A$500, [1]Estado_Equipos!J$2:J$500, "")</f>
        <v>74</v>
      </c>
      <c r="S719" s="5" t="n">
        <f aca="false">IF(H719&lt;=16,1.45,
IF(H719&gt;=41,0.3,
CHOOSE(ROUNDDOWN((H719-16)/2,0)+1,
1.45,1.38,1.3,1.23,1.17,1.15,1.12,1.05,0.95,0.8,0.6,0.4,0.3)))</f>
        <v>1.17</v>
      </c>
      <c r="T719" s="5" t="n">
        <f aca="false">CHOOSE(N719+1,1.2,1,0.85,0.7)</f>
        <v>1.2</v>
      </c>
      <c r="U719" s="5" t="n">
        <f aca="false">IF(F719="PO",0.6,
IF(F719="CT",0.75,
IF(F719="LI",0.8,
IF(F719="LD",0.8,
IF(F719="MCD",0.85,
IF(F719="MC",0.95,
IF(F719="MO",1.05,
IF(F719="EI",1.1,
IF(F719="ED",1.1,
IF(F719="SD",1.15,
IF(F719="DC",1.2,0)))))))))))</f>
        <v>0.75</v>
      </c>
    </row>
    <row r="720" customFormat="false" ht="16.4" hidden="false" customHeight="false" outlineLevel="0" collapsed="false">
      <c r="A720" s="1" t="n">
        <v>719</v>
      </c>
      <c r="B720" s="5" t="str">
        <f aca="false">[1]Base_Jugadores!B720</f>
        <v>Naouirou Ahamada</v>
      </c>
      <c r="C720" s="5" t="str">
        <f aca="false">IFERROR(
   _xlfn.XLOOKUP(VALUE(A720),[1]Fichajes_Realizados!A$2:A$50000,[1]Fichajes_Realizados!D$2:D$50000,,0,-1),
   _xlfn.XLOOKUP(VALUE(A720),[1]Base_Jugadores!A$2:A$50000,[1]Base_Jugadores!C$2:C$50000)
)</f>
        <v>Crystal Palace</v>
      </c>
      <c r="D720" s="5" t="str">
        <f aca="false">[1]Base_Jugadores!D720</f>
        <v>Francia</v>
      </c>
      <c r="E720" s="3"/>
      <c r="F720" s="5" t="str">
        <f aca="false">[1]Base_Jugadores!E720</f>
        <v>MC</v>
      </c>
      <c r="G720" s="5" t="n">
        <f aca="false">[1]Base_Jugadores!F720</f>
        <v>69</v>
      </c>
      <c r="H720" s="5" t="n">
        <f aca="false">[1]Base_Jugadores!G720</f>
        <v>23</v>
      </c>
      <c r="I720" s="7" t="n">
        <f aca="false" t="array" ref="I720:I720">_xlfn.XLOOKUP(G720,{55;56;57;58;59;60;61;62;63;64;65;66;67;68;69;70;71;72;73;74;75;76;77;78;79;80;81;82;83;84;85;86;87;88;89;90;91;92;93;94;95;96;97;98;99},{100000;130000;160000;190000;220000;250000;300000;350000;400000;450000;500000;600000;700000;800000;900000;1000000;1500000;2000000;3000000;4000000;5000000;6500000;8000000;10000000;12500000;15000000;20000000;25000000;30000000;35000000;40000000;55000000;70000000;80000000;90000000;110000000;130000000;160000000;190000000;220000000;250000000;280000000;310000000;340000000;400000000})</f>
        <v>900000</v>
      </c>
      <c r="J720" s="7" t="n">
        <f aca="false">I720*S720*T720*U720</f>
        <v>893902.5</v>
      </c>
      <c r="K720" s="3"/>
      <c r="L720" s="3"/>
      <c r="M720" s="3"/>
      <c r="N720" s="9" t="n">
        <v>2</v>
      </c>
      <c r="O720" s="4" t="n">
        <v>0</v>
      </c>
      <c r="P720" s="5" t="n">
        <f aca="false">IF(COUNTIF([1]Base_Jugadores!J$2:J$500,B720)&gt;0,1,0)</f>
        <v>0</v>
      </c>
      <c r="Q720" s="10" t="b">
        <f aca="false">--(COUNTIFS(
   [1]Fichajes_Realizados!A$2:A$5000,A720,
   [1]Fichajes_Realizados!G$2:G$5000,$X$3
)&gt;0)</f>
        <v>0</v>
      </c>
      <c r="R720" s="5" t="n">
        <f aca="false">_xlfn.XLOOKUP(C720, [1]Estado_Equipos!A$2:A$500, [1]Estado_Equipos!J$2:J$500, "")</f>
        <v>74</v>
      </c>
      <c r="S720" s="5" t="n">
        <f aca="false">IF(H720&lt;=16,1.45,
IF(H720&gt;=41,0.3,
CHOOSE(ROUNDDOWN((H720-16)/2,0)+1,
1.45,1.38,1.3,1.23,1.17,1.15,1.12,1.05,0.95,0.8,0.6,0.4,0.3)))</f>
        <v>1.23</v>
      </c>
      <c r="T720" s="5" t="n">
        <f aca="false">CHOOSE(N720+1,1.2,1,0.85,0.7)</f>
        <v>0.85</v>
      </c>
      <c r="U720" s="5" t="n">
        <f aca="false">IF(F720="PO",0.6,
IF(F720="CT",0.75,
IF(F720="LI",0.8,
IF(F720="LD",0.8,
IF(F720="MCD",0.85,
IF(F720="MC",0.95,
IF(F720="MO",1.05,
IF(F720="EI",1.1,
IF(F720="ED",1.1,
IF(F720="SD",1.15,
IF(F720="DC",1.2,0)))))))))))</f>
        <v>0.95</v>
      </c>
    </row>
    <row r="721" customFormat="false" ht="16.4" hidden="false" customHeight="false" outlineLevel="0" collapsed="false">
      <c r="A721" s="1" t="n">
        <v>720</v>
      </c>
      <c r="B721" s="5" t="str">
        <f aca="false">[1]Base_Jugadores!B721</f>
        <v>Nathaniel Clyne</v>
      </c>
      <c r="C721" s="5" t="str">
        <f aca="false">IFERROR(
   _xlfn.XLOOKUP(VALUE(A721),[1]Fichajes_Realizados!A$2:A$50000,[1]Fichajes_Realizados!D$2:D$50000,,0,-1),
   _xlfn.XLOOKUP(VALUE(A721),[1]Base_Jugadores!A$2:A$50000,[1]Base_Jugadores!C$2:C$50000)
)</f>
        <v>Crystal Palace</v>
      </c>
      <c r="D721" s="5" t="str">
        <f aca="false">[1]Base_Jugadores!D721</f>
        <v>Inglaterra</v>
      </c>
      <c r="E721" s="3"/>
      <c r="F721" s="5" t="str">
        <f aca="false">[1]Base_Jugadores!E721</f>
        <v>LD</v>
      </c>
      <c r="G721" s="5" t="n">
        <f aca="false">[1]Base_Jugadores!F721</f>
        <v>75</v>
      </c>
      <c r="H721" s="5" t="n">
        <f aca="false">[1]Base_Jugadores!G721</f>
        <v>34</v>
      </c>
      <c r="I721" s="7" t="n">
        <f aca="false" t="array" ref="I721:I721">_xlfn.XLOOKUP(G721,{55;56;57;58;59;60;61;62;63;64;65;66;67;68;69;70;71;72;73;74;75;76;77;78;79;80;81;82;83;84;85;86;87;88;89;90;91;92;93;94;95;96;97;98;99},{100000;130000;160000;190000;220000;250000;300000;350000;400000;450000;500000;600000;700000;800000;900000;1000000;1500000;2000000;3000000;4000000;5000000;6500000;8000000;10000000;12500000;15000000;20000000;25000000;30000000;35000000;40000000;55000000;70000000;80000000;90000000;110000000;130000000;160000000;190000000;220000000;250000000;280000000;310000000;340000000;400000000})</f>
        <v>5000000</v>
      </c>
      <c r="J721" s="7" t="n">
        <f aca="false">I721*S721*T721*U721</f>
        <v>2720000</v>
      </c>
      <c r="K721" s="3"/>
      <c r="L721" s="3"/>
      <c r="M721" s="3"/>
      <c r="N721" s="9" t="n">
        <v>2</v>
      </c>
      <c r="O721" s="4" t="n">
        <v>0</v>
      </c>
      <c r="P721" s="5" t="n">
        <f aca="false">IF(COUNTIF([1]Base_Jugadores!J$2:J$500,B721)&gt;0,1,0)</f>
        <v>0</v>
      </c>
      <c r="Q721" s="10" t="b">
        <f aca="false">--(COUNTIFS(
   [1]Fichajes_Realizados!A$2:A$5000,A721,
   [1]Fichajes_Realizados!G$2:G$5000,$X$3
)&gt;0)</f>
        <v>0</v>
      </c>
      <c r="R721" s="5" t="n">
        <f aca="false">_xlfn.XLOOKUP(C721, [1]Estado_Equipos!A$2:A$500, [1]Estado_Equipos!J$2:J$500, "")</f>
        <v>74</v>
      </c>
      <c r="S721" s="5" t="n">
        <f aca="false">IF(H721&lt;=16,1.45,
IF(H721&gt;=41,0.3,
CHOOSE(ROUNDDOWN((H721-16)/2,0)+1,
1.45,1.38,1.3,1.23,1.17,1.15,1.12,1.05,0.95,0.8,0.6,0.4,0.3)))</f>
        <v>0.8</v>
      </c>
      <c r="T721" s="5" t="n">
        <f aca="false">CHOOSE(N721+1,1.2,1,0.85,0.7)</f>
        <v>0.85</v>
      </c>
      <c r="U721" s="5" t="n">
        <f aca="false">IF(F721="PO",0.6,
IF(F721="CT",0.75,
IF(F721="LI",0.8,
IF(F721="LD",0.8,
IF(F721="MCD",0.85,
IF(F721="MC",0.95,
IF(F721="MO",1.05,
IF(F721="EI",1.1,
IF(F721="ED",1.1,
IF(F721="SD",1.15,
IF(F721="DC",1.2,0)))))))))))</f>
        <v>0.8</v>
      </c>
    </row>
    <row r="722" customFormat="false" ht="16.4" hidden="false" customHeight="false" outlineLevel="0" collapsed="false">
      <c r="A722" s="1" t="n">
        <v>721</v>
      </c>
      <c r="B722" s="5" t="str">
        <f aca="false">[1]Base_Jugadores!B722</f>
        <v>Remi Matthews</v>
      </c>
      <c r="C722" s="5" t="str">
        <f aca="false">IFERROR(
   _xlfn.XLOOKUP(VALUE(A722),[1]Fichajes_Realizados!A$2:A$50000,[1]Fichajes_Realizados!D$2:D$50000,,0,-1),
   _xlfn.XLOOKUP(VALUE(A722),[1]Base_Jugadores!A$2:A$50000,[1]Base_Jugadores!C$2:C$50000)
)</f>
        <v>Crystal Palace</v>
      </c>
      <c r="D722" s="5" t="str">
        <f aca="false">[1]Base_Jugadores!D722</f>
        <v>Inglaterra</v>
      </c>
      <c r="E722" s="3"/>
      <c r="F722" s="5" t="str">
        <f aca="false">[1]Base_Jugadores!E722</f>
        <v>PO</v>
      </c>
      <c r="G722" s="5" t="n">
        <f aca="false">[1]Base_Jugadores!F722</f>
        <v>67</v>
      </c>
      <c r="H722" s="5" t="n">
        <f aca="false">[1]Base_Jugadores!G722</f>
        <v>31</v>
      </c>
      <c r="I722" s="7" t="n">
        <f aca="false" t="array" ref="I722:I722">_xlfn.XLOOKUP(G722,{55;56;57;58;59;60;61;62;63;64;65;66;67;68;69;70;71;72;73;74;75;76;77;78;79;80;81;82;83;84;85;86;87;88;89;90;91;92;93;94;95;96;97;98;99},{100000;130000;160000;190000;220000;250000;300000;350000;400000;450000;500000;600000;700000;800000;900000;1000000;1500000;2000000;3000000;4000000;5000000;6500000;8000000;10000000;12500000;15000000;20000000;25000000;30000000;35000000;40000000;55000000;70000000;80000000;90000000;110000000;130000000;160000000;190000000;220000000;250000000;280000000;310000000;340000000;400000000})</f>
        <v>700000</v>
      </c>
      <c r="J722" s="7" t="n">
        <f aca="false">I722*S722*T722*U722</f>
        <v>374850</v>
      </c>
      <c r="K722" s="3"/>
      <c r="L722" s="3"/>
      <c r="M722" s="3"/>
      <c r="N722" s="9" t="n">
        <v>2</v>
      </c>
      <c r="O722" s="4" t="n">
        <v>0</v>
      </c>
      <c r="P722" s="5" t="n">
        <f aca="false">IF(COUNTIF([1]Base_Jugadores!J$2:J$500,B722)&gt;0,1,0)</f>
        <v>0</v>
      </c>
      <c r="Q722" s="10" t="b">
        <f aca="false">--(COUNTIFS(
   [1]Fichajes_Realizados!A$2:A$5000,A722,
   [1]Fichajes_Realizados!G$2:G$5000,$X$3
)&gt;0)</f>
        <v>0</v>
      </c>
      <c r="R722" s="5" t="n">
        <f aca="false">_xlfn.XLOOKUP(C722, [1]Estado_Equipos!A$2:A$500, [1]Estado_Equipos!J$2:J$500, "")</f>
        <v>74</v>
      </c>
      <c r="S722" s="5" t="n">
        <f aca="false">IF(H722&lt;=16,1.45,
IF(H722&gt;=41,0.3,
CHOOSE(ROUNDDOWN((H722-16)/2,0)+1,
1.45,1.38,1.3,1.23,1.17,1.15,1.12,1.05,0.95,0.8,0.6,0.4,0.3)))</f>
        <v>1.05</v>
      </c>
      <c r="T722" s="5" t="n">
        <f aca="false">CHOOSE(N722+1,1.2,1,0.85,0.7)</f>
        <v>0.85</v>
      </c>
      <c r="U722" s="5" t="n">
        <f aca="false">IF(F722="PO",0.6,
IF(F722="CT",0.75,
IF(F722="LI",0.8,
IF(F722="LD",0.8,
IF(F722="MCD",0.85,
IF(F722="MC",0.95,
IF(F722="MO",1.05,
IF(F722="EI",1.1,
IF(F722="ED",1.1,
IF(F722="SD",1.15,
IF(F722="DC",1.2,0)))))))))))</f>
        <v>0.6</v>
      </c>
    </row>
    <row r="723" customFormat="false" ht="16.4" hidden="false" customHeight="false" outlineLevel="0" collapsed="false">
      <c r="A723" s="1" t="n">
        <v>722</v>
      </c>
      <c r="B723" s="5" t="str">
        <f aca="false">[1]Base_Jugadores!B723</f>
        <v>Romain Esse</v>
      </c>
      <c r="C723" s="5" t="str">
        <f aca="false">IFERROR(
   _xlfn.XLOOKUP(VALUE(A723),[1]Fichajes_Realizados!A$2:A$50000,[1]Fichajes_Realizados!D$2:D$50000,,0,-1),
   _xlfn.XLOOKUP(VALUE(A723),[1]Base_Jugadores!A$2:A$50000,[1]Base_Jugadores!C$2:C$50000)
)</f>
        <v>Crystal Palace</v>
      </c>
      <c r="D723" s="5" t="str">
        <f aca="false">[1]Base_Jugadores!D723</f>
        <v>Inglaterra</v>
      </c>
      <c r="E723" s="3"/>
      <c r="F723" s="5" t="str">
        <f aca="false">[1]Base_Jugadores!E723</f>
        <v>ED</v>
      </c>
      <c r="G723" s="5" t="n">
        <f aca="false">[1]Base_Jugadores!F723</f>
        <v>70</v>
      </c>
      <c r="H723" s="5" t="n">
        <f aca="false">[1]Base_Jugadores!G723</f>
        <v>20</v>
      </c>
      <c r="I723" s="7" t="n">
        <f aca="false" t="array" ref="I723:I723">_xlfn.XLOOKUP(G723,{55;56;57;58;59;60;61;62;63;64;65;66;67;68;69;70;71;72;73;74;75;76;77;78;79;80;81;82;83;84;85;86;87;88;89;90;91;92;93;94;95;96;97;98;99},{100000;130000;160000;190000;220000;250000;300000;350000;400000;450000;500000;600000;700000;800000;900000;1000000;1500000;2000000;3000000;4000000;5000000;6500000;8000000;10000000;12500000;15000000;20000000;25000000;30000000;35000000;40000000;55000000;70000000;80000000;90000000;110000000;130000000;160000000;190000000;220000000;250000000;280000000;310000000;340000000;400000000})</f>
        <v>1000000</v>
      </c>
      <c r="J723" s="7" t="n">
        <f aca="false">I723*S723*T723*U723</f>
        <v>1215500</v>
      </c>
      <c r="K723" s="3"/>
      <c r="L723" s="3"/>
      <c r="M723" s="3"/>
      <c r="N723" s="9" t="n">
        <v>2</v>
      </c>
      <c r="O723" s="4" t="n">
        <v>1</v>
      </c>
      <c r="P723" s="5" t="n">
        <f aca="false">IF(COUNTIF([1]Base_Jugadores!J$2:J$500,B723)&gt;0,1,0)</f>
        <v>0</v>
      </c>
      <c r="Q723" s="10" t="b">
        <f aca="false">--(COUNTIFS(
   [1]Fichajes_Realizados!A$2:A$5000,A723,
   [1]Fichajes_Realizados!G$2:G$5000,$X$3
)&gt;0)</f>
        <v>0</v>
      </c>
      <c r="R723" s="5" t="n">
        <f aca="false">_xlfn.XLOOKUP(C723, [1]Estado_Equipos!A$2:A$500, [1]Estado_Equipos!J$2:J$500, "")</f>
        <v>74</v>
      </c>
      <c r="S723" s="5" t="n">
        <f aca="false">IF(H723&lt;=16,1.45,
IF(H723&gt;=41,0.3,
CHOOSE(ROUNDDOWN((H723-16)/2,0)+1,
1.45,1.38,1.3,1.23,1.17,1.15,1.12,1.05,0.95,0.8,0.6,0.4,0.3)))</f>
        <v>1.3</v>
      </c>
      <c r="T723" s="5" t="n">
        <f aca="false">CHOOSE(N723+1,1.2,1,0.85,0.7)</f>
        <v>0.85</v>
      </c>
      <c r="U723" s="5" t="n">
        <f aca="false">IF(F723="PO",0.6,
IF(F723="CT",0.75,
IF(F723="LI",0.8,
IF(F723="LD",0.8,
IF(F723="MCD",0.85,
IF(F723="MC",0.95,
IF(F723="MO",1.05,
IF(F723="EI",1.1,
IF(F723="ED",1.1,
IF(F723="SD",1.15,
IF(F723="DC",1.2,0)))))))))))</f>
        <v>1.1</v>
      </c>
    </row>
    <row r="724" customFormat="false" ht="16.4" hidden="false" customHeight="false" outlineLevel="0" collapsed="false">
      <c r="A724" s="1" t="n">
        <v>723</v>
      </c>
      <c r="B724" s="5" t="str">
        <f aca="false">[1]Base_Jugadores!B724</f>
        <v>Tyrick Mitchell</v>
      </c>
      <c r="C724" s="5" t="str">
        <f aca="false">IFERROR(
   _xlfn.XLOOKUP(VALUE(A724),[1]Fichajes_Realizados!A$2:A$50000,[1]Fichajes_Realizados!D$2:D$50000,,0,-1),
   _xlfn.XLOOKUP(VALUE(A724),[1]Base_Jugadores!A$2:A$50000,[1]Base_Jugadores!C$2:C$50000)
)</f>
        <v>Crystal Palace</v>
      </c>
      <c r="D724" s="5" t="str">
        <f aca="false">[1]Base_Jugadores!D724</f>
        <v>Inglaterra</v>
      </c>
      <c r="E724" s="3"/>
      <c r="F724" s="5" t="str">
        <f aca="false">[1]Base_Jugadores!E724</f>
        <v>LI</v>
      </c>
      <c r="G724" s="5" t="n">
        <f aca="false">[1]Base_Jugadores!F724</f>
        <v>78</v>
      </c>
      <c r="H724" s="5" t="n">
        <f aca="false">[1]Base_Jugadores!G724</f>
        <v>26</v>
      </c>
      <c r="I724" s="7" t="n">
        <f aca="false" t="array" ref="I724:I724">_xlfn.XLOOKUP(G724,{55;56;57;58;59;60;61;62;63;64;65;66;67;68;69;70;71;72;73;74;75;76;77;78;79;80;81;82;83;84;85;86;87;88;89;90;91;92;93;94;95;96;97;98;99},{100000;130000;160000;190000;220000;250000;300000;350000;400000;450000;500000;600000;700000;800000;900000;1000000;1500000;2000000;3000000;4000000;5000000;6500000;8000000;10000000;12500000;15000000;20000000;25000000;30000000;35000000;40000000;55000000;70000000;80000000;90000000;110000000;130000000;160000000;190000000;220000000;250000000;280000000;310000000;340000000;400000000})</f>
        <v>10000000</v>
      </c>
      <c r="J724" s="7" t="n">
        <f aca="false">I724*S724*T724*U724</f>
        <v>11040000</v>
      </c>
      <c r="K724" s="3"/>
      <c r="L724" s="3"/>
      <c r="M724" s="3"/>
      <c r="N724" s="9" t="n">
        <v>0</v>
      </c>
      <c r="O724" s="4" t="n">
        <v>0</v>
      </c>
      <c r="P724" s="5" t="n">
        <f aca="false">IF(COUNTIF([1]Base_Jugadores!J$2:J$500,B724)&gt;0,1,0)</f>
        <v>0</v>
      </c>
      <c r="Q724" s="10" t="b">
        <f aca="false">--(COUNTIFS(
   [1]Fichajes_Realizados!A$2:A$5000,A724,
   [1]Fichajes_Realizados!G$2:G$5000,$X$3
)&gt;0)</f>
        <v>0</v>
      </c>
      <c r="R724" s="5" t="n">
        <f aca="false">_xlfn.XLOOKUP(C724, [1]Estado_Equipos!A$2:A$500, [1]Estado_Equipos!J$2:J$500, "")</f>
        <v>74</v>
      </c>
      <c r="S724" s="5" t="n">
        <f aca="false">IF(H724&lt;=16,1.45,
IF(H724&gt;=41,0.3,
CHOOSE(ROUNDDOWN((H724-16)/2,0)+1,
1.45,1.38,1.3,1.23,1.17,1.15,1.12,1.05,0.95,0.8,0.6,0.4,0.3)))</f>
        <v>1.15</v>
      </c>
      <c r="T724" s="5" t="n">
        <f aca="false">CHOOSE(N724+1,1.2,1,0.85,0.7)</f>
        <v>1.2</v>
      </c>
      <c r="U724" s="5" t="n">
        <f aca="false">IF(F724="PO",0.6,
IF(F724="CT",0.75,
IF(F724="LI",0.8,
IF(F724="LD",0.8,
IF(F724="MCD",0.85,
IF(F724="MC",0.95,
IF(F724="MO",1.05,
IF(F724="EI",1.1,
IF(F724="ED",1.1,
IF(F724="SD",1.15,
IF(F724="DC",1.2,0)))))))))))</f>
        <v>0.8</v>
      </c>
    </row>
    <row r="725" customFormat="false" ht="16.4" hidden="false" customHeight="false" outlineLevel="0" collapsed="false">
      <c r="A725" s="1" t="n">
        <v>724</v>
      </c>
      <c r="B725" s="5" t="str">
        <f aca="false">[1]Base_Jugadores!B725</f>
        <v>Walter Benítez</v>
      </c>
      <c r="C725" s="5" t="str">
        <f aca="false">IFERROR(
   _xlfn.XLOOKUP(VALUE(A725),[1]Fichajes_Realizados!A$2:A$50000,[1]Fichajes_Realizados!D$2:D$50000,,0,-1),
   _xlfn.XLOOKUP(VALUE(A725),[1]Base_Jugadores!A$2:A$50000,[1]Base_Jugadores!C$2:C$50000)
)</f>
        <v>Crystal Palace</v>
      </c>
      <c r="D725" s="5" t="str">
        <f aca="false">[1]Base_Jugadores!D725</f>
        <v>Argentina</v>
      </c>
      <c r="E725" s="3"/>
      <c r="F725" s="5" t="str">
        <f aca="false">[1]Base_Jugadores!E725</f>
        <v>PO</v>
      </c>
      <c r="G725" s="5" t="n">
        <f aca="false">[1]Base_Jugadores!F725</f>
        <v>80</v>
      </c>
      <c r="H725" s="5" t="n">
        <f aca="false">[1]Base_Jugadores!G725</f>
        <v>32</v>
      </c>
      <c r="I725" s="7" t="n">
        <f aca="false" t="array" ref="I725:I725">_xlfn.XLOOKUP(G725,{55;56;57;58;59;60;61;62;63;64;65;66;67;68;69;70;71;72;73;74;75;76;77;78;79;80;81;82;83;84;85;86;87;88;89;90;91;92;93;94;95;96;97;98;99},{100000;130000;160000;190000;220000;250000;300000;350000;400000;450000;500000;600000;700000;800000;900000;1000000;1500000;2000000;3000000;4000000;5000000;6500000;8000000;10000000;12500000;15000000;20000000;25000000;30000000;35000000;40000000;55000000;70000000;80000000;90000000;110000000;130000000;160000000;190000000;220000000;250000000;280000000;310000000;340000000;400000000})</f>
        <v>15000000</v>
      </c>
      <c r="J725" s="7" t="n">
        <f aca="false">I725*S725*T725*U725</f>
        <v>10260000</v>
      </c>
      <c r="K725" s="3"/>
      <c r="L725" s="3"/>
      <c r="M725" s="3"/>
      <c r="N725" s="9" t="n">
        <v>0</v>
      </c>
      <c r="O725" s="4" t="n">
        <v>0</v>
      </c>
      <c r="P725" s="5" t="n">
        <f aca="false">IF(COUNTIF([1]Base_Jugadores!J$2:J$500,B725)&gt;0,1,0)</f>
        <v>0</v>
      </c>
      <c r="Q725" s="10" t="b">
        <f aca="false">--(COUNTIFS(
   [1]Fichajes_Realizados!A$2:A$5000,A725,
   [1]Fichajes_Realizados!G$2:G$5000,$X$3
)&gt;0)</f>
        <v>0</v>
      </c>
      <c r="R725" s="5" t="n">
        <f aca="false">_xlfn.XLOOKUP(C725, [1]Estado_Equipos!A$2:A$500, [1]Estado_Equipos!J$2:J$500, "")</f>
        <v>74</v>
      </c>
      <c r="S725" s="5" t="n">
        <f aca="false">IF(H725&lt;=16,1.45,
IF(H725&gt;=41,0.3,
CHOOSE(ROUNDDOWN((H725-16)/2,0)+1,
1.45,1.38,1.3,1.23,1.17,1.15,1.12,1.05,0.95,0.8,0.6,0.4,0.3)))</f>
        <v>0.95</v>
      </c>
      <c r="T725" s="5" t="n">
        <f aca="false">CHOOSE(N725+1,1.2,1,0.85,0.7)</f>
        <v>1.2</v>
      </c>
      <c r="U725" s="5" t="n">
        <f aca="false">IF(F725="PO",0.6,
IF(F725="CT",0.75,
IF(F725="LI",0.8,
IF(F725="LD",0.8,
IF(F725="MCD",0.85,
IF(F725="MC",0.95,
IF(F725="MO",1.05,
IF(F725="EI",1.1,
IF(F725="ED",1.1,
IF(F725="SD",1.15,
IF(F725="DC",1.2,0)))))))))))</f>
        <v>0.6</v>
      </c>
    </row>
    <row r="726" customFormat="false" ht="16.4" hidden="false" customHeight="false" outlineLevel="0" collapsed="false">
      <c r="A726" s="1" t="n">
        <v>725</v>
      </c>
      <c r="B726" s="5" t="str">
        <f aca="false">[1]Base_Jugadores!B726</f>
        <v>Will Hughes</v>
      </c>
      <c r="C726" s="5" t="str">
        <f aca="false">IFERROR(
   _xlfn.XLOOKUP(VALUE(A726),[1]Fichajes_Realizados!A$2:A$50000,[1]Fichajes_Realizados!D$2:D$50000,,0,-1),
   _xlfn.XLOOKUP(VALUE(A726),[1]Base_Jugadores!A$2:A$50000,[1]Base_Jugadores!C$2:C$50000)
)</f>
        <v>Crystal Palace</v>
      </c>
      <c r="D726" s="5" t="str">
        <f aca="false">[1]Base_Jugadores!D726</f>
        <v>Inglaterra</v>
      </c>
      <c r="E726" s="3"/>
      <c r="F726" s="5" t="str">
        <f aca="false">[1]Base_Jugadores!E726</f>
        <v>MC</v>
      </c>
      <c r="G726" s="5" t="n">
        <f aca="false">[1]Base_Jugadores!F726</f>
        <v>75</v>
      </c>
      <c r="H726" s="5" t="n">
        <f aca="false">[1]Base_Jugadores!G726</f>
        <v>30</v>
      </c>
      <c r="I726" s="7" t="n">
        <f aca="false" t="array" ref="I726:I726">_xlfn.XLOOKUP(G726,{55;56;57;58;59;60;61;62;63;64;65;66;67;68;69;70;71;72;73;74;75;76;77;78;79;80;81;82;83;84;85;86;87;88;89;90;91;92;93;94;95;96;97;98;99},{100000;130000;160000;190000;220000;250000;300000;350000;400000;450000;500000;600000;700000;800000;900000;1000000;1500000;2000000;3000000;4000000;5000000;6500000;8000000;10000000;12500000;15000000;20000000;25000000;30000000;35000000;40000000;55000000;70000000;80000000;90000000;110000000;130000000;160000000;190000000;220000000;250000000;280000000;310000000;340000000;400000000})</f>
        <v>5000000</v>
      </c>
      <c r="J726" s="7" t="n">
        <f aca="false">I726*S726*T726*U726</f>
        <v>4987500</v>
      </c>
      <c r="K726" s="3"/>
      <c r="L726" s="3"/>
      <c r="M726" s="3"/>
      <c r="N726" s="9" t="n">
        <v>1</v>
      </c>
      <c r="O726" s="4" t="n">
        <v>0</v>
      </c>
      <c r="P726" s="5" t="n">
        <f aca="false">IF(COUNTIF([1]Base_Jugadores!J$2:J$500,B726)&gt;0,1,0)</f>
        <v>0</v>
      </c>
      <c r="Q726" s="10" t="b">
        <f aca="false">--(COUNTIFS(
   [1]Fichajes_Realizados!A$2:A$5000,A726,
   [1]Fichajes_Realizados!G$2:G$5000,$X$3
)&gt;0)</f>
        <v>0</v>
      </c>
      <c r="R726" s="5" t="n">
        <f aca="false">_xlfn.XLOOKUP(C726, [1]Estado_Equipos!A$2:A$500, [1]Estado_Equipos!J$2:J$500, "")</f>
        <v>74</v>
      </c>
      <c r="S726" s="5" t="n">
        <f aca="false">IF(H726&lt;=16,1.45,
IF(H726&gt;=41,0.3,
CHOOSE(ROUNDDOWN((H726-16)/2,0)+1,
1.45,1.38,1.3,1.23,1.17,1.15,1.12,1.05,0.95,0.8,0.6,0.4,0.3)))</f>
        <v>1.05</v>
      </c>
      <c r="T726" s="5" t="n">
        <f aca="false">CHOOSE(N726+1,1.2,1,0.85,0.7)</f>
        <v>1</v>
      </c>
      <c r="U726" s="5" t="n">
        <f aca="false">IF(F726="PO",0.6,
IF(F726="CT",0.75,
IF(F726="LI",0.8,
IF(F726="LD",0.8,
IF(F726="MCD",0.85,
IF(F726="MC",0.95,
IF(F726="MO",1.05,
IF(F726="EI",1.1,
IF(F726="ED",1.1,
IF(F726="SD",1.15,
IF(F726="DC",1.2,0)))))))))))</f>
        <v>0.95</v>
      </c>
    </row>
    <row r="727" customFormat="false" ht="16.4" hidden="false" customHeight="false" outlineLevel="0" collapsed="false">
      <c r="A727" s="1" t="n">
        <v>726</v>
      </c>
      <c r="B727" s="5" t="str">
        <f aca="false">[1]Base_Jugadores!B727</f>
        <v>Yéremy Pino</v>
      </c>
      <c r="C727" s="5" t="str">
        <f aca="false">IFERROR(
   _xlfn.XLOOKUP(VALUE(A727),[1]Fichajes_Realizados!A$2:A$50000,[1]Fichajes_Realizados!D$2:D$50000,,0,-1),
   _xlfn.XLOOKUP(VALUE(A727),[1]Base_Jugadores!A$2:A$50000,[1]Base_Jugadores!C$2:C$50000)
)</f>
        <v>Crystal Palace</v>
      </c>
      <c r="D727" s="5" t="str">
        <f aca="false">[1]Base_Jugadores!D727</f>
        <v>España</v>
      </c>
      <c r="E727" s="3"/>
      <c r="F727" s="5" t="str">
        <f aca="false">[1]Base_Jugadores!E727</f>
        <v>ED</v>
      </c>
      <c r="G727" s="5" t="n">
        <f aca="false">[1]Base_Jugadores!F727</f>
        <v>79</v>
      </c>
      <c r="H727" s="5" t="n">
        <f aca="false">[1]Base_Jugadores!G727</f>
        <v>23</v>
      </c>
      <c r="I727" s="7" t="n">
        <f aca="false" t="array" ref="I727:I727">_xlfn.XLOOKUP(G727,{55;56;57;58;59;60;61;62;63;64;65;66;67;68;69;70;71;72;73;74;75;76;77;78;79;80;81;82;83;84;85;86;87;88;89;90;91;92;93;94;95;96;97;98;99},{100000;130000;160000;190000;220000;250000;300000;350000;400000;450000;500000;600000;700000;800000;900000;1000000;1500000;2000000;3000000;4000000;5000000;6500000;8000000;10000000;12500000;15000000;20000000;25000000;30000000;35000000;40000000;55000000;70000000;80000000;90000000;110000000;130000000;160000000;190000000;220000000;250000000;280000000;310000000;340000000;400000000})</f>
        <v>12500000</v>
      </c>
      <c r="J727" s="7" t="n">
        <f aca="false">I727*S727*T727*U727</f>
        <v>16912500</v>
      </c>
      <c r="K727" s="3"/>
      <c r="L727" s="3"/>
      <c r="M727" s="3"/>
      <c r="N727" s="9" t="n">
        <v>1</v>
      </c>
      <c r="O727" s="4" t="n">
        <v>0</v>
      </c>
      <c r="P727" s="5" t="n">
        <f aca="false">IF(COUNTIF([1]Base_Jugadores!J$2:J$500,B727)&gt;0,1,0)</f>
        <v>0</v>
      </c>
      <c r="Q727" s="10" t="b">
        <f aca="false">--(COUNTIFS(
   [1]Fichajes_Realizados!A$2:A$5000,A727,
   [1]Fichajes_Realizados!G$2:G$5000,$X$3
)&gt;0)</f>
        <v>0</v>
      </c>
      <c r="R727" s="5" t="n">
        <f aca="false">_xlfn.XLOOKUP(C727, [1]Estado_Equipos!A$2:A$500, [1]Estado_Equipos!J$2:J$500, "")</f>
        <v>74</v>
      </c>
      <c r="S727" s="5" t="n">
        <f aca="false">IF(H727&lt;=16,1.45,
IF(H727&gt;=41,0.3,
CHOOSE(ROUNDDOWN((H727-16)/2,0)+1,
1.45,1.38,1.3,1.23,1.17,1.15,1.12,1.05,0.95,0.8,0.6,0.4,0.3)))</f>
        <v>1.23</v>
      </c>
      <c r="T727" s="5" t="n">
        <f aca="false">CHOOSE(N727+1,1.2,1,0.85,0.7)</f>
        <v>1</v>
      </c>
      <c r="U727" s="5" t="n">
        <f aca="false">IF(F727="PO",0.6,
IF(F727="CT",0.75,
IF(F727="LI",0.8,
IF(F727="LD",0.8,
IF(F727="MCD",0.85,
IF(F727="MC",0.95,
IF(F727="MO",1.05,
IF(F727="EI",1.1,
IF(F727="ED",1.1,
IF(F727="SD",1.15,
IF(F727="DC",1.2,0)))))))))))</f>
        <v>1.1</v>
      </c>
    </row>
    <row r="728" customFormat="false" ht="16.4" hidden="false" customHeight="false" outlineLevel="0" collapsed="false">
      <c r="A728" s="1" t="n">
        <v>727</v>
      </c>
      <c r="B728" s="5" t="str">
        <f aca="false">[1]Base_Jugadores!B728</f>
        <v>Adam Aznou</v>
      </c>
      <c r="C728" s="5" t="str">
        <f aca="false">IFERROR(
   _xlfn.XLOOKUP(VALUE(A728),[1]Fichajes_Realizados!A$2:A$50000,[1]Fichajes_Realizados!D$2:D$50000,,0,-1),
   _xlfn.XLOOKUP(VALUE(A728),[1]Base_Jugadores!A$2:A$50000,[1]Base_Jugadores!C$2:C$50000)
)</f>
        <v>Everton FC</v>
      </c>
      <c r="D728" s="5" t="str">
        <f aca="false">[1]Base_Jugadores!D728</f>
        <v>Marruecos</v>
      </c>
      <c r="E728" s="3"/>
      <c r="F728" s="5" t="str">
        <f aca="false">[1]Base_Jugadores!E728</f>
        <v>LI</v>
      </c>
      <c r="G728" s="5" t="n">
        <f aca="false">[1]Base_Jugadores!F728</f>
        <v>64</v>
      </c>
      <c r="H728" s="5" t="n">
        <f aca="false">[1]Base_Jugadores!G728</f>
        <v>19</v>
      </c>
      <c r="I728" s="7" t="n">
        <f aca="false" t="array" ref="I728:I728">_xlfn.XLOOKUP(G728,{55;56;57;58;59;60;61;62;63;64;65;66;67;68;69;70;71;72;73;74;75;76;77;78;79;80;81;82;83;84;85;86;87;88;89;90;91;92;93;94;95;96;97;98;99},{100000;130000;160000;190000;220000;250000;300000;350000;400000;450000;500000;600000;700000;800000;900000;1000000;1500000;2000000;3000000;4000000;5000000;6500000;8000000;10000000;12500000;15000000;20000000;25000000;30000000;35000000;40000000;55000000;70000000;80000000;90000000;110000000;130000000;160000000;190000000;220000000;250000000;280000000;310000000;340000000;400000000})</f>
        <v>450000</v>
      </c>
      <c r="J728" s="7" t="n">
        <f aca="false">I728*S728*T728*U728</f>
        <v>422280</v>
      </c>
      <c r="K728" s="3"/>
      <c r="L728" s="3"/>
      <c r="M728" s="3"/>
      <c r="N728" s="9" t="n">
        <v>2</v>
      </c>
      <c r="O728" s="4" t="n">
        <v>0</v>
      </c>
      <c r="P728" s="5" t="n">
        <f aca="false">IF(COUNTIF([1]Base_Jugadores!J$2:J$500,B728)&gt;0,1,0)</f>
        <v>0</v>
      </c>
      <c r="Q728" s="10" t="b">
        <f aca="false">--(COUNTIFS(
   [1]Fichajes_Realizados!A$2:A$5000,A728,
   [1]Fichajes_Realizados!G$2:G$5000,$X$3
)&gt;0)</f>
        <v>0</v>
      </c>
      <c r="R728" s="5" t="n">
        <f aca="false">_xlfn.XLOOKUP(C728, [1]Estado_Equipos!A$2:A$500, [1]Estado_Equipos!J$2:J$500, "")</f>
        <v>74</v>
      </c>
      <c r="S728" s="5" t="n">
        <f aca="false">IF(H728&lt;=16,1.45,
IF(H728&gt;=41,0.3,
CHOOSE(ROUNDDOWN((H728-16)/2,0)+1,
1.45,1.38,1.3,1.23,1.17,1.15,1.12,1.05,0.95,0.8,0.6,0.4,0.3)))</f>
        <v>1.38</v>
      </c>
      <c r="T728" s="5" t="n">
        <f aca="false">CHOOSE(N728+1,1.2,1,0.85,0.7)</f>
        <v>0.85</v>
      </c>
      <c r="U728" s="5" t="n">
        <f aca="false">IF(F728="PO",0.6,
IF(F728="CT",0.75,
IF(F728="LI",0.8,
IF(F728="LD",0.8,
IF(F728="MCD",0.85,
IF(F728="MC",0.95,
IF(F728="MO",1.05,
IF(F728="EI",1.1,
IF(F728="ED",1.1,
IF(F728="SD",1.15,
IF(F728="DC",1.2,0)))))))))))</f>
        <v>0.8</v>
      </c>
    </row>
    <row r="729" customFormat="false" ht="16.4" hidden="false" customHeight="false" outlineLevel="0" collapsed="false">
      <c r="A729" s="1" t="n">
        <v>728</v>
      </c>
      <c r="B729" s="5" t="str">
        <f aca="false">[1]Base_Jugadores!B729</f>
        <v>Beto</v>
      </c>
      <c r="C729" s="5" t="str">
        <f aca="false">IFERROR(
   _xlfn.XLOOKUP(VALUE(A729),[1]Fichajes_Realizados!A$2:A$50000,[1]Fichajes_Realizados!D$2:D$50000,,0,-1),
   _xlfn.XLOOKUP(VALUE(A729),[1]Base_Jugadores!A$2:A$50000,[1]Base_Jugadores!C$2:C$50000)
)</f>
        <v>Everton FC</v>
      </c>
      <c r="D729" s="5" t="str">
        <f aca="false">[1]Base_Jugadores!D729</f>
        <v>Guinea-Bissau</v>
      </c>
      <c r="E729" s="3"/>
      <c r="F729" s="5" t="str">
        <f aca="false">[1]Base_Jugadores!E729</f>
        <v>DC</v>
      </c>
      <c r="G729" s="5" t="n">
        <f aca="false">[1]Base_Jugadores!F729</f>
        <v>77</v>
      </c>
      <c r="H729" s="5" t="n">
        <f aca="false">[1]Base_Jugadores!G729</f>
        <v>27</v>
      </c>
      <c r="I729" s="7" t="n">
        <f aca="false" t="array" ref="I729:I729">_xlfn.XLOOKUP(G729,{55;56;57;58;59;60;61;62;63;64;65;66;67;68;69;70;71;72;73;74;75;76;77;78;79;80;81;82;83;84;85;86;87;88;89;90;91;92;93;94;95;96;97;98;99},{100000;130000;160000;190000;220000;250000;300000;350000;400000;450000;500000;600000;700000;800000;900000;1000000;1500000;2000000;3000000;4000000;5000000;6500000;8000000;10000000;12500000;15000000;20000000;25000000;30000000;35000000;40000000;55000000;70000000;80000000;90000000;110000000;130000000;160000000;190000000;220000000;250000000;280000000;310000000;340000000;400000000})</f>
        <v>8000000</v>
      </c>
      <c r="J729" s="7" t="n">
        <f aca="false">I729*S729*T729*U729</f>
        <v>13248000</v>
      </c>
      <c r="K729" s="3"/>
      <c r="L729" s="3"/>
      <c r="M729" s="3"/>
      <c r="N729" s="9" t="n">
        <v>0</v>
      </c>
      <c r="O729" s="4" t="n">
        <v>0</v>
      </c>
      <c r="P729" s="5" t="n">
        <f aca="false">IF(COUNTIF([1]Base_Jugadores!J$2:J$500,B729)&gt;0,1,0)</f>
        <v>0</v>
      </c>
      <c r="Q729" s="10" t="b">
        <f aca="false">--(COUNTIFS(
   [1]Fichajes_Realizados!A$2:A$5000,A729,
   [1]Fichajes_Realizados!G$2:G$5000,$X$3
)&gt;0)</f>
        <v>0</v>
      </c>
      <c r="R729" s="5" t="n">
        <f aca="false">_xlfn.XLOOKUP(C729, [1]Estado_Equipos!A$2:A$500, [1]Estado_Equipos!J$2:J$500, "")</f>
        <v>74</v>
      </c>
      <c r="S729" s="5" t="n">
        <f aca="false">IF(H729&lt;=16,1.45,
IF(H729&gt;=41,0.3,
CHOOSE(ROUNDDOWN((H729-16)/2,0)+1,
1.45,1.38,1.3,1.23,1.17,1.15,1.12,1.05,0.95,0.8,0.6,0.4,0.3)))</f>
        <v>1.15</v>
      </c>
      <c r="T729" s="5" t="n">
        <f aca="false">CHOOSE(N729+1,1.2,1,0.85,0.7)</f>
        <v>1.2</v>
      </c>
      <c r="U729" s="5" t="n">
        <f aca="false">IF(F729="PO",0.6,
IF(F729="CT",0.75,
IF(F729="LI",0.8,
IF(F729="LD",0.8,
IF(F729="MCD",0.85,
IF(F729="MC",0.95,
IF(F729="MO",1.05,
IF(F729="EI",1.1,
IF(F729="ED",1.1,
IF(F729="SD",1.15,
IF(F729="DC",1.2,0)))))))))))</f>
        <v>1.2</v>
      </c>
    </row>
    <row r="730" customFormat="false" ht="16.4" hidden="false" customHeight="false" outlineLevel="0" collapsed="false">
      <c r="A730" s="1" t="n">
        <v>729</v>
      </c>
      <c r="B730" s="5" t="str">
        <f aca="false">[1]Base_Jugadores!B730</f>
        <v>Carlos Alcaraz</v>
      </c>
      <c r="C730" s="5" t="str">
        <f aca="false">IFERROR(
   _xlfn.XLOOKUP(VALUE(A730),[1]Fichajes_Realizados!A$2:A$50000,[1]Fichajes_Realizados!D$2:D$50000,,0,-1),
   _xlfn.XLOOKUP(VALUE(A730),[1]Base_Jugadores!A$2:A$50000,[1]Base_Jugadores!C$2:C$50000)
)</f>
        <v>Everton FC</v>
      </c>
      <c r="D730" s="5" t="str">
        <f aca="false">[1]Base_Jugadores!D730</f>
        <v>Argentina</v>
      </c>
      <c r="E730" s="3"/>
      <c r="F730" s="5" t="str">
        <f aca="false">[1]Base_Jugadores!E730</f>
        <v>MC</v>
      </c>
      <c r="G730" s="5" t="n">
        <f aca="false">[1]Base_Jugadores!F730</f>
        <v>75</v>
      </c>
      <c r="H730" s="5" t="n">
        <f aca="false">[1]Base_Jugadores!G730</f>
        <v>23</v>
      </c>
      <c r="I730" s="7" t="n">
        <f aca="false" t="array" ref="I730:I730">_xlfn.XLOOKUP(G730,{55;56;57;58;59;60;61;62;63;64;65;66;67;68;69;70;71;72;73;74;75;76;77;78;79;80;81;82;83;84;85;86;87;88;89;90;91;92;93;94;95;96;97;98;99},{100000;130000;160000;190000;220000;250000;300000;350000;400000;450000;500000;600000;700000;800000;900000;1000000;1500000;2000000;3000000;4000000;5000000;6500000;8000000;10000000;12500000;15000000;20000000;25000000;30000000;35000000;40000000;55000000;70000000;80000000;90000000;110000000;130000000;160000000;190000000;220000000;250000000;280000000;310000000;340000000;400000000})</f>
        <v>5000000</v>
      </c>
      <c r="J730" s="7" t="n">
        <f aca="false">I730*S730*T730*U730</f>
        <v>5842500</v>
      </c>
      <c r="K730" s="3"/>
      <c r="L730" s="3"/>
      <c r="M730" s="3"/>
      <c r="N730" s="9" t="n">
        <v>1</v>
      </c>
      <c r="O730" s="4" t="n">
        <v>0</v>
      </c>
      <c r="P730" s="5" t="n">
        <f aca="false">IF(COUNTIF([1]Base_Jugadores!J$2:J$500,B730)&gt;0,1,0)</f>
        <v>0</v>
      </c>
      <c r="Q730" s="10" t="b">
        <f aca="false">--(COUNTIFS(
   [1]Fichajes_Realizados!A$2:A$5000,A730,
   [1]Fichajes_Realizados!G$2:G$5000,$X$3
)&gt;0)</f>
        <v>0</v>
      </c>
      <c r="R730" s="5" t="n">
        <f aca="false">_xlfn.XLOOKUP(C730, [1]Estado_Equipos!A$2:A$500, [1]Estado_Equipos!J$2:J$500, "")</f>
        <v>74</v>
      </c>
      <c r="S730" s="5" t="n">
        <f aca="false">IF(H730&lt;=16,1.45,
IF(H730&gt;=41,0.3,
CHOOSE(ROUNDDOWN((H730-16)/2,0)+1,
1.45,1.38,1.3,1.23,1.17,1.15,1.12,1.05,0.95,0.8,0.6,0.4,0.3)))</f>
        <v>1.23</v>
      </c>
      <c r="T730" s="5" t="n">
        <f aca="false">CHOOSE(N730+1,1.2,1,0.85,0.7)</f>
        <v>1</v>
      </c>
      <c r="U730" s="5" t="n">
        <f aca="false">IF(F730="PO",0.6,
IF(F730="CT",0.75,
IF(F730="LI",0.8,
IF(F730="LD",0.8,
IF(F730="MCD",0.85,
IF(F730="MC",0.95,
IF(F730="MO",1.05,
IF(F730="EI",1.1,
IF(F730="ED",1.1,
IF(F730="SD",1.15,
IF(F730="DC",1.2,0)))))))))))</f>
        <v>0.95</v>
      </c>
    </row>
    <row r="731" customFormat="false" ht="16.4" hidden="false" customHeight="false" outlineLevel="0" collapsed="false">
      <c r="A731" s="1" t="n">
        <v>730</v>
      </c>
      <c r="B731" s="5" t="str">
        <f aca="false">[1]Base_Jugadores!B731</f>
        <v>Dwight McNeil</v>
      </c>
      <c r="C731" s="5" t="str">
        <f aca="false">IFERROR(
   _xlfn.XLOOKUP(VALUE(A731),[1]Fichajes_Realizados!A$2:A$50000,[1]Fichajes_Realizados!D$2:D$50000,,0,-1),
   _xlfn.XLOOKUP(VALUE(A731),[1]Base_Jugadores!A$2:A$50000,[1]Base_Jugadores!C$2:C$50000)
)</f>
        <v>Everton FC</v>
      </c>
      <c r="D731" s="5" t="str">
        <f aca="false">[1]Base_Jugadores!D731</f>
        <v>Inglaterra</v>
      </c>
      <c r="E731" s="3"/>
      <c r="F731" s="5" t="str">
        <f aca="false">[1]Base_Jugadores!E731</f>
        <v>EI</v>
      </c>
      <c r="G731" s="5" t="n">
        <f aca="false">[1]Base_Jugadores!F731</f>
        <v>78</v>
      </c>
      <c r="H731" s="5" t="n">
        <f aca="false">[1]Base_Jugadores!G731</f>
        <v>26</v>
      </c>
      <c r="I731" s="7" t="n">
        <f aca="false" t="array" ref="I731:I731">_xlfn.XLOOKUP(G731,{55;56;57;58;59;60;61;62;63;64;65;66;67;68;69;70;71;72;73;74;75;76;77;78;79;80;81;82;83;84;85;86;87;88;89;90;91;92;93;94;95;96;97;98;99},{100000;130000;160000;190000;220000;250000;300000;350000;400000;450000;500000;600000;700000;800000;900000;1000000;1500000;2000000;3000000;4000000;5000000;6500000;8000000;10000000;12500000;15000000;20000000;25000000;30000000;35000000;40000000;55000000;70000000;80000000;90000000;110000000;130000000;160000000;190000000;220000000;250000000;280000000;310000000;340000000;400000000})</f>
        <v>10000000</v>
      </c>
      <c r="J731" s="7" t="n">
        <f aca="false">I731*S731*T731*U731</f>
        <v>12650000</v>
      </c>
      <c r="K731" s="3"/>
      <c r="L731" s="3"/>
      <c r="M731" s="3"/>
      <c r="N731" s="9" t="n">
        <v>1</v>
      </c>
      <c r="O731" s="4" t="n">
        <v>0</v>
      </c>
      <c r="P731" s="5" t="n">
        <f aca="false">IF(COUNTIF([1]Base_Jugadores!J$2:J$500,B731)&gt;0,1,0)</f>
        <v>0</v>
      </c>
      <c r="Q731" s="10" t="b">
        <f aca="false">--(COUNTIFS(
   [1]Fichajes_Realizados!A$2:A$5000,A731,
   [1]Fichajes_Realizados!G$2:G$5000,$X$3
)&gt;0)</f>
        <v>0</v>
      </c>
      <c r="R731" s="5" t="n">
        <f aca="false">_xlfn.XLOOKUP(C731, [1]Estado_Equipos!A$2:A$500, [1]Estado_Equipos!J$2:J$500, "")</f>
        <v>74</v>
      </c>
      <c r="S731" s="5" t="n">
        <f aca="false">IF(H731&lt;=16,1.45,
IF(H731&gt;=41,0.3,
CHOOSE(ROUNDDOWN((H731-16)/2,0)+1,
1.45,1.38,1.3,1.23,1.17,1.15,1.12,1.05,0.95,0.8,0.6,0.4,0.3)))</f>
        <v>1.15</v>
      </c>
      <c r="T731" s="5" t="n">
        <f aca="false">CHOOSE(N731+1,1.2,1,0.85,0.7)</f>
        <v>1</v>
      </c>
      <c r="U731" s="5" t="n">
        <f aca="false">IF(F731="PO",0.6,
IF(F731="CT",0.75,
IF(F731="LI",0.8,
IF(F731="LD",0.8,
IF(F731="MCD",0.85,
IF(F731="MC",0.95,
IF(F731="MO",1.05,
IF(F731="EI",1.1,
IF(F731="ED",1.1,
IF(F731="SD",1.15,
IF(F731="DC",1.2,0)))))))))))</f>
        <v>1.1</v>
      </c>
    </row>
    <row r="732" customFormat="false" ht="16.4" hidden="false" customHeight="false" outlineLevel="0" collapsed="false">
      <c r="A732" s="1" t="n">
        <v>731</v>
      </c>
      <c r="B732" s="5" t="str">
        <f aca="false">[1]Base_Jugadores!B732</f>
        <v>Harry Tyrer</v>
      </c>
      <c r="C732" s="5" t="str">
        <f aca="false">IFERROR(
   _xlfn.XLOOKUP(VALUE(A732),[1]Fichajes_Realizados!A$2:A$50000,[1]Fichajes_Realizados!D$2:D$50000,,0,-1),
   _xlfn.XLOOKUP(VALUE(A732),[1]Base_Jugadores!A$2:A$50000,[1]Base_Jugadores!C$2:C$50000)
)</f>
        <v>Everton FC</v>
      </c>
      <c r="D732" s="5" t="str">
        <f aca="false">[1]Base_Jugadores!D732</f>
        <v>Inglaterra</v>
      </c>
      <c r="E732" s="3"/>
      <c r="F732" s="5" t="str">
        <f aca="false">[1]Base_Jugadores!E732</f>
        <v>PO</v>
      </c>
      <c r="G732" s="5" t="n">
        <f aca="false">[1]Base_Jugadores!F732</f>
        <v>62</v>
      </c>
      <c r="H732" s="5" t="n">
        <f aca="false">[1]Base_Jugadores!G732</f>
        <v>24</v>
      </c>
      <c r="I732" s="7" t="n">
        <f aca="false" t="array" ref="I732:I732">_xlfn.XLOOKUP(G732,{55;56;57;58;59;60;61;62;63;64;65;66;67;68;69;70;71;72;73;74;75;76;77;78;79;80;81;82;83;84;85;86;87;88;89;90;91;92;93;94;95;96;97;98;99},{100000;130000;160000;190000;220000;250000;300000;350000;400000;450000;500000;600000;700000;800000;900000;1000000;1500000;2000000;3000000;4000000;5000000;6500000;8000000;10000000;12500000;15000000;20000000;25000000;30000000;35000000;40000000;55000000;70000000;80000000;90000000;110000000;130000000;160000000;190000000;220000000;250000000;280000000;310000000;340000000;400000000})</f>
        <v>350000</v>
      </c>
      <c r="J732" s="7" t="n">
        <f aca="false">I732*S732*T732*U732</f>
        <v>208845</v>
      </c>
      <c r="K732" s="3"/>
      <c r="L732" s="3"/>
      <c r="M732" s="3"/>
      <c r="N732" s="9" t="n">
        <v>2</v>
      </c>
      <c r="O732" s="4" t="n">
        <v>0</v>
      </c>
      <c r="P732" s="5" t="n">
        <f aca="false">IF(COUNTIF([1]Base_Jugadores!J$2:J$500,B732)&gt;0,1,0)</f>
        <v>0</v>
      </c>
      <c r="Q732" s="10" t="b">
        <f aca="false">--(COUNTIFS(
   [1]Fichajes_Realizados!A$2:A$5000,A732,
   [1]Fichajes_Realizados!G$2:G$5000,$X$3
)&gt;0)</f>
        <v>0</v>
      </c>
      <c r="R732" s="5" t="n">
        <f aca="false">_xlfn.XLOOKUP(C732, [1]Estado_Equipos!A$2:A$500, [1]Estado_Equipos!J$2:J$500, "")</f>
        <v>74</v>
      </c>
      <c r="S732" s="5" t="n">
        <f aca="false">IF(H732&lt;=16,1.45,
IF(H732&gt;=41,0.3,
CHOOSE(ROUNDDOWN((H732-16)/2,0)+1,
1.45,1.38,1.3,1.23,1.17,1.15,1.12,1.05,0.95,0.8,0.6,0.4,0.3)))</f>
        <v>1.17</v>
      </c>
      <c r="T732" s="5" t="n">
        <f aca="false">CHOOSE(N732+1,1.2,1,0.85,0.7)</f>
        <v>0.85</v>
      </c>
      <c r="U732" s="5" t="n">
        <f aca="false">IF(F732="PO",0.6,
IF(F732="CT",0.75,
IF(F732="LI",0.8,
IF(F732="LD",0.8,
IF(F732="MCD",0.85,
IF(F732="MC",0.95,
IF(F732="MO",1.05,
IF(F732="EI",1.1,
IF(F732="ED",1.1,
IF(F732="SD",1.15,
IF(F732="DC",1.2,0)))))))))))</f>
        <v>0.6</v>
      </c>
    </row>
    <row r="733" customFormat="false" ht="16.4" hidden="false" customHeight="false" outlineLevel="0" collapsed="false">
      <c r="A733" s="1" t="n">
        <v>732</v>
      </c>
      <c r="B733" s="5" t="str">
        <f aca="false">[1]Base_Jugadores!B733</f>
        <v>Idrissa G. Gueye</v>
      </c>
      <c r="C733" s="5" t="str">
        <f aca="false">IFERROR(
   _xlfn.XLOOKUP(VALUE(A733),[1]Fichajes_Realizados!A$2:A$50000,[1]Fichajes_Realizados!D$2:D$50000,,0,-1),
   _xlfn.XLOOKUP(VALUE(A733),[1]Base_Jugadores!A$2:A$50000,[1]Base_Jugadores!C$2:C$50000)
)</f>
        <v>Everton FC</v>
      </c>
      <c r="D733" s="5" t="str">
        <f aca="false">[1]Base_Jugadores!D733</f>
        <v>Senegal</v>
      </c>
      <c r="E733" s="3"/>
      <c r="F733" s="5" t="str">
        <f aca="false">[1]Base_Jugadores!E733</f>
        <v>MCD</v>
      </c>
      <c r="G733" s="5" t="n">
        <f aca="false">[1]Base_Jugadores!F733</f>
        <v>76</v>
      </c>
      <c r="H733" s="5" t="n">
        <f aca="false">[1]Base_Jugadores!G733</f>
        <v>36</v>
      </c>
      <c r="I733" s="7" t="n">
        <f aca="false" t="array" ref="I733:I733">_xlfn.XLOOKUP(G733,{55;56;57;58;59;60;61;62;63;64;65;66;67;68;69;70;71;72;73;74;75;76;77;78;79;80;81;82;83;84;85;86;87;88;89;90;91;92;93;94;95;96;97;98;99},{100000;130000;160000;190000;220000;250000;300000;350000;400000;450000;500000;600000;700000;800000;900000;1000000;1500000;2000000;3000000;4000000;5000000;6500000;8000000;10000000;12500000;15000000;20000000;25000000;30000000;35000000;40000000;55000000;70000000;80000000;90000000;110000000;130000000;160000000;190000000;220000000;250000000;280000000;310000000;340000000;400000000})</f>
        <v>6500000</v>
      </c>
      <c r="J733" s="7" t="n">
        <f aca="false">I733*S733*T733*U733</f>
        <v>3978000</v>
      </c>
      <c r="K733" s="3"/>
      <c r="L733" s="3"/>
      <c r="M733" s="3"/>
      <c r="N733" s="9" t="n">
        <v>0</v>
      </c>
      <c r="O733" s="4" t="n">
        <v>0</v>
      </c>
      <c r="P733" s="5" t="n">
        <f aca="false">IF(COUNTIF([1]Base_Jugadores!J$2:J$500,B733)&gt;0,1,0)</f>
        <v>0</v>
      </c>
      <c r="Q733" s="10" t="b">
        <f aca="false">--(COUNTIFS(
   [1]Fichajes_Realizados!A$2:A$5000,A733,
   [1]Fichajes_Realizados!G$2:G$5000,$X$3
)&gt;0)</f>
        <v>0</v>
      </c>
      <c r="R733" s="5" t="n">
        <f aca="false">_xlfn.XLOOKUP(C733, [1]Estado_Equipos!A$2:A$500, [1]Estado_Equipos!J$2:J$500, "")</f>
        <v>74</v>
      </c>
      <c r="S733" s="5" t="n">
        <f aca="false">IF(H733&lt;=16,1.45,
IF(H733&gt;=41,0.3,
CHOOSE(ROUNDDOWN((H733-16)/2,0)+1,
1.45,1.38,1.3,1.23,1.17,1.15,1.12,1.05,0.95,0.8,0.6,0.4,0.3)))</f>
        <v>0.6</v>
      </c>
      <c r="T733" s="5" t="n">
        <f aca="false">CHOOSE(N733+1,1.2,1,0.85,0.7)</f>
        <v>1.2</v>
      </c>
      <c r="U733" s="5" t="n">
        <f aca="false">IF(F733="PO",0.6,
IF(F733="CT",0.75,
IF(F733="LI",0.8,
IF(F733="LD",0.8,
IF(F733="MCD",0.85,
IF(F733="MC",0.95,
IF(F733="MO",1.05,
IF(F733="EI",1.1,
IF(F733="ED",1.1,
IF(F733="SD",1.15,
IF(F733="DC",1.2,0)))))))))))</f>
        <v>0.85</v>
      </c>
    </row>
    <row r="734" customFormat="false" ht="16.4" hidden="false" customHeight="false" outlineLevel="0" collapsed="false">
      <c r="A734" s="1" t="n">
        <v>733</v>
      </c>
      <c r="B734" s="5" t="str">
        <f aca="false">[1]Base_Jugadores!B734</f>
        <v>Iliman Ndiaye</v>
      </c>
      <c r="C734" s="5" t="str">
        <f aca="false">IFERROR(
   _xlfn.XLOOKUP(VALUE(A734),[1]Fichajes_Realizados!A$2:A$50000,[1]Fichajes_Realizados!D$2:D$50000,,0,-1),
   _xlfn.XLOOKUP(VALUE(A734),[1]Base_Jugadores!A$2:A$50000,[1]Base_Jugadores!C$2:C$50000)
)</f>
        <v>Everton FC</v>
      </c>
      <c r="D734" s="5" t="str">
        <f aca="false">[1]Base_Jugadores!D734</f>
        <v>Senegal</v>
      </c>
      <c r="E734" s="3"/>
      <c r="F734" s="5" t="str">
        <f aca="false">[1]Base_Jugadores!E734</f>
        <v>ED</v>
      </c>
      <c r="G734" s="5" t="n">
        <f aca="false">[1]Base_Jugadores!F734</f>
        <v>75</v>
      </c>
      <c r="H734" s="5" t="n">
        <f aca="false">[1]Base_Jugadores!G734</f>
        <v>25</v>
      </c>
      <c r="I734" s="7" t="n">
        <f aca="false" t="array" ref="I734:I734">_xlfn.XLOOKUP(G734,{55;56;57;58;59;60;61;62;63;64;65;66;67;68;69;70;71;72;73;74;75;76;77;78;79;80;81;82;83;84;85;86;87;88;89;90;91;92;93;94;95;96;97;98;99},{100000;130000;160000;190000;220000;250000;300000;350000;400000;450000;500000;600000;700000;800000;900000;1000000;1500000;2000000;3000000;4000000;5000000;6500000;8000000;10000000;12500000;15000000;20000000;25000000;30000000;35000000;40000000;55000000;70000000;80000000;90000000;110000000;130000000;160000000;190000000;220000000;250000000;280000000;310000000;340000000;400000000})</f>
        <v>5000000</v>
      </c>
      <c r="J734" s="7" t="n">
        <f aca="false">I734*S734*T734*U734</f>
        <v>7722000</v>
      </c>
      <c r="K734" s="3"/>
      <c r="L734" s="3"/>
      <c r="M734" s="3"/>
      <c r="N734" s="9" t="n">
        <v>0</v>
      </c>
      <c r="O734" s="4" t="n">
        <v>0</v>
      </c>
      <c r="P734" s="5" t="n">
        <f aca="false">IF(COUNTIF([1]Base_Jugadores!J$2:J$500,B734)&gt;0,1,0)</f>
        <v>0</v>
      </c>
      <c r="Q734" s="10" t="b">
        <f aca="false">--(COUNTIFS(
   [1]Fichajes_Realizados!A$2:A$5000,A734,
   [1]Fichajes_Realizados!G$2:G$5000,$X$3
)&gt;0)</f>
        <v>0</v>
      </c>
      <c r="R734" s="5" t="n">
        <f aca="false">_xlfn.XLOOKUP(C734, [1]Estado_Equipos!A$2:A$500, [1]Estado_Equipos!J$2:J$500, "")</f>
        <v>74</v>
      </c>
      <c r="S734" s="5" t="n">
        <f aca="false">IF(H734&lt;=16,1.45,
IF(H734&gt;=41,0.3,
CHOOSE(ROUNDDOWN((H734-16)/2,0)+1,
1.45,1.38,1.3,1.23,1.17,1.15,1.12,1.05,0.95,0.8,0.6,0.4,0.3)))</f>
        <v>1.17</v>
      </c>
      <c r="T734" s="5" t="n">
        <f aca="false">CHOOSE(N734+1,1.2,1,0.85,0.7)</f>
        <v>1.2</v>
      </c>
      <c r="U734" s="5" t="n">
        <f aca="false">IF(F734="PO",0.6,
IF(F734="CT",0.75,
IF(F734="LI",0.8,
IF(F734="LD",0.8,
IF(F734="MCD",0.85,
IF(F734="MC",0.95,
IF(F734="MO",1.05,
IF(F734="EI",1.1,
IF(F734="ED",1.1,
IF(F734="SD",1.15,
IF(F734="DC",1.2,0)))))))))))</f>
        <v>1.1</v>
      </c>
    </row>
    <row r="735" customFormat="false" ht="16.4" hidden="false" customHeight="false" outlineLevel="0" collapsed="false">
      <c r="A735" s="1" t="n">
        <v>734</v>
      </c>
      <c r="B735" s="5" t="str">
        <f aca="false">[1]Base_Jugadores!B735</f>
        <v>Jack Grealish</v>
      </c>
      <c r="C735" s="5" t="str">
        <f aca="false">IFERROR(
   _xlfn.XLOOKUP(VALUE(A735),[1]Fichajes_Realizados!A$2:A$50000,[1]Fichajes_Realizados!D$2:D$50000,,0,-1),
   _xlfn.XLOOKUP(VALUE(A735),[1]Base_Jugadores!A$2:A$50000,[1]Base_Jugadores!C$2:C$50000)
)</f>
        <v>Everton FC</v>
      </c>
      <c r="D735" s="5" t="str">
        <f aca="false">[1]Base_Jugadores!D735</f>
        <v>Inglaterra</v>
      </c>
      <c r="E735" s="3"/>
      <c r="F735" s="5" t="str">
        <f aca="false">[1]Base_Jugadores!E735</f>
        <v>EI</v>
      </c>
      <c r="G735" s="5" t="n">
        <f aca="false">[1]Base_Jugadores!F735</f>
        <v>81</v>
      </c>
      <c r="H735" s="5" t="n">
        <f aca="false">[1]Base_Jugadores!G735</f>
        <v>30</v>
      </c>
      <c r="I735" s="7" t="n">
        <f aca="false" t="array" ref="I735:I735">_xlfn.XLOOKUP(G735,{55;56;57;58;59;60;61;62;63;64;65;66;67;68;69;70;71;72;73;74;75;76;77;78;79;80;81;82;83;84;85;86;87;88;89;90;91;92;93;94;95;96;97;98;99},{100000;130000;160000;190000;220000;250000;300000;350000;400000;450000;500000;600000;700000;800000;900000;1000000;1500000;2000000;3000000;4000000;5000000;6500000;8000000;10000000;12500000;15000000;20000000;25000000;30000000;35000000;40000000;55000000;70000000;80000000;90000000;110000000;130000000;160000000;190000000;220000000;250000000;280000000;310000000;340000000;400000000})</f>
        <v>20000000</v>
      </c>
      <c r="J735" s="7" t="n">
        <f aca="false">I735*S735*T735*U735</f>
        <v>27720000</v>
      </c>
      <c r="K735" s="3"/>
      <c r="L735" s="3"/>
      <c r="M735" s="3"/>
      <c r="N735" s="9" t="n">
        <v>0</v>
      </c>
      <c r="O735" s="4" t="n">
        <v>0</v>
      </c>
      <c r="P735" s="5" t="n">
        <f aca="false">IF(COUNTIF([1]Base_Jugadores!J$2:J$500,B735)&gt;0,1,0)</f>
        <v>0</v>
      </c>
      <c r="Q735" s="10" t="b">
        <f aca="false">--(COUNTIFS(
   [1]Fichajes_Realizados!A$2:A$5000,A735,
   [1]Fichajes_Realizados!G$2:G$5000,$X$3
)&gt;0)</f>
        <v>0</v>
      </c>
      <c r="R735" s="5" t="n">
        <f aca="false">_xlfn.XLOOKUP(C735, [1]Estado_Equipos!A$2:A$500, [1]Estado_Equipos!J$2:J$500, "")</f>
        <v>74</v>
      </c>
      <c r="S735" s="5" t="n">
        <f aca="false">IF(H735&lt;=16,1.45,
IF(H735&gt;=41,0.3,
CHOOSE(ROUNDDOWN((H735-16)/2,0)+1,
1.45,1.38,1.3,1.23,1.17,1.15,1.12,1.05,0.95,0.8,0.6,0.4,0.3)))</f>
        <v>1.05</v>
      </c>
      <c r="T735" s="5" t="n">
        <f aca="false">CHOOSE(N735+1,1.2,1,0.85,0.7)</f>
        <v>1.2</v>
      </c>
      <c r="U735" s="5" t="n">
        <f aca="false">IF(F735="PO",0.6,
IF(F735="CT",0.75,
IF(F735="LI",0.8,
IF(F735="LD",0.8,
IF(F735="MCD",0.85,
IF(F735="MC",0.95,
IF(F735="MO",1.05,
IF(F735="EI",1.1,
IF(F735="ED",1.1,
IF(F735="SD",1.15,
IF(F735="DC",1.2,0)))))))))))</f>
        <v>1.1</v>
      </c>
    </row>
    <row r="736" customFormat="false" ht="16.4" hidden="false" customHeight="false" outlineLevel="0" collapsed="false">
      <c r="A736" s="1" t="n">
        <v>735</v>
      </c>
      <c r="B736" s="5" t="str">
        <f aca="false">[1]Base_Jugadores!B736</f>
        <v>Jake O'Brien</v>
      </c>
      <c r="C736" s="5" t="str">
        <f aca="false">IFERROR(
   _xlfn.XLOOKUP(VALUE(A736),[1]Fichajes_Realizados!A$2:A$50000,[1]Fichajes_Realizados!D$2:D$50000,,0,-1),
   _xlfn.XLOOKUP(VALUE(A736),[1]Base_Jugadores!A$2:A$50000,[1]Base_Jugadores!C$2:C$50000)
)</f>
        <v>Everton FC</v>
      </c>
      <c r="D736" s="5" t="str">
        <f aca="false">[1]Base_Jugadores!D736</f>
        <v>Irlanda</v>
      </c>
      <c r="E736" s="3"/>
      <c r="F736" s="5" t="str">
        <f aca="false">[1]Base_Jugadores!E736</f>
        <v>LD</v>
      </c>
      <c r="G736" s="5" t="n">
        <f aca="false">[1]Base_Jugadores!F736</f>
        <v>72</v>
      </c>
      <c r="H736" s="5" t="n">
        <f aca="false">[1]Base_Jugadores!G736</f>
        <v>24</v>
      </c>
      <c r="I736" s="7" t="n">
        <f aca="false" t="array" ref="I736:I736">_xlfn.XLOOKUP(G736,{55;56;57;58;59;60;61;62;63;64;65;66;67;68;69;70;71;72;73;74;75;76;77;78;79;80;81;82;83;84;85;86;87;88;89;90;91;92;93;94;95;96;97;98;99},{100000;130000;160000;190000;220000;250000;300000;350000;400000;450000;500000;600000;700000;800000;900000;1000000;1500000;2000000;3000000;4000000;5000000;6500000;8000000;10000000;12500000;15000000;20000000;25000000;30000000;35000000;40000000;55000000;70000000;80000000;90000000;110000000;130000000;160000000;190000000;220000000;250000000;280000000;310000000;340000000;400000000})</f>
        <v>2000000</v>
      </c>
      <c r="J736" s="7" t="n">
        <f aca="false">I736*S736*T736*U736</f>
        <v>1591200</v>
      </c>
      <c r="K736" s="3"/>
      <c r="L736" s="3"/>
      <c r="M736" s="3"/>
      <c r="N736" s="9" t="n">
        <v>2</v>
      </c>
      <c r="O736" s="4" t="n">
        <v>0</v>
      </c>
      <c r="P736" s="5" t="n">
        <f aca="false">IF(COUNTIF([1]Base_Jugadores!J$2:J$500,B736)&gt;0,1,0)</f>
        <v>0</v>
      </c>
      <c r="Q736" s="10" t="b">
        <f aca="false">--(COUNTIFS(
   [1]Fichajes_Realizados!A$2:A$5000,A736,
   [1]Fichajes_Realizados!G$2:G$5000,$X$3
)&gt;0)</f>
        <v>0</v>
      </c>
      <c r="R736" s="5" t="n">
        <f aca="false">_xlfn.XLOOKUP(C736, [1]Estado_Equipos!A$2:A$500, [1]Estado_Equipos!J$2:J$500, "")</f>
        <v>74</v>
      </c>
      <c r="S736" s="5" t="n">
        <f aca="false">IF(H736&lt;=16,1.45,
IF(H736&gt;=41,0.3,
CHOOSE(ROUNDDOWN((H736-16)/2,0)+1,
1.45,1.38,1.3,1.23,1.17,1.15,1.12,1.05,0.95,0.8,0.6,0.4,0.3)))</f>
        <v>1.17</v>
      </c>
      <c r="T736" s="5" t="n">
        <f aca="false">CHOOSE(N736+1,1.2,1,0.85,0.7)</f>
        <v>0.85</v>
      </c>
      <c r="U736" s="5" t="n">
        <f aca="false">IF(F736="PO",0.6,
IF(F736="CT",0.75,
IF(F736="LI",0.8,
IF(F736="LD",0.8,
IF(F736="MCD",0.85,
IF(F736="MC",0.95,
IF(F736="MO",1.05,
IF(F736="EI",1.1,
IF(F736="ED",1.1,
IF(F736="SD",1.15,
IF(F736="DC",1.2,0)))))))))))</f>
        <v>0.8</v>
      </c>
    </row>
    <row r="737" customFormat="false" ht="16.4" hidden="false" customHeight="false" outlineLevel="0" collapsed="false">
      <c r="A737" s="1" t="n">
        <v>736</v>
      </c>
      <c r="B737" s="5" t="str">
        <f aca="false">[1]Base_Jugadores!B737</f>
        <v>James Garner</v>
      </c>
      <c r="C737" s="5" t="str">
        <f aca="false">IFERROR(
   _xlfn.XLOOKUP(VALUE(A737),[1]Fichajes_Realizados!A$2:A$50000,[1]Fichajes_Realizados!D$2:D$50000,,0,-1),
   _xlfn.XLOOKUP(VALUE(A737),[1]Base_Jugadores!A$2:A$50000,[1]Base_Jugadores!C$2:C$50000)
)</f>
        <v>Everton FC</v>
      </c>
      <c r="D737" s="5" t="str">
        <f aca="false">[1]Base_Jugadores!D737</f>
        <v>Inglaterra</v>
      </c>
      <c r="E737" s="3"/>
      <c r="F737" s="5" t="str">
        <f aca="false">[1]Base_Jugadores!E737</f>
        <v>MCD</v>
      </c>
      <c r="G737" s="5" t="n">
        <f aca="false">[1]Base_Jugadores!F737</f>
        <v>75</v>
      </c>
      <c r="H737" s="5" t="n">
        <f aca="false">[1]Base_Jugadores!G737</f>
        <v>24</v>
      </c>
      <c r="I737" s="7" t="n">
        <f aca="false" t="array" ref="I737:I737">_xlfn.XLOOKUP(G737,{55;56;57;58;59;60;61;62;63;64;65;66;67;68;69;70;71;72;73;74;75;76;77;78;79;80;81;82;83;84;85;86;87;88;89;90;91;92;93;94;95;96;97;98;99},{100000;130000;160000;190000;220000;250000;300000;350000;400000;450000;500000;600000;700000;800000;900000;1000000;1500000;2000000;3000000;4000000;5000000;6500000;8000000;10000000;12500000;15000000;20000000;25000000;30000000;35000000;40000000;55000000;70000000;80000000;90000000;110000000;130000000;160000000;190000000;220000000;250000000;280000000;310000000;340000000;400000000})</f>
        <v>5000000</v>
      </c>
      <c r="J737" s="7" t="n">
        <f aca="false">I737*S737*T737*U737</f>
        <v>4972500</v>
      </c>
      <c r="K737" s="3"/>
      <c r="L737" s="3"/>
      <c r="M737" s="3"/>
      <c r="N737" s="9" t="n">
        <v>1</v>
      </c>
      <c r="O737" s="4" t="n">
        <v>0</v>
      </c>
      <c r="P737" s="5" t="n">
        <f aca="false">IF(COUNTIF([1]Base_Jugadores!J$2:J$500,B737)&gt;0,1,0)</f>
        <v>0</v>
      </c>
      <c r="Q737" s="10" t="b">
        <f aca="false">--(COUNTIFS(
   [1]Fichajes_Realizados!A$2:A$5000,A737,
   [1]Fichajes_Realizados!G$2:G$5000,$X$3
)&gt;0)</f>
        <v>0</v>
      </c>
      <c r="R737" s="5" t="n">
        <f aca="false">_xlfn.XLOOKUP(C737, [1]Estado_Equipos!A$2:A$500, [1]Estado_Equipos!J$2:J$500, "")</f>
        <v>74</v>
      </c>
      <c r="S737" s="5" t="n">
        <f aca="false">IF(H737&lt;=16,1.45,
IF(H737&gt;=41,0.3,
CHOOSE(ROUNDDOWN((H737-16)/2,0)+1,
1.45,1.38,1.3,1.23,1.17,1.15,1.12,1.05,0.95,0.8,0.6,0.4,0.3)))</f>
        <v>1.17</v>
      </c>
      <c r="T737" s="5" t="n">
        <f aca="false">CHOOSE(N737+1,1.2,1,0.85,0.7)</f>
        <v>1</v>
      </c>
      <c r="U737" s="5" t="n">
        <f aca="false">IF(F737="PO",0.6,
IF(F737="CT",0.75,
IF(F737="LI",0.8,
IF(F737="LD",0.8,
IF(F737="MCD",0.85,
IF(F737="MC",0.95,
IF(F737="MO",1.05,
IF(F737="EI",1.1,
IF(F737="ED",1.1,
IF(F737="SD",1.15,
IF(F737="DC",1.2,0)))))))))))</f>
        <v>0.85</v>
      </c>
    </row>
    <row r="738" customFormat="false" ht="16.4" hidden="false" customHeight="false" outlineLevel="0" collapsed="false">
      <c r="A738" s="1" t="n">
        <v>737</v>
      </c>
      <c r="B738" s="5" t="str">
        <f aca="false">[1]Base_Jugadores!B738</f>
        <v>James Tarkowski</v>
      </c>
      <c r="C738" s="5" t="str">
        <f aca="false">IFERROR(
   _xlfn.XLOOKUP(VALUE(A738),[1]Fichajes_Realizados!A$2:A$50000,[1]Fichajes_Realizados!D$2:D$50000,,0,-1),
   _xlfn.XLOOKUP(VALUE(A738),[1]Base_Jugadores!A$2:A$50000,[1]Base_Jugadores!C$2:C$50000)
)</f>
        <v>Everton FC</v>
      </c>
      <c r="D738" s="5" t="str">
        <f aca="false">[1]Base_Jugadores!D738</f>
        <v>Inglaterra</v>
      </c>
      <c r="E738" s="3"/>
      <c r="F738" s="5" t="str">
        <f aca="false">[1]Base_Jugadores!E738</f>
        <v>CT</v>
      </c>
      <c r="G738" s="5" t="n">
        <f aca="false">[1]Base_Jugadores!F738</f>
        <v>80</v>
      </c>
      <c r="H738" s="5" t="n">
        <f aca="false">[1]Base_Jugadores!G738</f>
        <v>33</v>
      </c>
      <c r="I738" s="7" t="n">
        <f aca="false" t="array" ref="I738:I738">_xlfn.XLOOKUP(G738,{55;56;57;58;59;60;61;62;63;64;65;66;67;68;69;70;71;72;73;74;75;76;77;78;79;80;81;82;83;84;85;86;87;88;89;90;91;92;93;94;95;96;97;98;99},{100000;130000;160000;190000;220000;250000;300000;350000;400000;450000;500000;600000;700000;800000;900000;1000000;1500000;2000000;3000000;4000000;5000000;6500000;8000000;10000000;12500000;15000000;20000000;25000000;30000000;35000000;40000000;55000000;70000000;80000000;90000000;110000000;130000000;160000000;190000000;220000000;250000000;280000000;310000000;340000000;400000000})</f>
        <v>15000000</v>
      </c>
      <c r="J738" s="7" t="n">
        <f aca="false">I738*S738*T738*U738</f>
        <v>12825000</v>
      </c>
      <c r="K738" s="3"/>
      <c r="L738" s="3"/>
      <c r="M738" s="3"/>
      <c r="N738" s="9" t="n">
        <v>0</v>
      </c>
      <c r="O738" s="4" t="n">
        <v>0</v>
      </c>
      <c r="P738" s="5" t="n">
        <f aca="false">IF(COUNTIF([1]Base_Jugadores!J$2:J$500,B738)&gt;0,1,0)</f>
        <v>0</v>
      </c>
      <c r="Q738" s="10" t="b">
        <f aca="false">--(COUNTIFS(
   [1]Fichajes_Realizados!A$2:A$5000,A738,
   [1]Fichajes_Realizados!G$2:G$5000,$X$3
)&gt;0)</f>
        <v>0</v>
      </c>
      <c r="R738" s="5" t="n">
        <f aca="false">_xlfn.XLOOKUP(C738, [1]Estado_Equipos!A$2:A$500, [1]Estado_Equipos!J$2:J$500, "")</f>
        <v>74</v>
      </c>
      <c r="S738" s="5" t="n">
        <f aca="false">IF(H738&lt;=16,1.45,
IF(H738&gt;=41,0.3,
CHOOSE(ROUNDDOWN((H738-16)/2,0)+1,
1.45,1.38,1.3,1.23,1.17,1.15,1.12,1.05,0.95,0.8,0.6,0.4,0.3)))</f>
        <v>0.95</v>
      </c>
      <c r="T738" s="5" t="n">
        <f aca="false">CHOOSE(N738+1,1.2,1,0.85,0.7)</f>
        <v>1.2</v>
      </c>
      <c r="U738" s="5" t="n">
        <f aca="false">IF(F738="PO",0.6,
IF(F738="CT",0.75,
IF(F738="LI",0.8,
IF(F738="LD",0.8,
IF(F738="MCD",0.85,
IF(F738="MC",0.95,
IF(F738="MO",1.05,
IF(F738="EI",1.1,
IF(F738="ED",1.1,
IF(F738="SD",1.15,
IF(F738="DC",1.2,0)))))))))))</f>
        <v>0.75</v>
      </c>
    </row>
    <row r="739" customFormat="false" ht="16.4" hidden="false" customHeight="false" outlineLevel="0" collapsed="false">
      <c r="A739" s="1" t="n">
        <v>738</v>
      </c>
      <c r="B739" s="5" t="str">
        <f aca="false">[1]Base_Jugadores!B739</f>
        <v>Jarrad Branthwaite</v>
      </c>
      <c r="C739" s="5" t="str">
        <f aca="false">IFERROR(
   _xlfn.XLOOKUP(VALUE(A739),[1]Fichajes_Realizados!A$2:A$50000,[1]Fichajes_Realizados!D$2:D$50000,,0,-1),
   _xlfn.XLOOKUP(VALUE(A739),[1]Base_Jugadores!A$2:A$50000,[1]Base_Jugadores!C$2:C$50000)
)</f>
        <v>Everton FC</v>
      </c>
      <c r="D739" s="5" t="str">
        <f aca="false">[1]Base_Jugadores!D739</f>
        <v>Inglaterra</v>
      </c>
      <c r="E739" s="3"/>
      <c r="F739" s="5" t="str">
        <f aca="false">[1]Base_Jugadores!E739</f>
        <v>CT</v>
      </c>
      <c r="G739" s="5" t="n">
        <f aca="false">[1]Base_Jugadores!F739</f>
        <v>79</v>
      </c>
      <c r="H739" s="5" t="n">
        <f aca="false">[1]Base_Jugadores!G739</f>
        <v>23</v>
      </c>
      <c r="I739" s="7" t="n">
        <f aca="false" t="array" ref="I739:I739">_xlfn.XLOOKUP(G739,{55;56;57;58;59;60;61;62;63;64;65;66;67;68;69;70;71;72;73;74;75;76;77;78;79;80;81;82;83;84;85;86;87;88;89;90;91;92;93;94;95;96;97;98;99},{100000;130000;160000;190000;220000;250000;300000;350000;400000;450000;500000;600000;700000;800000;900000;1000000;1500000;2000000;3000000;4000000;5000000;6500000;8000000;10000000;12500000;15000000;20000000;25000000;30000000;35000000;40000000;55000000;70000000;80000000;90000000;110000000;130000000;160000000;190000000;220000000;250000000;280000000;310000000;340000000;400000000})</f>
        <v>12500000</v>
      </c>
      <c r="J739" s="7" t="n">
        <f aca="false">I739*S739*T739*U739</f>
        <v>13837500</v>
      </c>
      <c r="K739" s="3"/>
      <c r="L739" s="3"/>
      <c r="M739" s="3"/>
      <c r="N739" s="9" t="n">
        <v>0</v>
      </c>
      <c r="O739" s="4" t="n">
        <v>0</v>
      </c>
      <c r="P739" s="5" t="n">
        <f aca="false">IF(COUNTIF([1]Base_Jugadores!J$2:J$500,B739)&gt;0,1,0)</f>
        <v>0</v>
      </c>
      <c r="Q739" s="10" t="b">
        <f aca="false">--(COUNTIFS(
   [1]Fichajes_Realizados!A$2:A$5000,A739,
   [1]Fichajes_Realizados!G$2:G$5000,$X$3
)&gt;0)</f>
        <v>0</v>
      </c>
      <c r="R739" s="5" t="n">
        <f aca="false">_xlfn.XLOOKUP(C739, [1]Estado_Equipos!A$2:A$500, [1]Estado_Equipos!J$2:J$500, "")</f>
        <v>74</v>
      </c>
      <c r="S739" s="5" t="n">
        <f aca="false">IF(H739&lt;=16,1.45,
IF(H739&gt;=41,0.3,
CHOOSE(ROUNDDOWN((H739-16)/2,0)+1,
1.45,1.38,1.3,1.23,1.17,1.15,1.12,1.05,0.95,0.8,0.6,0.4,0.3)))</f>
        <v>1.23</v>
      </c>
      <c r="T739" s="5" t="n">
        <f aca="false">CHOOSE(N739+1,1.2,1,0.85,0.7)</f>
        <v>1.2</v>
      </c>
      <c r="U739" s="5" t="n">
        <f aca="false">IF(F739="PO",0.6,
IF(F739="CT",0.75,
IF(F739="LI",0.8,
IF(F739="LD",0.8,
IF(F739="MCD",0.85,
IF(F739="MC",0.95,
IF(F739="MO",1.05,
IF(F739="EI",1.1,
IF(F739="ED",1.1,
IF(F739="SD",1.15,
IF(F739="DC",1.2,0)))))))))))</f>
        <v>0.75</v>
      </c>
    </row>
    <row r="740" customFormat="false" ht="16.4" hidden="false" customHeight="false" outlineLevel="0" collapsed="false">
      <c r="A740" s="1" t="n">
        <v>739</v>
      </c>
      <c r="B740" s="5" t="str">
        <f aca="false">[1]Base_Jugadores!B740</f>
        <v>Jordan Pickford</v>
      </c>
      <c r="C740" s="5" t="str">
        <f aca="false">IFERROR(
   _xlfn.XLOOKUP(VALUE(A740),[1]Fichajes_Realizados!A$2:A$50000,[1]Fichajes_Realizados!D$2:D$50000,,0,-1),
   _xlfn.XLOOKUP(VALUE(A740),[1]Base_Jugadores!A$2:A$50000,[1]Base_Jugadores!C$2:C$50000)
)</f>
        <v>Everton FC</v>
      </c>
      <c r="D740" s="5" t="str">
        <f aca="false">[1]Base_Jugadores!D740</f>
        <v>Inglaterra</v>
      </c>
      <c r="E740" s="3"/>
      <c r="F740" s="5" t="str">
        <f aca="false">[1]Base_Jugadores!E740</f>
        <v>PO</v>
      </c>
      <c r="G740" s="5" t="n">
        <f aca="false">[1]Base_Jugadores!F740</f>
        <v>83</v>
      </c>
      <c r="H740" s="5" t="n">
        <f aca="false">[1]Base_Jugadores!G740</f>
        <v>31</v>
      </c>
      <c r="I740" s="7" t="n">
        <f aca="false" t="array" ref="I740:I740">_xlfn.XLOOKUP(G740,{55;56;57;58;59;60;61;62;63;64;65;66;67;68;69;70;71;72;73;74;75;76;77;78;79;80;81;82;83;84;85;86;87;88;89;90;91;92;93;94;95;96;97;98;99},{100000;130000;160000;190000;220000;250000;300000;350000;400000;450000;500000;600000;700000;800000;900000;1000000;1500000;2000000;3000000;4000000;5000000;6500000;8000000;10000000;12500000;15000000;20000000;25000000;30000000;35000000;40000000;55000000;70000000;80000000;90000000;110000000;130000000;160000000;190000000;220000000;250000000;280000000;310000000;340000000;400000000})</f>
        <v>30000000</v>
      </c>
      <c r="J740" s="7" t="n">
        <f aca="false">I740*S740*T740*U740</f>
        <v>22680000</v>
      </c>
      <c r="K740" s="3"/>
      <c r="L740" s="3"/>
      <c r="M740" s="3"/>
      <c r="N740" s="9" t="n">
        <v>0</v>
      </c>
      <c r="O740" s="4" t="n">
        <v>0</v>
      </c>
      <c r="P740" s="5" t="n">
        <f aca="false">IF(COUNTIF([1]Base_Jugadores!J$2:J$500,B740)&gt;0,1,0)</f>
        <v>0</v>
      </c>
      <c r="Q740" s="10" t="b">
        <f aca="false">--(COUNTIFS(
   [1]Fichajes_Realizados!A$2:A$5000,A740,
   [1]Fichajes_Realizados!G$2:G$5000,$X$3
)&gt;0)</f>
        <v>0</v>
      </c>
      <c r="R740" s="5" t="n">
        <f aca="false">_xlfn.XLOOKUP(C740, [1]Estado_Equipos!A$2:A$500, [1]Estado_Equipos!J$2:J$500, "")</f>
        <v>74</v>
      </c>
      <c r="S740" s="5" t="n">
        <f aca="false">IF(H740&lt;=16,1.45,
IF(H740&gt;=41,0.3,
CHOOSE(ROUNDDOWN((H740-16)/2,0)+1,
1.45,1.38,1.3,1.23,1.17,1.15,1.12,1.05,0.95,0.8,0.6,0.4,0.3)))</f>
        <v>1.05</v>
      </c>
      <c r="T740" s="5" t="n">
        <f aca="false">CHOOSE(N740+1,1.2,1,0.85,0.7)</f>
        <v>1.2</v>
      </c>
      <c r="U740" s="5" t="n">
        <f aca="false">IF(F740="PO",0.6,
IF(F740="CT",0.75,
IF(F740="LI",0.8,
IF(F740="LD",0.8,
IF(F740="MCD",0.85,
IF(F740="MC",0.95,
IF(F740="MO",1.05,
IF(F740="EI",1.1,
IF(F740="ED",1.1,
IF(F740="SD",1.15,
IF(F740="DC",1.2,0)))))))))))</f>
        <v>0.6</v>
      </c>
    </row>
    <row r="741" customFormat="false" ht="16.4" hidden="false" customHeight="false" outlineLevel="0" collapsed="false">
      <c r="A741" s="1" t="n">
        <v>740</v>
      </c>
      <c r="B741" s="5" t="str">
        <f aca="false">[1]Base_Jugadores!B741</f>
        <v>K. Dewsbury-Hall</v>
      </c>
      <c r="C741" s="5" t="str">
        <f aca="false">IFERROR(
   _xlfn.XLOOKUP(VALUE(A741),[1]Fichajes_Realizados!A$2:A$50000,[1]Fichajes_Realizados!D$2:D$50000,,0,-1),
   _xlfn.XLOOKUP(VALUE(A741),[1]Base_Jugadores!A$2:A$50000,[1]Base_Jugadores!C$2:C$50000)
)</f>
        <v>Everton FC</v>
      </c>
      <c r="D741" s="5" t="str">
        <f aca="false">[1]Base_Jugadores!D741</f>
        <v>Inglaterra</v>
      </c>
      <c r="E741" s="3"/>
      <c r="F741" s="5" t="str">
        <f aca="false">[1]Base_Jugadores!E741</f>
        <v>MC</v>
      </c>
      <c r="G741" s="5" t="n">
        <f aca="false">[1]Base_Jugadores!F741</f>
        <v>77</v>
      </c>
      <c r="H741" s="5" t="n">
        <f aca="false">[1]Base_Jugadores!G741</f>
        <v>27</v>
      </c>
      <c r="I741" s="7" t="n">
        <f aca="false" t="array" ref="I741:I741">_xlfn.XLOOKUP(G741,{55;56;57;58;59;60;61;62;63;64;65;66;67;68;69;70;71;72;73;74;75;76;77;78;79;80;81;82;83;84;85;86;87;88;89;90;91;92;93;94;95;96;97;98;99},{100000;130000;160000;190000;220000;250000;300000;350000;400000;450000;500000;600000;700000;800000;900000;1000000;1500000;2000000;3000000;4000000;5000000;6500000;8000000;10000000;12500000;15000000;20000000;25000000;30000000;35000000;40000000;55000000;70000000;80000000;90000000;110000000;130000000;160000000;190000000;220000000;250000000;280000000;310000000;340000000;400000000})</f>
        <v>8000000</v>
      </c>
      <c r="J741" s="7" t="n">
        <f aca="false">I741*S741*T741*U741</f>
        <v>10488000</v>
      </c>
      <c r="K741" s="3"/>
      <c r="L741" s="3"/>
      <c r="M741" s="3"/>
      <c r="N741" s="9" t="n">
        <v>0</v>
      </c>
      <c r="O741" s="4" t="n">
        <v>0</v>
      </c>
      <c r="P741" s="5" t="n">
        <f aca="false">IF(COUNTIF([1]Base_Jugadores!J$2:J$500,B741)&gt;0,1,0)</f>
        <v>0</v>
      </c>
      <c r="Q741" s="10" t="b">
        <f aca="false">--(COUNTIFS(
   [1]Fichajes_Realizados!A$2:A$5000,A741,
   [1]Fichajes_Realizados!G$2:G$5000,$X$3
)&gt;0)</f>
        <v>0</v>
      </c>
      <c r="R741" s="5" t="n">
        <f aca="false">_xlfn.XLOOKUP(C741, [1]Estado_Equipos!A$2:A$500, [1]Estado_Equipos!J$2:J$500, "")</f>
        <v>74</v>
      </c>
      <c r="S741" s="5" t="n">
        <f aca="false">IF(H741&lt;=16,1.45,
IF(H741&gt;=41,0.3,
CHOOSE(ROUNDDOWN((H741-16)/2,0)+1,
1.45,1.38,1.3,1.23,1.17,1.15,1.12,1.05,0.95,0.8,0.6,0.4,0.3)))</f>
        <v>1.15</v>
      </c>
      <c r="T741" s="5" t="n">
        <f aca="false">CHOOSE(N741+1,1.2,1,0.85,0.7)</f>
        <v>1.2</v>
      </c>
      <c r="U741" s="5" t="n">
        <f aca="false">IF(F741="PO",0.6,
IF(F741="CT",0.75,
IF(F741="LI",0.8,
IF(F741="LD",0.8,
IF(F741="MCD",0.85,
IF(F741="MC",0.95,
IF(F741="MO",1.05,
IF(F741="EI",1.1,
IF(F741="ED",1.1,
IF(F741="SD",1.15,
IF(F741="DC",1.2,0)))))))))))</f>
        <v>0.95</v>
      </c>
    </row>
    <row r="742" customFormat="false" ht="16.4" hidden="false" customHeight="false" outlineLevel="0" collapsed="false">
      <c r="A742" s="1" t="n">
        <v>741</v>
      </c>
      <c r="B742" s="5" t="str">
        <f aca="false">[1]Base_Jugadores!B742</f>
        <v>Mark Travers</v>
      </c>
      <c r="C742" s="5" t="str">
        <f aca="false">IFERROR(
   _xlfn.XLOOKUP(VALUE(A742),[1]Fichajes_Realizados!A$2:A$50000,[1]Fichajes_Realizados!D$2:D$50000,,0,-1),
   _xlfn.XLOOKUP(VALUE(A742),[1]Base_Jugadores!A$2:A$50000,[1]Base_Jugadores!C$2:C$50000)
)</f>
        <v>Everton FC</v>
      </c>
      <c r="D742" s="5" t="str">
        <f aca="false">[1]Base_Jugadores!D742</f>
        <v>Irlanda</v>
      </c>
      <c r="E742" s="3"/>
      <c r="F742" s="5" t="str">
        <f aca="false">[1]Base_Jugadores!E742</f>
        <v>PO</v>
      </c>
      <c r="G742" s="5" t="n">
        <f aca="false">[1]Base_Jugadores!F742</f>
        <v>73</v>
      </c>
      <c r="H742" s="5" t="n">
        <f aca="false">[1]Base_Jugadores!G742</f>
        <v>26</v>
      </c>
      <c r="I742" s="7" t="n">
        <f aca="false" t="array" ref="I742:I742">_xlfn.XLOOKUP(G742,{55;56;57;58;59;60;61;62;63;64;65;66;67;68;69;70;71;72;73;74;75;76;77;78;79;80;81;82;83;84;85;86;87;88;89;90;91;92;93;94;95;96;97;98;99},{100000;130000;160000;190000;220000;250000;300000;350000;400000;450000;500000;600000;700000;800000;900000;1000000;1500000;2000000;3000000;4000000;5000000;6500000;8000000;10000000;12500000;15000000;20000000;25000000;30000000;35000000;40000000;55000000;70000000;80000000;90000000;110000000;130000000;160000000;190000000;220000000;250000000;280000000;310000000;340000000;400000000})</f>
        <v>3000000</v>
      </c>
      <c r="J742" s="7" t="n">
        <f aca="false">I742*S742*T742*U742</f>
        <v>1759500</v>
      </c>
      <c r="K742" s="3"/>
      <c r="L742" s="3"/>
      <c r="M742" s="3"/>
      <c r="N742" s="9" t="n">
        <v>2</v>
      </c>
      <c r="O742" s="4" t="n">
        <v>0</v>
      </c>
      <c r="P742" s="5" t="n">
        <f aca="false">IF(COUNTIF([1]Base_Jugadores!J$2:J$500,B742)&gt;0,1,0)</f>
        <v>0</v>
      </c>
      <c r="Q742" s="10" t="b">
        <f aca="false">--(COUNTIFS(
   [1]Fichajes_Realizados!A$2:A$5000,A742,
   [1]Fichajes_Realizados!G$2:G$5000,$X$3
)&gt;0)</f>
        <v>0</v>
      </c>
      <c r="R742" s="5" t="n">
        <f aca="false">_xlfn.XLOOKUP(C742, [1]Estado_Equipos!A$2:A$500, [1]Estado_Equipos!J$2:J$500, "")</f>
        <v>74</v>
      </c>
      <c r="S742" s="5" t="n">
        <f aca="false">IF(H742&lt;=16,1.45,
IF(H742&gt;=41,0.3,
CHOOSE(ROUNDDOWN((H742-16)/2,0)+1,
1.45,1.38,1.3,1.23,1.17,1.15,1.12,1.05,0.95,0.8,0.6,0.4,0.3)))</f>
        <v>1.15</v>
      </c>
      <c r="T742" s="5" t="n">
        <f aca="false">CHOOSE(N742+1,1.2,1,0.85,0.7)</f>
        <v>0.85</v>
      </c>
      <c r="U742" s="5" t="n">
        <f aca="false">IF(F742="PO",0.6,
IF(F742="CT",0.75,
IF(F742="LI",0.8,
IF(F742="LD",0.8,
IF(F742="MCD",0.85,
IF(F742="MC",0.95,
IF(F742="MO",1.05,
IF(F742="EI",1.1,
IF(F742="ED",1.1,
IF(F742="SD",1.15,
IF(F742="DC",1.2,0)))))))))))</f>
        <v>0.6</v>
      </c>
    </row>
    <row r="743" customFormat="false" ht="16.4" hidden="false" customHeight="false" outlineLevel="0" collapsed="false">
      <c r="A743" s="1" t="n">
        <v>742</v>
      </c>
      <c r="B743" s="5" t="str">
        <f aca="false">[1]Base_Jugadores!B743</f>
        <v>Merlin Röhl</v>
      </c>
      <c r="C743" s="5" t="str">
        <f aca="false">IFERROR(
   _xlfn.XLOOKUP(VALUE(A743),[1]Fichajes_Realizados!A$2:A$50000,[1]Fichajes_Realizados!D$2:D$50000,,0,-1),
   _xlfn.XLOOKUP(VALUE(A743),[1]Base_Jugadores!A$2:A$50000,[1]Base_Jugadores!C$2:C$50000)
)</f>
        <v>Everton FC</v>
      </c>
      <c r="D743" s="5" t="str">
        <f aca="false">[1]Base_Jugadores!D743</f>
        <v>Alemania</v>
      </c>
      <c r="E743" s="3"/>
      <c r="F743" s="5" t="str">
        <f aca="false">[1]Base_Jugadores!E743</f>
        <v>MO</v>
      </c>
      <c r="G743" s="5" t="n">
        <f aca="false">[1]Base_Jugadores!F743</f>
        <v>74</v>
      </c>
      <c r="H743" s="5" t="n">
        <f aca="false">[1]Base_Jugadores!G743</f>
        <v>23</v>
      </c>
      <c r="I743" s="7" t="n">
        <f aca="false" t="array" ref="I743:I743">_xlfn.XLOOKUP(G743,{55;56;57;58;59;60;61;62;63;64;65;66;67;68;69;70;71;72;73;74;75;76;77;78;79;80;81;82;83;84;85;86;87;88;89;90;91;92;93;94;95;96;97;98;99},{100000;130000;160000;190000;220000;250000;300000;350000;400000;450000;500000;600000;700000;800000;900000;1000000;1500000;2000000;3000000;4000000;5000000;6500000;8000000;10000000;12500000;15000000;20000000;25000000;30000000;35000000;40000000;55000000;70000000;80000000;90000000;110000000;130000000;160000000;190000000;220000000;250000000;280000000;310000000;340000000;400000000})</f>
        <v>4000000</v>
      </c>
      <c r="J743" s="7" t="n">
        <f aca="false">I743*S743*T743*U743</f>
        <v>6199200</v>
      </c>
      <c r="K743" s="3"/>
      <c r="L743" s="3"/>
      <c r="M743" s="3"/>
      <c r="N743" s="9" t="n">
        <v>0</v>
      </c>
      <c r="O743" s="4" t="n">
        <v>0</v>
      </c>
      <c r="P743" s="5" t="n">
        <f aca="false">IF(COUNTIF([1]Base_Jugadores!J$2:J$500,B743)&gt;0,1,0)</f>
        <v>0</v>
      </c>
      <c r="Q743" s="10" t="b">
        <f aca="false">--(COUNTIFS(
   [1]Fichajes_Realizados!A$2:A$5000,A743,
   [1]Fichajes_Realizados!G$2:G$5000,$X$3
)&gt;0)</f>
        <v>0</v>
      </c>
      <c r="R743" s="5" t="n">
        <f aca="false">_xlfn.XLOOKUP(C743, [1]Estado_Equipos!A$2:A$500, [1]Estado_Equipos!J$2:J$500, "")</f>
        <v>74</v>
      </c>
      <c r="S743" s="5" t="n">
        <f aca="false">IF(H743&lt;=16,1.45,
IF(H743&gt;=41,0.3,
CHOOSE(ROUNDDOWN((H743-16)/2,0)+1,
1.45,1.38,1.3,1.23,1.17,1.15,1.12,1.05,0.95,0.8,0.6,0.4,0.3)))</f>
        <v>1.23</v>
      </c>
      <c r="T743" s="5" t="n">
        <f aca="false">CHOOSE(N743+1,1.2,1,0.85,0.7)</f>
        <v>1.2</v>
      </c>
      <c r="U743" s="5" t="n">
        <f aca="false">IF(F743="PO",0.6,
IF(F743="CT",0.75,
IF(F743="LI",0.8,
IF(F743="LD",0.8,
IF(F743="MCD",0.85,
IF(F743="MC",0.95,
IF(F743="MO",1.05,
IF(F743="EI",1.1,
IF(F743="ED",1.1,
IF(F743="SD",1.15,
IF(F743="DC",1.2,0)))))))))))</f>
        <v>1.05</v>
      </c>
    </row>
    <row r="744" customFormat="false" ht="16.4" hidden="false" customHeight="false" outlineLevel="0" collapsed="false">
      <c r="A744" s="1" t="n">
        <v>743</v>
      </c>
      <c r="B744" s="5" t="str">
        <f aca="false">[1]Base_Jugadores!B744</f>
        <v>Michael Keane</v>
      </c>
      <c r="C744" s="5" t="str">
        <f aca="false">IFERROR(
   _xlfn.XLOOKUP(VALUE(A744),[1]Fichajes_Realizados!A$2:A$50000,[1]Fichajes_Realizados!D$2:D$50000,,0,-1),
   _xlfn.XLOOKUP(VALUE(A744),[1]Base_Jugadores!A$2:A$50000,[1]Base_Jugadores!C$2:C$50000)
)</f>
        <v>Everton FC</v>
      </c>
      <c r="D744" s="5" t="str">
        <f aca="false">[1]Base_Jugadores!D744</f>
        <v>Inglaterra</v>
      </c>
      <c r="E744" s="3"/>
      <c r="F744" s="5" t="str">
        <f aca="false">[1]Base_Jugadores!E744</f>
        <v>CT</v>
      </c>
      <c r="G744" s="5" t="n">
        <f aca="false">[1]Base_Jugadores!F744</f>
        <v>75</v>
      </c>
      <c r="H744" s="5" t="n">
        <f aca="false">[1]Base_Jugadores!G744</f>
        <v>32</v>
      </c>
      <c r="I744" s="7" t="n">
        <f aca="false" t="array" ref="I744:I744">_xlfn.XLOOKUP(G744,{55;56;57;58;59;60;61;62;63;64;65;66;67;68;69;70;71;72;73;74;75;76;77;78;79;80;81;82;83;84;85;86;87;88;89;90;91;92;93;94;95;96;97;98;99},{100000;130000;160000;190000;220000;250000;300000;350000;400000;450000;500000;600000;700000;800000;900000;1000000;1500000;2000000;3000000;4000000;5000000;6500000;8000000;10000000;12500000;15000000;20000000;25000000;30000000;35000000;40000000;55000000;70000000;80000000;90000000;110000000;130000000;160000000;190000000;220000000;250000000;280000000;310000000;340000000;400000000})</f>
        <v>5000000</v>
      </c>
      <c r="J744" s="7" t="n">
        <f aca="false">I744*S744*T744*U744</f>
        <v>3562500</v>
      </c>
      <c r="K744" s="3"/>
      <c r="L744" s="3"/>
      <c r="M744" s="3"/>
      <c r="N744" s="9" t="n">
        <v>1</v>
      </c>
      <c r="O744" s="4" t="n">
        <v>0</v>
      </c>
      <c r="P744" s="5" t="n">
        <f aca="false">IF(COUNTIF([1]Base_Jugadores!J$2:J$500,B744)&gt;0,1,0)</f>
        <v>0</v>
      </c>
      <c r="Q744" s="10" t="b">
        <f aca="false">--(COUNTIFS(
   [1]Fichajes_Realizados!A$2:A$5000,A744,
   [1]Fichajes_Realizados!G$2:G$5000,$X$3
)&gt;0)</f>
        <v>0</v>
      </c>
      <c r="R744" s="5" t="n">
        <f aca="false">_xlfn.XLOOKUP(C744, [1]Estado_Equipos!A$2:A$500, [1]Estado_Equipos!J$2:J$500, "")</f>
        <v>74</v>
      </c>
      <c r="S744" s="5" t="n">
        <f aca="false">IF(H744&lt;=16,1.45,
IF(H744&gt;=41,0.3,
CHOOSE(ROUNDDOWN((H744-16)/2,0)+1,
1.45,1.38,1.3,1.23,1.17,1.15,1.12,1.05,0.95,0.8,0.6,0.4,0.3)))</f>
        <v>0.95</v>
      </c>
      <c r="T744" s="5" t="n">
        <f aca="false">CHOOSE(N744+1,1.2,1,0.85,0.7)</f>
        <v>1</v>
      </c>
      <c r="U744" s="5" t="n">
        <f aca="false">IF(F744="PO",0.6,
IF(F744="CT",0.75,
IF(F744="LI",0.8,
IF(F744="LD",0.8,
IF(F744="MCD",0.85,
IF(F744="MC",0.95,
IF(F744="MO",1.05,
IF(F744="EI",1.1,
IF(F744="ED",1.1,
IF(F744="SD",1.15,
IF(F744="DC",1.2,0)))))))))))</f>
        <v>0.75</v>
      </c>
    </row>
    <row r="745" customFormat="false" ht="16.4" hidden="false" customHeight="false" outlineLevel="0" collapsed="false">
      <c r="A745" s="1" t="n">
        <v>744</v>
      </c>
      <c r="B745" s="5" t="str">
        <f aca="false">[1]Base_Jugadores!B745</f>
        <v>Nathan Patterson</v>
      </c>
      <c r="C745" s="5" t="str">
        <f aca="false">IFERROR(
   _xlfn.XLOOKUP(VALUE(A745),[1]Fichajes_Realizados!A$2:A$50000,[1]Fichajes_Realizados!D$2:D$50000,,0,-1),
   _xlfn.XLOOKUP(VALUE(A745),[1]Base_Jugadores!A$2:A$50000,[1]Base_Jugadores!C$2:C$50000)
)</f>
        <v>Everton FC</v>
      </c>
      <c r="D745" s="5" t="str">
        <f aca="false">[1]Base_Jugadores!D745</f>
        <v>Escocia</v>
      </c>
      <c r="E745" s="3"/>
      <c r="F745" s="5" t="str">
        <f aca="false">[1]Base_Jugadores!E745</f>
        <v>LD</v>
      </c>
      <c r="G745" s="5" t="n">
        <f aca="false">[1]Base_Jugadores!F745</f>
        <v>72</v>
      </c>
      <c r="H745" s="5" t="n">
        <f aca="false">[1]Base_Jugadores!G745</f>
        <v>24</v>
      </c>
      <c r="I745" s="7" t="n">
        <f aca="false" t="array" ref="I745:I745">_xlfn.XLOOKUP(G745,{55;56;57;58;59;60;61;62;63;64;65;66;67;68;69;70;71;72;73;74;75;76;77;78;79;80;81;82;83;84;85;86;87;88;89;90;91;92;93;94;95;96;97;98;99},{100000;130000;160000;190000;220000;250000;300000;350000;400000;450000;500000;600000;700000;800000;900000;1000000;1500000;2000000;3000000;4000000;5000000;6500000;8000000;10000000;12500000;15000000;20000000;25000000;30000000;35000000;40000000;55000000;70000000;80000000;90000000;110000000;130000000;160000000;190000000;220000000;250000000;280000000;310000000;340000000;400000000})</f>
        <v>2000000</v>
      </c>
      <c r="J745" s="7" t="n">
        <f aca="false">I745*S745*T745*U745</f>
        <v>1591200</v>
      </c>
      <c r="K745" s="3"/>
      <c r="L745" s="3"/>
      <c r="M745" s="3"/>
      <c r="N745" s="9" t="n">
        <v>2</v>
      </c>
      <c r="O745" s="4" t="n">
        <v>0</v>
      </c>
      <c r="P745" s="5" t="n">
        <f aca="false">IF(COUNTIF([1]Base_Jugadores!J$2:J$500,B745)&gt;0,1,0)</f>
        <v>0</v>
      </c>
      <c r="Q745" s="10" t="b">
        <f aca="false">--(COUNTIFS(
   [1]Fichajes_Realizados!A$2:A$5000,A745,
   [1]Fichajes_Realizados!G$2:G$5000,$X$3
)&gt;0)</f>
        <v>0</v>
      </c>
      <c r="R745" s="5" t="n">
        <f aca="false">_xlfn.XLOOKUP(C745, [1]Estado_Equipos!A$2:A$500, [1]Estado_Equipos!J$2:J$500, "")</f>
        <v>74</v>
      </c>
      <c r="S745" s="5" t="n">
        <f aca="false">IF(H745&lt;=16,1.45,
IF(H745&gt;=41,0.3,
CHOOSE(ROUNDDOWN((H745-16)/2,0)+1,
1.45,1.38,1.3,1.23,1.17,1.15,1.12,1.05,0.95,0.8,0.6,0.4,0.3)))</f>
        <v>1.17</v>
      </c>
      <c r="T745" s="5" t="n">
        <f aca="false">CHOOSE(N745+1,1.2,1,0.85,0.7)</f>
        <v>0.85</v>
      </c>
      <c r="U745" s="5" t="n">
        <f aca="false">IF(F745="PO",0.6,
IF(F745="CT",0.75,
IF(F745="LI",0.8,
IF(F745="LD",0.8,
IF(F745="MCD",0.85,
IF(F745="MC",0.95,
IF(F745="MO",1.05,
IF(F745="EI",1.1,
IF(F745="ED",1.1,
IF(F745="SD",1.15,
IF(F745="DC",1.2,0)))))))))))</f>
        <v>0.8</v>
      </c>
    </row>
    <row r="746" customFormat="false" ht="16.4" hidden="false" customHeight="false" outlineLevel="0" collapsed="false">
      <c r="A746" s="1" t="n">
        <v>745</v>
      </c>
      <c r="B746" s="5" t="str">
        <f aca="false">[1]Base_Jugadores!B746</f>
        <v>Séamus Coleman</v>
      </c>
      <c r="C746" s="5" t="str">
        <f aca="false">IFERROR(
   _xlfn.XLOOKUP(VALUE(A746),[1]Fichajes_Realizados!A$2:A$50000,[1]Fichajes_Realizados!D$2:D$50000,,0,-1),
   _xlfn.XLOOKUP(VALUE(A746),[1]Base_Jugadores!A$2:A$50000,[1]Base_Jugadores!C$2:C$50000)
)</f>
        <v>Everton FC</v>
      </c>
      <c r="D746" s="5" t="str">
        <f aca="false">[1]Base_Jugadores!D746</f>
        <v>Irlanda</v>
      </c>
      <c r="E746" s="3"/>
      <c r="F746" s="5" t="str">
        <f aca="false">[1]Base_Jugadores!E746</f>
        <v>LD</v>
      </c>
      <c r="G746" s="5" t="n">
        <f aca="false">[1]Base_Jugadores!F746</f>
        <v>74</v>
      </c>
      <c r="H746" s="5" t="n">
        <f aca="false">[1]Base_Jugadores!G746</f>
        <v>37</v>
      </c>
      <c r="I746" s="7" t="n">
        <f aca="false" t="array" ref="I746:I746">_xlfn.XLOOKUP(G746,{55;56;57;58;59;60;61;62;63;64;65;66;67;68;69;70;71;72;73;74;75;76;77;78;79;80;81;82;83;84;85;86;87;88;89;90;91;92;93;94;95;96;97;98;99},{100000;130000;160000;190000;220000;250000;300000;350000;400000;450000;500000;600000;700000;800000;900000;1000000;1500000;2000000;3000000;4000000;5000000;6500000;8000000;10000000;12500000;15000000;20000000;25000000;30000000;35000000;40000000;55000000;70000000;80000000;90000000;110000000;130000000;160000000;190000000;220000000;250000000;280000000;310000000;340000000;400000000})</f>
        <v>4000000</v>
      </c>
      <c r="J746" s="7" t="n">
        <f aca="false">I746*S746*T746*U746</f>
        <v>2304000</v>
      </c>
      <c r="K746" s="3"/>
      <c r="L746" s="3"/>
      <c r="M746" s="3"/>
      <c r="N746" s="9" t="n">
        <v>0</v>
      </c>
      <c r="O746" s="4" t="n">
        <v>0</v>
      </c>
      <c r="P746" s="5" t="n">
        <f aca="false">IF(COUNTIF([1]Base_Jugadores!J$2:J$500,B746)&gt;0,1,0)</f>
        <v>0</v>
      </c>
      <c r="Q746" s="10" t="b">
        <f aca="false">--(COUNTIFS(
   [1]Fichajes_Realizados!A$2:A$5000,A746,
   [1]Fichajes_Realizados!G$2:G$5000,$X$3
)&gt;0)</f>
        <v>0</v>
      </c>
      <c r="R746" s="5" t="n">
        <f aca="false">_xlfn.XLOOKUP(C746, [1]Estado_Equipos!A$2:A$500, [1]Estado_Equipos!J$2:J$500, "")</f>
        <v>74</v>
      </c>
      <c r="S746" s="5" t="n">
        <f aca="false">IF(H746&lt;=16,1.45,
IF(H746&gt;=41,0.3,
CHOOSE(ROUNDDOWN((H746-16)/2,0)+1,
1.45,1.38,1.3,1.23,1.17,1.15,1.12,1.05,0.95,0.8,0.6,0.4,0.3)))</f>
        <v>0.6</v>
      </c>
      <c r="T746" s="5" t="n">
        <f aca="false">CHOOSE(N746+1,1.2,1,0.85,0.7)</f>
        <v>1.2</v>
      </c>
      <c r="U746" s="5" t="n">
        <f aca="false">IF(F746="PO",0.6,
IF(F746="CT",0.75,
IF(F746="LI",0.8,
IF(F746="LD",0.8,
IF(F746="MCD",0.85,
IF(F746="MC",0.95,
IF(F746="MO",1.05,
IF(F746="EI",1.1,
IF(F746="ED",1.1,
IF(F746="SD",1.15,
IF(F746="DC",1.2,0)))))))))))</f>
        <v>0.8</v>
      </c>
    </row>
    <row r="747" customFormat="false" ht="16.4" hidden="false" customHeight="false" outlineLevel="0" collapsed="false">
      <c r="A747" s="1" t="n">
        <v>746</v>
      </c>
      <c r="B747" s="5" t="str">
        <f aca="false">[1]Base_Jugadores!B747</f>
        <v>Thierno Barry</v>
      </c>
      <c r="C747" s="5" t="str">
        <f aca="false">IFERROR(
   _xlfn.XLOOKUP(VALUE(A747),[1]Fichajes_Realizados!A$2:A$50000,[1]Fichajes_Realizados!D$2:D$50000,,0,-1),
   _xlfn.XLOOKUP(VALUE(A747),[1]Base_Jugadores!A$2:A$50000,[1]Base_Jugadores!C$2:C$50000)
)</f>
        <v>Everton FC</v>
      </c>
      <c r="D747" s="5" t="str">
        <f aca="false">[1]Base_Jugadores!D747</f>
        <v>Francia</v>
      </c>
      <c r="E747" s="3"/>
      <c r="F747" s="5" t="str">
        <f aca="false">[1]Base_Jugadores!E747</f>
        <v>DC</v>
      </c>
      <c r="G747" s="5" t="n">
        <f aca="false">[1]Base_Jugadores!F747</f>
        <v>73</v>
      </c>
      <c r="H747" s="5" t="n">
        <f aca="false">[1]Base_Jugadores!G747</f>
        <v>23</v>
      </c>
      <c r="I747" s="7" t="n">
        <f aca="false" t="array" ref="I747:I747">_xlfn.XLOOKUP(G747,{55;56;57;58;59;60;61;62;63;64;65;66;67;68;69;70;71;72;73;74;75;76;77;78;79;80;81;82;83;84;85;86;87;88;89;90;91;92;93;94;95;96;97;98;99},{100000;130000;160000;190000;220000;250000;300000;350000;400000;450000;500000;600000;700000;800000;900000;1000000;1500000;2000000;3000000;4000000;5000000;6500000;8000000;10000000;12500000;15000000;20000000;25000000;30000000;35000000;40000000;55000000;70000000;80000000;90000000;110000000;130000000;160000000;190000000;220000000;250000000;280000000;310000000;340000000;400000000})</f>
        <v>3000000</v>
      </c>
      <c r="J747" s="7" t="n">
        <f aca="false">I747*S747*T747*U747</f>
        <v>3763800</v>
      </c>
      <c r="K747" s="3"/>
      <c r="L747" s="3"/>
      <c r="M747" s="3"/>
      <c r="N747" s="9" t="n">
        <v>2</v>
      </c>
      <c r="O747" s="4" t="n">
        <v>0</v>
      </c>
      <c r="P747" s="5" t="n">
        <f aca="false">IF(COUNTIF([1]Base_Jugadores!J$2:J$500,B747)&gt;0,1,0)</f>
        <v>0</v>
      </c>
      <c r="Q747" s="10" t="b">
        <f aca="false">--(COUNTIFS(
   [1]Fichajes_Realizados!A$2:A$5000,A747,
   [1]Fichajes_Realizados!G$2:G$5000,$X$3
)&gt;0)</f>
        <v>0</v>
      </c>
      <c r="R747" s="5" t="n">
        <f aca="false">_xlfn.XLOOKUP(C747, [1]Estado_Equipos!A$2:A$500, [1]Estado_Equipos!J$2:J$500, "")</f>
        <v>74</v>
      </c>
      <c r="S747" s="5" t="n">
        <f aca="false">IF(H747&lt;=16,1.45,
IF(H747&gt;=41,0.3,
CHOOSE(ROUNDDOWN((H747-16)/2,0)+1,
1.45,1.38,1.3,1.23,1.17,1.15,1.12,1.05,0.95,0.8,0.6,0.4,0.3)))</f>
        <v>1.23</v>
      </c>
      <c r="T747" s="5" t="n">
        <f aca="false">CHOOSE(N747+1,1.2,1,0.85,0.7)</f>
        <v>0.85</v>
      </c>
      <c r="U747" s="5" t="n">
        <f aca="false">IF(F747="PO",0.6,
IF(F747="CT",0.75,
IF(F747="LI",0.8,
IF(F747="LD",0.8,
IF(F747="MCD",0.85,
IF(F747="MC",0.95,
IF(F747="MO",1.05,
IF(F747="EI",1.1,
IF(F747="ED",1.1,
IF(F747="SD",1.15,
IF(F747="DC",1.2,0)))))))))))</f>
        <v>1.2</v>
      </c>
    </row>
    <row r="748" customFormat="false" ht="16.4" hidden="false" customHeight="false" outlineLevel="0" collapsed="false">
      <c r="A748" s="1" t="n">
        <v>747</v>
      </c>
      <c r="B748" s="5" t="str">
        <f aca="false">[1]Base_Jugadores!B748</f>
        <v>Tim Iroegbunam</v>
      </c>
      <c r="C748" s="5" t="str">
        <f aca="false">IFERROR(
   _xlfn.XLOOKUP(VALUE(A748),[1]Fichajes_Realizados!A$2:A$50000,[1]Fichajes_Realizados!D$2:D$50000,,0,-1),
   _xlfn.XLOOKUP(VALUE(A748),[1]Base_Jugadores!A$2:A$50000,[1]Base_Jugadores!C$2:C$50000)
)</f>
        <v>Everton FC</v>
      </c>
      <c r="D748" s="5" t="str">
        <f aca="false">[1]Base_Jugadores!D748</f>
        <v>Inglaterra</v>
      </c>
      <c r="E748" s="3"/>
      <c r="F748" s="5" t="str">
        <f aca="false">[1]Base_Jugadores!E748</f>
        <v>MC</v>
      </c>
      <c r="G748" s="5" t="n">
        <f aca="false">[1]Base_Jugadores!F748</f>
        <v>70</v>
      </c>
      <c r="H748" s="5" t="n">
        <f aca="false">[1]Base_Jugadores!G748</f>
        <v>22</v>
      </c>
      <c r="I748" s="7" t="n">
        <f aca="false" t="array" ref="I748:I748">_xlfn.XLOOKUP(G748,{55;56;57;58;59;60;61;62;63;64;65;66;67;68;69;70;71;72;73;74;75;76;77;78;79;80;81;82;83;84;85;86;87;88;89;90;91;92;93;94;95;96;97;98;99},{100000;130000;160000;190000;220000;250000;300000;350000;400000;450000;500000;600000;700000;800000;900000;1000000;1500000;2000000;3000000;4000000;5000000;6500000;8000000;10000000;12500000;15000000;20000000;25000000;30000000;35000000;40000000;55000000;70000000;80000000;90000000;110000000;130000000;160000000;190000000;220000000;250000000;280000000;310000000;340000000;400000000})</f>
        <v>1000000</v>
      </c>
      <c r="J748" s="7" t="n">
        <f aca="false">I748*S748*T748*U748</f>
        <v>993225</v>
      </c>
      <c r="K748" s="3"/>
      <c r="L748" s="3"/>
      <c r="M748" s="3"/>
      <c r="N748" s="9" t="n">
        <v>2</v>
      </c>
      <c r="O748" s="4" t="n">
        <v>0</v>
      </c>
      <c r="P748" s="5" t="n">
        <f aca="false">IF(COUNTIF([1]Base_Jugadores!J$2:J$500,B748)&gt;0,1,0)</f>
        <v>0</v>
      </c>
      <c r="Q748" s="10" t="b">
        <f aca="false">--(COUNTIFS(
   [1]Fichajes_Realizados!A$2:A$5000,A748,
   [1]Fichajes_Realizados!G$2:G$5000,$X$3
)&gt;0)</f>
        <v>0</v>
      </c>
      <c r="R748" s="5" t="n">
        <f aca="false">_xlfn.XLOOKUP(C748, [1]Estado_Equipos!A$2:A$500, [1]Estado_Equipos!J$2:J$500, "")</f>
        <v>74</v>
      </c>
      <c r="S748" s="5" t="n">
        <f aca="false">IF(H748&lt;=16,1.45,
IF(H748&gt;=41,0.3,
CHOOSE(ROUNDDOWN((H748-16)/2,0)+1,
1.45,1.38,1.3,1.23,1.17,1.15,1.12,1.05,0.95,0.8,0.6,0.4,0.3)))</f>
        <v>1.23</v>
      </c>
      <c r="T748" s="5" t="n">
        <f aca="false">CHOOSE(N748+1,1.2,1,0.85,0.7)</f>
        <v>0.85</v>
      </c>
      <c r="U748" s="5" t="n">
        <f aca="false">IF(F748="PO",0.6,
IF(F748="CT",0.75,
IF(F748="LI",0.8,
IF(F748="LD",0.8,
IF(F748="MCD",0.85,
IF(F748="MC",0.95,
IF(F748="MO",1.05,
IF(F748="EI",1.1,
IF(F748="ED",1.1,
IF(F748="SD",1.15,
IF(F748="DC",1.2,0)))))))))))</f>
        <v>0.95</v>
      </c>
    </row>
    <row r="749" customFormat="false" ht="16.4" hidden="false" customHeight="false" outlineLevel="0" collapsed="false">
      <c r="A749" s="1" t="n">
        <v>748</v>
      </c>
      <c r="B749" s="5" t="str">
        <f aca="false">[1]Base_Jugadores!B749</f>
        <v>Tom King</v>
      </c>
      <c r="C749" s="5" t="str">
        <f aca="false">IFERROR(
   _xlfn.XLOOKUP(VALUE(A749),[1]Fichajes_Realizados!A$2:A$50000,[1]Fichajes_Realizados!D$2:D$50000,,0,-1),
   _xlfn.XLOOKUP(VALUE(A749),[1]Base_Jugadores!A$2:A$50000,[1]Base_Jugadores!C$2:C$50000)
)</f>
        <v>Everton FC</v>
      </c>
      <c r="D749" s="5" t="str">
        <f aca="false">[1]Base_Jugadores!D749</f>
        <v>Gales</v>
      </c>
      <c r="E749" s="3"/>
      <c r="F749" s="5" t="str">
        <f aca="false">[1]Base_Jugadores!E749</f>
        <v>PO</v>
      </c>
      <c r="G749" s="5" t="n">
        <f aca="false">[1]Base_Jugadores!F749</f>
        <v>65</v>
      </c>
      <c r="H749" s="5" t="n">
        <f aca="false">[1]Base_Jugadores!G749</f>
        <v>30</v>
      </c>
      <c r="I749" s="7" t="n">
        <f aca="false" t="array" ref="I749:I749">_xlfn.XLOOKUP(G749,{55;56;57;58;59;60;61;62;63;64;65;66;67;68;69;70;71;72;73;74;75;76;77;78;79;80;81;82;83;84;85;86;87;88;89;90;91;92;93;94;95;96;97;98;99},{100000;130000;160000;190000;220000;250000;300000;350000;400000;450000;500000;600000;700000;800000;900000;1000000;1500000;2000000;3000000;4000000;5000000;6500000;8000000;10000000;12500000;15000000;20000000;25000000;30000000;35000000;40000000;55000000;70000000;80000000;90000000;110000000;130000000;160000000;190000000;220000000;250000000;280000000;310000000;340000000;400000000})</f>
        <v>500000</v>
      </c>
      <c r="J749" s="7" t="n">
        <f aca="false">I749*S749*T749*U749</f>
        <v>267750</v>
      </c>
      <c r="K749" s="3"/>
      <c r="L749" s="3"/>
      <c r="M749" s="3"/>
      <c r="N749" s="9" t="n">
        <v>2</v>
      </c>
      <c r="O749" s="4" t="n">
        <v>0</v>
      </c>
      <c r="P749" s="5" t="n">
        <f aca="false">IF(COUNTIF([1]Base_Jugadores!J$2:J$500,B749)&gt;0,1,0)</f>
        <v>0</v>
      </c>
      <c r="Q749" s="10" t="b">
        <f aca="false">--(COUNTIFS(
   [1]Fichajes_Realizados!A$2:A$5000,A749,
   [1]Fichajes_Realizados!G$2:G$5000,$X$3
)&gt;0)</f>
        <v>0</v>
      </c>
      <c r="R749" s="5" t="n">
        <f aca="false">_xlfn.XLOOKUP(C749, [1]Estado_Equipos!A$2:A$500, [1]Estado_Equipos!J$2:J$500, "")</f>
        <v>74</v>
      </c>
      <c r="S749" s="5" t="n">
        <f aca="false">IF(H749&lt;=16,1.45,
IF(H749&gt;=41,0.3,
CHOOSE(ROUNDDOWN((H749-16)/2,0)+1,
1.45,1.38,1.3,1.23,1.17,1.15,1.12,1.05,0.95,0.8,0.6,0.4,0.3)))</f>
        <v>1.05</v>
      </c>
      <c r="T749" s="5" t="n">
        <f aca="false">CHOOSE(N749+1,1.2,1,0.85,0.7)</f>
        <v>0.85</v>
      </c>
      <c r="U749" s="5" t="n">
        <f aca="false">IF(F749="PO",0.6,
IF(F749="CT",0.75,
IF(F749="LI",0.8,
IF(F749="LD",0.8,
IF(F749="MCD",0.85,
IF(F749="MC",0.95,
IF(F749="MO",1.05,
IF(F749="EI",1.1,
IF(F749="ED",1.1,
IF(F749="SD",1.15,
IF(F749="DC",1.2,0)))))))))))</f>
        <v>0.6</v>
      </c>
    </row>
    <row r="750" customFormat="false" ht="16.4" hidden="false" customHeight="false" outlineLevel="0" collapsed="false">
      <c r="A750" s="1" t="n">
        <v>749</v>
      </c>
      <c r="B750" s="5" t="str">
        <f aca="false">[1]Base_Jugadores!B750</f>
        <v>Tyler Dibling</v>
      </c>
      <c r="C750" s="5" t="str">
        <f aca="false">IFERROR(
   _xlfn.XLOOKUP(VALUE(A750),[1]Fichajes_Realizados!A$2:A$50000,[1]Fichajes_Realizados!D$2:D$50000,,0,-1),
   _xlfn.XLOOKUP(VALUE(A750),[1]Base_Jugadores!A$2:A$50000,[1]Base_Jugadores!C$2:C$50000)
)</f>
        <v>Everton FC</v>
      </c>
      <c r="D750" s="5" t="str">
        <f aca="false">[1]Base_Jugadores!D750</f>
        <v>Inglaterra</v>
      </c>
      <c r="E750" s="3"/>
      <c r="F750" s="5" t="str">
        <f aca="false">[1]Base_Jugadores!E750</f>
        <v>ED</v>
      </c>
      <c r="G750" s="5" t="n">
        <f aca="false">[1]Base_Jugadores!F750</f>
        <v>74</v>
      </c>
      <c r="H750" s="5" t="n">
        <f aca="false">[1]Base_Jugadores!G750</f>
        <v>19</v>
      </c>
      <c r="I750" s="7" t="n">
        <f aca="false" t="array" ref="I750:I750">_xlfn.XLOOKUP(G750,{55;56;57;58;59;60;61;62;63;64;65;66;67;68;69;70;71;72;73;74;75;76;77;78;79;80;81;82;83;84;85;86;87;88;89;90;91;92;93;94;95;96;97;98;99},{100000;130000;160000;190000;220000;250000;300000;350000;400000;450000;500000;600000;700000;800000;900000;1000000;1500000;2000000;3000000;4000000;5000000;6500000;8000000;10000000;12500000;15000000;20000000;25000000;30000000;35000000;40000000;55000000;70000000;80000000;90000000;110000000;130000000;160000000;190000000;220000000;250000000;280000000;310000000;340000000;400000000})</f>
        <v>4000000</v>
      </c>
      <c r="J750" s="7" t="n">
        <f aca="false">I750*S750*T750*U750</f>
        <v>6072000</v>
      </c>
      <c r="K750" s="3"/>
      <c r="L750" s="3"/>
      <c r="M750" s="3"/>
      <c r="N750" s="9" t="n">
        <v>1</v>
      </c>
      <c r="O750" s="4" t="n">
        <v>0</v>
      </c>
      <c r="P750" s="5" t="n">
        <f aca="false">IF(COUNTIF([1]Base_Jugadores!J$2:J$500,B750)&gt;0,1,0)</f>
        <v>0</v>
      </c>
      <c r="Q750" s="10" t="b">
        <f aca="false">--(COUNTIFS(
   [1]Fichajes_Realizados!A$2:A$5000,A750,
   [1]Fichajes_Realizados!G$2:G$5000,$X$3
)&gt;0)</f>
        <v>0</v>
      </c>
      <c r="R750" s="5" t="n">
        <f aca="false">_xlfn.XLOOKUP(C750, [1]Estado_Equipos!A$2:A$500, [1]Estado_Equipos!J$2:J$500, "")</f>
        <v>74</v>
      </c>
      <c r="S750" s="5" t="n">
        <f aca="false">IF(H750&lt;=16,1.45,
IF(H750&gt;=41,0.3,
CHOOSE(ROUNDDOWN((H750-16)/2,0)+1,
1.45,1.38,1.3,1.23,1.17,1.15,1.12,1.05,0.95,0.8,0.6,0.4,0.3)))</f>
        <v>1.38</v>
      </c>
      <c r="T750" s="5" t="n">
        <f aca="false">CHOOSE(N750+1,1.2,1,0.85,0.7)</f>
        <v>1</v>
      </c>
      <c r="U750" s="5" t="n">
        <f aca="false">IF(F750="PO",0.6,
IF(F750="CT",0.75,
IF(F750="LI",0.8,
IF(F750="LD",0.8,
IF(F750="MCD",0.85,
IF(F750="MC",0.95,
IF(F750="MO",1.05,
IF(F750="EI",1.1,
IF(F750="ED",1.1,
IF(F750="SD",1.15,
IF(F750="DC",1.2,0)))))))))))</f>
        <v>1.1</v>
      </c>
    </row>
    <row r="751" customFormat="false" ht="16.4" hidden="false" customHeight="false" outlineLevel="0" collapsed="false">
      <c r="A751" s="1" t="n">
        <v>750</v>
      </c>
      <c r="B751" s="5" t="str">
        <f aca="false">[1]Base_Jugadores!B751</f>
        <v>Vitaliy Mykolenko</v>
      </c>
      <c r="C751" s="5" t="str">
        <f aca="false">IFERROR(
   _xlfn.XLOOKUP(VALUE(A751),[1]Fichajes_Realizados!A$2:A$50000,[1]Fichajes_Realizados!D$2:D$50000,,0,-1),
   _xlfn.XLOOKUP(VALUE(A751),[1]Base_Jugadores!A$2:A$50000,[1]Base_Jugadores!C$2:C$50000)
)</f>
        <v>Everton FC</v>
      </c>
      <c r="D751" s="5" t="str">
        <f aca="false">[1]Base_Jugadores!D751</f>
        <v>Ucrania</v>
      </c>
      <c r="E751" s="3"/>
      <c r="F751" s="5" t="str">
        <f aca="false">[1]Base_Jugadores!E751</f>
        <v>LI</v>
      </c>
      <c r="G751" s="5" t="n">
        <f aca="false">[1]Base_Jugadores!F751</f>
        <v>77</v>
      </c>
      <c r="H751" s="5" t="n">
        <f aca="false">[1]Base_Jugadores!G751</f>
        <v>26</v>
      </c>
      <c r="I751" s="7" t="n">
        <f aca="false" t="array" ref="I751:I751">_xlfn.XLOOKUP(G751,{55;56;57;58;59;60;61;62;63;64;65;66;67;68;69;70;71;72;73;74;75;76;77;78;79;80;81;82;83;84;85;86;87;88;89;90;91;92;93;94;95;96;97;98;99},{100000;130000;160000;190000;220000;250000;300000;350000;400000;450000;500000;600000;700000;800000;900000;1000000;1500000;2000000;3000000;4000000;5000000;6500000;8000000;10000000;12500000;15000000;20000000;25000000;30000000;35000000;40000000;55000000;70000000;80000000;90000000;110000000;130000000;160000000;190000000;220000000;250000000;280000000;310000000;340000000;400000000})</f>
        <v>8000000</v>
      </c>
      <c r="J751" s="7" t="n">
        <f aca="false">I751*S751*T751*U751</f>
        <v>8832000</v>
      </c>
      <c r="K751" s="3"/>
      <c r="L751" s="3"/>
      <c r="M751" s="3"/>
      <c r="N751" s="9" t="n">
        <v>0</v>
      </c>
      <c r="O751" s="4" t="n">
        <v>0</v>
      </c>
      <c r="P751" s="5" t="n">
        <f aca="false">IF(COUNTIF([1]Base_Jugadores!J$2:J$500,B751)&gt;0,1,0)</f>
        <v>0</v>
      </c>
      <c r="Q751" s="10" t="b">
        <f aca="false">--(COUNTIFS(
   [1]Fichajes_Realizados!A$2:A$5000,A751,
   [1]Fichajes_Realizados!G$2:G$5000,$X$3
)&gt;0)</f>
        <v>0</v>
      </c>
      <c r="R751" s="5" t="n">
        <f aca="false">_xlfn.XLOOKUP(C751, [1]Estado_Equipos!A$2:A$500, [1]Estado_Equipos!J$2:J$500, "")</f>
        <v>74</v>
      </c>
      <c r="S751" s="5" t="n">
        <f aca="false">IF(H751&lt;=16,1.45,
IF(H751&gt;=41,0.3,
CHOOSE(ROUNDDOWN((H751-16)/2,0)+1,
1.45,1.38,1.3,1.23,1.17,1.15,1.12,1.05,0.95,0.8,0.6,0.4,0.3)))</f>
        <v>1.15</v>
      </c>
      <c r="T751" s="5" t="n">
        <f aca="false">CHOOSE(N751+1,1.2,1,0.85,0.7)</f>
        <v>1.2</v>
      </c>
      <c r="U751" s="5" t="n">
        <f aca="false">IF(F751="PO",0.6,
IF(F751="CT",0.75,
IF(F751="LI",0.8,
IF(F751="LD",0.8,
IF(F751="MCD",0.85,
IF(F751="MC",0.95,
IF(F751="MO",1.05,
IF(F751="EI",1.1,
IF(F751="ED",1.1,
IF(F751="SD",1.15,
IF(F751="DC",1.2,0)))))))))))</f>
        <v>0.8</v>
      </c>
    </row>
    <row r="752" customFormat="false" ht="16.4" hidden="false" customHeight="false" outlineLevel="0" collapsed="false">
      <c r="A752" s="1" t="n">
        <v>751</v>
      </c>
      <c r="B752" s="5" t="str">
        <f aca="false">[1]Base_Jugadores!B752</f>
        <v>Adama Traoré</v>
      </c>
      <c r="C752" s="5" t="str">
        <f aca="false">IFERROR(
   _xlfn.XLOOKUP(VALUE(A752),[1]Fichajes_Realizados!A$2:A$50000,[1]Fichajes_Realizados!D$2:D$50000,,0,-1),
   _xlfn.XLOOKUP(VALUE(A752),[1]Base_Jugadores!A$2:A$50000,[1]Base_Jugadores!C$2:C$50000)
)</f>
        <v>Fulham FC</v>
      </c>
      <c r="D752" s="5" t="str">
        <f aca="false">[1]Base_Jugadores!D752</f>
        <v>España</v>
      </c>
      <c r="E752" s="3"/>
      <c r="F752" s="5" t="str">
        <f aca="false">[1]Base_Jugadores!E752</f>
        <v>ED</v>
      </c>
      <c r="G752" s="5" t="n">
        <f aca="false">[1]Base_Jugadores!F752</f>
        <v>76</v>
      </c>
      <c r="H752" s="5" t="n">
        <f aca="false">[1]Base_Jugadores!G752</f>
        <v>29</v>
      </c>
      <c r="I752" s="7" t="n">
        <f aca="false" t="array" ref="I752:I752">_xlfn.XLOOKUP(G752,{55;56;57;58;59;60;61;62;63;64;65;66;67;68;69;70;71;72;73;74;75;76;77;78;79;80;81;82;83;84;85;86;87;88;89;90;91;92;93;94;95;96;97;98;99},{100000;130000;160000;190000;220000;250000;300000;350000;400000;450000;500000;600000;700000;800000;900000;1000000;1500000;2000000;3000000;4000000;5000000;6500000;8000000;10000000;12500000;15000000;20000000;25000000;30000000;35000000;40000000;55000000;70000000;80000000;90000000;110000000;130000000;160000000;190000000;220000000;250000000;280000000;310000000;340000000;400000000})</f>
        <v>6500000</v>
      </c>
      <c r="J752" s="7" t="n">
        <f aca="false">I752*S752*T752*U752</f>
        <v>8008000</v>
      </c>
      <c r="K752" s="3"/>
      <c r="L752" s="3"/>
      <c r="M752" s="3"/>
      <c r="N752" s="9" t="n">
        <v>1</v>
      </c>
      <c r="O752" s="4" t="n">
        <v>0</v>
      </c>
      <c r="P752" s="5" t="n">
        <f aca="false">IF(COUNTIF([1]Base_Jugadores!J$2:J$500,B752)&gt;0,1,0)</f>
        <v>0</v>
      </c>
      <c r="Q752" s="10" t="b">
        <f aca="false">--(COUNTIFS(
   [1]Fichajes_Realizados!A$2:A$5000,A752,
   [1]Fichajes_Realizados!G$2:G$5000,$X$3
)&gt;0)</f>
        <v>0</v>
      </c>
      <c r="R752" s="5" t="n">
        <f aca="false">_xlfn.XLOOKUP(C752, [1]Estado_Equipos!A$2:A$500, [1]Estado_Equipos!J$2:J$500, "")</f>
        <v>75</v>
      </c>
      <c r="S752" s="5" t="n">
        <f aca="false">IF(H752&lt;=16,1.45,
IF(H752&gt;=41,0.3,
CHOOSE(ROUNDDOWN((H752-16)/2,0)+1,
1.45,1.38,1.3,1.23,1.17,1.15,1.12,1.05,0.95,0.8,0.6,0.4,0.3)))</f>
        <v>1.12</v>
      </c>
      <c r="T752" s="5" t="n">
        <f aca="false">CHOOSE(N752+1,1.2,1,0.85,0.7)</f>
        <v>1</v>
      </c>
      <c r="U752" s="5" t="n">
        <f aca="false">IF(F752="PO",0.6,
IF(F752="CT",0.75,
IF(F752="LI",0.8,
IF(F752="LD",0.8,
IF(F752="MCD",0.85,
IF(F752="MC",0.95,
IF(F752="MO",1.05,
IF(F752="EI",1.1,
IF(F752="ED",1.1,
IF(F752="SD",1.15,
IF(F752="DC",1.2,0)))))))))))</f>
        <v>1.1</v>
      </c>
    </row>
    <row r="753" customFormat="false" ht="16.4" hidden="false" customHeight="false" outlineLevel="0" collapsed="false">
      <c r="A753" s="1" t="n">
        <v>752</v>
      </c>
      <c r="B753" s="5" t="str">
        <f aca="false">[1]Base_Jugadores!B753</f>
        <v>Alex Borto</v>
      </c>
      <c r="C753" s="5" t="str">
        <f aca="false">IFERROR(
   _xlfn.XLOOKUP(VALUE(A753),[1]Fichajes_Realizados!A$2:A$50000,[1]Fichajes_Realizados!D$2:D$50000,,0,-1),
   _xlfn.XLOOKUP(VALUE(A753),[1]Base_Jugadores!A$2:A$50000,[1]Base_Jugadores!C$2:C$50000)
)</f>
        <v>Fulham FC</v>
      </c>
      <c r="D753" s="5" t="str">
        <f aca="false">[1]Base_Jugadores!D753</f>
        <v>Estados Unidos</v>
      </c>
      <c r="E753" s="3"/>
      <c r="F753" s="5" t="str">
        <f aca="false">[1]Base_Jugadores!E753</f>
        <v>PO</v>
      </c>
      <c r="G753" s="5" t="n">
        <f aca="false">[1]Base_Jugadores!F753</f>
        <v>59</v>
      </c>
      <c r="H753" s="5" t="n">
        <f aca="false">[1]Base_Jugadores!G753</f>
        <v>22</v>
      </c>
      <c r="I753" s="7" t="n">
        <f aca="false" t="array" ref="I753:I753">_xlfn.XLOOKUP(G753,{55;56;57;58;59;60;61;62;63;64;65;66;67;68;69;70;71;72;73;74;75;76;77;78;79;80;81;82;83;84;85;86;87;88;89;90;91;92;93;94;95;96;97;98;99},{100000;130000;160000;190000;220000;250000;300000;350000;400000;450000;500000;600000;700000;800000;900000;1000000;1500000;2000000;3000000;4000000;5000000;6500000;8000000;10000000;12500000;15000000;20000000;25000000;30000000;35000000;40000000;55000000;70000000;80000000;90000000;110000000;130000000;160000000;190000000;220000000;250000000;280000000;310000000;340000000;400000000})</f>
        <v>220000</v>
      </c>
      <c r="J753" s="7" t="n">
        <f aca="false">I753*S753*T753*U753</f>
        <v>138006</v>
      </c>
      <c r="K753" s="3"/>
      <c r="L753" s="3"/>
      <c r="M753" s="3"/>
      <c r="N753" s="9" t="n">
        <v>2</v>
      </c>
      <c r="O753" s="4" t="n">
        <v>1</v>
      </c>
      <c r="P753" s="5" t="n">
        <f aca="false">IF(COUNTIF([1]Base_Jugadores!J$2:J$500,B753)&gt;0,1,0)</f>
        <v>0</v>
      </c>
      <c r="Q753" s="10" t="b">
        <f aca="false">--(COUNTIFS(
   [1]Fichajes_Realizados!A$2:A$5000,A753,
   [1]Fichajes_Realizados!G$2:G$5000,$X$3
)&gt;0)</f>
        <v>0</v>
      </c>
      <c r="R753" s="5" t="n">
        <f aca="false">_xlfn.XLOOKUP(C753, [1]Estado_Equipos!A$2:A$500, [1]Estado_Equipos!J$2:J$500, "")</f>
        <v>75</v>
      </c>
      <c r="S753" s="5" t="n">
        <f aca="false">IF(H753&lt;=16,1.45,
IF(H753&gt;=41,0.3,
CHOOSE(ROUNDDOWN((H753-16)/2,0)+1,
1.45,1.38,1.3,1.23,1.17,1.15,1.12,1.05,0.95,0.8,0.6,0.4,0.3)))</f>
        <v>1.23</v>
      </c>
      <c r="T753" s="5" t="n">
        <f aca="false">CHOOSE(N753+1,1.2,1,0.85,0.7)</f>
        <v>0.85</v>
      </c>
      <c r="U753" s="5" t="n">
        <f aca="false">IF(F753="PO",0.6,
IF(F753="CT",0.75,
IF(F753="LI",0.8,
IF(F753="LD",0.8,
IF(F753="MCD",0.85,
IF(F753="MC",0.95,
IF(F753="MO",1.05,
IF(F753="EI",1.1,
IF(F753="ED",1.1,
IF(F753="SD",1.15,
IF(F753="DC",1.2,0)))))))))))</f>
        <v>0.6</v>
      </c>
    </row>
    <row r="754" customFormat="false" ht="16.4" hidden="false" customHeight="false" outlineLevel="0" collapsed="false">
      <c r="A754" s="1" t="n">
        <v>753</v>
      </c>
      <c r="B754" s="5" t="str">
        <f aca="false">[1]Base_Jugadores!B754</f>
        <v>Alex Iwobi</v>
      </c>
      <c r="C754" s="5" t="str">
        <f aca="false">IFERROR(
   _xlfn.XLOOKUP(VALUE(A754),[1]Fichajes_Realizados!A$2:A$50000,[1]Fichajes_Realizados!D$2:D$50000,,0,-1),
   _xlfn.XLOOKUP(VALUE(A754),[1]Base_Jugadores!A$2:A$50000,[1]Base_Jugadores!C$2:C$50000)
)</f>
        <v>Fulham FC</v>
      </c>
      <c r="D754" s="5" t="str">
        <f aca="false">[1]Base_Jugadores!D754</f>
        <v>Nigeria</v>
      </c>
      <c r="E754" s="3"/>
      <c r="F754" s="5" t="str">
        <f aca="false">[1]Base_Jugadores!E754</f>
        <v>EI</v>
      </c>
      <c r="G754" s="5" t="n">
        <f aca="false">[1]Base_Jugadores!F754</f>
        <v>78</v>
      </c>
      <c r="H754" s="5" t="n">
        <f aca="false">[1]Base_Jugadores!G754</f>
        <v>29</v>
      </c>
      <c r="I754" s="7" t="n">
        <f aca="false" t="array" ref="I754:I754">_xlfn.XLOOKUP(G754,{55;56;57;58;59;60;61;62;63;64;65;66;67;68;69;70;71;72;73;74;75;76;77;78;79;80;81;82;83;84;85;86;87;88;89;90;91;92;93;94;95;96;97;98;99},{100000;130000;160000;190000;220000;250000;300000;350000;400000;450000;500000;600000;700000;800000;900000;1000000;1500000;2000000;3000000;4000000;5000000;6500000;8000000;10000000;12500000;15000000;20000000;25000000;30000000;35000000;40000000;55000000;70000000;80000000;90000000;110000000;130000000;160000000;190000000;220000000;250000000;280000000;310000000;340000000;400000000})</f>
        <v>10000000</v>
      </c>
      <c r="J754" s="7" t="n">
        <f aca="false">I754*S754*T754*U754</f>
        <v>14784000</v>
      </c>
      <c r="K754" s="3"/>
      <c r="L754" s="3"/>
      <c r="M754" s="3"/>
      <c r="N754" s="9" t="n">
        <v>0</v>
      </c>
      <c r="O754" s="4" t="n">
        <v>0</v>
      </c>
      <c r="P754" s="5" t="n">
        <f aca="false">IF(COUNTIF([1]Base_Jugadores!J$2:J$500,B754)&gt;0,1,0)</f>
        <v>0</v>
      </c>
      <c r="Q754" s="10" t="b">
        <f aca="false">--(COUNTIFS(
   [1]Fichajes_Realizados!A$2:A$5000,A754,
   [1]Fichajes_Realizados!G$2:G$5000,$X$3
)&gt;0)</f>
        <v>0</v>
      </c>
      <c r="R754" s="5" t="n">
        <f aca="false">_xlfn.XLOOKUP(C754, [1]Estado_Equipos!A$2:A$500, [1]Estado_Equipos!J$2:J$500, "")</f>
        <v>75</v>
      </c>
      <c r="S754" s="5" t="n">
        <f aca="false">IF(H754&lt;=16,1.45,
IF(H754&gt;=41,0.3,
CHOOSE(ROUNDDOWN((H754-16)/2,0)+1,
1.45,1.38,1.3,1.23,1.17,1.15,1.12,1.05,0.95,0.8,0.6,0.4,0.3)))</f>
        <v>1.12</v>
      </c>
      <c r="T754" s="5" t="n">
        <f aca="false">CHOOSE(N754+1,1.2,1,0.85,0.7)</f>
        <v>1.2</v>
      </c>
      <c r="U754" s="5" t="n">
        <f aca="false">IF(F754="PO",0.6,
IF(F754="CT",0.75,
IF(F754="LI",0.8,
IF(F754="LD",0.8,
IF(F754="MCD",0.85,
IF(F754="MC",0.95,
IF(F754="MO",1.05,
IF(F754="EI",1.1,
IF(F754="ED",1.1,
IF(F754="SD",1.15,
IF(F754="DC",1.2,0)))))))))))</f>
        <v>1.1</v>
      </c>
    </row>
    <row r="755" customFormat="false" ht="16.4" hidden="false" customHeight="false" outlineLevel="0" collapsed="false">
      <c r="A755" s="1" t="n">
        <v>754</v>
      </c>
      <c r="B755" s="5" t="str">
        <f aca="false">[1]Base_Jugadores!B755</f>
        <v>Antonee Robinson</v>
      </c>
      <c r="C755" s="5" t="str">
        <f aca="false">IFERROR(
   _xlfn.XLOOKUP(VALUE(A755),[1]Fichajes_Realizados!A$2:A$50000,[1]Fichajes_Realizados!D$2:D$50000,,0,-1),
   _xlfn.XLOOKUP(VALUE(A755),[1]Base_Jugadores!A$2:A$50000,[1]Base_Jugadores!C$2:C$50000)
)</f>
        <v>Fulham FC</v>
      </c>
      <c r="D755" s="5" t="str">
        <f aca="false">[1]Base_Jugadores!D755</f>
        <v>Estados Unidos</v>
      </c>
      <c r="E755" s="3"/>
      <c r="F755" s="5" t="str">
        <f aca="false">[1]Base_Jugadores!E755</f>
        <v>LI</v>
      </c>
      <c r="G755" s="5" t="n">
        <f aca="false">[1]Base_Jugadores!F755</f>
        <v>80</v>
      </c>
      <c r="H755" s="5" t="n">
        <f aca="false">[1]Base_Jugadores!G755</f>
        <v>28</v>
      </c>
      <c r="I755" s="7" t="n">
        <f aca="false" t="array" ref="I755:I755">_xlfn.XLOOKUP(G755,{55;56;57;58;59;60;61;62;63;64;65;66;67;68;69;70;71;72;73;74;75;76;77;78;79;80;81;82;83;84;85;86;87;88;89;90;91;92;93;94;95;96;97;98;99},{100000;130000;160000;190000;220000;250000;300000;350000;400000;450000;500000;600000;700000;800000;900000;1000000;1500000;2000000;3000000;4000000;5000000;6500000;8000000;10000000;12500000;15000000;20000000;25000000;30000000;35000000;40000000;55000000;70000000;80000000;90000000;110000000;130000000;160000000;190000000;220000000;250000000;280000000;310000000;340000000;400000000})</f>
        <v>15000000</v>
      </c>
      <c r="J755" s="7" t="n">
        <f aca="false">I755*S755*T755*U755</f>
        <v>16128000</v>
      </c>
      <c r="K755" s="3"/>
      <c r="L755" s="3"/>
      <c r="M755" s="3"/>
      <c r="N755" s="9" t="n">
        <v>0</v>
      </c>
      <c r="O755" s="4" t="n">
        <v>0</v>
      </c>
      <c r="P755" s="5" t="n">
        <f aca="false">IF(COUNTIF([1]Base_Jugadores!J$2:J$500,B755)&gt;0,1,0)</f>
        <v>0</v>
      </c>
      <c r="Q755" s="10" t="b">
        <f aca="false">--(COUNTIFS(
   [1]Fichajes_Realizados!A$2:A$5000,A755,
   [1]Fichajes_Realizados!G$2:G$5000,$X$3
)&gt;0)</f>
        <v>0</v>
      </c>
      <c r="R755" s="5" t="n">
        <f aca="false">_xlfn.XLOOKUP(C755, [1]Estado_Equipos!A$2:A$500, [1]Estado_Equipos!J$2:J$500, "")</f>
        <v>75</v>
      </c>
      <c r="S755" s="5" t="n">
        <f aca="false">IF(H755&lt;=16,1.45,
IF(H755&gt;=41,0.3,
CHOOSE(ROUNDDOWN((H755-16)/2,0)+1,
1.45,1.38,1.3,1.23,1.17,1.15,1.12,1.05,0.95,0.8,0.6,0.4,0.3)))</f>
        <v>1.12</v>
      </c>
      <c r="T755" s="5" t="n">
        <f aca="false">CHOOSE(N755+1,1.2,1,0.85,0.7)</f>
        <v>1.2</v>
      </c>
      <c r="U755" s="5" t="n">
        <f aca="false">IF(F755="PO",0.6,
IF(F755="CT",0.75,
IF(F755="LI",0.8,
IF(F755="LD",0.8,
IF(F755="MCD",0.85,
IF(F755="MC",0.95,
IF(F755="MO",1.05,
IF(F755="EI",1.1,
IF(F755="ED",1.1,
IF(F755="SD",1.15,
IF(F755="DC",1.2,0)))))))))))</f>
        <v>0.8</v>
      </c>
    </row>
    <row r="756" customFormat="false" ht="16.4" hidden="false" customHeight="false" outlineLevel="0" collapsed="false">
      <c r="A756" s="1" t="n">
        <v>755</v>
      </c>
      <c r="B756" s="5" t="str">
        <f aca="false">[1]Base_Jugadores!B756</f>
        <v>B. Lecomte</v>
      </c>
      <c r="C756" s="5" t="str">
        <f aca="false">IFERROR(
   _xlfn.XLOOKUP(VALUE(A756),[1]Fichajes_Realizados!A$2:A$50000,[1]Fichajes_Realizados!D$2:D$50000,,0,-1),
   _xlfn.XLOOKUP(VALUE(A756),[1]Base_Jugadores!A$2:A$50000,[1]Base_Jugadores!C$2:C$50000)
)</f>
        <v>Fulham FC</v>
      </c>
      <c r="D756" s="5" t="str">
        <f aca="false">[1]Base_Jugadores!D756</f>
        <v>Francia</v>
      </c>
      <c r="E756" s="3"/>
      <c r="F756" s="5" t="str">
        <f aca="false">[1]Base_Jugadores!E756</f>
        <v>PO</v>
      </c>
      <c r="G756" s="5" t="n">
        <f aca="false">[1]Base_Jugadores!F756</f>
        <v>76</v>
      </c>
      <c r="H756" s="5" t="n">
        <f aca="false">[1]Base_Jugadores!G756</f>
        <v>34</v>
      </c>
      <c r="I756" s="7" t="n">
        <f aca="false" t="array" ref="I756:I756">_xlfn.XLOOKUP(G756,{55;56;57;58;59;60;61;62;63;64;65;66;67;68;69;70;71;72;73;74;75;76;77;78;79;80;81;82;83;84;85;86;87;88;89;90;91;92;93;94;95;96;97;98;99},{100000;130000;160000;190000;220000;250000;300000;350000;400000;450000;500000;600000;700000;800000;900000;1000000;1500000;2000000;3000000;4000000;5000000;6500000;8000000;10000000;12500000;15000000;20000000;25000000;30000000;35000000;40000000;55000000;70000000;80000000;90000000;110000000;130000000;160000000;190000000;220000000;250000000;280000000;310000000;340000000;400000000})</f>
        <v>6500000</v>
      </c>
      <c r="J756" s="7" t="n">
        <f aca="false">I756*S756*T756*U756</f>
        <v>2652000</v>
      </c>
      <c r="K756" s="3"/>
      <c r="L756" s="3"/>
      <c r="M756" s="3"/>
      <c r="N756" s="9" t="n">
        <v>2</v>
      </c>
      <c r="O756" s="4" t="n">
        <v>0</v>
      </c>
      <c r="P756" s="5" t="n">
        <f aca="false">IF(COUNTIF([1]Base_Jugadores!J$2:J$500,B756)&gt;0,1,0)</f>
        <v>0</v>
      </c>
      <c r="Q756" s="10" t="b">
        <f aca="false">--(COUNTIFS(
   [1]Fichajes_Realizados!A$2:A$5000,A756,
   [1]Fichajes_Realizados!G$2:G$5000,$X$3
)&gt;0)</f>
        <v>0</v>
      </c>
      <c r="R756" s="5" t="n">
        <f aca="false">_xlfn.XLOOKUP(C756, [1]Estado_Equipos!A$2:A$500, [1]Estado_Equipos!J$2:J$500, "")</f>
        <v>75</v>
      </c>
      <c r="S756" s="5" t="n">
        <f aca="false">IF(H756&lt;=16,1.45,
IF(H756&gt;=41,0.3,
CHOOSE(ROUNDDOWN((H756-16)/2,0)+1,
1.45,1.38,1.3,1.23,1.17,1.15,1.12,1.05,0.95,0.8,0.6,0.4,0.3)))</f>
        <v>0.8</v>
      </c>
      <c r="T756" s="5" t="n">
        <f aca="false">CHOOSE(N756+1,1.2,1,0.85,0.7)</f>
        <v>0.85</v>
      </c>
      <c r="U756" s="5" t="n">
        <f aca="false">IF(F756="PO",0.6,
IF(F756="CT",0.75,
IF(F756="LI",0.8,
IF(F756="LD",0.8,
IF(F756="MCD",0.85,
IF(F756="MC",0.95,
IF(F756="MO",1.05,
IF(F756="EI",1.1,
IF(F756="ED",1.1,
IF(F756="SD",1.15,
IF(F756="DC",1.2,0)))))))))))</f>
        <v>0.6</v>
      </c>
    </row>
    <row r="757" customFormat="false" ht="16.4" hidden="false" customHeight="false" outlineLevel="0" collapsed="false">
      <c r="A757" s="1" t="n">
        <v>756</v>
      </c>
      <c r="B757" s="5" t="str">
        <f aca="false">[1]Base_Jugadores!B757</f>
        <v>Bernd Leno</v>
      </c>
      <c r="C757" s="5" t="str">
        <f aca="false">IFERROR(
   _xlfn.XLOOKUP(VALUE(A757),[1]Fichajes_Realizados!A$2:A$50000,[1]Fichajes_Realizados!D$2:D$50000,,0,-1),
   _xlfn.XLOOKUP(VALUE(A757),[1]Base_Jugadores!A$2:A$50000,[1]Base_Jugadores!C$2:C$50000)
)</f>
        <v>Fulham FC</v>
      </c>
      <c r="D757" s="5" t="str">
        <f aca="false">[1]Base_Jugadores!D757</f>
        <v>Alemania</v>
      </c>
      <c r="E757" s="3"/>
      <c r="F757" s="5" t="str">
        <f aca="false">[1]Base_Jugadores!E757</f>
        <v>PO</v>
      </c>
      <c r="G757" s="5" t="n">
        <f aca="false">[1]Base_Jugadores!F757</f>
        <v>82</v>
      </c>
      <c r="H757" s="5" t="n">
        <f aca="false">[1]Base_Jugadores!G757</f>
        <v>33</v>
      </c>
      <c r="I757" s="7" t="n">
        <f aca="false" t="array" ref="I757:I757">_xlfn.XLOOKUP(G757,{55;56;57;58;59;60;61;62;63;64;65;66;67;68;69;70;71;72;73;74;75;76;77;78;79;80;81;82;83;84;85;86;87;88;89;90;91;92;93;94;95;96;97;98;99},{100000;130000;160000;190000;220000;250000;300000;350000;400000;450000;500000;600000;700000;800000;900000;1000000;1500000;2000000;3000000;4000000;5000000;6500000;8000000;10000000;12500000;15000000;20000000;25000000;30000000;35000000;40000000;55000000;70000000;80000000;90000000;110000000;130000000;160000000;190000000;220000000;250000000;280000000;310000000;340000000;400000000})</f>
        <v>25000000</v>
      </c>
      <c r="J757" s="7" t="n">
        <f aca="false">I757*S757*T757*U757</f>
        <v>17100000</v>
      </c>
      <c r="K757" s="3"/>
      <c r="L757" s="3"/>
      <c r="M757" s="3"/>
      <c r="N757" s="9" t="n">
        <v>0</v>
      </c>
      <c r="O757" s="4" t="n">
        <v>0</v>
      </c>
      <c r="P757" s="5" t="n">
        <f aca="false">IF(COUNTIF([1]Base_Jugadores!J$2:J$500,B757)&gt;0,1,0)</f>
        <v>0</v>
      </c>
      <c r="Q757" s="10" t="b">
        <f aca="false">--(COUNTIFS(
   [1]Fichajes_Realizados!A$2:A$5000,A757,
   [1]Fichajes_Realizados!G$2:G$5000,$X$3
)&gt;0)</f>
        <v>0</v>
      </c>
      <c r="R757" s="5" t="n">
        <f aca="false">_xlfn.XLOOKUP(C757, [1]Estado_Equipos!A$2:A$500, [1]Estado_Equipos!J$2:J$500, "")</f>
        <v>75</v>
      </c>
      <c r="S757" s="5" t="n">
        <f aca="false">IF(H757&lt;=16,1.45,
IF(H757&gt;=41,0.3,
CHOOSE(ROUNDDOWN((H757-16)/2,0)+1,
1.45,1.38,1.3,1.23,1.17,1.15,1.12,1.05,0.95,0.8,0.6,0.4,0.3)))</f>
        <v>0.95</v>
      </c>
      <c r="T757" s="5" t="n">
        <f aca="false">CHOOSE(N757+1,1.2,1,0.85,0.7)</f>
        <v>1.2</v>
      </c>
      <c r="U757" s="5" t="n">
        <f aca="false">IF(F757="PO",0.6,
IF(F757="CT",0.75,
IF(F757="LI",0.8,
IF(F757="LD",0.8,
IF(F757="MCD",0.85,
IF(F757="MC",0.95,
IF(F757="MO",1.05,
IF(F757="EI",1.1,
IF(F757="ED",1.1,
IF(F757="SD",1.15,
IF(F757="DC",1.2,0)))))))))))</f>
        <v>0.6</v>
      </c>
    </row>
    <row r="758" customFormat="false" ht="16.4" hidden="false" customHeight="false" outlineLevel="0" collapsed="false">
      <c r="A758" s="1" t="n">
        <v>757</v>
      </c>
      <c r="B758" s="5" t="str">
        <f aca="false">[1]Base_Jugadores!B758</f>
        <v>Calvin Bassey</v>
      </c>
      <c r="C758" s="5" t="str">
        <f aca="false">IFERROR(
   _xlfn.XLOOKUP(VALUE(A758),[1]Fichajes_Realizados!A$2:A$50000,[1]Fichajes_Realizados!D$2:D$50000,,0,-1),
   _xlfn.XLOOKUP(VALUE(A758),[1]Base_Jugadores!A$2:A$50000,[1]Base_Jugadores!C$2:C$50000)
)</f>
        <v>Fulham FC</v>
      </c>
      <c r="D758" s="5" t="str">
        <f aca="false">[1]Base_Jugadores!D758</f>
        <v>Nigeria</v>
      </c>
      <c r="E758" s="3"/>
      <c r="F758" s="5" t="str">
        <f aca="false">[1]Base_Jugadores!E758</f>
        <v>CT</v>
      </c>
      <c r="G758" s="5" t="n">
        <f aca="false">[1]Base_Jugadores!F758</f>
        <v>76</v>
      </c>
      <c r="H758" s="5" t="n">
        <f aca="false">[1]Base_Jugadores!G758</f>
        <v>26</v>
      </c>
      <c r="I758" s="7" t="n">
        <f aca="false" t="array" ref="I758:I758">_xlfn.XLOOKUP(G758,{55;56;57;58;59;60;61;62;63;64;65;66;67;68;69;70;71;72;73;74;75;76;77;78;79;80;81;82;83;84;85;86;87;88;89;90;91;92;93;94;95;96;97;98;99},{100000;130000;160000;190000;220000;250000;300000;350000;400000;450000;500000;600000;700000;800000;900000;1000000;1500000;2000000;3000000;4000000;5000000;6500000;8000000;10000000;12500000;15000000;20000000;25000000;30000000;35000000;40000000;55000000;70000000;80000000;90000000;110000000;130000000;160000000;190000000;220000000;250000000;280000000;310000000;340000000;400000000})</f>
        <v>6500000</v>
      </c>
      <c r="J758" s="7" t="n">
        <f aca="false">I758*S758*T758*U758</f>
        <v>5606250</v>
      </c>
      <c r="K758" s="3"/>
      <c r="L758" s="3"/>
      <c r="M758" s="3"/>
      <c r="N758" s="9" t="n">
        <v>1</v>
      </c>
      <c r="O758" s="4" t="n">
        <v>0</v>
      </c>
      <c r="P758" s="5" t="n">
        <f aca="false">IF(COUNTIF([1]Base_Jugadores!J$2:J$500,B758)&gt;0,1,0)</f>
        <v>0</v>
      </c>
      <c r="Q758" s="10" t="b">
        <f aca="false">--(COUNTIFS(
   [1]Fichajes_Realizados!A$2:A$5000,A758,
   [1]Fichajes_Realizados!G$2:G$5000,$X$3
)&gt;0)</f>
        <v>0</v>
      </c>
      <c r="R758" s="5" t="n">
        <f aca="false">_xlfn.XLOOKUP(C758, [1]Estado_Equipos!A$2:A$500, [1]Estado_Equipos!J$2:J$500, "")</f>
        <v>75</v>
      </c>
      <c r="S758" s="5" t="n">
        <f aca="false">IF(H758&lt;=16,1.45,
IF(H758&gt;=41,0.3,
CHOOSE(ROUNDDOWN((H758-16)/2,0)+1,
1.45,1.38,1.3,1.23,1.17,1.15,1.12,1.05,0.95,0.8,0.6,0.4,0.3)))</f>
        <v>1.15</v>
      </c>
      <c r="T758" s="5" t="n">
        <f aca="false">CHOOSE(N758+1,1.2,1,0.85,0.7)</f>
        <v>1</v>
      </c>
      <c r="U758" s="5" t="n">
        <f aca="false">IF(F758="PO",0.6,
IF(F758="CT",0.75,
IF(F758="LI",0.8,
IF(F758="LD",0.8,
IF(F758="MCD",0.85,
IF(F758="MC",0.95,
IF(F758="MO",1.05,
IF(F758="EI",1.1,
IF(F758="ED",1.1,
IF(F758="SD",1.15,
IF(F758="DC",1.2,0)))))))))))</f>
        <v>0.75</v>
      </c>
    </row>
    <row r="759" customFormat="false" ht="16.4" hidden="false" customHeight="false" outlineLevel="0" collapsed="false">
      <c r="A759" s="1" t="n">
        <v>758</v>
      </c>
      <c r="B759" s="5" t="str">
        <f aca="false">[1]Base_Jugadores!B759</f>
        <v>E. Smith Rowe</v>
      </c>
      <c r="C759" s="5" t="str">
        <f aca="false">IFERROR(
   _xlfn.XLOOKUP(VALUE(A759),[1]Fichajes_Realizados!A$2:A$50000,[1]Fichajes_Realizados!D$2:D$50000,,0,-1),
   _xlfn.XLOOKUP(VALUE(A759),[1]Base_Jugadores!A$2:A$50000,[1]Base_Jugadores!C$2:C$50000)
)</f>
        <v>Fulham FC</v>
      </c>
      <c r="D759" s="5" t="str">
        <f aca="false">[1]Base_Jugadores!D759</f>
        <v>Inglaterra</v>
      </c>
      <c r="E759" s="3"/>
      <c r="F759" s="5" t="str">
        <f aca="false">[1]Base_Jugadores!E759</f>
        <v>MO</v>
      </c>
      <c r="G759" s="5" t="n">
        <f aca="false">[1]Base_Jugadores!F759</f>
        <v>77</v>
      </c>
      <c r="H759" s="5" t="n">
        <f aca="false">[1]Base_Jugadores!G759</f>
        <v>25</v>
      </c>
      <c r="I759" s="7" t="n">
        <f aca="false" t="array" ref="I759:I759">_xlfn.XLOOKUP(G759,{55;56;57;58;59;60;61;62;63;64;65;66;67;68;69;70;71;72;73;74;75;76;77;78;79;80;81;82;83;84;85;86;87;88;89;90;91;92;93;94;95;96;97;98;99},{100000;130000;160000;190000;220000;250000;300000;350000;400000;450000;500000;600000;700000;800000;900000;1000000;1500000;2000000;3000000;4000000;5000000;6500000;8000000;10000000;12500000;15000000;20000000;25000000;30000000;35000000;40000000;55000000;70000000;80000000;90000000;110000000;130000000;160000000;190000000;220000000;250000000;280000000;310000000;340000000;400000000})</f>
        <v>8000000</v>
      </c>
      <c r="J759" s="7" t="n">
        <f aca="false">I759*S759*T759*U759</f>
        <v>11793600</v>
      </c>
      <c r="K759" s="3"/>
      <c r="L759" s="3"/>
      <c r="M759" s="3"/>
      <c r="N759" s="9" t="n">
        <v>0</v>
      </c>
      <c r="O759" s="4" t="n">
        <v>0</v>
      </c>
      <c r="P759" s="5" t="n">
        <f aca="false">IF(COUNTIF([1]Base_Jugadores!J$2:J$500,B759)&gt;0,1,0)</f>
        <v>0</v>
      </c>
      <c r="Q759" s="10" t="b">
        <f aca="false">--(COUNTIFS(
   [1]Fichajes_Realizados!A$2:A$5000,A759,
   [1]Fichajes_Realizados!G$2:G$5000,$X$3
)&gt;0)</f>
        <v>0</v>
      </c>
      <c r="R759" s="5" t="n">
        <f aca="false">_xlfn.XLOOKUP(C759, [1]Estado_Equipos!A$2:A$500, [1]Estado_Equipos!J$2:J$500, "")</f>
        <v>75</v>
      </c>
      <c r="S759" s="5" t="n">
        <f aca="false">IF(H759&lt;=16,1.45,
IF(H759&gt;=41,0.3,
CHOOSE(ROUNDDOWN((H759-16)/2,0)+1,
1.45,1.38,1.3,1.23,1.17,1.15,1.12,1.05,0.95,0.8,0.6,0.4,0.3)))</f>
        <v>1.17</v>
      </c>
      <c r="T759" s="5" t="n">
        <f aca="false">CHOOSE(N759+1,1.2,1,0.85,0.7)</f>
        <v>1.2</v>
      </c>
      <c r="U759" s="5" t="n">
        <f aca="false">IF(F759="PO",0.6,
IF(F759="CT",0.75,
IF(F759="LI",0.8,
IF(F759="LD",0.8,
IF(F759="MCD",0.85,
IF(F759="MC",0.95,
IF(F759="MO",1.05,
IF(F759="EI",1.1,
IF(F759="ED",1.1,
IF(F759="SD",1.15,
IF(F759="DC",1.2,0)))))))))))</f>
        <v>1.05</v>
      </c>
    </row>
    <row r="760" customFormat="false" ht="16.4" hidden="false" customHeight="false" outlineLevel="0" collapsed="false">
      <c r="A760" s="1" t="n">
        <v>759</v>
      </c>
      <c r="B760" s="5" t="str">
        <f aca="false">[1]Base_Jugadores!B760</f>
        <v>Harrison Reed</v>
      </c>
      <c r="C760" s="5" t="str">
        <f aca="false">IFERROR(
   _xlfn.XLOOKUP(VALUE(A760),[1]Fichajes_Realizados!A$2:A$50000,[1]Fichajes_Realizados!D$2:D$50000,,0,-1),
   _xlfn.XLOOKUP(VALUE(A760),[1]Base_Jugadores!A$2:A$50000,[1]Base_Jugadores!C$2:C$50000)
)</f>
        <v>Fulham FC</v>
      </c>
      <c r="D760" s="5" t="str">
        <f aca="false">[1]Base_Jugadores!D760</f>
        <v>Inglaterra</v>
      </c>
      <c r="E760" s="3"/>
      <c r="F760" s="5" t="str">
        <f aca="false">[1]Base_Jugadores!E760</f>
        <v>MC</v>
      </c>
      <c r="G760" s="5" t="n">
        <f aca="false">[1]Base_Jugadores!F760</f>
        <v>76</v>
      </c>
      <c r="H760" s="5" t="n">
        <f aca="false">[1]Base_Jugadores!G760</f>
        <v>30</v>
      </c>
      <c r="I760" s="7" t="n">
        <f aca="false" t="array" ref="I760:I760">_xlfn.XLOOKUP(G760,{55;56;57;58;59;60;61;62;63;64;65;66;67;68;69;70;71;72;73;74;75;76;77;78;79;80;81;82;83;84;85;86;87;88;89;90;91;92;93;94;95;96;97;98;99},{100000;130000;160000;190000;220000;250000;300000;350000;400000;450000;500000;600000;700000;800000;900000;1000000;1500000;2000000;3000000;4000000;5000000;6500000;8000000;10000000;12500000;15000000;20000000;25000000;30000000;35000000;40000000;55000000;70000000;80000000;90000000;110000000;130000000;160000000;190000000;220000000;250000000;280000000;310000000;340000000;400000000})</f>
        <v>6500000</v>
      </c>
      <c r="J760" s="7" t="n">
        <f aca="false">I760*S760*T760*U760</f>
        <v>7780500</v>
      </c>
      <c r="K760" s="3"/>
      <c r="L760" s="3"/>
      <c r="M760" s="3"/>
      <c r="N760" s="9" t="n">
        <v>0</v>
      </c>
      <c r="O760" s="4" t="n">
        <v>0</v>
      </c>
      <c r="P760" s="5" t="n">
        <f aca="false">IF(COUNTIF([1]Base_Jugadores!J$2:J$500,B760)&gt;0,1,0)</f>
        <v>0</v>
      </c>
      <c r="Q760" s="10" t="b">
        <f aca="false">--(COUNTIFS(
   [1]Fichajes_Realizados!A$2:A$5000,A760,
   [1]Fichajes_Realizados!G$2:G$5000,$X$3
)&gt;0)</f>
        <v>0</v>
      </c>
      <c r="R760" s="5" t="n">
        <f aca="false">_xlfn.XLOOKUP(C760, [1]Estado_Equipos!A$2:A$500, [1]Estado_Equipos!J$2:J$500, "")</f>
        <v>75</v>
      </c>
      <c r="S760" s="5" t="n">
        <f aca="false">IF(H760&lt;=16,1.45,
IF(H760&gt;=41,0.3,
CHOOSE(ROUNDDOWN((H760-16)/2,0)+1,
1.45,1.38,1.3,1.23,1.17,1.15,1.12,1.05,0.95,0.8,0.6,0.4,0.3)))</f>
        <v>1.05</v>
      </c>
      <c r="T760" s="5" t="n">
        <f aca="false">CHOOSE(N760+1,1.2,1,0.85,0.7)</f>
        <v>1.2</v>
      </c>
      <c r="U760" s="5" t="n">
        <f aca="false">IF(F760="PO",0.6,
IF(F760="CT",0.75,
IF(F760="LI",0.8,
IF(F760="LD",0.8,
IF(F760="MCD",0.85,
IF(F760="MC",0.95,
IF(F760="MO",1.05,
IF(F760="EI",1.1,
IF(F760="ED",1.1,
IF(F760="SD",1.15,
IF(F760="DC",1.2,0)))))))))))</f>
        <v>0.95</v>
      </c>
    </row>
    <row r="761" customFormat="false" ht="16.4" hidden="false" customHeight="false" outlineLevel="0" collapsed="false">
      <c r="A761" s="1" t="n">
        <v>760</v>
      </c>
      <c r="B761" s="5" t="str">
        <f aca="false">[1]Base_Jugadores!B761</f>
        <v>Harry Wilson</v>
      </c>
      <c r="C761" s="5" t="str">
        <f aca="false">IFERROR(
   _xlfn.XLOOKUP(VALUE(A761),[1]Fichajes_Realizados!A$2:A$50000,[1]Fichajes_Realizados!D$2:D$50000,,0,-1),
   _xlfn.XLOOKUP(VALUE(A761),[1]Base_Jugadores!A$2:A$50000,[1]Base_Jugadores!C$2:C$50000)
)</f>
        <v>Fulham FC</v>
      </c>
      <c r="D761" s="5" t="str">
        <f aca="false">[1]Base_Jugadores!D761</f>
        <v>Gales</v>
      </c>
      <c r="E761" s="3"/>
      <c r="F761" s="5" t="str">
        <f aca="false">[1]Base_Jugadores!E761</f>
        <v>ED</v>
      </c>
      <c r="G761" s="5" t="n">
        <f aca="false">[1]Base_Jugadores!F761</f>
        <v>76</v>
      </c>
      <c r="H761" s="5" t="n">
        <f aca="false">[1]Base_Jugadores!G761</f>
        <v>28</v>
      </c>
      <c r="I761" s="7" t="n">
        <f aca="false" t="array" ref="I761:I761">_xlfn.XLOOKUP(G761,{55;56;57;58;59;60;61;62;63;64;65;66;67;68;69;70;71;72;73;74;75;76;77;78;79;80;81;82;83;84;85;86;87;88;89;90;91;92;93;94;95;96;97;98;99},{100000;130000;160000;190000;220000;250000;300000;350000;400000;450000;500000;600000;700000;800000;900000;1000000;1500000;2000000;3000000;4000000;5000000;6500000;8000000;10000000;12500000;15000000;20000000;25000000;30000000;35000000;40000000;55000000;70000000;80000000;90000000;110000000;130000000;160000000;190000000;220000000;250000000;280000000;310000000;340000000;400000000})</f>
        <v>6500000</v>
      </c>
      <c r="J761" s="7" t="n">
        <f aca="false">I761*S761*T761*U761</f>
        <v>8008000</v>
      </c>
      <c r="K761" s="3"/>
      <c r="L761" s="3"/>
      <c r="M761" s="3"/>
      <c r="N761" s="9" t="n">
        <v>1</v>
      </c>
      <c r="O761" s="4" t="n">
        <v>0</v>
      </c>
      <c r="P761" s="5" t="n">
        <f aca="false">IF(COUNTIF([1]Base_Jugadores!J$2:J$500,B761)&gt;0,1,0)</f>
        <v>0</v>
      </c>
      <c r="Q761" s="10" t="b">
        <f aca="false">--(COUNTIFS(
   [1]Fichajes_Realizados!A$2:A$5000,A761,
   [1]Fichajes_Realizados!G$2:G$5000,$X$3
)&gt;0)</f>
        <v>0</v>
      </c>
      <c r="R761" s="5" t="n">
        <f aca="false">_xlfn.XLOOKUP(C761, [1]Estado_Equipos!A$2:A$500, [1]Estado_Equipos!J$2:J$500, "")</f>
        <v>75</v>
      </c>
      <c r="S761" s="5" t="n">
        <f aca="false">IF(H761&lt;=16,1.45,
IF(H761&gt;=41,0.3,
CHOOSE(ROUNDDOWN((H761-16)/2,0)+1,
1.45,1.38,1.3,1.23,1.17,1.15,1.12,1.05,0.95,0.8,0.6,0.4,0.3)))</f>
        <v>1.12</v>
      </c>
      <c r="T761" s="5" t="n">
        <f aca="false">CHOOSE(N761+1,1.2,1,0.85,0.7)</f>
        <v>1</v>
      </c>
      <c r="U761" s="5" t="n">
        <f aca="false">IF(F761="PO",0.6,
IF(F761="CT",0.75,
IF(F761="LI",0.8,
IF(F761="LD",0.8,
IF(F761="MCD",0.85,
IF(F761="MC",0.95,
IF(F761="MO",1.05,
IF(F761="EI",1.1,
IF(F761="ED",1.1,
IF(F761="SD",1.15,
IF(F761="DC",1.2,0)))))))))))</f>
        <v>1.1</v>
      </c>
    </row>
    <row r="762" customFormat="false" ht="16.4" hidden="false" customHeight="false" outlineLevel="0" collapsed="false">
      <c r="A762" s="1" t="n">
        <v>761</v>
      </c>
      <c r="B762" s="5" t="str">
        <f aca="false">[1]Base_Jugadores!B762</f>
        <v>Issa Diop</v>
      </c>
      <c r="C762" s="5" t="str">
        <f aca="false">IFERROR(
   _xlfn.XLOOKUP(VALUE(A762),[1]Fichajes_Realizados!A$2:A$50000,[1]Fichajes_Realizados!D$2:D$50000,,0,-1),
   _xlfn.XLOOKUP(VALUE(A762),[1]Base_Jugadores!A$2:A$50000,[1]Base_Jugadores!C$2:C$50000)
)</f>
        <v>Fulham FC</v>
      </c>
      <c r="D762" s="5" t="str">
        <f aca="false">[1]Base_Jugadores!D762</f>
        <v>Francia</v>
      </c>
      <c r="E762" s="3"/>
      <c r="F762" s="5" t="str">
        <f aca="false">[1]Base_Jugadores!E762</f>
        <v>CT</v>
      </c>
      <c r="G762" s="5" t="n">
        <f aca="false">[1]Base_Jugadores!F762</f>
        <v>77</v>
      </c>
      <c r="H762" s="5" t="n">
        <f aca="false">[1]Base_Jugadores!G762</f>
        <v>28</v>
      </c>
      <c r="I762" s="7" t="n">
        <f aca="false" t="array" ref="I762:I762">_xlfn.XLOOKUP(G762,{55;56;57;58;59;60;61;62;63;64;65;66;67;68;69;70;71;72;73;74;75;76;77;78;79;80;81;82;83;84;85;86;87;88;89;90;91;92;93;94;95;96;97;98;99},{100000;130000;160000;190000;220000;250000;300000;350000;400000;450000;500000;600000;700000;800000;900000;1000000;1500000;2000000;3000000;4000000;5000000;6500000;8000000;10000000;12500000;15000000;20000000;25000000;30000000;35000000;40000000;55000000;70000000;80000000;90000000;110000000;130000000;160000000;190000000;220000000;250000000;280000000;310000000;340000000;400000000})</f>
        <v>8000000</v>
      </c>
      <c r="J762" s="7" t="n">
        <f aca="false">I762*S762*T762*U762</f>
        <v>8064000</v>
      </c>
      <c r="K762" s="3"/>
      <c r="L762" s="3"/>
      <c r="M762" s="3"/>
      <c r="N762" s="9" t="n">
        <v>0</v>
      </c>
      <c r="O762" s="4" t="n">
        <v>0</v>
      </c>
      <c r="P762" s="5" t="n">
        <f aca="false">IF(COUNTIF([1]Base_Jugadores!J$2:J$500,B762)&gt;0,1,0)</f>
        <v>0</v>
      </c>
      <c r="Q762" s="10" t="b">
        <f aca="false">--(COUNTIFS(
   [1]Fichajes_Realizados!A$2:A$5000,A762,
   [1]Fichajes_Realizados!G$2:G$5000,$X$3
)&gt;0)</f>
        <v>0</v>
      </c>
      <c r="R762" s="5" t="n">
        <f aca="false">_xlfn.XLOOKUP(C762, [1]Estado_Equipos!A$2:A$500, [1]Estado_Equipos!J$2:J$500, "")</f>
        <v>75</v>
      </c>
      <c r="S762" s="5" t="n">
        <f aca="false">IF(H762&lt;=16,1.45,
IF(H762&gt;=41,0.3,
CHOOSE(ROUNDDOWN((H762-16)/2,0)+1,
1.45,1.38,1.3,1.23,1.17,1.15,1.12,1.05,0.95,0.8,0.6,0.4,0.3)))</f>
        <v>1.12</v>
      </c>
      <c r="T762" s="5" t="n">
        <f aca="false">CHOOSE(N762+1,1.2,1,0.85,0.7)</f>
        <v>1.2</v>
      </c>
      <c r="U762" s="5" t="n">
        <f aca="false">IF(F762="PO",0.6,
IF(F762="CT",0.75,
IF(F762="LI",0.8,
IF(F762="LD",0.8,
IF(F762="MCD",0.85,
IF(F762="MC",0.95,
IF(F762="MO",1.05,
IF(F762="EI",1.1,
IF(F762="ED",1.1,
IF(F762="SD",1.15,
IF(F762="DC",1.2,0)))))))))))</f>
        <v>0.75</v>
      </c>
    </row>
    <row r="763" customFormat="false" ht="16.4" hidden="false" customHeight="false" outlineLevel="0" collapsed="false">
      <c r="A763" s="1" t="n">
        <v>762</v>
      </c>
      <c r="B763" s="5" t="str">
        <f aca="false">[1]Base_Jugadores!B763</f>
        <v>Joachim Andersen</v>
      </c>
      <c r="C763" s="5" t="str">
        <f aca="false">IFERROR(
   _xlfn.XLOOKUP(VALUE(A763),[1]Fichajes_Realizados!A$2:A$50000,[1]Fichajes_Realizados!D$2:D$50000,,0,-1),
   _xlfn.XLOOKUP(VALUE(A763),[1]Base_Jugadores!A$2:A$50000,[1]Base_Jugadores!C$2:C$50000)
)</f>
        <v>Fulham FC</v>
      </c>
      <c r="D763" s="5" t="str">
        <f aca="false">[1]Base_Jugadores!D763</f>
        <v>Dinamarca</v>
      </c>
      <c r="E763" s="3"/>
      <c r="F763" s="5" t="str">
        <f aca="false">[1]Base_Jugadores!E763</f>
        <v>CT</v>
      </c>
      <c r="G763" s="5" t="n">
        <f aca="false">[1]Base_Jugadores!F763</f>
        <v>80</v>
      </c>
      <c r="H763" s="5" t="n">
        <f aca="false">[1]Base_Jugadores!G763</f>
        <v>29</v>
      </c>
      <c r="I763" s="7" t="n">
        <f aca="false" t="array" ref="I763:I763">_xlfn.XLOOKUP(G763,{55;56;57;58;59;60;61;62;63;64;65;66;67;68;69;70;71;72;73;74;75;76;77;78;79;80;81;82;83;84;85;86;87;88;89;90;91;92;93;94;95;96;97;98;99},{100000;130000;160000;190000;220000;250000;300000;350000;400000;450000;500000;600000;700000;800000;900000;1000000;1500000;2000000;3000000;4000000;5000000;6500000;8000000;10000000;12500000;15000000;20000000;25000000;30000000;35000000;40000000;55000000;70000000;80000000;90000000;110000000;130000000;160000000;190000000;220000000;250000000;280000000;310000000;340000000;400000000})</f>
        <v>15000000</v>
      </c>
      <c r="J763" s="7" t="n">
        <f aca="false">I763*S763*T763*U763</f>
        <v>15120000</v>
      </c>
      <c r="K763" s="3"/>
      <c r="L763" s="3"/>
      <c r="M763" s="3"/>
      <c r="N763" s="9" t="n">
        <v>0</v>
      </c>
      <c r="O763" s="4" t="n">
        <v>0</v>
      </c>
      <c r="P763" s="5" t="n">
        <f aca="false">IF(COUNTIF([1]Base_Jugadores!J$2:J$500,B763)&gt;0,1,0)</f>
        <v>0</v>
      </c>
      <c r="Q763" s="10" t="b">
        <f aca="false">--(COUNTIFS(
   [1]Fichajes_Realizados!A$2:A$5000,A763,
   [1]Fichajes_Realizados!G$2:G$5000,$X$3
)&gt;0)</f>
        <v>0</v>
      </c>
      <c r="R763" s="5" t="n">
        <f aca="false">_xlfn.XLOOKUP(C763, [1]Estado_Equipos!A$2:A$500, [1]Estado_Equipos!J$2:J$500, "")</f>
        <v>75</v>
      </c>
      <c r="S763" s="5" t="n">
        <f aca="false">IF(H763&lt;=16,1.45,
IF(H763&gt;=41,0.3,
CHOOSE(ROUNDDOWN((H763-16)/2,0)+1,
1.45,1.38,1.3,1.23,1.17,1.15,1.12,1.05,0.95,0.8,0.6,0.4,0.3)))</f>
        <v>1.12</v>
      </c>
      <c r="T763" s="5" t="n">
        <f aca="false">CHOOSE(N763+1,1.2,1,0.85,0.7)</f>
        <v>1.2</v>
      </c>
      <c r="U763" s="5" t="n">
        <f aca="false">IF(F763="PO",0.6,
IF(F763="CT",0.75,
IF(F763="LI",0.8,
IF(F763="LD",0.8,
IF(F763="MCD",0.85,
IF(F763="MC",0.95,
IF(F763="MO",1.05,
IF(F763="EI",1.1,
IF(F763="ED",1.1,
IF(F763="SD",1.15,
IF(F763="DC",1.2,0)))))))))))</f>
        <v>0.75</v>
      </c>
    </row>
    <row r="764" customFormat="false" ht="16.4" hidden="false" customHeight="false" outlineLevel="0" collapsed="false">
      <c r="A764" s="1" t="n">
        <v>763</v>
      </c>
      <c r="B764" s="5" t="str">
        <f aca="false">[1]Base_Jugadores!B764</f>
        <v>Jonah Kusi-Asare</v>
      </c>
      <c r="C764" s="5" t="str">
        <f aca="false">IFERROR(
   _xlfn.XLOOKUP(VALUE(A764),[1]Fichajes_Realizados!A$2:A$50000,[1]Fichajes_Realizados!D$2:D$50000,,0,-1),
   _xlfn.XLOOKUP(VALUE(A764),[1]Base_Jugadores!A$2:A$50000,[1]Base_Jugadores!C$2:C$50000)
)</f>
        <v>Fulham FC</v>
      </c>
      <c r="D764" s="5" t="str">
        <f aca="false">[1]Base_Jugadores!D764</f>
        <v>Suecia</v>
      </c>
      <c r="E764" s="3"/>
      <c r="F764" s="5" t="str">
        <f aca="false">[1]Base_Jugadores!E764</f>
        <v>DC</v>
      </c>
      <c r="G764" s="5" t="n">
        <f aca="false">[1]Base_Jugadores!F764</f>
        <v>60</v>
      </c>
      <c r="H764" s="5" t="n">
        <f aca="false">[1]Base_Jugadores!G764</f>
        <v>18</v>
      </c>
      <c r="I764" s="7" t="n">
        <f aca="false" t="array" ref="I764:I764">_xlfn.XLOOKUP(G764,{55;56;57;58;59;60;61;62;63;64;65;66;67;68;69;70;71;72;73;74;75;76;77;78;79;80;81;82;83;84;85;86;87;88;89;90;91;92;93;94;95;96;97;98;99},{100000;130000;160000;190000;220000;250000;300000;350000;400000;450000;500000;600000;700000;800000;900000;1000000;1500000;2000000;3000000;4000000;5000000;6500000;8000000;10000000;12500000;15000000;20000000;25000000;30000000;35000000;40000000;55000000;70000000;80000000;90000000;110000000;130000000;160000000;190000000;220000000;250000000;280000000;310000000;340000000;400000000})</f>
        <v>250000</v>
      </c>
      <c r="J764" s="7" t="n">
        <f aca="false">I764*S764*T764*U764</f>
        <v>351900</v>
      </c>
      <c r="K764" s="3"/>
      <c r="L764" s="3"/>
      <c r="M764" s="3"/>
      <c r="N764" s="9" t="n">
        <v>2</v>
      </c>
      <c r="O764" s="4" t="n">
        <v>0</v>
      </c>
      <c r="P764" s="5" t="n">
        <f aca="false">IF(COUNTIF([1]Base_Jugadores!J$2:J$500,B764)&gt;0,1,0)</f>
        <v>0</v>
      </c>
      <c r="Q764" s="10" t="b">
        <f aca="false">--(COUNTIFS(
   [1]Fichajes_Realizados!A$2:A$5000,A764,
   [1]Fichajes_Realizados!G$2:G$5000,$X$3
)&gt;0)</f>
        <v>0</v>
      </c>
      <c r="R764" s="5" t="n">
        <f aca="false">_xlfn.XLOOKUP(C764, [1]Estado_Equipos!A$2:A$500, [1]Estado_Equipos!J$2:J$500, "")</f>
        <v>75</v>
      </c>
      <c r="S764" s="5" t="n">
        <f aca="false">IF(H764&lt;=16,1.45,
IF(H764&gt;=41,0.3,
CHOOSE(ROUNDDOWN((H764-16)/2,0)+1,
1.45,1.38,1.3,1.23,1.17,1.15,1.12,1.05,0.95,0.8,0.6,0.4,0.3)))</f>
        <v>1.38</v>
      </c>
      <c r="T764" s="5" t="n">
        <f aca="false">CHOOSE(N764+1,1.2,1,0.85,0.7)</f>
        <v>0.85</v>
      </c>
      <c r="U764" s="5" t="n">
        <f aca="false">IF(F764="PO",0.6,
IF(F764="CT",0.75,
IF(F764="LI",0.8,
IF(F764="LD",0.8,
IF(F764="MCD",0.85,
IF(F764="MC",0.95,
IF(F764="MO",1.05,
IF(F764="EI",1.1,
IF(F764="ED",1.1,
IF(F764="SD",1.15,
IF(F764="DC",1.2,0)))))))))))</f>
        <v>1.2</v>
      </c>
    </row>
    <row r="765" customFormat="false" ht="16.4" hidden="false" customHeight="false" outlineLevel="0" collapsed="false">
      <c r="A765" s="1" t="n">
        <v>764</v>
      </c>
      <c r="B765" s="5" t="str">
        <f aca="false">[1]Base_Jugadores!B765</f>
        <v>Jorge Cuenca</v>
      </c>
      <c r="C765" s="5" t="str">
        <f aca="false">IFERROR(
   _xlfn.XLOOKUP(VALUE(A765),[1]Fichajes_Realizados!A$2:A$50000,[1]Fichajes_Realizados!D$2:D$50000,,0,-1),
   _xlfn.XLOOKUP(VALUE(A765),[1]Base_Jugadores!A$2:A$50000,[1]Base_Jugadores!C$2:C$50000)
)</f>
        <v>Fulham FC</v>
      </c>
      <c r="D765" s="5" t="str">
        <f aca="false">[1]Base_Jugadores!D765</f>
        <v>España</v>
      </c>
      <c r="E765" s="3"/>
      <c r="F765" s="5" t="str">
        <f aca="false">[1]Base_Jugadores!E765</f>
        <v>CT</v>
      </c>
      <c r="G765" s="5" t="n">
        <f aca="false">[1]Base_Jugadores!F765</f>
        <v>74</v>
      </c>
      <c r="H765" s="5" t="n">
        <f aca="false">[1]Base_Jugadores!G765</f>
        <v>26</v>
      </c>
      <c r="I765" s="7" t="n">
        <f aca="false" t="array" ref="I765:I765">_xlfn.XLOOKUP(G765,{55;56;57;58;59;60;61;62;63;64;65;66;67;68;69;70;71;72;73;74;75;76;77;78;79;80;81;82;83;84;85;86;87;88;89;90;91;92;93;94;95;96;97;98;99},{100000;130000;160000;190000;220000;250000;300000;350000;400000;450000;500000;600000;700000;800000;900000;1000000;1500000;2000000;3000000;4000000;5000000;6500000;8000000;10000000;12500000;15000000;20000000;25000000;30000000;35000000;40000000;55000000;70000000;80000000;90000000;110000000;130000000;160000000;190000000;220000000;250000000;280000000;310000000;340000000;400000000})</f>
        <v>4000000</v>
      </c>
      <c r="J765" s="7" t="n">
        <f aca="false">I765*S765*T765*U765</f>
        <v>2932500</v>
      </c>
      <c r="K765" s="3"/>
      <c r="L765" s="3"/>
      <c r="M765" s="3"/>
      <c r="N765" s="9" t="n">
        <v>2</v>
      </c>
      <c r="O765" s="4" t="n">
        <v>0</v>
      </c>
      <c r="P765" s="5" t="n">
        <f aca="false">IF(COUNTIF([1]Base_Jugadores!J$2:J$500,B765)&gt;0,1,0)</f>
        <v>0</v>
      </c>
      <c r="Q765" s="10" t="b">
        <f aca="false">--(COUNTIFS(
   [1]Fichajes_Realizados!A$2:A$5000,A765,
   [1]Fichajes_Realizados!G$2:G$5000,$X$3
)&gt;0)</f>
        <v>0</v>
      </c>
      <c r="R765" s="5" t="n">
        <f aca="false">_xlfn.XLOOKUP(C765, [1]Estado_Equipos!A$2:A$500, [1]Estado_Equipos!J$2:J$500, "")</f>
        <v>75</v>
      </c>
      <c r="S765" s="5" t="n">
        <f aca="false">IF(H765&lt;=16,1.45,
IF(H765&gt;=41,0.3,
CHOOSE(ROUNDDOWN((H765-16)/2,0)+1,
1.45,1.38,1.3,1.23,1.17,1.15,1.12,1.05,0.95,0.8,0.6,0.4,0.3)))</f>
        <v>1.15</v>
      </c>
      <c r="T765" s="5" t="n">
        <f aca="false">CHOOSE(N765+1,1.2,1,0.85,0.7)</f>
        <v>0.85</v>
      </c>
      <c r="U765" s="5" t="n">
        <f aca="false">IF(F765="PO",0.6,
IF(F765="CT",0.75,
IF(F765="LI",0.8,
IF(F765="LD",0.8,
IF(F765="MCD",0.85,
IF(F765="MC",0.95,
IF(F765="MO",1.05,
IF(F765="EI",1.1,
IF(F765="ED",1.1,
IF(F765="SD",1.15,
IF(F765="DC",1.2,0)))))))))))</f>
        <v>0.75</v>
      </c>
    </row>
    <row r="766" customFormat="false" ht="16.4" hidden="false" customHeight="false" outlineLevel="0" collapsed="false">
      <c r="A766" s="1" t="n">
        <v>765</v>
      </c>
      <c r="B766" s="5" t="str">
        <f aca="false">[1]Base_Jugadores!B766</f>
        <v>Josh King</v>
      </c>
      <c r="C766" s="5" t="str">
        <f aca="false">IFERROR(
   _xlfn.XLOOKUP(VALUE(A766),[1]Fichajes_Realizados!A$2:A$50000,[1]Fichajes_Realizados!D$2:D$50000,,0,-1),
   _xlfn.XLOOKUP(VALUE(A766),[1]Base_Jugadores!A$2:A$50000,[1]Base_Jugadores!C$2:C$50000)
)</f>
        <v>Fulham FC</v>
      </c>
      <c r="D766" s="5" t="str">
        <f aca="false">[1]Base_Jugadores!D766</f>
        <v>Inglaterra</v>
      </c>
      <c r="E766" s="3"/>
      <c r="F766" s="5" t="str">
        <f aca="false">[1]Base_Jugadores!E766</f>
        <v>MO</v>
      </c>
      <c r="G766" s="5" t="n">
        <f aca="false">[1]Base_Jugadores!F766</f>
        <v>63</v>
      </c>
      <c r="H766" s="5" t="n">
        <f aca="false">[1]Base_Jugadores!G766</f>
        <v>18</v>
      </c>
      <c r="I766" s="7" t="n">
        <f aca="false" t="array" ref="I766:I766">_xlfn.XLOOKUP(G766,{55;56;57;58;59;60;61;62;63;64;65;66;67;68;69;70;71;72;73;74;75;76;77;78;79;80;81;82;83;84;85;86;87;88;89;90;91;92;93;94;95;96;97;98;99},{100000;130000;160000;190000;220000;250000;300000;350000;400000;450000;500000;600000;700000;800000;900000;1000000;1500000;2000000;3000000;4000000;5000000;6500000;8000000;10000000;12500000;15000000;20000000;25000000;30000000;35000000;40000000;55000000;70000000;80000000;90000000;110000000;130000000;160000000;190000000;220000000;250000000;280000000;310000000;340000000;400000000})</f>
        <v>400000</v>
      </c>
      <c r="J766" s="7" t="n">
        <f aca="false">I766*S766*T766*U766</f>
        <v>492660</v>
      </c>
      <c r="K766" s="3"/>
      <c r="L766" s="3"/>
      <c r="M766" s="3"/>
      <c r="N766" s="9" t="n">
        <v>2</v>
      </c>
      <c r="O766" s="4" t="n">
        <v>0</v>
      </c>
      <c r="P766" s="5" t="n">
        <f aca="false">IF(COUNTIF([1]Base_Jugadores!J$2:J$500,B766)&gt;0,1,0)</f>
        <v>0</v>
      </c>
      <c r="Q766" s="10" t="b">
        <f aca="false">--(COUNTIFS(
   [1]Fichajes_Realizados!A$2:A$5000,A766,
   [1]Fichajes_Realizados!G$2:G$5000,$X$3
)&gt;0)</f>
        <v>0</v>
      </c>
      <c r="R766" s="5" t="n">
        <f aca="false">_xlfn.XLOOKUP(C766, [1]Estado_Equipos!A$2:A$500, [1]Estado_Equipos!J$2:J$500, "")</f>
        <v>75</v>
      </c>
      <c r="S766" s="5" t="n">
        <f aca="false">IF(H766&lt;=16,1.45,
IF(H766&gt;=41,0.3,
CHOOSE(ROUNDDOWN((H766-16)/2,0)+1,
1.45,1.38,1.3,1.23,1.17,1.15,1.12,1.05,0.95,0.8,0.6,0.4,0.3)))</f>
        <v>1.38</v>
      </c>
      <c r="T766" s="5" t="n">
        <f aca="false">CHOOSE(N766+1,1.2,1,0.85,0.7)</f>
        <v>0.85</v>
      </c>
      <c r="U766" s="5" t="n">
        <f aca="false">IF(F766="PO",0.6,
IF(F766="CT",0.75,
IF(F766="LI",0.8,
IF(F766="LD",0.8,
IF(F766="MCD",0.85,
IF(F766="MC",0.95,
IF(F766="MO",1.05,
IF(F766="EI",1.1,
IF(F766="ED",1.1,
IF(F766="SD",1.15,
IF(F766="DC",1.2,0)))))))))))</f>
        <v>1.05</v>
      </c>
    </row>
    <row r="767" customFormat="false" ht="16.4" hidden="false" customHeight="false" outlineLevel="0" collapsed="false">
      <c r="A767" s="1" t="n">
        <v>766</v>
      </c>
      <c r="B767" s="5" t="str">
        <f aca="false">[1]Base_Jugadores!B767</f>
        <v>Kenny Tete</v>
      </c>
      <c r="C767" s="5" t="str">
        <f aca="false">IFERROR(
   _xlfn.XLOOKUP(VALUE(A767),[1]Fichajes_Realizados!A$2:A$50000,[1]Fichajes_Realizados!D$2:D$50000,,0,-1),
   _xlfn.XLOOKUP(VALUE(A767),[1]Base_Jugadores!A$2:A$50000,[1]Base_Jugadores!C$2:C$50000)
)</f>
        <v>Fulham FC</v>
      </c>
      <c r="D767" s="5" t="str">
        <f aca="false">[1]Base_Jugadores!D767</f>
        <v>Países Bajos</v>
      </c>
      <c r="E767" s="3"/>
      <c r="F767" s="5" t="str">
        <f aca="false">[1]Base_Jugadores!E767</f>
        <v>LD</v>
      </c>
      <c r="G767" s="5" t="n">
        <f aca="false">[1]Base_Jugadores!F767</f>
        <v>77</v>
      </c>
      <c r="H767" s="5" t="n">
        <f aca="false">[1]Base_Jugadores!G767</f>
        <v>30</v>
      </c>
      <c r="I767" s="7" t="n">
        <f aca="false" t="array" ref="I767:I767">_xlfn.XLOOKUP(G767,{55;56;57;58;59;60;61;62;63;64;65;66;67;68;69;70;71;72;73;74;75;76;77;78;79;80;81;82;83;84;85;86;87;88;89;90;91;92;93;94;95;96;97;98;99},{100000;130000;160000;190000;220000;250000;300000;350000;400000;450000;500000;600000;700000;800000;900000;1000000;1500000;2000000;3000000;4000000;5000000;6500000;8000000;10000000;12500000;15000000;20000000;25000000;30000000;35000000;40000000;55000000;70000000;80000000;90000000;110000000;130000000;160000000;190000000;220000000;250000000;280000000;310000000;340000000;400000000})</f>
        <v>8000000</v>
      </c>
      <c r="J767" s="7" t="n">
        <f aca="false">I767*S767*T767*U767</f>
        <v>6720000</v>
      </c>
      <c r="K767" s="3"/>
      <c r="L767" s="3"/>
      <c r="M767" s="3"/>
      <c r="N767" s="9" t="n">
        <v>1</v>
      </c>
      <c r="O767" s="4" t="n">
        <v>0</v>
      </c>
      <c r="P767" s="5" t="n">
        <f aca="false">IF(COUNTIF([1]Base_Jugadores!J$2:J$500,B767)&gt;0,1,0)</f>
        <v>0</v>
      </c>
      <c r="Q767" s="10" t="b">
        <f aca="false">--(COUNTIFS(
   [1]Fichajes_Realizados!A$2:A$5000,A767,
   [1]Fichajes_Realizados!G$2:G$5000,$X$3
)&gt;0)</f>
        <v>0</v>
      </c>
      <c r="R767" s="5" t="n">
        <f aca="false">_xlfn.XLOOKUP(C767, [1]Estado_Equipos!A$2:A$500, [1]Estado_Equipos!J$2:J$500, "")</f>
        <v>75</v>
      </c>
      <c r="S767" s="5" t="n">
        <f aca="false">IF(H767&lt;=16,1.45,
IF(H767&gt;=41,0.3,
CHOOSE(ROUNDDOWN((H767-16)/2,0)+1,
1.45,1.38,1.3,1.23,1.17,1.15,1.12,1.05,0.95,0.8,0.6,0.4,0.3)))</f>
        <v>1.05</v>
      </c>
      <c r="T767" s="5" t="n">
        <f aca="false">CHOOSE(N767+1,1.2,1,0.85,0.7)</f>
        <v>1</v>
      </c>
      <c r="U767" s="5" t="n">
        <f aca="false">IF(F767="PO",0.6,
IF(F767="CT",0.75,
IF(F767="LI",0.8,
IF(F767="LD",0.8,
IF(F767="MCD",0.85,
IF(F767="MC",0.95,
IF(F767="MO",1.05,
IF(F767="EI",1.1,
IF(F767="ED",1.1,
IF(F767="SD",1.15,
IF(F767="DC",1.2,0)))))))))))</f>
        <v>0.8</v>
      </c>
    </row>
    <row r="768" customFormat="false" ht="16.4" hidden="false" customHeight="false" outlineLevel="0" collapsed="false">
      <c r="A768" s="1" t="n">
        <v>767</v>
      </c>
      <c r="B768" s="5" t="str">
        <f aca="false">[1]Base_Jugadores!B768</f>
        <v>Kevin Santos</v>
      </c>
      <c r="C768" s="5" t="str">
        <f aca="false">IFERROR(
   _xlfn.XLOOKUP(VALUE(A768),[1]Fichajes_Realizados!A$2:A$50000,[1]Fichajes_Realizados!D$2:D$50000,,0,-1),
   _xlfn.XLOOKUP(VALUE(A768),[1]Base_Jugadores!A$2:A$50000,[1]Base_Jugadores!C$2:C$50000)
)</f>
        <v>Fulham FC</v>
      </c>
      <c r="D768" s="5" t="str">
        <f aca="false">[1]Base_Jugadores!D768</f>
        <v>Brasil</v>
      </c>
      <c r="E768" s="3"/>
      <c r="F768" s="5" t="str">
        <f aca="false">[1]Base_Jugadores!E768</f>
        <v>EI</v>
      </c>
      <c r="G768" s="5" t="n">
        <f aca="false">[1]Base_Jugadores!F768</f>
        <v>74</v>
      </c>
      <c r="H768" s="5" t="n">
        <f aca="false">[1]Base_Jugadores!G768</f>
        <v>22</v>
      </c>
      <c r="I768" s="7" t="n">
        <f aca="false" t="array" ref="I768:I768">_xlfn.XLOOKUP(G768,{55;56;57;58;59;60;61;62;63;64;65;66;67;68;69;70;71;72;73;74;75;76;77;78;79;80;81;82;83;84;85;86;87;88;89;90;91;92;93;94;95;96;97;98;99},{100000;130000;160000;190000;220000;250000;300000;350000;400000;450000;500000;600000;700000;800000;900000;1000000;1500000;2000000;3000000;4000000;5000000;6500000;8000000;10000000;12500000;15000000;20000000;25000000;30000000;35000000;40000000;55000000;70000000;80000000;90000000;110000000;130000000;160000000;190000000;220000000;250000000;280000000;310000000;340000000;400000000})</f>
        <v>4000000</v>
      </c>
      <c r="J768" s="7" t="n">
        <f aca="false">I768*S768*T768*U768</f>
        <v>4600200</v>
      </c>
      <c r="K768" s="3"/>
      <c r="L768" s="3"/>
      <c r="M768" s="3"/>
      <c r="N768" s="9" t="n">
        <v>2</v>
      </c>
      <c r="O768" s="4" t="n">
        <v>0</v>
      </c>
      <c r="P768" s="5" t="n">
        <f aca="false">IF(COUNTIF([1]Base_Jugadores!J$2:J$500,B768)&gt;0,1,0)</f>
        <v>0</v>
      </c>
      <c r="Q768" s="10" t="b">
        <f aca="false">--(COUNTIFS(
   [1]Fichajes_Realizados!A$2:A$5000,A768,
   [1]Fichajes_Realizados!G$2:G$5000,$X$3
)&gt;0)</f>
        <v>0</v>
      </c>
      <c r="R768" s="5" t="n">
        <f aca="false">_xlfn.XLOOKUP(C768, [1]Estado_Equipos!A$2:A$500, [1]Estado_Equipos!J$2:J$500, "")</f>
        <v>75</v>
      </c>
      <c r="S768" s="5" t="n">
        <f aca="false">IF(H768&lt;=16,1.45,
IF(H768&gt;=41,0.3,
CHOOSE(ROUNDDOWN((H768-16)/2,0)+1,
1.45,1.38,1.3,1.23,1.17,1.15,1.12,1.05,0.95,0.8,0.6,0.4,0.3)))</f>
        <v>1.23</v>
      </c>
      <c r="T768" s="5" t="n">
        <f aca="false">CHOOSE(N768+1,1.2,1,0.85,0.7)</f>
        <v>0.85</v>
      </c>
      <c r="U768" s="5" t="n">
        <f aca="false">IF(F768="PO",0.6,
IF(F768="CT",0.75,
IF(F768="LI",0.8,
IF(F768="LD",0.8,
IF(F768="MCD",0.85,
IF(F768="MC",0.95,
IF(F768="MO",1.05,
IF(F768="EI",1.1,
IF(F768="ED",1.1,
IF(F768="SD",1.15,
IF(F768="DC",1.2,0)))))))))))</f>
        <v>1.1</v>
      </c>
    </row>
    <row r="769" customFormat="false" ht="16.4" hidden="false" customHeight="false" outlineLevel="0" collapsed="false">
      <c r="A769" s="1" t="n">
        <v>768</v>
      </c>
      <c r="B769" s="5" t="str">
        <f aca="false">[1]Base_Jugadores!B769</f>
        <v>Raúl Jiménez</v>
      </c>
      <c r="C769" s="5" t="str">
        <f aca="false">IFERROR(
   _xlfn.XLOOKUP(VALUE(A769),[1]Fichajes_Realizados!A$2:A$50000,[1]Fichajes_Realizados!D$2:D$50000,,0,-1),
   _xlfn.XLOOKUP(VALUE(A769),[1]Base_Jugadores!A$2:A$50000,[1]Base_Jugadores!C$2:C$50000)
)</f>
        <v>Fulham FC</v>
      </c>
      <c r="D769" s="5" t="str">
        <f aca="false">[1]Base_Jugadores!D769</f>
        <v>México</v>
      </c>
      <c r="E769" s="3"/>
      <c r="F769" s="5" t="str">
        <f aca="false">[1]Base_Jugadores!E769</f>
        <v>DC</v>
      </c>
      <c r="G769" s="5" t="n">
        <f aca="false">[1]Base_Jugadores!F769</f>
        <v>77</v>
      </c>
      <c r="H769" s="5" t="n">
        <f aca="false">[1]Base_Jugadores!G769</f>
        <v>34</v>
      </c>
      <c r="I769" s="7" t="n">
        <f aca="false" t="array" ref="I769:I769">_xlfn.XLOOKUP(G769,{55;56;57;58;59;60;61;62;63;64;65;66;67;68;69;70;71;72;73;74;75;76;77;78;79;80;81;82;83;84;85;86;87;88;89;90;91;92;93;94;95;96;97;98;99},{100000;130000;160000;190000;220000;250000;300000;350000;400000;450000;500000;600000;700000;800000;900000;1000000;1500000;2000000;3000000;4000000;5000000;6500000;8000000;10000000;12500000;15000000;20000000;25000000;30000000;35000000;40000000;55000000;70000000;80000000;90000000;110000000;130000000;160000000;190000000;220000000;250000000;280000000;310000000;340000000;400000000})</f>
        <v>8000000</v>
      </c>
      <c r="J769" s="7" t="n">
        <f aca="false">I769*S769*T769*U769</f>
        <v>9216000</v>
      </c>
      <c r="K769" s="3"/>
      <c r="L769" s="3"/>
      <c r="M769" s="3"/>
      <c r="N769" s="9" t="n">
        <v>0</v>
      </c>
      <c r="O769" s="4" t="n">
        <v>0</v>
      </c>
      <c r="P769" s="5" t="n">
        <f aca="false">IF(COUNTIF([1]Base_Jugadores!J$2:J$500,B769)&gt;0,1,0)</f>
        <v>0</v>
      </c>
      <c r="Q769" s="10" t="b">
        <f aca="false">--(COUNTIFS(
   [1]Fichajes_Realizados!A$2:A$5000,A769,
   [1]Fichajes_Realizados!G$2:G$5000,$X$3
)&gt;0)</f>
        <v>0</v>
      </c>
      <c r="R769" s="5" t="n">
        <f aca="false">_xlfn.XLOOKUP(C769, [1]Estado_Equipos!A$2:A$500, [1]Estado_Equipos!J$2:J$500, "")</f>
        <v>75</v>
      </c>
      <c r="S769" s="5" t="n">
        <f aca="false">IF(H769&lt;=16,1.45,
IF(H769&gt;=41,0.3,
CHOOSE(ROUNDDOWN((H769-16)/2,0)+1,
1.45,1.38,1.3,1.23,1.17,1.15,1.12,1.05,0.95,0.8,0.6,0.4,0.3)))</f>
        <v>0.8</v>
      </c>
      <c r="T769" s="5" t="n">
        <f aca="false">CHOOSE(N769+1,1.2,1,0.85,0.7)</f>
        <v>1.2</v>
      </c>
      <c r="U769" s="5" t="n">
        <f aca="false">IF(F769="PO",0.6,
IF(F769="CT",0.75,
IF(F769="LI",0.8,
IF(F769="LD",0.8,
IF(F769="MCD",0.85,
IF(F769="MC",0.95,
IF(F769="MO",1.05,
IF(F769="EI",1.1,
IF(F769="ED",1.1,
IF(F769="SD",1.15,
IF(F769="DC",1.2,0)))))))))))</f>
        <v>1.2</v>
      </c>
    </row>
    <row r="770" customFormat="false" ht="16.4" hidden="false" customHeight="false" outlineLevel="0" collapsed="false">
      <c r="A770" s="1" t="n">
        <v>769</v>
      </c>
      <c r="B770" s="5" t="str">
        <f aca="false">[1]Base_Jugadores!B770</f>
        <v>Rodrigo Muniz</v>
      </c>
      <c r="C770" s="5" t="str">
        <f aca="false">IFERROR(
   _xlfn.XLOOKUP(VALUE(A770),[1]Fichajes_Realizados!A$2:A$50000,[1]Fichajes_Realizados!D$2:D$50000,,0,-1),
   _xlfn.XLOOKUP(VALUE(A770),[1]Base_Jugadores!A$2:A$50000,[1]Base_Jugadores!C$2:C$50000)
)</f>
        <v>Fulham FC</v>
      </c>
      <c r="D770" s="5" t="str">
        <f aca="false">[1]Base_Jugadores!D770</f>
        <v>Brasil</v>
      </c>
      <c r="E770" s="3"/>
      <c r="F770" s="5" t="str">
        <f aca="false">[1]Base_Jugadores!E770</f>
        <v>DC</v>
      </c>
      <c r="G770" s="5" t="n">
        <f aca="false">[1]Base_Jugadores!F770</f>
        <v>75</v>
      </c>
      <c r="H770" s="5" t="n">
        <f aca="false">[1]Base_Jugadores!G770</f>
        <v>24</v>
      </c>
      <c r="I770" s="7" t="n">
        <f aca="false" t="array" ref="I770:I770">_xlfn.XLOOKUP(G770,{55;56;57;58;59;60;61;62;63;64;65;66;67;68;69;70;71;72;73;74;75;76;77;78;79;80;81;82;83;84;85;86;87;88;89;90;91;92;93;94;95;96;97;98;99},{100000;130000;160000;190000;220000;250000;300000;350000;400000;450000;500000;600000;700000;800000;900000;1000000;1500000;2000000;3000000;4000000;5000000;6500000;8000000;10000000;12500000;15000000;20000000;25000000;30000000;35000000;40000000;55000000;70000000;80000000;90000000;110000000;130000000;160000000;190000000;220000000;250000000;280000000;310000000;340000000;400000000})</f>
        <v>5000000</v>
      </c>
      <c r="J770" s="7" t="n">
        <f aca="false">I770*S770*T770*U770</f>
        <v>5967000</v>
      </c>
      <c r="K770" s="3"/>
      <c r="L770" s="3"/>
      <c r="M770" s="3"/>
      <c r="N770" s="9" t="n">
        <v>2</v>
      </c>
      <c r="O770" s="4" t="n">
        <v>0</v>
      </c>
      <c r="P770" s="5" t="n">
        <f aca="false">IF(COUNTIF([1]Base_Jugadores!J$2:J$500,B770)&gt;0,1,0)</f>
        <v>0</v>
      </c>
      <c r="Q770" s="10" t="b">
        <f aca="false">--(COUNTIFS(
   [1]Fichajes_Realizados!A$2:A$5000,A770,
   [1]Fichajes_Realizados!G$2:G$5000,$X$3
)&gt;0)</f>
        <v>0</v>
      </c>
      <c r="R770" s="5" t="n">
        <f aca="false">_xlfn.XLOOKUP(C770, [1]Estado_Equipos!A$2:A$500, [1]Estado_Equipos!J$2:J$500, "")</f>
        <v>75</v>
      </c>
      <c r="S770" s="5" t="n">
        <f aca="false">IF(H770&lt;=16,1.45,
IF(H770&gt;=41,0.3,
CHOOSE(ROUNDDOWN((H770-16)/2,0)+1,
1.45,1.38,1.3,1.23,1.17,1.15,1.12,1.05,0.95,0.8,0.6,0.4,0.3)))</f>
        <v>1.17</v>
      </c>
      <c r="T770" s="5" t="n">
        <f aca="false">CHOOSE(N770+1,1.2,1,0.85,0.7)</f>
        <v>0.85</v>
      </c>
      <c r="U770" s="5" t="n">
        <f aca="false">IF(F770="PO",0.6,
IF(F770="CT",0.75,
IF(F770="LI",0.8,
IF(F770="LD",0.8,
IF(F770="MCD",0.85,
IF(F770="MC",0.95,
IF(F770="MO",1.05,
IF(F770="EI",1.1,
IF(F770="ED",1.1,
IF(F770="SD",1.15,
IF(F770="DC",1.2,0)))))))))))</f>
        <v>1.2</v>
      </c>
    </row>
    <row r="771" customFormat="false" ht="16.4" hidden="false" customHeight="false" outlineLevel="0" collapsed="false">
      <c r="A771" s="1" t="n">
        <v>770</v>
      </c>
      <c r="B771" s="5" t="str">
        <f aca="false">[1]Base_Jugadores!B771</f>
        <v>Ryan Sessegnon</v>
      </c>
      <c r="C771" s="5" t="str">
        <f aca="false">IFERROR(
   _xlfn.XLOOKUP(VALUE(A771),[1]Fichajes_Realizados!A$2:A$50000,[1]Fichajes_Realizados!D$2:D$50000,,0,-1),
   _xlfn.XLOOKUP(VALUE(A771),[1]Base_Jugadores!A$2:A$50000,[1]Base_Jugadores!C$2:C$50000)
)</f>
        <v>Fulham FC</v>
      </c>
      <c r="D771" s="5" t="str">
        <f aca="false">[1]Base_Jugadores!D771</f>
        <v>Inglaterra</v>
      </c>
      <c r="E771" s="3"/>
      <c r="F771" s="5" t="str">
        <f aca="false">[1]Base_Jugadores!E771</f>
        <v>LI</v>
      </c>
      <c r="G771" s="5" t="n">
        <f aca="false">[1]Base_Jugadores!F771</f>
        <v>74</v>
      </c>
      <c r="H771" s="5" t="n">
        <f aca="false">[1]Base_Jugadores!G771</f>
        <v>25</v>
      </c>
      <c r="I771" s="7" t="n">
        <f aca="false" t="array" ref="I771:I771">_xlfn.XLOOKUP(G771,{55;56;57;58;59;60;61;62;63;64;65;66;67;68;69;70;71;72;73;74;75;76;77;78;79;80;81;82;83;84;85;86;87;88;89;90;91;92;93;94;95;96;97;98;99},{100000;130000;160000;190000;220000;250000;300000;350000;400000;450000;500000;600000;700000;800000;900000;1000000;1500000;2000000;3000000;4000000;5000000;6500000;8000000;10000000;12500000;15000000;20000000;25000000;30000000;35000000;40000000;55000000;70000000;80000000;90000000;110000000;130000000;160000000;190000000;220000000;250000000;280000000;310000000;340000000;400000000})</f>
        <v>4000000</v>
      </c>
      <c r="J771" s="7" t="n">
        <f aca="false">I771*S771*T771*U771</f>
        <v>3182400</v>
      </c>
      <c r="K771" s="3"/>
      <c r="L771" s="3"/>
      <c r="M771" s="3"/>
      <c r="N771" s="9" t="n">
        <v>2</v>
      </c>
      <c r="O771" s="4" t="n">
        <v>0</v>
      </c>
      <c r="P771" s="5" t="n">
        <f aca="false">IF(COUNTIF([1]Base_Jugadores!J$2:J$500,B771)&gt;0,1,0)</f>
        <v>0</v>
      </c>
      <c r="Q771" s="10" t="b">
        <f aca="false">--(COUNTIFS(
   [1]Fichajes_Realizados!A$2:A$5000,A771,
   [1]Fichajes_Realizados!G$2:G$5000,$X$3
)&gt;0)</f>
        <v>0</v>
      </c>
      <c r="R771" s="5" t="n">
        <f aca="false">_xlfn.XLOOKUP(C771, [1]Estado_Equipos!A$2:A$500, [1]Estado_Equipos!J$2:J$500, "")</f>
        <v>75</v>
      </c>
      <c r="S771" s="5" t="n">
        <f aca="false">IF(H771&lt;=16,1.45,
IF(H771&gt;=41,0.3,
CHOOSE(ROUNDDOWN((H771-16)/2,0)+1,
1.45,1.38,1.3,1.23,1.17,1.15,1.12,1.05,0.95,0.8,0.6,0.4,0.3)))</f>
        <v>1.17</v>
      </c>
      <c r="T771" s="5" t="n">
        <f aca="false">CHOOSE(N771+1,1.2,1,0.85,0.7)</f>
        <v>0.85</v>
      </c>
      <c r="U771" s="5" t="n">
        <f aca="false">IF(F771="PO",0.6,
IF(F771="CT",0.75,
IF(F771="LI",0.8,
IF(F771="LD",0.8,
IF(F771="MCD",0.85,
IF(F771="MC",0.95,
IF(F771="MO",1.05,
IF(F771="EI",1.1,
IF(F771="ED",1.1,
IF(F771="SD",1.15,
IF(F771="DC",1.2,0)))))))))))</f>
        <v>0.8</v>
      </c>
    </row>
    <row r="772" customFormat="false" ht="16.4" hidden="false" customHeight="false" outlineLevel="0" collapsed="false">
      <c r="A772" s="1" t="n">
        <v>771</v>
      </c>
      <c r="B772" s="5" t="str">
        <f aca="false">[1]Base_Jugadores!B772</f>
        <v>Samu Chukwueze</v>
      </c>
      <c r="C772" s="5" t="str">
        <f aca="false">IFERROR(
   _xlfn.XLOOKUP(VALUE(A772),[1]Fichajes_Realizados!A$2:A$50000,[1]Fichajes_Realizados!D$2:D$50000,,0,-1),
   _xlfn.XLOOKUP(VALUE(A772),[1]Base_Jugadores!A$2:A$50000,[1]Base_Jugadores!C$2:C$50000)
)</f>
        <v>Fulham FC</v>
      </c>
      <c r="D772" s="5" t="str">
        <f aca="false">[1]Base_Jugadores!D772</f>
        <v>Nigeria</v>
      </c>
      <c r="E772" s="3"/>
      <c r="F772" s="5" t="str">
        <f aca="false">[1]Base_Jugadores!E772</f>
        <v>ED</v>
      </c>
      <c r="G772" s="5" t="n">
        <f aca="false">[1]Base_Jugadores!F772</f>
        <v>81</v>
      </c>
      <c r="H772" s="5" t="n">
        <f aca="false">[1]Base_Jugadores!G772</f>
        <v>26</v>
      </c>
      <c r="I772" s="7" t="n">
        <f aca="false" t="array" ref="I772:I772">_xlfn.XLOOKUP(G772,{55;56;57;58;59;60;61;62;63;64;65;66;67;68;69;70;71;72;73;74;75;76;77;78;79;80;81;82;83;84;85;86;87;88;89;90;91;92;93;94;95;96;97;98;99},{100000;130000;160000;190000;220000;250000;300000;350000;400000;450000;500000;600000;700000;800000;900000;1000000;1500000;2000000;3000000;4000000;5000000;6500000;8000000;10000000;12500000;15000000;20000000;25000000;30000000;35000000;40000000;55000000;70000000;80000000;90000000;110000000;130000000;160000000;190000000;220000000;250000000;280000000;310000000;340000000;400000000})</f>
        <v>20000000</v>
      </c>
      <c r="J772" s="7" t="n">
        <f aca="false">I772*S772*T772*U772</f>
        <v>30360000</v>
      </c>
      <c r="K772" s="3"/>
      <c r="L772" s="3"/>
      <c r="M772" s="3"/>
      <c r="N772" s="9" t="n">
        <v>0</v>
      </c>
      <c r="O772" s="4" t="n">
        <v>0</v>
      </c>
      <c r="P772" s="5" t="n">
        <f aca="false">IF(COUNTIF([1]Base_Jugadores!J$2:J$500,B772)&gt;0,1,0)</f>
        <v>0</v>
      </c>
      <c r="Q772" s="10" t="b">
        <f aca="false">--(COUNTIFS(
   [1]Fichajes_Realizados!A$2:A$5000,A772,
   [1]Fichajes_Realizados!G$2:G$5000,$X$3
)&gt;0)</f>
        <v>0</v>
      </c>
      <c r="R772" s="5" t="n">
        <f aca="false">_xlfn.XLOOKUP(C772, [1]Estado_Equipos!A$2:A$500, [1]Estado_Equipos!J$2:J$500, "")</f>
        <v>75</v>
      </c>
      <c r="S772" s="5" t="n">
        <f aca="false">IF(H772&lt;=16,1.45,
IF(H772&gt;=41,0.3,
CHOOSE(ROUNDDOWN((H772-16)/2,0)+1,
1.45,1.38,1.3,1.23,1.17,1.15,1.12,1.05,0.95,0.8,0.6,0.4,0.3)))</f>
        <v>1.15</v>
      </c>
      <c r="T772" s="5" t="n">
        <f aca="false">CHOOSE(N772+1,1.2,1,0.85,0.7)</f>
        <v>1.2</v>
      </c>
      <c r="U772" s="5" t="n">
        <f aca="false">IF(F772="PO",0.6,
IF(F772="CT",0.75,
IF(F772="LI",0.8,
IF(F772="LD",0.8,
IF(F772="MCD",0.85,
IF(F772="MC",0.95,
IF(F772="MO",1.05,
IF(F772="EI",1.1,
IF(F772="ED",1.1,
IF(F772="SD",1.15,
IF(F772="DC",1.2,0)))))))))))</f>
        <v>1.1</v>
      </c>
    </row>
    <row r="773" customFormat="false" ht="16.4" hidden="false" customHeight="false" outlineLevel="0" collapsed="false">
      <c r="A773" s="1" t="n">
        <v>772</v>
      </c>
      <c r="B773" s="5" t="str">
        <f aca="false">[1]Base_Jugadores!B773</f>
        <v>Sander Berge</v>
      </c>
      <c r="C773" s="5" t="str">
        <f aca="false">IFERROR(
   _xlfn.XLOOKUP(VALUE(A773),[1]Fichajes_Realizados!A$2:A$50000,[1]Fichajes_Realizados!D$2:D$50000,,0,-1),
   _xlfn.XLOOKUP(VALUE(A773),[1]Base_Jugadores!A$2:A$50000,[1]Base_Jugadores!C$2:C$50000)
)</f>
        <v>Fulham FC</v>
      </c>
      <c r="D773" s="5" t="str">
        <f aca="false">[1]Base_Jugadores!D773</f>
        <v>Noruega</v>
      </c>
      <c r="E773" s="3"/>
      <c r="F773" s="5" t="str">
        <f aca="false">[1]Base_Jugadores!E773</f>
        <v>MCD</v>
      </c>
      <c r="G773" s="5" t="n">
        <f aca="false">[1]Base_Jugadores!F773</f>
        <v>77</v>
      </c>
      <c r="H773" s="5" t="n">
        <f aca="false">[1]Base_Jugadores!G773</f>
        <v>27</v>
      </c>
      <c r="I773" s="7" t="n">
        <f aca="false" t="array" ref="I773:I773">_xlfn.XLOOKUP(G773,{55;56;57;58;59;60;61;62;63;64;65;66;67;68;69;70;71;72;73;74;75;76;77;78;79;80;81;82;83;84;85;86;87;88;89;90;91;92;93;94;95;96;97;98;99},{100000;130000;160000;190000;220000;250000;300000;350000;400000;450000;500000;600000;700000;800000;900000;1000000;1500000;2000000;3000000;4000000;5000000;6500000;8000000;10000000;12500000;15000000;20000000;25000000;30000000;35000000;40000000;55000000;70000000;80000000;90000000;110000000;130000000;160000000;190000000;220000000;250000000;280000000;310000000;340000000;400000000})</f>
        <v>8000000</v>
      </c>
      <c r="J773" s="7" t="n">
        <f aca="false">I773*S773*T773*U773</f>
        <v>9384000</v>
      </c>
      <c r="K773" s="3"/>
      <c r="L773" s="3"/>
      <c r="M773" s="3"/>
      <c r="N773" s="9" t="n">
        <v>0</v>
      </c>
      <c r="O773" s="4" t="n">
        <v>0</v>
      </c>
      <c r="P773" s="5" t="n">
        <f aca="false">IF(COUNTIF([1]Base_Jugadores!J$2:J$500,B773)&gt;0,1,0)</f>
        <v>0</v>
      </c>
      <c r="Q773" s="10" t="b">
        <f aca="false">--(COUNTIFS(
   [1]Fichajes_Realizados!A$2:A$5000,A773,
   [1]Fichajes_Realizados!G$2:G$5000,$X$3
)&gt;0)</f>
        <v>0</v>
      </c>
      <c r="R773" s="5" t="n">
        <f aca="false">_xlfn.XLOOKUP(C773, [1]Estado_Equipos!A$2:A$500, [1]Estado_Equipos!J$2:J$500, "")</f>
        <v>75</v>
      </c>
      <c r="S773" s="5" t="n">
        <f aca="false">IF(H773&lt;=16,1.45,
IF(H773&gt;=41,0.3,
CHOOSE(ROUNDDOWN((H773-16)/2,0)+1,
1.45,1.38,1.3,1.23,1.17,1.15,1.12,1.05,0.95,0.8,0.6,0.4,0.3)))</f>
        <v>1.15</v>
      </c>
      <c r="T773" s="5" t="n">
        <f aca="false">CHOOSE(N773+1,1.2,1,0.85,0.7)</f>
        <v>1.2</v>
      </c>
      <c r="U773" s="5" t="n">
        <f aca="false">IF(F773="PO",0.6,
IF(F773="CT",0.75,
IF(F773="LI",0.8,
IF(F773="LD",0.8,
IF(F773="MCD",0.85,
IF(F773="MC",0.95,
IF(F773="MO",1.05,
IF(F773="EI",1.1,
IF(F773="ED",1.1,
IF(F773="SD",1.15,
IF(F773="DC",1.2,0)))))))))))</f>
        <v>0.85</v>
      </c>
    </row>
    <row r="774" customFormat="false" ht="16.4" hidden="false" customHeight="false" outlineLevel="0" collapsed="false">
      <c r="A774" s="1" t="n">
        <v>773</v>
      </c>
      <c r="B774" s="5" t="str">
        <f aca="false">[1]Base_Jugadores!B774</f>
        <v>Saša Lukić</v>
      </c>
      <c r="C774" s="5" t="str">
        <f aca="false">IFERROR(
   _xlfn.XLOOKUP(VALUE(A774),[1]Fichajes_Realizados!A$2:A$50000,[1]Fichajes_Realizados!D$2:D$50000,,0,-1),
   _xlfn.XLOOKUP(VALUE(A774),[1]Base_Jugadores!A$2:A$50000,[1]Base_Jugadores!C$2:C$50000)
)</f>
        <v>Fulham FC</v>
      </c>
      <c r="D774" s="5" t="str">
        <f aca="false">[1]Base_Jugadores!D774</f>
        <v>Serbia</v>
      </c>
      <c r="E774" s="3"/>
      <c r="F774" s="5" t="str">
        <f aca="false">[1]Base_Jugadores!E774</f>
        <v>MC</v>
      </c>
      <c r="G774" s="5" t="n">
        <f aca="false">[1]Base_Jugadores!F774</f>
        <v>76</v>
      </c>
      <c r="H774" s="5" t="n">
        <f aca="false">[1]Base_Jugadores!G774</f>
        <v>29</v>
      </c>
      <c r="I774" s="7" t="n">
        <f aca="false" t="array" ref="I774:I774">_xlfn.XLOOKUP(G774,{55;56;57;58;59;60;61;62;63;64;65;66;67;68;69;70;71;72;73;74;75;76;77;78;79;80;81;82;83;84;85;86;87;88;89;90;91;92;93;94;95;96;97;98;99},{100000;130000;160000;190000;220000;250000;300000;350000;400000;450000;500000;600000;700000;800000;900000;1000000;1500000;2000000;3000000;4000000;5000000;6500000;8000000;10000000;12500000;15000000;20000000;25000000;30000000;35000000;40000000;55000000;70000000;80000000;90000000;110000000;130000000;160000000;190000000;220000000;250000000;280000000;310000000;340000000;400000000})</f>
        <v>6500000</v>
      </c>
      <c r="J774" s="7" t="n">
        <f aca="false">I774*S774*T774*U774</f>
        <v>6916000</v>
      </c>
      <c r="K774" s="3"/>
      <c r="L774" s="3"/>
      <c r="M774" s="3"/>
      <c r="N774" s="9" t="n">
        <v>1</v>
      </c>
      <c r="O774" s="4" t="n">
        <v>0</v>
      </c>
      <c r="P774" s="5" t="n">
        <f aca="false">IF(COUNTIF([1]Base_Jugadores!J$2:J$500,B774)&gt;0,1,0)</f>
        <v>0</v>
      </c>
      <c r="Q774" s="10" t="b">
        <f aca="false">--(COUNTIFS(
   [1]Fichajes_Realizados!A$2:A$5000,A774,
   [1]Fichajes_Realizados!G$2:G$5000,$X$3
)&gt;0)</f>
        <v>0</v>
      </c>
      <c r="R774" s="5" t="n">
        <f aca="false">_xlfn.XLOOKUP(C774, [1]Estado_Equipos!A$2:A$500, [1]Estado_Equipos!J$2:J$500, "")</f>
        <v>75</v>
      </c>
      <c r="S774" s="5" t="n">
        <f aca="false">IF(H774&lt;=16,1.45,
IF(H774&gt;=41,0.3,
CHOOSE(ROUNDDOWN((H774-16)/2,0)+1,
1.45,1.38,1.3,1.23,1.17,1.15,1.12,1.05,0.95,0.8,0.6,0.4,0.3)))</f>
        <v>1.12</v>
      </c>
      <c r="T774" s="5" t="n">
        <f aca="false">CHOOSE(N774+1,1.2,1,0.85,0.7)</f>
        <v>1</v>
      </c>
      <c r="U774" s="5" t="n">
        <f aca="false">IF(F774="PO",0.6,
IF(F774="CT",0.75,
IF(F774="LI",0.8,
IF(F774="LD",0.8,
IF(F774="MCD",0.85,
IF(F774="MC",0.95,
IF(F774="MO",1.05,
IF(F774="EI",1.1,
IF(F774="ED",1.1,
IF(F774="SD",1.15,
IF(F774="DC",1.2,0)))))))))))</f>
        <v>0.95</v>
      </c>
    </row>
    <row r="775" customFormat="false" ht="16.4" hidden="false" customHeight="false" outlineLevel="0" collapsed="false">
      <c r="A775" s="1" t="n">
        <v>774</v>
      </c>
      <c r="B775" s="5" t="str">
        <f aca="false">[1]Base_Jugadores!B775</f>
        <v>Timothy Castagne</v>
      </c>
      <c r="C775" s="5" t="str">
        <f aca="false">IFERROR(
   _xlfn.XLOOKUP(VALUE(A775),[1]Fichajes_Realizados!A$2:A$50000,[1]Fichajes_Realizados!D$2:D$50000,,0,-1),
   _xlfn.XLOOKUP(VALUE(A775),[1]Base_Jugadores!A$2:A$50000,[1]Base_Jugadores!C$2:C$50000)
)</f>
        <v>Fulham FC</v>
      </c>
      <c r="D775" s="5" t="str">
        <f aca="false">[1]Base_Jugadores!D775</f>
        <v>Bélgica</v>
      </c>
      <c r="E775" s="3"/>
      <c r="F775" s="5" t="str">
        <f aca="false">[1]Base_Jugadores!E775</f>
        <v>LD</v>
      </c>
      <c r="G775" s="5" t="n">
        <f aca="false">[1]Base_Jugadores!F775</f>
        <v>78</v>
      </c>
      <c r="H775" s="5" t="n">
        <f aca="false">[1]Base_Jugadores!G775</f>
        <v>30</v>
      </c>
      <c r="I775" s="7" t="n">
        <f aca="false" t="array" ref="I775:I775">_xlfn.XLOOKUP(G775,{55;56;57;58;59;60;61;62;63;64;65;66;67;68;69;70;71;72;73;74;75;76;77;78;79;80;81;82;83;84;85;86;87;88;89;90;91;92;93;94;95;96;97;98;99},{100000;130000;160000;190000;220000;250000;300000;350000;400000;450000;500000;600000;700000;800000;900000;1000000;1500000;2000000;3000000;4000000;5000000;6500000;8000000;10000000;12500000;15000000;20000000;25000000;30000000;35000000;40000000;55000000;70000000;80000000;90000000;110000000;130000000;160000000;190000000;220000000;250000000;280000000;310000000;340000000;400000000})</f>
        <v>10000000</v>
      </c>
      <c r="J775" s="7" t="n">
        <f aca="false">I775*S775*T775*U775</f>
        <v>10080000</v>
      </c>
      <c r="K775" s="3"/>
      <c r="L775" s="3"/>
      <c r="M775" s="3"/>
      <c r="N775" s="9" t="n">
        <v>0</v>
      </c>
      <c r="O775" s="4" t="n">
        <v>0</v>
      </c>
      <c r="P775" s="5" t="n">
        <f aca="false">IF(COUNTIF([1]Base_Jugadores!J$2:J$500,B775)&gt;0,1,0)</f>
        <v>0</v>
      </c>
      <c r="Q775" s="10" t="b">
        <f aca="false">--(COUNTIFS(
   [1]Fichajes_Realizados!A$2:A$5000,A775,
   [1]Fichajes_Realizados!G$2:G$5000,$X$3
)&gt;0)</f>
        <v>0</v>
      </c>
      <c r="R775" s="5" t="n">
        <f aca="false">_xlfn.XLOOKUP(C775, [1]Estado_Equipos!A$2:A$500, [1]Estado_Equipos!J$2:J$500, "")</f>
        <v>75</v>
      </c>
      <c r="S775" s="5" t="n">
        <f aca="false">IF(H775&lt;=16,1.45,
IF(H775&gt;=41,0.3,
CHOOSE(ROUNDDOWN((H775-16)/2,0)+1,
1.45,1.38,1.3,1.23,1.17,1.15,1.12,1.05,0.95,0.8,0.6,0.4,0.3)))</f>
        <v>1.05</v>
      </c>
      <c r="T775" s="5" t="n">
        <f aca="false">CHOOSE(N775+1,1.2,1,0.85,0.7)</f>
        <v>1.2</v>
      </c>
      <c r="U775" s="5" t="n">
        <f aca="false">IF(F775="PO",0.6,
IF(F775="CT",0.75,
IF(F775="LI",0.8,
IF(F775="LD",0.8,
IF(F775="MCD",0.85,
IF(F775="MC",0.95,
IF(F775="MO",1.05,
IF(F775="EI",1.1,
IF(F775="ED",1.1,
IF(F775="SD",1.15,
IF(F775="DC",1.2,0)))))))))))</f>
        <v>0.8</v>
      </c>
    </row>
    <row r="776" customFormat="false" ht="16.4" hidden="false" customHeight="false" outlineLevel="0" collapsed="false">
      <c r="A776" s="1" t="n">
        <v>775</v>
      </c>
      <c r="B776" s="5" t="str">
        <f aca="false">[1]Base_Jugadores!B776</f>
        <v>Tom Cairney</v>
      </c>
      <c r="C776" s="5" t="str">
        <f aca="false">IFERROR(
   _xlfn.XLOOKUP(VALUE(A776),[1]Fichajes_Realizados!A$2:A$50000,[1]Fichajes_Realizados!D$2:D$50000,,0,-1),
   _xlfn.XLOOKUP(VALUE(A776),[1]Base_Jugadores!A$2:A$50000,[1]Base_Jugadores!C$2:C$50000)
)</f>
        <v>Fulham FC</v>
      </c>
      <c r="D776" s="5" t="str">
        <f aca="false">[1]Base_Jugadores!D776</f>
        <v>Escocia</v>
      </c>
      <c r="E776" s="3"/>
      <c r="F776" s="5" t="str">
        <f aca="false">[1]Base_Jugadores!E776</f>
        <v>MC</v>
      </c>
      <c r="G776" s="5" t="n">
        <f aca="false">[1]Base_Jugadores!F776</f>
        <v>75</v>
      </c>
      <c r="H776" s="5" t="n">
        <f aca="false">[1]Base_Jugadores!G776</f>
        <v>34</v>
      </c>
      <c r="I776" s="7" t="n">
        <f aca="false" t="array" ref="I776:I776">_xlfn.XLOOKUP(G776,{55;56;57;58;59;60;61;62;63;64;65;66;67;68;69;70;71;72;73;74;75;76;77;78;79;80;81;82;83;84;85;86;87;88;89;90;91;92;93;94;95;96;97;98;99},{100000;130000;160000;190000;220000;250000;300000;350000;400000;450000;500000;600000;700000;800000;900000;1000000;1500000;2000000;3000000;4000000;5000000;6500000;8000000;10000000;12500000;15000000;20000000;25000000;30000000;35000000;40000000;55000000;70000000;80000000;90000000;110000000;130000000;160000000;190000000;220000000;250000000;280000000;310000000;340000000;400000000})</f>
        <v>5000000</v>
      </c>
      <c r="J776" s="7" t="n">
        <f aca="false">I776*S776*T776*U776</f>
        <v>3230000</v>
      </c>
      <c r="K776" s="3"/>
      <c r="L776" s="3"/>
      <c r="M776" s="3"/>
      <c r="N776" s="9" t="n">
        <v>2</v>
      </c>
      <c r="O776" s="4" t="n">
        <v>0</v>
      </c>
      <c r="P776" s="5" t="n">
        <f aca="false">IF(COUNTIF([1]Base_Jugadores!J$2:J$500,B776)&gt;0,1,0)</f>
        <v>0</v>
      </c>
      <c r="Q776" s="10" t="b">
        <f aca="false">--(COUNTIFS(
   [1]Fichajes_Realizados!A$2:A$5000,A776,
   [1]Fichajes_Realizados!G$2:G$5000,$X$3
)&gt;0)</f>
        <v>0</v>
      </c>
      <c r="R776" s="5" t="n">
        <f aca="false">_xlfn.XLOOKUP(C776, [1]Estado_Equipos!A$2:A$500, [1]Estado_Equipos!J$2:J$500, "")</f>
        <v>75</v>
      </c>
      <c r="S776" s="5" t="n">
        <f aca="false">IF(H776&lt;=16,1.45,
IF(H776&gt;=41,0.3,
CHOOSE(ROUNDDOWN((H776-16)/2,0)+1,
1.45,1.38,1.3,1.23,1.17,1.15,1.12,1.05,0.95,0.8,0.6,0.4,0.3)))</f>
        <v>0.8</v>
      </c>
      <c r="T776" s="5" t="n">
        <f aca="false">CHOOSE(N776+1,1.2,1,0.85,0.7)</f>
        <v>0.85</v>
      </c>
      <c r="U776" s="5" t="n">
        <f aca="false">IF(F776="PO",0.6,
IF(F776="CT",0.75,
IF(F776="LI",0.8,
IF(F776="LD",0.8,
IF(F776="MCD",0.85,
IF(F776="MC",0.95,
IF(F776="MO",1.05,
IF(F776="EI",1.1,
IF(F776="ED",1.1,
IF(F776="SD",1.15,
IF(F776="DC",1.2,0)))))))))))</f>
        <v>0.95</v>
      </c>
    </row>
    <row r="777" customFormat="false" ht="16.4" hidden="false" customHeight="false" outlineLevel="0" collapsed="false">
      <c r="A777" s="1" t="n">
        <v>776</v>
      </c>
      <c r="B777" s="5" t="str">
        <f aca="false">[1]Base_Jugadores!B777</f>
        <v>Alex Cairns</v>
      </c>
      <c r="C777" s="5" t="str">
        <f aca="false">IFERROR(
   _xlfn.XLOOKUP(VALUE(A777),[1]Fichajes_Realizados!A$2:A$50000,[1]Fichajes_Realizados!D$2:D$50000,,0,-1),
   _xlfn.XLOOKUP(VALUE(A777),[1]Base_Jugadores!A$2:A$50000,[1]Base_Jugadores!C$2:C$50000)
)</f>
        <v>Leeds United</v>
      </c>
      <c r="D777" s="5" t="str">
        <f aca="false">[1]Base_Jugadores!D777</f>
        <v>Inglaterra</v>
      </c>
      <c r="E777" s="3"/>
      <c r="F777" s="5" t="str">
        <f aca="false">[1]Base_Jugadores!E777</f>
        <v>PO</v>
      </c>
      <c r="G777" s="5" t="n">
        <f aca="false">[1]Base_Jugadores!F777</f>
        <v>63</v>
      </c>
      <c r="H777" s="5" t="n">
        <f aca="false">[1]Base_Jugadores!G777</f>
        <v>32</v>
      </c>
      <c r="I777" s="7" t="n">
        <f aca="false" t="array" ref="I777:I777">_xlfn.XLOOKUP(G777,{55;56;57;58;59;60;61;62;63;64;65;66;67;68;69;70;71;72;73;74;75;76;77;78;79;80;81;82;83;84;85;86;87;88;89;90;91;92;93;94;95;96;97;98;99},{100000;130000;160000;190000;220000;250000;300000;350000;400000;450000;500000;600000;700000;800000;900000;1000000;1500000;2000000;3000000;4000000;5000000;6500000;8000000;10000000;12500000;15000000;20000000;25000000;30000000;35000000;40000000;55000000;70000000;80000000;90000000;110000000;130000000;160000000;190000000;220000000;250000000;280000000;310000000;340000000;400000000})</f>
        <v>400000</v>
      </c>
      <c r="J777" s="7" t="n">
        <f aca="false">I777*S777*T777*U777</f>
        <v>193800</v>
      </c>
      <c r="K777" s="3"/>
      <c r="L777" s="3"/>
      <c r="M777" s="3"/>
      <c r="N777" s="9" t="n">
        <v>2</v>
      </c>
      <c r="O777" s="4" t="n">
        <v>0</v>
      </c>
      <c r="P777" s="5" t="n">
        <f aca="false">IF(COUNTIF([1]Base_Jugadores!J$2:J$500,B777)&gt;0,1,0)</f>
        <v>0</v>
      </c>
      <c r="Q777" s="10" t="b">
        <f aca="false">--(COUNTIFS(
   [1]Fichajes_Realizados!A$2:A$5000,A777,
   [1]Fichajes_Realizados!G$2:G$5000,$X$3
)&gt;0)</f>
        <v>0</v>
      </c>
      <c r="R777" s="5" t="n">
        <f aca="false">_xlfn.XLOOKUP(C777, [1]Estado_Equipos!A$2:A$500, [1]Estado_Equipos!J$2:J$500, "")</f>
        <v>75</v>
      </c>
      <c r="S777" s="5" t="n">
        <f aca="false">IF(H777&lt;=16,1.45,
IF(H777&gt;=41,0.3,
CHOOSE(ROUNDDOWN((H777-16)/2,0)+1,
1.45,1.38,1.3,1.23,1.17,1.15,1.12,1.05,0.95,0.8,0.6,0.4,0.3)))</f>
        <v>0.95</v>
      </c>
      <c r="T777" s="5" t="n">
        <f aca="false">CHOOSE(N777+1,1.2,1,0.85,0.7)</f>
        <v>0.85</v>
      </c>
      <c r="U777" s="5" t="n">
        <f aca="false">IF(F777="PO",0.6,
IF(F777="CT",0.75,
IF(F777="LI",0.8,
IF(F777="LD",0.8,
IF(F777="MCD",0.85,
IF(F777="MC",0.95,
IF(F777="MO",1.05,
IF(F777="EI",1.1,
IF(F777="ED",1.1,
IF(F777="SD",1.15,
IF(F777="DC",1.2,0)))))))))))</f>
        <v>0.6</v>
      </c>
    </row>
    <row r="778" customFormat="false" ht="16.4" hidden="false" customHeight="false" outlineLevel="0" collapsed="false">
      <c r="A778" s="1" t="n">
        <v>777</v>
      </c>
      <c r="B778" s="5" t="str">
        <f aca="false">[1]Base_Jugadores!B778</f>
        <v>Anton Stach</v>
      </c>
      <c r="C778" s="5" t="str">
        <f aca="false">IFERROR(
   _xlfn.XLOOKUP(VALUE(A778),[1]Fichajes_Realizados!A$2:A$50000,[1]Fichajes_Realizados!D$2:D$50000,,0,-1),
   _xlfn.XLOOKUP(VALUE(A778),[1]Base_Jugadores!A$2:A$50000,[1]Base_Jugadores!C$2:C$50000)
)</f>
        <v>Leeds United</v>
      </c>
      <c r="D778" s="5" t="str">
        <f aca="false">[1]Base_Jugadores!D778</f>
        <v>Alemania</v>
      </c>
      <c r="E778" s="3"/>
      <c r="F778" s="5" t="str">
        <f aca="false">[1]Base_Jugadores!E778</f>
        <v>MCD</v>
      </c>
      <c r="G778" s="5" t="n">
        <f aca="false">[1]Base_Jugadores!F778</f>
        <v>77</v>
      </c>
      <c r="H778" s="5" t="n">
        <f aca="false">[1]Base_Jugadores!G778</f>
        <v>27</v>
      </c>
      <c r="I778" s="7" t="n">
        <f aca="false" t="array" ref="I778:I778">_xlfn.XLOOKUP(G778,{55;56;57;58;59;60;61;62;63;64;65;66;67;68;69;70;71;72;73;74;75;76;77;78;79;80;81;82;83;84;85;86;87;88;89;90;91;92;93;94;95;96;97;98;99},{100000;130000;160000;190000;220000;250000;300000;350000;400000;450000;500000;600000;700000;800000;900000;1000000;1500000;2000000;3000000;4000000;5000000;6500000;8000000;10000000;12500000;15000000;20000000;25000000;30000000;35000000;40000000;55000000;70000000;80000000;90000000;110000000;130000000;160000000;190000000;220000000;250000000;280000000;310000000;340000000;400000000})</f>
        <v>8000000</v>
      </c>
      <c r="J778" s="7" t="n">
        <f aca="false">I778*S778*T778*U778</f>
        <v>9384000</v>
      </c>
      <c r="K778" s="3"/>
      <c r="L778" s="3"/>
      <c r="M778" s="3"/>
      <c r="N778" s="9" t="n">
        <v>0</v>
      </c>
      <c r="O778" s="4" t="n">
        <v>0</v>
      </c>
      <c r="P778" s="5" t="n">
        <f aca="false">IF(COUNTIF([1]Base_Jugadores!J$2:J$500,B778)&gt;0,1,0)</f>
        <v>0</v>
      </c>
      <c r="Q778" s="10" t="b">
        <f aca="false">--(COUNTIFS(
   [1]Fichajes_Realizados!A$2:A$5000,A778,
   [1]Fichajes_Realizados!G$2:G$5000,$X$3
)&gt;0)</f>
        <v>0</v>
      </c>
      <c r="R778" s="5" t="n">
        <f aca="false">_xlfn.XLOOKUP(C778, [1]Estado_Equipos!A$2:A$500, [1]Estado_Equipos!J$2:J$500, "")</f>
        <v>75</v>
      </c>
      <c r="S778" s="5" t="n">
        <f aca="false">IF(H778&lt;=16,1.45,
IF(H778&gt;=41,0.3,
CHOOSE(ROUNDDOWN((H778-16)/2,0)+1,
1.45,1.38,1.3,1.23,1.17,1.15,1.12,1.05,0.95,0.8,0.6,0.4,0.3)))</f>
        <v>1.15</v>
      </c>
      <c r="T778" s="5" t="n">
        <f aca="false">CHOOSE(N778+1,1.2,1,0.85,0.7)</f>
        <v>1.2</v>
      </c>
      <c r="U778" s="5" t="n">
        <f aca="false">IF(F778="PO",0.6,
IF(F778="CT",0.75,
IF(F778="LI",0.8,
IF(F778="LD",0.8,
IF(F778="MCD",0.85,
IF(F778="MC",0.95,
IF(F778="MO",1.05,
IF(F778="EI",1.1,
IF(F778="ED",1.1,
IF(F778="SD",1.15,
IF(F778="DC",1.2,0)))))))))))</f>
        <v>0.85</v>
      </c>
    </row>
    <row r="779" customFormat="false" ht="16.4" hidden="false" customHeight="false" outlineLevel="0" collapsed="false">
      <c r="A779" s="1" t="n">
        <v>778</v>
      </c>
      <c r="B779" s="5" t="str">
        <f aca="false">[1]Base_Jugadores!B779</f>
        <v>Ao Tanaka</v>
      </c>
      <c r="C779" s="5" t="str">
        <f aca="false">IFERROR(
   _xlfn.XLOOKUP(VALUE(A779),[1]Fichajes_Realizados!A$2:A$50000,[1]Fichajes_Realizados!D$2:D$50000,,0,-1),
   _xlfn.XLOOKUP(VALUE(A779),[1]Base_Jugadores!A$2:A$50000,[1]Base_Jugadores!C$2:C$50000)
)</f>
        <v>Leeds United</v>
      </c>
      <c r="D779" s="5" t="str">
        <f aca="false">[1]Base_Jugadores!D779</f>
        <v>Japón</v>
      </c>
      <c r="E779" s="3"/>
      <c r="F779" s="5" t="str">
        <f aca="false">[1]Base_Jugadores!E779</f>
        <v>MC</v>
      </c>
      <c r="G779" s="5" t="n">
        <f aca="false">[1]Base_Jugadores!F779</f>
        <v>74</v>
      </c>
      <c r="H779" s="5" t="n">
        <f aca="false">[1]Base_Jugadores!G779</f>
        <v>27</v>
      </c>
      <c r="I779" s="7" t="n">
        <f aca="false" t="array" ref="I779:I779">_xlfn.XLOOKUP(G779,{55;56;57;58;59;60;61;62;63;64;65;66;67;68;69;70;71;72;73;74;75;76;77;78;79;80;81;82;83;84;85;86;87;88;89;90;91;92;93;94;95;96;97;98;99},{100000;130000;160000;190000;220000;250000;300000;350000;400000;450000;500000;600000;700000;800000;900000;1000000;1500000;2000000;3000000;4000000;5000000;6500000;8000000;10000000;12500000;15000000;20000000;25000000;30000000;35000000;40000000;55000000;70000000;80000000;90000000;110000000;130000000;160000000;190000000;220000000;250000000;280000000;310000000;340000000;400000000})</f>
        <v>4000000</v>
      </c>
      <c r="J779" s="7" t="n">
        <f aca="false">I779*S779*T779*U779</f>
        <v>3714500</v>
      </c>
      <c r="K779" s="3"/>
      <c r="L779" s="3"/>
      <c r="M779" s="3"/>
      <c r="N779" s="9" t="n">
        <v>2</v>
      </c>
      <c r="O779" s="4" t="n">
        <v>0</v>
      </c>
      <c r="P779" s="5" t="n">
        <f aca="false">IF(COUNTIF([1]Base_Jugadores!J$2:J$500,B779)&gt;0,1,0)</f>
        <v>0</v>
      </c>
      <c r="Q779" s="10" t="b">
        <f aca="false">--(COUNTIFS(
   [1]Fichajes_Realizados!A$2:A$5000,A779,
   [1]Fichajes_Realizados!G$2:G$5000,$X$3
)&gt;0)</f>
        <v>0</v>
      </c>
      <c r="R779" s="5" t="n">
        <f aca="false">_xlfn.XLOOKUP(C779, [1]Estado_Equipos!A$2:A$500, [1]Estado_Equipos!J$2:J$500, "")</f>
        <v>75</v>
      </c>
      <c r="S779" s="5" t="n">
        <f aca="false">IF(H779&lt;=16,1.45,
IF(H779&gt;=41,0.3,
CHOOSE(ROUNDDOWN((H779-16)/2,0)+1,
1.45,1.38,1.3,1.23,1.17,1.15,1.12,1.05,0.95,0.8,0.6,0.4,0.3)))</f>
        <v>1.15</v>
      </c>
      <c r="T779" s="5" t="n">
        <f aca="false">CHOOSE(N779+1,1.2,1,0.85,0.7)</f>
        <v>0.85</v>
      </c>
      <c r="U779" s="5" t="n">
        <f aca="false">IF(F779="PO",0.6,
IF(F779="CT",0.75,
IF(F779="LI",0.8,
IF(F779="LD",0.8,
IF(F779="MCD",0.85,
IF(F779="MC",0.95,
IF(F779="MO",1.05,
IF(F779="EI",1.1,
IF(F779="ED",1.1,
IF(F779="SD",1.15,
IF(F779="DC",1.2,0)))))))))))</f>
        <v>0.95</v>
      </c>
    </row>
    <row r="780" customFormat="false" ht="16.4" hidden="false" customHeight="false" outlineLevel="0" collapsed="false">
      <c r="A780" s="1" t="n">
        <v>779</v>
      </c>
      <c r="B780" s="5" t="str">
        <f aca="false">[1]Base_Jugadores!B780</f>
        <v>Brenden Aaronson</v>
      </c>
      <c r="C780" s="5" t="str">
        <f aca="false">IFERROR(
   _xlfn.XLOOKUP(VALUE(A780),[1]Fichajes_Realizados!A$2:A$50000,[1]Fichajes_Realizados!D$2:D$50000,,0,-1),
   _xlfn.XLOOKUP(VALUE(A780),[1]Base_Jugadores!A$2:A$50000,[1]Base_Jugadores!C$2:C$50000)
)</f>
        <v>Leeds United</v>
      </c>
      <c r="D780" s="5" t="str">
        <f aca="false">[1]Base_Jugadores!D780</f>
        <v>Estados Unidos</v>
      </c>
      <c r="E780" s="3"/>
      <c r="F780" s="5" t="str">
        <f aca="false">[1]Base_Jugadores!E780</f>
        <v>MO</v>
      </c>
      <c r="G780" s="5" t="n">
        <f aca="false">[1]Base_Jugadores!F780</f>
        <v>74</v>
      </c>
      <c r="H780" s="5" t="n">
        <f aca="false">[1]Base_Jugadores!G780</f>
        <v>25</v>
      </c>
      <c r="I780" s="7" t="n">
        <f aca="false" t="array" ref="I780:I780">_xlfn.XLOOKUP(G780,{55;56;57;58;59;60;61;62;63;64;65;66;67;68;69;70;71;72;73;74;75;76;77;78;79;80;81;82;83;84;85;86;87;88;89;90;91;92;93;94;95;96;97;98;99},{100000;130000;160000;190000;220000;250000;300000;350000;400000;450000;500000;600000;700000;800000;900000;1000000;1500000;2000000;3000000;4000000;5000000;6500000;8000000;10000000;12500000;15000000;20000000;25000000;30000000;35000000;40000000;55000000;70000000;80000000;90000000;110000000;130000000;160000000;190000000;220000000;250000000;280000000;310000000;340000000;400000000})</f>
        <v>4000000</v>
      </c>
      <c r="J780" s="7" t="n">
        <f aca="false">I780*S780*T780*U780</f>
        <v>4176900</v>
      </c>
      <c r="K780" s="3"/>
      <c r="L780" s="3"/>
      <c r="M780" s="3"/>
      <c r="N780" s="9" t="n">
        <v>2</v>
      </c>
      <c r="O780" s="4" t="n">
        <v>0</v>
      </c>
      <c r="P780" s="5" t="n">
        <f aca="false">IF(COUNTIF([1]Base_Jugadores!J$2:J$500,B780)&gt;0,1,0)</f>
        <v>0</v>
      </c>
      <c r="Q780" s="10" t="b">
        <f aca="false">--(COUNTIFS(
   [1]Fichajes_Realizados!A$2:A$5000,A780,
   [1]Fichajes_Realizados!G$2:G$5000,$X$3
)&gt;0)</f>
        <v>0</v>
      </c>
      <c r="R780" s="5" t="n">
        <f aca="false">_xlfn.XLOOKUP(C780, [1]Estado_Equipos!A$2:A$500, [1]Estado_Equipos!J$2:J$500, "")</f>
        <v>75</v>
      </c>
      <c r="S780" s="5" t="n">
        <f aca="false">IF(H780&lt;=16,1.45,
IF(H780&gt;=41,0.3,
CHOOSE(ROUNDDOWN((H780-16)/2,0)+1,
1.45,1.38,1.3,1.23,1.17,1.15,1.12,1.05,0.95,0.8,0.6,0.4,0.3)))</f>
        <v>1.17</v>
      </c>
      <c r="T780" s="5" t="n">
        <f aca="false">CHOOSE(N780+1,1.2,1,0.85,0.7)</f>
        <v>0.85</v>
      </c>
      <c r="U780" s="5" t="n">
        <f aca="false">IF(F780="PO",0.6,
IF(F780="CT",0.75,
IF(F780="LI",0.8,
IF(F780="LD",0.8,
IF(F780="MCD",0.85,
IF(F780="MC",0.95,
IF(F780="MO",1.05,
IF(F780="EI",1.1,
IF(F780="ED",1.1,
IF(F780="SD",1.15,
IF(F780="DC",1.2,0)))))))))))</f>
        <v>1.05</v>
      </c>
    </row>
    <row r="781" customFormat="false" ht="16.4" hidden="false" customHeight="false" outlineLevel="0" collapsed="false">
      <c r="A781" s="1" t="n">
        <v>780</v>
      </c>
      <c r="B781" s="5" t="str">
        <f aca="false">[1]Base_Jugadores!B781</f>
        <v>D. Calvert-Lewin</v>
      </c>
      <c r="C781" s="5" t="str">
        <f aca="false">IFERROR(
   _xlfn.XLOOKUP(VALUE(A781),[1]Fichajes_Realizados!A$2:A$50000,[1]Fichajes_Realizados!D$2:D$50000,,0,-1),
   _xlfn.XLOOKUP(VALUE(A781),[1]Base_Jugadores!A$2:A$50000,[1]Base_Jugadores!C$2:C$50000)
)</f>
        <v>Leeds United</v>
      </c>
      <c r="D781" s="5" t="str">
        <f aca="false">[1]Base_Jugadores!D781</f>
        <v>Inglaterra</v>
      </c>
      <c r="E781" s="3"/>
      <c r="F781" s="5" t="str">
        <f aca="false">[1]Base_Jugadores!E781</f>
        <v>DC</v>
      </c>
      <c r="G781" s="5" t="n">
        <f aca="false">[1]Base_Jugadores!F781</f>
        <v>77</v>
      </c>
      <c r="H781" s="5" t="n">
        <f aca="false">[1]Base_Jugadores!G781</f>
        <v>28</v>
      </c>
      <c r="I781" s="7" t="n">
        <f aca="false" t="array" ref="I781:I781">_xlfn.XLOOKUP(G781,{55;56;57;58;59;60;61;62;63;64;65;66;67;68;69;70;71;72;73;74;75;76;77;78;79;80;81;82;83;84;85;86;87;88;89;90;91;92;93;94;95;96;97;98;99},{100000;130000;160000;190000;220000;250000;300000;350000;400000;450000;500000;600000;700000;800000;900000;1000000;1500000;2000000;3000000;4000000;5000000;6500000;8000000;10000000;12500000;15000000;20000000;25000000;30000000;35000000;40000000;55000000;70000000;80000000;90000000;110000000;130000000;160000000;190000000;220000000;250000000;280000000;310000000;340000000;400000000})</f>
        <v>8000000</v>
      </c>
      <c r="J781" s="7" t="n">
        <f aca="false">I781*S781*T781*U781</f>
        <v>10752000</v>
      </c>
      <c r="K781" s="3"/>
      <c r="L781" s="3"/>
      <c r="M781" s="3"/>
      <c r="N781" s="9" t="n">
        <v>1</v>
      </c>
      <c r="O781" s="4" t="n">
        <v>0</v>
      </c>
      <c r="P781" s="5" t="n">
        <f aca="false">IF(COUNTIF([1]Base_Jugadores!J$2:J$500,B781)&gt;0,1,0)</f>
        <v>0</v>
      </c>
      <c r="Q781" s="10" t="b">
        <f aca="false">--(COUNTIFS(
   [1]Fichajes_Realizados!A$2:A$5000,A781,
   [1]Fichajes_Realizados!G$2:G$5000,$X$3
)&gt;0)</f>
        <v>0</v>
      </c>
      <c r="R781" s="5" t="n">
        <f aca="false">_xlfn.XLOOKUP(C781, [1]Estado_Equipos!A$2:A$500, [1]Estado_Equipos!J$2:J$500, "")</f>
        <v>75</v>
      </c>
      <c r="S781" s="5" t="n">
        <f aca="false">IF(H781&lt;=16,1.45,
IF(H781&gt;=41,0.3,
CHOOSE(ROUNDDOWN((H781-16)/2,0)+1,
1.45,1.38,1.3,1.23,1.17,1.15,1.12,1.05,0.95,0.8,0.6,0.4,0.3)))</f>
        <v>1.12</v>
      </c>
      <c r="T781" s="5" t="n">
        <f aca="false">CHOOSE(N781+1,1.2,1,0.85,0.7)</f>
        <v>1</v>
      </c>
      <c r="U781" s="5" t="n">
        <f aca="false">IF(F781="PO",0.6,
IF(F781="CT",0.75,
IF(F781="LI",0.8,
IF(F781="LD",0.8,
IF(F781="MCD",0.85,
IF(F781="MC",0.95,
IF(F781="MO",1.05,
IF(F781="EI",1.1,
IF(F781="ED",1.1,
IF(F781="SD",1.15,
IF(F781="DC",1.2,0)))))))))))</f>
        <v>1.2</v>
      </c>
    </row>
    <row r="782" customFormat="false" ht="16.4" hidden="false" customHeight="false" outlineLevel="0" collapsed="false">
      <c r="A782" s="1" t="n">
        <v>781</v>
      </c>
      <c r="B782" s="5" t="str">
        <f aca="false">[1]Base_Jugadores!B782</f>
        <v>Daniel James</v>
      </c>
      <c r="C782" s="5" t="str">
        <f aca="false">IFERROR(
   _xlfn.XLOOKUP(VALUE(A782),[1]Fichajes_Realizados!A$2:A$50000,[1]Fichajes_Realizados!D$2:D$50000,,0,-1),
   _xlfn.XLOOKUP(VALUE(A782),[1]Base_Jugadores!A$2:A$50000,[1]Base_Jugadores!C$2:C$50000)
)</f>
        <v>Leeds United</v>
      </c>
      <c r="D782" s="5" t="str">
        <f aca="false">[1]Base_Jugadores!D782</f>
        <v>Gales</v>
      </c>
      <c r="E782" s="3"/>
      <c r="F782" s="5" t="str">
        <f aca="false">[1]Base_Jugadores!E782</f>
        <v>ED</v>
      </c>
      <c r="G782" s="5" t="n">
        <f aca="false">[1]Base_Jugadores!F782</f>
        <v>77</v>
      </c>
      <c r="H782" s="5" t="n">
        <f aca="false">[1]Base_Jugadores!G782</f>
        <v>28</v>
      </c>
      <c r="I782" s="7" t="n">
        <f aca="false" t="array" ref="I782:I782">_xlfn.XLOOKUP(G782,{55;56;57;58;59;60;61;62;63;64;65;66;67;68;69;70;71;72;73;74;75;76;77;78;79;80;81;82;83;84;85;86;87;88;89;90;91;92;93;94;95;96;97;98;99},{100000;130000;160000;190000;220000;250000;300000;350000;400000;450000;500000;600000;700000;800000;900000;1000000;1500000;2000000;3000000;4000000;5000000;6500000;8000000;10000000;12500000;15000000;20000000;25000000;30000000;35000000;40000000;55000000;70000000;80000000;90000000;110000000;130000000;160000000;190000000;220000000;250000000;280000000;310000000;340000000;400000000})</f>
        <v>8000000</v>
      </c>
      <c r="J782" s="7" t="n">
        <f aca="false">I782*S782*T782*U782</f>
        <v>11827200</v>
      </c>
      <c r="K782" s="3"/>
      <c r="L782" s="3"/>
      <c r="M782" s="3"/>
      <c r="N782" s="9" t="n">
        <v>0</v>
      </c>
      <c r="O782" s="4" t="n">
        <v>0</v>
      </c>
      <c r="P782" s="5" t="n">
        <f aca="false">IF(COUNTIF([1]Base_Jugadores!J$2:J$500,B782)&gt;0,1,0)</f>
        <v>0</v>
      </c>
      <c r="Q782" s="10" t="b">
        <f aca="false">--(COUNTIFS(
   [1]Fichajes_Realizados!A$2:A$5000,A782,
   [1]Fichajes_Realizados!G$2:G$5000,$X$3
)&gt;0)</f>
        <v>0</v>
      </c>
      <c r="R782" s="5" t="n">
        <f aca="false">_xlfn.XLOOKUP(C782, [1]Estado_Equipos!A$2:A$500, [1]Estado_Equipos!J$2:J$500, "")</f>
        <v>75</v>
      </c>
      <c r="S782" s="5" t="n">
        <f aca="false">IF(H782&lt;=16,1.45,
IF(H782&gt;=41,0.3,
CHOOSE(ROUNDDOWN((H782-16)/2,0)+1,
1.45,1.38,1.3,1.23,1.17,1.15,1.12,1.05,0.95,0.8,0.6,0.4,0.3)))</f>
        <v>1.12</v>
      </c>
      <c r="T782" s="5" t="n">
        <f aca="false">CHOOSE(N782+1,1.2,1,0.85,0.7)</f>
        <v>1.2</v>
      </c>
      <c r="U782" s="5" t="n">
        <f aca="false">IF(F782="PO",0.6,
IF(F782="CT",0.75,
IF(F782="LI",0.8,
IF(F782="LD",0.8,
IF(F782="MCD",0.85,
IF(F782="MC",0.95,
IF(F782="MO",1.05,
IF(F782="EI",1.1,
IF(F782="ED",1.1,
IF(F782="SD",1.15,
IF(F782="DC",1.2,0)))))))))))</f>
        <v>1.1</v>
      </c>
    </row>
    <row r="783" customFormat="false" ht="16.4" hidden="false" customHeight="false" outlineLevel="0" collapsed="false">
      <c r="A783" s="1" t="n">
        <v>782</v>
      </c>
      <c r="B783" s="5" t="str">
        <f aca="false">[1]Base_Jugadores!B783</f>
        <v>Ethan Ampadu</v>
      </c>
      <c r="C783" s="5" t="str">
        <f aca="false">IFERROR(
   _xlfn.XLOOKUP(VALUE(A783),[1]Fichajes_Realizados!A$2:A$50000,[1]Fichajes_Realizados!D$2:D$50000,,0,-1),
   _xlfn.XLOOKUP(VALUE(A783),[1]Base_Jugadores!A$2:A$50000,[1]Base_Jugadores!C$2:C$50000)
)</f>
        <v>Leeds United</v>
      </c>
      <c r="D783" s="5" t="str">
        <f aca="false">[1]Base_Jugadores!D783</f>
        <v>Gales</v>
      </c>
      <c r="E783" s="3"/>
      <c r="F783" s="5" t="str">
        <f aca="false">[1]Base_Jugadores!E783</f>
        <v>MCD</v>
      </c>
      <c r="G783" s="5" t="n">
        <f aca="false">[1]Base_Jugadores!F783</f>
        <v>76</v>
      </c>
      <c r="H783" s="5" t="n">
        <f aca="false">[1]Base_Jugadores!G783</f>
        <v>25</v>
      </c>
      <c r="I783" s="7" t="n">
        <f aca="false" t="array" ref="I783:I783">_xlfn.XLOOKUP(G783,{55;56;57;58;59;60;61;62;63;64;65;66;67;68;69;70;71;72;73;74;75;76;77;78;79;80;81;82;83;84;85;86;87;88;89;90;91;92;93;94;95;96;97;98;99},{100000;130000;160000;190000;220000;250000;300000;350000;400000;450000;500000;600000;700000;800000;900000;1000000;1500000;2000000;3000000;4000000;5000000;6500000;8000000;10000000;12500000;15000000;20000000;25000000;30000000;35000000;40000000;55000000;70000000;80000000;90000000;110000000;130000000;160000000;190000000;220000000;250000000;280000000;310000000;340000000;400000000})</f>
        <v>6500000</v>
      </c>
      <c r="J783" s="7" t="n">
        <f aca="false">I783*S783*T783*U783</f>
        <v>6464250</v>
      </c>
      <c r="K783" s="3"/>
      <c r="L783" s="3"/>
      <c r="M783" s="3"/>
      <c r="N783" s="9" t="n">
        <v>1</v>
      </c>
      <c r="O783" s="4" t="n">
        <v>0</v>
      </c>
      <c r="P783" s="5" t="n">
        <f aca="false">IF(COUNTIF([1]Base_Jugadores!J$2:J$500,B783)&gt;0,1,0)</f>
        <v>0</v>
      </c>
      <c r="Q783" s="10" t="b">
        <f aca="false">--(COUNTIFS(
   [1]Fichajes_Realizados!A$2:A$5000,A783,
   [1]Fichajes_Realizados!G$2:G$5000,$X$3
)&gt;0)</f>
        <v>0</v>
      </c>
      <c r="R783" s="5" t="n">
        <f aca="false">_xlfn.XLOOKUP(C783, [1]Estado_Equipos!A$2:A$500, [1]Estado_Equipos!J$2:J$500, "")</f>
        <v>75</v>
      </c>
      <c r="S783" s="5" t="n">
        <f aca="false">IF(H783&lt;=16,1.45,
IF(H783&gt;=41,0.3,
CHOOSE(ROUNDDOWN((H783-16)/2,0)+1,
1.45,1.38,1.3,1.23,1.17,1.15,1.12,1.05,0.95,0.8,0.6,0.4,0.3)))</f>
        <v>1.17</v>
      </c>
      <c r="T783" s="5" t="n">
        <f aca="false">CHOOSE(N783+1,1.2,1,0.85,0.7)</f>
        <v>1</v>
      </c>
      <c r="U783" s="5" t="n">
        <f aca="false">IF(F783="PO",0.6,
IF(F783="CT",0.75,
IF(F783="LI",0.8,
IF(F783="LD",0.8,
IF(F783="MCD",0.85,
IF(F783="MC",0.95,
IF(F783="MO",1.05,
IF(F783="EI",1.1,
IF(F783="ED",1.1,
IF(F783="SD",1.15,
IF(F783="DC",1.2,0)))))))))))</f>
        <v>0.85</v>
      </c>
    </row>
    <row r="784" customFormat="false" ht="16.4" hidden="false" customHeight="false" outlineLevel="0" collapsed="false">
      <c r="A784" s="1" t="n">
        <v>783</v>
      </c>
      <c r="B784" s="5" t="str">
        <f aca="false">[1]Base_Jugadores!B784</f>
        <v>G. Gudmundsson</v>
      </c>
      <c r="C784" s="5" t="str">
        <f aca="false">IFERROR(
   _xlfn.XLOOKUP(VALUE(A784),[1]Fichajes_Realizados!A$2:A$50000,[1]Fichajes_Realizados!D$2:D$50000,,0,-1),
   _xlfn.XLOOKUP(VALUE(A784),[1]Base_Jugadores!A$2:A$50000,[1]Base_Jugadores!C$2:C$50000)
)</f>
        <v>Leeds United</v>
      </c>
      <c r="D784" s="5" t="str">
        <f aca="false">[1]Base_Jugadores!D784</f>
        <v>Suecia</v>
      </c>
      <c r="E784" s="3"/>
      <c r="F784" s="5" t="str">
        <f aca="false">[1]Base_Jugadores!E784</f>
        <v>LI</v>
      </c>
      <c r="G784" s="5" t="n">
        <f aca="false">[1]Base_Jugadores!F784</f>
        <v>76</v>
      </c>
      <c r="H784" s="5" t="n">
        <f aca="false">[1]Base_Jugadores!G784</f>
        <v>26</v>
      </c>
      <c r="I784" s="7" t="n">
        <f aca="false" t="array" ref="I784:I784">_xlfn.XLOOKUP(G784,{55;56;57;58;59;60;61;62;63;64;65;66;67;68;69;70;71;72;73;74;75;76;77;78;79;80;81;82;83;84;85;86;87;88;89;90;91;92;93;94;95;96;97;98;99},{100000;130000;160000;190000;220000;250000;300000;350000;400000;450000;500000;600000;700000;800000;900000;1000000;1500000;2000000;3000000;4000000;5000000;6500000;8000000;10000000;12500000;15000000;20000000;25000000;30000000;35000000;40000000;55000000;70000000;80000000;90000000;110000000;130000000;160000000;190000000;220000000;250000000;280000000;310000000;340000000;400000000})</f>
        <v>6500000</v>
      </c>
      <c r="J784" s="7" t="n">
        <f aca="false">I784*S784*T784*U784</f>
        <v>7176000</v>
      </c>
      <c r="K784" s="3"/>
      <c r="L784" s="3"/>
      <c r="M784" s="3"/>
      <c r="N784" s="9" t="n">
        <v>0</v>
      </c>
      <c r="O784" s="4" t="n">
        <v>0</v>
      </c>
      <c r="P784" s="5" t="n">
        <f aca="false">IF(COUNTIF([1]Base_Jugadores!J$2:J$500,B784)&gt;0,1,0)</f>
        <v>0</v>
      </c>
      <c r="Q784" s="10" t="b">
        <f aca="false">--(COUNTIFS(
   [1]Fichajes_Realizados!A$2:A$5000,A784,
   [1]Fichajes_Realizados!G$2:G$5000,$X$3
)&gt;0)</f>
        <v>0</v>
      </c>
      <c r="R784" s="5" t="n">
        <f aca="false">_xlfn.XLOOKUP(C784, [1]Estado_Equipos!A$2:A$500, [1]Estado_Equipos!J$2:J$500, "")</f>
        <v>75</v>
      </c>
      <c r="S784" s="5" t="n">
        <f aca="false">IF(H784&lt;=16,1.45,
IF(H784&gt;=41,0.3,
CHOOSE(ROUNDDOWN((H784-16)/2,0)+1,
1.45,1.38,1.3,1.23,1.17,1.15,1.12,1.05,0.95,0.8,0.6,0.4,0.3)))</f>
        <v>1.15</v>
      </c>
      <c r="T784" s="5" t="n">
        <f aca="false">CHOOSE(N784+1,1.2,1,0.85,0.7)</f>
        <v>1.2</v>
      </c>
      <c r="U784" s="5" t="n">
        <f aca="false">IF(F784="PO",0.6,
IF(F784="CT",0.75,
IF(F784="LI",0.8,
IF(F784="LD",0.8,
IF(F784="MCD",0.85,
IF(F784="MC",0.95,
IF(F784="MO",1.05,
IF(F784="EI",1.1,
IF(F784="ED",1.1,
IF(F784="SD",1.15,
IF(F784="DC",1.2,0)))))))))))</f>
        <v>0.8</v>
      </c>
    </row>
    <row r="785" customFormat="false" ht="16.4" hidden="false" customHeight="false" outlineLevel="0" collapsed="false">
      <c r="A785" s="1" t="n">
        <v>784</v>
      </c>
      <c r="B785" s="5" t="str">
        <f aca="false">[1]Base_Jugadores!B785</f>
        <v>Ilia Gruev</v>
      </c>
      <c r="C785" s="5" t="str">
        <f aca="false">IFERROR(
   _xlfn.XLOOKUP(VALUE(A785),[1]Fichajes_Realizados!A$2:A$50000,[1]Fichajes_Realizados!D$2:D$50000,,0,-1),
   _xlfn.XLOOKUP(VALUE(A785),[1]Base_Jugadores!A$2:A$50000,[1]Base_Jugadores!C$2:C$50000)
)</f>
        <v>Leeds United</v>
      </c>
      <c r="D785" s="5" t="str">
        <f aca="false">[1]Base_Jugadores!D785</f>
        <v>Bulgaria</v>
      </c>
      <c r="E785" s="3"/>
      <c r="F785" s="5" t="str">
        <f aca="false">[1]Base_Jugadores!E785</f>
        <v>MCD</v>
      </c>
      <c r="G785" s="5" t="n">
        <f aca="false">[1]Base_Jugadores!F785</f>
        <v>74</v>
      </c>
      <c r="H785" s="5" t="n">
        <f aca="false">[1]Base_Jugadores!G785</f>
        <v>25</v>
      </c>
      <c r="I785" s="7" t="n">
        <f aca="false" t="array" ref="I785:I785">_xlfn.XLOOKUP(G785,{55;56;57;58;59;60;61;62;63;64;65;66;67;68;69;70;71;72;73;74;75;76;77;78;79;80;81;82;83;84;85;86;87;88;89;90;91;92;93;94;95;96;97;98;99},{100000;130000;160000;190000;220000;250000;300000;350000;400000;450000;500000;600000;700000;800000;900000;1000000;1500000;2000000;3000000;4000000;5000000;6500000;8000000;10000000;12500000;15000000;20000000;25000000;30000000;35000000;40000000;55000000;70000000;80000000;90000000;110000000;130000000;160000000;190000000;220000000;250000000;280000000;310000000;340000000;400000000})</f>
        <v>4000000</v>
      </c>
      <c r="J785" s="7" t="n">
        <f aca="false">I785*S785*T785*U785</f>
        <v>3381300</v>
      </c>
      <c r="K785" s="3"/>
      <c r="L785" s="3"/>
      <c r="M785" s="3"/>
      <c r="N785" s="9" t="n">
        <v>2</v>
      </c>
      <c r="O785" s="4" t="n">
        <v>0</v>
      </c>
      <c r="P785" s="5" t="n">
        <f aca="false">IF(COUNTIF([1]Base_Jugadores!J$2:J$500,B785)&gt;0,1,0)</f>
        <v>0</v>
      </c>
      <c r="Q785" s="10" t="b">
        <f aca="false">--(COUNTIFS(
   [1]Fichajes_Realizados!A$2:A$5000,A785,
   [1]Fichajes_Realizados!G$2:G$5000,$X$3
)&gt;0)</f>
        <v>0</v>
      </c>
      <c r="R785" s="5" t="n">
        <f aca="false">_xlfn.XLOOKUP(C785, [1]Estado_Equipos!A$2:A$500, [1]Estado_Equipos!J$2:J$500, "")</f>
        <v>75</v>
      </c>
      <c r="S785" s="5" t="n">
        <f aca="false">IF(H785&lt;=16,1.45,
IF(H785&gt;=41,0.3,
CHOOSE(ROUNDDOWN((H785-16)/2,0)+1,
1.45,1.38,1.3,1.23,1.17,1.15,1.12,1.05,0.95,0.8,0.6,0.4,0.3)))</f>
        <v>1.17</v>
      </c>
      <c r="T785" s="5" t="n">
        <f aca="false">CHOOSE(N785+1,1.2,1,0.85,0.7)</f>
        <v>0.85</v>
      </c>
      <c r="U785" s="5" t="n">
        <f aca="false">IF(F785="PO",0.6,
IF(F785="CT",0.75,
IF(F785="LI",0.8,
IF(F785="LD",0.8,
IF(F785="MCD",0.85,
IF(F785="MC",0.95,
IF(F785="MO",1.05,
IF(F785="EI",1.1,
IF(F785="ED",1.1,
IF(F785="SD",1.15,
IF(F785="DC",1.2,0)))))))))))</f>
        <v>0.85</v>
      </c>
    </row>
    <row r="786" customFormat="false" ht="16.4" hidden="false" customHeight="false" outlineLevel="0" collapsed="false">
      <c r="A786" s="1" t="n">
        <v>785</v>
      </c>
      <c r="B786" s="5" t="str">
        <f aca="false">[1]Base_Jugadores!B786</f>
        <v>Illan Meslier</v>
      </c>
      <c r="C786" s="5" t="str">
        <f aca="false">IFERROR(
   _xlfn.XLOOKUP(VALUE(A786),[1]Fichajes_Realizados!A$2:A$50000,[1]Fichajes_Realizados!D$2:D$50000,,0,-1),
   _xlfn.XLOOKUP(VALUE(A786),[1]Base_Jugadores!A$2:A$50000,[1]Base_Jugadores!C$2:C$50000)
)</f>
        <v>Leeds United</v>
      </c>
      <c r="D786" s="5" t="str">
        <f aca="false">[1]Base_Jugadores!D786</f>
        <v>Francia</v>
      </c>
      <c r="E786" s="3"/>
      <c r="F786" s="5" t="str">
        <f aca="false">[1]Base_Jugadores!E786</f>
        <v>PO</v>
      </c>
      <c r="G786" s="5" t="n">
        <f aca="false">[1]Base_Jugadores!F786</f>
        <v>73</v>
      </c>
      <c r="H786" s="5" t="n">
        <f aca="false">[1]Base_Jugadores!G786</f>
        <v>25</v>
      </c>
      <c r="I786" s="7" t="n">
        <f aca="false" t="array" ref="I786:I786">_xlfn.XLOOKUP(G786,{55;56;57;58;59;60;61;62;63;64;65;66;67;68;69;70;71;72;73;74;75;76;77;78;79;80;81;82;83;84;85;86;87;88;89;90;91;92;93;94;95;96;97;98;99},{100000;130000;160000;190000;220000;250000;300000;350000;400000;450000;500000;600000;700000;800000;900000;1000000;1500000;2000000;3000000;4000000;5000000;6500000;8000000;10000000;12500000;15000000;20000000;25000000;30000000;35000000;40000000;55000000;70000000;80000000;90000000;110000000;130000000;160000000;190000000;220000000;250000000;280000000;310000000;340000000;400000000})</f>
        <v>3000000</v>
      </c>
      <c r="J786" s="7" t="n">
        <f aca="false">I786*S786*T786*U786</f>
        <v>1790100</v>
      </c>
      <c r="K786" s="3"/>
      <c r="L786" s="3"/>
      <c r="M786" s="3"/>
      <c r="N786" s="9" t="n">
        <v>2</v>
      </c>
      <c r="O786" s="4" t="n">
        <v>0</v>
      </c>
      <c r="P786" s="5" t="n">
        <f aca="false">IF(COUNTIF([1]Base_Jugadores!J$2:J$500,B786)&gt;0,1,0)</f>
        <v>0</v>
      </c>
      <c r="Q786" s="10" t="b">
        <f aca="false">--(COUNTIFS(
   [1]Fichajes_Realizados!A$2:A$5000,A786,
   [1]Fichajes_Realizados!G$2:G$5000,$X$3
)&gt;0)</f>
        <v>0</v>
      </c>
      <c r="R786" s="5" t="n">
        <f aca="false">_xlfn.XLOOKUP(C786, [1]Estado_Equipos!A$2:A$500, [1]Estado_Equipos!J$2:J$500, "")</f>
        <v>75</v>
      </c>
      <c r="S786" s="5" t="n">
        <f aca="false">IF(H786&lt;=16,1.45,
IF(H786&gt;=41,0.3,
CHOOSE(ROUNDDOWN((H786-16)/2,0)+1,
1.45,1.38,1.3,1.23,1.17,1.15,1.12,1.05,0.95,0.8,0.6,0.4,0.3)))</f>
        <v>1.17</v>
      </c>
      <c r="T786" s="5" t="n">
        <f aca="false">CHOOSE(N786+1,1.2,1,0.85,0.7)</f>
        <v>0.85</v>
      </c>
      <c r="U786" s="5" t="n">
        <f aca="false">IF(F786="PO",0.6,
IF(F786="CT",0.75,
IF(F786="LI",0.8,
IF(F786="LD",0.8,
IF(F786="MCD",0.85,
IF(F786="MC",0.95,
IF(F786="MO",1.05,
IF(F786="EI",1.1,
IF(F786="ED",1.1,
IF(F786="SD",1.15,
IF(F786="DC",1.2,0)))))))))))</f>
        <v>0.6</v>
      </c>
    </row>
    <row r="787" customFormat="false" ht="16.4" hidden="false" customHeight="false" outlineLevel="0" collapsed="false">
      <c r="A787" s="1" t="n">
        <v>786</v>
      </c>
      <c r="B787" s="5" t="str">
        <f aca="false">[1]Base_Jugadores!B787</f>
        <v>Jack Harrison</v>
      </c>
      <c r="C787" s="5" t="str">
        <f aca="false">IFERROR(
   _xlfn.XLOOKUP(VALUE(A787),[1]Fichajes_Realizados!A$2:A$50000,[1]Fichajes_Realizados!D$2:D$50000,,0,-1),
   _xlfn.XLOOKUP(VALUE(A787),[1]Base_Jugadores!A$2:A$50000,[1]Base_Jugadores!C$2:C$50000)
)</f>
        <v>Leeds United</v>
      </c>
      <c r="D787" s="5" t="str">
        <f aca="false">[1]Base_Jugadores!D787</f>
        <v>Inglaterra</v>
      </c>
      <c r="E787" s="3"/>
      <c r="F787" s="5" t="str">
        <f aca="false">[1]Base_Jugadores!E787</f>
        <v>EI</v>
      </c>
      <c r="G787" s="5" t="n">
        <f aca="false">[1]Base_Jugadores!F787</f>
        <v>76</v>
      </c>
      <c r="H787" s="5" t="n">
        <f aca="false">[1]Base_Jugadores!G787</f>
        <v>29</v>
      </c>
      <c r="I787" s="7" t="n">
        <f aca="false" t="array" ref="I787:I787">_xlfn.XLOOKUP(G787,{55;56;57;58;59;60;61;62;63;64;65;66;67;68;69;70;71;72;73;74;75;76;77;78;79;80;81;82;83;84;85;86;87;88;89;90;91;92;93;94;95;96;97;98;99},{100000;130000;160000;190000;220000;250000;300000;350000;400000;450000;500000;600000;700000;800000;900000;1000000;1500000;2000000;3000000;4000000;5000000;6500000;8000000;10000000;12500000;15000000;20000000;25000000;30000000;35000000;40000000;55000000;70000000;80000000;90000000;110000000;130000000;160000000;190000000;220000000;250000000;280000000;310000000;340000000;400000000})</f>
        <v>6500000</v>
      </c>
      <c r="J787" s="7" t="n">
        <f aca="false">I787*S787*T787*U787</f>
        <v>8008000</v>
      </c>
      <c r="K787" s="3"/>
      <c r="L787" s="3"/>
      <c r="M787" s="3"/>
      <c r="N787" s="9" t="n">
        <v>1</v>
      </c>
      <c r="O787" s="4" t="n">
        <v>0</v>
      </c>
      <c r="P787" s="5" t="n">
        <f aca="false">IF(COUNTIF([1]Base_Jugadores!J$2:J$500,B787)&gt;0,1,0)</f>
        <v>0</v>
      </c>
      <c r="Q787" s="10" t="b">
        <f aca="false">--(COUNTIFS(
   [1]Fichajes_Realizados!A$2:A$5000,A787,
   [1]Fichajes_Realizados!G$2:G$5000,$X$3
)&gt;0)</f>
        <v>0</v>
      </c>
      <c r="R787" s="5" t="n">
        <f aca="false">_xlfn.XLOOKUP(C787, [1]Estado_Equipos!A$2:A$500, [1]Estado_Equipos!J$2:J$500, "")</f>
        <v>75</v>
      </c>
      <c r="S787" s="5" t="n">
        <f aca="false">IF(H787&lt;=16,1.45,
IF(H787&gt;=41,0.3,
CHOOSE(ROUNDDOWN((H787-16)/2,0)+1,
1.45,1.38,1.3,1.23,1.17,1.15,1.12,1.05,0.95,0.8,0.6,0.4,0.3)))</f>
        <v>1.12</v>
      </c>
      <c r="T787" s="5" t="n">
        <f aca="false">CHOOSE(N787+1,1.2,1,0.85,0.7)</f>
        <v>1</v>
      </c>
      <c r="U787" s="5" t="n">
        <f aca="false">IF(F787="PO",0.6,
IF(F787="CT",0.75,
IF(F787="LI",0.8,
IF(F787="LD",0.8,
IF(F787="MCD",0.85,
IF(F787="MC",0.95,
IF(F787="MO",1.05,
IF(F787="EI",1.1,
IF(F787="ED",1.1,
IF(F787="SD",1.15,
IF(F787="DC",1.2,0)))))))))))</f>
        <v>1.1</v>
      </c>
    </row>
    <row r="788" customFormat="false" ht="16.4" hidden="false" customHeight="false" outlineLevel="0" collapsed="false">
      <c r="A788" s="1" t="n">
        <v>787</v>
      </c>
      <c r="B788" s="5" t="str">
        <f aca="false">[1]Base_Jugadores!B788</f>
        <v>Jaka Bijol</v>
      </c>
      <c r="C788" s="5" t="str">
        <f aca="false">IFERROR(
   _xlfn.XLOOKUP(VALUE(A788),[1]Fichajes_Realizados!A$2:A$50000,[1]Fichajes_Realizados!D$2:D$50000,,0,-1),
   _xlfn.XLOOKUP(VALUE(A788),[1]Base_Jugadores!A$2:A$50000,[1]Base_Jugadores!C$2:C$50000)
)</f>
        <v>Leeds United</v>
      </c>
      <c r="D788" s="5" t="str">
        <f aca="false">[1]Base_Jugadores!D788</f>
        <v>Eslovenia</v>
      </c>
      <c r="E788" s="3"/>
      <c r="F788" s="5" t="str">
        <f aca="false">[1]Base_Jugadores!E788</f>
        <v>CT</v>
      </c>
      <c r="G788" s="5" t="n">
        <f aca="false">[1]Base_Jugadores!F788</f>
        <v>76</v>
      </c>
      <c r="H788" s="5" t="n">
        <f aca="false">[1]Base_Jugadores!G788</f>
        <v>26</v>
      </c>
      <c r="I788" s="7" t="n">
        <f aca="false" t="array" ref="I788:I788">_xlfn.XLOOKUP(G788,{55;56;57;58;59;60;61;62;63;64;65;66;67;68;69;70;71;72;73;74;75;76;77;78;79;80;81;82;83;84;85;86;87;88;89;90;91;92;93;94;95;96;97;98;99},{100000;130000;160000;190000;220000;250000;300000;350000;400000;450000;500000;600000;700000;800000;900000;1000000;1500000;2000000;3000000;4000000;5000000;6500000;8000000;10000000;12500000;15000000;20000000;25000000;30000000;35000000;40000000;55000000;70000000;80000000;90000000;110000000;130000000;160000000;190000000;220000000;250000000;280000000;310000000;340000000;400000000})</f>
        <v>6500000</v>
      </c>
      <c r="J788" s="7" t="n">
        <f aca="false">I788*S788*T788*U788</f>
        <v>6727500</v>
      </c>
      <c r="K788" s="3"/>
      <c r="L788" s="3"/>
      <c r="M788" s="3"/>
      <c r="N788" s="9" t="n">
        <v>0</v>
      </c>
      <c r="O788" s="4" t="n">
        <v>0</v>
      </c>
      <c r="P788" s="5" t="n">
        <f aca="false">IF(COUNTIF([1]Base_Jugadores!J$2:J$500,B788)&gt;0,1,0)</f>
        <v>0</v>
      </c>
      <c r="Q788" s="10" t="b">
        <f aca="false">--(COUNTIFS(
   [1]Fichajes_Realizados!A$2:A$5000,A788,
   [1]Fichajes_Realizados!G$2:G$5000,$X$3
)&gt;0)</f>
        <v>0</v>
      </c>
      <c r="R788" s="5" t="n">
        <f aca="false">_xlfn.XLOOKUP(C788, [1]Estado_Equipos!A$2:A$500, [1]Estado_Equipos!J$2:J$500, "")</f>
        <v>75</v>
      </c>
      <c r="S788" s="5" t="n">
        <f aca="false">IF(H788&lt;=16,1.45,
IF(H788&gt;=41,0.3,
CHOOSE(ROUNDDOWN((H788-16)/2,0)+1,
1.45,1.38,1.3,1.23,1.17,1.15,1.12,1.05,0.95,0.8,0.6,0.4,0.3)))</f>
        <v>1.15</v>
      </c>
      <c r="T788" s="5" t="n">
        <f aca="false">CHOOSE(N788+1,1.2,1,0.85,0.7)</f>
        <v>1.2</v>
      </c>
      <c r="U788" s="5" t="n">
        <f aca="false">IF(F788="PO",0.6,
IF(F788="CT",0.75,
IF(F788="LI",0.8,
IF(F788="LD",0.8,
IF(F788="MCD",0.85,
IF(F788="MC",0.95,
IF(F788="MO",1.05,
IF(F788="EI",1.1,
IF(F788="ED",1.1,
IF(F788="SD",1.15,
IF(F788="DC",1.2,0)))))))))))</f>
        <v>0.75</v>
      </c>
    </row>
    <row r="789" customFormat="false" ht="16.4" hidden="false" customHeight="false" outlineLevel="0" collapsed="false">
      <c r="A789" s="1" t="n">
        <v>788</v>
      </c>
      <c r="B789" s="5" t="str">
        <f aca="false">[1]Base_Jugadores!B789</f>
        <v>James Justin</v>
      </c>
      <c r="C789" s="5" t="str">
        <f aca="false">IFERROR(
   _xlfn.XLOOKUP(VALUE(A789),[1]Fichajes_Realizados!A$2:A$50000,[1]Fichajes_Realizados!D$2:D$50000,,0,-1),
   _xlfn.XLOOKUP(VALUE(A789),[1]Base_Jugadores!A$2:A$50000,[1]Base_Jugadores!C$2:C$50000)
)</f>
        <v>Leeds United</v>
      </c>
      <c r="D789" s="5" t="str">
        <f aca="false">[1]Base_Jugadores!D789</f>
        <v>Inglaterra</v>
      </c>
      <c r="E789" s="3"/>
      <c r="F789" s="5" t="str">
        <f aca="false">[1]Base_Jugadores!E789</f>
        <v>LD</v>
      </c>
      <c r="G789" s="5" t="n">
        <f aca="false">[1]Base_Jugadores!F789</f>
        <v>77</v>
      </c>
      <c r="H789" s="5" t="n">
        <f aca="false">[1]Base_Jugadores!G789</f>
        <v>27</v>
      </c>
      <c r="I789" s="7" t="n">
        <f aca="false" t="array" ref="I789:I789">_xlfn.XLOOKUP(G789,{55;56;57;58;59;60;61;62;63;64;65;66;67;68;69;70;71;72;73;74;75;76;77;78;79;80;81;82;83;84;85;86;87;88;89;90;91;92;93;94;95;96;97;98;99},{100000;130000;160000;190000;220000;250000;300000;350000;400000;450000;500000;600000;700000;800000;900000;1000000;1500000;2000000;3000000;4000000;5000000;6500000;8000000;10000000;12500000;15000000;20000000;25000000;30000000;35000000;40000000;55000000;70000000;80000000;90000000;110000000;130000000;160000000;190000000;220000000;250000000;280000000;310000000;340000000;400000000})</f>
        <v>8000000</v>
      </c>
      <c r="J789" s="7" t="n">
        <f aca="false">I789*S789*T789*U789</f>
        <v>8832000</v>
      </c>
      <c r="K789" s="3"/>
      <c r="L789" s="3"/>
      <c r="M789" s="3"/>
      <c r="N789" s="9" t="n">
        <v>0</v>
      </c>
      <c r="O789" s="4" t="n">
        <v>0</v>
      </c>
      <c r="P789" s="5" t="n">
        <f aca="false">IF(COUNTIF([1]Base_Jugadores!J$2:J$500,B789)&gt;0,1,0)</f>
        <v>0</v>
      </c>
      <c r="Q789" s="10" t="b">
        <f aca="false">--(COUNTIFS(
   [1]Fichajes_Realizados!A$2:A$5000,A789,
   [1]Fichajes_Realizados!G$2:G$5000,$X$3
)&gt;0)</f>
        <v>0</v>
      </c>
      <c r="R789" s="5" t="n">
        <f aca="false">_xlfn.XLOOKUP(C789, [1]Estado_Equipos!A$2:A$500, [1]Estado_Equipos!J$2:J$500, "")</f>
        <v>75</v>
      </c>
      <c r="S789" s="5" t="n">
        <f aca="false">IF(H789&lt;=16,1.45,
IF(H789&gt;=41,0.3,
CHOOSE(ROUNDDOWN((H789-16)/2,0)+1,
1.45,1.38,1.3,1.23,1.17,1.15,1.12,1.05,0.95,0.8,0.6,0.4,0.3)))</f>
        <v>1.15</v>
      </c>
      <c r="T789" s="5" t="n">
        <f aca="false">CHOOSE(N789+1,1.2,1,0.85,0.7)</f>
        <v>1.2</v>
      </c>
      <c r="U789" s="5" t="n">
        <f aca="false">IF(F789="PO",0.6,
IF(F789="CT",0.75,
IF(F789="LI",0.8,
IF(F789="LD",0.8,
IF(F789="MCD",0.85,
IF(F789="MC",0.95,
IF(F789="MO",1.05,
IF(F789="EI",1.1,
IF(F789="ED",1.1,
IF(F789="SD",1.15,
IF(F789="DC",1.2,0)))))))))))</f>
        <v>0.8</v>
      </c>
    </row>
    <row r="790" customFormat="false" ht="16.4" hidden="false" customHeight="false" outlineLevel="0" collapsed="false">
      <c r="A790" s="1" t="n">
        <v>789</v>
      </c>
      <c r="B790" s="5" t="str">
        <f aca="false">[1]Base_Jugadores!B790</f>
        <v>Jayden Bogle</v>
      </c>
      <c r="C790" s="5" t="str">
        <f aca="false">IFERROR(
   _xlfn.XLOOKUP(VALUE(A790),[1]Fichajes_Realizados!A$2:A$50000,[1]Fichajes_Realizados!D$2:D$50000,,0,-1),
   _xlfn.XLOOKUP(VALUE(A790),[1]Base_Jugadores!A$2:A$50000,[1]Base_Jugadores!C$2:C$50000)
)</f>
        <v>Leeds United</v>
      </c>
      <c r="D790" s="5" t="str">
        <f aca="false">[1]Base_Jugadores!D790</f>
        <v>Inglaterra</v>
      </c>
      <c r="E790" s="3"/>
      <c r="F790" s="5" t="str">
        <f aca="false">[1]Base_Jugadores!E790</f>
        <v>LD</v>
      </c>
      <c r="G790" s="5" t="n">
        <f aca="false">[1]Base_Jugadores!F790</f>
        <v>75</v>
      </c>
      <c r="H790" s="5" t="n">
        <f aca="false">[1]Base_Jugadores!G790</f>
        <v>25</v>
      </c>
      <c r="I790" s="7" t="n">
        <f aca="false" t="array" ref="I790:I790">_xlfn.XLOOKUP(G790,{55;56;57;58;59;60;61;62;63;64;65;66;67;68;69;70;71;72;73;74;75;76;77;78;79;80;81;82;83;84;85;86;87;88;89;90;91;92;93;94;95;96;97;98;99},{100000;130000;160000;190000;220000;250000;300000;350000;400000;450000;500000;600000;700000;800000;900000;1000000;1500000;2000000;3000000;4000000;5000000;6500000;8000000;10000000;12500000;15000000;20000000;25000000;30000000;35000000;40000000;55000000;70000000;80000000;90000000;110000000;130000000;160000000;190000000;220000000;250000000;280000000;310000000;340000000;400000000})</f>
        <v>5000000</v>
      </c>
      <c r="J790" s="7" t="n">
        <f aca="false">I790*S790*T790*U790</f>
        <v>3978000</v>
      </c>
      <c r="K790" s="3"/>
      <c r="L790" s="3"/>
      <c r="M790" s="3"/>
      <c r="N790" s="9" t="n">
        <v>2</v>
      </c>
      <c r="O790" s="4" t="n">
        <v>0</v>
      </c>
      <c r="P790" s="5" t="n">
        <f aca="false">IF(COUNTIF([1]Base_Jugadores!J$2:J$500,B790)&gt;0,1,0)</f>
        <v>0</v>
      </c>
      <c r="Q790" s="10" t="b">
        <f aca="false">--(COUNTIFS(
   [1]Fichajes_Realizados!A$2:A$5000,A790,
   [1]Fichajes_Realizados!G$2:G$5000,$X$3
)&gt;0)</f>
        <v>0</v>
      </c>
      <c r="R790" s="5" t="n">
        <f aca="false">_xlfn.XLOOKUP(C790, [1]Estado_Equipos!A$2:A$500, [1]Estado_Equipos!J$2:J$500, "")</f>
        <v>75</v>
      </c>
      <c r="S790" s="5" t="n">
        <f aca="false">IF(H790&lt;=16,1.45,
IF(H790&gt;=41,0.3,
CHOOSE(ROUNDDOWN((H790-16)/2,0)+1,
1.45,1.38,1.3,1.23,1.17,1.15,1.12,1.05,0.95,0.8,0.6,0.4,0.3)))</f>
        <v>1.17</v>
      </c>
      <c r="T790" s="5" t="n">
        <f aca="false">CHOOSE(N790+1,1.2,1,0.85,0.7)</f>
        <v>0.85</v>
      </c>
      <c r="U790" s="5" t="n">
        <f aca="false">IF(F790="PO",0.6,
IF(F790="CT",0.75,
IF(F790="LI",0.8,
IF(F790="LD",0.8,
IF(F790="MCD",0.85,
IF(F790="MC",0.95,
IF(F790="MO",1.05,
IF(F790="EI",1.1,
IF(F790="ED",1.1,
IF(F790="SD",1.15,
IF(F790="DC",1.2,0)))))))))))</f>
        <v>0.8</v>
      </c>
    </row>
    <row r="791" customFormat="false" ht="16.4" hidden="false" customHeight="false" outlineLevel="0" collapsed="false">
      <c r="A791" s="1" t="n">
        <v>790</v>
      </c>
      <c r="B791" s="5" t="str">
        <f aca="false">[1]Base_Jugadores!B791</f>
        <v>Joe Rodon</v>
      </c>
      <c r="C791" s="5" t="str">
        <f aca="false">IFERROR(
   _xlfn.XLOOKUP(VALUE(A791),[1]Fichajes_Realizados!A$2:A$50000,[1]Fichajes_Realizados!D$2:D$50000,,0,-1),
   _xlfn.XLOOKUP(VALUE(A791),[1]Base_Jugadores!A$2:A$50000,[1]Base_Jugadores!C$2:C$50000)
)</f>
        <v>Leeds United</v>
      </c>
      <c r="D791" s="5" t="str">
        <f aca="false">[1]Base_Jugadores!D791</f>
        <v>Gales</v>
      </c>
      <c r="E791" s="3"/>
      <c r="F791" s="5" t="str">
        <f aca="false">[1]Base_Jugadores!E791</f>
        <v>CT</v>
      </c>
      <c r="G791" s="5" t="n">
        <f aca="false">[1]Base_Jugadores!F791</f>
        <v>76</v>
      </c>
      <c r="H791" s="5" t="n">
        <f aca="false">[1]Base_Jugadores!G791</f>
        <v>28</v>
      </c>
      <c r="I791" s="7" t="n">
        <f aca="false" t="array" ref="I791:I791">_xlfn.XLOOKUP(G791,{55;56;57;58;59;60;61;62;63;64;65;66;67;68;69;70;71;72;73;74;75;76;77;78;79;80;81;82;83;84;85;86;87;88;89;90;91;92;93;94;95;96;97;98;99},{100000;130000;160000;190000;220000;250000;300000;350000;400000;450000;500000;600000;700000;800000;900000;1000000;1500000;2000000;3000000;4000000;5000000;6500000;8000000;10000000;12500000;15000000;20000000;25000000;30000000;35000000;40000000;55000000;70000000;80000000;90000000;110000000;130000000;160000000;190000000;220000000;250000000;280000000;310000000;340000000;400000000})</f>
        <v>6500000</v>
      </c>
      <c r="J791" s="7" t="n">
        <f aca="false">I791*S791*T791*U791</f>
        <v>6552000</v>
      </c>
      <c r="K791" s="3"/>
      <c r="L791" s="3"/>
      <c r="M791" s="3"/>
      <c r="N791" s="9" t="n">
        <v>0</v>
      </c>
      <c r="O791" s="4" t="n">
        <v>0</v>
      </c>
      <c r="P791" s="5" t="n">
        <f aca="false">IF(COUNTIF([1]Base_Jugadores!J$2:J$500,B791)&gt;0,1,0)</f>
        <v>0</v>
      </c>
      <c r="Q791" s="10" t="b">
        <f aca="false">--(COUNTIFS(
   [1]Fichajes_Realizados!A$2:A$5000,A791,
   [1]Fichajes_Realizados!G$2:G$5000,$X$3
)&gt;0)</f>
        <v>0</v>
      </c>
      <c r="R791" s="5" t="n">
        <f aca="false">_xlfn.XLOOKUP(C791, [1]Estado_Equipos!A$2:A$500, [1]Estado_Equipos!J$2:J$500, "")</f>
        <v>75</v>
      </c>
      <c r="S791" s="5" t="n">
        <f aca="false">IF(H791&lt;=16,1.45,
IF(H791&gt;=41,0.3,
CHOOSE(ROUNDDOWN((H791-16)/2,0)+1,
1.45,1.38,1.3,1.23,1.17,1.15,1.12,1.05,0.95,0.8,0.6,0.4,0.3)))</f>
        <v>1.12</v>
      </c>
      <c r="T791" s="5" t="n">
        <f aca="false">CHOOSE(N791+1,1.2,1,0.85,0.7)</f>
        <v>1.2</v>
      </c>
      <c r="U791" s="5" t="n">
        <f aca="false">IF(F791="PO",0.6,
IF(F791="CT",0.75,
IF(F791="LI",0.8,
IF(F791="LD",0.8,
IF(F791="MCD",0.85,
IF(F791="MC",0.95,
IF(F791="MO",1.05,
IF(F791="EI",1.1,
IF(F791="ED",1.1,
IF(F791="SD",1.15,
IF(F791="DC",1.2,0)))))))))))</f>
        <v>0.75</v>
      </c>
    </row>
    <row r="792" customFormat="false" ht="16.4" hidden="false" customHeight="false" outlineLevel="0" collapsed="false">
      <c r="A792" s="1" t="n">
        <v>791</v>
      </c>
      <c r="B792" s="5" t="str">
        <f aca="false">[1]Base_Jugadores!B792</f>
        <v>Joël Piroe</v>
      </c>
      <c r="C792" s="5" t="str">
        <f aca="false">IFERROR(
   _xlfn.XLOOKUP(VALUE(A792),[1]Fichajes_Realizados!A$2:A$50000,[1]Fichajes_Realizados!D$2:D$50000,,0,-1),
   _xlfn.XLOOKUP(VALUE(A792),[1]Base_Jugadores!A$2:A$50000,[1]Base_Jugadores!C$2:C$50000)
)</f>
        <v>Leeds United</v>
      </c>
      <c r="D792" s="5" t="str">
        <f aca="false">[1]Base_Jugadores!D792</f>
        <v>Surinam</v>
      </c>
      <c r="E792" s="3"/>
      <c r="F792" s="5" t="str">
        <f aca="false">[1]Base_Jugadores!E792</f>
        <v>DC</v>
      </c>
      <c r="G792" s="5" t="n">
        <f aca="false">[1]Base_Jugadores!F792</f>
        <v>75</v>
      </c>
      <c r="H792" s="5" t="n">
        <f aca="false">[1]Base_Jugadores!G792</f>
        <v>26</v>
      </c>
      <c r="I792" s="7" t="n">
        <f aca="false" t="array" ref="I792:I792">_xlfn.XLOOKUP(G792,{55;56;57;58;59;60;61;62;63;64;65;66;67;68;69;70;71;72;73;74;75;76;77;78;79;80;81;82;83;84;85;86;87;88;89;90;91;92;93;94;95;96;97;98;99},{100000;130000;160000;190000;220000;250000;300000;350000;400000;450000;500000;600000;700000;800000;900000;1000000;1500000;2000000;3000000;4000000;5000000;6500000;8000000;10000000;12500000;15000000;20000000;25000000;30000000;35000000;40000000;55000000;70000000;80000000;90000000;110000000;130000000;160000000;190000000;220000000;250000000;280000000;310000000;340000000;400000000})</f>
        <v>5000000</v>
      </c>
      <c r="J792" s="7" t="n">
        <f aca="false">I792*S792*T792*U792</f>
        <v>6900000</v>
      </c>
      <c r="K792" s="3"/>
      <c r="L792" s="3"/>
      <c r="M792" s="3"/>
      <c r="N792" s="9" t="n">
        <v>1</v>
      </c>
      <c r="O792" s="4" t="n">
        <v>0</v>
      </c>
      <c r="P792" s="5" t="n">
        <f aca="false">IF(COUNTIF([1]Base_Jugadores!J$2:J$500,B792)&gt;0,1,0)</f>
        <v>0</v>
      </c>
      <c r="Q792" s="10" t="b">
        <f aca="false">--(COUNTIFS(
   [1]Fichajes_Realizados!A$2:A$5000,A792,
   [1]Fichajes_Realizados!G$2:G$5000,$X$3
)&gt;0)</f>
        <v>0</v>
      </c>
      <c r="R792" s="5" t="n">
        <f aca="false">_xlfn.XLOOKUP(C792, [1]Estado_Equipos!A$2:A$500, [1]Estado_Equipos!J$2:J$500, "")</f>
        <v>75</v>
      </c>
      <c r="S792" s="5" t="n">
        <f aca="false">IF(H792&lt;=16,1.45,
IF(H792&gt;=41,0.3,
CHOOSE(ROUNDDOWN((H792-16)/2,0)+1,
1.45,1.38,1.3,1.23,1.17,1.15,1.12,1.05,0.95,0.8,0.6,0.4,0.3)))</f>
        <v>1.15</v>
      </c>
      <c r="T792" s="5" t="n">
        <f aca="false">CHOOSE(N792+1,1.2,1,0.85,0.7)</f>
        <v>1</v>
      </c>
      <c r="U792" s="5" t="n">
        <f aca="false">IF(F792="PO",0.6,
IF(F792="CT",0.75,
IF(F792="LI",0.8,
IF(F792="LD",0.8,
IF(F792="MCD",0.85,
IF(F792="MC",0.95,
IF(F792="MO",1.05,
IF(F792="EI",1.1,
IF(F792="ED",1.1,
IF(F792="SD",1.15,
IF(F792="DC",1.2,0)))))))))))</f>
        <v>1.2</v>
      </c>
    </row>
    <row r="793" customFormat="false" ht="16.4" hidden="false" customHeight="false" outlineLevel="0" collapsed="false">
      <c r="A793" s="1" t="n">
        <v>792</v>
      </c>
      <c r="B793" s="5" t="str">
        <f aca="false">[1]Base_Jugadores!B793</f>
        <v>Karl Darlow</v>
      </c>
      <c r="C793" s="5" t="str">
        <f aca="false">IFERROR(
   _xlfn.XLOOKUP(VALUE(A793),[1]Fichajes_Realizados!A$2:A$50000,[1]Fichajes_Realizados!D$2:D$50000,,0,-1),
   _xlfn.XLOOKUP(VALUE(A793),[1]Base_Jugadores!A$2:A$50000,[1]Base_Jugadores!C$2:C$50000)
)</f>
        <v>Leeds United</v>
      </c>
      <c r="D793" s="5" t="str">
        <f aca="false">[1]Base_Jugadores!D793</f>
        <v>Gales</v>
      </c>
      <c r="E793" s="3"/>
      <c r="F793" s="5" t="str">
        <f aca="false">[1]Base_Jugadores!E793</f>
        <v>PO</v>
      </c>
      <c r="G793" s="5" t="n">
        <f aca="false">[1]Base_Jugadores!F793</f>
        <v>73</v>
      </c>
      <c r="H793" s="5" t="n">
        <f aca="false">[1]Base_Jugadores!G793</f>
        <v>35</v>
      </c>
      <c r="I793" s="7" t="n">
        <f aca="false" t="array" ref="I793:I793">_xlfn.XLOOKUP(G793,{55;56;57;58;59;60;61;62;63;64;65;66;67;68;69;70;71;72;73;74;75;76;77;78;79;80;81;82;83;84;85;86;87;88;89;90;91;92;93;94;95;96;97;98;99},{100000;130000;160000;190000;220000;250000;300000;350000;400000;450000;500000;600000;700000;800000;900000;1000000;1500000;2000000;3000000;4000000;5000000;6500000;8000000;10000000;12500000;15000000;20000000;25000000;30000000;35000000;40000000;55000000;70000000;80000000;90000000;110000000;130000000;160000000;190000000;220000000;250000000;280000000;310000000;340000000;400000000})</f>
        <v>3000000</v>
      </c>
      <c r="J793" s="7" t="n">
        <f aca="false">I793*S793*T793*U793</f>
        <v>1224000</v>
      </c>
      <c r="K793" s="3"/>
      <c r="L793" s="3"/>
      <c r="M793" s="3"/>
      <c r="N793" s="9" t="n">
        <v>2</v>
      </c>
      <c r="O793" s="4" t="n">
        <v>0</v>
      </c>
      <c r="P793" s="5" t="n">
        <f aca="false">IF(COUNTIF([1]Base_Jugadores!J$2:J$500,B793)&gt;0,1,0)</f>
        <v>0</v>
      </c>
      <c r="Q793" s="10" t="b">
        <f aca="false">--(COUNTIFS(
   [1]Fichajes_Realizados!A$2:A$5000,A793,
   [1]Fichajes_Realizados!G$2:G$5000,$X$3
)&gt;0)</f>
        <v>0</v>
      </c>
      <c r="R793" s="5" t="n">
        <f aca="false">_xlfn.XLOOKUP(C793, [1]Estado_Equipos!A$2:A$500, [1]Estado_Equipos!J$2:J$500, "")</f>
        <v>75</v>
      </c>
      <c r="S793" s="5" t="n">
        <f aca="false">IF(H793&lt;=16,1.45,
IF(H793&gt;=41,0.3,
CHOOSE(ROUNDDOWN((H793-16)/2,0)+1,
1.45,1.38,1.3,1.23,1.17,1.15,1.12,1.05,0.95,0.8,0.6,0.4,0.3)))</f>
        <v>0.8</v>
      </c>
      <c r="T793" s="5" t="n">
        <f aca="false">CHOOSE(N793+1,1.2,1,0.85,0.7)</f>
        <v>0.85</v>
      </c>
      <c r="U793" s="5" t="n">
        <f aca="false">IF(F793="PO",0.6,
IF(F793="CT",0.75,
IF(F793="LI",0.8,
IF(F793="LD",0.8,
IF(F793="MCD",0.85,
IF(F793="MC",0.95,
IF(F793="MO",1.05,
IF(F793="EI",1.1,
IF(F793="ED",1.1,
IF(F793="SD",1.15,
IF(F793="DC",1.2,0)))))))))))</f>
        <v>0.6</v>
      </c>
    </row>
    <row r="794" customFormat="false" ht="16.4" hidden="false" customHeight="false" outlineLevel="0" collapsed="false">
      <c r="A794" s="1" t="n">
        <v>793</v>
      </c>
      <c r="B794" s="5" t="str">
        <f aca="false">[1]Base_Jugadores!B794</f>
        <v>Lucas Perri</v>
      </c>
      <c r="C794" s="5" t="str">
        <f aca="false">IFERROR(
   _xlfn.XLOOKUP(VALUE(A794),[1]Fichajes_Realizados!A$2:A$50000,[1]Fichajes_Realizados!D$2:D$50000,,0,-1),
   _xlfn.XLOOKUP(VALUE(A794),[1]Base_Jugadores!A$2:A$50000,[1]Base_Jugadores!C$2:C$50000)
)</f>
        <v>Leeds United</v>
      </c>
      <c r="D794" s="5" t="str">
        <f aca="false">[1]Base_Jugadores!D794</f>
        <v>Brasil</v>
      </c>
      <c r="E794" s="3"/>
      <c r="F794" s="5" t="str">
        <f aca="false">[1]Base_Jugadores!E794</f>
        <v>PO</v>
      </c>
      <c r="G794" s="5" t="n">
        <f aca="false">[1]Base_Jugadores!F794</f>
        <v>79</v>
      </c>
      <c r="H794" s="5" t="n">
        <f aca="false">[1]Base_Jugadores!G794</f>
        <v>28</v>
      </c>
      <c r="I794" s="7" t="n">
        <f aca="false" t="array" ref="I794:I794">_xlfn.XLOOKUP(G794,{55;56;57;58;59;60;61;62;63;64;65;66;67;68;69;70;71;72;73;74;75;76;77;78;79;80;81;82;83;84;85;86;87;88;89;90;91;92;93;94;95;96;97;98;99},{100000;130000;160000;190000;220000;250000;300000;350000;400000;450000;500000;600000;700000;800000;900000;1000000;1500000;2000000;3000000;4000000;5000000;6500000;8000000;10000000;12500000;15000000;20000000;25000000;30000000;35000000;40000000;55000000;70000000;80000000;90000000;110000000;130000000;160000000;190000000;220000000;250000000;280000000;310000000;340000000;400000000})</f>
        <v>12500000</v>
      </c>
      <c r="J794" s="7" t="n">
        <f aca="false">I794*S794*T794*U794</f>
        <v>10080000</v>
      </c>
      <c r="K794" s="3"/>
      <c r="L794" s="3"/>
      <c r="M794" s="3"/>
      <c r="N794" s="9" t="n">
        <v>0</v>
      </c>
      <c r="O794" s="4" t="n">
        <v>0</v>
      </c>
      <c r="P794" s="5" t="n">
        <f aca="false">IF(COUNTIF([1]Base_Jugadores!J$2:J$500,B794)&gt;0,1,0)</f>
        <v>0</v>
      </c>
      <c r="Q794" s="10" t="b">
        <f aca="false">--(COUNTIFS(
   [1]Fichajes_Realizados!A$2:A$5000,A794,
   [1]Fichajes_Realizados!G$2:G$5000,$X$3
)&gt;0)</f>
        <v>0</v>
      </c>
      <c r="R794" s="5" t="n">
        <f aca="false">_xlfn.XLOOKUP(C794, [1]Estado_Equipos!A$2:A$500, [1]Estado_Equipos!J$2:J$500, "")</f>
        <v>75</v>
      </c>
      <c r="S794" s="5" t="n">
        <f aca="false">IF(H794&lt;=16,1.45,
IF(H794&gt;=41,0.3,
CHOOSE(ROUNDDOWN((H794-16)/2,0)+1,
1.45,1.38,1.3,1.23,1.17,1.15,1.12,1.05,0.95,0.8,0.6,0.4,0.3)))</f>
        <v>1.12</v>
      </c>
      <c r="T794" s="5" t="n">
        <f aca="false">CHOOSE(N794+1,1.2,1,0.85,0.7)</f>
        <v>1.2</v>
      </c>
      <c r="U794" s="5" t="n">
        <f aca="false">IF(F794="PO",0.6,
IF(F794="CT",0.75,
IF(F794="LI",0.8,
IF(F794="LD",0.8,
IF(F794="MCD",0.85,
IF(F794="MC",0.95,
IF(F794="MO",1.05,
IF(F794="EI",1.1,
IF(F794="ED",1.1,
IF(F794="SD",1.15,
IF(F794="DC",1.2,0)))))))))))</f>
        <v>0.6</v>
      </c>
    </row>
    <row r="795" customFormat="false" ht="16.4" hidden="false" customHeight="false" outlineLevel="0" collapsed="false">
      <c r="A795" s="1" t="n">
        <v>794</v>
      </c>
      <c r="B795" s="5" t="str">
        <f aca="false">[1]Base_Jugadores!B795</f>
        <v>Lukas Nmecha</v>
      </c>
      <c r="C795" s="5" t="str">
        <f aca="false">IFERROR(
   _xlfn.XLOOKUP(VALUE(A795),[1]Fichajes_Realizados!A$2:A$50000,[1]Fichajes_Realizados!D$2:D$50000,,0,-1),
   _xlfn.XLOOKUP(VALUE(A795),[1]Base_Jugadores!A$2:A$50000,[1]Base_Jugadores!C$2:C$50000)
)</f>
        <v>Leeds United</v>
      </c>
      <c r="D795" s="5" t="str">
        <f aca="false">[1]Base_Jugadores!D795</f>
        <v>Alemania</v>
      </c>
      <c r="E795" s="3"/>
      <c r="F795" s="5" t="str">
        <f aca="false">[1]Base_Jugadores!E795</f>
        <v>DC</v>
      </c>
      <c r="G795" s="5" t="n">
        <f aca="false">[1]Base_Jugadores!F795</f>
        <v>77</v>
      </c>
      <c r="H795" s="5" t="n">
        <f aca="false">[1]Base_Jugadores!G795</f>
        <v>27</v>
      </c>
      <c r="I795" s="7" t="n">
        <f aca="false" t="array" ref="I795:I795">_xlfn.XLOOKUP(G795,{55;56;57;58;59;60;61;62;63;64;65;66;67;68;69;70;71;72;73;74;75;76;77;78;79;80;81;82;83;84;85;86;87;88;89;90;91;92;93;94;95;96;97;98;99},{100000;130000;160000;190000;220000;250000;300000;350000;400000;450000;500000;600000;700000;800000;900000;1000000;1500000;2000000;3000000;4000000;5000000;6500000;8000000;10000000;12500000;15000000;20000000;25000000;30000000;35000000;40000000;55000000;70000000;80000000;90000000;110000000;130000000;160000000;190000000;220000000;250000000;280000000;310000000;340000000;400000000})</f>
        <v>8000000</v>
      </c>
      <c r="J795" s="7" t="n">
        <f aca="false">I795*S795*T795*U795</f>
        <v>13248000</v>
      </c>
      <c r="K795" s="3"/>
      <c r="L795" s="3"/>
      <c r="M795" s="3"/>
      <c r="N795" s="9" t="n">
        <v>0</v>
      </c>
      <c r="O795" s="4" t="n">
        <v>0</v>
      </c>
      <c r="P795" s="5" t="n">
        <f aca="false">IF(COUNTIF([1]Base_Jugadores!J$2:J$500,B795)&gt;0,1,0)</f>
        <v>0</v>
      </c>
      <c r="Q795" s="10" t="b">
        <f aca="false">--(COUNTIFS(
   [1]Fichajes_Realizados!A$2:A$5000,A795,
   [1]Fichajes_Realizados!G$2:G$5000,$X$3
)&gt;0)</f>
        <v>0</v>
      </c>
      <c r="R795" s="5" t="n">
        <f aca="false">_xlfn.XLOOKUP(C795, [1]Estado_Equipos!A$2:A$500, [1]Estado_Equipos!J$2:J$500, "")</f>
        <v>75</v>
      </c>
      <c r="S795" s="5" t="n">
        <f aca="false">IF(H795&lt;=16,1.45,
IF(H795&gt;=41,0.3,
CHOOSE(ROUNDDOWN((H795-16)/2,0)+1,
1.45,1.38,1.3,1.23,1.17,1.15,1.12,1.05,0.95,0.8,0.6,0.4,0.3)))</f>
        <v>1.15</v>
      </c>
      <c r="T795" s="5" t="n">
        <f aca="false">CHOOSE(N795+1,1.2,1,0.85,0.7)</f>
        <v>1.2</v>
      </c>
      <c r="U795" s="5" t="n">
        <f aca="false">IF(F795="PO",0.6,
IF(F795="CT",0.75,
IF(F795="LI",0.8,
IF(F795="LD",0.8,
IF(F795="MCD",0.85,
IF(F795="MC",0.95,
IF(F795="MO",1.05,
IF(F795="EI",1.1,
IF(F795="ED",1.1,
IF(F795="SD",1.15,
IF(F795="DC",1.2,0)))))))))))</f>
        <v>1.2</v>
      </c>
    </row>
    <row r="796" customFormat="false" ht="16.4" hidden="false" customHeight="false" outlineLevel="0" collapsed="false">
      <c r="A796" s="1" t="n">
        <v>795</v>
      </c>
      <c r="B796" s="5" t="str">
        <f aca="false">[1]Base_Jugadores!B796</f>
        <v>Noah Okafor</v>
      </c>
      <c r="C796" s="5" t="str">
        <f aca="false">IFERROR(
   _xlfn.XLOOKUP(VALUE(A796),[1]Fichajes_Realizados!A$2:A$50000,[1]Fichajes_Realizados!D$2:D$50000,,0,-1),
   _xlfn.XLOOKUP(VALUE(A796),[1]Base_Jugadores!A$2:A$50000,[1]Base_Jugadores!C$2:C$50000)
)</f>
        <v>Leeds United</v>
      </c>
      <c r="D796" s="5" t="str">
        <f aca="false">[1]Base_Jugadores!D796</f>
        <v>Suiza</v>
      </c>
      <c r="E796" s="3"/>
      <c r="F796" s="5" t="str">
        <f aca="false">[1]Base_Jugadores!E796</f>
        <v>EI</v>
      </c>
      <c r="G796" s="5" t="n">
        <f aca="false">[1]Base_Jugadores!F796</f>
        <v>79</v>
      </c>
      <c r="H796" s="5" t="n">
        <f aca="false">[1]Base_Jugadores!G796</f>
        <v>25</v>
      </c>
      <c r="I796" s="7" t="n">
        <f aca="false" t="array" ref="I796:I796">_xlfn.XLOOKUP(G796,{55;56;57;58;59;60;61;62;63;64;65;66;67;68;69;70;71;72;73;74;75;76;77;78;79;80;81;82;83;84;85;86;87;88;89;90;91;92;93;94;95;96;97;98;99},{100000;130000;160000;190000;220000;250000;300000;350000;400000;450000;500000;600000;700000;800000;900000;1000000;1500000;2000000;3000000;4000000;5000000;6500000;8000000;10000000;12500000;15000000;20000000;25000000;30000000;35000000;40000000;55000000;70000000;80000000;90000000;110000000;130000000;160000000;190000000;220000000;250000000;280000000;310000000;340000000;400000000})</f>
        <v>12500000</v>
      </c>
      <c r="J796" s="7" t="n">
        <f aca="false">I796*S796*T796*U796</f>
        <v>19305000</v>
      </c>
      <c r="K796" s="3"/>
      <c r="L796" s="3"/>
      <c r="M796" s="3"/>
      <c r="N796" s="9" t="n">
        <v>0</v>
      </c>
      <c r="O796" s="4" t="n">
        <v>0</v>
      </c>
      <c r="P796" s="5" t="n">
        <f aca="false">IF(COUNTIF([1]Base_Jugadores!J$2:J$500,B796)&gt;0,1,0)</f>
        <v>0</v>
      </c>
      <c r="Q796" s="10" t="b">
        <f aca="false">--(COUNTIFS(
   [1]Fichajes_Realizados!A$2:A$5000,A796,
   [1]Fichajes_Realizados!G$2:G$5000,$X$3
)&gt;0)</f>
        <v>0</v>
      </c>
      <c r="R796" s="5" t="n">
        <f aca="false">_xlfn.XLOOKUP(C796, [1]Estado_Equipos!A$2:A$500, [1]Estado_Equipos!J$2:J$500, "")</f>
        <v>75</v>
      </c>
      <c r="S796" s="5" t="n">
        <f aca="false">IF(H796&lt;=16,1.45,
IF(H796&gt;=41,0.3,
CHOOSE(ROUNDDOWN((H796-16)/2,0)+1,
1.45,1.38,1.3,1.23,1.17,1.15,1.12,1.05,0.95,0.8,0.6,0.4,0.3)))</f>
        <v>1.17</v>
      </c>
      <c r="T796" s="5" t="n">
        <f aca="false">CHOOSE(N796+1,1.2,1,0.85,0.7)</f>
        <v>1.2</v>
      </c>
      <c r="U796" s="5" t="n">
        <f aca="false">IF(F796="PO",0.6,
IF(F796="CT",0.75,
IF(F796="LI",0.8,
IF(F796="LD",0.8,
IF(F796="MCD",0.85,
IF(F796="MC",0.95,
IF(F796="MO",1.05,
IF(F796="EI",1.1,
IF(F796="ED",1.1,
IF(F796="SD",1.15,
IF(F796="DC",1.2,0)))))))))))</f>
        <v>1.1</v>
      </c>
    </row>
    <row r="797" customFormat="false" ht="16.4" hidden="false" customHeight="false" outlineLevel="0" collapsed="false">
      <c r="A797" s="1" t="n">
        <v>796</v>
      </c>
      <c r="B797" s="5" t="str">
        <f aca="false">[1]Base_Jugadores!B797</f>
        <v>Pascal Struijk</v>
      </c>
      <c r="C797" s="5" t="str">
        <f aca="false">IFERROR(
   _xlfn.XLOOKUP(VALUE(A797),[1]Fichajes_Realizados!A$2:A$50000,[1]Fichajes_Realizados!D$2:D$50000,,0,-1),
   _xlfn.XLOOKUP(VALUE(A797),[1]Base_Jugadores!A$2:A$50000,[1]Base_Jugadores!C$2:C$50000)
)</f>
        <v>Leeds United</v>
      </c>
      <c r="D797" s="5" t="str">
        <f aca="false">[1]Base_Jugadores!D797</f>
        <v>Países Bajos</v>
      </c>
      <c r="E797" s="3"/>
      <c r="F797" s="5" t="str">
        <f aca="false">[1]Base_Jugadores!E797</f>
        <v>CT</v>
      </c>
      <c r="G797" s="5" t="n">
        <f aca="false">[1]Base_Jugadores!F797</f>
        <v>76</v>
      </c>
      <c r="H797" s="5" t="n">
        <f aca="false">[1]Base_Jugadores!G797</f>
        <v>26</v>
      </c>
      <c r="I797" s="7" t="n">
        <f aca="false" t="array" ref="I797:I797">_xlfn.XLOOKUP(G797,{55;56;57;58;59;60;61;62;63;64;65;66;67;68;69;70;71;72;73;74;75;76;77;78;79;80;81;82;83;84;85;86;87;88;89;90;91;92;93;94;95;96;97;98;99},{100000;130000;160000;190000;220000;250000;300000;350000;400000;450000;500000;600000;700000;800000;900000;1000000;1500000;2000000;3000000;4000000;5000000;6500000;8000000;10000000;12500000;15000000;20000000;25000000;30000000;35000000;40000000;55000000;70000000;80000000;90000000;110000000;130000000;160000000;190000000;220000000;250000000;280000000;310000000;340000000;400000000})</f>
        <v>6500000</v>
      </c>
      <c r="J797" s="7" t="n">
        <f aca="false">I797*S797*T797*U797</f>
        <v>6727500</v>
      </c>
      <c r="K797" s="3"/>
      <c r="L797" s="3"/>
      <c r="M797" s="3"/>
      <c r="N797" s="9" t="n">
        <v>0</v>
      </c>
      <c r="O797" s="4" t="n">
        <v>0</v>
      </c>
      <c r="P797" s="5" t="n">
        <f aca="false">IF(COUNTIF([1]Base_Jugadores!J$2:J$500,B797)&gt;0,1,0)</f>
        <v>0</v>
      </c>
      <c r="Q797" s="10" t="b">
        <f aca="false">--(COUNTIFS(
   [1]Fichajes_Realizados!A$2:A$5000,A797,
   [1]Fichajes_Realizados!G$2:G$5000,$X$3
)&gt;0)</f>
        <v>0</v>
      </c>
      <c r="R797" s="5" t="n">
        <f aca="false">_xlfn.XLOOKUP(C797, [1]Estado_Equipos!A$2:A$500, [1]Estado_Equipos!J$2:J$500, "")</f>
        <v>75</v>
      </c>
      <c r="S797" s="5" t="n">
        <f aca="false">IF(H797&lt;=16,1.45,
IF(H797&gt;=41,0.3,
CHOOSE(ROUNDDOWN((H797-16)/2,0)+1,
1.45,1.38,1.3,1.23,1.17,1.15,1.12,1.05,0.95,0.8,0.6,0.4,0.3)))</f>
        <v>1.15</v>
      </c>
      <c r="T797" s="5" t="n">
        <f aca="false">CHOOSE(N797+1,1.2,1,0.85,0.7)</f>
        <v>1.2</v>
      </c>
      <c r="U797" s="5" t="n">
        <f aca="false">IF(F797="PO",0.6,
IF(F797="CT",0.75,
IF(F797="LI",0.8,
IF(F797="LD",0.8,
IF(F797="MCD",0.85,
IF(F797="MC",0.95,
IF(F797="MO",1.05,
IF(F797="EI",1.1,
IF(F797="ED",1.1,
IF(F797="SD",1.15,
IF(F797="DC",1.2,0)))))))))))</f>
        <v>0.75</v>
      </c>
    </row>
    <row r="798" customFormat="false" ht="16.4" hidden="false" customHeight="false" outlineLevel="0" collapsed="false">
      <c r="A798" s="1" t="n">
        <v>797</v>
      </c>
      <c r="B798" s="5" t="str">
        <f aca="false">[1]Base_Jugadores!B798</f>
        <v>S. Bornauw</v>
      </c>
      <c r="C798" s="5" t="str">
        <f aca="false">IFERROR(
   _xlfn.XLOOKUP(VALUE(A798),[1]Fichajes_Realizados!A$2:A$50000,[1]Fichajes_Realizados!D$2:D$50000,,0,-1),
   _xlfn.XLOOKUP(VALUE(A798),[1]Base_Jugadores!A$2:A$50000,[1]Base_Jugadores!C$2:C$50000)
)</f>
        <v>Leeds United</v>
      </c>
      <c r="D798" s="5" t="str">
        <f aca="false">[1]Base_Jugadores!D798</f>
        <v>Bélgica</v>
      </c>
      <c r="E798" s="3"/>
      <c r="F798" s="5" t="str">
        <f aca="false">[1]Base_Jugadores!E798</f>
        <v>CT</v>
      </c>
      <c r="G798" s="5" t="n">
        <f aca="false">[1]Base_Jugadores!F798</f>
        <v>74</v>
      </c>
      <c r="H798" s="5" t="n">
        <f aca="false">[1]Base_Jugadores!G798</f>
        <v>26</v>
      </c>
      <c r="I798" s="7" t="n">
        <f aca="false" t="array" ref="I798:I798">_xlfn.XLOOKUP(G798,{55;56;57;58;59;60;61;62;63;64;65;66;67;68;69;70;71;72;73;74;75;76;77;78;79;80;81;82;83;84;85;86;87;88;89;90;91;92;93;94;95;96;97;98;99},{100000;130000;160000;190000;220000;250000;300000;350000;400000;450000;500000;600000;700000;800000;900000;1000000;1500000;2000000;3000000;4000000;5000000;6500000;8000000;10000000;12500000;15000000;20000000;25000000;30000000;35000000;40000000;55000000;70000000;80000000;90000000;110000000;130000000;160000000;190000000;220000000;250000000;280000000;310000000;340000000;400000000})</f>
        <v>4000000</v>
      </c>
      <c r="J798" s="7" t="n">
        <f aca="false">I798*S798*T798*U798</f>
        <v>2932500</v>
      </c>
      <c r="K798" s="3"/>
      <c r="L798" s="3"/>
      <c r="M798" s="3"/>
      <c r="N798" s="9" t="n">
        <v>2</v>
      </c>
      <c r="O798" s="4" t="n">
        <v>0</v>
      </c>
      <c r="P798" s="5" t="n">
        <f aca="false">IF(COUNTIF([1]Base_Jugadores!J$2:J$500,B798)&gt;0,1,0)</f>
        <v>0</v>
      </c>
      <c r="Q798" s="10" t="b">
        <f aca="false">--(COUNTIFS(
   [1]Fichajes_Realizados!A$2:A$5000,A798,
   [1]Fichajes_Realizados!G$2:G$5000,$X$3
)&gt;0)</f>
        <v>0</v>
      </c>
      <c r="R798" s="5" t="n">
        <f aca="false">_xlfn.XLOOKUP(C798, [1]Estado_Equipos!A$2:A$500, [1]Estado_Equipos!J$2:J$500, "")</f>
        <v>75</v>
      </c>
      <c r="S798" s="5" t="n">
        <f aca="false">IF(H798&lt;=16,1.45,
IF(H798&gt;=41,0.3,
CHOOSE(ROUNDDOWN((H798-16)/2,0)+1,
1.45,1.38,1.3,1.23,1.17,1.15,1.12,1.05,0.95,0.8,0.6,0.4,0.3)))</f>
        <v>1.15</v>
      </c>
      <c r="T798" s="5" t="n">
        <f aca="false">CHOOSE(N798+1,1.2,1,0.85,0.7)</f>
        <v>0.85</v>
      </c>
      <c r="U798" s="5" t="n">
        <f aca="false">IF(F798="PO",0.6,
IF(F798="CT",0.75,
IF(F798="LI",0.8,
IF(F798="LD",0.8,
IF(F798="MCD",0.85,
IF(F798="MC",0.95,
IF(F798="MO",1.05,
IF(F798="EI",1.1,
IF(F798="ED",1.1,
IF(F798="SD",1.15,
IF(F798="DC",1.2,0)))))))))))</f>
        <v>0.75</v>
      </c>
    </row>
    <row r="799" customFormat="false" ht="16.4" hidden="false" customHeight="false" outlineLevel="0" collapsed="false">
      <c r="A799" s="1" t="n">
        <v>798</v>
      </c>
      <c r="B799" s="5" t="str">
        <f aca="false">[1]Base_Jugadores!B799</f>
        <v>Sam Byram</v>
      </c>
      <c r="C799" s="5" t="str">
        <f aca="false">IFERROR(
   _xlfn.XLOOKUP(VALUE(A799),[1]Fichajes_Realizados!A$2:A$50000,[1]Fichajes_Realizados!D$2:D$50000,,0,-1),
   _xlfn.XLOOKUP(VALUE(A799),[1]Base_Jugadores!A$2:A$50000,[1]Base_Jugadores!C$2:C$50000)
)</f>
        <v>Leeds United</v>
      </c>
      <c r="D799" s="5" t="str">
        <f aca="false">[1]Base_Jugadores!D799</f>
        <v>Inglaterra</v>
      </c>
      <c r="E799" s="3"/>
      <c r="F799" s="5" t="str">
        <f aca="false">[1]Base_Jugadores!E799</f>
        <v>LI</v>
      </c>
      <c r="G799" s="5" t="n">
        <f aca="false">[1]Base_Jugadores!F799</f>
        <v>72</v>
      </c>
      <c r="H799" s="5" t="n">
        <f aca="false">[1]Base_Jugadores!G799</f>
        <v>32</v>
      </c>
      <c r="I799" s="7" t="n">
        <f aca="false" t="array" ref="I799:I799">_xlfn.XLOOKUP(G799,{55;56;57;58;59;60;61;62;63;64;65;66;67;68;69;70;71;72;73;74;75;76;77;78;79;80;81;82;83;84;85;86;87;88;89;90;91;92;93;94;95;96;97;98;99},{100000;130000;160000;190000;220000;250000;300000;350000;400000;450000;500000;600000;700000;800000;900000;1000000;1500000;2000000;3000000;4000000;5000000;6500000;8000000;10000000;12500000;15000000;20000000;25000000;30000000;35000000;40000000;55000000;70000000;80000000;90000000;110000000;130000000;160000000;190000000;220000000;250000000;280000000;310000000;340000000;400000000})</f>
        <v>2000000</v>
      </c>
      <c r="J799" s="7" t="n">
        <f aca="false">I799*S799*T799*U799</f>
        <v>1292000</v>
      </c>
      <c r="K799" s="3"/>
      <c r="L799" s="3"/>
      <c r="M799" s="3"/>
      <c r="N799" s="9" t="n">
        <v>2</v>
      </c>
      <c r="O799" s="4" t="n">
        <v>0</v>
      </c>
      <c r="P799" s="5" t="n">
        <f aca="false">IF(COUNTIF([1]Base_Jugadores!J$2:J$500,B799)&gt;0,1,0)</f>
        <v>0</v>
      </c>
      <c r="Q799" s="10" t="b">
        <f aca="false">--(COUNTIFS(
   [1]Fichajes_Realizados!A$2:A$5000,A799,
   [1]Fichajes_Realizados!G$2:G$5000,$X$3
)&gt;0)</f>
        <v>0</v>
      </c>
      <c r="R799" s="5" t="n">
        <f aca="false">_xlfn.XLOOKUP(C799, [1]Estado_Equipos!A$2:A$500, [1]Estado_Equipos!J$2:J$500, "")</f>
        <v>75</v>
      </c>
      <c r="S799" s="5" t="n">
        <f aca="false">IF(H799&lt;=16,1.45,
IF(H799&gt;=41,0.3,
CHOOSE(ROUNDDOWN((H799-16)/2,0)+1,
1.45,1.38,1.3,1.23,1.17,1.15,1.12,1.05,0.95,0.8,0.6,0.4,0.3)))</f>
        <v>0.95</v>
      </c>
      <c r="T799" s="5" t="n">
        <f aca="false">CHOOSE(N799+1,1.2,1,0.85,0.7)</f>
        <v>0.85</v>
      </c>
      <c r="U799" s="5" t="n">
        <f aca="false">IF(F799="PO",0.6,
IF(F799="CT",0.75,
IF(F799="LI",0.8,
IF(F799="LD",0.8,
IF(F799="MCD",0.85,
IF(F799="MC",0.95,
IF(F799="MO",1.05,
IF(F799="EI",1.1,
IF(F799="ED",1.1,
IF(F799="SD",1.15,
IF(F799="DC",1.2,0)))))))))))</f>
        <v>0.8</v>
      </c>
    </row>
    <row r="800" customFormat="false" ht="16.4" hidden="false" customHeight="false" outlineLevel="0" collapsed="false">
      <c r="A800" s="1" t="n">
        <v>799</v>
      </c>
      <c r="B800" s="5" t="str">
        <f aca="false">[1]Base_Jugadores!B800</f>
        <v>Sean Longstaff</v>
      </c>
      <c r="C800" s="5" t="str">
        <f aca="false">IFERROR(
   _xlfn.XLOOKUP(VALUE(A800),[1]Fichajes_Realizados!A$2:A$50000,[1]Fichajes_Realizados!D$2:D$50000,,0,-1),
   _xlfn.XLOOKUP(VALUE(A800),[1]Base_Jugadores!A$2:A$50000,[1]Base_Jugadores!C$2:C$50000)
)</f>
        <v>Leeds United</v>
      </c>
      <c r="D800" s="5" t="str">
        <f aca="false">[1]Base_Jugadores!D800</f>
        <v>Inglaterra</v>
      </c>
      <c r="E800" s="3"/>
      <c r="F800" s="5" t="str">
        <f aca="false">[1]Base_Jugadores!E800</f>
        <v>MC</v>
      </c>
      <c r="G800" s="5" t="n">
        <f aca="false">[1]Base_Jugadores!F800</f>
        <v>76</v>
      </c>
      <c r="H800" s="5" t="n">
        <f aca="false">[1]Base_Jugadores!G800</f>
        <v>28</v>
      </c>
      <c r="I800" s="7" t="n">
        <f aca="false" t="array" ref="I800:I800">_xlfn.XLOOKUP(G800,{55;56;57;58;59;60;61;62;63;64;65;66;67;68;69;70;71;72;73;74;75;76;77;78;79;80;81;82;83;84;85;86;87;88;89;90;91;92;93;94;95;96;97;98;99},{100000;130000;160000;190000;220000;250000;300000;350000;400000;450000;500000;600000;700000;800000;900000;1000000;1500000;2000000;3000000;4000000;5000000;6500000;8000000;10000000;12500000;15000000;20000000;25000000;30000000;35000000;40000000;55000000;70000000;80000000;90000000;110000000;130000000;160000000;190000000;220000000;250000000;280000000;310000000;340000000;400000000})</f>
        <v>6500000</v>
      </c>
      <c r="J800" s="7" t="n">
        <f aca="false">I800*S800*T800*U800</f>
        <v>8299200</v>
      </c>
      <c r="K800" s="3"/>
      <c r="L800" s="3"/>
      <c r="M800" s="3"/>
      <c r="N800" s="9" t="n">
        <v>0</v>
      </c>
      <c r="O800" s="4" t="n">
        <v>0</v>
      </c>
      <c r="P800" s="5" t="n">
        <f aca="false">IF(COUNTIF([1]Base_Jugadores!J$2:J$500,B800)&gt;0,1,0)</f>
        <v>0</v>
      </c>
      <c r="Q800" s="10" t="b">
        <f aca="false">--(COUNTIFS(
   [1]Fichajes_Realizados!A$2:A$5000,A800,
   [1]Fichajes_Realizados!G$2:G$5000,$X$3
)&gt;0)</f>
        <v>0</v>
      </c>
      <c r="R800" s="5" t="n">
        <f aca="false">_xlfn.XLOOKUP(C800, [1]Estado_Equipos!A$2:A$500, [1]Estado_Equipos!J$2:J$500, "")</f>
        <v>75</v>
      </c>
      <c r="S800" s="5" t="n">
        <f aca="false">IF(H800&lt;=16,1.45,
IF(H800&gt;=41,0.3,
CHOOSE(ROUNDDOWN((H800-16)/2,0)+1,
1.45,1.38,1.3,1.23,1.17,1.15,1.12,1.05,0.95,0.8,0.6,0.4,0.3)))</f>
        <v>1.12</v>
      </c>
      <c r="T800" s="5" t="n">
        <f aca="false">CHOOSE(N800+1,1.2,1,0.85,0.7)</f>
        <v>1.2</v>
      </c>
      <c r="U800" s="5" t="n">
        <f aca="false">IF(F800="PO",0.6,
IF(F800="CT",0.75,
IF(F800="LI",0.8,
IF(F800="LD",0.8,
IF(F800="MCD",0.85,
IF(F800="MC",0.95,
IF(F800="MO",1.05,
IF(F800="EI",1.1,
IF(F800="ED",1.1,
IF(F800="SD",1.15,
IF(F800="DC",1.2,0)))))))))))</f>
        <v>0.95</v>
      </c>
    </row>
    <row r="801" customFormat="false" ht="16.4" hidden="false" customHeight="false" outlineLevel="0" collapsed="false">
      <c r="A801" s="1" t="n">
        <v>800</v>
      </c>
      <c r="B801" s="5" t="str">
        <f aca="false">[1]Base_Jugadores!B801</f>
        <v>Wilfried Gnonto</v>
      </c>
      <c r="C801" s="5" t="str">
        <f aca="false">IFERROR(
   _xlfn.XLOOKUP(VALUE(A801),[1]Fichajes_Realizados!A$2:A$50000,[1]Fichajes_Realizados!D$2:D$50000,,0,-1),
   _xlfn.XLOOKUP(VALUE(A801),[1]Base_Jugadores!A$2:A$50000,[1]Base_Jugadores!C$2:C$50000)
)</f>
        <v>Leeds United</v>
      </c>
      <c r="D801" s="5" t="str">
        <f aca="false">[1]Base_Jugadores!D801</f>
        <v>Italia</v>
      </c>
      <c r="E801" s="3"/>
      <c r="F801" s="5" t="str">
        <f aca="false">[1]Base_Jugadores!E801</f>
        <v>ED</v>
      </c>
      <c r="G801" s="5" t="n">
        <f aca="false">[1]Base_Jugadores!F801</f>
        <v>75</v>
      </c>
      <c r="H801" s="5" t="n">
        <f aca="false">[1]Base_Jugadores!G801</f>
        <v>22</v>
      </c>
      <c r="I801" s="7" t="n">
        <f aca="false" t="array" ref="I801:I801">_xlfn.XLOOKUP(G801,{55;56;57;58;59;60;61;62;63;64;65;66;67;68;69;70;71;72;73;74;75;76;77;78;79;80;81;82;83;84;85;86;87;88;89;90;91;92;93;94;95;96;97;98;99},{100000;130000;160000;190000;220000;250000;300000;350000;400000;450000;500000;600000;700000;800000;900000;1000000;1500000;2000000;3000000;4000000;5000000;6500000;8000000;10000000;12500000;15000000;20000000;25000000;30000000;35000000;40000000;55000000;70000000;80000000;90000000;110000000;130000000;160000000;190000000;220000000;250000000;280000000;310000000;340000000;400000000})</f>
        <v>5000000</v>
      </c>
      <c r="J801" s="7" t="n">
        <f aca="false">I801*S801*T801*U801</f>
        <v>6765000</v>
      </c>
      <c r="K801" s="3"/>
      <c r="L801" s="3"/>
      <c r="M801" s="3"/>
      <c r="N801" s="9" t="n">
        <v>1</v>
      </c>
      <c r="O801" s="4" t="n">
        <v>0</v>
      </c>
      <c r="P801" s="5" t="n">
        <f aca="false">IF(COUNTIF([1]Base_Jugadores!J$2:J$500,B801)&gt;0,1,0)</f>
        <v>0</v>
      </c>
      <c r="Q801" s="10" t="b">
        <f aca="false">--(COUNTIFS(
   [1]Fichajes_Realizados!A$2:A$5000,A801,
   [1]Fichajes_Realizados!G$2:G$5000,$X$3
)&gt;0)</f>
        <v>0</v>
      </c>
      <c r="R801" s="5" t="n">
        <f aca="false">_xlfn.XLOOKUP(C801, [1]Estado_Equipos!A$2:A$500, [1]Estado_Equipos!J$2:J$500, "")</f>
        <v>75</v>
      </c>
      <c r="S801" s="5" t="n">
        <f aca="false">IF(H801&lt;=16,1.45,
IF(H801&gt;=41,0.3,
CHOOSE(ROUNDDOWN((H801-16)/2,0)+1,
1.45,1.38,1.3,1.23,1.17,1.15,1.12,1.05,0.95,0.8,0.6,0.4,0.3)))</f>
        <v>1.23</v>
      </c>
      <c r="T801" s="5" t="n">
        <f aca="false">CHOOSE(N801+1,1.2,1,0.85,0.7)</f>
        <v>1</v>
      </c>
      <c r="U801" s="5" t="n">
        <f aca="false">IF(F801="PO",0.6,
IF(F801="CT",0.75,
IF(F801="LI",0.8,
IF(F801="LD",0.8,
IF(F801="MCD",0.85,
IF(F801="MC",0.95,
IF(F801="MO",1.05,
IF(F801="EI",1.1,
IF(F801="ED",1.1,
IF(F801="SD",1.15,
IF(F801="DC",1.2,0)))))))))))</f>
        <v>1.1</v>
      </c>
    </row>
    <row r="802" customFormat="false" ht="16.4" hidden="false" customHeight="false" outlineLevel="0" collapsed="false">
      <c r="A802" s="1" t="n">
        <v>801</v>
      </c>
      <c r="B802" s="5" t="str">
        <f aca="false">[1]Base_Jugadores!B802</f>
        <v>A. Mac Allister</v>
      </c>
      <c r="C802" s="5" t="str">
        <f aca="false">IFERROR(
   _xlfn.XLOOKUP(VALUE(A802),[1]Fichajes_Realizados!A$2:A$50000,[1]Fichajes_Realizados!D$2:D$50000,,0,-1),
   _xlfn.XLOOKUP(VALUE(A802),[1]Base_Jugadores!A$2:A$50000,[1]Base_Jugadores!C$2:C$50000)
)</f>
        <v>Liverpool FC</v>
      </c>
      <c r="D802" s="5" t="str">
        <f aca="false">[1]Base_Jugadores!D802</f>
        <v>Argentina</v>
      </c>
      <c r="E802" s="3"/>
      <c r="F802" s="5" t="str">
        <f aca="false">[1]Base_Jugadores!E802</f>
        <v>MC</v>
      </c>
      <c r="G802" s="5" t="n">
        <f aca="false">[1]Base_Jugadores!F802</f>
        <v>86</v>
      </c>
      <c r="H802" s="5" t="n">
        <f aca="false">[1]Base_Jugadores!G802</f>
        <v>27</v>
      </c>
      <c r="I802" s="7" t="n">
        <f aca="false" t="array" ref="I802:I802">_xlfn.XLOOKUP(G802,{55;56;57;58;59;60;61;62;63;64;65;66;67;68;69;70;71;72;73;74;75;76;77;78;79;80;81;82;83;84;85;86;87;88;89;90;91;92;93;94;95;96;97;98;99},{100000;130000;160000;190000;220000;250000;300000;350000;400000;450000;500000;600000;700000;800000;900000;1000000;1500000;2000000;3000000;4000000;5000000;6500000;8000000;10000000;12500000;15000000;20000000;25000000;30000000;35000000;40000000;55000000;70000000;80000000;90000000;110000000;130000000;160000000;190000000;220000000;250000000;280000000;310000000;340000000;400000000})</f>
        <v>55000000</v>
      </c>
      <c r="J802" s="7" t="n">
        <f aca="false">I802*S802*T802*U802</f>
        <v>72105000</v>
      </c>
      <c r="K802" s="3"/>
      <c r="L802" s="3"/>
      <c r="M802" s="3"/>
      <c r="N802" s="9" t="n">
        <v>0</v>
      </c>
      <c r="O802" s="4" t="n">
        <v>0</v>
      </c>
      <c r="P802" s="5" t="n">
        <f aca="false">IF(COUNTIF([1]Base_Jugadores!J$2:J$500,B802)&gt;0,1,0)</f>
        <v>0</v>
      </c>
      <c r="Q802" s="10" t="b">
        <f aca="false">--(COUNTIFS(
   [1]Fichajes_Realizados!A$2:A$5000,A802,
   [1]Fichajes_Realizados!G$2:G$5000,$X$3
)&gt;0)</f>
        <v>0</v>
      </c>
      <c r="R802" s="5" t="n">
        <f aca="false">_xlfn.XLOOKUP(C802, [1]Estado_Equipos!A$2:A$500, [1]Estado_Equipos!J$2:J$500, "")</f>
        <v>84</v>
      </c>
      <c r="S802" s="5" t="n">
        <f aca="false">IF(H802&lt;=16,1.45,
IF(H802&gt;=41,0.3,
CHOOSE(ROUNDDOWN((H802-16)/2,0)+1,
1.45,1.38,1.3,1.23,1.17,1.15,1.12,1.05,0.95,0.8,0.6,0.4,0.3)))</f>
        <v>1.15</v>
      </c>
      <c r="T802" s="5" t="n">
        <f aca="false">CHOOSE(N802+1,1.2,1,0.85,0.7)</f>
        <v>1.2</v>
      </c>
      <c r="U802" s="5" t="n">
        <f aca="false">IF(F802="PO",0.6,
IF(F802="CT",0.75,
IF(F802="LI",0.8,
IF(F802="LD",0.8,
IF(F802="MCD",0.85,
IF(F802="MC",0.95,
IF(F802="MO",1.05,
IF(F802="EI",1.1,
IF(F802="ED",1.1,
IF(F802="SD",1.15,
IF(F802="DC",1.2,0)))))))))))</f>
        <v>0.95</v>
      </c>
    </row>
    <row r="803" customFormat="false" ht="16.4" hidden="false" customHeight="false" outlineLevel="0" collapsed="false">
      <c r="A803" s="1" t="n">
        <v>802</v>
      </c>
      <c r="B803" s="5" t="str">
        <f aca="false">[1]Base_Jugadores!B803</f>
        <v>A. Robertson</v>
      </c>
      <c r="C803" s="5" t="str">
        <f aca="false">IFERROR(
   _xlfn.XLOOKUP(VALUE(A803),[1]Fichajes_Realizados!A$2:A$50000,[1]Fichajes_Realizados!D$2:D$50000,,0,-1),
   _xlfn.XLOOKUP(VALUE(A803),[1]Base_Jugadores!A$2:A$50000,[1]Base_Jugadores!C$2:C$50000)
)</f>
        <v>Liverpool FC</v>
      </c>
      <c r="D803" s="5" t="str">
        <f aca="false">[1]Base_Jugadores!D803</f>
        <v>Escocia</v>
      </c>
      <c r="E803" s="3"/>
      <c r="F803" s="5" t="str">
        <f aca="false">[1]Base_Jugadores!E803</f>
        <v>LI</v>
      </c>
      <c r="G803" s="5" t="n">
        <f aca="false">[1]Base_Jugadores!F803</f>
        <v>84</v>
      </c>
      <c r="H803" s="5" t="n">
        <f aca="false">[1]Base_Jugadores!G803</f>
        <v>31</v>
      </c>
      <c r="I803" s="7" t="n">
        <f aca="false" t="array" ref="I803:I803">_xlfn.XLOOKUP(G803,{55;56;57;58;59;60;61;62;63;64;65;66;67;68;69;70;71;72;73;74;75;76;77;78;79;80;81;82;83;84;85;86;87;88;89;90;91;92;93;94;95;96;97;98;99},{100000;130000;160000;190000;220000;250000;300000;350000;400000;450000;500000;600000;700000;800000;900000;1000000;1500000;2000000;3000000;4000000;5000000;6500000;8000000;10000000;12500000;15000000;20000000;25000000;30000000;35000000;40000000;55000000;70000000;80000000;90000000;110000000;130000000;160000000;190000000;220000000;250000000;280000000;310000000;340000000;400000000})</f>
        <v>35000000</v>
      </c>
      <c r="J803" s="7" t="n">
        <f aca="false">I803*S803*T803*U803</f>
        <v>35280000</v>
      </c>
      <c r="K803" s="3"/>
      <c r="L803" s="3"/>
      <c r="M803" s="3"/>
      <c r="N803" s="9" t="n">
        <v>0</v>
      </c>
      <c r="O803" s="4" t="n">
        <v>0</v>
      </c>
      <c r="P803" s="5" t="n">
        <f aca="false">IF(COUNTIF([1]Base_Jugadores!J$2:J$500,B803)&gt;0,1,0)</f>
        <v>0</v>
      </c>
      <c r="Q803" s="10" t="b">
        <f aca="false">--(COUNTIFS(
   [1]Fichajes_Realizados!A$2:A$5000,A803,
   [1]Fichajes_Realizados!G$2:G$5000,$X$3
)&gt;0)</f>
        <v>0</v>
      </c>
      <c r="R803" s="5" t="n">
        <f aca="false">_xlfn.XLOOKUP(C803, [1]Estado_Equipos!A$2:A$500, [1]Estado_Equipos!J$2:J$500, "")</f>
        <v>84</v>
      </c>
      <c r="S803" s="5" t="n">
        <f aca="false">IF(H803&lt;=16,1.45,
IF(H803&gt;=41,0.3,
CHOOSE(ROUNDDOWN((H803-16)/2,0)+1,
1.45,1.38,1.3,1.23,1.17,1.15,1.12,1.05,0.95,0.8,0.6,0.4,0.3)))</f>
        <v>1.05</v>
      </c>
      <c r="T803" s="5" t="n">
        <f aca="false">CHOOSE(N803+1,1.2,1,0.85,0.7)</f>
        <v>1.2</v>
      </c>
      <c r="U803" s="5" t="n">
        <f aca="false">IF(F803="PO",0.6,
IF(F803="CT",0.75,
IF(F803="LI",0.8,
IF(F803="LD",0.8,
IF(F803="MCD",0.85,
IF(F803="MC",0.95,
IF(F803="MO",1.05,
IF(F803="EI",1.1,
IF(F803="ED",1.1,
IF(F803="SD",1.15,
IF(F803="DC",1.2,0)))))))))))</f>
        <v>0.8</v>
      </c>
    </row>
    <row r="804" customFormat="false" ht="16.4" hidden="false" customHeight="false" outlineLevel="0" collapsed="false">
      <c r="A804" s="1" t="n">
        <v>803</v>
      </c>
      <c r="B804" s="5" t="str">
        <f aca="false">[1]Base_Jugadores!B804</f>
        <v>Alexander Isak</v>
      </c>
      <c r="C804" s="5" t="str">
        <f aca="false">IFERROR(
   _xlfn.XLOOKUP(VALUE(A804),[1]Fichajes_Realizados!A$2:A$50000,[1]Fichajes_Realizados!D$2:D$50000,,0,-1),
   _xlfn.XLOOKUP(VALUE(A804),[1]Base_Jugadores!A$2:A$50000,[1]Base_Jugadores!C$2:C$50000)
)</f>
        <v>Liverpool FC</v>
      </c>
      <c r="D804" s="5" t="str">
        <f aca="false">[1]Base_Jugadores!D804</f>
        <v>Suecia</v>
      </c>
      <c r="E804" s="3"/>
      <c r="F804" s="5" t="str">
        <f aca="false">[1]Base_Jugadores!E804</f>
        <v>DC</v>
      </c>
      <c r="G804" s="5" t="n">
        <f aca="false">[1]Base_Jugadores!F804</f>
        <v>86</v>
      </c>
      <c r="H804" s="5" t="n">
        <f aca="false">[1]Base_Jugadores!G804</f>
        <v>26</v>
      </c>
      <c r="I804" s="7" t="n">
        <f aca="false" t="array" ref="I804:I804">_xlfn.XLOOKUP(G804,{55;56;57;58;59;60;61;62;63;64;65;66;67;68;69;70;71;72;73;74;75;76;77;78;79;80;81;82;83;84;85;86;87;88;89;90;91;92;93;94;95;96;97;98;99},{100000;130000;160000;190000;220000;250000;300000;350000;400000;450000;500000;600000;700000;800000;900000;1000000;1500000;2000000;3000000;4000000;5000000;6500000;8000000;10000000;12500000;15000000;20000000;25000000;30000000;35000000;40000000;55000000;70000000;80000000;90000000;110000000;130000000;160000000;190000000;220000000;250000000;280000000;310000000;340000000;400000000})</f>
        <v>55000000</v>
      </c>
      <c r="J804" s="7" t="n">
        <f aca="false">I804*S804*T804*U804</f>
        <v>91080000</v>
      </c>
      <c r="K804" s="3"/>
      <c r="L804" s="3"/>
      <c r="M804" s="3"/>
      <c r="N804" s="9" t="n">
        <v>0</v>
      </c>
      <c r="O804" s="4" t="n">
        <v>0</v>
      </c>
      <c r="P804" s="5" t="n">
        <f aca="false">IF(COUNTIF([1]Base_Jugadores!J$2:J$500,B804)&gt;0,1,0)</f>
        <v>0</v>
      </c>
      <c r="Q804" s="10" t="b">
        <f aca="false">--(COUNTIFS(
   [1]Fichajes_Realizados!A$2:A$5000,A804,
   [1]Fichajes_Realizados!G$2:G$5000,$X$3
)&gt;0)</f>
        <v>0</v>
      </c>
      <c r="R804" s="5" t="n">
        <f aca="false">_xlfn.XLOOKUP(C804, [1]Estado_Equipos!A$2:A$500, [1]Estado_Equipos!J$2:J$500, "")</f>
        <v>84</v>
      </c>
      <c r="S804" s="5" t="n">
        <f aca="false">IF(H804&lt;=16,1.45,
IF(H804&gt;=41,0.3,
CHOOSE(ROUNDDOWN((H804-16)/2,0)+1,
1.45,1.38,1.3,1.23,1.17,1.15,1.12,1.05,0.95,0.8,0.6,0.4,0.3)))</f>
        <v>1.15</v>
      </c>
      <c r="T804" s="5" t="n">
        <f aca="false">CHOOSE(N804+1,1.2,1,0.85,0.7)</f>
        <v>1.2</v>
      </c>
      <c r="U804" s="5" t="n">
        <f aca="false">IF(F804="PO",0.6,
IF(F804="CT",0.75,
IF(F804="LI",0.8,
IF(F804="LD",0.8,
IF(F804="MCD",0.85,
IF(F804="MC",0.95,
IF(F804="MO",1.05,
IF(F804="EI",1.1,
IF(F804="ED",1.1,
IF(F804="SD",1.15,
IF(F804="DC",1.2,0)))))))))))</f>
        <v>1.2</v>
      </c>
    </row>
    <row r="805" customFormat="false" ht="16.4" hidden="false" customHeight="false" outlineLevel="0" collapsed="false">
      <c r="A805" s="1" t="n">
        <v>804</v>
      </c>
      <c r="B805" s="5" t="str">
        <f aca="false">[1]Base_Jugadores!B805</f>
        <v>Alisson Becker</v>
      </c>
      <c r="C805" s="5" t="str">
        <f aca="false">IFERROR(
   _xlfn.XLOOKUP(VALUE(A805),[1]Fichajes_Realizados!A$2:A$50000,[1]Fichajes_Realizados!D$2:D$50000,,0,-1),
   _xlfn.XLOOKUP(VALUE(A805),[1]Base_Jugadores!A$2:A$50000,[1]Base_Jugadores!C$2:C$50000)
)</f>
        <v>Liverpool FC</v>
      </c>
      <c r="D805" s="5" t="str">
        <f aca="false">[1]Base_Jugadores!D805</f>
        <v>Brasil</v>
      </c>
      <c r="E805" s="3"/>
      <c r="F805" s="5" t="str">
        <f aca="false">[1]Base_Jugadores!E805</f>
        <v>PO</v>
      </c>
      <c r="G805" s="5" t="n">
        <f aca="false">[1]Base_Jugadores!F805</f>
        <v>89</v>
      </c>
      <c r="H805" s="5" t="n">
        <f aca="false">[1]Base_Jugadores!G805</f>
        <v>33</v>
      </c>
      <c r="I805" s="7" t="n">
        <f aca="false" t="array" ref="I805:I805">_xlfn.XLOOKUP(G805,{55;56;57;58;59;60;61;62;63;64;65;66;67;68;69;70;71;72;73;74;75;76;77;78;79;80;81;82;83;84;85;86;87;88;89;90;91;92;93;94;95;96;97;98;99},{100000;130000;160000;190000;220000;250000;300000;350000;400000;450000;500000;600000;700000;800000;900000;1000000;1500000;2000000;3000000;4000000;5000000;6500000;8000000;10000000;12500000;15000000;20000000;25000000;30000000;35000000;40000000;55000000;70000000;80000000;90000000;110000000;130000000;160000000;190000000;220000000;250000000;280000000;310000000;340000000;400000000})</f>
        <v>90000000</v>
      </c>
      <c r="J805" s="7" t="n">
        <f aca="false">I805*S805*T805*U805</f>
        <v>61560000</v>
      </c>
      <c r="K805" s="3"/>
      <c r="L805" s="3"/>
      <c r="M805" s="3"/>
      <c r="N805" s="9" t="n">
        <v>0</v>
      </c>
      <c r="O805" s="4" t="n">
        <v>0</v>
      </c>
      <c r="P805" s="5" t="n">
        <f aca="false">IF(COUNTIF([1]Base_Jugadores!J$2:J$500,B805)&gt;0,1,0)</f>
        <v>0</v>
      </c>
      <c r="Q805" s="10" t="b">
        <f aca="false">--(COUNTIFS(
   [1]Fichajes_Realizados!A$2:A$5000,A805,
   [1]Fichajes_Realizados!G$2:G$5000,$X$3
)&gt;0)</f>
        <v>0</v>
      </c>
      <c r="R805" s="5" t="n">
        <f aca="false">_xlfn.XLOOKUP(C805, [1]Estado_Equipos!A$2:A$500, [1]Estado_Equipos!J$2:J$500, "")</f>
        <v>84</v>
      </c>
      <c r="S805" s="5" t="n">
        <f aca="false">IF(H805&lt;=16,1.45,
IF(H805&gt;=41,0.3,
CHOOSE(ROUNDDOWN((H805-16)/2,0)+1,
1.45,1.38,1.3,1.23,1.17,1.15,1.12,1.05,0.95,0.8,0.6,0.4,0.3)))</f>
        <v>0.95</v>
      </c>
      <c r="T805" s="5" t="n">
        <f aca="false">CHOOSE(N805+1,1.2,1,0.85,0.7)</f>
        <v>1.2</v>
      </c>
      <c r="U805" s="5" t="n">
        <f aca="false">IF(F805="PO",0.6,
IF(F805="CT",0.75,
IF(F805="LI",0.8,
IF(F805="LD",0.8,
IF(F805="MCD",0.85,
IF(F805="MC",0.95,
IF(F805="MO",1.05,
IF(F805="EI",1.1,
IF(F805="ED",1.1,
IF(F805="SD",1.15,
IF(F805="DC",1.2,0)))))))))))</f>
        <v>0.6</v>
      </c>
    </row>
    <row r="806" customFormat="false" ht="16.4" hidden="false" customHeight="false" outlineLevel="0" collapsed="false">
      <c r="A806" s="1" t="n">
        <v>805</v>
      </c>
      <c r="B806" s="5" t="str">
        <f aca="false">[1]Base_Jugadores!B806</f>
        <v>Cody Gakpo</v>
      </c>
      <c r="C806" s="5" t="str">
        <f aca="false">IFERROR(
   _xlfn.XLOOKUP(VALUE(A806),[1]Fichajes_Realizados!A$2:A$50000,[1]Fichajes_Realizados!D$2:D$50000,,0,-1),
   _xlfn.XLOOKUP(VALUE(A806),[1]Base_Jugadores!A$2:A$50000,[1]Base_Jugadores!C$2:C$50000)
)</f>
        <v>Liverpool FC</v>
      </c>
      <c r="D806" s="5" t="str">
        <f aca="false">[1]Base_Jugadores!D806</f>
        <v>Países Bajos</v>
      </c>
      <c r="E806" s="3"/>
      <c r="F806" s="5" t="str">
        <f aca="false">[1]Base_Jugadores!E806</f>
        <v>EI</v>
      </c>
      <c r="G806" s="5" t="n">
        <f aca="false">[1]Base_Jugadores!F806</f>
        <v>83</v>
      </c>
      <c r="H806" s="5" t="n">
        <f aca="false">[1]Base_Jugadores!G806</f>
        <v>26</v>
      </c>
      <c r="I806" s="7" t="n">
        <f aca="false" t="array" ref="I806:I806">_xlfn.XLOOKUP(G806,{55;56;57;58;59;60;61;62;63;64;65;66;67;68;69;70;71;72;73;74;75;76;77;78;79;80;81;82;83;84;85;86;87;88;89;90;91;92;93;94;95;96;97;98;99},{100000;130000;160000;190000;220000;250000;300000;350000;400000;450000;500000;600000;700000;800000;900000;1000000;1500000;2000000;3000000;4000000;5000000;6500000;8000000;10000000;12500000;15000000;20000000;25000000;30000000;35000000;40000000;55000000;70000000;80000000;90000000;110000000;130000000;160000000;190000000;220000000;250000000;280000000;310000000;340000000;400000000})</f>
        <v>30000000</v>
      </c>
      <c r="J806" s="7" t="n">
        <f aca="false">I806*S806*T806*U806</f>
        <v>45540000</v>
      </c>
      <c r="K806" s="3"/>
      <c r="L806" s="3"/>
      <c r="M806" s="3"/>
      <c r="N806" s="9" t="n">
        <v>0</v>
      </c>
      <c r="O806" s="4" t="n">
        <v>0</v>
      </c>
      <c r="P806" s="5" t="n">
        <f aca="false">IF(COUNTIF([1]Base_Jugadores!J$2:J$500,B806)&gt;0,1,0)</f>
        <v>0</v>
      </c>
      <c r="Q806" s="10" t="b">
        <f aca="false">--(COUNTIFS(
   [1]Fichajes_Realizados!A$2:A$5000,A806,
   [1]Fichajes_Realizados!G$2:G$5000,$X$3
)&gt;0)</f>
        <v>0</v>
      </c>
      <c r="R806" s="5" t="n">
        <f aca="false">_xlfn.XLOOKUP(C806, [1]Estado_Equipos!A$2:A$500, [1]Estado_Equipos!J$2:J$500, "")</f>
        <v>84</v>
      </c>
      <c r="S806" s="5" t="n">
        <f aca="false">IF(H806&lt;=16,1.45,
IF(H806&gt;=41,0.3,
CHOOSE(ROUNDDOWN((H806-16)/2,0)+1,
1.45,1.38,1.3,1.23,1.17,1.15,1.12,1.05,0.95,0.8,0.6,0.4,0.3)))</f>
        <v>1.15</v>
      </c>
      <c r="T806" s="5" t="n">
        <f aca="false">CHOOSE(N806+1,1.2,1,0.85,0.7)</f>
        <v>1.2</v>
      </c>
      <c r="U806" s="5" t="n">
        <f aca="false">IF(F806="PO",0.6,
IF(F806="CT",0.75,
IF(F806="LI",0.8,
IF(F806="LD",0.8,
IF(F806="MCD",0.85,
IF(F806="MC",0.95,
IF(F806="MO",1.05,
IF(F806="EI",1.1,
IF(F806="ED",1.1,
IF(F806="SD",1.15,
IF(F806="DC",1.2,0)))))))))))</f>
        <v>1.1</v>
      </c>
    </row>
    <row r="807" customFormat="false" ht="16.4" hidden="false" customHeight="false" outlineLevel="0" collapsed="false">
      <c r="A807" s="1" t="n">
        <v>806</v>
      </c>
      <c r="B807" s="5" t="str">
        <f aca="false">[1]Base_Jugadores!B807</f>
        <v>Conor Bradley</v>
      </c>
      <c r="C807" s="5" t="str">
        <f aca="false">IFERROR(
   _xlfn.XLOOKUP(VALUE(A807),[1]Fichajes_Realizados!A$2:A$50000,[1]Fichajes_Realizados!D$2:D$50000,,0,-1),
   _xlfn.XLOOKUP(VALUE(A807),[1]Base_Jugadores!A$2:A$50000,[1]Base_Jugadores!C$2:C$50000)
)</f>
        <v>Liverpool FC</v>
      </c>
      <c r="D807" s="5" t="str">
        <f aca="false">[1]Base_Jugadores!D807</f>
        <v>Irlanda del Norte</v>
      </c>
      <c r="E807" s="3"/>
      <c r="F807" s="5" t="str">
        <f aca="false">[1]Base_Jugadores!E807</f>
        <v>LD</v>
      </c>
      <c r="G807" s="5" t="n">
        <f aca="false">[1]Base_Jugadores!F807</f>
        <v>75</v>
      </c>
      <c r="H807" s="5" t="n">
        <f aca="false">[1]Base_Jugadores!G807</f>
        <v>22</v>
      </c>
      <c r="I807" s="7" t="n">
        <f aca="false" t="array" ref="I807:I807">_xlfn.XLOOKUP(G807,{55;56;57;58;59;60;61;62;63;64;65;66;67;68;69;70;71;72;73;74;75;76;77;78;79;80;81;82;83;84;85;86;87;88;89;90;91;92;93;94;95;96;97;98;99},{100000;130000;160000;190000;220000;250000;300000;350000;400000;450000;500000;600000;700000;800000;900000;1000000;1500000;2000000;3000000;4000000;5000000;6500000;8000000;10000000;12500000;15000000;20000000;25000000;30000000;35000000;40000000;55000000;70000000;80000000;90000000;110000000;130000000;160000000;190000000;220000000;250000000;280000000;310000000;340000000;400000000})</f>
        <v>5000000</v>
      </c>
      <c r="J807" s="7" t="n">
        <f aca="false">I807*S807*T807*U807</f>
        <v>4182000</v>
      </c>
      <c r="K807" s="3"/>
      <c r="L807" s="3"/>
      <c r="M807" s="3"/>
      <c r="N807" s="9" t="n">
        <v>2</v>
      </c>
      <c r="O807" s="4" t="n">
        <v>1</v>
      </c>
      <c r="P807" s="5" t="n">
        <f aca="false">IF(COUNTIF([1]Base_Jugadores!J$2:J$500,B807)&gt;0,1,0)</f>
        <v>0</v>
      </c>
      <c r="Q807" s="10" t="b">
        <f aca="false">--(COUNTIFS(
   [1]Fichajes_Realizados!A$2:A$5000,A807,
   [1]Fichajes_Realizados!G$2:G$5000,$X$3
)&gt;0)</f>
        <v>0</v>
      </c>
      <c r="R807" s="5" t="n">
        <f aca="false">_xlfn.XLOOKUP(C807, [1]Estado_Equipos!A$2:A$500, [1]Estado_Equipos!J$2:J$500, "")</f>
        <v>84</v>
      </c>
      <c r="S807" s="5" t="n">
        <f aca="false">IF(H807&lt;=16,1.45,
IF(H807&gt;=41,0.3,
CHOOSE(ROUNDDOWN((H807-16)/2,0)+1,
1.45,1.38,1.3,1.23,1.17,1.15,1.12,1.05,0.95,0.8,0.6,0.4,0.3)))</f>
        <v>1.23</v>
      </c>
      <c r="T807" s="5" t="n">
        <f aca="false">CHOOSE(N807+1,1.2,1,0.85,0.7)</f>
        <v>0.85</v>
      </c>
      <c r="U807" s="5" t="n">
        <f aca="false">IF(F807="PO",0.6,
IF(F807="CT",0.75,
IF(F807="LI",0.8,
IF(F807="LD",0.8,
IF(F807="MCD",0.85,
IF(F807="MC",0.95,
IF(F807="MO",1.05,
IF(F807="EI",1.1,
IF(F807="ED",1.1,
IF(F807="SD",1.15,
IF(F807="DC",1.2,0)))))))))))</f>
        <v>0.8</v>
      </c>
    </row>
    <row r="808" customFormat="false" ht="16.4" hidden="false" customHeight="false" outlineLevel="0" collapsed="false">
      <c r="A808" s="1" t="n">
        <v>807</v>
      </c>
      <c r="B808" s="5" t="str">
        <f aca="false">[1]Base_Jugadores!B808</f>
        <v>Curtis Jones</v>
      </c>
      <c r="C808" s="5" t="str">
        <f aca="false">IFERROR(
   _xlfn.XLOOKUP(VALUE(A808),[1]Fichajes_Realizados!A$2:A$50000,[1]Fichajes_Realizados!D$2:D$50000,,0,-1),
   _xlfn.XLOOKUP(VALUE(A808),[1]Base_Jugadores!A$2:A$50000,[1]Base_Jugadores!C$2:C$50000)
)</f>
        <v>Liverpool FC</v>
      </c>
      <c r="D808" s="5" t="str">
        <f aca="false">[1]Base_Jugadores!D808</f>
        <v>Inglaterra</v>
      </c>
      <c r="E808" s="3"/>
      <c r="F808" s="5" t="str">
        <f aca="false">[1]Base_Jugadores!E808</f>
        <v>MC</v>
      </c>
      <c r="G808" s="5" t="n">
        <f aca="false">[1]Base_Jugadores!F808</f>
        <v>79</v>
      </c>
      <c r="H808" s="5" t="n">
        <f aca="false">[1]Base_Jugadores!G808</f>
        <v>24</v>
      </c>
      <c r="I808" s="7" t="n">
        <f aca="false" t="array" ref="I808:I808">_xlfn.XLOOKUP(G808,{55;56;57;58;59;60;61;62;63;64;65;66;67;68;69;70;71;72;73;74;75;76;77;78;79;80;81;82;83;84;85;86;87;88;89;90;91;92;93;94;95;96;97;98;99},{100000;130000;160000;190000;220000;250000;300000;350000;400000;450000;500000;600000;700000;800000;900000;1000000;1500000;2000000;3000000;4000000;5000000;6500000;8000000;10000000;12500000;15000000;20000000;25000000;30000000;35000000;40000000;55000000;70000000;80000000;90000000;110000000;130000000;160000000;190000000;220000000;250000000;280000000;310000000;340000000;400000000})</f>
        <v>12500000</v>
      </c>
      <c r="J808" s="7" t="n">
        <f aca="false">I808*S808*T808*U808</f>
        <v>11809687.5</v>
      </c>
      <c r="K808" s="3"/>
      <c r="L808" s="3"/>
      <c r="M808" s="3"/>
      <c r="N808" s="9" t="n">
        <v>2</v>
      </c>
      <c r="O808" s="4" t="n">
        <v>0</v>
      </c>
      <c r="P808" s="5" t="n">
        <f aca="false">IF(COUNTIF([1]Base_Jugadores!J$2:J$500,B808)&gt;0,1,0)</f>
        <v>0</v>
      </c>
      <c r="Q808" s="10" t="b">
        <f aca="false">--(COUNTIFS(
   [1]Fichajes_Realizados!A$2:A$5000,A808,
   [1]Fichajes_Realizados!G$2:G$5000,$X$3
)&gt;0)</f>
        <v>0</v>
      </c>
      <c r="R808" s="5" t="n">
        <f aca="false">_xlfn.XLOOKUP(C808, [1]Estado_Equipos!A$2:A$500, [1]Estado_Equipos!J$2:J$500, "")</f>
        <v>84</v>
      </c>
      <c r="S808" s="5" t="n">
        <f aca="false">IF(H808&lt;=16,1.45,
IF(H808&gt;=41,0.3,
CHOOSE(ROUNDDOWN((H808-16)/2,0)+1,
1.45,1.38,1.3,1.23,1.17,1.15,1.12,1.05,0.95,0.8,0.6,0.4,0.3)))</f>
        <v>1.17</v>
      </c>
      <c r="T808" s="5" t="n">
        <f aca="false">CHOOSE(N808+1,1.2,1,0.85,0.7)</f>
        <v>0.85</v>
      </c>
      <c r="U808" s="5" t="n">
        <f aca="false">IF(F808="PO",0.6,
IF(F808="CT",0.75,
IF(F808="LI",0.8,
IF(F808="LD",0.8,
IF(F808="MCD",0.85,
IF(F808="MC",0.95,
IF(F808="MO",1.05,
IF(F808="EI",1.1,
IF(F808="ED",1.1,
IF(F808="SD",1.15,
IF(F808="DC",1.2,0)))))))))))</f>
        <v>0.95</v>
      </c>
    </row>
    <row r="809" customFormat="false" ht="16.4" hidden="false" customHeight="false" outlineLevel="0" collapsed="false">
      <c r="A809" s="1" t="n">
        <v>808</v>
      </c>
      <c r="B809" s="5" t="str">
        <f aca="false">[1]Base_Jugadores!B809</f>
        <v>D. Szoboszlai</v>
      </c>
      <c r="C809" s="5" t="str">
        <f aca="false">IFERROR(
   _xlfn.XLOOKUP(VALUE(A809),[1]Fichajes_Realizados!A$2:A$50000,[1]Fichajes_Realizados!D$2:D$50000,,0,-1),
   _xlfn.XLOOKUP(VALUE(A809),[1]Base_Jugadores!A$2:A$50000,[1]Base_Jugadores!C$2:C$50000)
)</f>
        <v>Liverpool FC</v>
      </c>
      <c r="D809" s="5" t="str">
        <f aca="false">[1]Base_Jugadores!D809</f>
        <v>Hungría</v>
      </c>
      <c r="E809" s="3"/>
      <c r="F809" s="5" t="str">
        <f aca="false">[1]Base_Jugadores!E809</f>
        <v>MO</v>
      </c>
      <c r="G809" s="5" t="n">
        <f aca="false">[1]Base_Jugadores!F809</f>
        <v>83</v>
      </c>
      <c r="H809" s="5" t="n">
        <f aca="false">[1]Base_Jugadores!G809</f>
        <v>25</v>
      </c>
      <c r="I809" s="7" t="n">
        <f aca="false" t="array" ref="I809:I809">_xlfn.XLOOKUP(G809,{55;56;57;58;59;60;61;62;63;64;65;66;67;68;69;70;71;72;73;74;75;76;77;78;79;80;81;82;83;84;85;86;87;88;89;90;91;92;93;94;95;96;97;98;99},{100000;130000;160000;190000;220000;250000;300000;350000;400000;450000;500000;600000;700000;800000;900000;1000000;1500000;2000000;3000000;4000000;5000000;6500000;8000000;10000000;12500000;15000000;20000000;25000000;30000000;35000000;40000000;55000000;70000000;80000000;90000000;110000000;130000000;160000000;190000000;220000000;250000000;280000000;310000000;340000000;400000000})</f>
        <v>30000000</v>
      </c>
      <c r="J809" s="7" t="n">
        <f aca="false">I809*S809*T809*U809</f>
        <v>36855000</v>
      </c>
      <c r="K809" s="3"/>
      <c r="L809" s="3"/>
      <c r="M809" s="3"/>
      <c r="N809" s="9" t="n">
        <v>1</v>
      </c>
      <c r="O809" s="4" t="n">
        <v>0</v>
      </c>
      <c r="P809" s="5" t="n">
        <f aca="false">IF(COUNTIF([1]Base_Jugadores!J$2:J$500,B809)&gt;0,1,0)</f>
        <v>0</v>
      </c>
      <c r="Q809" s="10" t="b">
        <f aca="false">--(COUNTIFS(
   [1]Fichajes_Realizados!A$2:A$5000,A809,
   [1]Fichajes_Realizados!G$2:G$5000,$X$3
)&gt;0)</f>
        <v>0</v>
      </c>
      <c r="R809" s="5" t="n">
        <f aca="false">_xlfn.XLOOKUP(C809, [1]Estado_Equipos!A$2:A$500, [1]Estado_Equipos!J$2:J$500, "")</f>
        <v>84</v>
      </c>
      <c r="S809" s="5" t="n">
        <f aca="false">IF(H809&lt;=16,1.45,
IF(H809&gt;=41,0.3,
CHOOSE(ROUNDDOWN((H809-16)/2,0)+1,
1.45,1.38,1.3,1.23,1.17,1.15,1.12,1.05,0.95,0.8,0.6,0.4,0.3)))</f>
        <v>1.17</v>
      </c>
      <c r="T809" s="5" t="n">
        <f aca="false">CHOOSE(N809+1,1.2,1,0.85,0.7)</f>
        <v>1</v>
      </c>
      <c r="U809" s="5" t="n">
        <f aca="false">IF(F809="PO",0.6,
IF(F809="CT",0.75,
IF(F809="LI",0.8,
IF(F809="LD",0.8,
IF(F809="MCD",0.85,
IF(F809="MC",0.95,
IF(F809="MO",1.05,
IF(F809="EI",1.1,
IF(F809="ED",1.1,
IF(F809="SD",1.15,
IF(F809="DC",1.2,0)))))))))))</f>
        <v>1.05</v>
      </c>
    </row>
    <row r="810" customFormat="false" ht="16.4" hidden="false" customHeight="false" outlineLevel="0" collapsed="false">
      <c r="A810" s="1" t="n">
        <v>809</v>
      </c>
      <c r="B810" s="5" t="str">
        <f aca="false">[1]Base_Jugadores!B810</f>
        <v>Federico Chiesa</v>
      </c>
      <c r="C810" s="5" t="str">
        <f aca="false">IFERROR(
   _xlfn.XLOOKUP(VALUE(A810),[1]Fichajes_Realizados!A$2:A$50000,[1]Fichajes_Realizados!D$2:D$50000,,0,-1),
   _xlfn.XLOOKUP(VALUE(A810),[1]Base_Jugadores!A$2:A$50000,[1]Base_Jugadores!C$2:C$50000)
)</f>
        <v>Liverpool FC</v>
      </c>
      <c r="D810" s="5" t="str">
        <f aca="false">[1]Base_Jugadores!D810</f>
        <v>Italia</v>
      </c>
      <c r="E810" s="3"/>
      <c r="F810" s="5" t="str">
        <f aca="false">[1]Base_Jugadores!E810</f>
        <v>ED</v>
      </c>
      <c r="G810" s="5" t="n">
        <f aca="false">[1]Base_Jugadores!F810</f>
        <v>84</v>
      </c>
      <c r="H810" s="5" t="n">
        <f aca="false">[1]Base_Jugadores!G810</f>
        <v>28</v>
      </c>
      <c r="I810" s="7" t="n">
        <f aca="false" t="array" ref="I810:I810">_xlfn.XLOOKUP(G810,{55;56;57;58;59;60;61;62;63;64;65;66;67;68;69;70;71;72;73;74;75;76;77;78;79;80;81;82;83;84;85;86;87;88;89;90;91;92;93;94;95;96;97;98;99},{100000;130000;160000;190000;220000;250000;300000;350000;400000;450000;500000;600000;700000;800000;900000;1000000;1500000;2000000;3000000;4000000;5000000;6500000;8000000;10000000;12500000;15000000;20000000;25000000;30000000;35000000;40000000;55000000;70000000;80000000;90000000;110000000;130000000;160000000;190000000;220000000;250000000;280000000;310000000;340000000;400000000})</f>
        <v>35000000</v>
      </c>
      <c r="J810" s="7" t="n">
        <f aca="false">I810*S810*T810*U810</f>
        <v>43120000</v>
      </c>
      <c r="K810" s="3"/>
      <c r="L810" s="3"/>
      <c r="M810" s="3"/>
      <c r="N810" s="9" t="n">
        <v>1</v>
      </c>
      <c r="O810" s="4" t="n">
        <v>0</v>
      </c>
      <c r="P810" s="5" t="n">
        <f aca="false">IF(COUNTIF([1]Base_Jugadores!J$2:J$500,B810)&gt;0,1,0)</f>
        <v>0</v>
      </c>
      <c r="Q810" s="10" t="b">
        <f aca="false">--(COUNTIFS(
   [1]Fichajes_Realizados!A$2:A$5000,A810,
   [1]Fichajes_Realizados!G$2:G$5000,$X$3
)&gt;0)</f>
        <v>0</v>
      </c>
      <c r="R810" s="5" t="n">
        <f aca="false">_xlfn.XLOOKUP(C810, [1]Estado_Equipos!A$2:A$500, [1]Estado_Equipos!J$2:J$500, "")</f>
        <v>84</v>
      </c>
      <c r="S810" s="5" t="n">
        <f aca="false">IF(H810&lt;=16,1.45,
IF(H810&gt;=41,0.3,
CHOOSE(ROUNDDOWN((H810-16)/2,0)+1,
1.45,1.38,1.3,1.23,1.17,1.15,1.12,1.05,0.95,0.8,0.6,0.4,0.3)))</f>
        <v>1.12</v>
      </c>
      <c r="T810" s="5" t="n">
        <f aca="false">CHOOSE(N810+1,1.2,1,0.85,0.7)</f>
        <v>1</v>
      </c>
      <c r="U810" s="5" t="n">
        <f aca="false">IF(F810="PO",0.6,
IF(F810="CT",0.75,
IF(F810="LI",0.8,
IF(F810="LD",0.8,
IF(F810="MCD",0.85,
IF(F810="MC",0.95,
IF(F810="MO",1.05,
IF(F810="EI",1.1,
IF(F810="ED",1.1,
IF(F810="SD",1.15,
IF(F810="DC",1.2,0)))))))))))</f>
        <v>1.1</v>
      </c>
    </row>
    <row r="811" customFormat="false" ht="16.4" hidden="false" customHeight="false" outlineLevel="0" collapsed="false">
      <c r="A811" s="1" t="n">
        <v>810</v>
      </c>
      <c r="B811" s="5" t="str">
        <f aca="false">[1]Base_Jugadores!B811</f>
        <v>Florian Wirtz</v>
      </c>
      <c r="C811" s="5" t="str">
        <f aca="false">IFERROR(
   _xlfn.XLOOKUP(VALUE(A811),[1]Fichajes_Realizados!A$2:A$50000,[1]Fichajes_Realizados!D$2:D$50000,,0,-1),
   _xlfn.XLOOKUP(VALUE(A811),[1]Base_Jugadores!A$2:A$50000,[1]Base_Jugadores!C$2:C$50000)
)</f>
        <v>Liverpool FC</v>
      </c>
      <c r="D811" s="5" t="str">
        <f aca="false">[1]Base_Jugadores!D811</f>
        <v>Alemania</v>
      </c>
      <c r="E811" s="3"/>
      <c r="F811" s="5" t="str">
        <f aca="false">[1]Base_Jugadores!E811</f>
        <v>MO</v>
      </c>
      <c r="G811" s="5" t="n">
        <f aca="false">[1]Base_Jugadores!F811</f>
        <v>87</v>
      </c>
      <c r="H811" s="5" t="n">
        <f aca="false">[1]Base_Jugadores!G811</f>
        <v>22</v>
      </c>
      <c r="I811" s="7" t="n">
        <f aca="false" t="array" ref="I811:I811">_xlfn.XLOOKUP(G811,{55;56;57;58;59;60;61;62;63;64;65;66;67;68;69;70;71;72;73;74;75;76;77;78;79;80;81;82;83;84;85;86;87;88;89;90;91;92;93;94;95;96;97;98;99},{100000;130000;160000;190000;220000;250000;300000;350000;400000;450000;500000;600000;700000;800000;900000;1000000;1500000;2000000;3000000;4000000;5000000;6500000;8000000;10000000;12500000;15000000;20000000;25000000;30000000;35000000;40000000;55000000;70000000;80000000;90000000;110000000;130000000;160000000;190000000;220000000;250000000;280000000;310000000;340000000;400000000})</f>
        <v>70000000</v>
      </c>
      <c r="J811" s="7" t="n">
        <f aca="false">I811*S811*T811*U811</f>
        <v>108486000</v>
      </c>
      <c r="K811" s="3"/>
      <c r="L811" s="3"/>
      <c r="M811" s="3"/>
      <c r="N811" s="9" t="n">
        <v>0</v>
      </c>
      <c r="O811" s="4" t="n">
        <v>1</v>
      </c>
      <c r="P811" s="5" t="n">
        <f aca="false">IF(COUNTIF([1]Base_Jugadores!J$2:J$500,B811)&gt;0,1,0)</f>
        <v>0</v>
      </c>
      <c r="Q811" s="10" t="b">
        <f aca="false">--(COUNTIFS(
   [1]Fichajes_Realizados!A$2:A$5000,A811,
   [1]Fichajes_Realizados!G$2:G$5000,$X$3
)&gt;0)</f>
        <v>0</v>
      </c>
      <c r="R811" s="5" t="n">
        <f aca="false">_xlfn.XLOOKUP(C811, [1]Estado_Equipos!A$2:A$500, [1]Estado_Equipos!J$2:J$500, "")</f>
        <v>84</v>
      </c>
      <c r="S811" s="5" t="n">
        <f aca="false">IF(H811&lt;=16,1.45,
IF(H811&gt;=41,0.3,
CHOOSE(ROUNDDOWN((H811-16)/2,0)+1,
1.45,1.38,1.3,1.23,1.17,1.15,1.12,1.05,0.95,0.8,0.6,0.4,0.3)))</f>
        <v>1.23</v>
      </c>
      <c r="T811" s="5" t="n">
        <f aca="false">CHOOSE(N811+1,1.2,1,0.85,0.7)</f>
        <v>1.2</v>
      </c>
      <c r="U811" s="5" t="n">
        <f aca="false">IF(F811="PO",0.6,
IF(F811="CT",0.75,
IF(F811="LI",0.8,
IF(F811="LD",0.8,
IF(F811="MCD",0.85,
IF(F811="MC",0.95,
IF(F811="MO",1.05,
IF(F811="EI",1.1,
IF(F811="ED",1.1,
IF(F811="SD",1.15,
IF(F811="DC",1.2,0)))))))))))</f>
        <v>1.05</v>
      </c>
    </row>
    <row r="812" customFormat="false" ht="16.4" hidden="false" customHeight="false" outlineLevel="0" collapsed="false">
      <c r="A812" s="1" t="n">
        <v>811</v>
      </c>
      <c r="B812" s="5" t="str">
        <f aca="false">[1]Base_Jugadores!B812</f>
        <v>Freddie Woodman</v>
      </c>
      <c r="C812" s="5" t="str">
        <f aca="false">IFERROR(
   _xlfn.XLOOKUP(VALUE(A812),[1]Fichajes_Realizados!A$2:A$50000,[1]Fichajes_Realizados!D$2:D$50000,,0,-1),
   _xlfn.XLOOKUP(VALUE(A812),[1]Base_Jugadores!A$2:A$50000,[1]Base_Jugadores!C$2:C$50000)
)</f>
        <v>Liverpool FC</v>
      </c>
      <c r="D812" s="5" t="str">
        <f aca="false">[1]Base_Jugadores!D812</f>
        <v>Inglaterra</v>
      </c>
      <c r="E812" s="3"/>
      <c r="F812" s="5" t="str">
        <f aca="false">[1]Base_Jugadores!E812</f>
        <v>PO</v>
      </c>
      <c r="G812" s="5" t="n">
        <f aca="false">[1]Base_Jugadores!F812</f>
        <v>72</v>
      </c>
      <c r="H812" s="5" t="n">
        <f aca="false">[1]Base_Jugadores!G812</f>
        <v>28</v>
      </c>
      <c r="I812" s="7" t="n">
        <f aca="false" t="array" ref="I812:I812">_xlfn.XLOOKUP(G812,{55;56;57;58;59;60;61;62;63;64;65;66;67;68;69;70;71;72;73;74;75;76;77;78;79;80;81;82;83;84;85;86;87;88;89;90;91;92;93;94;95;96;97;98;99},{100000;130000;160000;190000;220000;250000;300000;350000;400000;450000;500000;600000;700000;800000;900000;1000000;1500000;2000000;3000000;4000000;5000000;6500000;8000000;10000000;12500000;15000000;20000000;25000000;30000000;35000000;40000000;55000000;70000000;80000000;90000000;110000000;130000000;160000000;190000000;220000000;250000000;280000000;310000000;340000000;400000000})</f>
        <v>2000000</v>
      </c>
      <c r="J812" s="7" t="n">
        <f aca="false">I812*S812*T812*U812</f>
        <v>1142400</v>
      </c>
      <c r="K812" s="3"/>
      <c r="L812" s="3"/>
      <c r="M812" s="3"/>
      <c r="N812" s="9" t="n">
        <v>2</v>
      </c>
      <c r="O812" s="4" t="n">
        <v>0</v>
      </c>
      <c r="P812" s="5" t="n">
        <f aca="false">IF(COUNTIF([1]Base_Jugadores!J$2:J$500,B812)&gt;0,1,0)</f>
        <v>0</v>
      </c>
      <c r="Q812" s="10" t="b">
        <f aca="false">--(COUNTIFS(
   [1]Fichajes_Realizados!A$2:A$5000,A812,
   [1]Fichajes_Realizados!G$2:G$5000,$X$3
)&gt;0)</f>
        <v>0</v>
      </c>
      <c r="R812" s="5" t="n">
        <f aca="false">_xlfn.XLOOKUP(C812, [1]Estado_Equipos!A$2:A$500, [1]Estado_Equipos!J$2:J$500, "")</f>
        <v>84</v>
      </c>
      <c r="S812" s="5" t="n">
        <f aca="false">IF(H812&lt;=16,1.45,
IF(H812&gt;=41,0.3,
CHOOSE(ROUNDDOWN((H812-16)/2,0)+1,
1.45,1.38,1.3,1.23,1.17,1.15,1.12,1.05,0.95,0.8,0.6,0.4,0.3)))</f>
        <v>1.12</v>
      </c>
      <c r="T812" s="5" t="n">
        <f aca="false">CHOOSE(N812+1,1.2,1,0.85,0.7)</f>
        <v>0.85</v>
      </c>
      <c r="U812" s="5" t="n">
        <f aca="false">IF(F812="PO",0.6,
IF(F812="CT",0.75,
IF(F812="LI",0.8,
IF(F812="LD",0.8,
IF(F812="MCD",0.85,
IF(F812="MC",0.95,
IF(F812="MO",1.05,
IF(F812="EI",1.1,
IF(F812="ED",1.1,
IF(F812="SD",1.15,
IF(F812="DC",1.2,0)))))))))))</f>
        <v>0.6</v>
      </c>
    </row>
    <row r="813" customFormat="false" ht="16.4" hidden="false" customHeight="false" outlineLevel="0" collapsed="false">
      <c r="A813" s="1" t="n">
        <v>812</v>
      </c>
      <c r="B813" s="5" t="str">
        <f aca="false">[1]Base_Jugadores!B813</f>
        <v>G. Mamardashvili</v>
      </c>
      <c r="C813" s="5" t="str">
        <f aca="false">IFERROR(
   _xlfn.XLOOKUP(VALUE(A813),[1]Fichajes_Realizados!A$2:A$50000,[1]Fichajes_Realizados!D$2:D$50000,,0,-1),
   _xlfn.XLOOKUP(VALUE(A813),[1]Base_Jugadores!A$2:A$50000,[1]Base_Jugadores!C$2:C$50000)
)</f>
        <v>Liverpool FC</v>
      </c>
      <c r="D813" s="5" t="str">
        <f aca="false">[1]Base_Jugadores!D813</f>
        <v>Georgia</v>
      </c>
      <c r="E813" s="3"/>
      <c r="F813" s="5" t="str">
        <f aca="false">[1]Base_Jugadores!E813</f>
        <v>PO</v>
      </c>
      <c r="G813" s="5" t="n">
        <f aca="false">[1]Base_Jugadores!F813</f>
        <v>85</v>
      </c>
      <c r="H813" s="5" t="n">
        <f aca="false">[1]Base_Jugadores!G813</f>
        <v>25</v>
      </c>
      <c r="I813" s="7" t="n">
        <f aca="false" t="array" ref="I813:I813">_xlfn.XLOOKUP(G813,{55;56;57;58;59;60;61;62;63;64;65;66;67;68;69;70;71;72;73;74;75;76;77;78;79;80;81;82;83;84;85;86;87;88;89;90;91;92;93;94;95;96;97;98;99},{100000;130000;160000;190000;220000;250000;300000;350000;400000;450000;500000;600000;700000;800000;900000;1000000;1500000;2000000;3000000;4000000;5000000;6500000;8000000;10000000;12500000;15000000;20000000;25000000;30000000;35000000;40000000;55000000;70000000;80000000;90000000;110000000;130000000;160000000;190000000;220000000;250000000;280000000;310000000;340000000;400000000})</f>
        <v>40000000</v>
      </c>
      <c r="J813" s="7" t="n">
        <f aca="false">I813*S813*T813*U813</f>
        <v>23868000</v>
      </c>
      <c r="K813" s="3"/>
      <c r="L813" s="3"/>
      <c r="M813" s="3"/>
      <c r="N813" s="9" t="n">
        <v>2</v>
      </c>
      <c r="O813" s="4" t="n">
        <v>0</v>
      </c>
      <c r="P813" s="5" t="n">
        <f aca="false">IF(COUNTIF([1]Base_Jugadores!J$2:J$500,B813)&gt;0,1,0)</f>
        <v>0</v>
      </c>
      <c r="Q813" s="10" t="b">
        <f aca="false">--(COUNTIFS(
   [1]Fichajes_Realizados!A$2:A$5000,A813,
   [1]Fichajes_Realizados!G$2:G$5000,$X$3
)&gt;0)</f>
        <v>0</v>
      </c>
      <c r="R813" s="5" t="n">
        <f aca="false">_xlfn.XLOOKUP(C813, [1]Estado_Equipos!A$2:A$500, [1]Estado_Equipos!J$2:J$500, "")</f>
        <v>84</v>
      </c>
      <c r="S813" s="5" t="n">
        <f aca="false">IF(H813&lt;=16,1.45,
IF(H813&gt;=41,0.3,
CHOOSE(ROUNDDOWN((H813-16)/2,0)+1,
1.45,1.38,1.3,1.23,1.17,1.15,1.12,1.05,0.95,0.8,0.6,0.4,0.3)))</f>
        <v>1.17</v>
      </c>
      <c r="T813" s="5" t="n">
        <f aca="false">CHOOSE(N813+1,1.2,1,0.85,0.7)</f>
        <v>0.85</v>
      </c>
      <c r="U813" s="5" t="n">
        <f aca="false">IF(F813="PO",0.6,
IF(F813="CT",0.75,
IF(F813="LI",0.8,
IF(F813="LD",0.8,
IF(F813="MCD",0.85,
IF(F813="MC",0.95,
IF(F813="MO",1.05,
IF(F813="EI",1.1,
IF(F813="ED",1.1,
IF(F813="SD",1.15,
IF(F813="DC",1.2,0)))))))))))</f>
        <v>0.6</v>
      </c>
    </row>
    <row r="814" customFormat="false" ht="16.4" hidden="false" customHeight="false" outlineLevel="0" collapsed="false">
      <c r="A814" s="1" t="n">
        <v>813</v>
      </c>
      <c r="B814" s="5" t="str">
        <f aca="false">[1]Base_Jugadores!B814</f>
        <v>Giovanni Leoni</v>
      </c>
      <c r="C814" s="5" t="str">
        <f aca="false">IFERROR(
   _xlfn.XLOOKUP(VALUE(A814),[1]Fichajes_Realizados!A$2:A$50000,[1]Fichajes_Realizados!D$2:D$50000,,0,-1),
   _xlfn.XLOOKUP(VALUE(A814),[1]Base_Jugadores!A$2:A$50000,[1]Base_Jugadores!C$2:C$50000)
)</f>
        <v>Liverpool FC</v>
      </c>
      <c r="D814" s="5" t="str">
        <f aca="false">[1]Base_Jugadores!D814</f>
        <v>Italia</v>
      </c>
      <c r="E814" s="3"/>
      <c r="F814" s="5" t="str">
        <f aca="false">[1]Base_Jugadores!E814</f>
        <v>CT</v>
      </c>
      <c r="G814" s="5" t="n">
        <f aca="false">[1]Base_Jugadores!F814</f>
        <v>66</v>
      </c>
      <c r="H814" s="5" t="n">
        <f aca="false">[1]Base_Jugadores!G814</f>
        <v>19</v>
      </c>
      <c r="I814" s="7" t="n">
        <f aca="false" t="array" ref="I814:I814">_xlfn.XLOOKUP(G814,{55;56;57;58;59;60;61;62;63;64;65;66;67;68;69;70;71;72;73;74;75;76;77;78;79;80;81;82;83;84;85;86;87;88;89;90;91;92;93;94;95;96;97;98;99},{100000;130000;160000;190000;220000;250000;300000;350000;400000;450000;500000;600000;700000;800000;900000;1000000;1500000;2000000;3000000;4000000;5000000;6500000;8000000;10000000;12500000;15000000;20000000;25000000;30000000;35000000;40000000;55000000;70000000;80000000;90000000;110000000;130000000;160000000;190000000;220000000;250000000;280000000;310000000;340000000;400000000})</f>
        <v>600000</v>
      </c>
      <c r="J814" s="7" t="n">
        <f aca="false">I814*S814*T814*U814</f>
        <v>527850</v>
      </c>
      <c r="K814" s="3"/>
      <c r="L814" s="3"/>
      <c r="M814" s="3"/>
      <c r="N814" s="9" t="n">
        <v>2</v>
      </c>
      <c r="O814" s="4" t="n">
        <v>0</v>
      </c>
      <c r="P814" s="5" t="n">
        <f aca="false">IF(COUNTIF([1]Base_Jugadores!J$2:J$500,B814)&gt;0,1,0)</f>
        <v>0</v>
      </c>
      <c r="Q814" s="10" t="b">
        <f aca="false">--(COUNTIFS(
   [1]Fichajes_Realizados!A$2:A$5000,A814,
   [1]Fichajes_Realizados!G$2:G$5000,$X$3
)&gt;0)</f>
        <v>0</v>
      </c>
      <c r="R814" s="5" t="n">
        <f aca="false">_xlfn.XLOOKUP(C814, [1]Estado_Equipos!A$2:A$500, [1]Estado_Equipos!J$2:J$500, "")</f>
        <v>84</v>
      </c>
      <c r="S814" s="5" t="n">
        <f aca="false">IF(H814&lt;=16,1.45,
IF(H814&gt;=41,0.3,
CHOOSE(ROUNDDOWN((H814-16)/2,0)+1,
1.45,1.38,1.3,1.23,1.17,1.15,1.12,1.05,0.95,0.8,0.6,0.4,0.3)))</f>
        <v>1.38</v>
      </c>
      <c r="T814" s="5" t="n">
        <f aca="false">CHOOSE(N814+1,1.2,1,0.85,0.7)</f>
        <v>0.85</v>
      </c>
      <c r="U814" s="5" t="n">
        <f aca="false">IF(F814="PO",0.6,
IF(F814="CT",0.75,
IF(F814="LI",0.8,
IF(F814="LD",0.8,
IF(F814="MCD",0.85,
IF(F814="MC",0.95,
IF(F814="MO",1.05,
IF(F814="EI",1.1,
IF(F814="ED",1.1,
IF(F814="SD",1.15,
IF(F814="DC",1.2,0)))))))))))</f>
        <v>0.75</v>
      </c>
    </row>
    <row r="815" customFormat="false" ht="16.4" hidden="false" customHeight="false" outlineLevel="0" collapsed="false">
      <c r="A815" s="1" t="n">
        <v>814</v>
      </c>
      <c r="B815" s="5" t="str">
        <f aca="false">[1]Base_Jugadores!B815</f>
        <v>Hugo Ekitiké</v>
      </c>
      <c r="C815" s="5" t="str">
        <f aca="false">IFERROR(
   _xlfn.XLOOKUP(VALUE(A815),[1]Fichajes_Realizados!A$2:A$50000,[1]Fichajes_Realizados!D$2:D$50000,,0,-1),
   _xlfn.XLOOKUP(VALUE(A815),[1]Base_Jugadores!A$2:A$50000,[1]Base_Jugadores!C$2:C$50000)
)</f>
        <v>Liverpool FC</v>
      </c>
      <c r="D815" s="5" t="str">
        <f aca="false">[1]Base_Jugadores!D815</f>
        <v>Francia</v>
      </c>
      <c r="E815" s="3"/>
      <c r="F815" s="5" t="str">
        <f aca="false">[1]Base_Jugadores!E815</f>
        <v>DC</v>
      </c>
      <c r="G815" s="5" t="n">
        <f aca="false">[1]Base_Jugadores!F815</f>
        <v>79</v>
      </c>
      <c r="H815" s="5" t="n">
        <f aca="false">[1]Base_Jugadores!G815</f>
        <v>23</v>
      </c>
      <c r="I815" s="7" t="n">
        <f aca="false" t="array" ref="I815:I815">_xlfn.XLOOKUP(G815,{55;56;57;58;59;60;61;62;63;64;65;66;67;68;69;70;71;72;73;74;75;76;77;78;79;80;81;82;83;84;85;86;87;88;89;90;91;92;93;94;95;96;97;98;99},{100000;130000;160000;190000;220000;250000;300000;350000;400000;450000;500000;600000;700000;800000;900000;1000000;1500000;2000000;3000000;4000000;5000000;6500000;8000000;10000000;12500000;15000000;20000000;25000000;30000000;35000000;40000000;55000000;70000000;80000000;90000000;110000000;130000000;160000000;190000000;220000000;250000000;280000000;310000000;340000000;400000000})</f>
        <v>12500000</v>
      </c>
      <c r="J815" s="7" t="n">
        <f aca="false">I815*S815*T815*U815</f>
        <v>15682500</v>
      </c>
      <c r="K815" s="3"/>
      <c r="L815" s="3"/>
      <c r="M815" s="3"/>
      <c r="N815" s="9" t="n">
        <v>2</v>
      </c>
      <c r="O815" s="4" t="n">
        <v>0</v>
      </c>
      <c r="P815" s="5" t="n">
        <f aca="false">IF(COUNTIF([1]Base_Jugadores!J$2:J$500,B815)&gt;0,1,0)</f>
        <v>0</v>
      </c>
      <c r="Q815" s="10" t="b">
        <f aca="false">--(COUNTIFS(
   [1]Fichajes_Realizados!A$2:A$5000,A815,
   [1]Fichajes_Realizados!G$2:G$5000,$X$3
)&gt;0)</f>
        <v>0</v>
      </c>
      <c r="R815" s="5" t="n">
        <f aca="false">_xlfn.XLOOKUP(C815, [1]Estado_Equipos!A$2:A$500, [1]Estado_Equipos!J$2:J$500, "")</f>
        <v>84</v>
      </c>
      <c r="S815" s="5" t="n">
        <f aca="false">IF(H815&lt;=16,1.45,
IF(H815&gt;=41,0.3,
CHOOSE(ROUNDDOWN((H815-16)/2,0)+1,
1.45,1.38,1.3,1.23,1.17,1.15,1.12,1.05,0.95,0.8,0.6,0.4,0.3)))</f>
        <v>1.23</v>
      </c>
      <c r="T815" s="5" t="n">
        <f aca="false">CHOOSE(N815+1,1.2,1,0.85,0.7)</f>
        <v>0.85</v>
      </c>
      <c r="U815" s="5" t="n">
        <f aca="false">IF(F815="PO",0.6,
IF(F815="CT",0.75,
IF(F815="LI",0.8,
IF(F815="LD",0.8,
IF(F815="MCD",0.85,
IF(F815="MC",0.95,
IF(F815="MO",1.05,
IF(F815="EI",1.1,
IF(F815="ED",1.1,
IF(F815="SD",1.15,
IF(F815="DC",1.2,0)))))))))))</f>
        <v>1.2</v>
      </c>
    </row>
    <row r="816" customFormat="false" ht="16.4" hidden="false" customHeight="false" outlineLevel="0" collapsed="false">
      <c r="A816" s="1" t="n">
        <v>815</v>
      </c>
      <c r="B816" s="5" t="str">
        <f aca="false">[1]Base_Jugadores!B816</f>
        <v>Ibrahima Konaté</v>
      </c>
      <c r="C816" s="5" t="str">
        <f aca="false">IFERROR(
   _xlfn.XLOOKUP(VALUE(A816),[1]Fichajes_Realizados!A$2:A$50000,[1]Fichajes_Realizados!D$2:D$50000,,0,-1),
   _xlfn.XLOOKUP(VALUE(A816),[1]Base_Jugadores!A$2:A$50000,[1]Base_Jugadores!C$2:C$50000)
)</f>
        <v>Liverpool FC</v>
      </c>
      <c r="D816" s="5" t="str">
        <f aca="false">[1]Base_Jugadores!D816</f>
        <v>Francia</v>
      </c>
      <c r="E816" s="3"/>
      <c r="F816" s="5" t="str">
        <f aca="false">[1]Base_Jugadores!E816</f>
        <v>CT</v>
      </c>
      <c r="G816" s="5" t="n">
        <f aca="false">[1]Base_Jugadores!F816</f>
        <v>84</v>
      </c>
      <c r="H816" s="5" t="n">
        <f aca="false">[1]Base_Jugadores!G816</f>
        <v>26</v>
      </c>
      <c r="I816" s="7" t="n">
        <f aca="false" t="array" ref="I816:I816">_xlfn.XLOOKUP(G816,{55;56;57;58;59;60;61;62;63;64;65;66;67;68;69;70;71;72;73;74;75;76;77;78;79;80;81;82;83;84;85;86;87;88;89;90;91;92;93;94;95;96;97;98;99},{100000;130000;160000;190000;220000;250000;300000;350000;400000;450000;500000;600000;700000;800000;900000;1000000;1500000;2000000;3000000;4000000;5000000;6500000;8000000;10000000;12500000;15000000;20000000;25000000;30000000;35000000;40000000;55000000;70000000;80000000;90000000;110000000;130000000;160000000;190000000;220000000;250000000;280000000;310000000;340000000;400000000})</f>
        <v>35000000</v>
      </c>
      <c r="J816" s="7" t="n">
        <f aca="false">I816*S816*T816*U816</f>
        <v>36225000</v>
      </c>
      <c r="K816" s="3"/>
      <c r="L816" s="3"/>
      <c r="M816" s="3"/>
      <c r="N816" s="9" t="n">
        <v>0</v>
      </c>
      <c r="O816" s="4" t="n">
        <v>0</v>
      </c>
      <c r="P816" s="5" t="n">
        <f aca="false">IF(COUNTIF([1]Base_Jugadores!J$2:J$500,B816)&gt;0,1,0)</f>
        <v>0</v>
      </c>
      <c r="Q816" s="10" t="b">
        <f aca="false">--(COUNTIFS(
   [1]Fichajes_Realizados!A$2:A$5000,A816,
   [1]Fichajes_Realizados!G$2:G$5000,$X$3
)&gt;0)</f>
        <v>0</v>
      </c>
      <c r="R816" s="5" t="n">
        <f aca="false">_xlfn.XLOOKUP(C816, [1]Estado_Equipos!A$2:A$500, [1]Estado_Equipos!J$2:J$500, "")</f>
        <v>84</v>
      </c>
      <c r="S816" s="5" t="n">
        <f aca="false">IF(H816&lt;=16,1.45,
IF(H816&gt;=41,0.3,
CHOOSE(ROUNDDOWN((H816-16)/2,0)+1,
1.45,1.38,1.3,1.23,1.17,1.15,1.12,1.05,0.95,0.8,0.6,0.4,0.3)))</f>
        <v>1.15</v>
      </c>
      <c r="T816" s="5" t="n">
        <f aca="false">CHOOSE(N816+1,1.2,1,0.85,0.7)</f>
        <v>1.2</v>
      </c>
      <c r="U816" s="5" t="n">
        <f aca="false">IF(F816="PO",0.6,
IF(F816="CT",0.75,
IF(F816="LI",0.8,
IF(F816="LD",0.8,
IF(F816="MCD",0.85,
IF(F816="MC",0.95,
IF(F816="MO",1.05,
IF(F816="EI",1.1,
IF(F816="ED",1.1,
IF(F816="SD",1.15,
IF(F816="DC",1.2,0)))))))))))</f>
        <v>0.75</v>
      </c>
    </row>
    <row r="817" customFormat="false" ht="16.4" hidden="false" customHeight="false" outlineLevel="0" collapsed="false">
      <c r="A817" s="1" t="n">
        <v>816</v>
      </c>
      <c r="B817" s="5" t="str">
        <f aca="false">[1]Base_Jugadores!B817</f>
        <v>Jayden Danns</v>
      </c>
      <c r="C817" s="5" t="str">
        <f aca="false">IFERROR(
   _xlfn.XLOOKUP(VALUE(A817),[1]Fichajes_Realizados!A$2:A$50000,[1]Fichajes_Realizados!D$2:D$50000,,0,-1),
   _xlfn.XLOOKUP(VALUE(A817),[1]Base_Jugadores!A$2:A$50000,[1]Base_Jugadores!C$2:C$50000)
)</f>
        <v>Liverpool FC</v>
      </c>
      <c r="D817" s="5" t="str">
        <f aca="false">[1]Base_Jugadores!D817</f>
        <v>Inglaterra</v>
      </c>
      <c r="E817" s="3"/>
      <c r="F817" s="5" t="str">
        <f aca="false">[1]Base_Jugadores!E817</f>
        <v>DC</v>
      </c>
      <c r="G817" s="5" t="n">
        <f aca="false">[1]Base_Jugadores!F817</f>
        <v>65</v>
      </c>
      <c r="H817" s="5" t="n">
        <f aca="false">[1]Base_Jugadores!G817</f>
        <v>19</v>
      </c>
      <c r="I817" s="7" t="n">
        <f aca="false" t="array" ref="I817:I817">_xlfn.XLOOKUP(G817,{55;56;57;58;59;60;61;62;63;64;65;66;67;68;69;70;71;72;73;74;75;76;77;78;79;80;81;82;83;84;85;86;87;88;89;90;91;92;93;94;95;96;97;98;99},{100000;130000;160000;190000;220000;250000;300000;350000;400000;450000;500000;600000;700000;800000;900000;1000000;1500000;2000000;3000000;4000000;5000000;6500000;8000000;10000000;12500000;15000000;20000000;25000000;30000000;35000000;40000000;55000000;70000000;80000000;90000000;110000000;130000000;160000000;190000000;220000000;250000000;280000000;310000000;340000000;400000000})</f>
        <v>500000</v>
      </c>
      <c r="J817" s="7" t="n">
        <f aca="false">I817*S817*T817*U817</f>
        <v>703800</v>
      </c>
      <c r="K817" s="3"/>
      <c r="L817" s="3"/>
      <c r="M817" s="3"/>
      <c r="N817" s="9" t="n">
        <v>2</v>
      </c>
      <c r="O817" s="4" t="n">
        <v>0</v>
      </c>
      <c r="P817" s="5" t="n">
        <f aca="false">IF(COUNTIF([1]Base_Jugadores!J$2:J$500,B817)&gt;0,1,0)</f>
        <v>0</v>
      </c>
      <c r="Q817" s="10" t="b">
        <f aca="false">--(COUNTIFS(
   [1]Fichajes_Realizados!A$2:A$5000,A817,
   [1]Fichajes_Realizados!G$2:G$5000,$X$3
)&gt;0)</f>
        <v>0</v>
      </c>
      <c r="R817" s="5" t="n">
        <f aca="false">_xlfn.XLOOKUP(C817, [1]Estado_Equipos!A$2:A$500, [1]Estado_Equipos!J$2:J$500, "")</f>
        <v>84</v>
      </c>
      <c r="S817" s="5" t="n">
        <f aca="false">IF(H817&lt;=16,1.45,
IF(H817&gt;=41,0.3,
CHOOSE(ROUNDDOWN((H817-16)/2,0)+1,
1.45,1.38,1.3,1.23,1.17,1.15,1.12,1.05,0.95,0.8,0.6,0.4,0.3)))</f>
        <v>1.38</v>
      </c>
      <c r="T817" s="5" t="n">
        <f aca="false">CHOOSE(N817+1,1.2,1,0.85,0.7)</f>
        <v>0.85</v>
      </c>
      <c r="U817" s="5" t="n">
        <f aca="false">IF(F817="PO",0.6,
IF(F817="CT",0.75,
IF(F817="LI",0.8,
IF(F817="LD",0.8,
IF(F817="MCD",0.85,
IF(F817="MC",0.95,
IF(F817="MO",1.05,
IF(F817="EI",1.1,
IF(F817="ED",1.1,
IF(F817="SD",1.15,
IF(F817="DC",1.2,0)))))))))))</f>
        <v>1.2</v>
      </c>
    </row>
    <row r="818" customFormat="false" ht="16.4" hidden="false" customHeight="false" outlineLevel="0" collapsed="false">
      <c r="A818" s="1" t="n">
        <v>817</v>
      </c>
      <c r="B818" s="5" t="str">
        <f aca="false">[1]Base_Jugadores!B818</f>
        <v>Jeremie Frimpong</v>
      </c>
      <c r="C818" s="5" t="str">
        <f aca="false">IFERROR(
   _xlfn.XLOOKUP(VALUE(A818),[1]Fichajes_Realizados!A$2:A$50000,[1]Fichajes_Realizados!D$2:D$50000,,0,-1),
   _xlfn.XLOOKUP(VALUE(A818),[1]Base_Jugadores!A$2:A$50000,[1]Base_Jugadores!C$2:C$50000)
)</f>
        <v>Liverpool FC</v>
      </c>
      <c r="D818" s="5" t="str">
        <f aca="false">[1]Base_Jugadores!D818</f>
        <v>Países Bajos</v>
      </c>
      <c r="E818" s="3"/>
      <c r="F818" s="5" t="str">
        <f aca="false">[1]Base_Jugadores!E818</f>
        <v>LD</v>
      </c>
      <c r="G818" s="5" t="n">
        <f aca="false">[1]Base_Jugadores!F818</f>
        <v>87</v>
      </c>
      <c r="H818" s="5" t="n">
        <f aca="false">[1]Base_Jugadores!G818</f>
        <v>25</v>
      </c>
      <c r="I818" s="7" t="n">
        <f aca="false" t="array" ref="I818:I818">_xlfn.XLOOKUP(G818,{55;56;57;58;59;60;61;62;63;64;65;66;67;68;69;70;71;72;73;74;75;76;77;78;79;80;81;82;83;84;85;86;87;88;89;90;91;92;93;94;95;96;97;98;99},{100000;130000;160000;190000;220000;250000;300000;350000;400000;450000;500000;600000;700000;800000;900000;1000000;1500000;2000000;3000000;4000000;5000000;6500000;8000000;10000000;12500000;15000000;20000000;25000000;30000000;35000000;40000000;55000000;70000000;80000000;90000000;110000000;130000000;160000000;190000000;220000000;250000000;280000000;310000000;340000000;400000000})</f>
        <v>70000000</v>
      </c>
      <c r="J818" s="7" t="n">
        <f aca="false">I818*S818*T818*U818</f>
        <v>78624000</v>
      </c>
      <c r="K818" s="3"/>
      <c r="L818" s="3"/>
      <c r="M818" s="3"/>
      <c r="N818" s="9" t="n">
        <v>0</v>
      </c>
      <c r="O818" s="4" t="n">
        <v>0</v>
      </c>
      <c r="P818" s="5" t="n">
        <f aca="false">IF(COUNTIF([1]Base_Jugadores!J$2:J$500,B818)&gt;0,1,0)</f>
        <v>0</v>
      </c>
      <c r="Q818" s="10" t="b">
        <f aca="false">--(COUNTIFS(
   [1]Fichajes_Realizados!A$2:A$5000,A818,
   [1]Fichajes_Realizados!G$2:G$5000,$X$3
)&gt;0)</f>
        <v>0</v>
      </c>
      <c r="R818" s="5" t="n">
        <f aca="false">_xlfn.XLOOKUP(C818, [1]Estado_Equipos!A$2:A$500, [1]Estado_Equipos!J$2:J$500, "")</f>
        <v>84</v>
      </c>
      <c r="S818" s="5" t="n">
        <f aca="false">IF(H818&lt;=16,1.45,
IF(H818&gt;=41,0.3,
CHOOSE(ROUNDDOWN((H818-16)/2,0)+1,
1.45,1.38,1.3,1.23,1.17,1.15,1.12,1.05,0.95,0.8,0.6,0.4,0.3)))</f>
        <v>1.17</v>
      </c>
      <c r="T818" s="5" t="n">
        <f aca="false">CHOOSE(N818+1,1.2,1,0.85,0.7)</f>
        <v>1.2</v>
      </c>
      <c r="U818" s="5" t="n">
        <f aca="false">IF(F818="PO",0.6,
IF(F818="CT",0.75,
IF(F818="LI",0.8,
IF(F818="LD",0.8,
IF(F818="MCD",0.85,
IF(F818="MC",0.95,
IF(F818="MO",1.05,
IF(F818="EI",1.1,
IF(F818="ED",1.1,
IF(F818="SD",1.15,
IF(F818="DC",1.2,0)))))))))))</f>
        <v>0.8</v>
      </c>
    </row>
    <row r="819" customFormat="false" ht="16.4" hidden="false" customHeight="false" outlineLevel="0" collapsed="false">
      <c r="A819" s="1" t="n">
        <v>818</v>
      </c>
      <c r="B819" s="5" t="str">
        <f aca="false">[1]Base_Jugadores!B819</f>
        <v>Joe Gomez</v>
      </c>
      <c r="C819" s="5" t="str">
        <f aca="false">IFERROR(
   _xlfn.XLOOKUP(VALUE(A819),[1]Fichajes_Realizados!A$2:A$50000,[1]Fichajes_Realizados!D$2:D$50000,,0,-1),
   _xlfn.XLOOKUP(VALUE(A819),[1]Base_Jugadores!A$2:A$50000,[1]Base_Jugadores!C$2:C$50000)
)</f>
        <v>Liverpool FC</v>
      </c>
      <c r="D819" s="5" t="str">
        <f aca="false">[1]Base_Jugadores!D819</f>
        <v>Inglaterra</v>
      </c>
      <c r="E819" s="3"/>
      <c r="F819" s="5" t="str">
        <f aca="false">[1]Base_Jugadores!E819</f>
        <v>CT</v>
      </c>
      <c r="G819" s="5" t="n">
        <f aca="false">[1]Base_Jugadores!F819</f>
        <v>80</v>
      </c>
      <c r="H819" s="5" t="n">
        <f aca="false">[1]Base_Jugadores!G819</f>
        <v>28</v>
      </c>
      <c r="I819" s="7" t="n">
        <f aca="false" t="array" ref="I819:I819">_xlfn.XLOOKUP(G819,{55;56;57;58;59;60;61;62;63;64;65;66;67;68;69;70;71;72;73;74;75;76;77;78;79;80;81;82;83;84;85;86;87;88;89;90;91;92;93;94;95;96;97;98;99},{100000;130000;160000;190000;220000;250000;300000;350000;400000;450000;500000;600000;700000;800000;900000;1000000;1500000;2000000;3000000;4000000;5000000;6500000;8000000;10000000;12500000;15000000;20000000;25000000;30000000;35000000;40000000;55000000;70000000;80000000;90000000;110000000;130000000;160000000;190000000;220000000;250000000;280000000;310000000;340000000;400000000})</f>
        <v>15000000</v>
      </c>
      <c r="J819" s="7" t="n">
        <f aca="false">I819*S819*T819*U819</f>
        <v>12600000</v>
      </c>
      <c r="K819" s="3"/>
      <c r="L819" s="3"/>
      <c r="M819" s="3"/>
      <c r="N819" s="9" t="n">
        <v>1</v>
      </c>
      <c r="O819" s="4" t="n">
        <v>0</v>
      </c>
      <c r="P819" s="5" t="n">
        <f aca="false">IF(COUNTIF([1]Base_Jugadores!J$2:J$500,B819)&gt;0,1,0)</f>
        <v>0</v>
      </c>
      <c r="Q819" s="10" t="b">
        <f aca="false">--(COUNTIFS(
   [1]Fichajes_Realizados!A$2:A$5000,A819,
   [1]Fichajes_Realizados!G$2:G$5000,$X$3
)&gt;0)</f>
        <v>0</v>
      </c>
      <c r="R819" s="5" t="n">
        <f aca="false">_xlfn.XLOOKUP(C819, [1]Estado_Equipos!A$2:A$500, [1]Estado_Equipos!J$2:J$500, "")</f>
        <v>84</v>
      </c>
      <c r="S819" s="5" t="n">
        <f aca="false">IF(H819&lt;=16,1.45,
IF(H819&gt;=41,0.3,
CHOOSE(ROUNDDOWN((H819-16)/2,0)+1,
1.45,1.38,1.3,1.23,1.17,1.15,1.12,1.05,0.95,0.8,0.6,0.4,0.3)))</f>
        <v>1.12</v>
      </c>
      <c r="T819" s="5" t="n">
        <f aca="false">CHOOSE(N819+1,1.2,1,0.85,0.7)</f>
        <v>1</v>
      </c>
      <c r="U819" s="5" t="n">
        <f aca="false">IF(F819="PO",0.6,
IF(F819="CT",0.75,
IF(F819="LI",0.8,
IF(F819="LD",0.8,
IF(F819="MCD",0.85,
IF(F819="MC",0.95,
IF(F819="MO",1.05,
IF(F819="EI",1.1,
IF(F819="ED",1.1,
IF(F819="SD",1.15,
IF(F819="DC",1.2,0)))))))))))</f>
        <v>0.75</v>
      </c>
    </row>
    <row r="820" customFormat="false" ht="16.4" hidden="false" customHeight="false" outlineLevel="0" collapsed="false">
      <c r="A820" s="1" t="n">
        <v>819</v>
      </c>
      <c r="B820" s="5" t="str">
        <f aca="false">[1]Base_Jugadores!B820</f>
        <v>Milos Kerkez</v>
      </c>
      <c r="C820" s="5" t="str">
        <f aca="false">IFERROR(
   _xlfn.XLOOKUP(VALUE(A820),[1]Fichajes_Realizados!A$2:A$50000,[1]Fichajes_Realizados!D$2:D$50000,,0,-1),
   _xlfn.XLOOKUP(VALUE(A820),[1]Base_Jugadores!A$2:A$50000,[1]Base_Jugadores!C$2:C$50000)
)</f>
        <v>Liverpool FC</v>
      </c>
      <c r="D820" s="5" t="str">
        <f aca="false">[1]Base_Jugadores!D820</f>
        <v>Hungría</v>
      </c>
      <c r="E820" s="3"/>
      <c r="F820" s="5" t="str">
        <f aca="false">[1]Base_Jugadores!E820</f>
        <v>LI</v>
      </c>
      <c r="G820" s="5" t="n">
        <f aca="false">[1]Base_Jugadores!F820</f>
        <v>81</v>
      </c>
      <c r="H820" s="5" t="n">
        <f aca="false">[1]Base_Jugadores!G820</f>
        <v>22</v>
      </c>
      <c r="I820" s="7" t="n">
        <f aca="false" t="array" ref="I820:I820">_xlfn.XLOOKUP(G820,{55;56;57;58;59;60;61;62;63;64;65;66;67;68;69;70;71;72;73;74;75;76;77;78;79;80;81;82;83;84;85;86;87;88;89;90;91;92;93;94;95;96;97;98;99},{100000;130000;160000;190000;220000;250000;300000;350000;400000;450000;500000;600000;700000;800000;900000;1000000;1500000;2000000;3000000;4000000;5000000;6500000;8000000;10000000;12500000;15000000;20000000;25000000;30000000;35000000;40000000;55000000;70000000;80000000;90000000;110000000;130000000;160000000;190000000;220000000;250000000;280000000;310000000;340000000;400000000})</f>
        <v>20000000</v>
      </c>
      <c r="J820" s="7" t="n">
        <f aca="false">I820*S820*T820*U820</f>
        <v>19680000</v>
      </c>
      <c r="K820" s="3"/>
      <c r="L820" s="3"/>
      <c r="M820" s="3"/>
      <c r="N820" s="9" t="n">
        <v>1</v>
      </c>
      <c r="O820" s="4" t="n">
        <v>1</v>
      </c>
      <c r="P820" s="5" t="n">
        <f aca="false">IF(COUNTIF([1]Base_Jugadores!J$2:J$500,B820)&gt;0,1,0)</f>
        <v>0</v>
      </c>
      <c r="Q820" s="10" t="b">
        <f aca="false">--(COUNTIFS(
   [1]Fichajes_Realizados!A$2:A$5000,A820,
   [1]Fichajes_Realizados!G$2:G$5000,$X$3
)&gt;0)</f>
        <v>0</v>
      </c>
      <c r="R820" s="5" t="n">
        <f aca="false">_xlfn.XLOOKUP(C820, [1]Estado_Equipos!A$2:A$500, [1]Estado_Equipos!J$2:J$500, "")</f>
        <v>84</v>
      </c>
      <c r="S820" s="5" t="n">
        <f aca="false">IF(H820&lt;=16,1.45,
IF(H820&gt;=41,0.3,
CHOOSE(ROUNDDOWN((H820-16)/2,0)+1,
1.45,1.38,1.3,1.23,1.17,1.15,1.12,1.05,0.95,0.8,0.6,0.4,0.3)))</f>
        <v>1.23</v>
      </c>
      <c r="T820" s="5" t="n">
        <f aca="false">CHOOSE(N820+1,1.2,1,0.85,0.7)</f>
        <v>1</v>
      </c>
      <c r="U820" s="5" t="n">
        <f aca="false">IF(F820="PO",0.6,
IF(F820="CT",0.75,
IF(F820="LI",0.8,
IF(F820="LD",0.8,
IF(F820="MCD",0.85,
IF(F820="MC",0.95,
IF(F820="MO",1.05,
IF(F820="EI",1.1,
IF(F820="ED",1.1,
IF(F820="SD",1.15,
IF(F820="DC",1.2,0)))))))))))</f>
        <v>0.8</v>
      </c>
    </row>
    <row r="821" customFormat="false" ht="16.4" hidden="false" customHeight="false" outlineLevel="0" collapsed="false">
      <c r="A821" s="1" t="n">
        <v>820</v>
      </c>
      <c r="B821" s="5" t="str">
        <f aca="false">[1]Base_Jugadores!B821</f>
        <v>Mohamed Salah</v>
      </c>
      <c r="C821" s="5" t="str">
        <f aca="false">IFERROR(
   _xlfn.XLOOKUP(VALUE(A821),[1]Fichajes_Realizados!A$2:A$50000,[1]Fichajes_Realizados!D$2:D$50000,,0,-1),
   _xlfn.XLOOKUP(VALUE(A821),[1]Base_Jugadores!A$2:A$50000,[1]Base_Jugadores!C$2:C$50000)
)</f>
        <v>Liverpool FC</v>
      </c>
      <c r="D821" s="5" t="str">
        <f aca="false">[1]Base_Jugadores!D821</f>
        <v>Egipto</v>
      </c>
      <c r="E821" s="3"/>
      <c r="F821" s="5" t="str">
        <f aca="false">[1]Base_Jugadores!E821</f>
        <v>ED</v>
      </c>
      <c r="G821" s="5" t="n">
        <f aca="false">[1]Base_Jugadores!F821</f>
        <v>89</v>
      </c>
      <c r="H821" s="5" t="n">
        <f aca="false">[1]Base_Jugadores!G821</f>
        <v>33</v>
      </c>
      <c r="I821" s="7" t="n">
        <f aca="false" t="array" ref="I821:I821">_xlfn.XLOOKUP(G821,{55;56;57;58;59;60;61;62;63;64;65;66;67;68;69;70;71;72;73;74;75;76;77;78;79;80;81;82;83;84;85;86;87;88;89;90;91;92;93;94;95;96;97;98;99},{100000;130000;160000;190000;220000;250000;300000;350000;400000;450000;500000;600000;700000;800000;900000;1000000;1500000;2000000;3000000;4000000;5000000;6500000;8000000;10000000;12500000;15000000;20000000;25000000;30000000;35000000;40000000;55000000;70000000;80000000;90000000;110000000;130000000;160000000;190000000;220000000;250000000;280000000;310000000;340000000;400000000})</f>
        <v>90000000</v>
      </c>
      <c r="J821" s="7" t="n">
        <f aca="false">I821*S821*T821*U821</f>
        <v>112860000</v>
      </c>
      <c r="K821" s="3"/>
      <c r="L821" s="3"/>
      <c r="M821" s="3"/>
      <c r="N821" s="9" t="n">
        <v>0</v>
      </c>
      <c r="O821" s="4" t="n">
        <v>0</v>
      </c>
      <c r="P821" s="5" t="n">
        <f aca="false">IF(COUNTIF([1]Base_Jugadores!J$2:J$500,B821)&gt;0,1,0)</f>
        <v>0</v>
      </c>
      <c r="Q821" s="10" t="b">
        <f aca="false">--(COUNTIFS(
   [1]Fichajes_Realizados!A$2:A$5000,A821,
   [1]Fichajes_Realizados!G$2:G$5000,$X$3
)&gt;0)</f>
        <v>0</v>
      </c>
      <c r="R821" s="5" t="n">
        <f aca="false">_xlfn.XLOOKUP(C821, [1]Estado_Equipos!A$2:A$500, [1]Estado_Equipos!J$2:J$500, "")</f>
        <v>84</v>
      </c>
      <c r="S821" s="5" t="n">
        <f aca="false">IF(H821&lt;=16,1.45,
IF(H821&gt;=41,0.3,
CHOOSE(ROUNDDOWN((H821-16)/2,0)+1,
1.45,1.38,1.3,1.23,1.17,1.15,1.12,1.05,0.95,0.8,0.6,0.4,0.3)))</f>
        <v>0.95</v>
      </c>
      <c r="T821" s="5" t="n">
        <f aca="false">CHOOSE(N821+1,1.2,1,0.85,0.7)</f>
        <v>1.2</v>
      </c>
      <c r="U821" s="5" t="n">
        <f aca="false">IF(F821="PO",0.6,
IF(F821="CT",0.75,
IF(F821="LI",0.8,
IF(F821="LD",0.8,
IF(F821="MCD",0.85,
IF(F821="MC",0.95,
IF(F821="MO",1.05,
IF(F821="EI",1.1,
IF(F821="ED",1.1,
IF(F821="SD",1.15,
IF(F821="DC",1.2,0)))))))))))</f>
        <v>1.1</v>
      </c>
    </row>
    <row r="822" customFormat="false" ht="16.4" hidden="false" customHeight="false" outlineLevel="0" collapsed="false">
      <c r="A822" s="1" t="n">
        <v>821</v>
      </c>
      <c r="B822" s="5" t="str">
        <f aca="false">[1]Base_Jugadores!B822</f>
        <v>R. Gravenberch</v>
      </c>
      <c r="C822" s="5" t="str">
        <f aca="false">IFERROR(
   _xlfn.XLOOKUP(VALUE(A822),[1]Fichajes_Realizados!A$2:A$50000,[1]Fichajes_Realizados!D$2:D$50000,,0,-1),
   _xlfn.XLOOKUP(VALUE(A822),[1]Base_Jugadores!A$2:A$50000,[1]Base_Jugadores!C$2:C$50000)
)</f>
        <v>Liverpool FC</v>
      </c>
      <c r="D822" s="5" t="str">
        <f aca="false">[1]Base_Jugadores!D822</f>
        <v>Países Bajos</v>
      </c>
      <c r="E822" s="3"/>
      <c r="F822" s="5" t="str">
        <f aca="false">[1]Base_Jugadores!E822</f>
        <v>MCD</v>
      </c>
      <c r="G822" s="5" t="n">
        <f aca="false">[1]Base_Jugadores!F822</f>
        <v>82</v>
      </c>
      <c r="H822" s="5" t="n">
        <f aca="false">[1]Base_Jugadores!G822</f>
        <v>23</v>
      </c>
      <c r="I822" s="7" t="n">
        <f aca="false" t="array" ref="I822:I822">_xlfn.XLOOKUP(G822,{55;56;57;58;59;60;61;62;63;64;65;66;67;68;69;70;71;72;73;74;75;76;77;78;79;80;81;82;83;84;85;86;87;88;89;90;91;92;93;94;95;96;97;98;99},{100000;130000;160000;190000;220000;250000;300000;350000;400000;450000;500000;600000;700000;800000;900000;1000000;1500000;2000000;3000000;4000000;5000000;6500000;8000000;10000000;12500000;15000000;20000000;25000000;30000000;35000000;40000000;55000000;70000000;80000000;90000000;110000000;130000000;160000000;190000000;220000000;250000000;280000000;310000000;340000000;400000000})</f>
        <v>25000000</v>
      </c>
      <c r="J822" s="7" t="n">
        <f aca="false">I822*S822*T822*U822</f>
        <v>31365000</v>
      </c>
      <c r="K822" s="3"/>
      <c r="L822" s="3"/>
      <c r="M822" s="3"/>
      <c r="N822" s="9" t="n">
        <v>0</v>
      </c>
      <c r="O822" s="4" t="n">
        <v>0</v>
      </c>
      <c r="P822" s="5" t="n">
        <f aca="false">IF(COUNTIF([1]Base_Jugadores!J$2:J$500,B822)&gt;0,1,0)</f>
        <v>0</v>
      </c>
      <c r="Q822" s="10" t="b">
        <f aca="false">--(COUNTIFS(
   [1]Fichajes_Realizados!A$2:A$5000,A822,
   [1]Fichajes_Realizados!G$2:G$5000,$X$3
)&gt;0)</f>
        <v>0</v>
      </c>
      <c r="R822" s="5" t="n">
        <f aca="false">_xlfn.XLOOKUP(C822, [1]Estado_Equipos!A$2:A$500, [1]Estado_Equipos!J$2:J$500, "")</f>
        <v>84</v>
      </c>
      <c r="S822" s="5" t="n">
        <f aca="false">IF(H822&lt;=16,1.45,
IF(H822&gt;=41,0.3,
CHOOSE(ROUNDDOWN((H822-16)/2,0)+1,
1.45,1.38,1.3,1.23,1.17,1.15,1.12,1.05,0.95,0.8,0.6,0.4,0.3)))</f>
        <v>1.23</v>
      </c>
      <c r="T822" s="5" t="n">
        <f aca="false">CHOOSE(N822+1,1.2,1,0.85,0.7)</f>
        <v>1.2</v>
      </c>
      <c r="U822" s="5" t="n">
        <f aca="false">IF(F822="PO",0.6,
IF(F822="CT",0.75,
IF(F822="LI",0.8,
IF(F822="LD",0.8,
IF(F822="MCD",0.85,
IF(F822="MC",0.95,
IF(F822="MO",1.05,
IF(F822="EI",1.1,
IF(F822="ED",1.1,
IF(F822="SD",1.15,
IF(F822="DC",1.2,0)))))))))))</f>
        <v>0.85</v>
      </c>
    </row>
    <row r="823" customFormat="false" ht="16.4" hidden="false" customHeight="false" outlineLevel="0" collapsed="false">
      <c r="A823" s="1" t="n">
        <v>822</v>
      </c>
      <c r="B823" s="5" t="str">
        <f aca="false">[1]Base_Jugadores!B823</f>
        <v>Rhys Williams</v>
      </c>
      <c r="C823" s="5" t="str">
        <f aca="false">IFERROR(
   _xlfn.XLOOKUP(VALUE(A823),[1]Fichajes_Realizados!A$2:A$50000,[1]Fichajes_Realizados!D$2:D$50000,,0,-1),
   _xlfn.XLOOKUP(VALUE(A823),[1]Base_Jugadores!A$2:A$50000,[1]Base_Jugadores!C$2:C$50000)
)</f>
        <v>Liverpool FC</v>
      </c>
      <c r="D823" s="5" t="str">
        <f aca="false">[1]Base_Jugadores!D823</f>
        <v>Inglaterra</v>
      </c>
      <c r="E823" s="3"/>
      <c r="F823" s="5" t="str">
        <f aca="false">[1]Base_Jugadores!E823</f>
        <v>CT</v>
      </c>
      <c r="G823" s="5" t="n">
        <f aca="false">[1]Base_Jugadores!F823</f>
        <v>69</v>
      </c>
      <c r="H823" s="5" t="n">
        <f aca="false">[1]Base_Jugadores!G823</f>
        <v>24</v>
      </c>
      <c r="I823" s="7" t="n">
        <f aca="false" t="array" ref="I823:I823">_xlfn.XLOOKUP(G823,{55;56;57;58;59;60;61;62;63;64;65;66;67;68;69;70;71;72;73;74;75;76;77;78;79;80;81;82;83;84;85;86;87;88;89;90;91;92;93;94;95;96;97;98;99},{100000;130000;160000;190000;220000;250000;300000;350000;400000;450000;500000;600000;700000;800000;900000;1000000;1500000;2000000;3000000;4000000;5000000;6500000;8000000;10000000;12500000;15000000;20000000;25000000;30000000;35000000;40000000;55000000;70000000;80000000;90000000;110000000;130000000;160000000;190000000;220000000;250000000;280000000;310000000;340000000;400000000})</f>
        <v>900000</v>
      </c>
      <c r="J823" s="7" t="n">
        <f aca="false">I823*S823*T823*U823</f>
        <v>671287.5</v>
      </c>
      <c r="K823" s="3"/>
      <c r="L823" s="3"/>
      <c r="M823" s="3"/>
      <c r="N823" s="9" t="n">
        <v>2</v>
      </c>
      <c r="O823" s="4" t="n">
        <v>0</v>
      </c>
      <c r="P823" s="5" t="n">
        <f aca="false">IF(COUNTIF([1]Base_Jugadores!J$2:J$500,B823)&gt;0,1,0)</f>
        <v>0</v>
      </c>
      <c r="Q823" s="10" t="b">
        <f aca="false">--(COUNTIFS(
   [1]Fichajes_Realizados!A$2:A$5000,A823,
   [1]Fichajes_Realizados!G$2:G$5000,$X$3
)&gt;0)</f>
        <v>0</v>
      </c>
      <c r="R823" s="5" t="n">
        <f aca="false">_xlfn.XLOOKUP(C823, [1]Estado_Equipos!A$2:A$500, [1]Estado_Equipos!J$2:J$500, "")</f>
        <v>84</v>
      </c>
      <c r="S823" s="5" t="n">
        <f aca="false">IF(H823&lt;=16,1.45,
IF(H823&gt;=41,0.3,
CHOOSE(ROUNDDOWN((H823-16)/2,0)+1,
1.45,1.38,1.3,1.23,1.17,1.15,1.12,1.05,0.95,0.8,0.6,0.4,0.3)))</f>
        <v>1.17</v>
      </c>
      <c r="T823" s="5" t="n">
        <f aca="false">CHOOSE(N823+1,1.2,1,0.85,0.7)</f>
        <v>0.85</v>
      </c>
      <c r="U823" s="5" t="n">
        <f aca="false">IF(F823="PO",0.6,
IF(F823="CT",0.75,
IF(F823="LI",0.8,
IF(F823="LD",0.8,
IF(F823="MCD",0.85,
IF(F823="MC",0.95,
IF(F823="MO",1.05,
IF(F823="EI",1.1,
IF(F823="ED",1.1,
IF(F823="SD",1.15,
IF(F823="DC",1.2,0)))))))))))</f>
        <v>0.75</v>
      </c>
    </row>
    <row r="824" customFormat="false" ht="16.4" hidden="false" customHeight="false" outlineLevel="0" collapsed="false">
      <c r="A824" s="1" t="n">
        <v>823</v>
      </c>
      <c r="B824" s="5" t="str">
        <f aca="false">[1]Base_Jugadores!B824</f>
        <v>Stefan Bajcetic</v>
      </c>
      <c r="C824" s="5" t="str">
        <f aca="false">IFERROR(
   _xlfn.XLOOKUP(VALUE(A824),[1]Fichajes_Realizados!A$2:A$50000,[1]Fichajes_Realizados!D$2:D$50000,,0,-1),
   _xlfn.XLOOKUP(VALUE(A824),[1]Base_Jugadores!A$2:A$50000,[1]Base_Jugadores!C$2:C$50000)
)</f>
        <v>Liverpool FC</v>
      </c>
      <c r="D824" s="5" t="str">
        <f aca="false">[1]Base_Jugadores!D824</f>
        <v>España</v>
      </c>
      <c r="E824" s="3"/>
      <c r="F824" s="5" t="str">
        <f aca="false">[1]Base_Jugadores!E824</f>
        <v>MCD</v>
      </c>
      <c r="G824" s="5" t="n">
        <f aca="false">[1]Base_Jugadores!F824</f>
        <v>73</v>
      </c>
      <c r="H824" s="5" t="n">
        <f aca="false">[1]Base_Jugadores!G824</f>
        <v>21</v>
      </c>
      <c r="I824" s="7" t="n">
        <f aca="false" t="array" ref="I824:I824">_xlfn.XLOOKUP(G824,{55;56;57;58;59;60;61;62;63;64;65;66;67;68;69;70;71;72;73;74;75;76;77;78;79;80;81;82;83;84;85;86;87;88;89;90;91;92;93;94;95;96;97;98;99},{100000;130000;160000;190000;220000;250000;300000;350000;400000;450000;500000;600000;700000;800000;900000;1000000;1500000;2000000;3000000;4000000;5000000;6500000;8000000;10000000;12500000;15000000;20000000;25000000;30000000;35000000;40000000;55000000;70000000;80000000;90000000;110000000;130000000;160000000;190000000;220000000;250000000;280000000;310000000;340000000;400000000})</f>
        <v>3000000</v>
      </c>
      <c r="J824" s="7" t="n">
        <f aca="false">I824*S824*T824*U824</f>
        <v>2817750</v>
      </c>
      <c r="K824" s="3"/>
      <c r="L824" s="3"/>
      <c r="M824" s="3"/>
      <c r="N824" s="9" t="n">
        <v>2</v>
      </c>
      <c r="O824" s="4" t="n">
        <v>1</v>
      </c>
      <c r="P824" s="5" t="n">
        <f aca="false">IF(COUNTIF([1]Base_Jugadores!J$2:J$500,B824)&gt;0,1,0)</f>
        <v>0</v>
      </c>
      <c r="Q824" s="10" t="b">
        <f aca="false">--(COUNTIFS(
   [1]Fichajes_Realizados!A$2:A$5000,A824,
   [1]Fichajes_Realizados!G$2:G$5000,$X$3
)&gt;0)</f>
        <v>0</v>
      </c>
      <c r="R824" s="5" t="n">
        <f aca="false">_xlfn.XLOOKUP(C824, [1]Estado_Equipos!A$2:A$500, [1]Estado_Equipos!J$2:J$500, "")</f>
        <v>84</v>
      </c>
      <c r="S824" s="5" t="n">
        <f aca="false">IF(H824&lt;=16,1.45,
IF(H824&gt;=41,0.3,
CHOOSE(ROUNDDOWN((H824-16)/2,0)+1,
1.45,1.38,1.3,1.23,1.17,1.15,1.12,1.05,0.95,0.8,0.6,0.4,0.3)))</f>
        <v>1.3</v>
      </c>
      <c r="T824" s="5" t="n">
        <f aca="false">CHOOSE(N824+1,1.2,1,0.85,0.7)</f>
        <v>0.85</v>
      </c>
      <c r="U824" s="5" t="n">
        <f aca="false">IF(F824="PO",0.6,
IF(F824="CT",0.75,
IF(F824="LI",0.8,
IF(F824="LD",0.8,
IF(F824="MCD",0.85,
IF(F824="MC",0.95,
IF(F824="MO",1.05,
IF(F824="EI",1.1,
IF(F824="ED",1.1,
IF(F824="SD",1.15,
IF(F824="DC",1.2,0)))))))))))</f>
        <v>0.85</v>
      </c>
    </row>
    <row r="825" customFormat="false" ht="16.4" hidden="false" customHeight="false" outlineLevel="0" collapsed="false">
      <c r="A825" s="1" t="n">
        <v>824</v>
      </c>
      <c r="B825" s="5" t="str">
        <f aca="false">[1]Base_Jugadores!B825</f>
        <v>Trey Nyoni</v>
      </c>
      <c r="C825" s="5" t="str">
        <f aca="false">IFERROR(
   _xlfn.XLOOKUP(VALUE(A825),[1]Fichajes_Realizados!A$2:A$50000,[1]Fichajes_Realizados!D$2:D$50000,,0,-1),
   _xlfn.XLOOKUP(VALUE(A825),[1]Base_Jugadores!A$2:A$50000,[1]Base_Jugadores!C$2:C$50000)
)</f>
        <v>Liverpool FC</v>
      </c>
      <c r="D825" s="5" t="str">
        <f aca="false">[1]Base_Jugadores!D825</f>
        <v>Inglaterra</v>
      </c>
      <c r="E825" s="3"/>
      <c r="F825" s="5" t="str">
        <f aca="false">[1]Base_Jugadores!E825</f>
        <v>MC</v>
      </c>
      <c r="G825" s="5" t="n">
        <f aca="false">[1]Base_Jugadores!F825</f>
        <v>60</v>
      </c>
      <c r="H825" s="5" t="n">
        <f aca="false">[1]Base_Jugadores!G825</f>
        <v>18</v>
      </c>
      <c r="I825" s="7" t="n">
        <f aca="false" t="array" ref="I825:I825">_xlfn.XLOOKUP(G825,{55;56;57;58;59;60;61;62;63;64;65;66;67;68;69;70;71;72;73;74;75;76;77;78;79;80;81;82;83;84;85;86;87;88;89;90;91;92;93;94;95;96;97;98;99},{100000;130000;160000;190000;220000;250000;300000;350000;400000;450000;500000;600000;700000;800000;900000;1000000;1500000;2000000;3000000;4000000;5000000;6500000;8000000;10000000;12500000;15000000;20000000;25000000;30000000;35000000;40000000;55000000;70000000;80000000;90000000;110000000;130000000;160000000;190000000;220000000;250000000;280000000;310000000;340000000;400000000})</f>
        <v>250000</v>
      </c>
      <c r="J825" s="7" t="n">
        <f aca="false">I825*S825*T825*U825</f>
        <v>278587.5</v>
      </c>
      <c r="K825" s="3"/>
      <c r="L825" s="3"/>
      <c r="M825" s="3"/>
      <c r="N825" s="9" t="n">
        <v>2</v>
      </c>
      <c r="O825" s="4" t="n">
        <v>1</v>
      </c>
      <c r="P825" s="5" t="n">
        <f aca="false">IF(COUNTIF([1]Base_Jugadores!J$2:J$500,B825)&gt;0,1,0)</f>
        <v>0</v>
      </c>
      <c r="Q825" s="10" t="b">
        <f aca="false">--(COUNTIFS(
   [1]Fichajes_Realizados!A$2:A$5000,A825,
   [1]Fichajes_Realizados!G$2:G$5000,$X$3
)&gt;0)</f>
        <v>0</v>
      </c>
      <c r="R825" s="5" t="n">
        <f aca="false">_xlfn.XLOOKUP(C825, [1]Estado_Equipos!A$2:A$500, [1]Estado_Equipos!J$2:J$500, "")</f>
        <v>84</v>
      </c>
      <c r="S825" s="5" t="n">
        <f aca="false">IF(H825&lt;=16,1.45,
IF(H825&gt;=41,0.3,
CHOOSE(ROUNDDOWN((H825-16)/2,0)+1,
1.45,1.38,1.3,1.23,1.17,1.15,1.12,1.05,0.95,0.8,0.6,0.4,0.3)))</f>
        <v>1.38</v>
      </c>
      <c r="T825" s="5" t="n">
        <f aca="false">CHOOSE(N825+1,1.2,1,0.85,0.7)</f>
        <v>0.85</v>
      </c>
      <c r="U825" s="5" t="n">
        <f aca="false">IF(F825="PO",0.6,
IF(F825="CT",0.75,
IF(F825="LI",0.8,
IF(F825="LD",0.8,
IF(F825="MCD",0.85,
IF(F825="MC",0.95,
IF(F825="MO",1.05,
IF(F825="EI",1.1,
IF(F825="ED",1.1,
IF(F825="SD",1.15,
IF(F825="DC",1.2,0)))))))))))</f>
        <v>0.95</v>
      </c>
    </row>
    <row r="826" customFormat="false" ht="16.4" hidden="false" customHeight="false" outlineLevel="0" collapsed="false">
      <c r="A826" s="1" t="n">
        <v>825</v>
      </c>
      <c r="B826" s="5" t="str">
        <f aca="false">[1]Base_Jugadores!B826</f>
        <v>Virgil van Dijk</v>
      </c>
      <c r="C826" s="5" t="str">
        <f aca="false">IFERROR(
   _xlfn.XLOOKUP(VALUE(A826),[1]Fichajes_Realizados!A$2:A$50000,[1]Fichajes_Realizados!D$2:D$50000,,0,-1),
   _xlfn.XLOOKUP(VALUE(A826),[1]Base_Jugadores!A$2:A$50000,[1]Base_Jugadores!C$2:C$50000)
)</f>
        <v>Liverpool FC</v>
      </c>
      <c r="D826" s="5" t="str">
        <f aca="false">[1]Base_Jugadores!D826</f>
        <v>Países Bajos</v>
      </c>
      <c r="E826" s="3"/>
      <c r="F826" s="5" t="str">
        <f aca="false">[1]Base_Jugadores!E826</f>
        <v>CT</v>
      </c>
      <c r="G826" s="5" t="n">
        <f aca="false">[1]Base_Jugadores!F826</f>
        <v>89</v>
      </c>
      <c r="H826" s="5" t="n">
        <f aca="false">[1]Base_Jugadores!G826</f>
        <v>34</v>
      </c>
      <c r="I826" s="7" t="n">
        <f aca="false" t="array" ref="I826:I826">_xlfn.XLOOKUP(G826,{55;56;57;58;59;60;61;62;63;64;65;66;67;68;69;70;71;72;73;74;75;76;77;78;79;80;81;82;83;84;85;86;87;88;89;90;91;92;93;94;95;96;97;98;99},{100000;130000;160000;190000;220000;250000;300000;350000;400000;450000;500000;600000;700000;800000;900000;1000000;1500000;2000000;3000000;4000000;5000000;6500000;8000000;10000000;12500000;15000000;20000000;25000000;30000000;35000000;40000000;55000000;70000000;80000000;90000000;110000000;130000000;160000000;190000000;220000000;250000000;280000000;310000000;340000000;400000000})</f>
        <v>90000000</v>
      </c>
      <c r="J826" s="7" t="n">
        <f aca="false">I826*S826*T826*U826</f>
        <v>64800000</v>
      </c>
      <c r="K826" s="3"/>
      <c r="L826" s="3"/>
      <c r="M826" s="3"/>
      <c r="N826" s="9" t="n">
        <v>0</v>
      </c>
      <c r="O826" s="4" t="n">
        <v>0</v>
      </c>
      <c r="P826" s="5" t="n">
        <f aca="false">IF(COUNTIF([1]Base_Jugadores!J$2:J$500,B826)&gt;0,1,0)</f>
        <v>0</v>
      </c>
      <c r="Q826" s="10" t="b">
        <f aca="false">--(COUNTIFS(
   [1]Fichajes_Realizados!A$2:A$5000,A826,
   [1]Fichajes_Realizados!G$2:G$5000,$X$3
)&gt;0)</f>
        <v>0</v>
      </c>
      <c r="R826" s="5" t="n">
        <f aca="false">_xlfn.XLOOKUP(C826, [1]Estado_Equipos!A$2:A$500, [1]Estado_Equipos!J$2:J$500, "")</f>
        <v>84</v>
      </c>
      <c r="S826" s="5" t="n">
        <f aca="false">IF(H826&lt;=16,1.45,
IF(H826&gt;=41,0.3,
CHOOSE(ROUNDDOWN((H826-16)/2,0)+1,
1.45,1.38,1.3,1.23,1.17,1.15,1.12,1.05,0.95,0.8,0.6,0.4,0.3)))</f>
        <v>0.8</v>
      </c>
      <c r="T826" s="5" t="n">
        <f aca="false">CHOOSE(N826+1,1.2,1,0.85,0.7)</f>
        <v>1.2</v>
      </c>
      <c r="U826" s="5" t="n">
        <f aca="false">IF(F826="PO",0.6,
IF(F826="CT",0.75,
IF(F826="LI",0.8,
IF(F826="LD",0.8,
IF(F826="MCD",0.85,
IF(F826="MC",0.95,
IF(F826="MO",1.05,
IF(F826="EI",1.1,
IF(F826="ED",1.1,
IF(F826="SD",1.15,
IF(F826="DC",1.2,0)))))))))))</f>
        <v>0.75</v>
      </c>
    </row>
    <row r="827" customFormat="false" ht="16.4" hidden="false" customHeight="false" outlineLevel="0" collapsed="false">
      <c r="A827" s="1" t="n">
        <v>826</v>
      </c>
      <c r="B827" s="5" t="str">
        <f aca="false">[1]Base_Jugadores!B827</f>
        <v>Wataru Endo</v>
      </c>
      <c r="C827" s="5" t="str">
        <f aca="false">IFERROR(
   _xlfn.XLOOKUP(VALUE(A827),[1]Fichajes_Realizados!A$2:A$50000,[1]Fichajes_Realizados!D$2:D$50000,,0,-1),
   _xlfn.XLOOKUP(VALUE(A827),[1]Base_Jugadores!A$2:A$50000,[1]Base_Jugadores!C$2:C$50000)
)</f>
        <v>Liverpool FC</v>
      </c>
      <c r="D827" s="5" t="str">
        <f aca="false">[1]Base_Jugadores!D827</f>
        <v>Japón</v>
      </c>
      <c r="E827" s="3"/>
      <c r="F827" s="5" t="str">
        <f aca="false">[1]Base_Jugadores!E827</f>
        <v>MCD</v>
      </c>
      <c r="G827" s="5" t="n">
        <f aca="false">[1]Base_Jugadores!F827</f>
        <v>80</v>
      </c>
      <c r="H827" s="5" t="n">
        <f aca="false">[1]Base_Jugadores!G827</f>
        <v>32</v>
      </c>
      <c r="I827" s="7" t="n">
        <f aca="false" t="array" ref="I827:I827">_xlfn.XLOOKUP(G827,{55;56;57;58;59;60;61;62;63;64;65;66;67;68;69;70;71;72;73;74;75;76;77;78;79;80;81;82;83;84;85;86;87;88;89;90;91;92;93;94;95;96;97;98;99},{100000;130000;160000;190000;220000;250000;300000;350000;400000;450000;500000;600000;700000;800000;900000;1000000;1500000;2000000;3000000;4000000;5000000;6500000;8000000;10000000;12500000;15000000;20000000;25000000;30000000;35000000;40000000;55000000;70000000;80000000;90000000;110000000;130000000;160000000;190000000;220000000;250000000;280000000;310000000;340000000;400000000})</f>
        <v>15000000</v>
      </c>
      <c r="J827" s="7" t="n">
        <f aca="false">I827*S827*T827*U827</f>
        <v>12112500</v>
      </c>
      <c r="K827" s="3"/>
      <c r="L827" s="3"/>
      <c r="M827" s="3"/>
      <c r="N827" s="9" t="n">
        <v>1</v>
      </c>
      <c r="O827" s="4" t="n">
        <v>0</v>
      </c>
      <c r="P827" s="5" t="n">
        <f aca="false">IF(COUNTIF([1]Base_Jugadores!J$2:J$500,B827)&gt;0,1,0)</f>
        <v>0</v>
      </c>
      <c r="Q827" s="10" t="b">
        <f aca="false">--(COUNTIFS(
   [1]Fichajes_Realizados!A$2:A$5000,A827,
   [1]Fichajes_Realizados!G$2:G$5000,$X$3
)&gt;0)</f>
        <v>0</v>
      </c>
      <c r="R827" s="5" t="n">
        <f aca="false">_xlfn.XLOOKUP(C827, [1]Estado_Equipos!A$2:A$500, [1]Estado_Equipos!J$2:J$500, "")</f>
        <v>84</v>
      </c>
      <c r="S827" s="5" t="n">
        <f aca="false">IF(H827&lt;=16,1.45,
IF(H827&gt;=41,0.3,
CHOOSE(ROUNDDOWN((H827-16)/2,0)+1,
1.45,1.38,1.3,1.23,1.17,1.15,1.12,1.05,0.95,0.8,0.6,0.4,0.3)))</f>
        <v>0.95</v>
      </c>
      <c r="T827" s="5" t="n">
        <f aca="false">CHOOSE(N827+1,1.2,1,0.85,0.7)</f>
        <v>1</v>
      </c>
      <c r="U827" s="5" t="n">
        <f aca="false">IF(F827="PO",0.6,
IF(F827="CT",0.75,
IF(F827="LI",0.8,
IF(F827="LD",0.8,
IF(F827="MCD",0.85,
IF(F827="MC",0.95,
IF(F827="MO",1.05,
IF(F827="EI",1.1,
IF(F827="ED",1.1,
IF(F827="SD",1.15,
IF(F827="DC",1.2,0)))))))))))</f>
        <v>0.85</v>
      </c>
    </row>
    <row r="828" customFormat="false" ht="16.4" hidden="false" customHeight="false" outlineLevel="0" collapsed="false">
      <c r="A828" s="1" t="n">
        <v>827</v>
      </c>
      <c r="B828" s="5" t="str">
        <f aca="false">[1]Base_Jugadores!B828</f>
        <v>A. Khusanov</v>
      </c>
      <c r="C828" s="5" t="str">
        <f aca="false">IFERROR(
   _xlfn.XLOOKUP(VALUE(A828),[1]Fichajes_Realizados!A$2:A$50000,[1]Fichajes_Realizados!D$2:D$50000,,0,-1),
   _xlfn.XLOOKUP(VALUE(A828),[1]Base_Jugadores!A$2:A$50000,[1]Base_Jugadores!C$2:C$50000)
)</f>
        <v>Manchester City</v>
      </c>
      <c r="D828" s="5" t="str">
        <f aca="false">[1]Base_Jugadores!D828</f>
        <v>Uzbekistán</v>
      </c>
      <c r="E828" s="3"/>
      <c r="F828" s="5" t="str">
        <f aca="false">[1]Base_Jugadores!E828</f>
        <v>CT</v>
      </c>
      <c r="G828" s="5" t="n">
        <f aca="false">[1]Base_Jugadores!F828</f>
        <v>77</v>
      </c>
      <c r="H828" s="5" t="n">
        <f aca="false">[1]Base_Jugadores!G828</f>
        <v>21</v>
      </c>
      <c r="I828" s="7" t="n">
        <f aca="false" t="array" ref="I828:I828">_xlfn.XLOOKUP(G828,{55;56;57;58;59;60;61;62;63;64;65;66;67;68;69;70;71;72;73;74;75;76;77;78;79;80;81;82;83;84;85;86;87;88;89;90;91;92;93;94;95;96;97;98;99},{100000;130000;160000;190000;220000;250000;300000;350000;400000;450000;500000;600000;700000;800000;900000;1000000;1500000;2000000;3000000;4000000;5000000;6500000;8000000;10000000;12500000;15000000;20000000;25000000;30000000;35000000;40000000;55000000;70000000;80000000;90000000;110000000;130000000;160000000;190000000;220000000;250000000;280000000;310000000;340000000;400000000})</f>
        <v>8000000</v>
      </c>
      <c r="J828" s="7" t="n">
        <f aca="false">I828*S828*T828*U828</f>
        <v>6630000</v>
      </c>
      <c r="K828" s="3"/>
      <c r="L828" s="3"/>
      <c r="M828" s="3"/>
      <c r="N828" s="9" t="n">
        <v>2</v>
      </c>
      <c r="O828" s="4" t="n">
        <v>0</v>
      </c>
      <c r="P828" s="5" t="n">
        <f aca="false">IF(COUNTIF([1]Base_Jugadores!J$2:J$500,B828)&gt;0,1,0)</f>
        <v>0</v>
      </c>
      <c r="Q828" s="10" t="b">
        <f aca="false">--(COUNTIFS(
   [1]Fichajes_Realizados!A$2:A$5000,A828,
   [1]Fichajes_Realizados!G$2:G$5000,$X$3
)&gt;0)</f>
        <v>0</v>
      </c>
      <c r="R828" s="5" t="n">
        <f aca="false">_xlfn.XLOOKUP(C828, [1]Estado_Equipos!A$2:A$500, [1]Estado_Equipos!J$2:J$500, "")</f>
        <v>84</v>
      </c>
      <c r="S828" s="5" t="n">
        <f aca="false">IF(H828&lt;=16,1.45,
IF(H828&gt;=41,0.3,
CHOOSE(ROUNDDOWN((H828-16)/2,0)+1,
1.45,1.38,1.3,1.23,1.17,1.15,1.12,1.05,0.95,0.8,0.6,0.4,0.3)))</f>
        <v>1.3</v>
      </c>
      <c r="T828" s="5" t="n">
        <f aca="false">CHOOSE(N828+1,1.2,1,0.85,0.7)</f>
        <v>0.85</v>
      </c>
      <c r="U828" s="5" t="n">
        <f aca="false">IF(F828="PO",0.6,
IF(F828="CT",0.75,
IF(F828="LI",0.8,
IF(F828="LD",0.8,
IF(F828="MCD",0.85,
IF(F828="MC",0.95,
IF(F828="MO",1.05,
IF(F828="EI",1.1,
IF(F828="ED",1.1,
IF(F828="SD",1.15,
IF(F828="DC",1.2,0)))))))))))</f>
        <v>0.75</v>
      </c>
    </row>
    <row r="829" customFormat="false" ht="16.4" hidden="false" customHeight="false" outlineLevel="0" collapsed="false">
      <c r="A829" s="1" t="n">
        <v>828</v>
      </c>
      <c r="B829" s="5" t="str">
        <f aca="false">[1]Base_Jugadores!B829</f>
        <v>Bernardo Silva</v>
      </c>
      <c r="C829" s="5" t="str">
        <f aca="false">IFERROR(
   _xlfn.XLOOKUP(VALUE(A829),[1]Fichajes_Realizados!A$2:A$50000,[1]Fichajes_Realizados!D$2:D$50000,,0,-1),
   _xlfn.XLOOKUP(VALUE(A829),[1]Base_Jugadores!A$2:A$50000,[1]Base_Jugadores!C$2:C$50000)
)</f>
        <v>Manchester City</v>
      </c>
      <c r="D829" s="5" t="str">
        <f aca="false">[1]Base_Jugadores!D829</f>
        <v>Portugal</v>
      </c>
      <c r="E829" s="3"/>
      <c r="F829" s="5" t="str">
        <f aca="false">[1]Base_Jugadores!E829</f>
        <v>MO</v>
      </c>
      <c r="G829" s="5" t="n">
        <f aca="false">[1]Base_Jugadores!F829</f>
        <v>85</v>
      </c>
      <c r="H829" s="5" t="n">
        <f aca="false">[1]Base_Jugadores!G829</f>
        <v>31</v>
      </c>
      <c r="I829" s="7" t="n">
        <f aca="false" t="array" ref="I829:I829">_xlfn.XLOOKUP(G829,{55;56;57;58;59;60;61;62;63;64;65;66;67;68;69;70;71;72;73;74;75;76;77;78;79;80;81;82;83;84;85;86;87;88;89;90;91;92;93;94;95;96;97;98;99},{100000;130000;160000;190000;220000;250000;300000;350000;400000;450000;500000;600000;700000;800000;900000;1000000;1500000;2000000;3000000;4000000;5000000;6500000;8000000;10000000;12500000;15000000;20000000;25000000;30000000;35000000;40000000;55000000;70000000;80000000;90000000;110000000;130000000;160000000;190000000;220000000;250000000;280000000;310000000;340000000;400000000})</f>
        <v>40000000</v>
      </c>
      <c r="J829" s="7" t="n">
        <f aca="false">I829*S829*T829*U829</f>
        <v>44100000</v>
      </c>
      <c r="K829" s="3"/>
      <c r="L829" s="3"/>
      <c r="M829" s="3"/>
      <c r="N829" s="9" t="n">
        <v>1</v>
      </c>
      <c r="O829" s="4" t="n">
        <v>0</v>
      </c>
      <c r="P829" s="5" t="n">
        <f aca="false">IF(COUNTIF([1]Base_Jugadores!J$2:J$500,B829)&gt;0,1,0)</f>
        <v>0</v>
      </c>
      <c r="Q829" s="10" t="b">
        <f aca="false">--(COUNTIFS(
   [1]Fichajes_Realizados!A$2:A$5000,A829,
   [1]Fichajes_Realizados!G$2:G$5000,$X$3
)&gt;0)</f>
        <v>0</v>
      </c>
      <c r="R829" s="5" t="n">
        <f aca="false">_xlfn.XLOOKUP(C829, [1]Estado_Equipos!A$2:A$500, [1]Estado_Equipos!J$2:J$500, "")</f>
        <v>84</v>
      </c>
      <c r="S829" s="5" t="n">
        <f aca="false">IF(H829&lt;=16,1.45,
IF(H829&gt;=41,0.3,
CHOOSE(ROUNDDOWN((H829-16)/2,0)+1,
1.45,1.38,1.3,1.23,1.17,1.15,1.12,1.05,0.95,0.8,0.6,0.4,0.3)))</f>
        <v>1.05</v>
      </c>
      <c r="T829" s="5" t="n">
        <f aca="false">CHOOSE(N829+1,1.2,1,0.85,0.7)</f>
        <v>1</v>
      </c>
      <c r="U829" s="5" t="n">
        <f aca="false">IF(F829="PO",0.6,
IF(F829="CT",0.75,
IF(F829="LI",0.8,
IF(F829="LD",0.8,
IF(F829="MCD",0.85,
IF(F829="MC",0.95,
IF(F829="MO",1.05,
IF(F829="EI",1.1,
IF(F829="ED",1.1,
IF(F829="SD",1.15,
IF(F829="DC",1.2,0)))))))))))</f>
        <v>1.05</v>
      </c>
    </row>
    <row r="830" customFormat="false" ht="16.4" hidden="false" customHeight="false" outlineLevel="0" collapsed="false">
      <c r="A830" s="1" t="n">
        <v>829</v>
      </c>
      <c r="B830" s="5" t="str">
        <f aca="false">[1]Base_Jugadores!B830</f>
        <v>Erling Haaland</v>
      </c>
      <c r="C830" s="5" t="str">
        <f aca="false">IFERROR(
   _xlfn.XLOOKUP(VALUE(A830),[1]Fichajes_Realizados!A$2:A$50000,[1]Fichajes_Realizados!D$2:D$50000,,0,-1),
   _xlfn.XLOOKUP(VALUE(A830),[1]Base_Jugadores!A$2:A$50000,[1]Base_Jugadores!C$2:C$50000)
)</f>
        <v>Manchester City</v>
      </c>
      <c r="D830" s="5" t="str">
        <f aca="false">[1]Base_Jugadores!D830</f>
        <v>Noruega</v>
      </c>
      <c r="E830" s="3"/>
      <c r="F830" s="5" t="str">
        <f aca="false">[1]Base_Jugadores!E830</f>
        <v>DC</v>
      </c>
      <c r="G830" s="5" t="n">
        <f aca="false">[1]Base_Jugadores!F830</f>
        <v>90</v>
      </c>
      <c r="H830" s="5" t="n">
        <f aca="false">[1]Base_Jugadores!G830</f>
        <v>25</v>
      </c>
      <c r="I830" s="7" t="n">
        <f aca="false" t="array" ref="I830:I830">_xlfn.XLOOKUP(G830,{55;56;57;58;59;60;61;62;63;64;65;66;67;68;69;70;71;72;73;74;75;76;77;78;79;80;81;82;83;84;85;86;87;88;89;90;91;92;93;94;95;96;97;98;99},{100000;130000;160000;190000;220000;250000;300000;350000;400000;450000;500000;600000;700000;800000;900000;1000000;1500000;2000000;3000000;4000000;5000000;6500000;8000000;10000000;12500000;15000000;20000000;25000000;30000000;35000000;40000000;55000000;70000000;80000000;90000000;110000000;130000000;160000000;190000000;220000000;250000000;280000000;310000000;340000000;400000000})</f>
        <v>110000000</v>
      </c>
      <c r="J830" s="7" t="n">
        <f aca="false">I830*S830*T830*U830</f>
        <v>185328000</v>
      </c>
      <c r="K830" s="3"/>
      <c r="L830" s="3"/>
      <c r="M830" s="3"/>
      <c r="N830" s="9" t="n">
        <v>0</v>
      </c>
      <c r="O830" s="4" t="n">
        <v>0</v>
      </c>
      <c r="P830" s="5" t="n">
        <f aca="false">IF(COUNTIF([1]Base_Jugadores!J$2:J$500,B830)&gt;0,1,0)</f>
        <v>0</v>
      </c>
      <c r="Q830" s="10" t="b">
        <f aca="false">--(COUNTIFS(
   [1]Fichajes_Realizados!A$2:A$5000,A830,
   [1]Fichajes_Realizados!G$2:G$5000,$X$3
)&gt;0)</f>
        <v>0</v>
      </c>
      <c r="R830" s="5" t="n">
        <f aca="false">_xlfn.XLOOKUP(C830, [1]Estado_Equipos!A$2:A$500, [1]Estado_Equipos!J$2:J$500, "")</f>
        <v>84</v>
      </c>
      <c r="S830" s="5" t="n">
        <f aca="false">IF(H830&lt;=16,1.45,
IF(H830&gt;=41,0.3,
CHOOSE(ROUNDDOWN((H830-16)/2,0)+1,
1.45,1.38,1.3,1.23,1.17,1.15,1.12,1.05,0.95,0.8,0.6,0.4,0.3)))</f>
        <v>1.17</v>
      </c>
      <c r="T830" s="5" t="n">
        <f aca="false">CHOOSE(N830+1,1.2,1,0.85,0.7)</f>
        <v>1.2</v>
      </c>
      <c r="U830" s="5" t="n">
        <f aca="false">IF(F830="PO",0.6,
IF(F830="CT",0.75,
IF(F830="LI",0.8,
IF(F830="LD",0.8,
IF(F830="MCD",0.85,
IF(F830="MC",0.95,
IF(F830="MO",1.05,
IF(F830="EI",1.1,
IF(F830="ED",1.1,
IF(F830="SD",1.15,
IF(F830="DC",1.2,0)))))))))))</f>
        <v>1.2</v>
      </c>
    </row>
    <row r="831" customFormat="false" ht="16.4" hidden="false" customHeight="false" outlineLevel="0" collapsed="false">
      <c r="A831" s="1" t="n">
        <v>830</v>
      </c>
      <c r="B831" s="5" t="str">
        <f aca="false">[1]Base_Jugadores!B831</f>
        <v>G. Donnarumma</v>
      </c>
      <c r="C831" s="5" t="str">
        <f aca="false">IFERROR(
   _xlfn.XLOOKUP(VALUE(A831),[1]Fichajes_Realizados!A$2:A$50000,[1]Fichajes_Realizados!D$2:D$50000,,0,-1),
   _xlfn.XLOOKUP(VALUE(A831),[1]Base_Jugadores!A$2:A$50000,[1]Base_Jugadores!C$2:C$50000)
)</f>
        <v>Manchester City</v>
      </c>
      <c r="D831" s="5" t="str">
        <f aca="false">[1]Base_Jugadores!D831</f>
        <v>Italia</v>
      </c>
      <c r="E831" s="3"/>
      <c r="F831" s="5" t="str">
        <f aca="false">[1]Base_Jugadores!E831</f>
        <v>PO</v>
      </c>
      <c r="G831" s="5" t="n">
        <f aca="false">[1]Base_Jugadores!F831</f>
        <v>88</v>
      </c>
      <c r="H831" s="5" t="n">
        <f aca="false">[1]Base_Jugadores!G831</f>
        <v>26</v>
      </c>
      <c r="I831" s="7" t="n">
        <f aca="false" t="array" ref="I831:I831">_xlfn.XLOOKUP(G831,{55;56;57;58;59;60;61;62;63;64;65;66;67;68;69;70;71;72;73;74;75;76;77;78;79;80;81;82;83;84;85;86;87;88;89;90;91;92;93;94;95;96;97;98;99},{100000;130000;160000;190000;220000;250000;300000;350000;400000;450000;500000;600000;700000;800000;900000;1000000;1500000;2000000;3000000;4000000;5000000;6500000;8000000;10000000;12500000;15000000;20000000;25000000;30000000;35000000;40000000;55000000;70000000;80000000;90000000;110000000;130000000;160000000;190000000;220000000;250000000;280000000;310000000;340000000;400000000})</f>
        <v>80000000</v>
      </c>
      <c r="J831" s="7" t="n">
        <f aca="false">I831*S831*T831*U831</f>
        <v>66240000</v>
      </c>
      <c r="K831" s="3"/>
      <c r="L831" s="3"/>
      <c r="M831" s="3"/>
      <c r="N831" s="9" t="n">
        <v>0</v>
      </c>
      <c r="O831" s="4" t="n">
        <v>0</v>
      </c>
      <c r="P831" s="5" t="n">
        <f aca="false">IF(COUNTIF([1]Base_Jugadores!J$2:J$500,B831)&gt;0,1,0)</f>
        <v>0</v>
      </c>
      <c r="Q831" s="10" t="b">
        <f aca="false">--(COUNTIFS(
   [1]Fichajes_Realizados!A$2:A$5000,A831,
   [1]Fichajes_Realizados!G$2:G$5000,$X$3
)&gt;0)</f>
        <v>0</v>
      </c>
      <c r="R831" s="5" t="n">
        <f aca="false">_xlfn.XLOOKUP(C831, [1]Estado_Equipos!A$2:A$500, [1]Estado_Equipos!J$2:J$500, "")</f>
        <v>84</v>
      </c>
      <c r="S831" s="5" t="n">
        <f aca="false">IF(H831&lt;=16,1.45,
IF(H831&gt;=41,0.3,
CHOOSE(ROUNDDOWN((H831-16)/2,0)+1,
1.45,1.38,1.3,1.23,1.17,1.15,1.12,1.05,0.95,0.8,0.6,0.4,0.3)))</f>
        <v>1.15</v>
      </c>
      <c r="T831" s="5" t="n">
        <f aca="false">CHOOSE(N831+1,1.2,1,0.85,0.7)</f>
        <v>1.2</v>
      </c>
      <c r="U831" s="5" t="n">
        <f aca="false">IF(F831="PO",0.6,
IF(F831="CT",0.75,
IF(F831="LI",0.8,
IF(F831="LD",0.8,
IF(F831="MCD",0.85,
IF(F831="MC",0.95,
IF(F831="MO",1.05,
IF(F831="EI",1.1,
IF(F831="ED",1.1,
IF(F831="SD",1.15,
IF(F831="DC",1.2,0)))))))))))</f>
        <v>0.6</v>
      </c>
    </row>
    <row r="832" customFormat="false" ht="16.4" hidden="false" customHeight="false" outlineLevel="0" collapsed="false">
      <c r="A832" s="1" t="n">
        <v>831</v>
      </c>
      <c r="B832" s="5" t="str">
        <f aca="false">[1]Base_Jugadores!B832</f>
        <v>J. Simpson-Pusey</v>
      </c>
      <c r="C832" s="5" t="str">
        <f aca="false">IFERROR(
   _xlfn.XLOOKUP(VALUE(A832),[1]Fichajes_Realizados!A$2:A$50000,[1]Fichajes_Realizados!D$2:D$50000,,0,-1),
   _xlfn.XLOOKUP(VALUE(A832),[1]Base_Jugadores!A$2:A$50000,[1]Base_Jugadores!C$2:C$50000)
)</f>
        <v>Manchester City</v>
      </c>
      <c r="D832" s="5" t="str">
        <f aca="false">[1]Base_Jugadores!D832</f>
        <v>Inglaterra</v>
      </c>
      <c r="E832" s="3"/>
      <c r="F832" s="5" t="str">
        <f aca="false">[1]Base_Jugadores!E832</f>
        <v>CT</v>
      </c>
      <c r="G832" s="5" t="n">
        <f aca="false">[1]Base_Jugadores!F832</f>
        <v>66</v>
      </c>
      <c r="H832" s="5" t="n">
        <f aca="false">[1]Base_Jugadores!G832</f>
        <v>20</v>
      </c>
      <c r="I832" s="7" t="n">
        <f aca="false" t="array" ref="I832:I832">_xlfn.XLOOKUP(G832,{55;56;57;58;59;60;61;62;63;64;65;66;67;68;69;70;71;72;73;74;75;76;77;78;79;80;81;82;83;84;85;86;87;88;89;90;91;92;93;94;95;96;97;98;99},{100000;130000;160000;190000;220000;250000;300000;350000;400000;450000;500000;600000;700000;800000;900000;1000000;1500000;2000000;3000000;4000000;5000000;6500000;8000000;10000000;12500000;15000000;20000000;25000000;30000000;35000000;40000000;55000000;70000000;80000000;90000000;110000000;130000000;160000000;190000000;220000000;250000000;280000000;310000000;340000000;400000000})</f>
        <v>600000</v>
      </c>
      <c r="J832" s="7" t="n">
        <f aca="false">I832*S832*T832*U832</f>
        <v>497250</v>
      </c>
      <c r="K832" s="3"/>
      <c r="L832" s="3"/>
      <c r="M832" s="3"/>
      <c r="N832" s="9" t="n">
        <v>2</v>
      </c>
      <c r="O832" s="4" t="n">
        <v>1</v>
      </c>
      <c r="P832" s="5" t="n">
        <f aca="false">IF(COUNTIF([1]Base_Jugadores!J$2:J$500,B832)&gt;0,1,0)</f>
        <v>0</v>
      </c>
      <c r="Q832" s="10" t="b">
        <f aca="false">--(COUNTIFS(
   [1]Fichajes_Realizados!A$2:A$5000,A832,
   [1]Fichajes_Realizados!G$2:G$5000,$X$3
)&gt;0)</f>
        <v>0</v>
      </c>
      <c r="R832" s="5" t="n">
        <f aca="false">_xlfn.XLOOKUP(C832, [1]Estado_Equipos!A$2:A$500, [1]Estado_Equipos!J$2:J$500, "")</f>
        <v>84</v>
      </c>
      <c r="S832" s="5" t="n">
        <f aca="false">IF(H832&lt;=16,1.45,
IF(H832&gt;=41,0.3,
CHOOSE(ROUNDDOWN((H832-16)/2,0)+1,
1.45,1.38,1.3,1.23,1.17,1.15,1.12,1.05,0.95,0.8,0.6,0.4,0.3)))</f>
        <v>1.3</v>
      </c>
      <c r="T832" s="5" t="n">
        <f aca="false">CHOOSE(N832+1,1.2,1,0.85,0.7)</f>
        <v>0.85</v>
      </c>
      <c r="U832" s="5" t="n">
        <f aca="false">IF(F832="PO",0.6,
IF(F832="CT",0.75,
IF(F832="LI",0.8,
IF(F832="LD",0.8,
IF(F832="MCD",0.85,
IF(F832="MC",0.95,
IF(F832="MO",1.05,
IF(F832="EI",1.1,
IF(F832="ED",1.1,
IF(F832="SD",1.15,
IF(F832="DC",1.2,0)))))))))))</f>
        <v>0.75</v>
      </c>
    </row>
    <row r="833" customFormat="false" ht="16.4" hidden="false" customHeight="false" outlineLevel="0" collapsed="false">
      <c r="A833" s="1" t="n">
        <v>832</v>
      </c>
      <c r="B833" s="5" t="str">
        <f aca="false">[1]Base_Jugadores!B833</f>
        <v>James Trafford</v>
      </c>
      <c r="C833" s="5" t="str">
        <f aca="false">IFERROR(
   _xlfn.XLOOKUP(VALUE(A833),[1]Fichajes_Realizados!A$2:A$50000,[1]Fichajes_Realizados!D$2:D$50000,,0,-1),
   _xlfn.XLOOKUP(VALUE(A833),[1]Base_Jugadores!A$2:A$50000,[1]Base_Jugadores!C$2:C$50000)
)</f>
        <v>Manchester City</v>
      </c>
      <c r="D833" s="5" t="str">
        <f aca="false">[1]Base_Jugadores!D833</f>
        <v>Inglaterra</v>
      </c>
      <c r="E833" s="3"/>
      <c r="F833" s="5" t="str">
        <f aca="false">[1]Base_Jugadores!E833</f>
        <v>PO</v>
      </c>
      <c r="G833" s="5" t="n">
        <f aca="false">[1]Base_Jugadores!F833</f>
        <v>75</v>
      </c>
      <c r="H833" s="5" t="n">
        <f aca="false">[1]Base_Jugadores!G833</f>
        <v>23</v>
      </c>
      <c r="I833" s="7" t="n">
        <f aca="false" t="array" ref="I833:I833">_xlfn.XLOOKUP(G833,{55;56;57;58;59;60;61;62;63;64;65;66;67;68;69;70;71;72;73;74;75;76;77;78;79;80;81;82;83;84;85;86;87;88;89;90;91;92;93;94;95;96;97;98;99},{100000;130000;160000;190000;220000;250000;300000;350000;400000;450000;500000;600000;700000;800000;900000;1000000;1500000;2000000;3000000;4000000;5000000;6500000;8000000;10000000;12500000;15000000;20000000;25000000;30000000;35000000;40000000;55000000;70000000;80000000;90000000;110000000;130000000;160000000;190000000;220000000;250000000;280000000;310000000;340000000;400000000})</f>
        <v>5000000</v>
      </c>
      <c r="J833" s="7" t="n">
        <f aca="false">I833*S833*T833*U833</f>
        <v>3136500</v>
      </c>
      <c r="K833" s="3"/>
      <c r="L833" s="3"/>
      <c r="M833" s="3"/>
      <c r="N833" s="9" t="n">
        <v>2</v>
      </c>
      <c r="O833" s="4" t="n">
        <v>0</v>
      </c>
      <c r="P833" s="5" t="n">
        <f aca="false">IF(COUNTIF([1]Base_Jugadores!J$2:J$500,B833)&gt;0,1,0)</f>
        <v>0</v>
      </c>
      <c r="Q833" s="10" t="b">
        <f aca="false">--(COUNTIFS(
   [1]Fichajes_Realizados!A$2:A$5000,A833,
   [1]Fichajes_Realizados!G$2:G$5000,$X$3
)&gt;0)</f>
        <v>0</v>
      </c>
      <c r="R833" s="5" t="n">
        <f aca="false">_xlfn.XLOOKUP(C833, [1]Estado_Equipos!A$2:A$500, [1]Estado_Equipos!J$2:J$500, "")</f>
        <v>84</v>
      </c>
      <c r="S833" s="5" t="n">
        <f aca="false">IF(H833&lt;=16,1.45,
IF(H833&gt;=41,0.3,
CHOOSE(ROUNDDOWN((H833-16)/2,0)+1,
1.45,1.38,1.3,1.23,1.17,1.15,1.12,1.05,0.95,0.8,0.6,0.4,0.3)))</f>
        <v>1.23</v>
      </c>
      <c r="T833" s="5" t="n">
        <f aca="false">CHOOSE(N833+1,1.2,1,0.85,0.7)</f>
        <v>0.85</v>
      </c>
      <c r="U833" s="5" t="n">
        <f aca="false">IF(F833="PO",0.6,
IF(F833="CT",0.75,
IF(F833="LI",0.8,
IF(F833="LD",0.8,
IF(F833="MCD",0.85,
IF(F833="MC",0.95,
IF(F833="MO",1.05,
IF(F833="EI",1.1,
IF(F833="ED",1.1,
IF(F833="SD",1.15,
IF(F833="DC",1.2,0)))))))))))</f>
        <v>0.6</v>
      </c>
    </row>
    <row r="834" customFormat="false" ht="16.4" hidden="false" customHeight="false" outlineLevel="0" collapsed="false">
      <c r="A834" s="1" t="n">
        <v>833</v>
      </c>
      <c r="B834" s="5" t="str">
        <f aca="false">[1]Base_Jugadores!B834</f>
        <v>Jérémy Doku</v>
      </c>
      <c r="C834" s="5" t="str">
        <f aca="false">IFERROR(
   _xlfn.XLOOKUP(VALUE(A834),[1]Fichajes_Realizados!A$2:A$50000,[1]Fichajes_Realizados!D$2:D$50000,,0,-1),
   _xlfn.XLOOKUP(VALUE(A834),[1]Base_Jugadores!A$2:A$50000,[1]Base_Jugadores!C$2:C$50000)
)</f>
        <v>Manchester City</v>
      </c>
      <c r="D834" s="5" t="str">
        <f aca="false">[1]Base_Jugadores!D834</f>
        <v>Bélgica</v>
      </c>
      <c r="E834" s="3"/>
      <c r="F834" s="5" t="str">
        <f aca="false">[1]Base_Jugadores!E834</f>
        <v>EI</v>
      </c>
      <c r="G834" s="5" t="n">
        <f aca="false">[1]Base_Jugadores!F834</f>
        <v>81</v>
      </c>
      <c r="H834" s="5" t="n">
        <f aca="false">[1]Base_Jugadores!G834</f>
        <v>23</v>
      </c>
      <c r="I834" s="7" t="n">
        <f aca="false" t="array" ref="I834:I834">_xlfn.XLOOKUP(G834,{55;56;57;58;59;60;61;62;63;64;65;66;67;68;69;70;71;72;73;74;75;76;77;78;79;80;81;82;83;84;85;86;87;88;89;90;91;92;93;94;95;96;97;98;99},{100000;130000;160000;190000;220000;250000;300000;350000;400000;450000;500000;600000;700000;800000;900000;1000000;1500000;2000000;3000000;4000000;5000000;6500000;8000000;10000000;12500000;15000000;20000000;25000000;30000000;35000000;40000000;55000000;70000000;80000000;90000000;110000000;130000000;160000000;190000000;220000000;250000000;280000000;310000000;340000000;400000000})</f>
        <v>20000000</v>
      </c>
      <c r="J834" s="7" t="n">
        <f aca="false">I834*S834*T834*U834</f>
        <v>23001000</v>
      </c>
      <c r="K834" s="3"/>
      <c r="L834" s="3"/>
      <c r="M834" s="3"/>
      <c r="N834" s="9" t="n">
        <v>2</v>
      </c>
      <c r="O834" s="4" t="n">
        <v>0</v>
      </c>
      <c r="P834" s="5" t="n">
        <f aca="false">IF(COUNTIF([1]Base_Jugadores!J$2:J$500,B834)&gt;0,1,0)</f>
        <v>0</v>
      </c>
      <c r="Q834" s="10" t="b">
        <f aca="false">--(COUNTIFS(
   [1]Fichajes_Realizados!A$2:A$5000,A834,
   [1]Fichajes_Realizados!G$2:G$5000,$X$3
)&gt;0)</f>
        <v>0</v>
      </c>
      <c r="R834" s="5" t="n">
        <f aca="false">_xlfn.XLOOKUP(C834, [1]Estado_Equipos!A$2:A$500, [1]Estado_Equipos!J$2:J$500, "")</f>
        <v>84</v>
      </c>
      <c r="S834" s="5" t="n">
        <f aca="false">IF(H834&lt;=16,1.45,
IF(H834&gt;=41,0.3,
CHOOSE(ROUNDDOWN((H834-16)/2,0)+1,
1.45,1.38,1.3,1.23,1.17,1.15,1.12,1.05,0.95,0.8,0.6,0.4,0.3)))</f>
        <v>1.23</v>
      </c>
      <c r="T834" s="5" t="n">
        <f aca="false">CHOOSE(N834+1,1.2,1,0.85,0.7)</f>
        <v>0.85</v>
      </c>
      <c r="U834" s="5" t="n">
        <f aca="false">IF(F834="PO",0.6,
IF(F834="CT",0.75,
IF(F834="LI",0.8,
IF(F834="LD",0.8,
IF(F834="MCD",0.85,
IF(F834="MC",0.95,
IF(F834="MO",1.05,
IF(F834="EI",1.1,
IF(F834="ED",1.1,
IF(F834="SD",1.15,
IF(F834="DC",1.2,0)))))))))))</f>
        <v>1.1</v>
      </c>
    </row>
    <row r="835" customFormat="false" ht="16.4" hidden="false" customHeight="false" outlineLevel="0" collapsed="false">
      <c r="A835" s="1" t="n">
        <v>834</v>
      </c>
      <c r="B835" s="5" t="str">
        <f aca="false">[1]Base_Jugadores!B835</f>
        <v>John Stones</v>
      </c>
      <c r="C835" s="5" t="str">
        <f aca="false">IFERROR(
   _xlfn.XLOOKUP(VALUE(A835),[1]Fichajes_Realizados!A$2:A$50000,[1]Fichajes_Realizados!D$2:D$50000,,0,-1),
   _xlfn.XLOOKUP(VALUE(A835),[1]Base_Jugadores!A$2:A$50000,[1]Base_Jugadores!C$2:C$50000)
)</f>
        <v>Manchester City</v>
      </c>
      <c r="D835" s="5" t="str">
        <f aca="false">[1]Base_Jugadores!D835</f>
        <v>Inglaterra</v>
      </c>
      <c r="E835" s="3"/>
      <c r="F835" s="5" t="str">
        <f aca="false">[1]Base_Jugadores!E835</f>
        <v>CT</v>
      </c>
      <c r="G835" s="5" t="n">
        <f aca="false">[1]Base_Jugadores!F835</f>
        <v>84</v>
      </c>
      <c r="H835" s="5" t="n">
        <f aca="false">[1]Base_Jugadores!G835</f>
        <v>31</v>
      </c>
      <c r="I835" s="7" t="n">
        <f aca="false" t="array" ref="I835:I835">_xlfn.XLOOKUP(G835,{55;56;57;58;59;60;61;62;63;64;65;66;67;68;69;70;71;72;73;74;75;76;77;78;79;80;81;82;83;84;85;86;87;88;89;90;91;92;93;94;95;96;97;98;99},{100000;130000;160000;190000;220000;250000;300000;350000;400000;450000;500000;600000;700000;800000;900000;1000000;1500000;2000000;3000000;4000000;5000000;6500000;8000000;10000000;12500000;15000000;20000000;25000000;30000000;35000000;40000000;55000000;70000000;80000000;90000000;110000000;130000000;160000000;190000000;220000000;250000000;280000000;310000000;340000000;400000000})</f>
        <v>35000000</v>
      </c>
      <c r="J835" s="7" t="n">
        <f aca="false">I835*S835*T835*U835</f>
        <v>27562500</v>
      </c>
      <c r="K835" s="3"/>
      <c r="L835" s="3"/>
      <c r="M835" s="3"/>
      <c r="N835" s="9" t="n">
        <v>1</v>
      </c>
      <c r="O835" s="4" t="n">
        <v>0</v>
      </c>
      <c r="P835" s="5" t="n">
        <f aca="false">IF(COUNTIF([1]Base_Jugadores!J$2:J$500,B835)&gt;0,1,0)</f>
        <v>0</v>
      </c>
      <c r="Q835" s="10" t="b">
        <f aca="false">--(COUNTIFS(
   [1]Fichajes_Realizados!A$2:A$5000,A835,
   [1]Fichajes_Realizados!G$2:G$5000,$X$3
)&gt;0)</f>
        <v>0</v>
      </c>
      <c r="R835" s="5" t="n">
        <f aca="false">_xlfn.XLOOKUP(C835, [1]Estado_Equipos!A$2:A$500, [1]Estado_Equipos!J$2:J$500, "")</f>
        <v>84</v>
      </c>
      <c r="S835" s="5" t="n">
        <f aca="false">IF(H835&lt;=16,1.45,
IF(H835&gt;=41,0.3,
CHOOSE(ROUNDDOWN((H835-16)/2,0)+1,
1.45,1.38,1.3,1.23,1.17,1.15,1.12,1.05,0.95,0.8,0.6,0.4,0.3)))</f>
        <v>1.05</v>
      </c>
      <c r="T835" s="5" t="n">
        <f aca="false">CHOOSE(N835+1,1.2,1,0.85,0.7)</f>
        <v>1</v>
      </c>
      <c r="U835" s="5" t="n">
        <f aca="false">IF(F835="PO",0.6,
IF(F835="CT",0.75,
IF(F835="LI",0.8,
IF(F835="LD",0.8,
IF(F835="MCD",0.85,
IF(F835="MC",0.95,
IF(F835="MO",1.05,
IF(F835="EI",1.1,
IF(F835="ED",1.1,
IF(F835="SD",1.15,
IF(F835="DC",1.2,0)))))))))))</f>
        <v>0.75</v>
      </c>
    </row>
    <row r="836" customFormat="false" ht="16.4" hidden="false" customHeight="false" outlineLevel="0" collapsed="false">
      <c r="A836" s="1" t="n">
        <v>835</v>
      </c>
      <c r="B836" s="5" t="str">
        <f aca="false">[1]Base_Jugadores!B836</f>
        <v>Josko Gvardiol</v>
      </c>
      <c r="C836" s="5" t="str">
        <f aca="false">IFERROR(
   _xlfn.XLOOKUP(VALUE(A836),[1]Fichajes_Realizados!A$2:A$50000,[1]Fichajes_Realizados!D$2:D$50000,,0,-1),
   _xlfn.XLOOKUP(VALUE(A836),[1]Base_Jugadores!A$2:A$50000,[1]Base_Jugadores!C$2:C$50000)
)</f>
        <v>Manchester City</v>
      </c>
      <c r="D836" s="5" t="str">
        <f aca="false">[1]Base_Jugadores!D836</f>
        <v>Croacia</v>
      </c>
      <c r="E836" s="3"/>
      <c r="F836" s="5" t="str">
        <f aca="false">[1]Base_Jugadores!E836</f>
        <v>CT</v>
      </c>
      <c r="G836" s="5" t="n">
        <f aca="false">[1]Base_Jugadores!F836</f>
        <v>84</v>
      </c>
      <c r="H836" s="5" t="n">
        <f aca="false">[1]Base_Jugadores!G836</f>
        <v>23</v>
      </c>
      <c r="I836" s="7" t="n">
        <f aca="false" t="array" ref="I836:I836">_xlfn.XLOOKUP(G836,{55;56;57;58;59;60;61;62;63;64;65;66;67;68;69;70;71;72;73;74;75;76;77;78;79;80;81;82;83;84;85;86;87;88;89;90;91;92;93;94;95;96;97;98;99},{100000;130000;160000;190000;220000;250000;300000;350000;400000;450000;500000;600000;700000;800000;900000;1000000;1500000;2000000;3000000;4000000;5000000;6500000;8000000;10000000;12500000;15000000;20000000;25000000;30000000;35000000;40000000;55000000;70000000;80000000;90000000;110000000;130000000;160000000;190000000;220000000;250000000;280000000;310000000;340000000;400000000})</f>
        <v>35000000</v>
      </c>
      <c r="J836" s="7" t="n">
        <f aca="false">I836*S836*T836*U836</f>
        <v>32287500</v>
      </c>
      <c r="K836" s="3"/>
      <c r="L836" s="3"/>
      <c r="M836" s="3"/>
      <c r="N836" s="9" t="n">
        <v>1</v>
      </c>
      <c r="O836" s="4" t="n">
        <v>0</v>
      </c>
      <c r="P836" s="5" t="n">
        <f aca="false">IF(COUNTIF([1]Base_Jugadores!J$2:J$500,B836)&gt;0,1,0)</f>
        <v>0</v>
      </c>
      <c r="Q836" s="10" t="b">
        <f aca="false">--(COUNTIFS(
   [1]Fichajes_Realizados!A$2:A$5000,A836,
   [1]Fichajes_Realizados!G$2:G$5000,$X$3
)&gt;0)</f>
        <v>0</v>
      </c>
      <c r="R836" s="5" t="n">
        <f aca="false">_xlfn.XLOOKUP(C836, [1]Estado_Equipos!A$2:A$500, [1]Estado_Equipos!J$2:J$500, "")</f>
        <v>84</v>
      </c>
      <c r="S836" s="5" t="n">
        <f aca="false">IF(H836&lt;=16,1.45,
IF(H836&gt;=41,0.3,
CHOOSE(ROUNDDOWN((H836-16)/2,0)+1,
1.45,1.38,1.3,1.23,1.17,1.15,1.12,1.05,0.95,0.8,0.6,0.4,0.3)))</f>
        <v>1.23</v>
      </c>
      <c r="T836" s="5" t="n">
        <f aca="false">CHOOSE(N836+1,1.2,1,0.85,0.7)</f>
        <v>1</v>
      </c>
      <c r="U836" s="5" t="n">
        <f aca="false">IF(F836="PO",0.6,
IF(F836="CT",0.75,
IF(F836="LI",0.8,
IF(F836="LD",0.8,
IF(F836="MCD",0.85,
IF(F836="MC",0.95,
IF(F836="MO",1.05,
IF(F836="EI",1.1,
IF(F836="ED",1.1,
IF(F836="SD",1.15,
IF(F836="DC",1.2,0)))))))))))</f>
        <v>0.75</v>
      </c>
    </row>
    <row r="837" customFormat="false" ht="16.4" hidden="false" customHeight="false" outlineLevel="0" collapsed="false">
      <c r="A837" s="1" t="n">
        <v>836</v>
      </c>
      <c r="B837" s="5" t="str">
        <f aca="false">[1]Base_Jugadores!B837</f>
        <v>Kalvin Phillips</v>
      </c>
      <c r="C837" s="5" t="str">
        <f aca="false">IFERROR(
   _xlfn.XLOOKUP(VALUE(A837),[1]Fichajes_Realizados!A$2:A$50000,[1]Fichajes_Realizados!D$2:D$50000,,0,-1),
   _xlfn.XLOOKUP(VALUE(A837),[1]Base_Jugadores!A$2:A$50000,[1]Base_Jugadores!C$2:C$50000)
)</f>
        <v>Manchester City</v>
      </c>
      <c r="D837" s="5" t="str">
        <f aca="false">[1]Base_Jugadores!D837</f>
        <v>Inglaterra</v>
      </c>
      <c r="E837" s="3"/>
      <c r="F837" s="5" t="str">
        <f aca="false">[1]Base_Jugadores!E837</f>
        <v>MCD</v>
      </c>
      <c r="G837" s="5" t="n">
        <f aca="false">[1]Base_Jugadores!F837</f>
        <v>78</v>
      </c>
      <c r="H837" s="5" t="n">
        <f aca="false">[1]Base_Jugadores!G837</f>
        <v>30</v>
      </c>
      <c r="I837" s="7" t="n">
        <f aca="false" t="array" ref="I837:I837">_xlfn.XLOOKUP(G837,{55;56;57;58;59;60;61;62;63;64;65;66;67;68;69;70;71;72;73;74;75;76;77;78;79;80;81;82;83;84;85;86;87;88;89;90;91;92;93;94;95;96;97;98;99},{100000;130000;160000;190000;220000;250000;300000;350000;400000;450000;500000;600000;700000;800000;900000;1000000;1500000;2000000;3000000;4000000;5000000;6500000;8000000;10000000;12500000;15000000;20000000;25000000;30000000;35000000;40000000;55000000;70000000;80000000;90000000;110000000;130000000;160000000;190000000;220000000;250000000;280000000;310000000;340000000;400000000})</f>
        <v>10000000</v>
      </c>
      <c r="J837" s="7" t="n">
        <f aca="false">I837*S837*T837*U837</f>
        <v>7586250</v>
      </c>
      <c r="K837" s="3"/>
      <c r="L837" s="3"/>
      <c r="M837" s="3"/>
      <c r="N837" s="9" t="n">
        <v>2</v>
      </c>
      <c r="O837" s="4" t="n">
        <v>0</v>
      </c>
      <c r="P837" s="5" t="n">
        <f aca="false">IF(COUNTIF([1]Base_Jugadores!J$2:J$500,B837)&gt;0,1,0)</f>
        <v>0</v>
      </c>
      <c r="Q837" s="10" t="b">
        <f aca="false">--(COUNTIFS(
   [1]Fichajes_Realizados!A$2:A$5000,A837,
   [1]Fichajes_Realizados!G$2:G$5000,$X$3
)&gt;0)</f>
        <v>0</v>
      </c>
      <c r="R837" s="5" t="n">
        <f aca="false">_xlfn.XLOOKUP(C837, [1]Estado_Equipos!A$2:A$500, [1]Estado_Equipos!J$2:J$500, "")</f>
        <v>84</v>
      </c>
      <c r="S837" s="5" t="n">
        <f aca="false">IF(H837&lt;=16,1.45,
IF(H837&gt;=41,0.3,
CHOOSE(ROUNDDOWN((H837-16)/2,0)+1,
1.45,1.38,1.3,1.23,1.17,1.15,1.12,1.05,0.95,0.8,0.6,0.4,0.3)))</f>
        <v>1.05</v>
      </c>
      <c r="T837" s="5" t="n">
        <f aca="false">CHOOSE(N837+1,1.2,1,0.85,0.7)</f>
        <v>0.85</v>
      </c>
      <c r="U837" s="5" t="n">
        <f aca="false">IF(F837="PO",0.6,
IF(F837="CT",0.75,
IF(F837="LI",0.8,
IF(F837="LD",0.8,
IF(F837="MCD",0.85,
IF(F837="MC",0.95,
IF(F837="MO",1.05,
IF(F837="EI",1.1,
IF(F837="ED",1.1,
IF(F837="SD",1.15,
IF(F837="DC",1.2,0)))))))))))</f>
        <v>0.85</v>
      </c>
    </row>
    <row r="838" customFormat="false" ht="16.4" hidden="false" customHeight="false" outlineLevel="0" collapsed="false">
      <c r="A838" s="1" t="n">
        <v>837</v>
      </c>
      <c r="B838" s="5" t="str">
        <f aca="false">[1]Base_Jugadores!B838</f>
        <v>M. Susoho</v>
      </c>
      <c r="C838" s="5" t="str">
        <f aca="false">IFERROR(
   _xlfn.XLOOKUP(VALUE(A838),[1]Fichajes_Realizados!A$2:A$50000,[1]Fichajes_Realizados!D$2:D$50000,,0,-1),
   _xlfn.XLOOKUP(VALUE(A838),[1]Base_Jugadores!A$2:A$50000,[1]Base_Jugadores!C$2:C$50000)
)</f>
        <v>Manchester City</v>
      </c>
      <c r="D838" s="5" t="str">
        <f aca="false">[1]Base_Jugadores!D838</f>
        <v>España</v>
      </c>
      <c r="E838" s="3"/>
      <c r="F838" s="5" t="str">
        <f aca="false">[1]Base_Jugadores!E838</f>
        <v>MCD</v>
      </c>
      <c r="G838" s="5" t="n">
        <f aca="false">[1]Base_Jugadores!F838</f>
        <v>62</v>
      </c>
      <c r="H838" s="5" t="n">
        <f aca="false">[1]Base_Jugadores!G838</f>
        <v>20</v>
      </c>
      <c r="I838" s="7" t="n">
        <f aca="false" t="array" ref="I838:I838">_xlfn.XLOOKUP(G838,{55;56;57;58;59;60;61;62;63;64;65;66;67;68;69;70;71;72;73;74;75;76;77;78;79;80;81;82;83;84;85;86;87;88;89;90;91;92;93;94;95;96;97;98;99},{100000;130000;160000;190000;220000;250000;300000;350000;400000;450000;500000;600000;700000;800000;900000;1000000;1500000;2000000;3000000;4000000;5000000;6500000;8000000;10000000;12500000;15000000;20000000;25000000;30000000;35000000;40000000;55000000;70000000;80000000;90000000;110000000;130000000;160000000;190000000;220000000;250000000;280000000;310000000;340000000;400000000})</f>
        <v>350000</v>
      </c>
      <c r="J838" s="7" t="n">
        <f aca="false">I838*S838*T838*U838</f>
        <v>328737.5</v>
      </c>
      <c r="K838" s="3"/>
      <c r="L838" s="3"/>
      <c r="M838" s="3"/>
      <c r="N838" s="9" t="n">
        <v>2</v>
      </c>
      <c r="O838" s="4" t="n">
        <v>1</v>
      </c>
      <c r="P838" s="5" t="n">
        <f aca="false">IF(COUNTIF([1]Base_Jugadores!J$2:J$500,B838)&gt;0,1,0)</f>
        <v>0</v>
      </c>
      <c r="Q838" s="10" t="b">
        <f aca="false">--(COUNTIFS(
   [1]Fichajes_Realizados!A$2:A$5000,A838,
   [1]Fichajes_Realizados!G$2:G$5000,$X$3
)&gt;0)</f>
        <v>0</v>
      </c>
      <c r="R838" s="5" t="n">
        <f aca="false">_xlfn.XLOOKUP(C838, [1]Estado_Equipos!A$2:A$500, [1]Estado_Equipos!J$2:J$500, "")</f>
        <v>84</v>
      </c>
      <c r="S838" s="5" t="n">
        <f aca="false">IF(H838&lt;=16,1.45,
IF(H838&gt;=41,0.3,
CHOOSE(ROUNDDOWN((H838-16)/2,0)+1,
1.45,1.38,1.3,1.23,1.17,1.15,1.12,1.05,0.95,0.8,0.6,0.4,0.3)))</f>
        <v>1.3</v>
      </c>
      <c r="T838" s="5" t="n">
        <f aca="false">CHOOSE(N838+1,1.2,1,0.85,0.7)</f>
        <v>0.85</v>
      </c>
      <c r="U838" s="5" t="n">
        <f aca="false">IF(F838="PO",0.6,
IF(F838="CT",0.75,
IF(F838="LI",0.8,
IF(F838="LD",0.8,
IF(F838="MCD",0.85,
IF(F838="MC",0.95,
IF(F838="MO",1.05,
IF(F838="EI",1.1,
IF(F838="ED",1.1,
IF(F838="SD",1.15,
IF(F838="DC",1.2,0)))))))))))</f>
        <v>0.85</v>
      </c>
    </row>
    <row r="839" customFormat="false" ht="16.4" hidden="false" customHeight="false" outlineLevel="0" collapsed="false">
      <c r="A839" s="1" t="n">
        <v>838</v>
      </c>
      <c r="B839" s="5" t="str">
        <f aca="false">[1]Base_Jugadores!B839</f>
        <v>Marcus Bettinelli</v>
      </c>
      <c r="C839" s="5" t="str">
        <f aca="false">IFERROR(
   _xlfn.XLOOKUP(VALUE(A839),[1]Fichajes_Realizados!A$2:A$50000,[1]Fichajes_Realizados!D$2:D$50000,,0,-1),
   _xlfn.XLOOKUP(VALUE(A839),[1]Base_Jugadores!A$2:A$50000,[1]Base_Jugadores!C$2:C$50000)
)</f>
        <v>Manchester City</v>
      </c>
      <c r="D839" s="5" t="str">
        <f aca="false">[1]Base_Jugadores!D839</f>
        <v>Inglaterra</v>
      </c>
      <c r="E839" s="3"/>
      <c r="F839" s="5" t="str">
        <f aca="false">[1]Base_Jugadores!E839</f>
        <v>PO</v>
      </c>
      <c r="G839" s="5" t="n">
        <f aca="false">[1]Base_Jugadores!F839</f>
        <v>71</v>
      </c>
      <c r="H839" s="5" t="n">
        <f aca="false">[1]Base_Jugadores!G839</f>
        <v>33</v>
      </c>
      <c r="I839" s="7" t="n">
        <f aca="false" t="array" ref="I839:I839">_xlfn.XLOOKUP(G839,{55;56;57;58;59;60;61;62;63;64;65;66;67;68;69;70;71;72;73;74;75;76;77;78;79;80;81;82;83;84;85;86;87;88;89;90;91;92;93;94;95;96;97;98;99},{100000;130000;160000;190000;220000;250000;300000;350000;400000;450000;500000;600000;700000;800000;900000;1000000;1500000;2000000;3000000;4000000;5000000;6500000;8000000;10000000;12500000;15000000;20000000;25000000;30000000;35000000;40000000;55000000;70000000;80000000;90000000;110000000;130000000;160000000;190000000;220000000;250000000;280000000;310000000;340000000;400000000})</f>
        <v>1500000</v>
      </c>
      <c r="J839" s="7" t="n">
        <f aca="false">I839*S839*T839*U839</f>
        <v>726750</v>
      </c>
      <c r="K839" s="3"/>
      <c r="L839" s="3"/>
      <c r="M839" s="3"/>
      <c r="N839" s="9" t="n">
        <v>2</v>
      </c>
      <c r="O839" s="4" t="n">
        <v>0</v>
      </c>
      <c r="P839" s="5" t="n">
        <f aca="false">IF(COUNTIF([1]Base_Jugadores!J$2:J$500,B839)&gt;0,1,0)</f>
        <v>0</v>
      </c>
      <c r="Q839" s="10" t="b">
        <f aca="false">--(COUNTIFS(
   [1]Fichajes_Realizados!A$2:A$5000,A839,
   [1]Fichajes_Realizados!G$2:G$5000,$X$3
)&gt;0)</f>
        <v>0</v>
      </c>
      <c r="R839" s="5" t="n">
        <f aca="false">_xlfn.XLOOKUP(C839, [1]Estado_Equipos!A$2:A$500, [1]Estado_Equipos!J$2:J$500, "")</f>
        <v>84</v>
      </c>
      <c r="S839" s="5" t="n">
        <f aca="false">IF(H839&lt;=16,1.45,
IF(H839&gt;=41,0.3,
CHOOSE(ROUNDDOWN((H839-16)/2,0)+1,
1.45,1.38,1.3,1.23,1.17,1.15,1.12,1.05,0.95,0.8,0.6,0.4,0.3)))</f>
        <v>0.95</v>
      </c>
      <c r="T839" s="5" t="n">
        <f aca="false">CHOOSE(N839+1,1.2,1,0.85,0.7)</f>
        <v>0.85</v>
      </c>
      <c r="U839" s="5" t="n">
        <f aca="false">IF(F839="PO",0.6,
IF(F839="CT",0.75,
IF(F839="LI",0.8,
IF(F839="LD",0.8,
IF(F839="MCD",0.85,
IF(F839="MC",0.95,
IF(F839="MO",1.05,
IF(F839="EI",1.1,
IF(F839="ED",1.1,
IF(F839="SD",1.15,
IF(F839="DC",1.2,0)))))))))))</f>
        <v>0.6</v>
      </c>
    </row>
    <row r="840" customFormat="false" ht="16.4" hidden="false" customHeight="false" outlineLevel="0" collapsed="false">
      <c r="A840" s="1" t="n">
        <v>839</v>
      </c>
      <c r="B840" s="5" t="str">
        <f aca="false">[1]Base_Jugadores!B840</f>
        <v>Mateo Kovacic</v>
      </c>
      <c r="C840" s="5" t="str">
        <f aca="false">IFERROR(
   _xlfn.XLOOKUP(VALUE(A840),[1]Fichajes_Realizados!A$2:A$50000,[1]Fichajes_Realizados!D$2:D$50000,,0,-1),
   _xlfn.XLOOKUP(VALUE(A840),[1]Base_Jugadores!A$2:A$50000,[1]Base_Jugadores!C$2:C$50000)
)</f>
        <v>Manchester City</v>
      </c>
      <c r="D840" s="5" t="str">
        <f aca="false">[1]Base_Jugadores!D840</f>
        <v>Croacia</v>
      </c>
      <c r="E840" s="3"/>
      <c r="F840" s="5" t="str">
        <f aca="false">[1]Base_Jugadores!E840</f>
        <v>MC</v>
      </c>
      <c r="G840" s="5" t="n">
        <f aca="false">[1]Base_Jugadores!F840</f>
        <v>83</v>
      </c>
      <c r="H840" s="5" t="n">
        <f aca="false">[1]Base_Jugadores!G840</f>
        <v>31</v>
      </c>
      <c r="I840" s="7" t="n">
        <f aca="false" t="array" ref="I840:I840">_xlfn.XLOOKUP(G840,{55;56;57;58;59;60;61;62;63;64;65;66;67;68;69;70;71;72;73;74;75;76;77;78;79;80;81;82;83;84;85;86;87;88;89;90;91;92;93;94;95;96;97;98;99},{100000;130000;160000;190000;220000;250000;300000;350000;400000;450000;500000;600000;700000;800000;900000;1000000;1500000;2000000;3000000;4000000;5000000;6500000;8000000;10000000;12500000;15000000;20000000;25000000;30000000;35000000;40000000;55000000;70000000;80000000;90000000;110000000;130000000;160000000;190000000;220000000;250000000;280000000;310000000;340000000;400000000})</f>
        <v>30000000</v>
      </c>
      <c r="J840" s="7" t="n">
        <f aca="false">I840*S840*T840*U840</f>
        <v>35910000</v>
      </c>
      <c r="K840" s="3"/>
      <c r="L840" s="3"/>
      <c r="M840" s="3"/>
      <c r="N840" s="9" t="n">
        <v>0</v>
      </c>
      <c r="O840" s="4" t="n">
        <v>0</v>
      </c>
      <c r="P840" s="5" t="n">
        <f aca="false">IF(COUNTIF([1]Base_Jugadores!J$2:J$500,B840)&gt;0,1,0)</f>
        <v>0</v>
      </c>
      <c r="Q840" s="10" t="b">
        <f aca="false">--(COUNTIFS(
   [1]Fichajes_Realizados!A$2:A$5000,A840,
   [1]Fichajes_Realizados!G$2:G$5000,$X$3
)&gt;0)</f>
        <v>0</v>
      </c>
      <c r="R840" s="5" t="n">
        <f aca="false">_xlfn.XLOOKUP(C840, [1]Estado_Equipos!A$2:A$500, [1]Estado_Equipos!J$2:J$500, "")</f>
        <v>84</v>
      </c>
      <c r="S840" s="5" t="n">
        <f aca="false">IF(H840&lt;=16,1.45,
IF(H840&gt;=41,0.3,
CHOOSE(ROUNDDOWN((H840-16)/2,0)+1,
1.45,1.38,1.3,1.23,1.17,1.15,1.12,1.05,0.95,0.8,0.6,0.4,0.3)))</f>
        <v>1.05</v>
      </c>
      <c r="T840" s="5" t="n">
        <f aca="false">CHOOSE(N840+1,1.2,1,0.85,0.7)</f>
        <v>1.2</v>
      </c>
      <c r="U840" s="5" t="n">
        <f aca="false">IF(F840="PO",0.6,
IF(F840="CT",0.75,
IF(F840="LI",0.8,
IF(F840="LD",0.8,
IF(F840="MCD",0.85,
IF(F840="MC",0.95,
IF(F840="MO",1.05,
IF(F840="EI",1.1,
IF(F840="ED",1.1,
IF(F840="SD",1.15,
IF(F840="DC",1.2,0)))))))))))</f>
        <v>0.95</v>
      </c>
    </row>
    <row r="841" customFormat="false" ht="16.4" hidden="false" customHeight="false" outlineLevel="0" collapsed="false">
      <c r="A841" s="1" t="n">
        <v>840</v>
      </c>
      <c r="B841" s="5" t="str">
        <f aca="false">[1]Base_Jugadores!B841</f>
        <v>Matheus Nunes</v>
      </c>
      <c r="C841" s="5" t="str">
        <f aca="false">IFERROR(
   _xlfn.XLOOKUP(VALUE(A841),[1]Fichajes_Realizados!A$2:A$50000,[1]Fichajes_Realizados!D$2:D$50000,,0,-1),
   _xlfn.XLOOKUP(VALUE(A841),[1]Base_Jugadores!A$2:A$50000,[1]Base_Jugadores!C$2:C$50000)
)</f>
        <v>Manchester City</v>
      </c>
      <c r="D841" s="5" t="str">
        <f aca="false">[1]Base_Jugadores!D841</f>
        <v>Portugal</v>
      </c>
      <c r="E841" s="3"/>
      <c r="F841" s="5" t="str">
        <f aca="false">[1]Base_Jugadores!E841</f>
        <v>LD</v>
      </c>
      <c r="G841" s="5" t="n">
        <f aca="false">[1]Base_Jugadores!F841</f>
        <v>78</v>
      </c>
      <c r="H841" s="5" t="n">
        <f aca="false">[1]Base_Jugadores!G841</f>
        <v>27</v>
      </c>
      <c r="I841" s="7" t="n">
        <f aca="false" t="array" ref="I841:I841">_xlfn.XLOOKUP(G841,{55;56;57;58;59;60;61;62;63;64;65;66;67;68;69;70;71;72;73;74;75;76;77;78;79;80;81;82;83;84;85;86;87;88;89;90;91;92;93;94;95;96;97;98;99},{100000;130000;160000;190000;220000;250000;300000;350000;400000;450000;500000;600000;700000;800000;900000;1000000;1500000;2000000;3000000;4000000;5000000;6500000;8000000;10000000;12500000;15000000;20000000;25000000;30000000;35000000;40000000;55000000;70000000;80000000;90000000;110000000;130000000;160000000;190000000;220000000;250000000;280000000;310000000;340000000;400000000})</f>
        <v>10000000</v>
      </c>
      <c r="J841" s="7" t="n">
        <f aca="false">I841*S841*T841*U841</f>
        <v>7820000</v>
      </c>
      <c r="K841" s="3"/>
      <c r="L841" s="3"/>
      <c r="M841" s="3"/>
      <c r="N841" s="9" t="n">
        <v>2</v>
      </c>
      <c r="O841" s="4" t="n">
        <v>0</v>
      </c>
      <c r="P841" s="5" t="n">
        <f aca="false">IF(COUNTIF([1]Base_Jugadores!J$2:J$500,B841)&gt;0,1,0)</f>
        <v>0</v>
      </c>
      <c r="Q841" s="10" t="b">
        <f aca="false">--(COUNTIFS(
   [1]Fichajes_Realizados!A$2:A$5000,A841,
   [1]Fichajes_Realizados!G$2:G$5000,$X$3
)&gt;0)</f>
        <v>0</v>
      </c>
      <c r="R841" s="5" t="n">
        <f aca="false">_xlfn.XLOOKUP(C841, [1]Estado_Equipos!A$2:A$500, [1]Estado_Equipos!J$2:J$500, "")</f>
        <v>84</v>
      </c>
      <c r="S841" s="5" t="n">
        <f aca="false">IF(H841&lt;=16,1.45,
IF(H841&gt;=41,0.3,
CHOOSE(ROUNDDOWN((H841-16)/2,0)+1,
1.45,1.38,1.3,1.23,1.17,1.15,1.12,1.05,0.95,0.8,0.6,0.4,0.3)))</f>
        <v>1.15</v>
      </c>
      <c r="T841" s="5" t="n">
        <f aca="false">CHOOSE(N841+1,1.2,1,0.85,0.7)</f>
        <v>0.85</v>
      </c>
      <c r="U841" s="5" t="n">
        <f aca="false">IF(F841="PO",0.6,
IF(F841="CT",0.75,
IF(F841="LI",0.8,
IF(F841="LD",0.8,
IF(F841="MCD",0.85,
IF(F841="MC",0.95,
IF(F841="MO",1.05,
IF(F841="EI",1.1,
IF(F841="ED",1.1,
IF(F841="SD",1.15,
IF(F841="DC",1.2,0)))))))))))</f>
        <v>0.8</v>
      </c>
    </row>
    <row r="842" customFormat="false" ht="16.4" hidden="false" customHeight="false" outlineLevel="0" collapsed="false">
      <c r="A842" s="1" t="n">
        <v>841</v>
      </c>
      <c r="B842" s="5" t="str">
        <f aca="false">[1]Base_Jugadores!B842</f>
        <v>Nathan Aké</v>
      </c>
      <c r="C842" s="5" t="str">
        <f aca="false">IFERROR(
   _xlfn.XLOOKUP(VALUE(A842),[1]Fichajes_Realizados!A$2:A$50000,[1]Fichajes_Realizados!D$2:D$50000,,0,-1),
   _xlfn.XLOOKUP(VALUE(A842),[1]Base_Jugadores!A$2:A$50000,[1]Base_Jugadores!C$2:C$50000)
)</f>
        <v>Manchester City</v>
      </c>
      <c r="D842" s="5" t="str">
        <f aca="false">[1]Base_Jugadores!D842</f>
        <v>Países Bajos</v>
      </c>
      <c r="E842" s="3"/>
      <c r="F842" s="5" t="str">
        <f aca="false">[1]Base_Jugadores!E842</f>
        <v>CT</v>
      </c>
      <c r="G842" s="5" t="n">
        <f aca="false">[1]Base_Jugadores!F842</f>
        <v>84</v>
      </c>
      <c r="H842" s="5" t="n">
        <f aca="false">[1]Base_Jugadores!G842</f>
        <v>30</v>
      </c>
      <c r="I842" s="7" t="n">
        <f aca="false" t="array" ref="I842:I842">_xlfn.XLOOKUP(G842,{55;56;57;58;59;60;61;62;63;64;65;66;67;68;69;70;71;72;73;74;75;76;77;78;79;80;81;82;83;84;85;86;87;88;89;90;91;92;93;94;95;96;97;98;99},{100000;130000;160000;190000;220000;250000;300000;350000;400000;450000;500000;600000;700000;800000;900000;1000000;1500000;2000000;3000000;4000000;5000000;6500000;8000000;10000000;12500000;15000000;20000000;25000000;30000000;35000000;40000000;55000000;70000000;80000000;90000000;110000000;130000000;160000000;190000000;220000000;250000000;280000000;310000000;340000000;400000000})</f>
        <v>35000000</v>
      </c>
      <c r="J842" s="7" t="n">
        <f aca="false">I842*S842*T842*U842</f>
        <v>33075000</v>
      </c>
      <c r="K842" s="3"/>
      <c r="L842" s="3"/>
      <c r="M842" s="3"/>
      <c r="N842" s="9" t="n">
        <v>0</v>
      </c>
      <c r="O842" s="4" t="n">
        <v>0</v>
      </c>
      <c r="P842" s="5" t="n">
        <f aca="false">IF(COUNTIF([1]Base_Jugadores!J$2:J$500,B842)&gt;0,1,0)</f>
        <v>0</v>
      </c>
      <c r="Q842" s="10" t="b">
        <f aca="false">--(COUNTIFS(
   [1]Fichajes_Realizados!A$2:A$5000,A842,
   [1]Fichajes_Realizados!G$2:G$5000,$X$3
)&gt;0)</f>
        <v>0</v>
      </c>
      <c r="R842" s="5" t="n">
        <f aca="false">_xlfn.XLOOKUP(C842, [1]Estado_Equipos!A$2:A$500, [1]Estado_Equipos!J$2:J$500, "")</f>
        <v>84</v>
      </c>
      <c r="S842" s="5" t="n">
        <f aca="false">IF(H842&lt;=16,1.45,
IF(H842&gt;=41,0.3,
CHOOSE(ROUNDDOWN((H842-16)/2,0)+1,
1.45,1.38,1.3,1.23,1.17,1.15,1.12,1.05,0.95,0.8,0.6,0.4,0.3)))</f>
        <v>1.05</v>
      </c>
      <c r="T842" s="5" t="n">
        <f aca="false">CHOOSE(N842+1,1.2,1,0.85,0.7)</f>
        <v>1.2</v>
      </c>
      <c r="U842" s="5" t="n">
        <f aca="false">IF(F842="PO",0.6,
IF(F842="CT",0.75,
IF(F842="LI",0.8,
IF(F842="LD",0.8,
IF(F842="MCD",0.85,
IF(F842="MC",0.95,
IF(F842="MO",1.05,
IF(F842="EI",1.1,
IF(F842="ED",1.1,
IF(F842="SD",1.15,
IF(F842="DC",1.2,0)))))))))))</f>
        <v>0.75</v>
      </c>
    </row>
    <row r="843" customFormat="false" ht="16.4" hidden="false" customHeight="false" outlineLevel="0" collapsed="false">
      <c r="A843" s="1" t="n">
        <v>842</v>
      </c>
      <c r="B843" s="5" t="str">
        <f aca="false">[1]Base_Jugadores!B843</f>
        <v>Nico González I.</v>
      </c>
      <c r="C843" s="5" t="str">
        <f aca="false">IFERROR(
   _xlfn.XLOOKUP(VALUE(A843),[1]Fichajes_Realizados!A$2:A$50000,[1]Fichajes_Realizados!D$2:D$50000,,0,-1),
   _xlfn.XLOOKUP(VALUE(A843),[1]Base_Jugadores!A$2:A$50000,[1]Base_Jugadores!C$2:C$50000)
)</f>
        <v>Manchester City</v>
      </c>
      <c r="D843" s="5" t="str">
        <f aca="false">[1]Base_Jugadores!D843</f>
        <v>España</v>
      </c>
      <c r="E843" s="3"/>
      <c r="F843" s="5" t="str">
        <f aca="false">[1]Base_Jugadores!E843</f>
        <v>MCD</v>
      </c>
      <c r="G843" s="5" t="n">
        <f aca="false">[1]Base_Jugadores!F843</f>
        <v>80</v>
      </c>
      <c r="H843" s="5" t="n">
        <f aca="false">[1]Base_Jugadores!G843</f>
        <v>23</v>
      </c>
      <c r="I843" s="7" t="n">
        <f aca="false" t="array" ref="I843:I843">_xlfn.XLOOKUP(G843,{55;56;57;58;59;60;61;62;63;64;65;66;67;68;69;70;71;72;73;74;75;76;77;78;79;80;81;82;83;84;85;86;87;88;89;90;91;92;93;94;95;96;97;98;99},{100000;130000;160000;190000;220000;250000;300000;350000;400000;450000;500000;600000;700000;800000;900000;1000000;1500000;2000000;3000000;4000000;5000000;6500000;8000000;10000000;12500000;15000000;20000000;25000000;30000000;35000000;40000000;55000000;70000000;80000000;90000000;110000000;130000000;160000000;190000000;220000000;250000000;280000000;310000000;340000000;400000000})</f>
        <v>15000000</v>
      </c>
      <c r="J843" s="7" t="n">
        <f aca="false">I843*S843*T843*U843</f>
        <v>13330125</v>
      </c>
      <c r="K843" s="3"/>
      <c r="L843" s="3"/>
      <c r="M843" s="3"/>
      <c r="N843" s="9" t="n">
        <v>2</v>
      </c>
      <c r="O843" s="4" t="n">
        <v>0</v>
      </c>
      <c r="P843" s="5" t="n">
        <f aca="false">IF(COUNTIF([1]Base_Jugadores!J$2:J$500,B843)&gt;0,1,0)</f>
        <v>0</v>
      </c>
      <c r="Q843" s="10" t="b">
        <f aca="false">--(COUNTIFS(
   [1]Fichajes_Realizados!A$2:A$5000,A843,
   [1]Fichajes_Realizados!G$2:G$5000,$X$3
)&gt;0)</f>
        <v>0</v>
      </c>
      <c r="R843" s="5" t="n">
        <f aca="false">_xlfn.XLOOKUP(C843, [1]Estado_Equipos!A$2:A$500, [1]Estado_Equipos!J$2:J$500, "")</f>
        <v>84</v>
      </c>
      <c r="S843" s="5" t="n">
        <f aca="false">IF(H843&lt;=16,1.45,
IF(H843&gt;=41,0.3,
CHOOSE(ROUNDDOWN((H843-16)/2,0)+1,
1.45,1.38,1.3,1.23,1.17,1.15,1.12,1.05,0.95,0.8,0.6,0.4,0.3)))</f>
        <v>1.23</v>
      </c>
      <c r="T843" s="5" t="n">
        <f aca="false">CHOOSE(N843+1,1.2,1,0.85,0.7)</f>
        <v>0.85</v>
      </c>
      <c r="U843" s="5" t="n">
        <f aca="false">IF(F843="PO",0.6,
IF(F843="CT",0.75,
IF(F843="LI",0.8,
IF(F843="LD",0.8,
IF(F843="MCD",0.85,
IF(F843="MC",0.95,
IF(F843="MO",1.05,
IF(F843="EI",1.1,
IF(F843="ED",1.1,
IF(F843="SD",1.15,
IF(F843="DC",1.2,0)))))))))))</f>
        <v>0.85</v>
      </c>
    </row>
    <row r="844" customFormat="false" ht="16.4" hidden="false" customHeight="false" outlineLevel="0" collapsed="false">
      <c r="A844" s="1" t="n">
        <v>843</v>
      </c>
      <c r="B844" s="5" t="str">
        <f aca="false">[1]Base_Jugadores!B844</f>
        <v>Nico O'Reilly</v>
      </c>
      <c r="C844" s="5" t="str">
        <f aca="false">IFERROR(
   _xlfn.XLOOKUP(VALUE(A844),[1]Fichajes_Realizados!A$2:A$50000,[1]Fichajes_Realizados!D$2:D$50000,,0,-1),
   _xlfn.XLOOKUP(VALUE(A844),[1]Base_Jugadores!A$2:A$50000,[1]Base_Jugadores!C$2:C$50000)
)</f>
        <v>Manchester City</v>
      </c>
      <c r="D844" s="5" t="str">
        <f aca="false">[1]Base_Jugadores!D844</f>
        <v>Inglaterra</v>
      </c>
      <c r="E844" s="3"/>
      <c r="F844" s="5" t="str">
        <f aca="false">[1]Base_Jugadores!E844</f>
        <v>LI</v>
      </c>
      <c r="G844" s="5" t="n">
        <f aca="false">[1]Base_Jugadores!F844</f>
        <v>62</v>
      </c>
      <c r="H844" s="5" t="n">
        <f aca="false">[1]Base_Jugadores!G844</f>
        <v>20</v>
      </c>
      <c r="I844" s="7" t="n">
        <f aca="false" t="array" ref="I844:I844">_xlfn.XLOOKUP(G844,{55;56;57;58;59;60;61;62;63;64;65;66;67;68;69;70;71;72;73;74;75;76;77;78;79;80;81;82;83;84;85;86;87;88;89;90;91;92;93;94;95;96;97;98;99},{100000;130000;160000;190000;220000;250000;300000;350000;400000;450000;500000;600000;700000;800000;900000;1000000;1500000;2000000;3000000;4000000;5000000;6500000;8000000;10000000;12500000;15000000;20000000;25000000;30000000;35000000;40000000;55000000;70000000;80000000;90000000;110000000;130000000;160000000;190000000;220000000;250000000;280000000;310000000;340000000;400000000})</f>
        <v>350000</v>
      </c>
      <c r="J844" s="7" t="n">
        <f aca="false">I844*S844*T844*U844</f>
        <v>309400</v>
      </c>
      <c r="K844" s="3"/>
      <c r="L844" s="3"/>
      <c r="M844" s="3"/>
      <c r="N844" s="9" t="n">
        <v>2</v>
      </c>
      <c r="O844" s="4" t="n">
        <v>0</v>
      </c>
      <c r="P844" s="5" t="n">
        <f aca="false">IF(COUNTIF([1]Base_Jugadores!J$2:J$500,B844)&gt;0,1,0)</f>
        <v>0</v>
      </c>
      <c r="Q844" s="10" t="b">
        <f aca="false">--(COUNTIFS(
   [1]Fichajes_Realizados!A$2:A$5000,A844,
   [1]Fichajes_Realizados!G$2:G$5000,$X$3
)&gt;0)</f>
        <v>0</v>
      </c>
      <c r="R844" s="5" t="n">
        <f aca="false">_xlfn.XLOOKUP(C844, [1]Estado_Equipos!A$2:A$500, [1]Estado_Equipos!J$2:J$500, "")</f>
        <v>84</v>
      </c>
      <c r="S844" s="5" t="n">
        <f aca="false">IF(H844&lt;=16,1.45,
IF(H844&gt;=41,0.3,
CHOOSE(ROUNDDOWN((H844-16)/2,0)+1,
1.45,1.38,1.3,1.23,1.17,1.15,1.12,1.05,0.95,0.8,0.6,0.4,0.3)))</f>
        <v>1.3</v>
      </c>
      <c r="T844" s="5" t="n">
        <f aca="false">CHOOSE(N844+1,1.2,1,0.85,0.7)</f>
        <v>0.85</v>
      </c>
      <c r="U844" s="5" t="n">
        <f aca="false">IF(F844="PO",0.6,
IF(F844="CT",0.75,
IF(F844="LI",0.8,
IF(F844="LD",0.8,
IF(F844="MCD",0.85,
IF(F844="MC",0.95,
IF(F844="MO",1.05,
IF(F844="EI",1.1,
IF(F844="ED",1.1,
IF(F844="SD",1.15,
IF(F844="DC",1.2,0)))))))))))</f>
        <v>0.8</v>
      </c>
    </row>
    <row r="845" customFormat="false" ht="16.4" hidden="false" customHeight="false" outlineLevel="0" collapsed="false">
      <c r="A845" s="1" t="n">
        <v>844</v>
      </c>
      <c r="B845" s="5" t="str">
        <f aca="false">[1]Base_Jugadores!B845</f>
        <v>Omar Marmoush</v>
      </c>
      <c r="C845" s="5" t="str">
        <f aca="false">IFERROR(
   _xlfn.XLOOKUP(VALUE(A845),[1]Fichajes_Realizados!A$2:A$50000,[1]Fichajes_Realizados!D$2:D$50000,,0,-1),
   _xlfn.XLOOKUP(VALUE(A845),[1]Base_Jugadores!A$2:A$50000,[1]Base_Jugadores!C$2:C$50000)
)</f>
        <v>Manchester City</v>
      </c>
      <c r="D845" s="5" t="str">
        <f aca="false">[1]Base_Jugadores!D845</f>
        <v>Egipto</v>
      </c>
      <c r="E845" s="3"/>
      <c r="F845" s="5" t="str">
        <f aca="false">[1]Base_Jugadores!E845</f>
        <v>DC</v>
      </c>
      <c r="G845" s="5" t="n">
        <f aca="false">[1]Base_Jugadores!F845</f>
        <v>84</v>
      </c>
      <c r="H845" s="5" t="n">
        <f aca="false">[1]Base_Jugadores!G845</f>
        <v>26</v>
      </c>
      <c r="I845" s="7" t="n">
        <f aca="false" t="array" ref="I845:I845">_xlfn.XLOOKUP(G845,{55;56;57;58;59;60;61;62;63;64;65;66;67;68;69;70;71;72;73;74;75;76;77;78;79;80;81;82;83;84;85;86;87;88;89;90;91;92;93;94;95;96;97;98;99},{100000;130000;160000;190000;220000;250000;300000;350000;400000;450000;500000;600000;700000;800000;900000;1000000;1500000;2000000;3000000;4000000;5000000;6500000;8000000;10000000;12500000;15000000;20000000;25000000;30000000;35000000;40000000;55000000;70000000;80000000;90000000;110000000;130000000;160000000;190000000;220000000;250000000;280000000;310000000;340000000;400000000})</f>
        <v>35000000</v>
      </c>
      <c r="J845" s="7" t="n">
        <f aca="false">I845*S845*T845*U845</f>
        <v>48300000</v>
      </c>
      <c r="K845" s="3"/>
      <c r="L845" s="3"/>
      <c r="M845" s="3"/>
      <c r="N845" s="9" t="n">
        <v>1</v>
      </c>
      <c r="O845" s="4" t="n">
        <v>0</v>
      </c>
      <c r="P845" s="5" t="n">
        <f aca="false">IF(COUNTIF([1]Base_Jugadores!J$2:J$500,B845)&gt;0,1,0)</f>
        <v>0</v>
      </c>
      <c r="Q845" s="10" t="b">
        <f aca="false">--(COUNTIFS(
   [1]Fichajes_Realizados!A$2:A$5000,A845,
   [1]Fichajes_Realizados!G$2:G$5000,$X$3
)&gt;0)</f>
        <v>0</v>
      </c>
      <c r="R845" s="5" t="n">
        <f aca="false">_xlfn.XLOOKUP(C845, [1]Estado_Equipos!A$2:A$500, [1]Estado_Equipos!J$2:J$500, "")</f>
        <v>84</v>
      </c>
      <c r="S845" s="5" t="n">
        <f aca="false">IF(H845&lt;=16,1.45,
IF(H845&gt;=41,0.3,
CHOOSE(ROUNDDOWN((H845-16)/2,0)+1,
1.45,1.38,1.3,1.23,1.17,1.15,1.12,1.05,0.95,0.8,0.6,0.4,0.3)))</f>
        <v>1.15</v>
      </c>
      <c r="T845" s="5" t="n">
        <f aca="false">CHOOSE(N845+1,1.2,1,0.85,0.7)</f>
        <v>1</v>
      </c>
      <c r="U845" s="5" t="n">
        <f aca="false">IF(F845="PO",0.6,
IF(F845="CT",0.75,
IF(F845="LI",0.8,
IF(F845="LD",0.8,
IF(F845="MCD",0.85,
IF(F845="MC",0.95,
IF(F845="MO",1.05,
IF(F845="EI",1.1,
IF(F845="ED",1.1,
IF(F845="SD",1.15,
IF(F845="DC",1.2,0)))))))))))</f>
        <v>1.2</v>
      </c>
    </row>
    <row r="846" customFormat="false" ht="16.4" hidden="false" customHeight="false" outlineLevel="0" collapsed="false">
      <c r="A846" s="1" t="n">
        <v>845</v>
      </c>
      <c r="B846" s="5" t="str">
        <f aca="false">[1]Base_Jugadores!B846</f>
        <v>Oscar Bobb</v>
      </c>
      <c r="C846" s="5" t="str">
        <f aca="false">IFERROR(
   _xlfn.XLOOKUP(VALUE(A846),[1]Fichajes_Realizados!A$2:A$50000,[1]Fichajes_Realizados!D$2:D$50000,,0,-1),
   _xlfn.XLOOKUP(VALUE(A846),[1]Base_Jugadores!A$2:A$50000,[1]Base_Jugadores!C$2:C$50000)
)</f>
        <v>Manchester City</v>
      </c>
      <c r="D846" s="5" t="str">
        <f aca="false">[1]Base_Jugadores!D846</f>
        <v>Noruega</v>
      </c>
      <c r="E846" s="3"/>
      <c r="F846" s="5" t="str">
        <f aca="false">[1]Base_Jugadores!E846</f>
        <v>ED</v>
      </c>
      <c r="G846" s="5" t="n">
        <f aca="false">[1]Base_Jugadores!F846</f>
        <v>73</v>
      </c>
      <c r="H846" s="5" t="n">
        <f aca="false">[1]Base_Jugadores!G846</f>
        <v>22</v>
      </c>
      <c r="I846" s="7" t="n">
        <f aca="false" t="array" ref="I846:I846">_xlfn.XLOOKUP(G846,{55;56;57;58;59;60;61;62;63;64;65;66;67;68;69;70;71;72;73;74;75;76;77;78;79;80;81;82;83;84;85;86;87;88;89;90;91;92;93;94;95;96;97;98;99},{100000;130000;160000;190000;220000;250000;300000;350000;400000;450000;500000;600000;700000;800000;900000;1000000;1500000;2000000;3000000;4000000;5000000;6500000;8000000;10000000;12500000;15000000;20000000;25000000;30000000;35000000;40000000;55000000;70000000;80000000;90000000;110000000;130000000;160000000;190000000;220000000;250000000;280000000;310000000;340000000;400000000})</f>
        <v>3000000</v>
      </c>
      <c r="J846" s="7" t="n">
        <f aca="false">I846*S846*T846*U846</f>
        <v>4870800</v>
      </c>
      <c r="K846" s="3"/>
      <c r="L846" s="3"/>
      <c r="M846" s="3"/>
      <c r="N846" s="9" t="n">
        <v>0</v>
      </c>
      <c r="O846" s="4" t="n">
        <v>1</v>
      </c>
      <c r="P846" s="5" t="n">
        <f aca="false">IF(COUNTIF([1]Base_Jugadores!J$2:J$500,B846)&gt;0,1,0)</f>
        <v>0</v>
      </c>
      <c r="Q846" s="10" t="b">
        <f aca="false">--(COUNTIFS(
   [1]Fichajes_Realizados!A$2:A$5000,A846,
   [1]Fichajes_Realizados!G$2:G$5000,$X$3
)&gt;0)</f>
        <v>0</v>
      </c>
      <c r="R846" s="5" t="n">
        <f aca="false">_xlfn.XLOOKUP(C846, [1]Estado_Equipos!A$2:A$500, [1]Estado_Equipos!J$2:J$500, "")</f>
        <v>84</v>
      </c>
      <c r="S846" s="5" t="n">
        <f aca="false">IF(H846&lt;=16,1.45,
IF(H846&gt;=41,0.3,
CHOOSE(ROUNDDOWN((H846-16)/2,0)+1,
1.45,1.38,1.3,1.23,1.17,1.15,1.12,1.05,0.95,0.8,0.6,0.4,0.3)))</f>
        <v>1.23</v>
      </c>
      <c r="T846" s="5" t="n">
        <f aca="false">CHOOSE(N846+1,1.2,1,0.85,0.7)</f>
        <v>1.2</v>
      </c>
      <c r="U846" s="5" t="n">
        <f aca="false">IF(F846="PO",0.6,
IF(F846="CT",0.75,
IF(F846="LI",0.8,
IF(F846="LD",0.8,
IF(F846="MCD",0.85,
IF(F846="MC",0.95,
IF(F846="MO",1.05,
IF(F846="EI",1.1,
IF(F846="ED",1.1,
IF(F846="SD",1.15,
IF(F846="DC",1.2,0)))))))))))</f>
        <v>1.1</v>
      </c>
    </row>
    <row r="847" customFormat="false" ht="16.4" hidden="false" customHeight="false" outlineLevel="0" collapsed="false">
      <c r="A847" s="1" t="n">
        <v>846</v>
      </c>
      <c r="B847" s="5" t="str">
        <f aca="false">[1]Base_Jugadores!B847</f>
        <v>Phil Foden</v>
      </c>
      <c r="C847" s="5" t="str">
        <f aca="false">IFERROR(
   _xlfn.XLOOKUP(VALUE(A847),[1]Fichajes_Realizados!A$2:A$50000,[1]Fichajes_Realizados!D$2:D$50000,,0,-1),
   _xlfn.XLOOKUP(VALUE(A847),[1]Base_Jugadores!A$2:A$50000,[1]Base_Jugadores!C$2:C$50000)
)</f>
        <v>Manchester City</v>
      </c>
      <c r="D847" s="5" t="str">
        <f aca="false">[1]Base_Jugadores!D847</f>
        <v>Inglaterra</v>
      </c>
      <c r="E847" s="3"/>
      <c r="F847" s="5" t="str">
        <f aca="false">[1]Base_Jugadores!E847</f>
        <v>MO</v>
      </c>
      <c r="G847" s="5" t="n">
        <f aca="false">[1]Base_Jugadores!F847</f>
        <v>86</v>
      </c>
      <c r="H847" s="5" t="n">
        <f aca="false">[1]Base_Jugadores!G847</f>
        <v>25</v>
      </c>
      <c r="I847" s="7" t="n">
        <f aca="false" t="array" ref="I847:I847">_xlfn.XLOOKUP(G847,{55;56;57;58;59;60;61;62;63;64;65;66;67;68;69;70;71;72;73;74;75;76;77;78;79;80;81;82;83;84;85;86;87;88;89;90;91;92;93;94;95;96;97;98;99},{100000;130000;160000;190000;220000;250000;300000;350000;400000;450000;500000;600000;700000;800000;900000;1000000;1500000;2000000;3000000;4000000;5000000;6500000;8000000;10000000;12500000;15000000;20000000;25000000;30000000;35000000;40000000;55000000;70000000;80000000;90000000;110000000;130000000;160000000;190000000;220000000;250000000;280000000;310000000;340000000;400000000})</f>
        <v>55000000</v>
      </c>
      <c r="J847" s="7" t="n">
        <f aca="false">I847*S847*T847*U847</f>
        <v>81081000</v>
      </c>
      <c r="K847" s="3"/>
      <c r="L847" s="3"/>
      <c r="M847" s="3"/>
      <c r="N847" s="9" t="n">
        <v>0</v>
      </c>
      <c r="O847" s="4" t="n">
        <v>0</v>
      </c>
      <c r="P847" s="5" t="n">
        <f aca="false">IF(COUNTIF([1]Base_Jugadores!J$2:J$500,B847)&gt;0,1,0)</f>
        <v>0</v>
      </c>
      <c r="Q847" s="10" t="b">
        <f aca="false">--(COUNTIFS(
   [1]Fichajes_Realizados!A$2:A$5000,A847,
   [1]Fichajes_Realizados!G$2:G$5000,$X$3
)&gt;0)</f>
        <v>0</v>
      </c>
      <c r="R847" s="5" t="n">
        <f aca="false">_xlfn.XLOOKUP(C847, [1]Estado_Equipos!A$2:A$500, [1]Estado_Equipos!J$2:J$500, "")</f>
        <v>84</v>
      </c>
      <c r="S847" s="5" t="n">
        <f aca="false">IF(H847&lt;=16,1.45,
IF(H847&gt;=41,0.3,
CHOOSE(ROUNDDOWN((H847-16)/2,0)+1,
1.45,1.38,1.3,1.23,1.17,1.15,1.12,1.05,0.95,0.8,0.6,0.4,0.3)))</f>
        <v>1.17</v>
      </c>
      <c r="T847" s="5" t="n">
        <f aca="false">CHOOSE(N847+1,1.2,1,0.85,0.7)</f>
        <v>1.2</v>
      </c>
      <c r="U847" s="5" t="n">
        <f aca="false">IF(F847="PO",0.6,
IF(F847="CT",0.75,
IF(F847="LI",0.8,
IF(F847="LD",0.8,
IF(F847="MCD",0.85,
IF(F847="MC",0.95,
IF(F847="MO",1.05,
IF(F847="EI",1.1,
IF(F847="ED",1.1,
IF(F847="SD",1.15,
IF(F847="DC",1.2,0)))))))))))</f>
        <v>1.05</v>
      </c>
    </row>
    <row r="848" customFormat="false" ht="16.4" hidden="false" customHeight="false" outlineLevel="0" collapsed="false">
      <c r="A848" s="1" t="n">
        <v>847</v>
      </c>
      <c r="B848" s="5" t="str">
        <f aca="false">[1]Base_Jugadores!B848</f>
        <v>Rayan Aït-Nouri</v>
      </c>
      <c r="C848" s="5" t="str">
        <f aca="false">IFERROR(
   _xlfn.XLOOKUP(VALUE(A848),[1]Fichajes_Realizados!A$2:A$50000,[1]Fichajes_Realizados!D$2:D$50000,,0,-1),
   _xlfn.XLOOKUP(VALUE(A848),[1]Base_Jugadores!A$2:A$50000,[1]Base_Jugadores!C$2:C$50000)
)</f>
        <v>Manchester City</v>
      </c>
      <c r="D848" s="5" t="str">
        <f aca="false">[1]Base_Jugadores!D848</f>
        <v>Argelia</v>
      </c>
      <c r="E848" s="3"/>
      <c r="F848" s="5" t="str">
        <f aca="false">[1]Base_Jugadores!E848</f>
        <v>LI</v>
      </c>
      <c r="G848" s="5" t="n">
        <f aca="false">[1]Base_Jugadores!F848</f>
        <v>79</v>
      </c>
      <c r="H848" s="5" t="n">
        <f aca="false">[1]Base_Jugadores!G848</f>
        <v>24</v>
      </c>
      <c r="I848" s="7" t="n">
        <f aca="false" t="array" ref="I848:I848">_xlfn.XLOOKUP(G848,{55;56;57;58;59;60;61;62;63;64;65;66;67;68;69;70;71;72;73;74;75;76;77;78;79;80;81;82;83;84;85;86;87;88;89;90;91;92;93;94;95;96;97;98;99},{100000;130000;160000;190000;220000;250000;300000;350000;400000;450000;500000;600000;700000;800000;900000;1000000;1500000;2000000;3000000;4000000;5000000;6500000;8000000;10000000;12500000;15000000;20000000;25000000;30000000;35000000;40000000;55000000;70000000;80000000;90000000;110000000;130000000;160000000;190000000;220000000;250000000;280000000;310000000;340000000;400000000})</f>
        <v>12500000</v>
      </c>
      <c r="J848" s="7" t="n">
        <f aca="false">I848*S848*T848*U848</f>
        <v>14040000</v>
      </c>
      <c r="K848" s="3"/>
      <c r="L848" s="3"/>
      <c r="M848" s="3"/>
      <c r="N848" s="9" t="n">
        <v>0</v>
      </c>
      <c r="O848" s="4" t="n">
        <v>0</v>
      </c>
      <c r="P848" s="5" t="n">
        <f aca="false">IF(COUNTIF([1]Base_Jugadores!J$2:J$500,B848)&gt;0,1,0)</f>
        <v>0</v>
      </c>
      <c r="Q848" s="10" t="b">
        <f aca="false">--(COUNTIFS(
   [1]Fichajes_Realizados!A$2:A$5000,A848,
   [1]Fichajes_Realizados!G$2:G$5000,$X$3
)&gt;0)</f>
        <v>0</v>
      </c>
      <c r="R848" s="5" t="n">
        <f aca="false">_xlfn.XLOOKUP(C848, [1]Estado_Equipos!A$2:A$500, [1]Estado_Equipos!J$2:J$500, "")</f>
        <v>84</v>
      </c>
      <c r="S848" s="5" t="n">
        <f aca="false">IF(H848&lt;=16,1.45,
IF(H848&gt;=41,0.3,
CHOOSE(ROUNDDOWN((H848-16)/2,0)+1,
1.45,1.38,1.3,1.23,1.17,1.15,1.12,1.05,0.95,0.8,0.6,0.4,0.3)))</f>
        <v>1.17</v>
      </c>
      <c r="T848" s="5" t="n">
        <f aca="false">CHOOSE(N848+1,1.2,1,0.85,0.7)</f>
        <v>1.2</v>
      </c>
      <c r="U848" s="5" t="n">
        <f aca="false">IF(F848="PO",0.6,
IF(F848="CT",0.75,
IF(F848="LI",0.8,
IF(F848="LD",0.8,
IF(F848="MCD",0.85,
IF(F848="MC",0.95,
IF(F848="MO",1.05,
IF(F848="EI",1.1,
IF(F848="ED",1.1,
IF(F848="SD",1.15,
IF(F848="DC",1.2,0)))))))))))</f>
        <v>0.8</v>
      </c>
    </row>
    <row r="849" customFormat="false" ht="16.4" hidden="false" customHeight="false" outlineLevel="0" collapsed="false">
      <c r="A849" s="1" t="n">
        <v>848</v>
      </c>
      <c r="B849" s="5" t="str">
        <f aca="false">[1]Base_Jugadores!B849</f>
        <v>Rayan Cherki</v>
      </c>
      <c r="C849" s="5" t="str">
        <f aca="false">IFERROR(
   _xlfn.XLOOKUP(VALUE(A849),[1]Fichajes_Realizados!A$2:A$50000,[1]Fichajes_Realizados!D$2:D$50000,,0,-1),
   _xlfn.XLOOKUP(VALUE(A849),[1]Base_Jugadores!A$2:A$50000,[1]Base_Jugadores!C$2:C$50000)
)</f>
        <v>Manchester City</v>
      </c>
      <c r="D849" s="5" t="str">
        <f aca="false">[1]Base_Jugadores!D849</f>
        <v>Francia</v>
      </c>
      <c r="E849" s="3"/>
      <c r="F849" s="5" t="str">
        <f aca="false">[1]Base_Jugadores!E849</f>
        <v>MO</v>
      </c>
      <c r="G849" s="5" t="n">
        <f aca="false">[1]Base_Jugadores!F849</f>
        <v>80</v>
      </c>
      <c r="H849" s="5" t="n">
        <f aca="false">[1]Base_Jugadores!G849</f>
        <v>22</v>
      </c>
      <c r="I849" s="7" t="n">
        <f aca="false" t="array" ref="I849:I849">_xlfn.XLOOKUP(G849,{55;56;57;58;59;60;61;62;63;64;65;66;67;68;69;70;71;72;73;74;75;76;77;78;79;80;81;82;83;84;85;86;87;88;89;90;91;92;93;94;95;96;97;98;99},{100000;130000;160000;190000;220000;250000;300000;350000;400000;450000;500000;600000;700000;800000;900000;1000000;1500000;2000000;3000000;4000000;5000000;6500000;8000000;10000000;12500000;15000000;20000000;25000000;30000000;35000000;40000000;55000000;70000000;80000000;90000000;110000000;130000000;160000000;190000000;220000000;250000000;280000000;310000000;340000000;400000000})</f>
        <v>15000000</v>
      </c>
      <c r="J849" s="7" t="n">
        <f aca="false">I849*S849*T849*U849</f>
        <v>16466625</v>
      </c>
      <c r="K849" s="3"/>
      <c r="L849" s="3"/>
      <c r="M849" s="3"/>
      <c r="N849" s="9" t="n">
        <v>2</v>
      </c>
      <c r="O849" s="4" t="n">
        <v>0</v>
      </c>
      <c r="P849" s="5" t="n">
        <f aca="false">IF(COUNTIF([1]Base_Jugadores!J$2:J$500,B849)&gt;0,1,0)</f>
        <v>0</v>
      </c>
      <c r="Q849" s="10" t="b">
        <f aca="false">--(COUNTIFS(
   [1]Fichajes_Realizados!A$2:A$5000,A849,
   [1]Fichajes_Realizados!G$2:G$5000,$X$3
)&gt;0)</f>
        <v>0</v>
      </c>
      <c r="R849" s="5" t="n">
        <f aca="false">_xlfn.XLOOKUP(C849, [1]Estado_Equipos!A$2:A$500, [1]Estado_Equipos!J$2:J$500, "")</f>
        <v>84</v>
      </c>
      <c r="S849" s="5" t="n">
        <f aca="false">IF(H849&lt;=16,1.45,
IF(H849&gt;=41,0.3,
CHOOSE(ROUNDDOWN((H849-16)/2,0)+1,
1.45,1.38,1.3,1.23,1.17,1.15,1.12,1.05,0.95,0.8,0.6,0.4,0.3)))</f>
        <v>1.23</v>
      </c>
      <c r="T849" s="5" t="n">
        <f aca="false">CHOOSE(N849+1,1.2,1,0.85,0.7)</f>
        <v>0.85</v>
      </c>
      <c r="U849" s="5" t="n">
        <f aca="false">IF(F849="PO",0.6,
IF(F849="CT",0.75,
IF(F849="LI",0.8,
IF(F849="LD",0.8,
IF(F849="MCD",0.85,
IF(F849="MC",0.95,
IF(F849="MO",1.05,
IF(F849="EI",1.1,
IF(F849="ED",1.1,
IF(F849="SD",1.15,
IF(F849="DC",1.2,0)))))))))))</f>
        <v>1.05</v>
      </c>
    </row>
    <row r="850" customFormat="false" ht="16.4" hidden="false" customHeight="false" outlineLevel="0" collapsed="false">
      <c r="A850" s="1" t="n">
        <v>849</v>
      </c>
      <c r="B850" s="5" t="str">
        <f aca="false">[1]Base_Jugadores!B850</f>
        <v>Rico Lewis</v>
      </c>
      <c r="C850" s="5" t="str">
        <f aca="false">IFERROR(
   _xlfn.XLOOKUP(VALUE(A850),[1]Fichajes_Realizados!A$2:A$50000,[1]Fichajes_Realizados!D$2:D$50000,,0,-1),
   _xlfn.XLOOKUP(VALUE(A850),[1]Base_Jugadores!A$2:A$50000,[1]Base_Jugadores!C$2:C$50000)
)</f>
        <v>Manchester City</v>
      </c>
      <c r="D850" s="5" t="str">
        <f aca="false">[1]Base_Jugadores!D850</f>
        <v>Inglaterra</v>
      </c>
      <c r="E850" s="3"/>
      <c r="F850" s="5" t="str">
        <f aca="false">[1]Base_Jugadores!E850</f>
        <v>LD</v>
      </c>
      <c r="G850" s="5" t="n">
        <f aca="false">[1]Base_Jugadores!F850</f>
        <v>78</v>
      </c>
      <c r="H850" s="5" t="n">
        <f aca="false">[1]Base_Jugadores!G850</f>
        <v>21</v>
      </c>
      <c r="I850" s="7" t="n">
        <f aca="false" t="array" ref="I850:I850">_xlfn.XLOOKUP(G850,{55;56;57;58;59;60;61;62;63;64;65;66;67;68;69;70;71;72;73;74;75;76;77;78;79;80;81;82;83;84;85;86;87;88;89;90;91;92;93;94;95;96;97;98;99},{100000;130000;160000;190000;220000;250000;300000;350000;400000;450000;500000;600000;700000;800000;900000;1000000;1500000;2000000;3000000;4000000;5000000;6500000;8000000;10000000;12500000;15000000;20000000;25000000;30000000;35000000;40000000;55000000;70000000;80000000;90000000;110000000;130000000;160000000;190000000;220000000;250000000;280000000;310000000;340000000;400000000})</f>
        <v>10000000</v>
      </c>
      <c r="J850" s="7" t="n">
        <f aca="false">I850*S850*T850*U850</f>
        <v>12480000</v>
      </c>
      <c r="K850" s="3"/>
      <c r="L850" s="3"/>
      <c r="M850" s="3"/>
      <c r="N850" s="9" t="n">
        <v>0</v>
      </c>
      <c r="O850" s="4" t="n">
        <v>1</v>
      </c>
      <c r="P850" s="5" t="n">
        <f aca="false">IF(COUNTIF([1]Base_Jugadores!J$2:J$500,B850)&gt;0,1,0)</f>
        <v>0</v>
      </c>
      <c r="Q850" s="10" t="b">
        <f aca="false">--(COUNTIFS(
   [1]Fichajes_Realizados!A$2:A$5000,A850,
   [1]Fichajes_Realizados!G$2:G$5000,$X$3
)&gt;0)</f>
        <v>0</v>
      </c>
      <c r="R850" s="5" t="n">
        <f aca="false">_xlfn.XLOOKUP(C850, [1]Estado_Equipos!A$2:A$500, [1]Estado_Equipos!J$2:J$500, "")</f>
        <v>84</v>
      </c>
      <c r="S850" s="5" t="n">
        <f aca="false">IF(H850&lt;=16,1.45,
IF(H850&gt;=41,0.3,
CHOOSE(ROUNDDOWN((H850-16)/2,0)+1,
1.45,1.38,1.3,1.23,1.17,1.15,1.12,1.05,0.95,0.8,0.6,0.4,0.3)))</f>
        <v>1.3</v>
      </c>
      <c r="T850" s="5" t="n">
        <f aca="false">CHOOSE(N850+1,1.2,1,0.85,0.7)</f>
        <v>1.2</v>
      </c>
      <c r="U850" s="5" t="n">
        <f aca="false">IF(F850="PO",0.6,
IF(F850="CT",0.75,
IF(F850="LI",0.8,
IF(F850="LD",0.8,
IF(F850="MCD",0.85,
IF(F850="MC",0.95,
IF(F850="MO",1.05,
IF(F850="EI",1.1,
IF(F850="ED",1.1,
IF(F850="SD",1.15,
IF(F850="DC",1.2,0)))))))))))</f>
        <v>0.8</v>
      </c>
    </row>
    <row r="851" customFormat="false" ht="16.4" hidden="false" customHeight="false" outlineLevel="0" collapsed="false">
      <c r="A851" s="1" t="n">
        <v>850</v>
      </c>
      <c r="B851" s="5" t="str">
        <f aca="false">[1]Base_Jugadores!B851</f>
        <v>Rodri Hernández</v>
      </c>
      <c r="C851" s="5" t="str">
        <f aca="false">IFERROR(
   _xlfn.XLOOKUP(VALUE(A851),[1]Fichajes_Realizados!A$2:A$50000,[1]Fichajes_Realizados!D$2:D$50000,,0,-1),
   _xlfn.XLOOKUP(VALUE(A851),[1]Base_Jugadores!A$2:A$50000,[1]Base_Jugadores!C$2:C$50000)
)</f>
        <v>Manchester City</v>
      </c>
      <c r="D851" s="5" t="str">
        <f aca="false">[1]Base_Jugadores!D851</f>
        <v>España</v>
      </c>
      <c r="E851" s="3"/>
      <c r="F851" s="5" t="str">
        <f aca="false">[1]Base_Jugadores!E851</f>
        <v>MCD</v>
      </c>
      <c r="G851" s="5" t="n">
        <f aca="false">[1]Base_Jugadores!F851</f>
        <v>91</v>
      </c>
      <c r="H851" s="5" t="n">
        <f aca="false">[1]Base_Jugadores!G851</f>
        <v>29</v>
      </c>
      <c r="I851" s="7" t="n">
        <f aca="false" t="array" ref="I851:I851">_xlfn.XLOOKUP(G851,{55;56;57;58;59;60;61;62;63;64;65;66;67;68;69;70;71;72;73;74;75;76;77;78;79;80;81;82;83;84;85;86;87;88;89;90;91;92;93;94;95;96;97;98;99},{100000;130000;160000;190000;220000;250000;300000;350000;400000;450000;500000;600000;700000;800000;900000;1000000;1500000;2000000;3000000;4000000;5000000;6500000;8000000;10000000;12500000;15000000;20000000;25000000;30000000;35000000;40000000;55000000;70000000;80000000;90000000;110000000;130000000;160000000;190000000;220000000;250000000;280000000;310000000;340000000;400000000})</f>
        <v>130000000</v>
      </c>
      <c r="J851" s="7" t="n">
        <f aca="false">I851*S851*T851*U851</f>
        <v>148512000</v>
      </c>
      <c r="K851" s="3"/>
      <c r="L851" s="3"/>
      <c r="M851" s="3"/>
      <c r="N851" s="9" t="n">
        <v>0</v>
      </c>
      <c r="O851" s="4" t="n">
        <v>0</v>
      </c>
      <c r="P851" s="5" t="n">
        <f aca="false">IF(COUNTIF([1]Base_Jugadores!J$2:J$500,B851)&gt;0,1,0)</f>
        <v>0</v>
      </c>
      <c r="Q851" s="10" t="b">
        <f aca="false">--(COUNTIFS(
   [1]Fichajes_Realizados!A$2:A$5000,A851,
   [1]Fichajes_Realizados!G$2:G$5000,$X$3
)&gt;0)</f>
        <v>0</v>
      </c>
      <c r="R851" s="5" t="n">
        <f aca="false">_xlfn.XLOOKUP(C851, [1]Estado_Equipos!A$2:A$500, [1]Estado_Equipos!J$2:J$500, "")</f>
        <v>84</v>
      </c>
      <c r="S851" s="5" t="n">
        <f aca="false">IF(H851&lt;=16,1.45,
IF(H851&gt;=41,0.3,
CHOOSE(ROUNDDOWN((H851-16)/2,0)+1,
1.45,1.38,1.3,1.23,1.17,1.15,1.12,1.05,0.95,0.8,0.6,0.4,0.3)))</f>
        <v>1.12</v>
      </c>
      <c r="T851" s="5" t="n">
        <f aca="false">CHOOSE(N851+1,1.2,1,0.85,0.7)</f>
        <v>1.2</v>
      </c>
      <c r="U851" s="5" t="n">
        <f aca="false">IF(F851="PO",0.6,
IF(F851="CT",0.75,
IF(F851="LI",0.8,
IF(F851="LD",0.8,
IF(F851="MCD",0.85,
IF(F851="MC",0.95,
IF(F851="MO",1.05,
IF(F851="EI",1.1,
IF(F851="ED",1.1,
IF(F851="SD",1.15,
IF(F851="DC",1.2,0)))))))))))</f>
        <v>0.85</v>
      </c>
    </row>
    <row r="852" customFormat="false" ht="16.4" hidden="false" customHeight="false" outlineLevel="0" collapsed="false">
      <c r="A852" s="1" t="n">
        <v>851</v>
      </c>
      <c r="B852" s="5" t="str">
        <f aca="false">[1]Base_Jugadores!B852</f>
        <v>Rúben Dias</v>
      </c>
      <c r="C852" s="5" t="str">
        <f aca="false">IFERROR(
   _xlfn.XLOOKUP(VALUE(A852),[1]Fichajes_Realizados!A$2:A$50000,[1]Fichajes_Realizados!D$2:D$50000,,0,-1),
   _xlfn.XLOOKUP(VALUE(A852),[1]Base_Jugadores!A$2:A$50000,[1]Base_Jugadores!C$2:C$50000)
)</f>
        <v>Manchester City</v>
      </c>
      <c r="D852" s="5" t="str">
        <f aca="false">[1]Base_Jugadores!D852</f>
        <v>Portugal</v>
      </c>
      <c r="E852" s="3"/>
      <c r="F852" s="5" t="str">
        <f aca="false">[1]Base_Jugadores!E852</f>
        <v>CT</v>
      </c>
      <c r="G852" s="5" t="n">
        <f aca="false">[1]Base_Jugadores!F852</f>
        <v>87</v>
      </c>
      <c r="H852" s="5" t="n">
        <f aca="false">[1]Base_Jugadores!G852</f>
        <v>28</v>
      </c>
      <c r="I852" s="7" t="n">
        <f aca="false" t="array" ref="I852:I852">_xlfn.XLOOKUP(G852,{55;56;57;58;59;60;61;62;63;64;65;66;67;68;69;70;71;72;73;74;75;76;77;78;79;80;81;82;83;84;85;86;87;88;89;90;91;92;93;94;95;96;97;98;99},{100000;130000;160000;190000;220000;250000;300000;350000;400000;450000;500000;600000;700000;800000;900000;1000000;1500000;2000000;3000000;4000000;5000000;6500000;8000000;10000000;12500000;15000000;20000000;25000000;30000000;35000000;40000000;55000000;70000000;80000000;90000000;110000000;130000000;160000000;190000000;220000000;250000000;280000000;310000000;340000000;400000000})</f>
        <v>70000000</v>
      </c>
      <c r="J852" s="7" t="n">
        <f aca="false">I852*S852*T852*U852</f>
        <v>70560000</v>
      </c>
      <c r="K852" s="3"/>
      <c r="L852" s="3"/>
      <c r="M852" s="3"/>
      <c r="N852" s="9" t="n">
        <v>0</v>
      </c>
      <c r="O852" s="4" t="n">
        <v>0</v>
      </c>
      <c r="P852" s="5" t="n">
        <f aca="false">IF(COUNTIF([1]Base_Jugadores!J$2:J$500,B852)&gt;0,1,0)</f>
        <v>0</v>
      </c>
      <c r="Q852" s="10" t="b">
        <f aca="false">--(COUNTIFS(
   [1]Fichajes_Realizados!A$2:A$5000,A852,
   [1]Fichajes_Realizados!G$2:G$5000,$X$3
)&gt;0)</f>
        <v>0</v>
      </c>
      <c r="R852" s="5" t="n">
        <f aca="false">_xlfn.XLOOKUP(C852, [1]Estado_Equipos!A$2:A$500, [1]Estado_Equipos!J$2:J$500, "")</f>
        <v>84</v>
      </c>
      <c r="S852" s="5" t="n">
        <f aca="false">IF(H852&lt;=16,1.45,
IF(H852&gt;=41,0.3,
CHOOSE(ROUNDDOWN((H852-16)/2,0)+1,
1.45,1.38,1.3,1.23,1.17,1.15,1.12,1.05,0.95,0.8,0.6,0.4,0.3)))</f>
        <v>1.12</v>
      </c>
      <c r="T852" s="5" t="n">
        <f aca="false">CHOOSE(N852+1,1.2,1,0.85,0.7)</f>
        <v>1.2</v>
      </c>
      <c r="U852" s="5" t="n">
        <f aca="false">IF(F852="PO",0.6,
IF(F852="CT",0.75,
IF(F852="LI",0.8,
IF(F852="LD",0.8,
IF(F852="MCD",0.85,
IF(F852="MC",0.95,
IF(F852="MO",1.05,
IF(F852="EI",1.1,
IF(F852="ED",1.1,
IF(F852="SD",1.15,
IF(F852="DC",1.2,0)))))))))))</f>
        <v>0.75</v>
      </c>
    </row>
    <row r="853" customFormat="false" ht="16.4" hidden="false" customHeight="false" outlineLevel="0" collapsed="false">
      <c r="A853" s="1" t="n">
        <v>852</v>
      </c>
      <c r="B853" s="5" t="str">
        <f aca="false">[1]Base_Jugadores!B853</f>
        <v>Savinho</v>
      </c>
      <c r="C853" s="5" t="str">
        <f aca="false">IFERROR(
   _xlfn.XLOOKUP(VALUE(A853),[1]Fichajes_Realizados!A$2:A$50000,[1]Fichajes_Realizados!D$2:D$50000,,0,-1),
   _xlfn.XLOOKUP(VALUE(A853),[1]Base_Jugadores!A$2:A$50000,[1]Base_Jugadores!C$2:C$50000)
)</f>
        <v>Manchester City</v>
      </c>
      <c r="D853" s="5" t="str">
        <f aca="false">[1]Base_Jugadores!D853</f>
        <v>Brasil</v>
      </c>
      <c r="E853" s="3"/>
      <c r="F853" s="5" t="str">
        <f aca="false">[1]Base_Jugadores!E853</f>
        <v>EI</v>
      </c>
      <c r="G853" s="5" t="n">
        <f aca="false">[1]Base_Jugadores!F853</f>
        <v>82</v>
      </c>
      <c r="H853" s="5" t="n">
        <f aca="false">[1]Base_Jugadores!G853</f>
        <v>21</v>
      </c>
      <c r="I853" s="7" t="n">
        <f aca="false" t="array" ref="I853:I853">_xlfn.XLOOKUP(G853,{55;56;57;58;59;60;61;62;63;64;65;66;67;68;69;70;71;72;73;74;75;76;77;78;79;80;81;82;83;84;85;86;87;88;89;90;91;92;93;94;95;96;97;98;99},{100000;130000;160000;190000;220000;250000;300000;350000;400000;450000;500000;600000;700000;800000;900000;1000000;1500000;2000000;3000000;4000000;5000000;6500000;8000000;10000000;12500000;15000000;20000000;25000000;30000000;35000000;40000000;55000000;70000000;80000000;90000000;110000000;130000000;160000000;190000000;220000000;250000000;280000000;310000000;340000000;400000000})</f>
        <v>25000000</v>
      </c>
      <c r="J853" s="7" t="n">
        <f aca="false">I853*S853*T853*U853</f>
        <v>42900000</v>
      </c>
      <c r="K853" s="3"/>
      <c r="L853" s="3"/>
      <c r="M853" s="3"/>
      <c r="N853" s="9" t="n">
        <v>0</v>
      </c>
      <c r="O853" s="4" t="n">
        <v>1</v>
      </c>
      <c r="P853" s="5" t="n">
        <f aca="false">IF(COUNTIF([1]Base_Jugadores!J$2:J$500,B853)&gt;0,1,0)</f>
        <v>0</v>
      </c>
      <c r="Q853" s="10" t="b">
        <f aca="false">--(COUNTIFS(
   [1]Fichajes_Realizados!A$2:A$5000,A853,
   [1]Fichajes_Realizados!G$2:G$5000,$X$3
)&gt;0)</f>
        <v>0</v>
      </c>
      <c r="R853" s="5" t="n">
        <f aca="false">_xlfn.XLOOKUP(C853, [1]Estado_Equipos!A$2:A$500, [1]Estado_Equipos!J$2:J$500, "")</f>
        <v>84</v>
      </c>
      <c r="S853" s="5" t="n">
        <f aca="false">IF(H853&lt;=16,1.45,
IF(H853&gt;=41,0.3,
CHOOSE(ROUNDDOWN((H853-16)/2,0)+1,
1.45,1.38,1.3,1.23,1.17,1.15,1.12,1.05,0.95,0.8,0.6,0.4,0.3)))</f>
        <v>1.3</v>
      </c>
      <c r="T853" s="5" t="n">
        <f aca="false">CHOOSE(N853+1,1.2,1,0.85,0.7)</f>
        <v>1.2</v>
      </c>
      <c r="U853" s="5" t="n">
        <f aca="false">IF(F853="PO",0.6,
IF(F853="CT",0.75,
IF(F853="LI",0.8,
IF(F853="LD",0.8,
IF(F853="MCD",0.85,
IF(F853="MC",0.95,
IF(F853="MO",1.05,
IF(F853="EI",1.1,
IF(F853="ED",1.1,
IF(F853="SD",1.15,
IF(F853="DC",1.2,0)))))))))))</f>
        <v>1.1</v>
      </c>
    </row>
    <row r="854" customFormat="false" ht="16.4" hidden="false" customHeight="false" outlineLevel="0" collapsed="false">
      <c r="A854" s="1" t="n">
        <v>853</v>
      </c>
      <c r="B854" s="5" t="str">
        <f aca="false">[1]Base_Jugadores!B854</f>
        <v>Stefan Ortega</v>
      </c>
      <c r="C854" s="5" t="str">
        <f aca="false">IFERROR(
   _xlfn.XLOOKUP(VALUE(A854),[1]Fichajes_Realizados!A$2:A$50000,[1]Fichajes_Realizados!D$2:D$50000,,0,-1),
   _xlfn.XLOOKUP(VALUE(A854),[1]Base_Jugadores!A$2:A$50000,[1]Base_Jugadores!C$2:C$50000)
)</f>
        <v>Manchester City</v>
      </c>
      <c r="D854" s="5" t="str">
        <f aca="false">[1]Base_Jugadores!D854</f>
        <v>Alemania</v>
      </c>
      <c r="E854" s="3"/>
      <c r="F854" s="5" t="str">
        <f aca="false">[1]Base_Jugadores!E854</f>
        <v>PO</v>
      </c>
      <c r="G854" s="5" t="n">
        <f aca="false">[1]Base_Jugadores!F854</f>
        <v>81</v>
      </c>
      <c r="H854" s="5" t="n">
        <f aca="false">[1]Base_Jugadores!G854</f>
        <v>33</v>
      </c>
      <c r="I854" s="7" t="n">
        <f aca="false" t="array" ref="I854:I854">_xlfn.XLOOKUP(G854,{55;56;57;58;59;60;61;62;63;64;65;66;67;68;69;70;71;72;73;74;75;76;77;78;79;80;81;82;83;84;85;86;87;88;89;90;91;92;93;94;95;96;97;98;99},{100000;130000;160000;190000;220000;250000;300000;350000;400000;450000;500000;600000;700000;800000;900000;1000000;1500000;2000000;3000000;4000000;5000000;6500000;8000000;10000000;12500000;15000000;20000000;25000000;30000000;35000000;40000000;55000000;70000000;80000000;90000000;110000000;130000000;160000000;190000000;220000000;250000000;280000000;310000000;340000000;400000000})</f>
        <v>20000000</v>
      </c>
      <c r="J854" s="7" t="n">
        <f aca="false">I854*S854*T854*U854</f>
        <v>9690000</v>
      </c>
      <c r="K854" s="3"/>
      <c r="L854" s="3"/>
      <c r="M854" s="3"/>
      <c r="N854" s="9" t="n">
        <v>2</v>
      </c>
      <c r="O854" s="4" t="n">
        <v>0</v>
      </c>
      <c r="P854" s="5" t="n">
        <f aca="false">IF(COUNTIF([1]Base_Jugadores!J$2:J$500,B854)&gt;0,1,0)</f>
        <v>0</v>
      </c>
      <c r="Q854" s="10" t="b">
        <f aca="false">--(COUNTIFS(
   [1]Fichajes_Realizados!A$2:A$5000,A854,
   [1]Fichajes_Realizados!G$2:G$5000,$X$3
)&gt;0)</f>
        <v>0</v>
      </c>
      <c r="R854" s="5" t="n">
        <f aca="false">_xlfn.XLOOKUP(C854, [1]Estado_Equipos!A$2:A$500, [1]Estado_Equipos!J$2:J$500, "")</f>
        <v>84</v>
      </c>
      <c r="S854" s="5" t="n">
        <f aca="false">IF(H854&lt;=16,1.45,
IF(H854&gt;=41,0.3,
CHOOSE(ROUNDDOWN((H854-16)/2,0)+1,
1.45,1.38,1.3,1.23,1.17,1.15,1.12,1.05,0.95,0.8,0.6,0.4,0.3)))</f>
        <v>0.95</v>
      </c>
      <c r="T854" s="5" t="n">
        <f aca="false">CHOOSE(N854+1,1.2,1,0.85,0.7)</f>
        <v>0.85</v>
      </c>
      <c r="U854" s="5" t="n">
        <f aca="false">IF(F854="PO",0.6,
IF(F854="CT",0.75,
IF(F854="LI",0.8,
IF(F854="LD",0.8,
IF(F854="MCD",0.85,
IF(F854="MC",0.95,
IF(F854="MO",1.05,
IF(F854="EI",1.1,
IF(F854="ED",1.1,
IF(F854="SD",1.15,
IF(F854="DC",1.2,0)))))))))))</f>
        <v>0.6</v>
      </c>
    </row>
    <row r="855" customFormat="false" ht="16.4" hidden="false" customHeight="false" outlineLevel="0" collapsed="false">
      <c r="A855" s="1" t="n">
        <v>854</v>
      </c>
      <c r="B855" s="5" t="str">
        <f aca="false">[1]Base_Jugadores!B855</f>
        <v>Tijjani Reijnders</v>
      </c>
      <c r="C855" s="5" t="str">
        <f aca="false">IFERROR(
   _xlfn.XLOOKUP(VALUE(A855),[1]Fichajes_Realizados!A$2:A$50000,[1]Fichajes_Realizados!D$2:D$50000,,0,-1),
   _xlfn.XLOOKUP(VALUE(A855),[1]Base_Jugadores!A$2:A$50000,[1]Base_Jugadores!C$2:C$50000)
)</f>
        <v>Manchester City</v>
      </c>
      <c r="D855" s="5" t="str">
        <f aca="false">[1]Base_Jugadores!D855</f>
        <v>Países Bajos</v>
      </c>
      <c r="E855" s="3"/>
      <c r="F855" s="5" t="str">
        <f aca="false">[1]Base_Jugadores!E855</f>
        <v>MC</v>
      </c>
      <c r="G855" s="5" t="n">
        <f aca="false">[1]Base_Jugadores!F855</f>
        <v>83</v>
      </c>
      <c r="H855" s="5" t="n">
        <f aca="false">[1]Base_Jugadores!G855</f>
        <v>27</v>
      </c>
      <c r="I855" s="7" t="n">
        <f aca="false" t="array" ref="I855:I855">_xlfn.XLOOKUP(G855,{55;56;57;58;59;60;61;62;63;64;65;66;67;68;69;70;71;72;73;74;75;76;77;78;79;80;81;82;83;84;85;86;87;88;89;90;91;92;93;94;95;96;97;98;99},{100000;130000;160000;190000;220000;250000;300000;350000;400000;450000;500000;600000;700000;800000;900000;1000000;1500000;2000000;3000000;4000000;5000000;6500000;8000000;10000000;12500000;15000000;20000000;25000000;30000000;35000000;40000000;55000000;70000000;80000000;90000000;110000000;130000000;160000000;190000000;220000000;250000000;280000000;310000000;340000000;400000000})</f>
        <v>30000000</v>
      </c>
      <c r="J855" s="7" t="n">
        <f aca="false">I855*S855*T855*U855</f>
        <v>32775000</v>
      </c>
      <c r="K855" s="3"/>
      <c r="L855" s="3"/>
      <c r="M855" s="3"/>
      <c r="N855" s="9" t="n">
        <v>1</v>
      </c>
      <c r="O855" s="4" t="n">
        <v>0</v>
      </c>
      <c r="P855" s="5" t="n">
        <f aca="false">IF(COUNTIF([1]Base_Jugadores!J$2:J$500,B855)&gt;0,1,0)</f>
        <v>0</v>
      </c>
      <c r="Q855" s="10" t="b">
        <f aca="false">--(COUNTIFS(
   [1]Fichajes_Realizados!A$2:A$5000,A855,
   [1]Fichajes_Realizados!G$2:G$5000,$X$3
)&gt;0)</f>
        <v>0</v>
      </c>
      <c r="R855" s="5" t="n">
        <f aca="false">_xlfn.XLOOKUP(C855, [1]Estado_Equipos!A$2:A$500, [1]Estado_Equipos!J$2:J$500, "")</f>
        <v>84</v>
      </c>
      <c r="S855" s="5" t="n">
        <f aca="false">IF(H855&lt;=16,1.45,
IF(H855&gt;=41,0.3,
CHOOSE(ROUNDDOWN((H855-16)/2,0)+1,
1.45,1.38,1.3,1.23,1.17,1.15,1.12,1.05,0.95,0.8,0.6,0.4,0.3)))</f>
        <v>1.15</v>
      </c>
      <c r="T855" s="5" t="n">
        <f aca="false">CHOOSE(N855+1,1.2,1,0.85,0.7)</f>
        <v>1</v>
      </c>
      <c r="U855" s="5" t="n">
        <f aca="false">IF(F855="PO",0.6,
IF(F855="CT",0.75,
IF(F855="LI",0.8,
IF(F855="LD",0.8,
IF(F855="MCD",0.85,
IF(F855="MC",0.95,
IF(F855="MO",1.05,
IF(F855="EI",1.1,
IF(F855="ED",1.1,
IF(F855="SD",1.15,
IF(F855="DC",1.2,0)))))))))))</f>
        <v>0.95</v>
      </c>
    </row>
    <row r="856" customFormat="false" ht="16.4" hidden="false" customHeight="false" outlineLevel="0" collapsed="false">
      <c r="A856" s="1" t="n">
        <v>855</v>
      </c>
      <c r="B856" s="5" t="str">
        <f aca="false">[1]Base_Jugadores!B856</f>
        <v>Altay Bayındır</v>
      </c>
      <c r="C856" s="5" t="str">
        <f aca="false">IFERROR(
   _xlfn.XLOOKUP(VALUE(A856),[1]Fichajes_Realizados!A$2:A$50000,[1]Fichajes_Realizados!D$2:D$50000,,0,-1),
   _xlfn.XLOOKUP(VALUE(A856),[1]Base_Jugadores!A$2:A$50000,[1]Base_Jugadores!C$2:C$50000)
)</f>
        <v>Manchester United</v>
      </c>
      <c r="D856" s="5" t="str">
        <f aca="false">[1]Base_Jugadores!D856</f>
        <v>Turquía</v>
      </c>
      <c r="E856" s="3"/>
      <c r="F856" s="5" t="str">
        <f aca="false">[1]Base_Jugadores!E856</f>
        <v>PO</v>
      </c>
      <c r="G856" s="5" t="n">
        <f aca="false">[1]Base_Jugadores!F856</f>
        <v>77</v>
      </c>
      <c r="H856" s="5" t="n">
        <f aca="false">[1]Base_Jugadores!G856</f>
        <v>27</v>
      </c>
      <c r="I856" s="7" t="n">
        <f aca="false" t="array" ref="I856:I856">_xlfn.XLOOKUP(G856,{55;56;57;58;59;60;61;62;63;64;65;66;67;68;69;70;71;72;73;74;75;76;77;78;79;80;81;82;83;84;85;86;87;88;89;90;91;92;93;94;95;96;97;98;99},{100000;130000;160000;190000;220000;250000;300000;350000;400000;450000;500000;600000;700000;800000;900000;1000000;1500000;2000000;3000000;4000000;5000000;6500000;8000000;10000000;12500000;15000000;20000000;25000000;30000000;35000000;40000000;55000000;70000000;80000000;90000000;110000000;130000000;160000000;190000000;220000000;250000000;280000000;310000000;340000000;400000000})</f>
        <v>8000000</v>
      </c>
      <c r="J856" s="7" t="n">
        <f aca="false">I856*S856*T856*U856</f>
        <v>6624000</v>
      </c>
      <c r="K856" s="3"/>
      <c r="L856" s="3"/>
      <c r="M856" s="3"/>
      <c r="N856" s="9" t="n">
        <v>0</v>
      </c>
      <c r="O856" s="4" t="n">
        <v>0</v>
      </c>
      <c r="P856" s="5" t="n">
        <f aca="false">IF(COUNTIF([1]Base_Jugadores!J$2:J$500,B856)&gt;0,1,0)</f>
        <v>0</v>
      </c>
      <c r="Q856" s="10" t="b">
        <f aca="false">--(COUNTIFS(
   [1]Fichajes_Realizados!A$2:A$5000,A856,
   [1]Fichajes_Realizados!G$2:G$5000,$X$3
)&gt;0)</f>
        <v>0</v>
      </c>
      <c r="R856" s="5" t="n">
        <f aca="false">_xlfn.XLOOKUP(C856, [1]Estado_Equipos!A$2:A$500, [1]Estado_Equipos!J$2:J$500, "")</f>
        <v>76</v>
      </c>
      <c r="S856" s="5" t="n">
        <f aca="false">IF(H856&lt;=16,1.45,
IF(H856&gt;=41,0.3,
CHOOSE(ROUNDDOWN((H856-16)/2,0)+1,
1.45,1.38,1.3,1.23,1.17,1.15,1.12,1.05,0.95,0.8,0.6,0.4,0.3)))</f>
        <v>1.15</v>
      </c>
      <c r="T856" s="5" t="n">
        <f aca="false">CHOOSE(N856+1,1.2,1,0.85,0.7)</f>
        <v>1.2</v>
      </c>
      <c r="U856" s="5" t="n">
        <f aca="false">IF(F856="PO",0.6,
IF(F856="CT",0.75,
IF(F856="LI",0.8,
IF(F856="LD",0.8,
IF(F856="MCD",0.85,
IF(F856="MC",0.95,
IF(F856="MO",1.05,
IF(F856="EI",1.1,
IF(F856="ED",1.1,
IF(F856="SD",1.15,
IF(F856="DC",1.2,0)))))))))))</f>
        <v>0.6</v>
      </c>
    </row>
    <row r="857" customFormat="false" ht="16.4" hidden="false" customHeight="false" outlineLevel="0" collapsed="false">
      <c r="A857" s="1" t="n">
        <v>856</v>
      </c>
      <c r="B857" s="5" t="str">
        <f aca="false">[1]Base_Jugadores!B857</f>
        <v>Amad Diallo</v>
      </c>
      <c r="C857" s="5" t="str">
        <f aca="false">IFERROR(
   _xlfn.XLOOKUP(VALUE(A857),[1]Fichajes_Realizados!A$2:A$50000,[1]Fichajes_Realizados!D$2:D$50000,,0,-1),
   _xlfn.XLOOKUP(VALUE(A857),[1]Base_Jugadores!A$2:A$50000,[1]Base_Jugadores!C$2:C$50000)
)</f>
        <v>Manchester United</v>
      </c>
      <c r="D857" s="5" t="str">
        <f aca="false">[1]Base_Jugadores!D857</f>
        <v>Costa de Marfil</v>
      </c>
      <c r="E857" s="3"/>
      <c r="F857" s="5" t="str">
        <f aca="false">[1]Base_Jugadores!E857</f>
        <v>ED</v>
      </c>
      <c r="G857" s="5" t="n">
        <f aca="false">[1]Base_Jugadores!F857</f>
        <v>78</v>
      </c>
      <c r="H857" s="5" t="n">
        <f aca="false">[1]Base_Jugadores!G857</f>
        <v>23</v>
      </c>
      <c r="I857" s="7" t="n">
        <f aca="false" t="array" ref="I857:I857">_xlfn.XLOOKUP(G857,{55;56;57;58;59;60;61;62;63;64;65;66;67;68;69;70;71;72;73;74;75;76;77;78;79;80;81;82;83;84;85;86;87;88;89;90;91;92;93;94;95;96;97;98;99},{100000;130000;160000;190000;220000;250000;300000;350000;400000;450000;500000;600000;700000;800000;900000;1000000;1500000;2000000;3000000;4000000;5000000;6500000;8000000;10000000;12500000;15000000;20000000;25000000;30000000;35000000;40000000;55000000;70000000;80000000;90000000;110000000;130000000;160000000;190000000;220000000;250000000;280000000;310000000;340000000;400000000})</f>
        <v>10000000</v>
      </c>
      <c r="J857" s="7" t="n">
        <f aca="false">I857*S857*T857*U857</f>
        <v>16236000</v>
      </c>
      <c r="K857" s="3"/>
      <c r="L857" s="3"/>
      <c r="M857" s="3"/>
      <c r="N857" s="9" t="n">
        <v>0</v>
      </c>
      <c r="O857" s="4" t="n">
        <v>0</v>
      </c>
      <c r="P857" s="5" t="n">
        <f aca="false">IF(COUNTIF([1]Base_Jugadores!J$2:J$500,B857)&gt;0,1,0)</f>
        <v>0</v>
      </c>
      <c r="Q857" s="10" t="b">
        <f aca="false">--(COUNTIFS(
   [1]Fichajes_Realizados!A$2:A$5000,A857,
   [1]Fichajes_Realizados!G$2:G$5000,$X$3
)&gt;0)</f>
        <v>0</v>
      </c>
      <c r="R857" s="5" t="n">
        <f aca="false">_xlfn.XLOOKUP(C857, [1]Estado_Equipos!A$2:A$500, [1]Estado_Equipos!J$2:J$500, "")</f>
        <v>76</v>
      </c>
      <c r="S857" s="5" t="n">
        <f aca="false">IF(H857&lt;=16,1.45,
IF(H857&gt;=41,0.3,
CHOOSE(ROUNDDOWN((H857-16)/2,0)+1,
1.45,1.38,1.3,1.23,1.17,1.15,1.12,1.05,0.95,0.8,0.6,0.4,0.3)))</f>
        <v>1.23</v>
      </c>
      <c r="T857" s="5" t="n">
        <f aca="false">CHOOSE(N857+1,1.2,1,0.85,0.7)</f>
        <v>1.2</v>
      </c>
      <c r="U857" s="5" t="n">
        <f aca="false">IF(F857="PO",0.6,
IF(F857="CT",0.75,
IF(F857="LI",0.8,
IF(F857="LD",0.8,
IF(F857="MCD",0.85,
IF(F857="MC",0.95,
IF(F857="MO",1.05,
IF(F857="EI",1.1,
IF(F857="ED",1.1,
IF(F857="SD",1.15,
IF(F857="DC",1.2,0)))))))))))</f>
        <v>1.1</v>
      </c>
    </row>
    <row r="858" customFormat="false" ht="16.4" hidden="false" customHeight="false" outlineLevel="0" collapsed="false">
      <c r="A858" s="1" t="n">
        <v>857</v>
      </c>
      <c r="B858" s="5" t="str">
        <f aca="false">[1]Base_Jugadores!B858</f>
        <v>Ayden Heaven</v>
      </c>
      <c r="C858" s="5" t="str">
        <f aca="false">IFERROR(
   _xlfn.XLOOKUP(VALUE(A858),[1]Fichajes_Realizados!A$2:A$50000,[1]Fichajes_Realizados!D$2:D$50000,,0,-1),
   _xlfn.XLOOKUP(VALUE(A858),[1]Base_Jugadores!A$2:A$50000,[1]Base_Jugadores!C$2:C$50000)
)</f>
        <v>Manchester United</v>
      </c>
      <c r="D858" s="5" t="str">
        <f aca="false">[1]Base_Jugadores!D858</f>
        <v>Inglaterra</v>
      </c>
      <c r="E858" s="3"/>
      <c r="F858" s="5" t="str">
        <f aca="false">[1]Base_Jugadores!E858</f>
        <v>CT</v>
      </c>
      <c r="G858" s="5" t="n">
        <f aca="false">[1]Base_Jugadores!F858</f>
        <v>67</v>
      </c>
      <c r="H858" s="5" t="n">
        <f aca="false">[1]Base_Jugadores!G858</f>
        <v>19</v>
      </c>
      <c r="I858" s="7" t="n">
        <f aca="false" t="array" ref="I858:I858">_xlfn.XLOOKUP(G858,{55;56;57;58;59;60;61;62;63;64;65;66;67;68;69;70;71;72;73;74;75;76;77;78;79;80;81;82;83;84;85;86;87;88;89;90;91;92;93;94;95;96;97;98;99},{100000;130000;160000;190000;220000;250000;300000;350000;400000;450000;500000;600000;700000;800000;900000;1000000;1500000;2000000;3000000;4000000;5000000;6500000;8000000;10000000;12500000;15000000;20000000;25000000;30000000;35000000;40000000;55000000;70000000;80000000;90000000;110000000;130000000;160000000;190000000;220000000;250000000;280000000;310000000;340000000;400000000})</f>
        <v>700000</v>
      </c>
      <c r="J858" s="7" t="n">
        <f aca="false">I858*S858*T858*U858</f>
        <v>615825</v>
      </c>
      <c r="K858" s="3"/>
      <c r="L858" s="3"/>
      <c r="M858" s="3"/>
      <c r="N858" s="9" t="n">
        <v>2</v>
      </c>
      <c r="O858" s="4" t="n">
        <v>0</v>
      </c>
      <c r="P858" s="5" t="n">
        <f aca="false">IF(COUNTIF([1]Base_Jugadores!J$2:J$500,B858)&gt;0,1,0)</f>
        <v>0</v>
      </c>
      <c r="Q858" s="10" t="b">
        <f aca="false">--(COUNTIFS(
   [1]Fichajes_Realizados!A$2:A$5000,A858,
   [1]Fichajes_Realizados!G$2:G$5000,$X$3
)&gt;0)</f>
        <v>0</v>
      </c>
      <c r="R858" s="5" t="n">
        <f aca="false">_xlfn.XLOOKUP(C858, [1]Estado_Equipos!A$2:A$500, [1]Estado_Equipos!J$2:J$500, "")</f>
        <v>76</v>
      </c>
      <c r="S858" s="5" t="n">
        <f aca="false">IF(H858&lt;=16,1.45,
IF(H858&gt;=41,0.3,
CHOOSE(ROUNDDOWN((H858-16)/2,0)+1,
1.45,1.38,1.3,1.23,1.17,1.15,1.12,1.05,0.95,0.8,0.6,0.4,0.3)))</f>
        <v>1.38</v>
      </c>
      <c r="T858" s="5" t="n">
        <f aca="false">CHOOSE(N858+1,1.2,1,0.85,0.7)</f>
        <v>0.85</v>
      </c>
      <c r="U858" s="5" t="n">
        <f aca="false">IF(F858="PO",0.6,
IF(F858="CT",0.75,
IF(F858="LI",0.8,
IF(F858="LD",0.8,
IF(F858="MCD",0.85,
IF(F858="MC",0.95,
IF(F858="MO",1.05,
IF(F858="EI",1.1,
IF(F858="ED",1.1,
IF(F858="SD",1.15,
IF(F858="DC",1.2,0)))))))))))</f>
        <v>0.75</v>
      </c>
    </row>
    <row r="859" customFormat="false" ht="16.4" hidden="false" customHeight="false" outlineLevel="0" collapsed="false">
      <c r="A859" s="1" t="n">
        <v>858</v>
      </c>
      <c r="B859" s="5" t="str">
        <f aca="false">[1]Base_Jugadores!B859</f>
        <v>Benjamin Sesko</v>
      </c>
      <c r="C859" s="5" t="str">
        <f aca="false">IFERROR(
   _xlfn.XLOOKUP(VALUE(A859),[1]Fichajes_Realizados!A$2:A$50000,[1]Fichajes_Realizados!D$2:D$50000,,0,-1),
   _xlfn.XLOOKUP(VALUE(A859),[1]Base_Jugadores!A$2:A$50000,[1]Base_Jugadores!C$2:C$50000)
)</f>
        <v>Manchester United</v>
      </c>
      <c r="D859" s="5" t="str">
        <f aca="false">[1]Base_Jugadores!D859</f>
        <v>Eslovenia</v>
      </c>
      <c r="E859" s="3"/>
      <c r="F859" s="5" t="str">
        <f aca="false">[1]Base_Jugadores!E859</f>
        <v>DC</v>
      </c>
      <c r="G859" s="5" t="n">
        <f aca="false">[1]Base_Jugadores!F859</f>
        <v>81</v>
      </c>
      <c r="H859" s="5" t="n">
        <f aca="false">[1]Base_Jugadores!G859</f>
        <v>22</v>
      </c>
      <c r="I859" s="7" t="n">
        <f aca="false" t="array" ref="I859:I859">_xlfn.XLOOKUP(G859,{55;56;57;58;59;60;61;62;63;64;65;66;67;68;69;70;71;72;73;74;75;76;77;78;79;80;81;82;83;84;85;86;87;88;89;90;91;92;93;94;95;96;97;98;99},{100000;130000;160000;190000;220000;250000;300000;350000;400000;450000;500000;600000;700000;800000;900000;1000000;1500000;2000000;3000000;4000000;5000000;6500000;8000000;10000000;12500000;15000000;20000000;25000000;30000000;35000000;40000000;55000000;70000000;80000000;90000000;110000000;130000000;160000000;190000000;220000000;250000000;280000000;310000000;340000000;400000000})</f>
        <v>20000000</v>
      </c>
      <c r="J859" s="7" t="n">
        <f aca="false">I859*S859*T859*U859</f>
        <v>29520000</v>
      </c>
      <c r="K859" s="3"/>
      <c r="L859" s="3"/>
      <c r="M859" s="3"/>
      <c r="N859" s="9" t="n">
        <v>1</v>
      </c>
      <c r="O859" s="4" t="n">
        <v>1</v>
      </c>
      <c r="P859" s="5" t="n">
        <f aca="false">IF(COUNTIF([1]Base_Jugadores!J$2:J$500,B859)&gt;0,1,0)</f>
        <v>0</v>
      </c>
      <c r="Q859" s="10" t="b">
        <f aca="false">--(COUNTIFS(
   [1]Fichajes_Realizados!A$2:A$5000,A859,
   [1]Fichajes_Realizados!G$2:G$5000,$X$3
)&gt;0)</f>
        <v>0</v>
      </c>
      <c r="R859" s="5" t="n">
        <f aca="false">_xlfn.XLOOKUP(C859, [1]Estado_Equipos!A$2:A$500, [1]Estado_Equipos!J$2:J$500, "")</f>
        <v>76</v>
      </c>
      <c r="S859" s="5" t="n">
        <f aca="false">IF(H859&lt;=16,1.45,
IF(H859&gt;=41,0.3,
CHOOSE(ROUNDDOWN((H859-16)/2,0)+1,
1.45,1.38,1.3,1.23,1.17,1.15,1.12,1.05,0.95,0.8,0.6,0.4,0.3)))</f>
        <v>1.23</v>
      </c>
      <c r="T859" s="5" t="n">
        <f aca="false">CHOOSE(N859+1,1.2,1,0.85,0.7)</f>
        <v>1</v>
      </c>
      <c r="U859" s="5" t="n">
        <f aca="false">IF(F859="PO",0.6,
IF(F859="CT",0.75,
IF(F859="LI",0.8,
IF(F859="LD",0.8,
IF(F859="MCD",0.85,
IF(F859="MC",0.95,
IF(F859="MO",1.05,
IF(F859="EI",1.1,
IF(F859="ED",1.1,
IF(F859="SD",1.15,
IF(F859="DC",1.2,0)))))))))))</f>
        <v>1.2</v>
      </c>
    </row>
    <row r="860" customFormat="false" ht="16.4" hidden="false" customHeight="false" outlineLevel="0" collapsed="false">
      <c r="A860" s="1" t="n">
        <v>859</v>
      </c>
      <c r="B860" s="5" t="str">
        <f aca="false">[1]Base_Jugadores!B860</f>
        <v>Bruno Fernandes</v>
      </c>
      <c r="C860" s="5" t="str">
        <f aca="false">IFERROR(
   _xlfn.XLOOKUP(VALUE(A860),[1]Fichajes_Realizados!A$2:A$50000,[1]Fichajes_Realizados!D$2:D$50000,,0,-1),
   _xlfn.XLOOKUP(VALUE(A860),[1]Base_Jugadores!A$2:A$50000,[1]Base_Jugadores!C$2:C$50000)
)</f>
        <v>Manchester United</v>
      </c>
      <c r="D860" s="5" t="str">
        <f aca="false">[1]Base_Jugadores!D860</f>
        <v>Portugal</v>
      </c>
      <c r="E860" s="3"/>
      <c r="F860" s="5" t="str">
        <f aca="false">[1]Base_Jugadores!E860</f>
        <v>MO</v>
      </c>
      <c r="G860" s="5" t="n">
        <f aca="false">[1]Base_Jugadores!F860</f>
        <v>87</v>
      </c>
      <c r="H860" s="5" t="n">
        <f aca="false">[1]Base_Jugadores!G860</f>
        <v>31</v>
      </c>
      <c r="I860" s="7" t="n">
        <f aca="false" t="array" ref="I860:I860">_xlfn.XLOOKUP(G860,{55;56;57;58;59;60;61;62;63;64;65;66;67;68;69;70;71;72;73;74;75;76;77;78;79;80;81;82;83;84;85;86;87;88;89;90;91;92;93;94;95;96;97;98;99},{100000;130000;160000;190000;220000;250000;300000;350000;400000;450000;500000;600000;700000;800000;900000;1000000;1500000;2000000;3000000;4000000;5000000;6500000;8000000;10000000;12500000;15000000;20000000;25000000;30000000;35000000;40000000;55000000;70000000;80000000;90000000;110000000;130000000;160000000;190000000;220000000;250000000;280000000;310000000;340000000;400000000})</f>
        <v>70000000</v>
      </c>
      <c r="J860" s="7" t="n">
        <f aca="false">I860*S860*T860*U860</f>
        <v>92610000</v>
      </c>
      <c r="K860" s="3"/>
      <c r="L860" s="3"/>
      <c r="M860" s="3"/>
      <c r="N860" s="9" t="n">
        <v>0</v>
      </c>
      <c r="O860" s="4" t="n">
        <v>0</v>
      </c>
      <c r="P860" s="5" t="n">
        <f aca="false">IF(COUNTIF([1]Base_Jugadores!J$2:J$500,B860)&gt;0,1,0)</f>
        <v>0</v>
      </c>
      <c r="Q860" s="10" t="b">
        <f aca="false">--(COUNTIFS(
   [1]Fichajes_Realizados!A$2:A$5000,A860,
   [1]Fichajes_Realizados!G$2:G$5000,$X$3
)&gt;0)</f>
        <v>0</v>
      </c>
      <c r="R860" s="5" t="n">
        <f aca="false">_xlfn.XLOOKUP(C860, [1]Estado_Equipos!A$2:A$500, [1]Estado_Equipos!J$2:J$500, "")</f>
        <v>76</v>
      </c>
      <c r="S860" s="5" t="n">
        <f aca="false">IF(H860&lt;=16,1.45,
IF(H860&gt;=41,0.3,
CHOOSE(ROUNDDOWN((H860-16)/2,0)+1,
1.45,1.38,1.3,1.23,1.17,1.15,1.12,1.05,0.95,0.8,0.6,0.4,0.3)))</f>
        <v>1.05</v>
      </c>
      <c r="T860" s="5" t="n">
        <f aca="false">CHOOSE(N860+1,1.2,1,0.85,0.7)</f>
        <v>1.2</v>
      </c>
      <c r="U860" s="5" t="n">
        <f aca="false">IF(F860="PO",0.6,
IF(F860="CT",0.75,
IF(F860="LI",0.8,
IF(F860="LD",0.8,
IF(F860="MCD",0.85,
IF(F860="MC",0.95,
IF(F860="MO",1.05,
IF(F860="EI",1.1,
IF(F860="ED",1.1,
IF(F860="SD",1.15,
IF(F860="DC",1.2,0)))))))))))</f>
        <v>1.05</v>
      </c>
    </row>
    <row r="861" customFormat="false" ht="16.4" hidden="false" customHeight="false" outlineLevel="0" collapsed="false">
      <c r="A861" s="1" t="n">
        <v>860</v>
      </c>
      <c r="B861" s="5" t="str">
        <f aca="false">[1]Base_Jugadores!B861</f>
        <v>Bryan Mbeumo</v>
      </c>
      <c r="C861" s="5" t="str">
        <f aca="false">IFERROR(
   _xlfn.XLOOKUP(VALUE(A861),[1]Fichajes_Realizados!A$2:A$50000,[1]Fichajes_Realizados!D$2:D$50000,,0,-1),
   _xlfn.XLOOKUP(VALUE(A861),[1]Base_Jugadores!A$2:A$50000,[1]Base_Jugadores!C$2:C$50000)
)</f>
        <v>Manchester United</v>
      </c>
      <c r="D861" s="5" t="str">
        <f aca="false">[1]Base_Jugadores!D861</f>
        <v>Camerún</v>
      </c>
      <c r="E861" s="3"/>
      <c r="F861" s="5" t="str">
        <f aca="false">[1]Base_Jugadores!E861</f>
        <v>ED</v>
      </c>
      <c r="G861" s="5" t="n">
        <f aca="false">[1]Base_Jugadores!F861</f>
        <v>82</v>
      </c>
      <c r="H861" s="5" t="n">
        <f aca="false">[1]Base_Jugadores!G861</f>
        <v>26</v>
      </c>
      <c r="I861" s="7" t="n">
        <f aca="false" t="array" ref="I861:I861">_xlfn.XLOOKUP(G861,{55;56;57;58;59;60;61;62;63;64;65;66;67;68;69;70;71;72;73;74;75;76;77;78;79;80;81;82;83;84;85;86;87;88;89;90;91;92;93;94;95;96;97;98;99},{100000;130000;160000;190000;220000;250000;300000;350000;400000;450000;500000;600000;700000;800000;900000;1000000;1500000;2000000;3000000;4000000;5000000;6500000;8000000;10000000;12500000;15000000;20000000;25000000;30000000;35000000;40000000;55000000;70000000;80000000;90000000;110000000;130000000;160000000;190000000;220000000;250000000;280000000;310000000;340000000;400000000})</f>
        <v>25000000</v>
      </c>
      <c r="J861" s="7" t="n">
        <f aca="false">I861*S861*T861*U861</f>
        <v>37950000</v>
      </c>
      <c r="K861" s="3"/>
      <c r="L861" s="3"/>
      <c r="M861" s="3"/>
      <c r="N861" s="9" t="n">
        <v>0</v>
      </c>
      <c r="O861" s="4" t="n">
        <v>0</v>
      </c>
      <c r="P861" s="5" t="n">
        <f aca="false">IF(COUNTIF([1]Base_Jugadores!J$2:J$500,B861)&gt;0,1,0)</f>
        <v>0</v>
      </c>
      <c r="Q861" s="10" t="b">
        <f aca="false">--(COUNTIFS(
   [1]Fichajes_Realizados!A$2:A$5000,A861,
   [1]Fichajes_Realizados!G$2:G$5000,$X$3
)&gt;0)</f>
        <v>0</v>
      </c>
      <c r="R861" s="5" t="n">
        <f aca="false">_xlfn.XLOOKUP(C861, [1]Estado_Equipos!A$2:A$500, [1]Estado_Equipos!J$2:J$500, "")</f>
        <v>76</v>
      </c>
      <c r="S861" s="5" t="n">
        <f aca="false">IF(H861&lt;=16,1.45,
IF(H861&gt;=41,0.3,
CHOOSE(ROUNDDOWN((H861-16)/2,0)+1,
1.45,1.38,1.3,1.23,1.17,1.15,1.12,1.05,0.95,0.8,0.6,0.4,0.3)))</f>
        <v>1.15</v>
      </c>
      <c r="T861" s="5" t="n">
        <f aca="false">CHOOSE(N861+1,1.2,1,0.85,0.7)</f>
        <v>1.2</v>
      </c>
      <c r="U861" s="5" t="n">
        <f aca="false">IF(F861="PO",0.6,
IF(F861="CT",0.75,
IF(F861="LI",0.8,
IF(F861="LD",0.8,
IF(F861="MCD",0.85,
IF(F861="MC",0.95,
IF(F861="MO",1.05,
IF(F861="EI",1.1,
IF(F861="ED",1.1,
IF(F861="SD",1.15,
IF(F861="DC",1.2,0)))))))))))</f>
        <v>1.1</v>
      </c>
    </row>
    <row r="862" customFormat="false" ht="16.4" hidden="false" customHeight="false" outlineLevel="0" collapsed="false">
      <c r="A862" s="1" t="n">
        <v>861</v>
      </c>
      <c r="B862" s="5" t="str">
        <f aca="false">[1]Base_Jugadores!B862</f>
        <v>Casemiro</v>
      </c>
      <c r="C862" s="5" t="str">
        <f aca="false">IFERROR(
   _xlfn.XLOOKUP(VALUE(A862),[1]Fichajes_Realizados!A$2:A$50000,[1]Fichajes_Realizados!D$2:D$50000,,0,-1),
   _xlfn.XLOOKUP(VALUE(A862),[1]Base_Jugadores!A$2:A$50000,[1]Base_Jugadores!C$2:C$50000)
)</f>
        <v>Manchester United</v>
      </c>
      <c r="D862" s="5" t="str">
        <f aca="false">[1]Base_Jugadores!D862</f>
        <v>Brasil</v>
      </c>
      <c r="E862" s="3"/>
      <c r="F862" s="5" t="str">
        <f aca="false">[1]Base_Jugadores!E862</f>
        <v>MCD</v>
      </c>
      <c r="G862" s="5" t="n">
        <f aca="false">[1]Base_Jugadores!F862</f>
        <v>83</v>
      </c>
      <c r="H862" s="5" t="n">
        <f aca="false">[1]Base_Jugadores!G862</f>
        <v>33</v>
      </c>
      <c r="I862" s="7" t="n">
        <f aca="false" t="array" ref="I862:I862">_xlfn.XLOOKUP(G862,{55;56;57;58;59;60;61;62;63;64;65;66;67;68;69;70;71;72;73;74;75;76;77;78;79;80;81;82;83;84;85;86;87;88;89;90;91;92;93;94;95;96;97;98;99},{100000;130000;160000;190000;220000;250000;300000;350000;400000;450000;500000;600000;700000;800000;900000;1000000;1500000;2000000;3000000;4000000;5000000;6500000;8000000;10000000;12500000;15000000;20000000;25000000;30000000;35000000;40000000;55000000;70000000;80000000;90000000;110000000;130000000;160000000;190000000;220000000;250000000;280000000;310000000;340000000;400000000})</f>
        <v>30000000</v>
      </c>
      <c r="J862" s="7" t="n">
        <f aca="false">I862*S862*T862*U862</f>
        <v>29070000</v>
      </c>
      <c r="K862" s="3"/>
      <c r="L862" s="3"/>
      <c r="M862" s="3"/>
      <c r="N862" s="9" t="n">
        <v>0</v>
      </c>
      <c r="O862" s="4" t="n">
        <v>0</v>
      </c>
      <c r="P862" s="5" t="n">
        <f aca="false">IF(COUNTIF([1]Base_Jugadores!J$2:J$500,B862)&gt;0,1,0)</f>
        <v>0</v>
      </c>
      <c r="Q862" s="10" t="b">
        <f aca="false">--(COUNTIFS(
   [1]Fichajes_Realizados!A$2:A$5000,A862,
   [1]Fichajes_Realizados!G$2:G$5000,$X$3
)&gt;0)</f>
        <v>0</v>
      </c>
      <c r="R862" s="5" t="n">
        <f aca="false">_xlfn.XLOOKUP(C862, [1]Estado_Equipos!A$2:A$500, [1]Estado_Equipos!J$2:J$500, "")</f>
        <v>76</v>
      </c>
      <c r="S862" s="5" t="n">
        <f aca="false">IF(H862&lt;=16,1.45,
IF(H862&gt;=41,0.3,
CHOOSE(ROUNDDOWN((H862-16)/2,0)+1,
1.45,1.38,1.3,1.23,1.17,1.15,1.12,1.05,0.95,0.8,0.6,0.4,0.3)))</f>
        <v>0.95</v>
      </c>
      <c r="T862" s="5" t="n">
        <f aca="false">CHOOSE(N862+1,1.2,1,0.85,0.7)</f>
        <v>1.2</v>
      </c>
      <c r="U862" s="5" t="n">
        <f aca="false">IF(F862="PO",0.6,
IF(F862="CT",0.75,
IF(F862="LI",0.8,
IF(F862="LD",0.8,
IF(F862="MCD",0.85,
IF(F862="MC",0.95,
IF(F862="MO",1.05,
IF(F862="EI",1.1,
IF(F862="ED",1.1,
IF(F862="SD",1.15,
IF(F862="DC",1.2,0)))))))))))</f>
        <v>0.85</v>
      </c>
    </row>
    <row r="863" customFormat="false" ht="16.4" hidden="false" customHeight="false" outlineLevel="0" collapsed="false">
      <c r="A863" s="1" t="n">
        <v>862</v>
      </c>
      <c r="B863" s="5" t="str">
        <f aca="false">[1]Base_Jugadores!B863</f>
        <v>Chido Obi</v>
      </c>
      <c r="C863" s="5" t="str">
        <f aca="false">IFERROR(
   _xlfn.XLOOKUP(VALUE(A863),[1]Fichajes_Realizados!A$2:A$50000,[1]Fichajes_Realizados!D$2:D$50000,,0,-1),
   _xlfn.XLOOKUP(VALUE(A863),[1]Base_Jugadores!A$2:A$50000,[1]Base_Jugadores!C$2:C$50000)
)</f>
        <v>Manchester United</v>
      </c>
      <c r="D863" s="5" t="str">
        <f aca="false">[1]Base_Jugadores!D863</f>
        <v>Dinamarca</v>
      </c>
      <c r="E863" s="3"/>
      <c r="F863" s="5" t="str">
        <f aca="false">[1]Base_Jugadores!E863</f>
        <v>DC</v>
      </c>
      <c r="G863" s="5" t="n">
        <f aca="false">[1]Base_Jugadores!F863</f>
        <v>67</v>
      </c>
      <c r="H863" s="5" t="n">
        <f aca="false">[1]Base_Jugadores!G863</f>
        <v>18</v>
      </c>
      <c r="I863" s="7" t="n">
        <f aca="false" t="array" ref="I863:I863">_xlfn.XLOOKUP(G863,{55;56;57;58;59;60;61;62;63;64;65;66;67;68;69;70;71;72;73;74;75;76;77;78;79;80;81;82;83;84;85;86;87;88;89;90;91;92;93;94;95;96;97;98;99},{100000;130000;160000;190000;220000;250000;300000;350000;400000;450000;500000;600000;700000;800000;900000;1000000;1500000;2000000;3000000;4000000;5000000;6500000;8000000;10000000;12500000;15000000;20000000;25000000;30000000;35000000;40000000;55000000;70000000;80000000;90000000;110000000;130000000;160000000;190000000;220000000;250000000;280000000;310000000;340000000;400000000})</f>
        <v>700000</v>
      </c>
      <c r="J863" s="7" t="n">
        <f aca="false">I863*S863*T863*U863</f>
        <v>985320</v>
      </c>
      <c r="K863" s="3"/>
      <c r="L863" s="3"/>
      <c r="M863" s="3"/>
      <c r="N863" s="9" t="n">
        <v>2</v>
      </c>
      <c r="O863" s="4" t="n">
        <v>1</v>
      </c>
      <c r="P863" s="5" t="n">
        <f aca="false">IF(COUNTIF([1]Base_Jugadores!J$2:J$500,B863)&gt;0,1,0)</f>
        <v>0</v>
      </c>
      <c r="Q863" s="10" t="b">
        <f aca="false">--(COUNTIFS(
   [1]Fichajes_Realizados!A$2:A$5000,A863,
   [1]Fichajes_Realizados!G$2:G$5000,$X$3
)&gt;0)</f>
        <v>0</v>
      </c>
      <c r="R863" s="5" t="n">
        <f aca="false">_xlfn.XLOOKUP(C863, [1]Estado_Equipos!A$2:A$500, [1]Estado_Equipos!J$2:J$500, "")</f>
        <v>76</v>
      </c>
      <c r="S863" s="5" t="n">
        <f aca="false">IF(H863&lt;=16,1.45,
IF(H863&gt;=41,0.3,
CHOOSE(ROUNDDOWN((H863-16)/2,0)+1,
1.45,1.38,1.3,1.23,1.17,1.15,1.12,1.05,0.95,0.8,0.6,0.4,0.3)))</f>
        <v>1.38</v>
      </c>
      <c r="T863" s="5" t="n">
        <f aca="false">CHOOSE(N863+1,1.2,1,0.85,0.7)</f>
        <v>0.85</v>
      </c>
      <c r="U863" s="5" t="n">
        <f aca="false">IF(F863="PO",0.6,
IF(F863="CT",0.75,
IF(F863="LI",0.8,
IF(F863="LD",0.8,
IF(F863="MCD",0.85,
IF(F863="MC",0.95,
IF(F863="MO",1.05,
IF(F863="EI",1.1,
IF(F863="ED",1.1,
IF(F863="SD",1.15,
IF(F863="DC",1.2,0)))))))))))</f>
        <v>1.2</v>
      </c>
    </row>
    <row r="864" customFormat="false" ht="16.4" hidden="false" customHeight="false" outlineLevel="0" collapsed="false">
      <c r="A864" s="1" t="n">
        <v>863</v>
      </c>
      <c r="B864" s="5" t="str">
        <f aca="false">[1]Base_Jugadores!B864</f>
        <v>Diego León</v>
      </c>
      <c r="C864" s="5" t="str">
        <f aca="false">IFERROR(
   _xlfn.XLOOKUP(VALUE(A864),[1]Fichajes_Realizados!A$2:A$50000,[1]Fichajes_Realizados!D$2:D$50000,,0,-1),
   _xlfn.XLOOKUP(VALUE(A864),[1]Base_Jugadores!A$2:A$50000,[1]Base_Jugadores!C$2:C$50000)
)</f>
        <v>Manchester United</v>
      </c>
      <c r="D864" s="5" t="str">
        <f aca="false">[1]Base_Jugadores!D864</f>
        <v>Paraguay</v>
      </c>
      <c r="E864" s="3"/>
      <c r="F864" s="5" t="str">
        <f aca="false">[1]Base_Jugadores!E864</f>
        <v>LI</v>
      </c>
      <c r="G864" s="5" t="n">
        <f aca="false">[1]Base_Jugadores!F864</f>
        <v>65</v>
      </c>
      <c r="H864" s="5" t="n">
        <f aca="false">[1]Base_Jugadores!G864</f>
        <v>18</v>
      </c>
      <c r="I864" s="7" t="n">
        <f aca="false" t="array" ref="I864:I864">_xlfn.XLOOKUP(G864,{55;56;57;58;59;60;61;62;63;64;65;66;67;68;69;70;71;72;73;74;75;76;77;78;79;80;81;82;83;84;85;86;87;88;89;90;91;92;93;94;95;96;97;98;99},{100000;130000;160000;190000;220000;250000;300000;350000;400000;450000;500000;600000;700000;800000;900000;1000000;1500000;2000000;3000000;4000000;5000000;6500000;8000000;10000000;12500000;15000000;20000000;25000000;30000000;35000000;40000000;55000000;70000000;80000000;90000000;110000000;130000000;160000000;190000000;220000000;250000000;280000000;310000000;340000000;400000000})</f>
        <v>500000</v>
      </c>
      <c r="J864" s="7" t="n">
        <f aca="false">I864*S864*T864*U864</f>
        <v>469200</v>
      </c>
      <c r="K864" s="3"/>
      <c r="L864" s="3"/>
      <c r="M864" s="3"/>
      <c r="N864" s="9" t="n">
        <v>2</v>
      </c>
      <c r="O864" s="4" t="n">
        <v>0</v>
      </c>
      <c r="P864" s="5" t="n">
        <f aca="false">IF(COUNTIF([1]Base_Jugadores!J$2:J$500,B864)&gt;0,1,0)</f>
        <v>0</v>
      </c>
      <c r="Q864" s="10" t="b">
        <f aca="false">--(COUNTIFS(
   [1]Fichajes_Realizados!A$2:A$5000,A864,
   [1]Fichajes_Realizados!G$2:G$5000,$X$3
)&gt;0)</f>
        <v>0</v>
      </c>
      <c r="R864" s="5" t="n">
        <f aca="false">_xlfn.XLOOKUP(C864, [1]Estado_Equipos!A$2:A$500, [1]Estado_Equipos!J$2:J$500, "")</f>
        <v>76</v>
      </c>
      <c r="S864" s="5" t="n">
        <f aca="false">IF(H864&lt;=16,1.45,
IF(H864&gt;=41,0.3,
CHOOSE(ROUNDDOWN((H864-16)/2,0)+1,
1.45,1.38,1.3,1.23,1.17,1.15,1.12,1.05,0.95,0.8,0.6,0.4,0.3)))</f>
        <v>1.38</v>
      </c>
      <c r="T864" s="5" t="n">
        <f aca="false">CHOOSE(N864+1,1.2,1,0.85,0.7)</f>
        <v>0.85</v>
      </c>
      <c r="U864" s="5" t="n">
        <f aca="false">IF(F864="PO",0.6,
IF(F864="CT",0.75,
IF(F864="LI",0.8,
IF(F864="LD",0.8,
IF(F864="MCD",0.85,
IF(F864="MC",0.95,
IF(F864="MO",1.05,
IF(F864="EI",1.1,
IF(F864="ED",1.1,
IF(F864="SD",1.15,
IF(F864="DC",1.2,0)))))))))))</f>
        <v>0.8</v>
      </c>
    </row>
    <row r="865" customFormat="false" ht="16.4" hidden="false" customHeight="false" outlineLevel="0" collapsed="false">
      <c r="A865" s="1" t="n">
        <v>864</v>
      </c>
      <c r="B865" s="5" t="str">
        <f aca="false">[1]Base_Jugadores!B865</f>
        <v>Diogo Dalot</v>
      </c>
      <c r="C865" s="5" t="str">
        <f aca="false">IFERROR(
   _xlfn.XLOOKUP(VALUE(A865),[1]Fichajes_Realizados!A$2:A$50000,[1]Fichajes_Realizados!D$2:D$50000,,0,-1),
   _xlfn.XLOOKUP(VALUE(A865),[1]Base_Jugadores!A$2:A$50000,[1]Base_Jugadores!C$2:C$50000)
)</f>
        <v>Manchester United</v>
      </c>
      <c r="D865" s="5" t="str">
        <f aca="false">[1]Base_Jugadores!D865</f>
        <v>Portugal</v>
      </c>
      <c r="E865" s="3"/>
      <c r="F865" s="5" t="str">
        <f aca="false">[1]Base_Jugadores!E865</f>
        <v>LD</v>
      </c>
      <c r="G865" s="5" t="n">
        <f aca="false">[1]Base_Jugadores!F865</f>
        <v>82</v>
      </c>
      <c r="H865" s="5" t="n">
        <f aca="false">[1]Base_Jugadores!G865</f>
        <v>26</v>
      </c>
      <c r="I865" s="7" t="n">
        <f aca="false" t="array" ref="I865:I865">_xlfn.XLOOKUP(G865,{55;56;57;58;59;60;61;62;63;64;65;66;67;68;69;70;71;72;73;74;75;76;77;78;79;80;81;82;83;84;85;86;87;88;89;90;91;92;93;94;95;96;97;98;99},{100000;130000;160000;190000;220000;250000;300000;350000;400000;450000;500000;600000;700000;800000;900000;1000000;1500000;2000000;3000000;4000000;5000000;6500000;8000000;10000000;12500000;15000000;20000000;25000000;30000000;35000000;40000000;55000000;70000000;80000000;90000000;110000000;130000000;160000000;190000000;220000000;250000000;280000000;310000000;340000000;400000000})</f>
        <v>25000000</v>
      </c>
      <c r="J865" s="7" t="n">
        <f aca="false">I865*S865*T865*U865</f>
        <v>27600000</v>
      </c>
      <c r="K865" s="3"/>
      <c r="L865" s="3"/>
      <c r="M865" s="3"/>
      <c r="N865" s="9" t="n">
        <v>0</v>
      </c>
      <c r="O865" s="4" t="n">
        <v>0</v>
      </c>
      <c r="P865" s="5" t="n">
        <f aca="false">IF(COUNTIF([1]Base_Jugadores!J$2:J$500,B865)&gt;0,1,0)</f>
        <v>0</v>
      </c>
      <c r="Q865" s="10" t="b">
        <f aca="false">--(COUNTIFS(
   [1]Fichajes_Realizados!A$2:A$5000,A865,
   [1]Fichajes_Realizados!G$2:G$5000,$X$3
)&gt;0)</f>
        <v>0</v>
      </c>
      <c r="R865" s="5" t="n">
        <f aca="false">_xlfn.XLOOKUP(C865, [1]Estado_Equipos!A$2:A$500, [1]Estado_Equipos!J$2:J$500, "")</f>
        <v>76</v>
      </c>
      <c r="S865" s="5" t="n">
        <f aca="false">IF(H865&lt;=16,1.45,
IF(H865&gt;=41,0.3,
CHOOSE(ROUNDDOWN((H865-16)/2,0)+1,
1.45,1.38,1.3,1.23,1.17,1.15,1.12,1.05,0.95,0.8,0.6,0.4,0.3)))</f>
        <v>1.15</v>
      </c>
      <c r="T865" s="5" t="n">
        <f aca="false">CHOOSE(N865+1,1.2,1,0.85,0.7)</f>
        <v>1.2</v>
      </c>
      <c r="U865" s="5" t="n">
        <f aca="false">IF(F865="PO",0.6,
IF(F865="CT",0.75,
IF(F865="LI",0.8,
IF(F865="LD",0.8,
IF(F865="MCD",0.85,
IF(F865="MC",0.95,
IF(F865="MO",1.05,
IF(F865="EI",1.1,
IF(F865="ED",1.1,
IF(F865="SD",1.15,
IF(F865="DC",1.2,0)))))))))))</f>
        <v>0.8</v>
      </c>
    </row>
    <row r="866" customFormat="false" ht="16.4" hidden="false" customHeight="false" outlineLevel="0" collapsed="false">
      <c r="A866" s="1" t="n">
        <v>865</v>
      </c>
      <c r="B866" s="5" t="str">
        <f aca="false">[1]Base_Jugadores!B866</f>
        <v>Ethan Wheatley</v>
      </c>
      <c r="C866" s="5" t="str">
        <f aca="false">IFERROR(
   _xlfn.XLOOKUP(VALUE(A866),[1]Fichajes_Realizados!A$2:A$50000,[1]Fichajes_Realizados!D$2:D$50000,,0,-1),
   _xlfn.XLOOKUP(VALUE(A866),[1]Base_Jugadores!A$2:A$50000,[1]Base_Jugadores!C$2:C$50000)
)</f>
        <v>Manchester United</v>
      </c>
      <c r="D866" s="5" t="str">
        <f aca="false">[1]Base_Jugadores!D866</f>
        <v>Inglaterra</v>
      </c>
      <c r="E866" s="3"/>
      <c r="F866" s="5" t="str">
        <f aca="false">[1]Base_Jugadores!E866</f>
        <v>DC</v>
      </c>
      <c r="G866" s="5" t="n">
        <f aca="false">[1]Base_Jugadores!F866</f>
        <v>64</v>
      </c>
      <c r="H866" s="5" t="n">
        <f aca="false">[1]Base_Jugadores!G866</f>
        <v>19</v>
      </c>
      <c r="I866" s="7" t="n">
        <f aca="false" t="array" ref="I866:I866">_xlfn.XLOOKUP(G866,{55;56;57;58;59;60;61;62;63;64;65;66;67;68;69;70;71;72;73;74;75;76;77;78;79;80;81;82;83;84;85;86;87;88;89;90;91;92;93;94;95;96;97;98;99},{100000;130000;160000;190000;220000;250000;300000;350000;400000;450000;500000;600000;700000;800000;900000;1000000;1500000;2000000;3000000;4000000;5000000;6500000;8000000;10000000;12500000;15000000;20000000;25000000;30000000;35000000;40000000;55000000;70000000;80000000;90000000;110000000;130000000;160000000;190000000;220000000;250000000;280000000;310000000;340000000;400000000})</f>
        <v>450000</v>
      </c>
      <c r="J866" s="7" t="n">
        <f aca="false">I866*S866*T866*U866</f>
        <v>633420</v>
      </c>
      <c r="K866" s="3"/>
      <c r="L866" s="3"/>
      <c r="M866" s="3"/>
      <c r="N866" s="9" t="n">
        <v>2</v>
      </c>
      <c r="O866" s="4" t="n">
        <v>0</v>
      </c>
      <c r="P866" s="5" t="n">
        <f aca="false">IF(COUNTIF([1]Base_Jugadores!J$2:J$500,B866)&gt;0,1,0)</f>
        <v>0</v>
      </c>
      <c r="Q866" s="10" t="b">
        <f aca="false">--(COUNTIFS(
   [1]Fichajes_Realizados!A$2:A$5000,A866,
   [1]Fichajes_Realizados!G$2:G$5000,$X$3
)&gt;0)</f>
        <v>0</v>
      </c>
      <c r="R866" s="5" t="n">
        <f aca="false">_xlfn.XLOOKUP(C866, [1]Estado_Equipos!A$2:A$500, [1]Estado_Equipos!J$2:J$500, "")</f>
        <v>76</v>
      </c>
      <c r="S866" s="5" t="n">
        <f aca="false">IF(H866&lt;=16,1.45,
IF(H866&gt;=41,0.3,
CHOOSE(ROUNDDOWN((H866-16)/2,0)+1,
1.45,1.38,1.3,1.23,1.17,1.15,1.12,1.05,0.95,0.8,0.6,0.4,0.3)))</f>
        <v>1.38</v>
      </c>
      <c r="T866" s="5" t="n">
        <f aca="false">CHOOSE(N866+1,1.2,1,0.85,0.7)</f>
        <v>0.85</v>
      </c>
      <c r="U866" s="5" t="n">
        <f aca="false">IF(F866="PO",0.6,
IF(F866="CT",0.75,
IF(F866="LI",0.8,
IF(F866="LD",0.8,
IF(F866="MCD",0.85,
IF(F866="MC",0.95,
IF(F866="MO",1.05,
IF(F866="EI",1.1,
IF(F866="ED",1.1,
IF(F866="SD",1.15,
IF(F866="DC",1.2,0)))))))))))</f>
        <v>1.2</v>
      </c>
    </row>
    <row r="867" customFormat="false" ht="16.4" hidden="false" customHeight="false" outlineLevel="0" collapsed="false">
      <c r="A867" s="1" t="n">
        <v>866</v>
      </c>
      <c r="B867" s="5" t="str">
        <f aca="false">[1]Base_Jugadores!B867</f>
        <v>Harry Maguire</v>
      </c>
      <c r="C867" s="5" t="str">
        <f aca="false">IFERROR(
   _xlfn.XLOOKUP(VALUE(A867),[1]Fichajes_Realizados!A$2:A$50000,[1]Fichajes_Realizados!D$2:D$50000,,0,-1),
   _xlfn.XLOOKUP(VALUE(A867),[1]Base_Jugadores!A$2:A$50000,[1]Base_Jugadores!C$2:C$50000)
)</f>
        <v>Manchester United</v>
      </c>
      <c r="D867" s="5" t="str">
        <f aca="false">[1]Base_Jugadores!D867</f>
        <v>Inglaterra</v>
      </c>
      <c r="E867" s="3"/>
      <c r="F867" s="5" t="str">
        <f aca="false">[1]Base_Jugadores!E867</f>
        <v>CT</v>
      </c>
      <c r="G867" s="5" t="n">
        <f aca="false">[1]Base_Jugadores!F867</f>
        <v>80</v>
      </c>
      <c r="H867" s="5" t="n">
        <f aca="false">[1]Base_Jugadores!G867</f>
        <v>32</v>
      </c>
      <c r="I867" s="7" t="n">
        <f aca="false" t="array" ref="I867:I867">_xlfn.XLOOKUP(G867,{55;56;57;58;59;60;61;62;63;64;65;66;67;68;69;70;71;72;73;74;75;76;77;78;79;80;81;82;83;84;85;86;87;88;89;90;91;92;93;94;95;96;97;98;99},{100000;130000;160000;190000;220000;250000;300000;350000;400000;450000;500000;600000;700000;800000;900000;1000000;1500000;2000000;3000000;4000000;5000000;6500000;8000000;10000000;12500000;15000000;20000000;25000000;30000000;35000000;40000000;55000000;70000000;80000000;90000000;110000000;130000000;160000000;190000000;220000000;250000000;280000000;310000000;340000000;400000000})</f>
        <v>15000000</v>
      </c>
      <c r="J867" s="7" t="n">
        <f aca="false">I867*S867*T867*U867</f>
        <v>10687500</v>
      </c>
      <c r="K867" s="3"/>
      <c r="L867" s="3"/>
      <c r="M867" s="3"/>
      <c r="N867" s="9" t="n">
        <v>1</v>
      </c>
      <c r="O867" s="4" t="n">
        <v>0</v>
      </c>
      <c r="P867" s="5" t="n">
        <f aca="false">IF(COUNTIF([1]Base_Jugadores!J$2:J$500,B867)&gt;0,1,0)</f>
        <v>0</v>
      </c>
      <c r="Q867" s="10" t="b">
        <f aca="false">--(COUNTIFS(
   [1]Fichajes_Realizados!A$2:A$5000,A867,
   [1]Fichajes_Realizados!G$2:G$5000,$X$3
)&gt;0)</f>
        <v>0</v>
      </c>
      <c r="R867" s="5" t="n">
        <f aca="false">_xlfn.XLOOKUP(C867, [1]Estado_Equipos!A$2:A$500, [1]Estado_Equipos!J$2:J$500, "")</f>
        <v>76</v>
      </c>
      <c r="S867" s="5" t="n">
        <f aca="false">IF(H867&lt;=16,1.45,
IF(H867&gt;=41,0.3,
CHOOSE(ROUNDDOWN((H867-16)/2,0)+1,
1.45,1.38,1.3,1.23,1.17,1.15,1.12,1.05,0.95,0.8,0.6,0.4,0.3)))</f>
        <v>0.95</v>
      </c>
      <c r="T867" s="5" t="n">
        <f aca="false">CHOOSE(N867+1,1.2,1,0.85,0.7)</f>
        <v>1</v>
      </c>
      <c r="U867" s="5" t="n">
        <f aca="false">IF(F867="PO",0.6,
IF(F867="CT",0.75,
IF(F867="LI",0.8,
IF(F867="LD",0.8,
IF(F867="MCD",0.85,
IF(F867="MC",0.95,
IF(F867="MO",1.05,
IF(F867="EI",1.1,
IF(F867="ED",1.1,
IF(F867="SD",1.15,
IF(F867="DC",1.2,0)))))))))))</f>
        <v>0.75</v>
      </c>
    </row>
    <row r="868" customFormat="false" ht="16.4" hidden="false" customHeight="false" outlineLevel="0" collapsed="false">
      <c r="A868" s="1" t="n">
        <v>867</v>
      </c>
      <c r="B868" s="5" t="str">
        <f aca="false">[1]Base_Jugadores!B868</f>
        <v>Joshua Zirkzee</v>
      </c>
      <c r="C868" s="5" t="str">
        <f aca="false">IFERROR(
   _xlfn.XLOOKUP(VALUE(A868),[1]Fichajes_Realizados!A$2:A$50000,[1]Fichajes_Realizados!D$2:D$50000,,0,-1),
   _xlfn.XLOOKUP(VALUE(A868),[1]Base_Jugadores!A$2:A$50000,[1]Base_Jugadores!C$2:C$50000)
)</f>
        <v>Manchester United</v>
      </c>
      <c r="D868" s="5" t="str">
        <f aca="false">[1]Base_Jugadores!D868</f>
        <v>Países Bajos</v>
      </c>
      <c r="E868" s="3"/>
      <c r="F868" s="5" t="str">
        <f aca="false">[1]Base_Jugadores!E868</f>
        <v>DC</v>
      </c>
      <c r="G868" s="5" t="n">
        <f aca="false">[1]Base_Jugadores!F868</f>
        <v>79</v>
      </c>
      <c r="H868" s="5" t="n">
        <f aca="false">[1]Base_Jugadores!G868</f>
        <v>24</v>
      </c>
      <c r="I868" s="7" t="n">
        <f aca="false" t="array" ref="I868:I868">_xlfn.XLOOKUP(G868,{55;56;57;58;59;60;61;62;63;64;65;66;67;68;69;70;71;72;73;74;75;76;77;78;79;80;81;82;83;84;85;86;87;88;89;90;91;92;93;94;95;96;97;98;99},{100000;130000;160000;190000;220000;250000;300000;350000;400000;450000;500000;600000;700000;800000;900000;1000000;1500000;2000000;3000000;4000000;5000000;6500000;8000000;10000000;12500000;15000000;20000000;25000000;30000000;35000000;40000000;55000000;70000000;80000000;90000000;110000000;130000000;160000000;190000000;220000000;250000000;280000000;310000000;340000000;400000000})</f>
        <v>12500000</v>
      </c>
      <c r="J868" s="7" t="n">
        <f aca="false">I868*S868*T868*U868</f>
        <v>17550000</v>
      </c>
      <c r="K868" s="3"/>
      <c r="L868" s="3"/>
      <c r="M868" s="3"/>
      <c r="N868" s="9" t="n">
        <v>1</v>
      </c>
      <c r="O868" s="4" t="n">
        <v>0</v>
      </c>
      <c r="P868" s="5" t="n">
        <f aca="false">IF(COUNTIF([1]Base_Jugadores!J$2:J$500,B868)&gt;0,1,0)</f>
        <v>0</v>
      </c>
      <c r="Q868" s="10" t="b">
        <f aca="false">--(COUNTIFS(
   [1]Fichajes_Realizados!A$2:A$5000,A868,
   [1]Fichajes_Realizados!G$2:G$5000,$X$3
)&gt;0)</f>
        <v>0</v>
      </c>
      <c r="R868" s="5" t="n">
        <f aca="false">_xlfn.XLOOKUP(C868, [1]Estado_Equipos!A$2:A$500, [1]Estado_Equipos!J$2:J$500, "")</f>
        <v>76</v>
      </c>
      <c r="S868" s="5" t="n">
        <f aca="false">IF(H868&lt;=16,1.45,
IF(H868&gt;=41,0.3,
CHOOSE(ROUNDDOWN((H868-16)/2,0)+1,
1.45,1.38,1.3,1.23,1.17,1.15,1.12,1.05,0.95,0.8,0.6,0.4,0.3)))</f>
        <v>1.17</v>
      </c>
      <c r="T868" s="5" t="n">
        <f aca="false">CHOOSE(N868+1,1.2,1,0.85,0.7)</f>
        <v>1</v>
      </c>
      <c r="U868" s="5" t="n">
        <f aca="false">IF(F868="PO",0.6,
IF(F868="CT",0.75,
IF(F868="LI",0.8,
IF(F868="LD",0.8,
IF(F868="MCD",0.85,
IF(F868="MC",0.95,
IF(F868="MO",1.05,
IF(F868="EI",1.1,
IF(F868="ED",1.1,
IF(F868="SD",1.15,
IF(F868="DC",1.2,0)))))))))))</f>
        <v>1.2</v>
      </c>
    </row>
    <row r="869" customFormat="false" ht="16.4" hidden="false" customHeight="false" outlineLevel="0" collapsed="false">
      <c r="A869" s="1" t="n">
        <v>868</v>
      </c>
      <c r="B869" s="5" t="str">
        <f aca="false">[1]Base_Jugadores!B869</f>
        <v>Kobbie Mainoo</v>
      </c>
      <c r="C869" s="5" t="str">
        <f aca="false">IFERROR(
   _xlfn.XLOOKUP(VALUE(A869),[1]Fichajes_Realizados!A$2:A$50000,[1]Fichajes_Realizados!D$2:D$50000,,0,-1),
   _xlfn.XLOOKUP(VALUE(A869),[1]Base_Jugadores!A$2:A$50000,[1]Base_Jugadores!C$2:C$50000)
)</f>
        <v>Manchester United</v>
      </c>
      <c r="D869" s="5" t="str">
        <f aca="false">[1]Base_Jugadores!D869</f>
        <v>Inglaterra</v>
      </c>
      <c r="E869" s="3"/>
      <c r="F869" s="5" t="str">
        <f aca="false">[1]Base_Jugadores!E869</f>
        <v>MC</v>
      </c>
      <c r="G869" s="5" t="n">
        <f aca="false">[1]Base_Jugadores!F869</f>
        <v>78</v>
      </c>
      <c r="H869" s="5" t="n">
        <f aca="false">[1]Base_Jugadores!G869</f>
        <v>20</v>
      </c>
      <c r="I869" s="7" t="n">
        <f aca="false" t="array" ref="I869:I869">_xlfn.XLOOKUP(G869,{55;56;57;58;59;60;61;62;63;64;65;66;67;68;69;70;71;72;73;74;75;76;77;78;79;80;81;82;83;84;85;86;87;88;89;90;91;92;93;94;95;96;97;98;99},{100000;130000;160000;190000;220000;250000;300000;350000;400000;450000;500000;600000;700000;800000;900000;1000000;1500000;2000000;3000000;4000000;5000000;6500000;8000000;10000000;12500000;15000000;20000000;25000000;30000000;35000000;40000000;55000000;70000000;80000000;90000000;110000000;130000000;160000000;190000000;220000000;250000000;280000000;310000000;340000000;400000000})</f>
        <v>10000000</v>
      </c>
      <c r="J869" s="7" t="n">
        <f aca="false">I869*S869*T869*U869</f>
        <v>10497500</v>
      </c>
      <c r="K869" s="3"/>
      <c r="L869" s="3"/>
      <c r="M869" s="3"/>
      <c r="N869" s="9" t="n">
        <v>2</v>
      </c>
      <c r="O869" s="4" t="n">
        <v>1</v>
      </c>
      <c r="P869" s="5" t="n">
        <f aca="false">IF(COUNTIF([1]Base_Jugadores!J$2:J$500,B869)&gt;0,1,0)</f>
        <v>0</v>
      </c>
      <c r="Q869" s="10" t="b">
        <f aca="false">--(COUNTIFS(
   [1]Fichajes_Realizados!A$2:A$5000,A869,
   [1]Fichajes_Realizados!G$2:G$5000,$X$3
)&gt;0)</f>
        <v>0</v>
      </c>
      <c r="R869" s="5" t="n">
        <f aca="false">_xlfn.XLOOKUP(C869, [1]Estado_Equipos!A$2:A$500, [1]Estado_Equipos!J$2:J$500, "")</f>
        <v>76</v>
      </c>
      <c r="S869" s="5" t="n">
        <f aca="false">IF(H869&lt;=16,1.45,
IF(H869&gt;=41,0.3,
CHOOSE(ROUNDDOWN((H869-16)/2,0)+1,
1.45,1.38,1.3,1.23,1.17,1.15,1.12,1.05,0.95,0.8,0.6,0.4,0.3)))</f>
        <v>1.3</v>
      </c>
      <c r="T869" s="5" t="n">
        <f aca="false">CHOOSE(N869+1,1.2,1,0.85,0.7)</f>
        <v>0.85</v>
      </c>
      <c r="U869" s="5" t="n">
        <f aca="false">IF(F869="PO",0.6,
IF(F869="CT",0.75,
IF(F869="LI",0.8,
IF(F869="LD",0.8,
IF(F869="MCD",0.85,
IF(F869="MC",0.95,
IF(F869="MO",1.05,
IF(F869="EI",1.1,
IF(F869="ED",1.1,
IF(F869="SD",1.15,
IF(F869="DC",1.2,0)))))))))))</f>
        <v>0.95</v>
      </c>
    </row>
    <row r="870" customFormat="false" ht="16.4" hidden="false" customHeight="false" outlineLevel="0" collapsed="false">
      <c r="A870" s="1" t="n">
        <v>869</v>
      </c>
      <c r="B870" s="5" t="str">
        <f aca="false">[1]Base_Jugadores!B870</f>
        <v>Leny Yoro</v>
      </c>
      <c r="C870" s="5" t="str">
        <f aca="false">IFERROR(
   _xlfn.XLOOKUP(VALUE(A870),[1]Fichajes_Realizados!A$2:A$50000,[1]Fichajes_Realizados!D$2:D$50000,,0,-1),
   _xlfn.XLOOKUP(VALUE(A870),[1]Base_Jugadores!A$2:A$50000,[1]Base_Jugadores!C$2:C$50000)
)</f>
        <v>Manchester United</v>
      </c>
      <c r="D870" s="5" t="str">
        <f aca="false">[1]Base_Jugadores!D870</f>
        <v>Francia</v>
      </c>
      <c r="E870" s="3"/>
      <c r="F870" s="5" t="str">
        <f aca="false">[1]Base_Jugadores!E870</f>
        <v>CT</v>
      </c>
      <c r="G870" s="5" t="n">
        <f aca="false">[1]Base_Jugadores!F870</f>
        <v>79</v>
      </c>
      <c r="H870" s="5" t="n">
        <f aca="false">[1]Base_Jugadores!G870</f>
        <v>20</v>
      </c>
      <c r="I870" s="7" t="n">
        <f aca="false" t="array" ref="I870:I870">_xlfn.XLOOKUP(G870,{55;56;57;58;59;60;61;62;63;64;65;66;67;68;69;70;71;72;73;74;75;76;77;78;79;80;81;82;83;84;85;86;87;88;89;90;91;92;93;94;95;96;97;98;99},{100000;130000;160000;190000;220000;250000;300000;350000;400000;450000;500000;600000;700000;800000;900000;1000000;1500000;2000000;3000000;4000000;5000000;6500000;8000000;10000000;12500000;15000000;20000000;25000000;30000000;35000000;40000000;55000000;70000000;80000000;90000000;110000000;130000000;160000000;190000000;220000000;250000000;280000000;310000000;340000000;400000000})</f>
        <v>12500000</v>
      </c>
      <c r="J870" s="7" t="n">
        <f aca="false">I870*S870*T870*U870</f>
        <v>12187500</v>
      </c>
      <c r="K870" s="3"/>
      <c r="L870" s="3"/>
      <c r="M870" s="3"/>
      <c r="N870" s="9" t="n">
        <v>1</v>
      </c>
      <c r="O870" s="4" t="n">
        <v>1</v>
      </c>
      <c r="P870" s="5" t="n">
        <f aca="false">IF(COUNTIF([1]Base_Jugadores!J$2:J$500,B870)&gt;0,1,0)</f>
        <v>0</v>
      </c>
      <c r="Q870" s="10" t="b">
        <f aca="false">--(COUNTIFS(
   [1]Fichajes_Realizados!A$2:A$5000,A870,
   [1]Fichajes_Realizados!G$2:G$5000,$X$3
)&gt;0)</f>
        <v>0</v>
      </c>
      <c r="R870" s="5" t="n">
        <f aca="false">_xlfn.XLOOKUP(C870, [1]Estado_Equipos!A$2:A$500, [1]Estado_Equipos!J$2:J$500, "")</f>
        <v>76</v>
      </c>
      <c r="S870" s="5" t="n">
        <f aca="false">IF(H870&lt;=16,1.45,
IF(H870&gt;=41,0.3,
CHOOSE(ROUNDDOWN((H870-16)/2,0)+1,
1.45,1.38,1.3,1.23,1.17,1.15,1.12,1.05,0.95,0.8,0.6,0.4,0.3)))</f>
        <v>1.3</v>
      </c>
      <c r="T870" s="5" t="n">
        <f aca="false">CHOOSE(N870+1,1.2,1,0.85,0.7)</f>
        <v>1</v>
      </c>
      <c r="U870" s="5" t="n">
        <f aca="false">IF(F870="PO",0.6,
IF(F870="CT",0.75,
IF(F870="LI",0.8,
IF(F870="LD",0.8,
IF(F870="MCD",0.85,
IF(F870="MC",0.95,
IF(F870="MO",1.05,
IF(F870="EI",1.1,
IF(F870="ED",1.1,
IF(F870="SD",1.15,
IF(F870="DC",1.2,0)))))))))))</f>
        <v>0.75</v>
      </c>
    </row>
    <row r="871" customFormat="false" ht="16.4" hidden="false" customHeight="false" outlineLevel="0" collapsed="false">
      <c r="A871" s="1" t="n">
        <v>870</v>
      </c>
      <c r="B871" s="5" t="str">
        <f aca="false">[1]Base_Jugadores!B871</f>
        <v>Lisandro Martínez</v>
      </c>
      <c r="C871" s="5" t="str">
        <f aca="false">IFERROR(
   _xlfn.XLOOKUP(VALUE(A871),[1]Fichajes_Realizados!A$2:A$50000,[1]Fichajes_Realizados!D$2:D$50000,,0,-1),
   _xlfn.XLOOKUP(VALUE(A871),[1]Base_Jugadores!A$2:A$50000,[1]Base_Jugadores!C$2:C$50000)
)</f>
        <v>Manchester United</v>
      </c>
      <c r="D871" s="5" t="str">
        <f aca="false">[1]Base_Jugadores!D871</f>
        <v>Argentina</v>
      </c>
      <c r="E871" s="3"/>
      <c r="F871" s="5" t="str">
        <f aca="false">[1]Base_Jugadores!E871</f>
        <v>CT</v>
      </c>
      <c r="G871" s="5" t="n">
        <f aca="false">[1]Base_Jugadores!F871</f>
        <v>84</v>
      </c>
      <c r="H871" s="5" t="n">
        <f aca="false">[1]Base_Jugadores!G871</f>
        <v>27</v>
      </c>
      <c r="I871" s="7" t="n">
        <f aca="false" t="array" ref="I871:I871">_xlfn.XLOOKUP(G871,{55;56;57;58;59;60;61;62;63;64;65;66;67;68;69;70;71;72;73;74;75;76;77;78;79;80;81;82;83;84;85;86;87;88;89;90;91;92;93;94;95;96;97;98;99},{100000;130000;160000;190000;220000;250000;300000;350000;400000;450000;500000;600000;700000;800000;900000;1000000;1500000;2000000;3000000;4000000;5000000;6500000;8000000;10000000;12500000;15000000;20000000;25000000;30000000;35000000;40000000;55000000;70000000;80000000;90000000;110000000;130000000;160000000;190000000;220000000;250000000;280000000;310000000;340000000;400000000})</f>
        <v>35000000</v>
      </c>
      <c r="J871" s="7" t="n">
        <f aca="false">I871*S871*T871*U871</f>
        <v>36225000</v>
      </c>
      <c r="K871" s="3"/>
      <c r="L871" s="3"/>
      <c r="M871" s="3"/>
      <c r="N871" s="9" t="n">
        <v>0</v>
      </c>
      <c r="O871" s="4" t="n">
        <v>0</v>
      </c>
      <c r="P871" s="5" t="n">
        <f aca="false">IF(COUNTIF([1]Base_Jugadores!J$2:J$500,B871)&gt;0,1,0)</f>
        <v>0</v>
      </c>
      <c r="Q871" s="10" t="b">
        <f aca="false">--(COUNTIFS(
   [1]Fichajes_Realizados!A$2:A$5000,A871,
   [1]Fichajes_Realizados!G$2:G$5000,$X$3
)&gt;0)</f>
        <v>0</v>
      </c>
      <c r="R871" s="5" t="n">
        <f aca="false">_xlfn.XLOOKUP(C871, [1]Estado_Equipos!A$2:A$500, [1]Estado_Equipos!J$2:J$500, "")</f>
        <v>76</v>
      </c>
      <c r="S871" s="5" t="n">
        <f aca="false">IF(H871&lt;=16,1.45,
IF(H871&gt;=41,0.3,
CHOOSE(ROUNDDOWN((H871-16)/2,0)+1,
1.45,1.38,1.3,1.23,1.17,1.15,1.12,1.05,0.95,0.8,0.6,0.4,0.3)))</f>
        <v>1.15</v>
      </c>
      <c r="T871" s="5" t="n">
        <f aca="false">CHOOSE(N871+1,1.2,1,0.85,0.7)</f>
        <v>1.2</v>
      </c>
      <c r="U871" s="5" t="n">
        <f aca="false">IF(F871="PO",0.6,
IF(F871="CT",0.75,
IF(F871="LI",0.8,
IF(F871="LD",0.8,
IF(F871="MCD",0.85,
IF(F871="MC",0.95,
IF(F871="MO",1.05,
IF(F871="EI",1.1,
IF(F871="ED",1.1,
IF(F871="SD",1.15,
IF(F871="DC",1.2,0)))))))))))</f>
        <v>0.75</v>
      </c>
    </row>
    <row r="872" customFormat="false" ht="16.4" hidden="false" customHeight="false" outlineLevel="0" collapsed="false">
      <c r="A872" s="1" t="n">
        <v>871</v>
      </c>
      <c r="B872" s="5" t="str">
        <f aca="false">[1]Base_Jugadores!B872</f>
        <v>Louis Jackson</v>
      </c>
      <c r="C872" s="5" t="str">
        <f aca="false">IFERROR(
   _xlfn.XLOOKUP(VALUE(A872),[1]Fichajes_Realizados!A$2:A$50000,[1]Fichajes_Realizados!D$2:D$50000,,0,-1),
   _xlfn.XLOOKUP(VALUE(A872),[1]Base_Jugadores!A$2:A$50000,[1]Base_Jugadores!C$2:C$50000)
)</f>
        <v>Manchester United</v>
      </c>
      <c r="D872" s="5" t="str">
        <f aca="false">[1]Base_Jugadores!D872</f>
        <v>Escocia</v>
      </c>
      <c r="E872" s="3"/>
      <c r="F872" s="5" t="str">
        <f aca="false">[1]Base_Jugadores!E872</f>
        <v>CT</v>
      </c>
      <c r="G872" s="5" t="n">
        <f aca="false">[1]Base_Jugadores!F872</f>
        <v>59</v>
      </c>
      <c r="H872" s="5" t="n">
        <f aca="false">[1]Base_Jugadores!G872</f>
        <v>20</v>
      </c>
      <c r="I872" s="7" t="n">
        <f aca="false" t="array" ref="I872:I872">_xlfn.XLOOKUP(G872,{55;56;57;58;59;60;61;62;63;64;65;66;67;68;69;70;71;72;73;74;75;76;77;78;79;80;81;82;83;84;85;86;87;88;89;90;91;92;93;94;95;96;97;98;99},{100000;130000;160000;190000;220000;250000;300000;350000;400000;450000;500000;600000;700000;800000;900000;1000000;1500000;2000000;3000000;4000000;5000000;6500000;8000000;10000000;12500000;15000000;20000000;25000000;30000000;35000000;40000000;55000000;70000000;80000000;90000000;110000000;130000000;160000000;190000000;220000000;250000000;280000000;310000000;340000000;400000000})</f>
        <v>220000</v>
      </c>
      <c r="J872" s="7" t="n">
        <f aca="false">I872*S872*T872*U872</f>
        <v>182325</v>
      </c>
      <c r="K872" s="3"/>
      <c r="L872" s="3"/>
      <c r="M872" s="3"/>
      <c r="N872" s="9" t="n">
        <v>2</v>
      </c>
      <c r="O872" s="4" t="n">
        <v>0</v>
      </c>
      <c r="P872" s="5" t="n">
        <f aca="false">IF(COUNTIF([1]Base_Jugadores!J$2:J$500,B872)&gt;0,1,0)</f>
        <v>0</v>
      </c>
      <c r="Q872" s="10" t="b">
        <f aca="false">--(COUNTIFS(
   [1]Fichajes_Realizados!A$2:A$5000,A872,
   [1]Fichajes_Realizados!G$2:G$5000,$X$3
)&gt;0)</f>
        <v>0</v>
      </c>
      <c r="R872" s="5" t="n">
        <f aca="false">_xlfn.XLOOKUP(C872, [1]Estado_Equipos!A$2:A$500, [1]Estado_Equipos!J$2:J$500, "")</f>
        <v>76</v>
      </c>
      <c r="S872" s="5" t="n">
        <f aca="false">IF(H872&lt;=16,1.45,
IF(H872&gt;=41,0.3,
CHOOSE(ROUNDDOWN((H872-16)/2,0)+1,
1.45,1.38,1.3,1.23,1.17,1.15,1.12,1.05,0.95,0.8,0.6,0.4,0.3)))</f>
        <v>1.3</v>
      </c>
      <c r="T872" s="5" t="n">
        <f aca="false">CHOOSE(N872+1,1.2,1,0.85,0.7)</f>
        <v>0.85</v>
      </c>
      <c r="U872" s="5" t="n">
        <f aca="false">IF(F872="PO",0.6,
IF(F872="CT",0.75,
IF(F872="LI",0.8,
IF(F872="LD",0.8,
IF(F872="MCD",0.85,
IF(F872="MC",0.95,
IF(F872="MO",1.05,
IF(F872="EI",1.1,
IF(F872="ED",1.1,
IF(F872="SD",1.15,
IF(F872="DC",1.2,0)))))))))))</f>
        <v>0.75</v>
      </c>
    </row>
    <row r="873" customFormat="false" ht="16.4" hidden="false" customHeight="false" outlineLevel="0" collapsed="false">
      <c r="A873" s="1" t="n">
        <v>872</v>
      </c>
      <c r="B873" s="5" t="str">
        <f aca="false">[1]Base_Jugadores!B873</f>
        <v>Luke Shaw</v>
      </c>
      <c r="C873" s="5" t="str">
        <f aca="false">IFERROR(
   _xlfn.XLOOKUP(VALUE(A873),[1]Fichajes_Realizados!A$2:A$50000,[1]Fichajes_Realizados!D$2:D$50000,,0,-1),
   _xlfn.XLOOKUP(VALUE(A873),[1]Base_Jugadores!A$2:A$50000,[1]Base_Jugadores!C$2:C$50000)
)</f>
        <v>Manchester United</v>
      </c>
      <c r="D873" s="5" t="str">
        <f aca="false">[1]Base_Jugadores!D873</f>
        <v>Inglaterra</v>
      </c>
      <c r="E873" s="3"/>
      <c r="F873" s="5" t="str">
        <f aca="false">[1]Base_Jugadores!E873</f>
        <v>LI</v>
      </c>
      <c r="G873" s="5" t="n">
        <f aca="false">[1]Base_Jugadores!F873</f>
        <v>82</v>
      </c>
      <c r="H873" s="5" t="n">
        <f aca="false">[1]Base_Jugadores!G873</f>
        <v>30</v>
      </c>
      <c r="I873" s="7" t="n">
        <f aca="false" t="array" ref="I873:I873">_xlfn.XLOOKUP(G873,{55;56;57;58;59;60;61;62;63;64;65;66;67;68;69;70;71;72;73;74;75;76;77;78;79;80;81;82;83;84;85;86;87;88;89;90;91;92;93;94;95;96;97;98;99},{100000;130000;160000;190000;220000;250000;300000;350000;400000;450000;500000;600000;700000;800000;900000;1000000;1500000;2000000;3000000;4000000;5000000;6500000;8000000;10000000;12500000;15000000;20000000;25000000;30000000;35000000;40000000;55000000;70000000;80000000;90000000;110000000;130000000;160000000;190000000;220000000;250000000;280000000;310000000;340000000;400000000})</f>
        <v>25000000</v>
      </c>
      <c r="J873" s="7" t="n">
        <f aca="false">I873*S873*T873*U873</f>
        <v>25200000</v>
      </c>
      <c r="K873" s="3"/>
      <c r="L873" s="3"/>
      <c r="M873" s="3"/>
      <c r="N873" s="9" t="n">
        <v>0</v>
      </c>
      <c r="O873" s="4" t="n">
        <v>0</v>
      </c>
      <c r="P873" s="5" t="n">
        <f aca="false">IF(COUNTIF([1]Base_Jugadores!J$2:J$500,B873)&gt;0,1,0)</f>
        <v>0</v>
      </c>
      <c r="Q873" s="10" t="b">
        <f aca="false">--(COUNTIFS(
   [1]Fichajes_Realizados!A$2:A$5000,A873,
   [1]Fichajes_Realizados!G$2:G$5000,$X$3
)&gt;0)</f>
        <v>0</v>
      </c>
      <c r="R873" s="5" t="n">
        <f aca="false">_xlfn.XLOOKUP(C873, [1]Estado_Equipos!A$2:A$500, [1]Estado_Equipos!J$2:J$500, "")</f>
        <v>76</v>
      </c>
      <c r="S873" s="5" t="n">
        <f aca="false">IF(H873&lt;=16,1.45,
IF(H873&gt;=41,0.3,
CHOOSE(ROUNDDOWN((H873-16)/2,0)+1,
1.45,1.38,1.3,1.23,1.17,1.15,1.12,1.05,0.95,0.8,0.6,0.4,0.3)))</f>
        <v>1.05</v>
      </c>
      <c r="T873" s="5" t="n">
        <f aca="false">CHOOSE(N873+1,1.2,1,0.85,0.7)</f>
        <v>1.2</v>
      </c>
      <c r="U873" s="5" t="n">
        <f aca="false">IF(F873="PO",0.6,
IF(F873="CT",0.75,
IF(F873="LI",0.8,
IF(F873="LD",0.8,
IF(F873="MCD",0.85,
IF(F873="MC",0.95,
IF(F873="MO",1.05,
IF(F873="EI",1.1,
IF(F873="ED",1.1,
IF(F873="SD",1.15,
IF(F873="DC",1.2,0)))))))))))</f>
        <v>0.8</v>
      </c>
    </row>
    <row r="874" customFormat="false" ht="16.4" hidden="false" customHeight="false" outlineLevel="0" collapsed="false">
      <c r="A874" s="1" t="n">
        <v>873</v>
      </c>
      <c r="B874" s="5" t="str">
        <f aca="false">[1]Base_Jugadores!B874</f>
        <v>Manuel Ugarte</v>
      </c>
      <c r="C874" s="5" t="str">
        <f aca="false">IFERROR(
   _xlfn.XLOOKUP(VALUE(A874),[1]Fichajes_Realizados!A$2:A$50000,[1]Fichajes_Realizados!D$2:D$50000,,0,-1),
   _xlfn.XLOOKUP(VALUE(A874),[1]Base_Jugadores!A$2:A$50000,[1]Base_Jugadores!C$2:C$50000)
)</f>
        <v>Manchester United</v>
      </c>
      <c r="D874" s="5" t="str">
        <f aca="false">[1]Base_Jugadores!D874</f>
        <v>Uruguay</v>
      </c>
      <c r="E874" s="3"/>
      <c r="F874" s="5" t="str">
        <f aca="false">[1]Base_Jugadores!E874</f>
        <v>MCD</v>
      </c>
      <c r="G874" s="5" t="n">
        <f aca="false">[1]Base_Jugadores!F874</f>
        <v>82</v>
      </c>
      <c r="H874" s="5" t="n">
        <f aca="false">[1]Base_Jugadores!G874</f>
        <v>24</v>
      </c>
      <c r="I874" s="7" t="n">
        <f aca="false" t="array" ref="I874:I874">_xlfn.XLOOKUP(G874,{55;56;57;58;59;60;61;62;63;64;65;66;67;68;69;70;71;72;73;74;75;76;77;78;79;80;81;82;83;84;85;86;87;88;89;90;91;92;93;94;95;96;97;98;99},{100000;130000;160000;190000;220000;250000;300000;350000;400000;450000;500000;600000;700000;800000;900000;1000000;1500000;2000000;3000000;4000000;5000000;6500000;8000000;10000000;12500000;15000000;20000000;25000000;30000000;35000000;40000000;55000000;70000000;80000000;90000000;110000000;130000000;160000000;190000000;220000000;250000000;280000000;310000000;340000000;400000000})</f>
        <v>25000000</v>
      </c>
      <c r="J874" s="7" t="n">
        <f aca="false">I874*S874*T874*U874</f>
        <v>29835000</v>
      </c>
      <c r="K874" s="3"/>
      <c r="L874" s="3"/>
      <c r="M874" s="3"/>
      <c r="N874" s="9" t="n">
        <v>0</v>
      </c>
      <c r="O874" s="4" t="n">
        <v>0</v>
      </c>
      <c r="P874" s="5" t="n">
        <f aca="false">IF(COUNTIF([1]Base_Jugadores!J$2:J$500,B874)&gt;0,1,0)</f>
        <v>0</v>
      </c>
      <c r="Q874" s="10" t="b">
        <f aca="false">--(COUNTIFS(
   [1]Fichajes_Realizados!A$2:A$5000,A874,
   [1]Fichajes_Realizados!G$2:G$5000,$X$3
)&gt;0)</f>
        <v>0</v>
      </c>
      <c r="R874" s="5" t="n">
        <f aca="false">_xlfn.XLOOKUP(C874, [1]Estado_Equipos!A$2:A$500, [1]Estado_Equipos!J$2:J$500, "")</f>
        <v>76</v>
      </c>
      <c r="S874" s="5" t="n">
        <f aca="false">IF(H874&lt;=16,1.45,
IF(H874&gt;=41,0.3,
CHOOSE(ROUNDDOWN((H874-16)/2,0)+1,
1.45,1.38,1.3,1.23,1.17,1.15,1.12,1.05,0.95,0.8,0.6,0.4,0.3)))</f>
        <v>1.17</v>
      </c>
      <c r="T874" s="5" t="n">
        <f aca="false">CHOOSE(N874+1,1.2,1,0.85,0.7)</f>
        <v>1.2</v>
      </c>
      <c r="U874" s="5" t="n">
        <f aca="false">IF(F874="PO",0.6,
IF(F874="CT",0.75,
IF(F874="LI",0.8,
IF(F874="LD",0.8,
IF(F874="MCD",0.85,
IF(F874="MC",0.95,
IF(F874="MO",1.05,
IF(F874="EI",1.1,
IF(F874="ED",1.1,
IF(F874="SD",1.15,
IF(F874="DC",1.2,0)))))))))))</f>
        <v>0.85</v>
      </c>
    </row>
    <row r="875" customFormat="false" ht="16.4" hidden="false" customHeight="false" outlineLevel="0" collapsed="false">
      <c r="A875" s="1" t="n">
        <v>874</v>
      </c>
      <c r="B875" s="5" t="str">
        <f aca="false">[1]Base_Jugadores!B875</f>
        <v>Mason Mount</v>
      </c>
      <c r="C875" s="5" t="str">
        <f aca="false">IFERROR(
   _xlfn.XLOOKUP(VALUE(A875),[1]Fichajes_Realizados!A$2:A$50000,[1]Fichajes_Realizados!D$2:D$50000,,0,-1),
   _xlfn.XLOOKUP(VALUE(A875),[1]Base_Jugadores!A$2:A$50000,[1]Base_Jugadores!C$2:C$50000)
)</f>
        <v>Manchester United</v>
      </c>
      <c r="D875" s="5" t="str">
        <f aca="false">[1]Base_Jugadores!D875</f>
        <v>Inglaterra</v>
      </c>
      <c r="E875" s="3"/>
      <c r="F875" s="5" t="str">
        <f aca="false">[1]Base_Jugadores!E875</f>
        <v>MO</v>
      </c>
      <c r="G875" s="5" t="n">
        <f aca="false">[1]Base_Jugadores!F875</f>
        <v>78</v>
      </c>
      <c r="H875" s="5" t="n">
        <f aca="false">[1]Base_Jugadores!G875</f>
        <v>26</v>
      </c>
      <c r="I875" s="7" t="n">
        <f aca="false" t="array" ref="I875:I875">_xlfn.XLOOKUP(G875,{55;56;57;58;59;60;61;62;63;64;65;66;67;68;69;70;71;72;73;74;75;76;77;78;79;80;81;82;83;84;85;86;87;88;89;90;91;92;93;94;95;96;97;98;99},{100000;130000;160000;190000;220000;250000;300000;350000;400000;450000;500000;600000;700000;800000;900000;1000000;1500000;2000000;3000000;4000000;5000000;6500000;8000000;10000000;12500000;15000000;20000000;25000000;30000000;35000000;40000000;55000000;70000000;80000000;90000000;110000000;130000000;160000000;190000000;220000000;250000000;280000000;310000000;340000000;400000000})</f>
        <v>10000000</v>
      </c>
      <c r="J875" s="7" t="n">
        <f aca="false">I875*S875*T875*U875</f>
        <v>10263750</v>
      </c>
      <c r="K875" s="3"/>
      <c r="L875" s="3"/>
      <c r="M875" s="3"/>
      <c r="N875" s="9" t="n">
        <v>2</v>
      </c>
      <c r="O875" s="4" t="n">
        <v>0</v>
      </c>
      <c r="P875" s="5" t="n">
        <f aca="false">IF(COUNTIF([1]Base_Jugadores!J$2:J$500,B875)&gt;0,1,0)</f>
        <v>0</v>
      </c>
      <c r="Q875" s="10" t="b">
        <f aca="false">--(COUNTIFS(
   [1]Fichajes_Realizados!A$2:A$5000,A875,
   [1]Fichajes_Realizados!G$2:G$5000,$X$3
)&gt;0)</f>
        <v>0</v>
      </c>
      <c r="R875" s="5" t="n">
        <f aca="false">_xlfn.XLOOKUP(C875, [1]Estado_Equipos!A$2:A$500, [1]Estado_Equipos!J$2:J$500, "")</f>
        <v>76</v>
      </c>
      <c r="S875" s="5" t="n">
        <f aca="false">IF(H875&lt;=16,1.45,
IF(H875&gt;=41,0.3,
CHOOSE(ROUNDDOWN((H875-16)/2,0)+1,
1.45,1.38,1.3,1.23,1.17,1.15,1.12,1.05,0.95,0.8,0.6,0.4,0.3)))</f>
        <v>1.15</v>
      </c>
      <c r="T875" s="5" t="n">
        <f aca="false">CHOOSE(N875+1,1.2,1,0.85,0.7)</f>
        <v>0.85</v>
      </c>
      <c r="U875" s="5" t="n">
        <f aca="false">IF(F875="PO",0.6,
IF(F875="CT",0.75,
IF(F875="LI",0.8,
IF(F875="LD",0.8,
IF(F875="MCD",0.85,
IF(F875="MC",0.95,
IF(F875="MO",1.05,
IF(F875="EI",1.1,
IF(F875="ED",1.1,
IF(F875="SD",1.15,
IF(F875="DC",1.2,0)))))))))))</f>
        <v>1.05</v>
      </c>
    </row>
    <row r="876" customFormat="false" ht="16.4" hidden="false" customHeight="false" outlineLevel="0" collapsed="false">
      <c r="A876" s="1" t="n">
        <v>875</v>
      </c>
      <c r="B876" s="5" t="str">
        <f aca="false">[1]Base_Jugadores!B876</f>
        <v>Matheus Cunha</v>
      </c>
      <c r="C876" s="5" t="str">
        <f aca="false">IFERROR(
   _xlfn.XLOOKUP(VALUE(A876),[1]Fichajes_Realizados!A$2:A$50000,[1]Fichajes_Realizados!D$2:D$50000,,0,-1),
   _xlfn.XLOOKUP(VALUE(A876),[1]Base_Jugadores!A$2:A$50000,[1]Base_Jugadores!C$2:C$50000)
)</f>
        <v>Manchester United</v>
      </c>
      <c r="D876" s="5" t="str">
        <f aca="false">[1]Base_Jugadores!D876</f>
        <v>Brasil</v>
      </c>
      <c r="E876" s="3"/>
      <c r="F876" s="5" t="str">
        <f aca="false">[1]Base_Jugadores!E876</f>
        <v>DC</v>
      </c>
      <c r="G876" s="5" t="n">
        <f aca="false">[1]Base_Jugadores!F876</f>
        <v>83</v>
      </c>
      <c r="H876" s="5" t="n">
        <f aca="false">[1]Base_Jugadores!G876</f>
        <v>26</v>
      </c>
      <c r="I876" s="7" t="n">
        <f aca="false" t="array" ref="I876:I876">_xlfn.XLOOKUP(G876,{55;56;57;58;59;60;61;62;63;64;65;66;67;68;69;70;71;72;73;74;75;76;77;78;79;80;81;82;83;84;85;86;87;88;89;90;91;92;93;94;95;96;97;98;99},{100000;130000;160000;190000;220000;250000;300000;350000;400000;450000;500000;600000;700000;800000;900000;1000000;1500000;2000000;3000000;4000000;5000000;6500000;8000000;10000000;12500000;15000000;20000000;25000000;30000000;35000000;40000000;55000000;70000000;80000000;90000000;110000000;130000000;160000000;190000000;220000000;250000000;280000000;310000000;340000000;400000000})</f>
        <v>30000000</v>
      </c>
      <c r="J876" s="7" t="n">
        <f aca="false">I876*S876*T876*U876</f>
        <v>49680000</v>
      </c>
      <c r="K876" s="3"/>
      <c r="L876" s="3"/>
      <c r="M876" s="3"/>
      <c r="N876" s="9" t="n">
        <v>0</v>
      </c>
      <c r="O876" s="4" t="n">
        <v>0</v>
      </c>
      <c r="P876" s="5" t="n">
        <f aca="false">IF(COUNTIF([1]Base_Jugadores!J$2:J$500,B876)&gt;0,1,0)</f>
        <v>0</v>
      </c>
      <c r="Q876" s="10" t="b">
        <f aca="false">--(COUNTIFS(
   [1]Fichajes_Realizados!A$2:A$5000,A876,
   [1]Fichajes_Realizados!G$2:G$5000,$X$3
)&gt;0)</f>
        <v>0</v>
      </c>
      <c r="R876" s="5" t="n">
        <f aca="false">_xlfn.XLOOKUP(C876, [1]Estado_Equipos!A$2:A$500, [1]Estado_Equipos!J$2:J$500, "")</f>
        <v>76</v>
      </c>
      <c r="S876" s="5" t="n">
        <f aca="false">IF(H876&lt;=16,1.45,
IF(H876&gt;=41,0.3,
CHOOSE(ROUNDDOWN((H876-16)/2,0)+1,
1.45,1.38,1.3,1.23,1.17,1.15,1.12,1.05,0.95,0.8,0.6,0.4,0.3)))</f>
        <v>1.15</v>
      </c>
      <c r="T876" s="5" t="n">
        <f aca="false">CHOOSE(N876+1,1.2,1,0.85,0.7)</f>
        <v>1.2</v>
      </c>
      <c r="U876" s="5" t="n">
        <f aca="false">IF(F876="PO",0.6,
IF(F876="CT",0.75,
IF(F876="LI",0.8,
IF(F876="LD",0.8,
IF(F876="MCD",0.85,
IF(F876="MC",0.95,
IF(F876="MO",1.05,
IF(F876="EI",1.1,
IF(F876="ED",1.1,
IF(F876="SD",1.15,
IF(F876="DC",1.2,0)))))))))))</f>
        <v>1.2</v>
      </c>
    </row>
    <row r="877" customFormat="false" ht="16.4" hidden="false" customHeight="false" outlineLevel="0" collapsed="false">
      <c r="A877" s="1" t="n">
        <v>876</v>
      </c>
      <c r="B877" s="5" t="str">
        <f aca="false">[1]Base_Jugadores!B877</f>
        <v>Matthijs de Ligt</v>
      </c>
      <c r="C877" s="5" t="str">
        <f aca="false">IFERROR(
   _xlfn.XLOOKUP(VALUE(A877),[1]Fichajes_Realizados!A$2:A$50000,[1]Fichajes_Realizados!D$2:D$50000,,0,-1),
   _xlfn.XLOOKUP(VALUE(A877),[1]Base_Jugadores!A$2:A$50000,[1]Base_Jugadores!C$2:C$50000)
)</f>
        <v>Manchester United</v>
      </c>
      <c r="D877" s="5" t="str">
        <f aca="false">[1]Base_Jugadores!D877</f>
        <v>Países Bajos</v>
      </c>
      <c r="E877" s="3"/>
      <c r="F877" s="5" t="str">
        <f aca="false">[1]Base_Jugadores!E877</f>
        <v>CT</v>
      </c>
      <c r="G877" s="5" t="n">
        <f aca="false">[1]Base_Jugadores!F877</f>
        <v>84</v>
      </c>
      <c r="H877" s="5" t="n">
        <f aca="false">[1]Base_Jugadores!G877</f>
        <v>26</v>
      </c>
      <c r="I877" s="7" t="n">
        <f aca="false" t="array" ref="I877:I877">_xlfn.XLOOKUP(G877,{55;56;57;58;59;60;61;62;63;64;65;66;67;68;69;70;71;72;73;74;75;76;77;78;79;80;81;82;83;84;85;86;87;88;89;90;91;92;93;94;95;96;97;98;99},{100000;130000;160000;190000;220000;250000;300000;350000;400000;450000;500000;600000;700000;800000;900000;1000000;1500000;2000000;3000000;4000000;5000000;6500000;8000000;10000000;12500000;15000000;20000000;25000000;30000000;35000000;40000000;55000000;70000000;80000000;90000000;110000000;130000000;160000000;190000000;220000000;250000000;280000000;310000000;340000000;400000000})</f>
        <v>35000000</v>
      </c>
      <c r="J877" s="7" t="n">
        <f aca="false">I877*S877*T877*U877</f>
        <v>36225000</v>
      </c>
      <c r="K877" s="3"/>
      <c r="L877" s="3"/>
      <c r="M877" s="3"/>
      <c r="N877" s="9" t="n">
        <v>0</v>
      </c>
      <c r="O877" s="4" t="n">
        <v>0</v>
      </c>
      <c r="P877" s="5" t="n">
        <f aca="false">IF(COUNTIF([1]Base_Jugadores!J$2:J$500,B877)&gt;0,1,0)</f>
        <v>0</v>
      </c>
      <c r="Q877" s="10" t="b">
        <f aca="false">--(COUNTIFS(
   [1]Fichajes_Realizados!A$2:A$5000,A877,
   [1]Fichajes_Realizados!G$2:G$5000,$X$3
)&gt;0)</f>
        <v>0</v>
      </c>
      <c r="R877" s="5" t="n">
        <f aca="false">_xlfn.XLOOKUP(C877, [1]Estado_Equipos!A$2:A$500, [1]Estado_Equipos!J$2:J$500, "")</f>
        <v>76</v>
      </c>
      <c r="S877" s="5" t="n">
        <f aca="false">IF(H877&lt;=16,1.45,
IF(H877&gt;=41,0.3,
CHOOSE(ROUNDDOWN((H877-16)/2,0)+1,
1.45,1.38,1.3,1.23,1.17,1.15,1.12,1.05,0.95,0.8,0.6,0.4,0.3)))</f>
        <v>1.15</v>
      </c>
      <c r="T877" s="5" t="n">
        <f aca="false">CHOOSE(N877+1,1.2,1,0.85,0.7)</f>
        <v>1.2</v>
      </c>
      <c r="U877" s="5" t="n">
        <f aca="false">IF(F877="PO",0.6,
IF(F877="CT",0.75,
IF(F877="LI",0.8,
IF(F877="LD",0.8,
IF(F877="MCD",0.85,
IF(F877="MC",0.95,
IF(F877="MO",1.05,
IF(F877="EI",1.1,
IF(F877="ED",1.1,
IF(F877="SD",1.15,
IF(F877="DC",1.2,0)))))))))))</f>
        <v>0.75</v>
      </c>
    </row>
    <row r="878" customFormat="false" ht="16.4" hidden="false" customHeight="false" outlineLevel="0" collapsed="false">
      <c r="A878" s="1" t="n">
        <v>877</v>
      </c>
      <c r="B878" s="5" t="str">
        <f aca="false">[1]Base_Jugadores!B878</f>
        <v>Noussair Mazraoui</v>
      </c>
      <c r="C878" s="5" t="str">
        <f aca="false">IFERROR(
   _xlfn.XLOOKUP(VALUE(A878),[1]Fichajes_Realizados!A$2:A$50000,[1]Fichajes_Realizados!D$2:D$50000,,0,-1),
   _xlfn.XLOOKUP(VALUE(A878),[1]Base_Jugadores!A$2:A$50000,[1]Base_Jugadores!C$2:C$50000)
)</f>
        <v>Manchester United</v>
      </c>
      <c r="D878" s="5" t="str">
        <f aca="false">[1]Base_Jugadores!D878</f>
        <v>Marruecos</v>
      </c>
      <c r="E878" s="3"/>
      <c r="F878" s="5" t="str">
        <f aca="false">[1]Base_Jugadores!E878</f>
        <v>LD</v>
      </c>
      <c r="G878" s="5" t="n">
        <f aca="false">[1]Base_Jugadores!F878</f>
        <v>81</v>
      </c>
      <c r="H878" s="5" t="n">
        <f aca="false">[1]Base_Jugadores!G878</f>
        <v>28</v>
      </c>
      <c r="I878" s="7" t="n">
        <f aca="false" t="array" ref="I878:I878">_xlfn.XLOOKUP(G878,{55;56;57;58;59;60;61;62;63;64;65;66;67;68;69;70;71;72;73;74;75;76;77;78;79;80;81;82;83;84;85;86;87;88;89;90;91;92;93;94;95;96;97;98;99},{100000;130000;160000;190000;220000;250000;300000;350000;400000;450000;500000;600000;700000;800000;900000;1000000;1500000;2000000;3000000;4000000;5000000;6500000;8000000;10000000;12500000;15000000;20000000;25000000;30000000;35000000;40000000;55000000;70000000;80000000;90000000;110000000;130000000;160000000;190000000;220000000;250000000;280000000;310000000;340000000;400000000})</f>
        <v>20000000</v>
      </c>
      <c r="J878" s="7" t="n">
        <f aca="false">I878*S878*T878*U878</f>
        <v>17920000</v>
      </c>
      <c r="K878" s="3"/>
      <c r="L878" s="3"/>
      <c r="M878" s="3"/>
      <c r="N878" s="9" t="n">
        <v>1</v>
      </c>
      <c r="O878" s="4" t="n">
        <v>0</v>
      </c>
      <c r="P878" s="5" t="n">
        <f aca="false">IF(COUNTIF([1]Base_Jugadores!J$2:J$500,B878)&gt;0,1,0)</f>
        <v>0</v>
      </c>
      <c r="Q878" s="10" t="b">
        <f aca="false">--(COUNTIFS(
   [1]Fichajes_Realizados!A$2:A$5000,A878,
   [1]Fichajes_Realizados!G$2:G$5000,$X$3
)&gt;0)</f>
        <v>0</v>
      </c>
      <c r="R878" s="5" t="n">
        <f aca="false">_xlfn.XLOOKUP(C878, [1]Estado_Equipos!A$2:A$500, [1]Estado_Equipos!J$2:J$500, "")</f>
        <v>76</v>
      </c>
      <c r="S878" s="5" t="n">
        <f aca="false">IF(H878&lt;=16,1.45,
IF(H878&gt;=41,0.3,
CHOOSE(ROUNDDOWN((H878-16)/2,0)+1,
1.45,1.38,1.3,1.23,1.17,1.15,1.12,1.05,0.95,0.8,0.6,0.4,0.3)))</f>
        <v>1.12</v>
      </c>
      <c r="T878" s="5" t="n">
        <f aca="false">CHOOSE(N878+1,1.2,1,0.85,0.7)</f>
        <v>1</v>
      </c>
      <c r="U878" s="5" t="n">
        <f aca="false">IF(F878="PO",0.6,
IF(F878="CT",0.75,
IF(F878="LI",0.8,
IF(F878="LD",0.8,
IF(F878="MCD",0.85,
IF(F878="MC",0.95,
IF(F878="MO",1.05,
IF(F878="EI",1.1,
IF(F878="ED",1.1,
IF(F878="SD",1.15,
IF(F878="DC",1.2,0)))))))))))</f>
        <v>0.8</v>
      </c>
    </row>
    <row r="879" customFormat="false" ht="16.4" hidden="false" customHeight="false" outlineLevel="0" collapsed="false">
      <c r="A879" s="1" t="n">
        <v>878</v>
      </c>
      <c r="B879" s="5" t="str">
        <f aca="false">[1]Base_Jugadores!B879</f>
        <v>Patrick Dorgu</v>
      </c>
      <c r="C879" s="5" t="str">
        <f aca="false">IFERROR(
   _xlfn.XLOOKUP(VALUE(A879),[1]Fichajes_Realizados!A$2:A$50000,[1]Fichajes_Realizados!D$2:D$50000,,0,-1),
   _xlfn.XLOOKUP(VALUE(A879),[1]Base_Jugadores!A$2:A$50000,[1]Base_Jugadores!C$2:C$50000)
)</f>
        <v>Manchester United</v>
      </c>
      <c r="D879" s="5" t="str">
        <f aca="false">[1]Base_Jugadores!D879</f>
        <v>Dinamarca</v>
      </c>
      <c r="E879" s="3"/>
      <c r="F879" s="5" t="str">
        <f aca="false">[1]Base_Jugadores!E879</f>
        <v>LI</v>
      </c>
      <c r="G879" s="5" t="n">
        <f aca="false">[1]Base_Jugadores!F879</f>
        <v>77</v>
      </c>
      <c r="H879" s="5" t="n">
        <f aca="false">[1]Base_Jugadores!G879</f>
        <v>21</v>
      </c>
      <c r="I879" s="7" t="n">
        <f aca="false" t="array" ref="I879:I879">_xlfn.XLOOKUP(G879,{55;56;57;58;59;60;61;62;63;64;65;66;67;68;69;70;71;72;73;74;75;76;77;78;79;80;81;82;83;84;85;86;87;88;89;90;91;92;93;94;95;96;97;98;99},{100000;130000;160000;190000;220000;250000;300000;350000;400000;450000;500000;600000;700000;800000;900000;1000000;1500000;2000000;3000000;4000000;5000000;6500000;8000000;10000000;12500000;15000000;20000000;25000000;30000000;35000000;40000000;55000000;70000000;80000000;90000000;110000000;130000000;160000000;190000000;220000000;250000000;280000000;310000000;340000000;400000000})</f>
        <v>8000000</v>
      </c>
      <c r="J879" s="7" t="n">
        <f aca="false">I879*S879*T879*U879</f>
        <v>7072000</v>
      </c>
      <c r="K879" s="3"/>
      <c r="L879" s="3"/>
      <c r="M879" s="3"/>
      <c r="N879" s="9" t="n">
        <v>2</v>
      </c>
      <c r="O879" s="4" t="n">
        <v>1</v>
      </c>
      <c r="P879" s="5" t="n">
        <f aca="false">IF(COUNTIF([1]Base_Jugadores!J$2:J$500,B879)&gt;0,1,0)</f>
        <v>0</v>
      </c>
      <c r="Q879" s="10" t="b">
        <f aca="false">--(COUNTIFS(
   [1]Fichajes_Realizados!A$2:A$5000,A879,
   [1]Fichajes_Realizados!G$2:G$5000,$X$3
)&gt;0)</f>
        <v>0</v>
      </c>
      <c r="R879" s="5" t="n">
        <f aca="false">_xlfn.XLOOKUP(C879, [1]Estado_Equipos!A$2:A$500, [1]Estado_Equipos!J$2:J$500, "")</f>
        <v>76</v>
      </c>
      <c r="S879" s="5" t="n">
        <f aca="false">IF(H879&lt;=16,1.45,
IF(H879&gt;=41,0.3,
CHOOSE(ROUNDDOWN((H879-16)/2,0)+1,
1.45,1.38,1.3,1.23,1.17,1.15,1.12,1.05,0.95,0.8,0.6,0.4,0.3)))</f>
        <v>1.3</v>
      </c>
      <c r="T879" s="5" t="n">
        <f aca="false">CHOOSE(N879+1,1.2,1,0.85,0.7)</f>
        <v>0.85</v>
      </c>
      <c r="U879" s="5" t="n">
        <f aca="false">IF(F879="PO",0.6,
IF(F879="CT",0.75,
IF(F879="LI",0.8,
IF(F879="LD",0.8,
IF(F879="MCD",0.85,
IF(F879="MC",0.95,
IF(F879="MO",1.05,
IF(F879="EI",1.1,
IF(F879="ED",1.1,
IF(F879="SD",1.15,
IF(F879="DC",1.2,0)))))))))))</f>
        <v>0.8</v>
      </c>
    </row>
    <row r="880" customFormat="false" ht="16.4" hidden="false" customHeight="false" outlineLevel="0" collapsed="false">
      <c r="A880" s="1" t="n">
        <v>879</v>
      </c>
      <c r="B880" s="5" t="str">
        <f aca="false">[1]Base_Jugadores!B880</f>
        <v>Senne Lammens</v>
      </c>
      <c r="C880" s="5" t="str">
        <f aca="false">IFERROR(
   _xlfn.XLOOKUP(VALUE(A880),[1]Fichajes_Realizados!A$2:A$50000,[1]Fichajes_Realizados!D$2:D$50000,,0,-1),
   _xlfn.XLOOKUP(VALUE(A880),[1]Base_Jugadores!A$2:A$50000,[1]Base_Jugadores!C$2:C$50000)
)</f>
        <v>Manchester United</v>
      </c>
      <c r="D880" s="5" t="str">
        <f aca="false">[1]Base_Jugadores!D880</f>
        <v>Bélgica</v>
      </c>
      <c r="E880" s="3"/>
      <c r="F880" s="5" t="str">
        <f aca="false">[1]Base_Jugadores!E880</f>
        <v>PO</v>
      </c>
      <c r="G880" s="5" t="n">
        <f aca="false">[1]Base_Jugadores!F880</f>
        <v>76</v>
      </c>
      <c r="H880" s="5" t="n">
        <f aca="false">[1]Base_Jugadores!G880</f>
        <v>23</v>
      </c>
      <c r="I880" s="7" t="n">
        <f aca="false" t="array" ref="I880:I880">_xlfn.XLOOKUP(G880,{55;56;57;58;59;60;61;62;63;64;65;66;67;68;69;70;71;72;73;74;75;76;77;78;79;80;81;82;83;84;85;86;87;88;89;90;91;92;93;94;95;96;97;98;99},{100000;130000;160000;190000;220000;250000;300000;350000;400000;450000;500000;600000;700000;800000;900000;1000000;1500000;2000000;3000000;4000000;5000000;6500000;8000000;10000000;12500000;15000000;20000000;25000000;30000000;35000000;40000000;55000000;70000000;80000000;90000000;110000000;130000000;160000000;190000000;220000000;250000000;280000000;310000000;340000000;400000000})</f>
        <v>6500000</v>
      </c>
      <c r="J880" s="7" t="n">
        <f aca="false">I880*S880*T880*U880</f>
        <v>4077450</v>
      </c>
      <c r="K880" s="3"/>
      <c r="L880" s="3"/>
      <c r="M880" s="3"/>
      <c r="N880" s="9" t="n">
        <v>2</v>
      </c>
      <c r="O880" s="4" t="n">
        <v>0</v>
      </c>
      <c r="P880" s="5" t="n">
        <f aca="false">IF(COUNTIF([1]Base_Jugadores!J$2:J$500,B880)&gt;0,1,0)</f>
        <v>0</v>
      </c>
      <c r="Q880" s="10" t="b">
        <f aca="false">--(COUNTIFS(
   [1]Fichajes_Realizados!A$2:A$5000,A880,
   [1]Fichajes_Realizados!G$2:G$5000,$X$3
)&gt;0)</f>
        <v>0</v>
      </c>
      <c r="R880" s="5" t="n">
        <f aca="false">_xlfn.XLOOKUP(C880, [1]Estado_Equipos!A$2:A$500, [1]Estado_Equipos!J$2:J$500, "")</f>
        <v>76</v>
      </c>
      <c r="S880" s="5" t="n">
        <f aca="false">IF(H880&lt;=16,1.45,
IF(H880&gt;=41,0.3,
CHOOSE(ROUNDDOWN((H880-16)/2,0)+1,
1.45,1.38,1.3,1.23,1.17,1.15,1.12,1.05,0.95,0.8,0.6,0.4,0.3)))</f>
        <v>1.23</v>
      </c>
      <c r="T880" s="5" t="n">
        <f aca="false">CHOOSE(N880+1,1.2,1,0.85,0.7)</f>
        <v>0.85</v>
      </c>
      <c r="U880" s="5" t="n">
        <f aca="false">IF(F880="PO",0.6,
IF(F880="CT",0.75,
IF(F880="LI",0.8,
IF(F880="LD",0.8,
IF(F880="MCD",0.85,
IF(F880="MC",0.95,
IF(F880="MO",1.05,
IF(F880="EI",1.1,
IF(F880="ED",1.1,
IF(F880="SD",1.15,
IF(F880="DC",1.2,0)))))))))))</f>
        <v>0.6</v>
      </c>
    </row>
    <row r="881" customFormat="false" ht="16.4" hidden="false" customHeight="false" outlineLevel="0" collapsed="false">
      <c r="A881" s="1" t="n">
        <v>880</v>
      </c>
      <c r="B881" s="5" t="str">
        <f aca="false">[1]Base_Jugadores!B881</f>
        <v>Tom Heaton</v>
      </c>
      <c r="C881" s="5" t="str">
        <f aca="false">IFERROR(
   _xlfn.XLOOKUP(VALUE(A881),[1]Fichajes_Realizados!A$2:A$50000,[1]Fichajes_Realizados!D$2:D$50000,,0,-1),
   _xlfn.XLOOKUP(VALUE(A881),[1]Base_Jugadores!A$2:A$50000,[1]Base_Jugadores!C$2:C$50000)
)</f>
        <v>Manchester United</v>
      </c>
      <c r="D881" s="5" t="str">
        <f aca="false">[1]Base_Jugadores!D881</f>
        <v>Inglaterra</v>
      </c>
      <c r="E881" s="3"/>
      <c r="F881" s="5" t="str">
        <f aca="false">[1]Base_Jugadores!E881</f>
        <v>PO</v>
      </c>
      <c r="G881" s="5" t="n">
        <f aca="false">[1]Base_Jugadores!F881</f>
        <v>71</v>
      </c>
      <c r="H881" s="5" t="n">
        <f aca="false">[1]Base_Jugadores!G881</f>
        <v>39</v>
      </c>
      <c r="I881" s="7" t="n">
        <f aca="false" t="array" ref="I881:I881">_xlfn.XLOOKUP(G881,{55;56;57;58;59;60;61;62;63;64;65;66;67;68;69;70;71;72;73;74;75;76;77;78;79;80;81;82;83;84;85;86;87;88;89;90;91;92;93;94;95;96;97;98;99},{100000;130000;160000;190000;220000;250000;300000;350000;400000;450000;500000;600000;700000;800000;900000;1000000;1500000;2000000;3000000;4000000;5000000;6500000;8000000;10000000;12500000;15000000;20000000;25000000;30000000;35000000;40000000;55000000;70000000;80000000;90000000;110000000;130000000;160000000;190000000;220000000;250000000;280000000;310000000;340000000;400000000})</f>
        <v>1500000</v>
      </c>
      <c r="J881" s="7" t="n">
        <f aca="false">I881*S881*T881*U881</f>
        <v>306000</v>
      </c>
      <c r="K881" s="3"/>
      <c r="L881" s="3"/>
      <c r="M881" s="3"/>
      <c r="N881" s="9" t="n">
        <v>2</v>
      </c>
      <c r="O881" s="4" t="n">
        <v>0</v>
      </c>
      <c r="P881" s="5" t="n">
        <f aca="false">IF(COUNTIF([1]Base_Jugadores!J$2:J$500,B881)&gt;0,1,0)</f>
        <v>0</v>
      </c>
      <c r="Q881" s="10" t="b">
        <f aca="false">--(COUNTIFS(
   [1]Fichajes_Realizados!A$2:A$5000,A881,
   [1]Fichajes_Realizados!G$2:G$5000,$X$3
)&gt;0)</f>
        <v>0</v>
      </c>
      <c r="R881" s="5" t="n">
        <f aca="false">_xlfn.XLOOKUP(C881, [1]Estado_Equipos!A$2:A$500, [1]Estado_Equipos!J$2:J$500, "")</f>
        <v>76</v>
      </c>
      <c r="S881" s="5" t="n">
        <f aca="false">IF(H881&lt;=16,1.45,
IF(H881&gt;=41,0.3,
CHOOSE(ROUNDDOWN((H881-16)/2,0)+1,
1.45,1.38,1.3,1.23,1.17,1.15,1.12,1.05,0.95,0.8,0.6,0.4,0.3)))</f>
        <v>0.4</v>
      </c>
      <c r="T881" s="5" t="n">
        <f aca="false">CHOOSE(N881+1,1.2,1,0.85,0.7)</f>
        <v>0.85</v>
      </c>
      <c r="U881" s="5" t="n">
        <f aca="false">IF(F881="PO",0.6,
IF(F881="CT",0.75,
IF(F881="LI",0.8,
IF(F881="LD",0.8,
IF(F881="MCD",0.85,
IF(F881="MC",0.95,
IF(F881="MO",1.05,
IF(F881="EI",1.1,
IF(F881="ED",1.1,
IF(F881="SD",1.15,
IF(F881="DC",1.2,0)))))))))))</f>
        <v>0.6</v>
      </c>
    </row>
    <row r="882" customFormat="false" ht="16.4" hidden="false" customHeight="false" outlineLevel="0" collapsed="false">
      <c r="A882" s="1" t="n">
        <v>881</v>
      </c>
      <c r="B882" s="5" t="str">
        <f aca="false">[1]Base_Jugadores!B882</f>
        <v>Tyler Fredricson</v>
      </c>
      <c r="C882" s="5" t="str">
        <f aca="false">IFERROR(
   _xlfn.XLOOKUP(VALUE(A882),[1]Fichajes_Realizados!A$2:A$50000,[1]Fichajes_Realizados!D$2:D$50000,,0,-1),
   _xlfn.XLOOKUP(VALUE(A882),[1]Base_Jugadores!A$2:A$50000,[1]Base_Jugadores!C$2:C$50000)
)</f>
        <v>Manchester United</v>
      </c>
      <c r="D882" s="5" t="str">
        <f aca="false">[1]Base_Jugadores!D882</f>
        <v>Inglaterra</v>
      </c>
      <c r="E882" s="3"/>
      <c r="F882" s="5" t="str">
        <f aca="false">[1]Base_Jugadores!E882</f>
        <v>CT</v>
      </c>
      <c r="G882" s="5" t="n">
        <f aca="false">[1]Base_Jugadores!F882</f>
        <v>58</v>
      </c>
      <c r="H882" s="5" t="n">
        <f aca="false">[1]Base_Jugadores!G882</f>
        <v>20</v>
      </c>
      <c r="I882" s="7" t="n">
        <f aca="false" t="array" ref="I882:I882">_xlfn.XLOOKUP(G882,{55;56;57;58;59;60;61;62;63;64;65;66;67;68;69;70;71;72;73;74;75;76;77;78;79;80;81;82;83;84;85;86;87;88;89;90;91;92;93;94;95;96;97;98;99},{100000;130000;160000;190000;220000;250000;300000;350000;400000;450000;500000;600000;700000;800000;900000;1000000;1500000;2000000;3000000;4000000;5000000;6500000;8000000;10000000;12500000;15000000;20000000;25000000;30000000;35000000;40000000;55000000;70000000;80000000;90000000;110000000;130000000;160000000;190000000;220000000;250000000;280000000;310000000;340000000;400000000})</f>
        <v>190000</v>
      </c>
      <c r="J882" s="7" t="n">
        <f aca="false">I882*S882*T882*U882</f>
        <v>157462.5</v>
      </c>
      <c r="K882" s="3"/>
      <c r="L882" s="3"/>
      <c r="M882" s="3"/>
      <c r="N882" s="9" t="n">
        <v>2</v>
      </c>
      <c r="O882" s="4" t="n">
        <v>0</v>
      </c>
      <c r="P882" s="5" t="n">
        <f aca="false">IF(COUNTIF([1]Base_Jugadores!J$2:J$500,B882)&gt;0,1,0)</f>
        <v>0</v>
      </c>
      <c r="Q882" s="10" t="b">
        <f aca="false">--(COUNTIFS(
   [1]Fichajes_Realizados!A$2:A$5000,A882,
   [1]Fichajes_Realizados!G$2:G$5000,$X$3
)&gt;0)</f>
        <v>0</v>
      </c>
      <c r="R882" s="5" t="n">
        <f aca="false">_xlfn.XLOOKUP(C882, [1]Estado_Equipos!A$2:A$500, [1]Estado_Equipos!J$2:J$500, "")</f>
        <v>76</v>
      </c>
      <c r="S882" s="5" t="n">
        <f aca="false">IF(H882&lt;=16,1.45,
IF(H882&gt;=41,0.3,
CHOOSE(ROUNDDOWN((H882-16)/2,0)+1,
1.45,1.38,1.3,1.23,1.17,1.15,1.12,1.05,0.95,0.8,0.6,0.4,0.3)))</f>
        <v>1.3</v>
      </c>
      <c r="T882" s="5" t="n">
        <f aca="false">CHOOSE(N882+1,1.2,1,0.85,0.7)</f>
        <v>0.85</v>
      </c>
      <c r="U882" s="5" t="n">
        <f aca="false">IF(F882="PO",0.6,
IF(F882="CT",0.75,
IF(F882="LI",0.8,
IF(F882="LD",0.8,
IF(F882="MCD",0.85,
IF(F882="MC",0.95,
IF(F882="MO",1.05,
IF(F882="EI",1.1,
IF(F882="ED",1.1,
IF(F882="SD",1.15,
IF(F882="DC",1.2,0)))))))))))</f>
        <v>0.75</v>
      </c>
    </row>
    <row r="883" customFormat="false" ht="16.4" hidden="false" customHeight="false" outlineLevel="0" collapsed="false">
      <c r="A883" s="1" t="n">
        <v>882</v>
      </c>
      <c r="B883" s="5" t="str">
        <f aca="false">[1]Base_Jugadores!B883</f>
        <v>Tyrell Malacia</v>
      </c>
      <c r="C883" s="5" t="str">
        <f aca="false">IFERROR(
   _xlfn.XLOOKUP(VALUE(A883),[1]Fichajes_Realizados!A$2:A$50000,[1]Fichajes_Realizados!D$2:D$50000,,0,-1),
   _xlfn.XLOOKUP(VALUE(A883),[1]Base_Jugadores!A$2:A$50000,[1]Base_Jugadores!C$2:C$50000)
)</f>
        <v>Manchester United</v>
      </c>
      <c r="D883" s="5" t="str">
        <f aca="false">[1]Base_Jugadores!D883</f>
        <v>Países Bajos</v>
      </c>
      <c r="E883" s="3"/>
      <c r="F883" s="5" t="str">
        <f aca="false">[1]Base_Jugadores!E883</f>
        <v>LI</v>
      </c>
      <c r="G883" s="5" t="n">
        <f aca="false">[1]Base_Jugadores!F883</f>
        <v>76</v>
      </c>
      <c r="H883" s="5" t="n">
        <f aca="false">[1]Base_Jugadores!G883</f>
        <v>26</v>
      </c>
      <c r="I883" s="7" t="n">
        <f aca="false" t="array" ref="I883:I883">_xlfn.XLOOKUP(G883,{55;56;57;58;59;60;61;62;63;64;65;66;67;68;69;70;71;72;73;74;75;76;77;78;79;80;81;82;83;84;85;86;87;88;89;90;91;92;93;94;95;96;97;98;99},{100000;130000;160000;190000;220000;250000;300000;350000;400000;450000;500000;600000;700000;800000;900000;1000000;1500000;2000000;3000000;4000000;5000000;6500000;8000000;10000000;12500000;15000000;20000000;25000000;30000000;35000000;40000000;55000000;70000000;80000000;90000000;110000000;130000000;160000000;190000000;220000000;250000000;280000000;310000000;340000000;400000000})</f>
        <v>6500000</v>
      </c>
      <c r="J883" s="7" t="n">
        <f aca="false">I883*S883*T883*U883</f>
        <v>5083000</v>
      </c>
      <c r="K883" s="3"/>
      <c r="L883" s="3"/>
      <c r="M883" s="3"/>
      <c r="N883" s="9" t="n">
        <v>2</v>
      </c>
      <c r="O883" s="4" t="n">
        <v>0</v>
      </c>
      <c r="P883" s="5" t="n">
        <f aca="false">IF(COUNTIF([1]Base_Jugadores!J$2:J$500,B883)&gt;0,1,0)</f>
        <v>0</v>
      </c>
      <c r="Q883" s="10" t="b">
        <f aca="false">--(COUNTIFS(
   [1]Fichajes_Realizados!A$2:A$5000,A883,
   [1]Fichajes_Realizados!G$2:G$5000,$X$3
)&gt;0)</f>
        <v>0</v>
      </c>
      <c r="R883" s="5" t="n">
        <f aca="false">_xlfn.XLOOKUP(C883, [1]Estado_Equipos!A$2:A$500, [1]Estado_Equipos!J$2:J$500, "")</f>
        <v>76</v>
      </c>
      <c r="S883" s="5" t="n">
        <f aca="false">IF(H883&lt;=16,1.45,
IF(H883&gt;=41,0.3,
CHOOSE(ROUNDDOWN((H883-16)/2,0)+1,
1.45,1.38,1.3,1.23,1.17,1.15,1.12,1.05,0.95,0.8,0.6,0.4,0.3)))</f>
        <v>1.15</v>
      </c>
      <c r="T883" s="5" t="n">
        <f aca="false">CHOOSE(N883+1,1.2,1,0.85,0.7)</f>
        <v>0.85</v>
      </c>
      <c r="U883" s="5" t="n">
        <f aca="false">IF(F883="PO",0.6,
IF(F883="CT",0.75,
IF(F883="LI",0.8,
IF(F883="LD",0.8,
IF(F883="MCD",0.85,
IF(F883="MC",0.95,
IF(F883="MO",1.05,
IF(F883="EI",1.1,
IF(F883="ED",1.1,
IF(F883="SD",1.15,
IF(F883="DC",1.2,0)))))))))))</f>
        <v>0.8</v>
      </c>
    </row>
    <row r="884" customFormat="false" ht="16.4" hidden="false" customHeight="false" outlineLevel="0" collapsed="false">
      <c r="A884" s="1" t="n">
        <v>883</v>
      </c>
      <c r="B884" s="5" t="str">
        <f aca="false">[1]Base_Jugadores!B884</f>
        <v>Aaron Ramsdale</v>
      </c>
      <c r="C884" s="5" t="str">
        <f aca="false">IFERROR(
   _xlfn.XLOOKUP(VALUE(A884),[1]Fichajes_Realizados!A$2:A$50000,[1]Fichajes_Realizados!D$2:D$50000,,0,-1),
   _xlfn.XLOOKUP(VALUE(A884),[1]Base_Jugadores!A$2:A$50000,[1]Base_Jugadores!C$2:C$50000)
)</f>
        <v>Newclastle United</v>
      </c>
      <c r="D884" s="5" t="str">
        <f aca="false">[1]Base_Jugadores!D884</f>
        <v>Inglaterra</v>
      </c>
      <c r="E884" s="3"/>
      <c r="F884" s="5" t="str">
        <f aca="false">[1]Base_Jugadores!E884</f>
        <v>PO</v>
      </c>
      <c r="G884" s="5" t="n">
        <f aca="false">[1]Base_Jugadores!F884</f>
        <v>81</v>
      </c>
      <c r="H884" s="5" t="n">
        <f aca="false">[1]Base_Jugadores!G884</f>
        <v>27</v>
      </c>
      <c r="I884" s="7" t="n">
        <f aca="false" t="array" ref="I884:I884">_xlfn.XLOOKUP(G884,{55;56;57;58;59;60;61;62;63;64;65;66;67;68;69;70;71;72;73;74;75;76;77;78;79;80;81;82;83;84;85;86;87;88;89;90;91;92;93;94;95;96;97;98;99},{100000;130000;160000;190000;220000;250000;300000;350000;400000;450000;500000;600000;700000;800000;900000;1000000;1500000;2000000;3000000;4000000;5000000;6500000;8000000;10000000;12500000;15000000;20000000;25000000;30000000;35000000;40000000;55000000;70000000;80000000;90000000;110000000;130000000;160000000;190000000;220000000;250000000;280000000;310000000;340000000;400000000})</f>
        <v>20000000</v>
      </c>
      <c r="J884" s="7" t="n">
        <f aca="false">I884*S884*T884*U884</f>
        <v>11730000</v>
      </c>
      <c r="K884" s="3"/>
      <c r="L884" s="3"/>
      <c r="M884" s="3"/>
      <c r="N884" s="9" t="n">
        <v>2</v>
      </c>
      <c r="O884" s="4" t="n">
        <v>0</v>
      </c>
      <c r="P884" s="5" t="n">
        <f aca="false">IF(COUNTIF([1]Base_Jugadores!J$2:J$500,B884)&gt;0,1,0)</f>
        <v>0</v>
      </c>
      <c r="Q884" s="10" t="b">
        <f aca="false">--(COUNTIFS(
   [1]Fichajes_Realizados!A$2:A$5000,A884,
   [1]Fichajes_Realizados!G$2:G$5000,$X$3
)&gt;0)</f>
        <v>0</v>
      </c>
      <c r="R884" s="5" t="n">
        <f aca="false">_xlfn.XLOOKUP(C884, [1]Estado_Equipos!A$2:A$500, [1]Estado_Equipos!J$2:J$500, "")</f>
        <v>77</v>
      </c>
      <c r="S884" s="5" t="n">
        <f aca="false">IF(H884&lt;=16,1.45,
IF(H884&gt;=41,0.3,
CHOOSE(ROUNDDOWN((H884-16)/2,0)+1,
1.45,1.38,1.3,1.23,1.17,1.15,1.12,1.05,0.95,0.8,0.6,0.4,0.3)))</f>
        <v>1.15</v>
      </c>
      <c r="T884" s="5" t="n">
        <f aca="false">CHOOSE(N884+1,1.2,1,0.85,0.7)</f>
        <v>0.85</v>
      </c>
      <c r="U884" s="5" t="n">
        <f aca="false">IF(F884="PO",0.6,
IF(F884="CT",0.75,
IF(F884="LI",0.8,
IF(F884="LD",0.8,
IF(F884="MCD",0.85,
IF(F884="MC",0.95,
IF(F884="MO",1.05,
IF(F884="EI",1.1,
IF(F884="ED",1.1,
IF(F884="SD",1.15,
IF(F884="DC",1.2,0)))))))))))</f>
        <v>0.6</v>
      </c>
    </row>
    <row r="885" customFormat="false" ht="16.4" hidden="false" customHeight="false" outlineLevel="0" collapsed="false">
      <c r="A885" s="1" t="n">
        <v>884</v>
      </c>
      <c r="B885" s="5" t="str">
        <f aca="false">[1]Base_Jugadores!B885</f>
        <v>Alex Murphy</v>
      </c>
      <c r="C885" s="5" t="str">
        <f aca="false">IFERROR(
   _xlfn.XLOOKUP(VALUE(A885),[1]Fichajes_Realizados!A$2:A$50000,[1]Fichajes_Realizados!D$2:D$50000,,0,-1),
   _xlfn.XLOOKUP(VALUE(A885),[1]Base_Jugadores!A$2:A$50000,[1]Base_Jugadores!C$2:C$50000)
)</f>
        <v>Newclastle United</v>
      </c>
      <c r="D885" s="5" t="str">
        <f aca="false">[1]Base_Jugadores!D885</f>
        <v>Irlanda</v>
      </c>
      <c r="E885" s="3"/>
      <c r="F885" s="5" t="str">
        <f aca="false">[1]Base_Jugadores!E885</f>
        <v>LI</v>
      </c>
      <c r="G885" s="5" t="n">
        <f aca="false">[1]Base_Jugadores!F885</f>
        <v>64</v>
      </c>
      <c r="H885" s="5" t="n">
        <f aca="false">[1]Base_Jugadores!G885</f>
        <v>21</v>
      </c>
      <c r="I885" s="7" t="n">
        <f aca="false" t="array" ref="I885:I885">_xlfn.XLOOKUP(G885,{55;56;57;58;59;60;61;62;63;64;65;66;67;68;69;70;71;72;73;74;75;76;77;78;79;80;81;82;83;84;85;86;87;88;89;90;91;92;93;94;95;96;97;98;99},{100000;130000;160000;190000;220000;250000;300000;350000;400000;450000;500000;600000;700000;800000;900000;1000000;1500000;2000000;3000000;4000000;5000000;6500000;8000000;10000000;12500000;15000000;20000000;25000000;30000000;35000000;40000000;55000000;70000000;80000000;90000000;110000000;130000000;160000000;190000000;220000000;250000000;280000000;310000000;340000000;400000000})</f>
        <v>450000</v>
      </c>
      <c r="J885" s="7" t="n">
        <f aca="false">I885*S885*T885*U885</f>
        <v>397800</v>
      </c>
      <c r="K885" s="3"/>
      <c r="L885" s="3"/>
      <c r="M885" s="3"/>
      <c r="N885" s="9" t="n">
        <v>2</v>
      </c>
      <c r="O885" s="4" t="n">
        <v>1</v>
      </c>
      <c r="P885" s="5" t="n">
        <f aca="false">IF(COUNTIF([1]Base_Jugadores!J$2:J$500,B885)&gt;0,1,0)</f>
        <v>0</v>
      </c>
      <c r="Q885" s="10" t="b">
        <f aca="false">--(COUNTIFS(
   [1]Fichajes_Realizados!A$2:A$5000,A885,
   [1]Fichajes_Realizados!G$2:G$5000,$X$3
)&gt;0)</f>
        <v>0</v>
      </c>
      <c r="R885" s="5" t="n">
        <f aca="false">_xlfn.XLOOKUP(C885, [1]Estado_Equipos!A$2:A$500, [1]Estado_Equipos!J$2:J$500, "")</f>
        <v>77</v>
      </c>
      <c r="S885" s="5" t="n">
        <f aca="false">IF(H885&lt;=16,1.45,
IF(H885&gt;=41,0.3,
CHOOSE(ROUNDDOWN((H885-16)/2,0)+1,
1.45,1.38,1.3,1.23,1.17,1.15,1.12,1.05,0.95,0.8,0.6,0.4,0.3)))</f>
        <v>1.3</v>
      </c>
      <c r="T885" s="5" t="n">
        <f aca="false">CHOOSE(N885+1,1.2,1,0.85,0.7)</f>
        <v>0.85</v>
      </c>
      <c r="U885" s="5" t="n">
        <f aca="false">IF(F885="PO",0.6,
IF(F885="CT",0.75,
IF(F885="LI",0.8,
IF(F885="LD",0.8,
IF(F885="MCD",0.85,
IF(F885="MC",0.95,
IF(F885="MO",1.05,
IF(F885="EI",1.1,
IF(F885="ED",1.1,
IF(F885="SD",1.15,
IF(F885="DC",1.2,0)))))))))))</f>
        <v>0.8</v>
      </c>
    </row>
    <row r="886" customFormat="false" ht="16.4" hidden="false" customHeight="false" outlineLevel="0" collapsed="false">
      <c r="A886" s="1" t="n">
        <v>885</v>
      </c>
      <c r="B886" s="5" t="str">
        <f aca="false">[1]Base_Jugadores!B886</f>
        <v>Anthony Elanga</v>
      </c>
      <c r="C886" s="5" t="str">
        <f aca="false">IFERROR(
   _xlfn.XLOOKUP(VALUE(A886),[1]Fichajes_Realizados!A$2:A$50000,[1]Fichajes_Realizados!D$2:D$50000,,0,-1),
   _xlfn.XLOOKUP(VALUE(A886),[1]Base_Jugadores!A$2:A$50000,[1]Base_Jugadores!C$2:C$50000)
)</f>
        <v>Newclastle United</v>
      </c>
      <c r="D886" s="5" t="str">
        <f aca="false">[1]Base_Jugadores!D886</f>
        <v>Suecia</v>
      </c>
      <c r="E886" s="3"/>
      <c r="F886" s="5" t="str">
        <f aca="false">[1]Base_Jugadores!E886</f>
        <v>ED</v>
      </c>
      <c r="G886" s="5" t="n">
        <f aca="false">[1]Base_Jugadores!F886</f>
        <v>80</v>
      </c>
      <c r="H886" s="5" t="n">
        <f aca="false">[1]Base_Jugadores!G886</f>
        <v>23</v>
      </c>
      <c r="I886" s="7" t="n">
        <f aca="false" t="array" ref="I886:I886">_xlfn.XLOOKUP(G886,{55;56;57;58;59;60;61;62;63;64;65;66;67;68;69;70;71;72;73;74;75;76;77;78;79;80;81;82;83;84;85;86;87;88;89;90;91;92;93;94;95;96;97;98;99},{100000;130000;160000;190000;220000;250000;300000;350000;400000;450000;500000;600000;700000;800000;900000;1000000;1500000;2000000;3000000;4000000;5000000;6500000;8000000;10000000;12500000;15000000;20000000;25000000;30000000;35000000;40000000;55000000;70000000;80000000;90000000;110000000;130000000;160000000;190000000;220000000;250000000;280000000;310000000;340000000;400000000})</f>
        <v>15000000</v>
      </c>
      <c r="J886" s="7" t="n">
        <f aca="false">I886*S886*T886*U886</f>
        <v>24354000</v>
      </c>
      <c r="K886" s="3"/>
      <c r="L886" s="3"/>
      <c r="M886" s="3"/>
      <c r="N886" s="9" t="n">
        <v>0</v>
      </c>
      <c r="O886" s="4" t="n">
        <v>0</v>
      </c>
      <c r="P886" s="5" t="n">
        <f aca="false">IF(COUNTIF([1]Base_Jugadores!J$2:J$500,B886)&gt;0,1,0)</f>
        <v>0</v>
      </c>
      <c r="Q886" s="10" t="b">
        <f aca="false">--(COUNTIFS(
   [1]Fichajes_Realizados!A$2:A$5000,A886,
   [1]Fichajes_Realizados!G$2:G$5000,$X$3
)&gt;0)</f>
        <v>0</v>
      </c>
      <c r="R886" s="5" t="n">
        <f aca="false">_xlfn.XLOOKUP(C886, [1]Estado_Equipos!A$2:A$500, [1]Estado_Equipos!J$2:J$500, "")</f>
        <v>77</v>
      </c>
      <c r="S886" s="5" t="n">
        <f aca="false">IF(H886&lt;=16,1.45,
IF(H886&gt;=41,0.3,
CHOOSE(ROUNDDOWN((H886-16)/2,0)+1,
1.45,1.38,1.3,1.23,1.17,1.15,1.12,1.05,0.95,0.8,0.6,0.4,0.3)))</f>
        <v>1.23</v>
      </c>
      <c r="T886" s="5" t="n">
        <f aca="false">CHOOSE(N886+1,1.2,1,0.85,0.7)</f>
        <v>1.2</v>
      </c>
      <c r="U886" s="5" t="n">
        <f aca="false">IF(F886="PO",0.6,
IF(F886="CT",0.75,
IF(F886="LI",0.8,
IF(F886="LD",0.8,
IF(F886="MCD",0.85,
IF(F886="MC",0.95,
IF(F886="MO",1.05,
IF(F886="EI",1.1,
IF(F886="ED",1.1,
IF(F886="SD",1.15,
IF(F886="DC",1.2,0)))))))))))</f>
        <v>1.1</v>
      </c>
    </row>
    <row r="887" customFormat="false" ht="16.4" hidden="false" customHeight="false" outlineLevel="0" collapsed="false">
      <c r="A887" s="1" t="n">
        <v>886</v>
      </c>
      <c r="B887" s="5" t="str">
        <f aca="false">[1]Base_Jugadores!B887</f>
        <v>Anthony Gordon</v>
      </c>
      <c r="C887" s="5" t="str">
        <f aca="false">IFERROR(
   _xlfn.XLOOKUP(VALUE(A887),[1]Fichajes_Realizados!A$2:A$50000,[1]Fichajes_Realizados!D$2:D$50000,,0,-1),
   _xlfn.XLOOKUP(VALUE(A887),[1]Base_Jugadores!A$2:A$50000,[1]Base_Jugadores!C$2:C$50000)
)</f>
        <v>Newclastle United</v>
      </c>
      <c r="D887" s="5" t="str">
        <f aca="false">[1]Base_Jugadores!D887</f>
        <v>Inglaterra</v>
      </c>
      <c r="E887" s="3"/>
      <c r="F887" s="5" t="str">
        <f aca="false">[1]Base_Jugadores!E887</f>
        <v>EI</v>
      </c>
      <c r="G887" s="5" t="n">
        <f aca="false">[1]Base_Jugadores!F887</f>
        <v>83</v>
      </c>
      <c r="H887" s="5" t="n">
        <f aca="false">[1]Base_Jugadores!G887</f>
        <v>24</v>
      </c>
      <c r="I887" s="7" t="n">
        <f aca="false" t="array" ref="I887:I887">_xlfn.XLOOKUP(G887,{55;56;57;58;59;60;61;62;63;64;65;66;67;68;69;70;71;72;73;74;75;76;77;78;79;80;81;82;83;84;85;86;87;88;89;90;91;92;93;94;95;96;97;98;99},{100000;130000;160000;190000;220000;250000;300000;350000;400000;450000;500000;600000;700000;800000;900000;1000000;1500000;2000000;3000000;4000000;5000000;6500000;8000000;10000000;12500000;15000000;20000000;25000000;30000000;35000000;40000000;55000000;70000000;80000000;90000000;110000000;130000000;160000000;190000000;220000000;250000000;280000000;310000000;340000000;400000000})</f>
        <v>30000000</v>
      </c>
      <c r="J887" s="7" t="n">
        <f aca="false">I887*S887*T887*U887</f>
        <v>46332000</v>
      </c>
      <c r="K887" s="3"/>
      <c r="L887" s="3"/>
      <c r="M887" s="3"/>
      <c r="N887" s="9" t="n">
        <v>0</v>
      </c>
      <c r="O887" s="4" t="n">
        <v>0</v>
      </c>
      <c r="P887" s="5" t="n">
        <f aca="false">IF(COUNTIF([1]Base_Jugadores!J$2:J$500,B887)&gt;0,1,0)</f>
        <v>0</v>
      </c>
      <c r="Q887" s="10" t="b">
        <f aca="false">--(COUNTIFS(
   [1]Fichajes_Realizados!A$2:A$5000,A887,
   [1]Fichajes_Realizados!G$2:G$5000,$X$3
)&gt;0)</f>
        <v>0</v>
      </c>
      <c r="R887" s="5" t="n">
        <f aca="false">_xlfn.XLOOKUP(C887, [1]Estado_Equipos!A$2:A$500, [1]Estado_Equipos!J$2:J$500, "")</f>
        <v>77</v>
      </c>
      <c r="S887" s="5" t="n">
        <f aca="false">IF(H887&lt;=16,1.45,
IF(H887&gt;=41,0.3,
CHOOSE(ROUNDDOWN((H887-16)/2,0)+1,
1.45,1.38,1.3,1.23,1.17,1.15,1.12,1.05,0.95,0.8,0.6,0.4,0.3)))</f>
        <v>1.17</v>
      </c>
      <c r="T887" s="5" t="n">
        <f aca="false">CHOOSE(N887+1,1.2,1,0.85,0.7)</f>
        <v>1.2</v>
      </c>
      <c r="U887" s="5" t="n">
        <f aca="false">IF(F887="PO",0.6,
IF(F887="CT",0.75,
IF(F887="LI",0.8,
IF(F887="LD",0.8,
IF(F887="MCD",0.85,
IF(F887="MC",0.95,
IF(F887="MO",1.05,
IF(F887="EI",1.1,
IF(F887="ED",1.1,
IF(F887="SD",1.15,
IF(F887="DC",1.2,0)))))))))))</f>
        <v>1.1</v>
      </c>
    </row>
    <row r="888" customFormat="false" ht="16.4" hidden="false" customHeight="false" outlineLevel="0" collapsed="false">
      <c r="A888" s="1" t="n">
        <v>887</v>
      </c>
      <c r="B888" s="5" t="str">
        <f aca="false">[1]Base_Jugadores!B888</f>
        <v>Bruno Guimarães</v>
      </c>
      <c r="C888" s="5" t="str">
        <f aca="false">IFERROR(
   _xlfn.XLOOKUP(VALUE(A888),[1]Fichajes_Realizados!A$2:A$50000,[1]Fichajes_Realizados!D$2:D$50000,,0,-1),
   _xlfn.XLOOKUP(VALUE(A888),[1]Base_Jugadores!A$2:A$50000,[1]Base_Jugadores!C$2:C$50000)
)</f>
        <v>Newclastle United</v>
      </c>
      <c r="D888" s="5" t="str">
        <f aca="false">[1]Base_Jugadores!D888</f>
        <v>Brasil</v>
      </c>
      <c r="E888" s="3"/>
      <c r="F888" s="5" t="str">
        <f aca="false">[1]Base_Jugadores!E888</f>
        <v>MC</v>
      </c>
      <c r="G888" s="5" t="n">
        <f aca="false">[1]Base_Jugadores!F888</f>
        <v>85</v>
      </c>
      <c r="H888" s="5" t="n">
        <f aca="false">[1]Base_Jugadores!G888</f>
        <v>28</v>
      </c>
      <c r="I888" s="7" t="n">
        <f aca="false" t="array" ref="I888:I888">_xlfn.XLOOKUP(G888,{55;56;57;58;59;60;61;62;63;64;65;66;67;68;69;70;71;72;73;74;75;76;77;78;79;80;81;82;83;84;85;86;87;88;89;90;91;92;93;94;95;96;97;98;99},{100000;130000;160000;190000;220000;250000;300000;350000;400000;450000;500000;600000;700000;800000;900000;1000000;1500000;2000000;3000000;4000000;5000000;6500000;8000000;10000000;12500000;15000000;20000000;25000000;30000000;35000000;40000000;55000000;70000000;80000000;90000000;110000000;130000000;160000000;190000000;220000000;250000000;280000000;310000000;340000000;400000000})</f>
        <v>40000000</v>
      </c>
      <c r="J888" s="7" t="n">
        <f aca="false">I888*S888*T888*U888</f>
        <v>51072000</v>
      </c>
      <c r="K888" s="3"/>
      <c r="L888" s="3"/>
      <c r="M888" s="3"/>
      <c r="N888" s="9" t="n">
        <v>0</v>
      </c>
      <c r="O888" s="4" t="n">
        <v>0</v>
      </c>
      <c r="P888" s="5" t="n">
        <f aca="false">IF(COUNTIF([1]Base_Jugadores!J$2:J$500,B888)&gt;0,1,0)</f>
        <v>0</v>
      </c>
      <c r="Q888" s="10" t="b">
        <f aca="false">--(COUNTIFS(
   [1]Fichajes_Realizados!A$2:A$5000,A888,
   [1]Fichajes_Realizados!G$2:G$5000,$X$3
)&gt;0)</f>
        <v>0</v>
      </c>
      <c r="R888" s="5" t="n">
        <f aca="false">_xlfn.XLOOKUP(C888, [1]Estado_Equipos!A$2:A$500, [1]Estado_Equipos!J$2:J$500, "")</f>
        <v>77</v>
      </c>
      <c r="S888" s="5" t="n">
        <f aca="false">IF(H888&lt;=16,1.45,
IF(H888&gt;=41,0.3,
CHOOSE(ROUNDDOWN((H888-16)/2,0)+1,
1.45,1.38,1.3,1.23,1.17,1.15,1.12,1.05,0.95,0.8,0.6,0.4,0.3)))</f>
        <v>1.12</v>
      </c>
      <c r="T888" s="5" t="n">
        <f aca="false">CHOOSE(N888+1,1.2,1,0.85,0.7)</f>
        <v>1.2</v>
      </c>
      <c r="U888" s="5" t="n">
        <f aca="false">IF(F888="PO",0.6,
IF(F888="CT",0.75,
IF(F888="LI",0.8,
IF(F888="LD",0.8,
IF(F888="MCD",0.85,
IF(F888="MC",0.95,
IF(F888="MO",1.05,
IF(F888="EI",1.1,
IF(F888="ED",1.1,
IF(F888="SD",1.15,
IF(F888="DC",1.2,0)))))))))))</f>
        <v>0.95</v>
      </c>
    </row>
    <row r="889" customFormat="false" ht="16.4" hidden="false" customHeight="false" outlineLevel="0" collapsed="false">
      <c r="A889" s="1" t="n">
        <v>888</v>
      </c>
      <c r="B889" s="5" t="str">
        <f aca="false">[1]Base_Jugadores!B889</f>
        <v>Dan Burn</v>
      </c>
      <c r="C889" s="5" t="str">
        <f aca="false">IFERROR(
   _xlfn.XLOOKUP(VALUE(A889),[1]Fichajes_Realizados!A$2:A$50000,[1]Fichajes_Realizados!D$2:D$50000,,0,-1),
   _xlfn.XLOOKUP(VALUE(A889),[1]Base_Jugadores!A$2:A$50000,[1]Base_Jugadores!C$2:C$50000)
)</f>
        <v>Newclastle United</v>
      </c>
      <c r="D889" s="5" t="str">
        <f aca="false">[1]Base_Jugadores!D889</f>
        <v>Inglaterra</v>
      </c>
      <c r="E889" s="3"/>
      <c r="F889" s="5" t="str">
        <f aca="false">[1]Base_Jugadores!E889</f>
        <v>CT</v>
      </c>
      <c r="G889" s="5" t="n">
        <f aca="false">[1]Base_Jugadores!F889</f>
        <v>78</v>
      </c>
      <c r="H889" s="5" t="n">
        <f aca="false">[1]Base_Jugadores!G889</f>
        <v>33</v>
      </c>
      <c r="I889" s="7" t="n">
        <f aca="false" t="array" ref="I889:I889">_xlfn.XLOOKUP(G889,{55;56;57;58;59;60;61;62;63;64;65;66;67;68;69;70;71;72;73;74;75;76;77;78;79;80;81;82;83;84;85;86;87;88;89;90;91;92;93;94;95;96;97;98;99},{100000;130000;160000;190000;220000;250000;300000;350000;400000;450000;500000;600000;700000;800000;900000;1000000;1500000;2000000;3000000;4000000;5000000;6500000;8000000;10000000;12500000;15000000;20000000;25000000;30000000;35000000;40000000;55000000;70000000;80000000;90000000;110000000;130000000;160000000;190000000;220000000;250000000;280000000;310000000;340000000;400000000})</f>
        <v>10000000</v>
      </c>
      <c r="J889" s="7" t="n">
        <f aca="false">I889*S889*T889*U889</f>
        <v>7125000</v>
      </c>
      <c r="K889" s="3"/>
      <c r="L889" s="3"/>
      <c r="M889" s="3"/>
      <c r="N889" s="9" t="n">
        <v>1</v>
      </c>
      <c r="O889" s="4" t="n">
        <v>0</v>
      </c>
      <c r="P889" s="5" t="n">
        <f aca="false">IF(COUNTIF([1]Base_Jugadores!J$2:J$500,B889)&gt;0,1,0)</f>
        <v>0</v>
      </c>
      <c r="Q889" s="10" t="b">
        <f aca="false">--(COUNTIFS(
   [1]Fichajes_Realizados!A$2:A$5000,A889,
   [1]Fichajes_Realizados!G$2:G$5000,$X$3
)&gt;0)</f>
        <v>0</v>
      </c>
      <c r="R889" s="5" t="n">
        <f aca="false">_xlfn.XLOOKUP(C889, [1]Estado_Equipos!A$2:A$500, [1]Estado_Equipos!J$2:J$500, "")</f>
        <v>77</v>
      </c>
      <c r="S889" s="5" t="n">
        <f aca="false">IF(H889&lt;=16,1.45,
IF(H889&gt;=41,0.3,
CHOOSE(ROUNDDOWN((H889-16)/2,0)+1,
1.45,1.38,1.3,1.23,1.17,1.15,1.12,1.05,0.95,0.8,0.6,0.4,0.3)))</f>
        <v>0.95</v>
      </c>
      <c r="T889" s="5" t="n">
        <f aca="false">CHOOSE(N889+1,1.2,1,0.85,0.7)</f>
        <v>1</v>
      </c>
      <c r="U889" s="5" t="n">
        <f aca="false">IF(F889="PO",0.6,
IF(F889="CT",0.75,
IF(F889="LI",0.8,
IF(F889="LD",0.8,
IF(F889="MCD",0.85,
IF(F889="MC",0.95,
IF(F889="MO",1.05,
IF(F889="EI",1.1,
IF(F889="ED",1.1,
IF(F889="SD",1.15,
IF(F889="DC",1.2,0)))))))))))</f>
        <v>0.75</v>
      </c>
    </row>
    <row r="890" customFormat="false" ht="16.4" hidden="false" customHeight="false" outlineLevel="0" collapsed="false">
      <c r="A890" s="1" t="n">
        <v>889</v>
      </c>
      <c r="B890" s="5" t="str">
        <f aca="false">[1]Base_Jugadores!B890</f>
        <v>Emil Krafth</v>
      </c>
      <c r="C890" s="5" t="str">
        <f aca="false">IFERROR(
   _xlfn.XLOOKUP(VALUE(A890),[1]Fichajes_Realizados!A$2:A$50000,[1]Fichajes_Realizados!D$2:D$50000,,0,-1),
   _xlfn.XLOOKUP(VALUE(A890),[1]Base_Jugadores!A$2:A$50000,[1]Base_Jugadores!C$2:C$50000)
)</f>
        <v>Newclastle United</v>
      </c>
      <c r="D890" s="5" t="str">
        <f aca="false">[1]Base_Jugadores!D890</f>
        <v>Suecia</v>
      </c>
      <c r="E890" s="3"/>
      <c r="F890" s="5" t="str">
        <f aca="false">[1]Base_Jugadores!E890</f>
        <v>LD</v>
      </c>
      <c r="G890" s="5" t="n">
        <f aca="false">[1]Base_Jugadores!F890</f>
        <v>74</v>
      </c>
      <c r="H890" s="5" t="n">
        <f aca="false">[1]Base_Jugadores!G890</f>
        <v>31</v>
      </c>
      <c r="I890" s="7" t="n">
        <f aca="false" t="array" ref="I890:I890">_xlfn.XLOOKUP(G890,{55;56;57;58;59;60;61;62;63;64;65;66;67;68;69;70;71;72;73;74;75;76;77;78;79;80;81;82;83;84;85;86;87;88;89;90;91;92;93;94;95;96;97;98;99},{100000;130000;160000;190000;220000;250000;300000;350000;400000;450000;500000;600000;700000;800000;900000;1000000;1500000;2000000;3000000;4000000;5000000;6500000;8000000;10000000;12500000;15000000;20000000;25000000;30000000;35000000;40000000;55000000;70000000;80000000;90000000;110000000;130000000;160000000;190000000;220000000;250000000;280000000;310000000;340000000;400000000})</f>
        <v>4000000</v>
      </c>
      <c r="J890" s="7" t="n">
        <f aca="false">I890*S890*T890*U890</f>
        <v>2856000</v>
      </c>
      <c r="K890" s="3"/>
      <c r="L890" s="3"/>
      <c r="M890" s="3"/>
      <c r="N890" s="9" t="n">
        <v>2</v>
      </c>
      <c r="O890" s="4" t="n">
        <v>0</v>
      </c>
      <c r="P890" s="5" t="n">
        <f aca="false">IF(COUNTIF([1]Base_Jugadores!J$2:J$500,B890)&gt;0,1,0)</f>
        <v>0</v>
      </c>
      <c r="Q890" s="10" t="b">
        <f aca="false">--(COUNTIFS(
   [1]Fichajes_Realizados!A$2:A$5000,A890,
   [1]Fichajes_Realizados!G$2:G$5000,$X$3
)&gt;0)</f>
        <v>0</v>
      </c>
      <c r="R890" s="5" t="n">
        <f aca="false">_xlfn.XLOOKUP(C890, [1]Estado_Equipos!A$2:A$500, [1]Estado_Equipos!J$2:J$500, "")</f>
        <v>77</v>
      </c>
      <c r="S890" s="5" t="n">
        <f aca="false">IF(H890&lt;=16,1.45,
IF(H890&gt;=41,0.3,
CHOOSE(ROUNDDOWN((H890-16)/2,0)+1,
1.45,1.38,1.3,1.23,1.17,1.15,1.12,1.05,0.95,0.8,0.6,0.4,0.3)))</f>
        <v>1.05</v>
      </c>
      <c r="T890" s="5" t="n">
        <f aca="false">CHOOSE(N890+1,1.2,1,0.85,0.7)</f>
        <v>0.85</v>
      </c>
      <c r="U890" s="5" t="n">
        <f aca="false">IF(F890="PO",0.6,
IF(F890="CT",0.75,
IF(F890="LI",0.8,
IF(F890="LD",0.8,
IF(F890="MCD",0.85,
IF(F890="MC",0.95,
IF(F890="MO",1.05,
IF(F890="EI",1.1,
IF(F890="ED",1.1,
IF(F890="SD",1.15,
IF(F890="DC",1.2,0)))))))))))</f>
        <v>0.8</v>
      </c>
    </row>
    <row r="891" customFormat="false" ht="16.4" hidden="false" customHeight="false" outlineLevel="0" collapsed="false">
      <c r="A891" s="1" t="n">
        <v>890</v>
      </c>
      <c r="B891" s="5" t="str">
        <f aca="false">[1]Base_Jugadores!B891</f>
        <v>Fabian Schär</v>
      </c>
      <c r="C891" s="5" t="str">
        <f aca="false">IFERROR(
   _xlfn.XLOOKUP(VALUE(A891),[1]Fichajes_Realizados!A$2:A$50000,[1]Fichajes_Realizados!D$2:D$50000,,0,-1),
   _xlfn.XLOOKUP(VALUE(A891),[1]Base_Jugadores!A$2:A$50000,[1]Base_Jugadores!C$2:C$50000)
)</f>
        <v>Newclastle United</v>
      </c>
      <c r="D891" s="5" t="str">
        <f aca="false">[1]Base_Jugadores!D891</f>
        <v>Suiza</v>
      </c>
      <c r="E891" s="3"/>
      <c r="F891" s="5" t="str">
        <f aca="false">[1]Base_Jugadores!E891</f>
        <v>CT</v>
      </c>
      <c r="G891" s="5" t="n">
        <f aca="false">[1]Base_Jugadores!F891</f>
        <v>82</v>
      </c>
      <c r="H891" s="5" t="n">
        <f aca="false">[1]Base_Jugadores!G891</f>
        <v>34</v>
      </c>
      <c r="I891" s="7" t="n">
        <f aca="false" t="array" ref="I891:I891">_xlfn.XLOOKUP(G891,{55;56;57;58;59;60;61;62;63;64;65;66;67;68;69;70;71;72;73;74;75;76;77;78;79;80;81;82;83;84;85;86;87;88;89;90;91;92;93;94;95;96;97;98;99},{100000;130000;160000;190000;220000;250000;300000;350000;400000;450000;500000;600000;700000;800000;900000;1000000;1500000;2000000;3000000;4000000;5000000;6500000;8000000;10000000;12500000;15000000;20000000;25000000;30000000;35000000;40000000;55000000;70000000;80000000;90000000;110000000;130000000;160000000;190000000;220000000;250000000;280000000;310000000;340000000;400000000})</f>
        <v>25000000</v>
      </c>
      <c r="J891" s="7" t="n">
        <f aca="false">I891*S891*T891*U891</f>
        <v>18000000</v>
      </c>
      <c r="K891" s="3"/>
      <c r="L891" s="3"/>
      <c r="M891" s="3"/>
      <c r="N891" s="9" t="n">
        <v>0</v>
      </c>
      <c r="O891" s="4" t="n">
        <v>0</v>
      </c>
      <c r="P891" s="5" t="n">
        <f aca="false">IF(COUNTIF([1]Base_Jugadores!J$2:J$500,B891)&gt;0,1,0)</f>
        <v>0</v>
      </c>
      <c r="Q891" s="10" t="b">
        <f aca="false">--(COUNTIFS(
   [1]Fichajes_Realizados!A$2:A$5000,A891,
   [1]Fichajes_Realizados!G$2:G$5000,$X$3
)&gt;0)</f>
        <v>0</v>
      </c>
      <c r="R891" s="5" t="n">
        <f aca="false">_xlfn.XLOOKUP(C891, [1]Estado_Equipos!A$2:A$500, [1]Estado_Equipos!J$2:J$500, "")</f>
        <v>77</v>
      </c>
      <c r="S891" s="5" t="n">
        <f aca="false">IF(H891&lt;=16,1.45,
IF(H891&gt;=41,0.3,
CHOOSE(ROUNDDOWN((H891-16)/2,0)+1,
1.45,1.38,1.3,1.23,1.17,1.15,1.12,1.05,0.95,0.8,0.6,0.4,0.3)))</f>
        <v>0.8</v>
      </c>
      <c r="T891" s="5" t="n">
        <f aca="false">CHOOSE(N891+1,1.2,1,0.85,0.7)</f>
        <v>1.2</v>
      </c>
      <c r="U891" s="5" t="n">
        <f aca="false">IF(F891="PO",0.6,
IF(F891="CT",0.75,
IF(F891="LI",0.8,
IF(F891="LD",0.8,
IF(F891="MCD",0.85,
IF(F891="MC",0.95,
IF(F891="MO",1.05,
IF(F891="EI",1.1,
IF(F891="ED",1.1,
IF(F891="SD",1.15,
IF(F891="DC",1.2,0)))))))))))</f>
        <v>0.75</v>
      </c>
    </row>
    <row r="892" customFormat="false" ht="16.4" hidden="false" customHeight="false" outlineLevel="0" collapsed="false">
      <c r="A892" s="1" t="n">
        <v>891</v>
      </c>
      <c r="B892" s="5" t="str">
        <f aca="false">[1]Base_Jugadores!B892</f>
        <v>Harrison Ashby</v>
      </c>
      <c r="C892" s="5" t="str">
        <f aca="false">IFERROR(
   _xlfn.XLOOKUP(VALUE(A892),[1]Fichajes_Realizados!A$2:A$50000,[1]Fichajes_Realizados!D$2:D$50000,,0,-1),
   _xlfn.XLOOKUP(VALUE(A892),[1]Base_Jugadores!A$2:A$50000,[1]Base_Jugadores!C$2:C$50000)
)</f>
        <v>Newclastle United</v>
      </c>
      <c r="D892" s="5" t="str">
        <f aca="false">[1]Base_Jugadores!D892</f>
        <v>Escocia</v>
      </c>
      <c r="E892" s="3"/>
      <c r="F892" s="5" t="str">
        <f aca="false">[1]Base_Jugadores!E892</f>
        <v>LD</v>
      </c>
      <c r="G892" s="5" t="n">
        <f aca="false">[1]Base_Jugadores!F892</f>
        <v>64</v>
      </c>
      <c r="H892" s="5" t="n">
        <f aca="false">[1]Base_Jugadores!G892</f>
        <v>24</v>
      </c>
      <c r="I892" s="7" t="n">
        <f aca="false" t="array" ref="I892:I892">_xlfn.XLOOKUP(G892,{55;56;57;58;59;60;61;62;63;64;65;66;67;68;69;70;71;72;73;74;75;76;77;78;79;80;81;82;83;84;85;86;87;88;89;90;91;92;93;94;95;96;97;98;99},{100000;130000;160000;190000;220000;250000;300000;350000;400000;450000;500000;600000;700000;800000;900000;1000000;1500000;2000000;3000000;4000000;5000000;6500000;8000000;10000000;12500000;15000000;20000000;25000000;30000000;35000000;40000000;55000000;70000000;80000000;90000000;110000000;130000000;160000000;190000000;220000000;250000000;280000000;310000000;340000000;400000000})</f>
        <v>450000</v>
      </c>
      <c r="J892" s="7" t="n">
        <f aca="false">I892*S892*T892*U892</f>
        <v>358020</v>
      </c>
      <c r="K892" s="3"/>
      <c r="L892" s="3"/>
      <c r="M892" s="3"/>
      <c r="N892" s="9" t="n">
        <v>2</v>
      </c>
      <c r="O892" s="4" t="n">
        <v>0</v>
      </c>
      <c r="P892" s="5" t="n">
        <f aca="false">IF(COUNTIF([1]Base_Jugadores!J$2:J$500,B892)&gt;0,1,0)</f>
        <v>0</v>
      </c>
      <c r="Q892" s="10" t="b">
        <f aca="false">--(COUNTIFS(
   [1]Fichajes_Realizados!A$2:A$5000,A892,
   [1]Fichajes_Realizados!G$2:G$5000,$X$3
)&gt;0)</f>
        <v>0</v>
      </c>
      <c r="R892" s="5" t="n">
        <f aca="false">_xlfn.XLOOKUP(C892, [1]Estado_Equipos!A$2:A$500, [1]Estado_Equipos!J$2:J$500, "")</f>
        <v>77</v>
      </c>
      <c r="S892" s="5" t="n">
        <f aca="false">IF(H892&lt;=16,1.45,
IF(H892&gt;=41,0.3,
CHOOSE(ROUNDDOWN((H892-16)/2,0)+1,
1.45,1.38,1.3,1.23,1.17,1.15,1.12,1.05,0.95,0.8,0.6,0.4,0.3)))</f>
        <v>1.17</v>
      </c>
      <c r="T892" s="5" t="n">
        <f aca="false">CHOOSE(N892+1,1.2,1,0.85,0.7)</f>
        <v>0.85</v>
      </c>
      <c r="U892" s="5" t="n">
        <f aca="false">IF(F892="PO",0.6,
IF(F892="CT",0.75,
IF(F892="LI",0.8,
IF(F892="LD",0.8,
IF(F892="MCD",0.85,
IF(F892="MC",0.95,
IF(F892="MO",1.05,
IF(F892="EI",1.1,
IF(F892="ED",1.1,
IF(F892="SD",1.15,
IF(F892="DC",1.2,0)))))))))))</f>
        <v>0.8</v>
      </c>
    </row>
    <row r="893" customFormat="false" ht="16.4" hidden="false" customHeight="false" outlineLevel="0" collapsed="false">
      <c r="A893" s="1" t="n">
        <v>892</v>
      </c>
      <c r="B893" s="5" t="str">
        <f aca="false">[1]Base_Jugadores!B893</f>
        <v>Harvey Barnes</v>
      </c>
      <c r="C893" s="5" t="str">
        <f aca="false">IFERROR(
   _xlfn.XLOOKUP(VALUE(A893),[1]Fichajes_Realizados!A$2:A$50000,[1]Fichajes_Realizados!D$2:D$50000,,0,-1),
   _xlfn.XLOOKUP(VALUE(A893),[1]Base_Jugadores!A$2:A$50000,[1]Base_Jugadores!C$2:C$50000)
)</f>
        <v>Newclastle United</v>
      </c>
      <c r="D893" s="5" t="str">
        <f aca="false">[1]Base_Jugadores!D893</f>
        <v>Inglaterra</v>
      </c>
      <c r="E893" s="3"/>
      <c r="F893" s="5" t="str">
        <f aca="false">[1]Base_Jugadores!E893</f>
        <v>EI</v>
      </c>
      <c r="G893" s="5" t="n">
        <f aca="false">[1]Base_Jugadores!F893</f>
        <v>80</v>
      </c>
      <c r="H893" s="5" t="n">
        <f aca="false">[1]Base_Jugadores!G893</f>
        <v>28</v>
      </c>
      <c r="I893" s="7" t="n">
        <f aca="false" t="array" ref="I893:I893">_xlfn.XLOOKUP(G893,{55;56;57;58;59;60;61;62;63;64;65;66;67;68;69;70;71;72;73;74;75;76;77;78;79;80;81;82;83;84;85;86;87;88;89;90;91;92;93;94;95;96;97;98;99},{100000;130000;160000;190000;220000;250000;300000;350000;400000;450000;500000;600000;700000;800000;900000;1000000;1500000;2000000;3000000;4000000;5000000;6500000;8000000;10000000;12500000;15000000;20000000;25000000;30000000;35000000;40000000;55000000;70000000;80000000;90000000;110000000;130000000;160000000;190000000;220000000;250000000;280000000;310000000;340000000;400000000})</f>
        <v>15000000</v>
      </c>
      <c r="J893" s="7" t="n">
        <f aca="false">I893*S893*T893*U893</f>
        <v>18480000</v>
      </c>
      <c r="K893" s="3"/>
      <c r="L893" s="3"/>
      <c r="M893" s="3"/>
      <c r="N893" s="9" t="n">
        <v>1</v>
      </c>
      <c r="O893" s="4" t="n">
        <v>0</v>
      </c>
      <c r="P893" s="5" t="n">
        <f aca="false">IF(COUNTIF([1]Base_Jugadores!J$2:J$500,B893)&gt;0,1,0)</f>
        <v>0</v>
      </c>
      <c r="Q893" s="10" t="b">
        <f aca="false">--(COUNTIFS(
   [1]Fichajes_Realizados!A$2:A$5000,A893,
   [1]Fichajes_Realizados!G$2:G$5000,$X$3
)&gt;0)</f>
        <v>0</v>
      </c>
      <c r="R893" s="5" t="n">
        <f aca="false">_xlfn.XLOOKUP(C893, [1]Estado_Equipos!A$2:A$500, [1]Estado_Equipos!J$2:J$500, "")</f>
        <v>77</v>
      </c>
      <c r="S893" s="5" t="n">
        <f aca="false">IF(H893&lt;=16,1.45,
IF(H893&gt;=41,0.3,
CHOOSE(ROUNDDOWN((H893-16)/2,0)+1,
1.45,1.38,1.3,1.23,1.17,1.15,1.12,1.05,0.95,0.8,0.6,0.4,0.3)))</f>
        <v>1.12</v>
      </c>
      <c r="T893" s="5" t="n">
        <f aca="false">CHOOSE(N893+1,1.2,1,0.85,0.7)</f>
        <v>1</v>
      </c>
      <c r="U893" s="5" t="n">
        <f aca="false">IF(F893="PO",0.6,
IF(F893="CT",0.75,
IF(F893="LI",0.8,
IF(F893="LD",0.8,
IF(F893="MCD",0.85,
IF(F893="MC",0.95,
IF(F893="MO",1.05,
IF(F893="EI",1.1,
IF(F893="ED",1.1,
IF(F893="SD",1.15,
IF(F893="DC",1.2,0)))))))))))</f>
        <v>1.1</v>
      </c>
    </row>
    <row r="894" customFormat="false" ht="16.4" hidden="false" customHeight="false" outlineLevel="0" collapsed="false">
      <c r="A894" s="1" t="n">
        <v>893</v>
      </c>
      <c r="B894" s="5" t="str">
        <f aca="false">[1]Base_Jugadores!B894</f>
        <v>Jacob Murphy</v>
      </c>
      <c r="C894" s="5" t="str">
        <f aca="false">IFERROR(
   _xlfn.XLOOKUP(VALUE(A894),[1]Fichajes_Realizados!A$2:A$50000,[1]Fichajes_Realizados!D$2:D$50000,,0,-1),
   _xlfn.XLOOKUP(VALUE(A894),[1]Base_Jugadores!A$2:A$50000,[1]Base_Jugadores!C$2:C$50000)
)</f>
        <v>Newclastle United</v>
      </c>
      <c r="D894" s="5" t="str">
        <f aca="false">[1]Base_Jugadores!D894</f>
        <v>Inglaterra</v>
      </c>
      <c r="E894" s="3"/>
      <c r="F894" s="5" t="str">
        <f aca="false">[1]Base_Jugadores!E894</f>
        <v>ED</v>
      </c>
      <c r="G894" s="5" t="n">
        <f aca="false">[1]Base_Jugadores!F894</f>
        <v>76</v>
      </c>
      <c r="H894" s="5" t="n">
        <f aca="false">[1]Base_Jugadores!G894</f>
        <v>30</v>
      </c>
      <c r="I894" s="7" t="n">
        <f aca="false" t="array" ref="I894:I894">_xlfn.XLOOKUP(G894,{55;56;57;58;59;60;61;62;63;64;65;66;67;68;69;70;71;72;73;74;75;76;77;78;79;80;81;82;83;84;85;86;87;88;89;90;91;92;93;94;95;96;97;98;99},{100000;130000;160000;190000;220000;250000;300000;350000;400000;450000;500000;600000;700000;800000;900000;1000000;1500000;2000000;3000000;4000000;5000000;6500000;8000000;10000000;12500000;15000000;20000000;25000000;30000000;35000000;40000000;55000000;70000000;80000000;90000000;110000000;130000000;160000000;190000000;220000000;250000000;280000000;310000000;340000000;400000000})</f>
        <v>6500000</v>
      </c>
      <c r="J894" s="7" t="n">
        <f aca="false">I894*S894*T894*U894</f>
        <v>6381375</v>
      </c>
      <c r="K894" s="3"/>
      <c r="L894" s="3"/>
      <c r="M894" s="3"/>
      <c r="N894" s="9" t="n">
        <v>2</v>
      </c>
      <c r="O894" s="4" t="n">
        <v>0</v>
      </c>
      <c r="P894" s="5" t="n">
        <f aca="false">IF(COUNTIF([1]Base_Jugadores!J$2:J$500,B894)&gt;0,1,0)</f>
        <v>0</v>
      </c>
      <c r="Q894" s="10" t="b">
        <f aca="false">--(COUNTIFS(
   [1]Fichajes_Realizados!A$2:A$5000,A894,
   [1]Fichajes_Realizados!G$2:G$5000,$X$3
)&gt;0)</f>
        <v>0</v>
      </c>
      <c r="R894" s="5" t="n">
        <f aca="false">_xlfn.XLOOKUP(C894, [1]Estado_Equipos!A$2:A$500, [1]Estado_Equipos!J$2:J$500, "")</f>
        <v>77</v>
      </c>
      <c r="S894" s="5" t="n">
        <f aca="false">IF(H894&lt;=16,1.45,
IF(H894&gt;=41,0.3,
CHOOSE(ROUNDDOWN((H894-16)/2,0)+1,
1.45,1.38,1.3,1.23,1.17,1.15,1.12,1.05,0.95,0.8,0.6,0.4,0.3)))</f>
        <v>1.05</v>
      </c>
      <c r="T894" s="5" t="n">
        <f aca="false">CHOOSE(N894+1,1.2,1,0.85,0.7)</f>
        <v>0.85</v>
      </c>
      <c r="U894" s="5" t="n">
        <f aca="false">IF(F894="PO",0.6,
IF(F894="CT",0.75,
IF(F894="LI",0.8,
IF(F894="LD",0.8,
IF(F894="MCD",0.85,
IF(F894="MC",0.95,
IF(F894="MO",1.05,
IF(F894="EI",1.1,
IF(F894="ED",1.1,
IF(F894="SD",1.15,
IF(F894="DC",1.2,0)))))))))))</f>
        <v>1.1</v>
      </c>
    </row>
    <row r="895" customFormat="false" ht="16.4" hidden="false" customHeight="false" outlineLevel="0" collapsed="false">
      <c r="A895" s="1" t="n">
        <v>894</v>
      </c>
      <c r="B895" s="5" t="str">
        <f aca="false">[1]Base_Jugadores!B895</f>
        <v>Jacob Ramsey</v>
      </c>
      <c r="C895" s="5" t="str">
        <f aca="false">IFERROR(
   _xlfn.XLOOKUP(VALUE(A895),[1]Fichajes_Realizados!A$2:A$50000,[1]Fichajes_Realizados!D$2:D$50000,,0,-1),
   _xlfn.XLOOKUP(VALUE(A895),[1]Base_Jugadores!A$2:A$50000,[1]Base_Jugadores!C$2:C$50000)
)</f>
        <v>Newclastle United</v>
      </c>
      <c r="D895" s="5" t="str">
        <f aca="false">[1]Base_Jugadores!D895</f>
        <v>Inglaterra</v>
      </c>
      <c r="E895" s="3"/>
      <c r="F895" s="5" t="str">
        <f aca="false">[1]Base_Jugadores!E895</f>
        <v>MC</v>
      </c>
      <c r="G895" s="5" t="n">
        <f aca="false">[1]Base_Jugadores!F895</f>
        <v>78</v>
      </c>
      <c r="H895" s="5" t="n">
        <f aca="false">[1]Base_Jugadores!G895</f>
        <v>24</v>
      </c>
      <c r="I895" s="7" t="n">
        <f aca="false" t="array" ref="I895:I895">_xlfn.XLOOKUP(G895,{55;56;57;58;59;60;61;62;63;64;65;66;67;68;69;70;71;72;73;74;75;76;77;78;79;80;81;82;83;84;85;86;87;88;89;90;91;92;93;94;95;96;97;98;99},{100000;130000;160000;190000;220000;250000;300000;350000;400000;450000;500000;600000;700000;800000;900000;1000000;1500000;2000000;3000000;4000000;5000000;6500000;8000000;10000000;12500000;15000000;20000000;25000000;30000000;35000000;40000000;55000000;70000000;80000000;90000000;110000000;130000000;160000000;190000000;220000000;250000000;280000000;310000000;340000000;400000000})</f>
        <v>10000000</v>
      </c>
      <c r="J895" s="7" t="n">
        <f aca="false">I895*S895*T895*U895</f>
        <v>11115000</v>
      </c>
      <c r="K895" s="3"/>
      <c r="L895" s="3"/>
      <c r="M895" s="3"/>
      <c r="N895" s="9" t="n">
        <v>1</v>
      </c>
      <c r="O895" s="4" t="n">
        <v>0</v>
      </c>
      <c r="P895" s="5" t="n">
        <f aca="false">IF(COUNTIF([1]Base_Jugadores!J$2:J$500,B895)&gt;0,1,0)</f>
        <v>0</v>
      </c>
      <c r="Q895" s="10" t="b">
        <f aca="false">--(COUNTIFS(
   [1]Fichajes_Realizados!A$2:A$5000,A895,
   [1]Fichajes_Realizados!G$2:G$5000,$X$3
)&gt;0)</f>
        <v>0</v>
      </c>
      <c r="R895" s="5" t="n">
        <f aca="false">_xlfn.XLOOKUP(C895, [1]Estado_Equipos!A$2:A$500, [1]Estado_Equipos!J$2:J$500, "")</f>
        <v>77</v>
      </c>
      <c r="S895" s="5" t="n">
        <f aca="false">IF(H895&lt;=16,1.45,
IF(H895&gt;=41,0.3,
CHOOSE(ROUNDDOWN((H895-16)/2,0)+1,
1.45,1.38,1.3,1.23,1.17,1.15,1.12,1.05,0.95,0.8,0.6,0.4,0.3)))</f>
        <v>1.17</v>
      </c>
      <c r="T895" s="5" t="n">
        <f aca="false">CHOOSE(N895+1,1.2,1,0.85,0.7)</f>
        <v>1</v>
      </c>
      <c r="U895" s="5" t="n">
        <f aca="false">IF(F895="PO",0.6,
IF(F895="CT",0.75,
IF(F895="LI",0.8,
IF(F895="LD",0.8,
IF(F895="MCD",0.85,
IF(F895="MC",0.95,
IF(F895="MO",1.05,
IF(F895="EI",1.1,
IF(F895="ED",1.1,
IF(F895="SD",1.15,
IF(F895="DC",1.2,0)))))))))))</f>
        <v>0.95</v>
      </c>
    </row>
    <row r="896" customFormat="false" ht="16.4" hidden="false" customHeight="false" outlineLevel="0" collapsed="false">
      <c r="A896" s="1" t="n">
        <v>895</v>
      </c>
      <c r="B896" s="5" t="str">
        <f aca="false">[1]Base_Jugadores!B896</f>
        <v>Jamaal Lascelles</v>
      </c>
      <c r="C896" s="5" t="str">
        <f aca="false">IFERROR(
   _xlfn.XLOOKUP(VALUE(A896),[1]Fichajes_Realizados!A$2:A$50000,[1]Fichajes_Realizados!D$2:D$50000,,0,-1),
   _xlfn.XLOOKUP(VALUE(A896),[1]Base_Jugadores!A$2:A$50000,[1]Base_Jugadores!C$2:C$50000)
)</f>
        <v>Newclastle United</v>
      </c>
      <c r="D896" s="5" t="str">
        <f aca="false">[1]Base_Jugadores!D896</f>
        <v>Inglaterra</v>
      </c>
      <c r="E896" s="3"/>
      <c r="F896" s="5" t="str">
        <f aca="false">[1]Base_Jugadores!E896</f>
        <v>CT</v>
      </c>
      <c r="G896" s="5" t="n">
        <f aca="false">[1]Base_Jugadores!F896</f>
        <v>75</v>
      </c>
      <c r="H896" s="5" t="n">
        <f aca="false">[1]Base_Jugadores!G896</f>
        <v>32</v>
      </c>
      <c r="I896" s="7" t="n">
        <f aca="false" t="array" ref="I896:I896">_xlfn.XLOOKUP(G896,{55;56;57;58;59;60;61;62;63;64;65;66;67;68;69;70;71;72;73;74;75;76;77;78;79;80;81;82;83;84;85;86;87;88;89;90;91;92;93;94;95;96;97;98;99},{100000;130000;160000;190000;220000;250000;300000;350000;400000;450000;500000;600000;700000;800000;900000;1000000;1500000;2000000;3000000;4000000;5000000;6500000;8000000;10000000;12500000;15000000;20000000;25000000;30000000;35000000;40000000;55000000;70000000;80000000;90000000;110000000;130000000;160000000;190000000;220000000;250000000;280000000;310000000;340000000;400000000})</f>
        <v>5000000</v>
      </c>
      <c r="J896" s="7" t="n">
        <f aca="false">I896*S896*T896*U896</f>
        <v>3028125</v>
      </c>
      <c r="K896" s="3"/>
      <c r="L896" s="3"/>
      <c r="M896" s="3"/>
      <c r="N896" s="9" t="n">
        <v>2</v>
      </c>
      <c r="O896" s="4" t="n">
        <v>0</v>
      </c>
      <c r="P896" s="5" t="n">
        <f aca="false">IF(COUNTIF([1]Base_Jugadores!J$2:J$500,B896)&gt;0,1,0)</f>
        <v>0</v>
      </c>
      <c r="Q896" s="10" t="b">
        <f aca="false">--(COUNTIFS(
   [1]Fichajes_Realizados!A$2:A$5000,A896,
   [1]Fichajes_Realizados!G$2:G$5000,$X$3
)&gt;0)</f>
        <v>0</v>
      </c>
      <c r="R896" s="5" t="n">
        <f aca="false">_xlfn.XLOOKUP(C896, [1]Estado_Equipos!A$2:A$500, [1]Estado_Equipos!J$2:J$500, "")</f>
        <v>77</v>
      </c>
      <c r="S896" s="5" t="n">
        <f aca="false">IF(H896&lt;=16,1.45,
IF(H896&gt;=41,0.3,
CHOOSE(ROUNDDOWN((H896-16)/2,0)+1,
1.45,1.38,1.3,1.23,1.17,1.15,1.12,1.05,0.95,0.8,0.6,0.4,0.3)))</f>
        <v>0.95</v>
      </c>
      <c r="T896" s="5" t="n">
        <f aca="false">CHOOSE(N896+1,1.2,1,0.85,0.7)</f>
        <v>0.85</v>
      </c>
      <c r="U896" s="5" t="n">
        <f aca="false">IF(F896="PO",0.6,
IF(F896="CT",0.75,
IF(F896="LI",0.8,
IF(F896="LD",0.8,
IF(F896="MCD",0.85,
IF(F896="MC",0.95,
IF(F896="MO",1.05,
IF(F896="EI",1.1,
IF(F896="ED",1.1,
IF(F896="SD",1.15,
IF(F896="DC",1.2,0)))))))))))</f>
        <v>0.75</v>
      </c>
    </row>
    <row r="897" customFormat="false" ht="16.4" hidden="false" customHeight="false" outlineLevel="0" collapsed="false">
      <c r="A897" s="1" t="n">
        <v>896</v>
      </c>
      <c r="B897" s="5" t="str">
        <f aca="false">[1]Base_Jugadores!B897</f>
        <v>Joe Willock</v>
      </c>
      <c r="C897" s="5" t="str">
        <f aca="false">IFERROR(
   _xlfn.XLOOKUP(VALUE(A897),[1]Fichajes_Realizados!A$2:A$50000,[1]Fichajes_Realizados!D$2:D$50000,,0,-1),
   _xlfn.XLOOKUP(VALUE(A897),[1]Base_Jugadores!A$2:A$50000,[1]Base_Jugadores!C$2:C$50000)
)</f>
        <v>Newclastle United</v>
      </c>
      <c r="D897" s="5" t="str">
        <f aca="false">[1]Base_Jugadores!D897</f>
        <v>Inglaterra</v>
      </c>
      <c r="E897" s="3"/>
      <c r="F897" s="5" t="str">
        <f aca="false">[1]Base_Jugadores!E897</f>
        <v>MC</v>
      </c>
      <c r="G897" s="5" t="n">
        <f aca="false">[1]Base_Jugadores!F897</f>
        <v>78</v>
      </c>
      <c r="H897" s="5" t="n">
        <f aca="false">[1]Base_Jugadores!G897</f>
        <v>26</v>
      </c>
      <c r="I897" s="7" t="n">
        <f aca="false" t="array" ref="I897:I897">_xlfn.XLOOKUP(G897,{55;56;57;58;59;60;61;62;63;64;65;66;67;68;69;70;71;72;73;74;75;76;77;78;79;80;81;82;83;84;85;86;87;88;89;90;91;92;93;94;95;96;97;98;99},{100000;130000;160000;190000;220000;250000;300000;350000;400000;450000;500000;600000;700000;800000;900000;1000000;1500000;2000000;3000000;4000000;5000000;6500000;8000000;10000000;12500000;15000000;20000000;25000000;30000000;35000000;40000000;55000000;70000000;80000000;90000000;110000000;130000000;160000000;190000000;220000000;250000000;280000000;310000000;340000000;400000000})</f>
        <v>10000000</v>
      </c>
      <c r="J897" s="7" t="n">
        <f aca="false">I897*S897*T897*U897</f>
        <v>10925000</v>
      </c>
      <c r="K897" s="3"/>
      <c r="L897" s="3"/>
      <c r="M897" s="3"/>
      <c r="N897" s="9" t="n">
        <v>1</v>
      </c>
      <c r="O897" s="4" t="n">
        <v>0</v>
      </c>
      <c r="P897" s="5" t="n">
        <f aca="false">IF(COUNTIF([1]Base_Jugadores!J$2:J$500,B897)&gt;0,1,0)</f>
        <v>0</v>
      </c>
      <c r="Q897" s="10" t="b">
        <f aca="false">--(COUNTIFS(
   [1]Fichajes_Realizados!A$2:A$5000,A897,
   [1]Fichajes_Realizados!G$2:G$5000,$X$3
)&gt;0)</f>
        <v>0</v>
      </c>
      <c r="R897" s="5" t="n">
        <f aca="false">_xlfn.XLOOKUP(C897, [1]Estado_Equipos!A$2:A$500, [1]Estado_Equipos!J$2:J$500, "")</f>
        <v>77</v>
      </c>
      <c r="S897" s="5" t="n">
        <f aca="false">IF(H897&lt;=16,1.45,
IF(H897&gt;=41,0.3,
CHOOSE(ROUNDDOWN((H897-16)/2,0)+1,
1.45,1.38,1.3,1.23,1.17,1.15,1.12,1.05,0.95,0.8,0.6,0.4,0.3)))</f>
        <v>1.15</v>
      </c>
      <c r="T897" s="5" t="n">
        <f aca="false">CHOOSE(N897+1,1.2,1,0.85,0.7)</f>
        <v>1</v>
      </c>
      <c r="U897" s="5" t="n">
        <f aca="false">IF(F897="PO",0.6,
IF(F897="CT",0.75,
IF(F897="LI",0.8,
IF(F897="LD",0.8,
IF(F897="MCD",0.85,
IF(F897="MC",0.95,
IF(F897="MO",1.05,
IF(F897="EI",1.1,
IF(F897="ED",1.1,
IF(F897="SD",1.15,
IF(F897="DC",1.2,0)))))))))))</f>
        <v>0.95</v>
      </c>
    </row>
    <row r="898" customFormat="false" ht="16.4" hidden="false" customHeight="false" outlineLevel="0" collapsed="false">
      <c r="A898" s="1" t="n">
        <v>897</v>
      </c>
      <c r="B898" s="5" t="str">
        <f aca="false">[1]Base_Jugadores!B898</f>
        <v>Joelinton</v>
      </c>
      <c r="C898" s="5" t="str">
        <f aca="false">IFERROR(
   _xlfn.XLOOKUP(VALUE(A898),[1]Fichajes_Realizados!A$2:A$50000,[1]Fichajes_Realizados!D$2:D$50000,,0,-1),
   _xlfn.XLOOKUP(VALUE(A898),[1]Base_Jugadores!A$2:A$50000,[1]Base_Jugadores!C$2:C$50000)
)</f>
        <v>Newclastle United</v>
      </c>
      <c r="D898" s="5" t="str">
        <f aca="false">[1]Base_Jugadores!D898</f>
        <v>Brasil</v>
      </c>
      <c r="E898" s="3"/>
      <c r="F898" s="5" t="str">
        <f aca="false">[1]Base_Jugadores!E898</f>
        <v>MC</v>
      </c>
      <c r="G898" s="5" t="n">
        <f aca="false">[1]Base_Jugadores!F898</f>
        <v>83</v>
      </c>
      <c r="H898" s="5" t="n">
        <f aca="false">[1]Base_Jugadores!G898</f>
        <v>29</v>
      </c>
      <c r="I898" s="7" t="n">
        <f aca="false" t="array" ref="I898:I898">_xlfn.XLOOKUP(G898,{55;56;57;58;59;60;61;62;63;64;65;66;67;68;69;70;71;72;73;74;75;76;77;78;79;80;81;82;83;84;85;86;87;88;89;90;91;92;93;94;95;96;97;98;99},{100000;130000;160000;190000;220000;250000;300000;350000;400000;450000;500000;600000;700000;800000;900000;1000000;1500000;2000000;3000000;4000000;5000000;6500000;8000000;10000000;12500000;15000000;20000000;25000000;30000000;35000000;40000000;55000000;70000000;80000000;90000000;110000000;130000000;160000000;190000000;220000000;250000000;280000000;310000000;340000000;400000000})</f>
        <v>30000000</v>
      </c>
      <c r="J898" s="7" t="n">
        <f aca="false">I898*S898*T898*U898</f>
        <v>38304000</v>
      </c>
      <c r="K898" s="3"/>
      <c r="L898" s="3"/>
      <c r="M898" s="3"/>
      <c r="N898" s="9" t="n">
        <v>0</v>
      </c>
      <c r="O898" s="4" t="n">
        <v>0</v>
      </c>
      <c r="P898" s="5" t="n">
        <f aca="false">IF(COUNTIF([1]Base_Jugadores!J$2:J$500,B898)&gt;0,1,0)</f>
        <v>0</v>
      </c>
      <c r="Q898" s="10" t="b">
        <f aca="false">--(COUNTIFS(
   [1]Fichajes_Realizados!A$2:A$5000,A898,
   [1]Fichajes_Realizados!G$2:G$5000,$X$3
)&gt;0)</f>
        <v>0</v>
      </c>
      <c r="R898" s="5" t="n">
        <f aca="false">_xlfn.XLOOKUP(C898, [1]Estado_Equipos!A$2:A$500, [1]Estado_Equipos!J$2:J$500, "")</f>
        <v>77</v>
      </c>
      <c r="S898" s="5" t="n">
        <f aca="false">IF(H898&lt;=16,1.45,
IF(H898&gt;=41,0.3,
CHOOSE(ROUNDDOWN((H898-16)/2,0)+1,
1.45,1.38,1.3,1.23,1.17,1.15,1.12,1.05,0.95,0.8,0.6,0.4,0.3)))</f>
        <v>1.12</v>
      </c>
      <c r="T898" s="5" t="n">
        <f aca="false">CHOOSE(N898+1,1.2,1,0.85,0.7)</f>
        <v>1.2</v>
      </c>
      <c r="U898" s="5" t="n">
        <f aca="false">IF(F898="PO",0.6,
IF(F898="CT",0.75,
IF(F898="LI",0.8,
IF(F898="LD",0.8,
IF(F898="MCD",0.85,
IF(F898="MC",0.95,
IF(F898="MO",1.05,
IF(F898="EI",1.1,
IF(F898="ED",1.1,
IF(F898="SD",1.15,
IF(F898="DC",1.2,0)))))))))))</f>
        <v>0.95</v>
      </c>
    </row>
    <row r="899" customFormat="false" ht="16.4" hidden="false" customHeight="false" outlineLevel="0" collapsed="false">
      <c r="A899" s="1" t="n">
        <v>898</v>
      </c>
      <c r="B899" s="5" t="str">
        <f aca="false">[1]Base_Jugadores!B899</f>
        <v>John Ruddy</v>
      </c>
      <c r="C899" s="5" t="str">
        <f aca="false">IFERROR(
   _xlfn.XLOOKUP(VALUE(A899),[1]Fichajes_Realizados!A$2:A$50000,[1]Fichajes_Realizados!D$2:D$50000,,0,-1),
   _xlfn.XLOOKUP(VALUE(A899),[1]Base_Jugadores!A$2:A$50000,[1]Base_Jugadores!C$2:C$50000)
)</f>
        <v>Newclastle United</v>
      </c>
      <c r="D899" s="5" t="str">
        <f aca="false">[1]Base_Jugadores!D899</f>
        <v>Inglaterra</v>
      </c>
      <c r="E899" s="3"/>
      <c r="F899" s="5" t="str">
        <f aca="false">[1]Base_Jugadores!E899</f>
        <v>PO</v>
      </c>
      <c r="G899" s="5" t="n">
        <f aca="false">[1]Base_Jugadores!F899</f>
        <v>71</v>
      </c>
      <c r="H899" s="5" t="n">
        <f aca="false">[1]Base_Jugadores!G899</f>
        <v>39</v>
      </c>
      <c r="I899" s="7" t="n">
        <f aca="false" t="array" ref="I899:I899">_xlfn.XLOOKUP(G899,{55;56;57;58;59;60;61;62;63;64;65;66;67;68;69;70;71;72;73;74;75;76;77;78;79;80;81;82;83;84;85;86;87;88;89;90;91;92;93;94;95;96;97;98;99},{100000;130000;160000;190000;220000;250000;300000;350000;400000;450000;500000;600000;700000;800000;900000;1000000;1500000;2000000;3000000;4000000;5000000;6500000;8000000;10000000;12500000;15000000;20000000;25000000;30000000;35000000;40000000;55000000;70000000;80000000;90000000;110000000;130000000;160000000;190000000;220000000;250000000;280000000;310000000;340000000;400000000})</f>
        <v>1500000</v>
      </c>
      <c r="J899" s="7" t="n">
        <f aca="false">I899*S899*T899*U899</f>
        <v>306000</v>
      </c>
      <c r="K899" s="3"/>
      <c r="L899" s="3"/>
      <c r="M899" s="3"/>
      <c r="N899" s="9" t="n">
        <v>2</v>
      </c>
      <c r="O899" s="4" t="n">
        <v>0</v>
      </c>
      <c r="P899" s="5" t="n">
        <f aca="false">IF(COUNTIF([1]Base_Jugadores!J$2:J$500,B899)&gt;0,1,0)</f>
        <v>0</v>
      </c>
      <c r="Q899" s="10" t="b">
        <f aca="false">--(COUNTIFS(
   [1]Fichajes_Realizados!A$2:A$5000,A899,
   [1]Fichajes_Realizados!G$2:G$5000,$X$3
)&gt;0)</f>
        <v>0</v>
      </c>
      <c r="R899" s="5" t="n">
        <f aca="false">_xlfn.XLOOKUP(C899, [1]Estado_Equipos!A$2:A$500, [1]Estado_Equipos!J$2:J$500, "")</f>
        <v>77</v>
      </c>
      <c r="S899" s="5" t="n">
        <f aca="false">IF(H899&lt;=16,1.45,
IF(H899&gt;=41,0.3,
CHOOSE(ROUNDDOWN((H899-16)/2,0)+1,
1.45,1.38,1.3,1.23,1.17,1.15,1.12,1.05,0.95,0.8,0.6,0.4,0.3)))</f>
        <v>0.4</v>
      </c>
      <c r="T899" s="5" t="n">
        <f aca="false">CHOOSE(N899+1,1.2,1,0.85,0.7)</f>
        <v>0.85</v>
      </c>
      <c r="U899" s="5" t="n">
        <f aca="false">IF(F899="PO",0.6,
IF(F899="CT",0.75,
IF(F899="LI",0.8,
IF(F899="LD",0.8,
IF(F899="MCD",0.85,
IF(F899="MC",0.95,
IF(F899="MO",1.05,
IF(F899="EI",1.1,
IF(F899="ED",1.1,
IF(F899="SD",1.15,
IF(F899="DC",1.2,0)))))))))))</f>
        <v>0.6</v>
      </c>
    </row>
    <row r="900" customFormat="false" ht="16.4" hidden="false" customHeight="false" outlineLevel="0" collapsed="false">
      <c r="A900" s="1" t="n">
        <v>899</v>
      </c>
      <c r="B900" s="5" t="str">
        <f aca="false">[1]Base_Jugadores!B900</f>
        <v>Kieran Trippier</v>
      </c>
      <c r="C900" s="5" t="str">
        <f aca="false">IFERROR(
   _xlfn.XLOOKUP(VALUE(A900),[1]Fichajes_Realizados!A$2:A$50000,[1]Fichajes_Realizados!D$2:D$50000,,0,-1),
   _xlfn.XLOOKUP(VALUE(A900),[1]Base_Jugadores!A$2:A$50000,[1]Base_Jugadores!C$2:C$50000)
)</f>
        <v>Newclastle United</v>
      </c>
      <c r="D900" s="5" t="str">
        <f aca="false">[1]Base_Jugadores!D900</f>
        <v>Inglaterra</v>
      </c>
      <c r="E900" s="3"/>
      <c r="F900" s="5" t="str">
        <f aca="false">[1]Base_Jugadores!E900</f>
        <v>LD</v>
      </c>
      <c r="G900" s="5" t="n">
        <f aca="false">[1]Base_Jugadores!F900</f>
        <v>83</v>
      </c>
      <c r="H900" s="5" t="n">
        <f aca="false">[1]Base_Jugadores!G900</f>
        <v>35</v>
      </c>
      <c r="I900" s="7" t="n">
        <f aca="false" t="array" ref="I900:I900">_xlfn.XLOOKUP(G900,{55;56;57;58;59;60;61;62;63;64;65;66;67;68;69;70;71;72;73;74;75;76;77;78;79;80;81;82;83;84;85;86;87;88;89;90;91;92;93;94;95;96;97;98;99},{100000;130000;160000;190000;220000;250000;300000;350000;400000;450000;500000;600000;700000;800000;900000;1000000;1500000;2000000;3000000;4000000;5000000;6500000;8000000;10000000;12500000;15000000;20000000;25000000;30000000;35000000;40000000;55000000;70000000;80000000;90000000;110000000;130000000;160000000;190000000;220000000;250000000;280000000;310000000;340000000;400000000})</f>
        <v>30000000</v>
      </c>
      <c r="J900" s="7" t="n">
        <f aca="false">I900*S900*T900*U900</f>
        <v>23040000</v>
      </c>
      <c r="K900" s="3"/>
      <c r="L900" s="3"/>
      <c r="M900" s="3"/>
      <c r="N900" s="9" t="n">
        <v>0</v>
      </c>
      <c r="O900" s="4" t="n">
        <v>0</v>
      </c>
      <c r="P900" s="5" t="n">
        <f aca="false">IF(COUNTIF([1]Base_Jugadores!J$2:J$500,B900)&gt;0,1,0)</f>
        <v>0</v>
      </c>
      <c r="Q900" s="10" t="b">
        <f aca="false">--(COUNTIFS(
   [1]Fichajes_Realizados!A$2:A$5000,A900,
   [1]Fichajes_Realizados!G$2:G$5000,$X$3
)&gt;0)</f>
        <v>0</v>
      </c>
      <c r="R900" s="5" t="n">
        <f aca="false">_xlfn.XLOOKUP(C900, [1]Estado_Equipos!A$2:A$500, [1]Estado_Equipos!J$2:J$500, "")</f>
        <v>77</v>
      </c>
      <c r="S900" s="5" t="n">
        <f aca="false">IF(H900&lt;=16,1.45,
IF(H900&gt;=41,0.3,
CHOOSE(ROUNDDOWN((H900-16)/2,0)+1,
1.45,1.38,1.3,1.23,1.17,1.15,1.12,1.05,0.95,0.8,0.6,0.4,0.3)))</f>
        <v>0.8</v>
      </c>
      <c r="T900" s="5" t="n">
        <f aca="false">CHOOSE(N900+1,1.2,1,0.85,0.7)</f>
        <v>1.2</v>
      </c>
      <c r="U900" s="5" t="n">
        <f aca="false">IF(F900="PO",0.6,
IF(F900="CT",0.75,
IF(F900="LI",0.8,
IF(F900="LD",0.8,
IF(F900="MCD",0.85,
IF(F900="MC",0.95,
IF(F900="MO",1.05,
IF(F900="EI",1.1,
IF(F900="ED",1.1,
IF(F900="SD",1.15,
IF(F900="DC",1.2,0)))))))))))</f>
        <v>0.8</v>
      </c>
    </row>
    <row r="901" customFormat="false" ht="16.4" hidden="false" customHeight="false" outlineLevel="0" collapsed="false">
      <c r="A901" s="1" t="n">
        <v>900</v>
      </c>
      <c r="B901" s="5" t="str">
        <f aca="false">[1]Base_Jugadores!B901</f>
        <v>Lewis Hall</v>
      </c>
      <c r="C901" s="5" t="str">
        <f aca="false">IFERROR(
   _xlfn.XLOOKUP(VALUE(A901),[1]Fichajes_Realizados!A$2:A$50000,[1]Fichajes_Realizados!D$2:D$50000,,0,-1),
   _xlfn.XLOOKUP(VALUE(A901),[1]Base_Jugadores!A$2:A$50000,[1]Base_Jugadores!C$2:C$50000)
)</f>
        <v>Newclastle United</v>
      </c>
      <c r="D901" s="5" t="str">
        <f aca="false">[1]Base_Jugadores!D901</f>
        <v>Inglaterra</v>
      </c>
      <c r="E901" s="3"/>
      <c r="F901" s="5" t="str">
        <f aca="false">[1]Base_Jugadores!E901</f>
        <v>LI</v>
      </c>
      <c r="G901" s="5" t="n">
        <f aca="false">[1]Base_Jugadores!F901</f>
        <v>78</v>
      </c>
      <c r="H901" s="5" t="n">
        <f aca="false">[1]Base_Jugadores!G901</f>
        <v>21</v>
      </c>
      <c r="I901" s="7" t="n">
        <f aca="false" t="array" ref="I901:I901">_xlfn.XLOOKUP(G901,{55;56;57;58;59;60;61;62;63;64;65;66;67;68;69;70;71;72;73;74;75;76;77;78;79;80;81;82;83;84;85;86;87;88;89;90;91;92;93;94;95;96;97;98;99},{100000;130000;160000;190000;220000;250000;300000;350000;400000;450000;500000;600000;700000;800000;900000;1000000;1500000;2000000;3000000;4000000;5000000;6500000;8000000;10000000;12500000;15000000;20000000;25000000;30000000;35000000;40000000;55000000;70000000;80000000;90000000;110000000;130000000;160000000;190000000;220000000;250000000;280000000;310000000;340000000;400000000})</f>
        <v>10000000</v>
      </c>
      <c r="J901" s="7" t="n">
        <f aca="false">I901*S901*T901*U901</f>
        <v>12480000</v>
      </c>
      <c r="K901" s="3"/>
      <c r="L901" s="3"/>
      <c r="M901" s="3"/>
      <c r="N901" s="9" t="n">
        <v>0</v>
      </c>
      <c r="O901" s="4" t="n">
        <v>1</v>
      </c>
      <c r="P901" s="5" t="n">
        <f aca="false">IF(COUNTIF([1]Base_Jugadores!J$2:J$500,B901)&gt;0,1,0)</f>
        <v>0</v>
      </c>
      <c r="Q901" s="10" t="b">
        <f aca="false">--(COUNTIFS(
   [1]Fichajes_Realizados!A$2:A$5000,A901,
   [1]Fichajes_Realizados!G$2:G$5000,$X$3
)&gt;0)</f>
        <v>0</v>
      </c>
      <c r="R901" s="5" t="n">
        <f aca="false">_xlfn.XLOOKUP(C901, [1]Estado_Equipos!A$2:A$500, [1]Estado_Equipos!J$2:J$500, "")</f>
        <v>77</v>
      </c>
      <c r="S901" s="5" t="n">
        <f aca="false">IF(H901&lt;=16,1.45,
IF(H901&gt;=41,0.3,
CHOOSE(ROUNDDOWN((H901-16)/2,0)+1,
1.45,1.38,1.3,1.23,1.17,1.15,1.12,1.05,0.95,0.8,0.6,0.4,0.3)))</f>
        <v>1.3</v>
      </c>
      <c r="T901" s="5" t="n">
        <f aca="false">CHOOSE(N901+1,1.2,1,0.85,0.7)</f>
        <v>1.2</v>
      </c>
      <c r="U901" s="5" t="n">
        <f aca="false">IF(F901="PO",0.6,
IF(F901="CT",0.75,
IF(F901="LI",0.8,
IF(F901="LD",0.8,
IF(F901="MCD",0.85,
IF(F901="MC",0.95,
IF(F901="MO",1.05,
IF(F901="EI",1.1,
IF(F901="ED",1.1,
IF(F901="SD",1.15,
IF(F901="DC",1.2,0)))))))))))</f>
        <v>0.8</v>
      </c>
    </row>
    <row r="902" customFormat="false" ht="16.4" hidden="false" customHeight="false" outlineLevel="0" collapsed="false">
      <c r="A902" s="1" t="n">
        <v>901</v>
      </c>
      <c r="B902" s="5" t="str">
        <f aca="false">[1]Base_Jugadores!B902</f>
        <v>Lewis Miley</v>
      </c>
      <c r="C902" s="5" t="str">
        <f aca="false">IFERROR(
   _xlfn.XLOOKUP(VALUE(A902),[1]Fichajes_Realizados!A$2:A$50000,[1]Fichajes_Realizados!D$2:D$50000,,0,-1),
   _xlfn.XLOOKUP(VALUE(A902),[1]Base_Jugadores!A$2:A$50000,[1]Base_Jugadores!C$2:C$50000)
)</f>
        <v>Newclastle United</v>
      </c>
      <c r="D902" s="5" t="str">
        <f aca="false">[1]Base_Jugadores!D902</f>
        <v>Inglaterra</v>
      </c>
      <c r="E902" s="3"/>
      <c r="F902" s="5" t="str">
        <f aca="false">[1]Base_Jugadores!E902</f>
        <v>MC</v>
      </c>
      <c r="G902" s="5" t="n">
        <f aca="false">[1]Base_Jugadores!F902</f>
        <v>72</v>
      </c>
      <c r="H902" s="5" t="n">
        <f aca="false">[1]Base_Jugadores!G902</f>
        <v>19</v>
      </c>
      <c r="I902" s="7" t="n">
        <f aca="false" t="array" ref="I902:I902">_xlfn.XLOOKUP(G902,{55;56;57;58;59;60;61;62;63;64;65;66;67;68;69;70;71;72;73;74;75;76;77;78;79;80;81;82;83;84;85;86;87;88;89;90;91;92;93;94;95;96;97;98;99},{100000;130000;160000;190000;220000;250000;300000;350000;400000;450000;500000;600000;700000;800000;900000;1000000;1500000;2000000;3000000;4000000;5000000;6500000;8000000;10000000;12500000;15000000;20000000;25000000;30000000;35000000;40000000;55000000;70000000;80000000;90000000;110000000;130000000;160000000;190000000;220000000;250000000;280000000;310000000;340000000;400000000})</f>
        <v>2000000</v>
      </c>
      <c r="J902" s="7" t="n">
        <f aca="false">I902*S902*T902*U902</f>
        <v>2228700</v>
      </c>
      <c r="K902" s="3"/>
      <c r="L902" s="3"/>
      <c r="M902" s="3"/>
      <c r="N902" s="9" t="n">
        <v>2</v>
      </c>
      <c r="O902" s="4" t="n">
        <v>0</v>
      </c>
      <c r="P902" s="5" t="n">
        <f aca="false">IF(COUNTIF([1]Base_Jugadores!J$2:J$500,B902)&gt;0,1,0)</f>
        <v>0</v>
      </c>
      <c r="Q902" s="10" t="b">
        <f aca="false">--(COUNTIFS(
   [1]Fichajes_Realizados!A$2:A$5000,A902,
   [1]Fichajes_Realizados!G$2:G$5000,$X$3
)&gt;0)</f>
        <v>0</v>
      </c>
      <c r="R902" s="5" t="n">
        <f aca="false">_xlfn.XLOOKUP(C902, [1]Estado_Equipos!A$2:A$500, [1]Estado_Equipos!J$2:J$500, "")</f>
        <v>77</v>
      </c>
      <c r="S902" s="5" t="n">
        <f aca="false">IF(H902&lt;=16,1.45,
IF(H902&gt;=41,0.3,
CHOOSE(ROUNDDOWN((H902-16)/2,0)+1,
1.45,1.38,1.3,1.23,1.17,1.15,1.12,1.05,0.95,0.8,0.6,0.4,0.3)))</f>
        <v>1.38</v>
      </c>
      <c r="T902" s="5" t="n">
        <f aca="false">CHOOSE(N902+1,1.2,1,0.85,0.7)</f>
        <v>0.85</v>
      </c>
      <c r="U902" s="5" t="n">
        <f aca="false">IF(F902="PO",0.6,
IF(F902="CT",0.75,
IF(F902="LI",0.8,
IF(F902="LD",0.8,
IF(F902="MCD",0.85,
IF(F902="MC",0.95,
IF(F902="MO",1.05,
IF(F902="EI",1.1,
IF(F902="ED",1.1,
IF(F902="SD",1.15,
IF(F902="DC",1.2,0)))))))))))</f>
        <v>0.95</v>
      </c>
    </row>
    <row r="903" customFormat="false" ht="16.4" hidden="false" customHeight="false" outlineLevel="0" collapsed="false">
      <c r="A903" s="1" t="n">
        <v>902</v>
      </c>
      <c r="B903" s="5" t="str">
        <f aca="false">[1]Base_Jugadores!B903</f>
        <v>Malick Thiaw</v>
      </c>
      <c r="C903" s="5" t="str">
        <f aca="false">IFERROR(
   _xlfn.XLOOKUP(VALUE(A903),[1]Fichajes_Realizados!A$2:A$50000,[1]Fichajes_Realizados!D$2:D$50000,,0,-1),
   _xlfn.XLOOKUP(VALUE(A903),[1]Base_Jugadores!A$2:A$50000,[1]Base_Jugadores!C$2:C$50000)
)</f>
        <v>Newclastle United</v>
      </c>
      <c r="D903" s="5" t="str">
        <f aca="false">[1]Base_Jugadores!D903</f>
        <v>Alemania</v>
      </c>
      <c r="E903" s="3"/>
      <c r="F903" s="5" t="str">
        <f aca="false">[1]Base_Jugadores!E903</f>
        <v>CT</v>
      </c>
      <c r="G903" s="5" t="n">
        <f aca="false">[1]Base_Jugadores!F903</f>
        <v>78</v>
      </c>
      <c r="H903" s="5" t="n">
        <f aca="false">[1]Base_Jugadores!G903</f>
        <v>24</v>
      </c>
      <c r="I903" s="7" t="n">
        <f aca="false" t="array" ref="I903:I903">_xlfn.XLOOKUP(G903,{55;56;57;58;59;60;61;62;63;64;65;66;67;68;69;70;71;72;73;74;75;76;77;78;79;80;81;82;83;84;85;86;87;88;89;90;91;92;93;94;95;96;97;98;99},{100000;130000;160000;190000;220000;250000;300000;350000;400000;450000;500000;600000;700000;800000;900000;1000000;1500000;2000000;3000000;4000000;5000000;6500000;8000000;10000000;12500000;15000000;20000000;25000000;30000000;35000000;40000000;55000000;70000000;80000000;90000000;110000000;130000000;160000000;190000000;220000000;250000000;280000000;310000000;340000000;400000000})</f>
        <v>10000000</v>
      </c>
      <c r="J903" s="7" t="n">
        <f aca="false">I903*S903*T903*U903</f>
        <v>7458750</v>
      </c>
      <c r="K903" s="3"/>
      <c r="L903" s="3"/>
      <c r="M903" s="3"/>
      <c r="N903" s="9" t="n">
        <v>2</v>
      </c>
      <c r="O903" s="4" t="n">
        <v>0</v>
      </c>
      <c r="P903" s="5" t="n">
        <f aca="false">IF(COUNTIF([1]Base_Jugadores!J$2:J$500,B903)&gt;0,1,0)</f>
        <v>0</v>
      </c>
      <c r="Q903" s="10" t="b">
        <f aca="false">--(COUNTIFS(
   [1]Fichajes_Realizados!A$2:A$5000,A903,
   [1]Fichajes_Realizados!G$2:G$5000,$X$3
)&gt;0)</f>
        <v>0</v>
      </c>
      <c r="R903" s="5" t="n">
        <f aca="false">_xlfn.XLOOKUP(C903, [1]Estado_Equipos!A$2:A$500, [1]Estado_Equipos!J$2:J$500, "")</f>
        <v>77</v>
      </c>
      <c r="S903" s="5" t="n">
        <f aca="false">IF(H903&lt;=16,1.45,
IF(H903&gt;=41,0.3,
CHOOSE(ROUNDDOWN((H903-16)/2,0)+1,
1.45,1.38,1.3,1.23,1.17,1.15,1.12,1.05,0.95,0.8,0.6,0.4,0.3)))</f>
        <v>1.17</v>
      </c>
      <c r="T903" s="5" t="n">
        <f aca="false">CHOOSE(N903+1,1.2,1,0.85,0.7)</f>
        <v>0.85</v>
      </c>
      <c r="U903" s="5" t="n">
        <f aca="false">IF(F903="PO",0.6,
IF(F903="CT",0.75,
IF(F903="LI",0.8,
IF(F903="LD",0.8,
IF(F903="MCD",0.85,
IF(F903="MC",0.95,
IF(F903="MO",1.05,
IF(F903="EI",1.1,
IF(F903="ED",1.1,
IF(F903="SD",1.15,
IF(F903="DC",1.2,0)))))))))))</f>
        <v>0.75</v>
      </c>
    </row>
    <row r="904" customFormat="false" ht="16.4" hidden="false" customHeight="false" outlineLevel="0" collapsed="false">
      <c r="A904" s="1" t="n">
        <v>903</v>
      </c>
      <c r="B904" s="5" t="str">
        <f aca="false">[1]Base_Jugadores!B904</f>
        <v>Mark Gillespie</v>
      </c>
      <c r="C904" s="5" t="str">
        <f aca="false">IFERROR(
   _xlfn.XLOOKUP(VALUE(A904),[1]Fichajes_Realizados!A$2:A$50000,[1]Fichajes_Realizados!D$2:D$50000,,0,-1),
   _xlfn.XLOOKUP(VALUE(A904),[1]Base_Jugadores!A$2:A$50000,[1]Base_Jugadores!C$2:C$50000)
)</f>
        <v>Newclastle United</v>
      </c>
      <c r="D904" s="5" t="str">
        <f aca="false">[1]Base_Jugadores!D904</f>
        <v>Inglaterra</v>
      </c>
      <c r="E904" s="3"/>
      <c r="F904" s="5" t="str">
        <f aca="false">[1]Base_Jugadores!E904</f>
        <v>PO</v>
      </c>
      <c r="G904" s="5" t="n">
        <f aca="false">[1]Base_Jugadores!F904</f>
        <v>66</v>
      </c>
      <c r="H904" s="5" t="n">
        <f aca="false">[1]Base_Jugadores!G904</f>
        <v>33</v>
      </c>
      <c r="I904" s="7" t="n">
        <f aca="false" t="array" ref="I904:I904">_xlfn.XLOOKUP(G904,{55;56;57;58;59;60;61;62;63;64;65;66;67;68;69;70;71;72;73;74;75;76;77;78;79;80;81;82;83;84;85;86;87;88;89;90;91;92;93;94;95;96;97;98;99},{100000;130000;160000;190000;220000;250000;300000;350000;400000;450000;500000;600000;700000;800000;900000;1000000;1500000;2000000;3000000;4000000;5000000;6500000;8000000;10000000;12500000;15000000;20000000;25000000;30000000;35000000;40000000;55000000;70000000;80000000;90000000;110000000;130000000;160000000;190000000;220000000;250000000;280000000;310000000;340000000;400000000})</f>
        <v>600000</v>
      </c>
      <c r="J904" s="7" t="n">
        <f aca="false">I904*S904*T904*U904</f>
        <v>290700</v>
      </c>
      <c r="K904" s="3"/>
      <c r="L904" s="3"/>
      <c r="M904" s="3"/>
      <c r="N904" s="9" t="n">
        <v>2</v>
      </c>
      <c r="O904" s="4" t="n">
        <v>0</v>
      </c>
      <c r="P904" s="5" t="n">
        <f aca="false">IF(COUNTIF([1]Base_Jugadores!J$2:J$500,B904)&gt;0,1,0)</f>
        <v>0</v>
      </c>
      <c r="Q904" s="10" t="b">
        <f aca="false">--(COUNTIFS(
   [1]Fichajes_Realizados!A$2:A$5000,A904,
   [1]Fichajes_Realizados!G$2:G$5000,$X$3
)&gt;0)</f>
        <v>0</v>
      </c>
      <c r="R904" s="5" t="n">
        <f aca="false">_xlfn.XLOOKUP(C904, [1]Estado_Equipos!A$2:A$500, [1]Estado_Equipos!J$2:J$500, "")</f>
        <v>77</v>
      </c>
      <c r="S904" s="5" t="n">
        <f aca="false">IF(H904&lt;=16,1.45,
IF(H904&gt;=41,0.3,
CHOOSE(ROUNDDOWN((H904-16)/2,0)+1,
1.45,1.38,1.3,1.23,1.17,1.15,1.12,1.05,0.95,0.8,0.6,0.4,0.3)))</f>
        <v>0.95</v>
      </c>
      <c r="T904" s="5" t="n">
        <f aca="false">CHOOSE(N904+1,1.2,1,0.85,0.7)</f>
        <v>0.85</v>
      </c>
      <c r="U904" s="5" t="n">
        <f aca="false">IF(F904="PO",0.6,
IF(F904="CT",0.75,
IF(F904="LI",0.8,
IF(F904="LD",0.8,
IF(F904="MCD",0.85,
IF(F904="MC",0.95,
IF(F904="MO",1.05,
IF(F904="EI",1.1,
IF(F904="ED",1.1,
IF(F904="SD",1.15,
IF(F904="DC",1.2,0)))))))))))</f>
        <v>0.6</v>
      </c>
    </row>
    <row r="905" customFormat="false" ht="16.4" hidden="false" customHeight="false" outlineLevel="0" collapsed="false">
      <c r="A905" s="1" t="n">
        <v>904</v>
      </c>
      <c r="B905" s="5" t="str">
        <f aca="false">[1]Base_Jugadores!B905</f>
        <v>Nick Pope</v>
      </c>
      <c r="C905" s="5" t="str">
        <f aca="false">IFERROR(
   _xlfn.XLOOKUP(VALUE(A905),[1]Fichajes_Realizados!A$2:A$50000,[1]Fichajes_Realizados!D$2:D$50000,,0,-1),
   _xlfn.XLOOKUP(VALUE(A905),[1]Base_Jugadores!A$2:A$50000,[1]Base_Jugadores!C$2:C$50000)
)</f>
        <v>Newclastle United</v>
      </c>
      <c r="D905" s="5" t="str">
        <f aca="false">[1]Base_Jugadores!D905</f>
        <v>Inglaterra</v>
      </c>
      <c r="E905" s="3"/>
      <c r="F905" s="5" t="str">
        <f aca="false">[1]Base_Jugadores!E905</f>
        <v>PO</v>
      </c>
      <c r="G905" s="5" t="n">
        <f aca="false">[1]Base_Jugadores!F905</f>
        <v>83</v>
      </c>
      <c r="H905" s="5" t="n">
        <f aca="false">[1]Base_Jugadores!G905</f>
        <v>33</v>
      </c>
      <c r="I905" s="7" t="n">
        <f aca="false" t="array" ref="I905:I905">_xlfn.XLOOKUP(G905,{55;56;57;58;59;60;61;62;63;64;65;66;67;68;69;70;71;72;73;74;75;76;77;78;79;80;81;82;83;84;85;86;87;88;89;90;91;92;93;94;95;96;97;98;99},{100000;130000;160000;190000;220000;250000;300000;350000;400000;450000;500000;600000;700000;800000;900000;1000000;1500000;2000000;3000000;4000000;5000000;6500000;8000000;10000000;12500000;15000000;20000000;25000000;30000000;35000000;40000000;55000000;70000000;80000000;90000000;110000000;130000000;160000000;190000000;220000000;250000000;280000000;310000000;340000000;400000000})</f>
        <v>30000000</v>
      </c>
      <c r="J905" s="7" t="n">
        <f aca="false">I905*S905*T905*U905</f>
        <v>20520000</v>
      </c>
      <c r="K905" s="3"/>
      <c r="L905" s="3"/>
      <c r="M905" s="3"/>
      <c r="N905" s="9" t="n">
        <v>0</v>
      </c>
      <c r="O905" s="4" t="n">
        <v>0</v>
      </c>
      <c r="P905" s="5" t="n">
        <f aca="false">IF(COUNTIF([1]Base_Jugadores!J$2:J$500,B905)&gt;0,1,0)</f>
        <v>0</v>
      </c>
      <c r="Q905" s="10" t="b">
        <f aca="false">--(COUNTIFS(
   [1]Fichajes_Realizados!A$2:A$5000,A905,
   [1]Fichajes_Realizados!G$2:G$5000,$X$3
)&gt;0)</f>
        <v>0</v>
      </c>
      <c r="R905" s="5" t="n">
        <f aca="false">_xlfn.XLOOKUP(C905, [1]Estado_Equipos!A$2:A$500, [1]Estado_Equipos!J$2:J$500, "")</f>
        <v>77</v>
      </c>
      <c r="S905" s="5" t="n">
        <f aca="false">IF(H905&lt;=16,1.45,
IF(H905&gt;=41,0.3,
CHOOSE(ROUNDDOWN((H905-16)/2,0)+1,
1.45,1.38,1.3,1.23,1.17,1.15,1.12,1.05,0.95,0.8,0.6,0.4,0.3)))</f>
        <v>0.95</v>
      </c>
      <c r="T905" s="5" t="n">
        <f aca="false">CHOOSE(N905+1,1.2,1,0.85,0.7)</f>
        <v>1.2</v>
      </c>
      <c r="U905" s="5" t="n">
        <f aca="false">IF(F905="PO",0.6,
IF(F905="CT",0.75,
IF(F905="LI",0.8,
IF(F905="LD",0.8,
IF(F905="MCD",0.85,
IF(F905="MC",0.95,
IF(F905="MO",1.05,
IF(F905="EI",1.1,
IF(F905="ED",1.1,
IF(F905="SD",1.15,
IF(F905="DC",1.2,0)))))))))))</f>
        <v>0.6</v>
      </c>
    </row>
    <row r="906" customFormat="false" ht="16.4" hidden="false" customHeight="false" outlineLevel="0" collapsed="false">
      <c r="A906" s="1" t="n">
        <v>905</v>
      </c>
      <c r="B906" s="5" t="str">
        <f aca="false">[1]Base_Jugadores!B906</f>
        <v>Nick Woltemade</v>
      </c>
      <c r="C906" s="5" t="str">
        <f aca="false">IFERROR(
   _xlfn.XLOOKUP(VALUE(A906),[1]Fichajes_Realizados!A$2:A$50000,[1]Fichajes_Realizados!D$2:D$50000,,0,-1),
   _xlfn.XLOOKUP(VALUE(A906),[1]Base_Jugadores!A$2:A$50000,[1]Base_Jugadores!C$2:C$50000)
)</f>
        <v>Newclastle United</v>
      </c>
      <c r="D906" s="5" t="str">
        <f aca="false">[1]Base_Jugadores!D906</f>
        <v>Alemania</v>
      </c>
      <c r="E906" s="3"/>
      <c r="F906" s="5" t="str">
        <f aca="false">[1]Base_Jugadores!E906</f>
        <v>DC</v>
      </c>
      <c r="G906" s="5" t="n">
        <f aca="false">[1]Base_Jugadores!F906</f>
        <v>74</v>
      </c>
      <c r="H906" s="5" t="n">
        <f aca="false">[1]Base_Jugadores!G906</f>
        <v>23</v>
      </c>
      <c r="I906" s="7" t="n">
        <f aca="false" t="array" ref="I906:I906">_xlfn.XLOOKUP(G906,{55;56;57;58;59;60;61;62;63;64;65;66;67;68;69;70;71;72;73;74;75;76;77;78;79;80;81;82;83;84;85;86;87;88;89;90;91;92;93;94;95;96;97;98;99},{100000;130000;160000;190000;220000;250000;300000;350000;400000;450000;500000;600000;700000;800000;900000;1000000;1500000;2000000;3000000;4000000;5000000;6500000;8000000;10000000;12500000;15000000;20000000;25000000;30000000;35000000;40000000;55000000;70000000;80000000;90000000;110000000;130000000;160000000;190000000;220000000;250000000;280000000;310000000;340000000;400000000})</f>
        <v>4000000</v>
      </c>
      <c r="J906" s="7" t="n">
        <f aca="false">I906*S906*T906*U906</f>
        <v>5018400</v>
      </c>
      <c r="K906" s="3"/>
      <c r="L906" s="3"/>
      <c r="M906" s="3"/>
      <c r="N906" s="9" t="n">
        <v>2</v>
      </c>
      <c r="O906" s="4" t="n">
        <v>0</v>
      </c>
      <c r="P906" s="5" t="n">
        <f aca="false">IF(COUNTIF([1]Base_Jugadores!J$2:J$500,B906)&gt;0,1,0)</f>
        <v>0</v>
      </c>
      <c r="Q906" s="10" t="b">
        <f aca="false">--(COUNTIFS(
   [1]Fichajes_Realizados!A$2:A$5000,A906,
   [1]Fichajes_Realizados!G$2:G$5000,$X$3
)&gt;0)</f>
        <v>0</v>
      </c>
      <c r="R906" s="5" t="n">
        <f aca="false">_xlfn.XLOOKUP(C906, [1]Estado_Equipos!A$2:A$500, [1]Estado_Equipos!J$2:J$500, "")</f>
        <v>77</v>
      </c>
      <c r="S906" s="5" t="n">
        <f aca="false">IF(H906&lt;=16,1.45,
IF(H906&gt;=41,0.3,
CHOOSE(ROUNDDOWN((H906-16)/2,0)+1,
1.45,1.38,1.3,1.23,1.17,1.15,1.12,1.05,0.95,0.8,0.6,0.4,0.3)))</f>
        <v>1.23</v>
      </c>
      <c r="T906" s="5" t="n">
        <f aca="false">CHOOSE(N906+1,1.2,1,0.85,0.7)</f>
        <v>0.85</v>
      </c>
      <c r="U906" s="5" t="n">
        <f aca="false">IF(F906="PO",0.6,
IF(F906="CT",0.75,
IF(F906="LI",0.8,
IF(F906="LD",0.8,
IF(F906="MCD",0.85,
IF(F906="MC",0.95,
IF(F906="MO",1.05,
IF(F906="EI",1.1,
IF(F906="ED",1.1,
IF(F906="SD",1.15,
IF(F906="DC",1.2,0)))))))))))</f>
        <v>1.2</v>
      </c>
    </row>
    <row r="907" customFormat="false" ht="16.4" hidden="false" customHeight="false" outlineLevel="0" collapsed="false">
      <c r="A907" s="1" t="n">
        <v>906</v>
      </c>
      <c r="B907" s="5" t="str">
        <f aca="false">[1]Base_Jugadores!B907</f>
        <v>Sandro Tonali</v>
      </c>
      <c r="C907" s="5" t="str">
        <f aca="false">IFERROR(
   _xlfn.XLOOKUP(VALUE(A907),[1]Fichajes_Realizados!A$2:A$50000,[1]Fichajes_Realizados!D$2:D$50000,,0,-1),
   _xlfn.XLOOKUP(VALUE(A907),[1]Base_Jugadores!A$2:A$50000,[1]Base_Jugadores!C$2:C$50000)
)</f>
        <v>Newclastle United</v>
      </c>
      <c r="D907" s="5" t="str">
        <f aca="false">[1]Base_Jugadores!D907</f>
        <v>Italia</v>
      </c>
      <c r="E907" s="3"/>
      <c r="F907" s="5" t="str">
        <f aca="false">[1]Base_Jugadores!E907</f>
        <v>MCD</v>
      </c>
      <c r="G907" s="5" t="n">
        <f aca="false">[1]Base_Jugadores!F907</f>
        <v>85</v>
      </c>
      <c r="H907" s="5" t="n">
        <f aca="false">[1]Base_Jugadores!G907</f>
        <v>25</v>
      </c>
      <c r="I907" s="7" t="n">
        <f aca="false" t="array" ref="I907:I907">_xlfn.XLOOKUP(G907,{55;56;57;58;59;60;61;62;63;64;65;66;67;68;69;70;71;72;73;74;75;76;77;78;79;80;81;82;83;84;85;86;87;88;89;90;91;92;93;94;95;96;97;98;99},{100000;130000;160000;190000;220000;250000;300000;350000;400000;450000;500000;600000;700000;800000;900000;1000000;1500000;2000000;3000000;4000000;5000000;6500000;8000000;10000000;12500000;15000000;20000000;25000000;30000000;35000000;40000000;55000000;70000000;80000000;90000000;110000000;130000000;160000000;190000000;220000000;250000000;280000000;310000000;340000000;400000000})</f>
        <v>40000000</v>
      </c>
      <c r="J907" s="7" t="n">
        <f aca="false">I907*S907*T907*U907</f>
        <v>47736000</v>
      </c>
      <c r="K907" s="3"/>
      <c r="L907" s="3"/>
      <c r="M907" s="3"/>
      <c r="N907" s="9" t="n">
        <v>0</v>
      </c>
      <c r="O907" s="4" t="n">
        <v>0</v>
      </c>
      <c r="P907" s="5" t="n">
        <f aca="false">IF(COUNTIF([1]Base_Jugadores!J$2:J$500,B907)&gt;0,1,0)</f>
        <v>0</v>
      </c>
      <c r="Q907" s="10" t="b">
        <f aca="false">--(COUNTIFS(
   [1]Fichajes_Realizados!A$2:A$5000,A907,
   [1]Fichajes_Realizados!G$2:G$5000,$X$3
)&gt;0)</f>
        <v>0</v>
      </c>
      <c r="R907" s="5" t="n">
        <f aca="false">_xlfn.XLOOKUP(C907, [1]Estado_Equipos!A$2:A$500, [1]Estado_Equipos!J$2:J$500, "")</f>
        <v>77</v>
      </c>
      <c r="S907" s="5" t="n">
        <f aca="false">IF(H907&lt;=16,1.45,
IF(H907&gt;=41,0.3,
CHOOSE(ROUNDDOWN((H907-16)/2,0)+1,
1.45,1.38,1.3,1.23,1.17,1.15,1.12,1.05,0.95,0.8,0.6,0.4,0.3)))</f>
        <v>1.17</v>
      </c>
      <c r="T907" s="5" t="n">
        <f aca="false">CHOOSE(N907+1,1.2,1,0.85,0.7)</f>
        <v>1.2</v>
      </c>
      <c r="U907" s="5" t="n">
        <f aca="false">IF(F907="PO",0.6,
IF(F907="CT",0.75,
IF(F907="LI",0.8,
IF(F907="LD",0.8,
IF(F907="MCD",0.85,
IF(F907="MC",0.95,
IF(F907="MO",1.05,
IF(F907="EI",1.1,
IF(F907="ED",1.1,
IF(F907="SD",1.15,
IF(F907="DC",1.2,0)))))))))))</f>
        <v>0.85</v>
      </c>
    </row>
    <row r="908" customFormat="false" ht="16.4" hidden="false" customHeight="false" outlineLevel="0" collapsed="false">
      <c r="A908" s="1" t="n">
        <v>907</v>
      </c>
      <c r="B908" s="5" t="str">
        <f aca="false">[1]Base_Jugadores!B908</f>
        <v>Sven Botman</v>
      </c>
      <c r="C908" s="5" t="str">
        <f aca="false">IFERROR(
   _xlfn.XLOOKUP(VALUE(A908),[1]Fichajes_Realizados!A$2:A$50000,[1]Fichajes_Realizados!D$2:D$50000,,0,-1),
   _xlfn.XLOOKUP(VALUE(A908),[1]Base_Jugadores!A$2:A$50000,[1]Base_Jugadores!C$2:C$50000)
)</f>
        <v>Newclastle United</v>
      </c>
      <c r="D908" s="5" t="str">
        <f aca="false">[1]Base_Jugadores!D908</f>
        <v>Países Bajos</v>
      </c>
      <c r="E908" s="3"/>
      <c r="F908" s="5" t="str">
        <f aca="false">[1]Base_Jugadores!E908</f>
        <v>CT</v>
      </c>
      <c r="G908" s="5" t="n">
        <f aca="false">[1]Base_Jugadores!F908</f>
        <v>83</v>
      </c>
      <c r="H908" s="5" t="n">
        <f aca="false">[1]Base_Jugadores!G908</f>
        <v>25</v>
      </c>
      <c r="I908" s="7" t="n">
        <f aca="false" t="array" ref="I908:I908">_xlfn.XLOOKUP(G908,{55;56;57;58;59;60;61;62;63;64;65;66;67;68;69;70;71;72;73;74;75;76;77;78;79;80;81;82;83;84;85;86;87;88;89;90;91;92;93;94;95;96;97;98;99},{100000;130000;160000;190000;220000;250000;300000;350000;400000;450000;500000;600000;700000;800000;900000;1000000;1500000;2000000;3000000;4000000;5000000;6500000;8000000;10000000;12500000;15000000;20000000;25000000;30000000;35000000;40000000;55000000;70000000;80000000;90000000;110000000;130000000;160000000;190000000;220000000;250000000;280000000;310000000;340000000;400000000})</f>
        <v>30000000</v>
      </c>
      <c r="J908" s="7" t="n">
        <f aca="false">I908*S908*T908*U908</f>
        <v>31590000</v>
      </c>
      <c r="K908" s="3"/>
      <c r="L908" s="3"/>
      <c r="M908" s="3"/>
      <c r="N908" s="9" t="n">
        <v>0</v>
      </c>
      <c r="O908" s="4" t="n">
        <v>0</v>
      </c>
      <c r="P908" s="5" t="n">
        <f aca="false">IF(COUNTIF([1]Base_Jugadores!J$2:J$500,B908)&gt;0,1,0)</f>
        <v>0</v>
      </c>
      <c r="Q908" s="10" t="b">
        <f aca="false">--(COUNTIFS(
   [1]Fichajes_Realizados!A$2:A$5000,A908,
   [1]Fichajes_Realizados!G$2:G$5000,$X$3
)&gt;0)</f>
        <v>0</v>
      </c>
      <c r="R908" s="5" t="n">
        <f aca="false">_xlfn.XLOOKUP(C908, [1]Estado_Equipos!A$2:A$500, [1]Estado_Equipos!J$2:J$500, "")</f>
        <v>77</v>
      </c>
      <c r="S908" s="5" t="n">
        <f aca="false">IF(H908&lt;=16,1.45,
IF(H908&gt;=41,0.3,
CHOOSE(ROUNDDOWN((H908-16)/2,0)+1,
1.45,1.38,1.3,1.23,1.17,1.15,1.12,1.05,0.95,0.8,0.6,0.4,0.3)))</f>
        <v>1.17</v>
      </c>
      <c r="T908" s="5" t="n">
        <f aca="false">CHOOSE(N908+1,1.2,1,0.85,0.7)</f>
        <v>1.2</v>
      </c>
      <c r="U908" s="5" t="n">
        <f aca="false">IF(F908="PO",0.6,
IF(F908="CT",0.75,
IF(F908="LI",0.8,
IF(F908="LD",0.8,
IF(F908="MCD",0.85,
IF(F908="MC",0.95,
IF(F908="MO",1.05,
IF(F908="EI",1.1,
IF(F908="ED",1.1,
IF(F908="SD",1.15,
IF(F908="DC",1.2,0)))))))))))</f>
        <v>0.75</v>
      </c>
    </row>
    <row r="909" customFormat="false" ht="16.4" hidden="false" customHeight="false" outlineLevel="0" collapsed="false">
      <c r="A909" s="1" t="n">
        <v>908</v>
      </c>
      <c r="B909" s="5" t="str">
        <f aca="false">[1]Base_Jugadores!B909</f>
        <v>Tino Livramento</v>
      </c>
      <c r="C909" s="5" t="str">
        <f aca="false">IFERROR(
   _xlfn.XLOOKUP(VALUE(A909),[1]Fichajes_Realizados!A$2:A$50000,[1]Fichajes_Realizados!D$2:D$50000,,0,-1),
   _xlfn.XLOOKUP(VALUE(A909),[1]Base_Jugadores!A$2:A$50000,[1]Base_Jugadores!C$2:C$50000)
)</f>
        <v>Newclastle United</v>
      </c>
      <c r="D909" s="5" t="str">
        <f aca="false">[1]Base_Jugadores!D909</f>
        <v>Inglaterra</v>
      </c>
      <c r="E909" s="3"/>
      <c r="F909" s="5" t="str">
        <f aca="false">[1]Base_Jugadores!E909</f>
        <v>LD</v>
      </c>
      <c r="G909" s="5" t="n">
        <f aca="false">[1]Base_Jugadores!F909</f>
        <v>78</v>
      </c>
      <c r="H909" s="5" t="n">
        <f aca="false">[1]Base_Jugadores!G909</f>
        <v>23</v>
      </c>
      <c r="I909" s="7" t="n">
        <f aca="false" t="array" ref="I909:I909">_xlfn.XLOOKUP(G909,{55;56;57;58;59;60;61;62;63;64;65;66;67;68;69;70;71;72;73;74;75;76;77;78;79;80;81;82;83;84;85;86;87;88;89;90;91;92;93;94;95;96;97;98;99},{100000;130000;160000;190000;220000;250000;300000;350000;400000;450000;500000;600000;700000;800000;900000;1000000;1500000;2000000;3000000;4000000;5000000;6500000;8000000;10000000;12500000;15000000;20000000;25000000;30000000;35000000;40000000;55000000;70000000;80000000;90000000;110000000;130000000;160000000;190000000;220000000;250000000;280000000;310000000;340000000;400000000})</f>
        <v>10000000</v>
      </c>
      <c r="J909" s="7" t="n">
        <f aca="false">I909*S909*T909*U909</f>
        <v>9840000</v>
      </c>
      <c r="K909" s="3"/>
      <c r="L909" s="3"/>
      <c r="M909" s="3"/>
      <c r="N909" s="9" t="n">
        <v>1</v>
      </c>
      <c r="O909" s="4" t="n">
        <v>0</v>
      </c>
      <c r="P909" s="5" t="n">
        <f aca="false">IF(COUNTIF([1]Base_Jugadores!J$2:J$500,B909)&gt;0,1,0)</f>
        <v>0</v>
      </c>
      <c r="Q909" s="10" t="b">
        <f aca="false">--(COUNTIFS(
   [1]Fichajes_Realizados!A$2:A$5000,A909,
   [1]Fichajes_Realizados!G$2:G$5000,$X$3
)&gt;0)</f>
        <v>0</v>
      </c>
      <c r="R909" s="5" t="n">
        <f aca="false">_xlfn.XLOOKUP(C909, [1]Estado_Equipos!A$2:A$500, [1]Estado_Equipos!J$2:J$500, "")</f>
        <v>77</v>
      </c>
      <c r="S909" s="5" t="n">
        <f aca="false">IF(H909&lt;=16,1.45,
IF(H909&gt;=41,0.3,
CHOOSE(ROUNDDOWN((H909-16)/2,0)+1,
1.45,1.38,1.3,1.23,1.17,1.15,1.12,1.05,0.95,0.8,0.6,0.4,0.3)))</f>
        <v>1.23</v>
      </c>
      <c r="T909" s="5" t="n">
        <f aca="false">CHOOSE(N909+1,1.2,1,0.85,0.7)</f>
        <v>1</v>
      </c>
      <c r="U909" s="5" t="n">
        <f aca="false">IF(F909="PO",0.6,
IF(F909="CT",0.75,
IF(F909="LI",0.8,
IF(F909="LD",0.8,
IF(F909="MCD",0.85,
IF(F909="MC",0.95,
IF(F909="MO",1.05,
IF(F909="EI",1.1,
IF(F909="ED",1.1,
IF(F909="SD",1.15,
IF(F909="DC",1.2,0)))))))))))</f>
        <v>0.8</v>
      </c>
    </row>
    <row r="910" customFormat="false" ht="16.4" hidden="false" customHeight="false" outlineLevel="0" collapsed="false">
      <c r="A910" s="1" t="n">
        <v>909</v>
      </c>
      <c r="B910" s="5" t="str">
        <f aca="false">[1]Base_Jugadores!B910</f>
        <v>William Osula</v>
      </c>
      <c r="C910" s="5" t="str">
        <f aca="false">IFERROR(
   _xlfn.XLOOKUP(VALUE(A910),[1]Fichajes_Realizados!A$2:A$50000,[1]Fichajes_Realizados!D$2:D$50000,,0,-1),
   _xlfn.XLOOKUP(VALUE(A910),[1]Base_Jugadores!A$2:A$50000,[1]Base_Jugadores!C$2:C$50000)
)</f>
        <v>Newclastle United</v>
      </c>
      <c r="D910" s="5" t="str">
        <f aca="false">[1]Base_Jugadores!D910</f>
        <v>Dinamarca</v>
      </c>
      <c r="E910" s="3"/>
      <c r="F910" s="5" t="str">
        <f aca="false">[1]Base_Jugadores!E910</f>
        <v>DC</v>
      </c>
      <c r="G910" s="5" t="n">
        <f aca="false">[1]Base_Jugadores!F910</f>
        <v>69</v>
      </c>
      <c r="H910" s="5" t="n">
        <f aca="false">[1]Base_Jugadores!G910</f>
        <v>22</v>
      </c>
      <c r="I910" s="7" t="n">
        <f aca="false" t="array" ref="I910:I910">_xlfn.XLOOKUP(G910,{55;56;57;58;59;60;61;62;63;64;65;66;67;68;69;70;71;72;73;74;75;76;77;78;79;80;81;82;83;84;85;86;87;88;89;90;91;92;93;94;95;96;97;98;99},{100000;130000;160000;190000;220000;250000;300000;350000;400000;450000;500000;600000;700000;800000;900000;1000000;1500000;2000000;3000000;4000000;5000000;6500000;8000000;10000000;12500000;15000000;20000000;25000000;30000000;35000000;40000000;55000000;70000000;80000000;90000000;110000000;130000000;160000000;190000000;220000000;250000000;280000000;310000000;340000000;400000000})</f>
        <v>900000</v>
      </c>
      <c r="J910" s="7" t="n">
        <f aca="false">I910*S910*T910*U910</f>
        <v>1129140</v>
      </c>
      <c r="K910" s="3"/>
      <c r="L910" s="3"/>
      <c r="M910" s="3"/>
      <c r="N910" s="9" t="n">
        <v>2</v>
      </c>
      <c r="O910" s="4" t="n">
        <v>1</v>
      </c>
      <c r="P910" s="5" t="n">
        <f aca="false">IF(COUNTIF([1]Base_Jugadores!J$2:J$500,B910)&gt;0,1,0)</f>
        <v>0</v>
      </c>
      <c r="Q910" s="10" t="b">
        <f aca="false">--(COUNTIFS(
   [1]Fichajes_Realizados!A$2:A$5000,A910,
   [1]Fichajes_Realizados!G$2:G$5000,$X$3
)&gt;0)</f>
        <v>0</v>
      </c>
      <c r="R910" s="5" t="n">
        <f aca="false">_xlfn.XLOOKUP(C910, [1]Estado_Equipos!A$2:A$500, [1]Estado_Equipos!J$2:J$500, "")</f>
        <v>77</v>
      </c>
      <c r="S910" s="5" t="n">
        <f aca="false">IF(H910&lt;=16,1.45,
IF(H910&gt;=41,0.3,
CHOOSE(ROUNDDOWN((H910-16)/2,0)+1,
1.45,1.38,1.3,1.23,1.17,1.15,1.12,1.05,0.95,0.8,0.6,0.4,0.3)))</f>
        <v>1.23</v>
      </c>
      <c r="T910" s="5" t="n">
        <f aca="false">CHOOSE(N910+1,1.2,1,0.85,0.7)</f>
        <v>0.85</v>
      </c>
      <c r="U910" s="5" t="n">
        <f aca="false">IF(F910="PO",0.6,
IF(F910="CT",0.75,
IF(F910="LI",0.8,
IF(F910="LD",0.8,
IF(F910="MCD",0.85,
IF(F910="MC",0.95,
IF(F910="MO",1.05,
IF(F910="EI",1.1,
IF(F910="ED",1.1,
IF(F910="SD",1.15,
IF(F910="DC",1.2,0)))))))))))</f>
        <v>1.2</v>
      </c>
    </row>
    <row r="911" customFormat="false" ht="16.4" hidden="false" customHeight="false" outlineLevel="0" collapsed="false">
      <c r="A911" s="1" t="n">
        <v>910</v>
      </c>
      <c r="B911" s="5" t="str">
        <f aca="false">[1]Base_Jugadores!B911</f>
        <v>Yoane Wissa</v>
      </c>
      <c r="C911" s="5" t="str">
        <f aca="false">IFERROR(
   _xlfn.XLOOKUP(VALUE(A911),[1]Fichajes_Realizados!A$2:A$50000,[1]Fichajes_Realizados!D$2:D$50000,,0,-1),
   _xlfn.XLOOKUP(VALUE(A911),[1]Base_Jugadores!A$2:A$50000,[1]Base_Jugadores!C$2:C$50000)
)</f>
        <v>Newclastle United</v>
      </c>
      <c r="D911" s="5" t="str">
        <f aca="false">[1]Base_Jugadores!D911</f>
        <v>RD del Congo</v>
      </c>
      <c r="E911" s="3"/>
      <c r="F911" s="5" t="str">
        <f aca="false">[1]Base_Jugadores!E911</f>
        <v>DC</v>
      </c>
      <c r="G911" s="5" t="n">
        <f aca="false">[1]Base_Jugadores!F911</f>
        <v>80</v>
      </c>
      <c r="H911" s="5" t="n">
        <f aca="false">[1]Base_Jugadores!G911</f>
        <v>29</v>
      </c>
      <c r="I911" s="7" t="n">
        <f aca="false" t="array" ref="I911:I911">_xlfn.XLOOKUP(G911,{55;56;57;58;59;60;61;62;63;64;65;66;67;68;69;70;71;72;73;74;75;76;77;78;79;80;81;82;83;84;85;86;87;88;89;90;91;92;93;94;95;96;97;98;99},{100000;130000;160000;190000;220000;250000;300000;350000;400000;450000;500000;600000;700000;800000;900000;1000000;1500000;2000000;3000000;4000000;5000000;6500000;8000000;10000000;12500000;15000000;20000000;25000000;30000000;35000000;40000000;55000000;70000000;80000000;90000000;110000000;130000000;160000000;190000000;220000000;250000000;280000000;310000000;340000000;400000000})</f>
        <v>15000000</v>
      </c>
      <c r="J911" s="7" t="n">
        <f aca="false">I911*S911*T911*U911</f>
        <v>24192000</v>
      </c>
      <c r="K911" s="3"/>
      <c r="L911" s="3"/>
      <c r="M911" s="3"/>
      <c r="N911" s="9" t="n">
        <v>0</v>
      </c>
      <c r="O911" s="4" t="n">
        <v>0</v>
      </c>
      <c r="P911" s="5" t="n">
        <f aca="false">IF(COUNTIF([1]Base_Jugadores!J$2:J$500,B911)&gt;0,1,0)</f>
        <v>0</v>
      </c>
      <c r="Q911" s="10" t="b">
        <f aca="false">--(COUNTIFS(
   [1]Fichajes_Realizados!A$2:A$5000,A911,
   [1]Fichajes_Realizados!G$2:G$5000,$X$3
)&gt;0)</f>
        <v>0</v>
      </c>
      <c r="R911" s="5" t="n">
        <f aca="false">_xlfn.XLOOKUP(C911, [1]Estado_Equipos!A$2:A$500, [1]Estado_Equipos!J$2:J$500, "")</f>
        <v>77</v>
      </c>
      <c r="S911" s="5" t="n">
        <f aca="false">IF(H911&lt;=16,1.45,
IF(H911&gt;=41,0.3,
CHOOSE(ROUNDDOWN((H911-16)/2,0)+1,
1.45,1.38,1.3,1.23,1.17,1.15,1.12,1.05,0.95,0.8,0.6,0.4,0.3)))</f>
        <v>1.12</v>
      </c>
      <c r="T911" s="5" t="n">
        <f aca="false">CHOOSE(N911+1,1.2,1,0.85,0.7)</f>
        <v>1.2</v>
      </c>
      <c r="U911" s="5" t="n">
        <f aca="false">IF(F911="PO",0.6,
IF(F911="CT",0.75,
IF(F911="LI",0.8,
IF(F911="LD",0.8,
IF(F911="MCD",0.85,
IF(F911="MC",0.95,
IF(F911="MO",1.05,
IF(F911="EI",1.1,
IF(F911="ED",1.1,
IF(F911="SD",1.15,
IF(F911="DC",1.2,0)))))))))))</f>
        <v>1.2</v>
      </c>
    </row>
    <row r="912" customFormat="false" ht="16.4" hidden="false" customHeight="false" outlineLevel="0" collapsed="false">
      <c r="A912" s="1" t="n">
        <v>911</v>
      </c>
      <c r="B912" s="5" t="str">
        <f aca="false">[1]Base_Jugadores!B912</f>
        <v>A. Kalimuendo</v>
      </c>
      <c r="C912" s="5" t="str">
        <f aca="false">IFERROR(
   _xlfn.XLOOKUP(VALUE(A912),[1]Fichajes_Realizados!A$2:A$50000,[1]Fichajes_Realizados!D$2:D$50000,,0,-1),
   _xlfn.XLOOKUP(VALUE(A912),[1]Base_Jugadores!A$2:A$50000,[1]Base_Jugadores!C$2:C$50000)
)</f>
        <v>Nottingham Forest</v>
      </c>
      <c r="D912" s="5" t="str">
        <f aca="false">[1]Base_Jugadores!D912</f>
        <v>Francia</v>
      </c>
      <c r="E912" s="3"/>
      <c r="F912" s="5" t="str">
        <f aca="false">[1]Base_Jugadores!E912</f>
        <v>DC</v>
      </c>
      <c r="G912" s="5" t="n">
        <f aca="false">[1]Base_Jugadores!F912</f>
        <v>77</v>
      </c>
      <c r="H912" s="5" t="n">
        <f aca="false">[1]Base_Jugadores!G912</f>
        <v>23</v>
      </c>
      <c r="I912" s="7" t="n">
        <f aca="false" t="array" ref="I912:I912">_xlfn.XLOOKUP(G912,{55;56;57;58;59;60;61;62;63;64;65;66;67;68;69;70;71;72;73;74;75;76;77;78;79;80;81;82;83;84;85;86;87;88;89;90;91;92;93;94;95;96;97;98;99},{100000;130000;160000;190000;220000;250000;300000;350000;400000;450000;500000;600000;700000;800000;900000;1000000;1500000;2000000;3000000;4000000;5000000;6500000;8000000;10000000;12500000;15000000;20000000;25000000;30000000;35000000;40000000;55000000;70000000;80000000;90000000;110000000;130000000;160000000;190000000;220000000;250000000;280000000;310000000;340000000;400000000})</f>
        <v>8000000</v>
      </c>
      <c r="J912" s="7" t="n">
        <f aca="false">I912*S912*T912*U912</f>
        <v>11808000</v>
      </c>
      <c r="K912" s="3"/>
      <c r="L912" s="3"/>
      <c r="M912" s="3"/>
      <c r="N912" s="9" t="n">
        <v>1</v>
      </c>
      <c r="O912" s="4" t="n">
        <v>0</v>
      </c>
      <c r="P912" s="5" t="n">
        <f aca="false">IF(COUNTIF([1]Base_Jugadores!J$2:J$500,B912)&gt;0,1,0)</f>
        <v>0</v>
      </c>
      <c r="Q912" s="10" t="b">
        <f aca="false">--(COUNTIFS(
   [1]Fichajes_Realizados!A$2:A$5000,A912,
   [1]Fichajes_Realizados!G$2:G$5000,$X$3
)&gt;0)</f>
        <v>0</v>
      </c>
      <c r="R912" s="5" t="n">
        <f aca="false">_xlfn.XLOOKUP(C912, [1]Estado_Equipos!A$2:A$500, [1]Estado_Equipos!J$2:J$500, "")</f>
        <v>77</v>
      </c>
      <c r="S912" s="5" t="n">
        <f aca="false">IF(H912&lt;=16,1.45,
IF(H912&gt;=41,0.3,
CHOOSE(ROUNDDOWN((H912-16)/2,0)+1,
1.45,1.38,1.3,1.23,1.17,1.15,1.12,1.05,0.95,0.8,0.6,0.4,0.3)))</f>
        <v>1.23</v>
      </c>
      <c r="T912" s="5" t="n">
        <f aca="false">CHOOSE(N912+1,1.2,1,0.85,0.7)</f>
        <v>1</v>
      </c>
      <c r="U912" s="5" t="n">
        <f aca="false">IF(F912="PO",0.6,
IF(F912="CT",0.75,
IF(F912="LI",0.8,
IF(F912="LD",0.8,
IF(F912="MCD",0.85,
IF(F912="MC",0.95,
IF(F912="MO",1.05,
IF(F912="EI",1.1,
IF(F912="ED",1.1,
IF(F912="SD",1.15,
IF(F912="DC",1.2,0)))))))))))</f>
        <v>1.2</v>
      </c>
    </row>
    <row r="913" customFormat="false" ht="16.4" hidden="false" customHeight="false" outlineLevel="0" collapsed="false">
      <c r="A913" s="1" t="n">
        <v>912</v>
      </c>
      <c r="B913" s="5" t="str">
        <f aca="false">[1]Base_Jugadores!B913</f>
        <v>Angus Gunn</v>
      </c>
      <c r="C913" s="5" t="str">
        <f aca="false">IFERROR(
   _xlfn.XLOOKUP(VALUE(A913),[1]Fichajes_Realizados!A$2:A$50000,[1]Fichajes_Realizados!D$2:D$50000,,0,-1),
   _xlfn.XLOOKUP(VALUE(A913),[1]Base_Jugadores!A$2:A$50000,[1]Base_Jugadores!C$2:C$50000)
)</f>
        <v>Nottingham Forest</v>
      </c>
      <c r="D913" s="5" t="str">
        <f aca="false">[1]Base_Jugadores!D913</f>
        <v>Escocia</v>
      </c>
      <c r="E913" s="3"/>
      <c r="F913" s="5" t="str">
        <f aca="false">[1]Base_Jugadores!E913</f>
        <v>PO</v>
      </c>
      <c r="G913" s="5" t="n">
        <f aca="false">[1]Base_Jugadores!F913</f>
        <v>73</v>
      </c>
      <c r="H913" s="5" t="n">
        <f aca="false">[1]Base_Jugadores!G913</f>
        <v>29</v>
      </c>
      <c r="I913" s="7" t="n">
        <f aca="false" t="array" ref="I913:I913">_xlfn.XLOOKUP(G913,{55;56;57;58;59;60;61;62;63;64;65;66;67;68;69;70;71;72;73;74;75;76;77;78;79;80;81;82;83;84;85;86;87;88;89;90;91;92;93;94;95;96;97;98;99},{100000;130000;160000;190000;220000;250000;300000;350000;400000;450000;500000;600000;700000;800000;900000;1000000;1500000;2000000;3000000;4000000;5000000;6500000;8000000;10000000;12500000;15000000;20000000;25000000;30000000;35000000;40000000;55000000;70000000;80000000;90000000;110000000;130000000;160000000;190000000;220000000;250000000;280000000;310000000;340000000;400000000})</f>
        <v>3000000</v>
      </c>
      <c r="J913" s="7" t="n">
        <f aca="false">I913*S913*T913*U913</f>
        <v>1713600</v>
      </c>
      <c r="K913" s="3"/>
      <c r="L913" s="3"/>
      <c r="M913" s="3"/>
      <c r="N913" s="9" t="n">
        <v>2</v>
      </c>
      <c r="O913" s="4" t="n">
        <v>0</v>
      </c>
      <c r="P913" s="5" t="n">
        <f aca="false">IF(COUNTIF([1]Base_Jugadores!J$2:J$500,B913)&gt;0,1,0)</f>
        <v>0</v>
      </c>
      <c r="Q913" s="10" t="b">
        <f aca="false">--(COUNTIFS(
   [1]Fichajes_Realizados!A$2:A$5000,A913,
   [1]Fichajes_Realizados!G$2:G$5000,$X$3
)&gt;0)</f>
        <v>0</v>
      </c>
      <c r="R913" s="5" t="n">
        <f aca="false">_xlfn.XLOOKUP(C913, [1]Estado_Equipos!A$2:A$500, [1]Estado_Equipos!J$2:J$500, "")</f>
        <v>77</v>
      </c>
      <c r="S913" s="5" t="n">
        <f aca="false">IF(H913&lt;=16,1.45,
IF(H913&gt;=41,0.3,
CHOOSE(ROUNDDOWN((H913-16)/2,0)+1,
1.45,1.38,1.3,1.23,1.17,1.15,1.12,1.05,0.95,0.8,0.6,0.4,0.3)))</f>
        <v>1.12</v>
      </c>
      <c r="T913" s="5" t="n">
        <f aca="false">CHOOSE(N913+1,1.2,1,0.85,0.7)</f>
        <v>0.85</v>
      </c>
      <c r="U913" s="5" t="n">
        <f aca="false">IF(F913="PO",0.6,
IF(F913="CT",0.75,
IF(F913="LI",0.8,
IF(F913="LD",0.8,
IF(F913="MCD",0.85,
IF(F913="MC",0.95,
IF(F913="MO",1.05,
IF(F913="EI",1.1,
IF(F913="ED",1.1,
IF(F913="SD",1.15,
IF(F913="DC",1.2,0)))))))))))</f>
        <v>0.6</v>
      </c>
    </row>
    <row r="914" customFormat="false" ht="16.4" hidden="false" customHeight="false" outlineLevel="0" collapsed="false">
      <c r="A914" s="1" t="n">
        <v>913</v>
      </c>
      <c r="B914" s="5" t="str">
        <f aca="false">[1]Base_Jugadores!B914</f>
        <v>C. Hudson-Odoi</v>
      </c>
      <c r="C914" s="5" t="str">
        <f aca="false">IFERROR(
   _xlfn.XLOOKUP(VALUE(A914),[1]Fichajes_Realizados!A$2:A$50000,[1]Fichajes_Realizados!D$2:D$50000,,0,-1),
   _xlfn.XLOOKUP(VALUE(A914),[1]Base_Jugadores!A$2:A$50000,[1]Base_Jugadores!C$2:C$50000)
)</f>
        <v>Nottingham Forest</v>
      </c>
      <c r="D914" s="5" t="str">
        <f aca="false">[1]Base_Jugadores!D914</f>
        <v>Inglaterra</v>
      </c>
      <c r="E914" s="3"/>
      <c r="F914" s="5" t="str">
        <f aca="false">[1]Base_Jugadores!E914</f>
        <v>EI</v>
      </c>
      <c r="G914" s="5" t="n">
        <f aca="false">[1]Base_Jugadores!F914</f>
        <v>79</v>
      </c>
      <c r="H914" s="5" t="n">
        <f aca="false">[1]Base_Jugadores!G914</f>
        <v>25</v>
      </c>
      <c r="I914" s="7" t="n">
        <f aca="false" t="array" ref="I914:I914">_xlfn.XLOOKUP(G914,{55;56;57;58;59;60;61;62;63;64;65;66;67;68;69;70;71;72;73;74;75;76;77;78;79;80;81;82;83;84;85;86;87;88;89;90;91;92;93;94;95;96;97;98;99},{100000;130000;160000;190000;220000;250000;300000;350000;400000;450000;500000;600000;700000;800000;900000;1000000;1500000;2000000;3000000;4000000;5000000;6500000;8000000;10000000;12500000;15000000;20000000;25000000;30000000;35000000;40000000;55000000;70000000;80000000;90000000;110000000;130000000;160000000;190000000;220000000;250000000;280000000;310000000;340000000;400000000})</f>
        <v>12500000</v>
      </c>
      <c r="J914" s="7" t="n">
        <f aca="false">I914*S914*T914*U914</f>
        <v>19305000</v>
      </c>
      <c r="K914" s="3"/>
      <c r="L914" s="3"/>
      <c r="M914" s="3"/>
      <c r="N914" s="9" t="n">
        <v>0</v>
      </c>
      <c r="O914" s="4" t="n">
        <v>0</v>
      </c>
      <c r="P914" s="5" t="n">
        <f aca="false">IF(COUNTIF([1]Base_Jugadores!J$2:J$500,B914)&gt;0,1,0)</f>
        <v>0</v>
      </c>
      <c r="Q914" s="10" t="b">
        <f aca="false">--(COUNTIFS(
   [1]Fichajes_Realizados!A$2:A$5000,A914,
   [1]Fichajes_Realizados!G$2:G$5000,$X$3
)&gt;0)</f>
        <v>0</v>
      </c>
      <c r="R914" s="5" t="n">
        <f aca="false">_xlfn.XLOOKUP(C914, [1]Estado_Equipos!A$2:A$500, [1]Estado_Equipos!J$2:J$500, "")</f>
        <v>77</v>
      </c>
      <c r="S914" s="5" t="n">
        <f aca="false">IF(H914&lt;=16,1.45,
IF(H914&gt;=41,0.3,
CHOOSE(ROUNDDOWN((H914-16)/2,0)+1,
1.45,1.38,1.3,1.23,1.17,1.15,1.12,1.05,0.95,0.8,0.6,0.4,0.3)))</f>
        <v>1.17</v>
      </c>
      <c r="T914" s="5" t="n">
        <f aca="false">CHOOSE(N914+1,1.2,1,0.85,0.7)</f>
        <v>1.2</v>
      </c>
      <c r="U914" s="5" t="n">
        <f aca="false">IF(F914="PO",0.6,
IF(F914="CT",0.75,
IF(F914="LI",0.8,
IF(F914="LD",0.8,
IF(F914="MCD",0.85,
IF(F914="MC",0.95,
IF(F914="MO",1.05,
IF(F914="EI",1.1,
IF(F914="ED",1.1,
IF(F914="SD",1.15,
IF(F914="DC",1.2,0)))))))))))</f>
        <v>1.1</v>
      </c>
    </row>
    <row r="915" customFormat="false" ht="16.4" hidden="false" customHeight="false" outlineLevel="0" collapsed="false">
      <c r="A915" s="1" t="n">
        <v>914</v>
      </c>
      <c r="B915" s="5" t="str">
        <f aca="false">[1]Base_Jugadores!B915</f>
        <v>Chris Wood</v>
      </c>
      <c r="C915" s="5" t="str">
        <f aca="false">IFERROR(
   _xlfn.XLOOKUP(VALUE(A915),[1]Fichajes_Realizados!A$2:A$50000,[1]Fichajes_Realizados!D$2:D$50000,,0,-1),
   _xlfn.XLOOKUP(VALUE(A915),[1]Base_Jugadores!A$2:A$50000,[1]Base_Jugadores!C$2:C$50000)
)</f>
        <v>Nottingham Forest</v>
      </c>
      <c r="D915" s="5" t="str">
        <f aca="false">[1]Base_Jugadores!D915</f>
        <v>Nueva Zelanda</v>
      </c>
      <c r="E915" s="3"/>
      <c r="F915" s="5" t="str">
        <f aca="false">[1]Base_Jugadores!E915</f>
        <v>DC</v>
      </c>
      <c r="G915" s="5" t="n">
        <f aca="false">[1]Base_Jugadores!F915</f>
        <v>81</v>
      </c>
      <c r="H915" s="5" t="n">
        <f aca="false">[1]Base_Jugadores!G915</f>
        <v>34</v>
      </c>
      <c r="I915" s="7" t="n">
        <f aca="false" t="array" ref="I915:I915">_xlfn.XLOOKUP(G915,{55;56;57;58;59;60;61;62;63;64;65;66;67;68;69;70;71;72;73;74;75;76;77;78;79;80;81;82;83;84;85;86;87;88;89;90;91;92;93;94;95;96;97;98;99},{100000;130000;160000;190000;220000;250000;300000;350000;400000;450000;500000;600000;700000;800000;900000;1000000;1500000;2000000;3000000;4000000;5000000;6500000;8000000;10000000;12500000;15000000;20000000;25000000;30000000;35000000;40000000;55000000;70000000;80000000;90000000;110000000;130000000;160000000;190000000;220000000;250000000;280000000;310000000;340000000;400000000})</f>
        <v>20000000</v>
      </c>
      <c r="J915" s="7" t="n">
        <f aca="false">I915*S915*T915*U915</f>
        <v>23040000</v>
      </c>
      <c r="K915" s="3"/>
      <c r="L915" s="3"/>
      <c r="M915" s="3"/>
      <c r="N915" s="9" t="n">
        <v>0</v>
      </c>
      <c r="O915" s="4" t="n">
        <v>0</v>
      </c>
      <c r="P915" s="5" t="n">
        <f aca="false">IF(COUNTIF([1]Base_Jugadores!J$2:J$500,B915)&gt;0,1,0)</f>
        <v>0</v>
      </c>
      <c r="Q915" s="10" t="b">
        <f aca="false">--(COUNTIFS(
   [1]Fichajes_Realizados!A$2:A$5000,A915,
   [1]Fichajes_Realizados!G$2:G$5000,$X$3
)&gt;0)</f>
        <v>0</v>
      </c>
      <c r="R915" s="5" t="n">
        <f aca="false">_xlfn.XLOOKUP(C915, [1]Estado_Equipos!A$2:A$500, [1]Estado_Equipos!J$2:J$500, "")</f>
        <v>77</v>
      </c>
      <c r="S915" s="5" t="n">
        <f aca="false">IF(H915&lt;=16,1.45,
IF(H915&gt;=41,0.3,
CHOOSE(ROUNDDOWN((H915-16)/2,0)+1,
1.45,1.38,1.3,1.23,1.17,1.15,1.12,1.05,0.95,0.8,0.6,0.4,0.3)))</f>
        <v>0.8</v>
      </c>
      <c r="T915" s="5" t="n">
        <f aca="false">CHOOSE(N915+1,1.2,1,0.85,0.7)</f>
        <v>1.2</v>
      </c>
      <c r="U915" s="5" t="n">
        <f aca="false">IF(F915="PO",0.6,
IF(F915="CT",0.75,
IF(F915="LI",0.8,
IF(F915="LD",0.8,
IF(F915="MCD",0.85,
IF(F915="MC",0.95,
IF(F915="MO",1.05,
IF(F915="EI",1.1,
IF(F915="ED",1.1,
IF(F915="SD",1.15,
IF(F915="DC",1.2,0)))))))))))</f>
        <v>1.2</v>
      </c>
    </row>
    <row r="916" customFormat="false" ht="16.4" hidden="false" customHeight="false" outlineLevel="0" collapsed="false">
      <c r="A916" s="1" t="n">
        <v>915</v>
      </c>
      <c r="B916" s="5" t="str">
        <f aca="false">[1]Base_Jugadores!B916</f>
        <v>Dan Ndoye</v>
      </c>
      <c r="C916" s="5" t="str">
        <f aca="false">IFERROR(
   _xlfn.XLOOKUP(VALUE(A916),[1]Fichajes_Realizados!A$2:A$50000,[1]Fichajes_Realizados!D$2:D$50000,,0,-1),
   _xlfn.XLOOKUP(VALUE(A916),[1]Base_Jugadores!A$2:A$50000,[1]Base_Jugadores!C$2:C$50000)
)</f>
        <v>Nottingham Forest</v>
      </c>
      <c r="D916" s="5" t="str">
        <f aca="false">[1]Base_Jugadores!D916</f>
        <v>Suiza</v>
      </c>
      <c r="E916" s="3"/>
      <c r="F916" s="5" t="str">
        <f aca="false">[1]Base_Jugadores!E916</f>
        <v>ED</v>
      </c>
      <c r="G916" s="5" t="n">
        <f aca="false">[1]Base_Jugadores!F916</f>
        <v>75</v>
      </c>
      <c r="H916" s="5" t="n">
        <f aca="false">[1]Base_Jugadores!G916</f>
        <v>25</v>
      </c>
      <c r="I916" s="7" t="n">
        <f aca="false" t="array" ref="I916:I916">_xlfn.XLOOKUP(G916,{55;56;57;58;59;60;61;62;63;64;65;66;67;68;69;70;71;72;73;74;75;76;77;78;79;80;81;82;83;84;85;86;87;88;89;90;91;92;93;94;95;96;97;98;99},{100000;130000;160000;190000;220000;250000;300000;350000;400000;450000;500000;600000;700000;800000;900000;1000000;1500000;2000000;3000000;4000000;5000000;6500000;8000000;10000000;12500000;15000000;20000000;25000000;30000000;35000000;40000000;55000000;70000000;80000000;90000000;110000000;130000000;160000000;190000000;220000000;250000000;280000000;310000000;340000000;400000000})</f>
        <v>5000000</v>
      </c>
      <c r="J916" s="7" t="n">
        <f aca="false">I916*S916*T916*U916</f>
        <v>5469750</v>
      </c>
      <c r="K916" s="3"/>
      <c r="L916" s="3"/>
      <c r="M916" s="3"/>
      <c r="N916" s="9" t="n">
        <v>2</v>
      </c>
      <c r="O916" s="4" t="n">
        <v>0</v>
      </c>
      <c r="P916" s="5" t="n">
        <f aca="false">IF(COUNTIF([1]Base_Jugadores!J$2:J$500,B916)&gt;0,1,0)</f>
        <v>0</v>
      </c>
      <c r="Q916" s="10" t="b">
        <f aca="false">--(COUNTIFS(
   [1]Fichajes_Realizados!A$2:A$5000,A916,
   [1]Fichajes_Realizados!G$2:G$5000,$X$3
)&gt;0)</f>
        <v>0</v>
      </c>
      <c r="R916" s="5" t="n">
        <f aca="false">_xlfn.XLOOKUP(C916, [1]Estado_Equipos!A$2:A$500, [1]Estado_Equipos!J$2:J$500, "")</f>
        <v>77</v>
      </c>
      <c r="S916" s="5" t="n">
        <f aca="false">IF(H916&lt;=16,1.45,
IF(H916&gt;=41,0.3,
CHOOSE(ROUNDDOWN((H916-16)/2,0)+1,
1.45,1.38,1.3,1.23,1.17,1.15,1.12,1.05,0.95,0.8,0.6,0.4,0.3)))</f>
        <v>1.17</v>
      </c>
      <c r="T916" s="5" t="n">
        <f aca="false">CHOOSE(N916+1,1.2,1,0.85,0.7)</f>
        <v>0.85</v>
      </c>
      <c r="U916" s="5" t="n">
        <f aca="false">IF(F916="PO",0.6,
IF(F916="CT",0.75,
IF(F916="LI",0.8,
IF(F916="LD",0.8,
IF(F916="MCD",0.85,
IF(F916="MC",0.95,
IF(F916="MO",1.05,
IF(F916="EI",1.1,
IF(F916="ED",1.1,
IF(F916="SD",1.15,
IF(F916="DC",1.2,0)))))))))))</f>
        <v>1.1</v>
      </c>
    </row>
    <row r="917" customFormat="false" ht="16.4" hidden="false" customHeight="false" outlineLevel="0" collapsed="false">
      <c r="A917" s="1" t="n">
        <v>916</v>
      </c>
      <c r="B917" s="5" t="str">
        <f aca="false">[1]Base_Jugadores!B917</f>
        <v>Dilane Bakwa</v>
      </c>
      <c r="C917" s="5" t="str">
        <f aca="false">IFERROR(
   _xlfn.XLOOKUP(VALUE(A917),[1]Fichajes_Realizados!A$2:A$50000,[1]Fichajes_Realizados!D$2:D$50000,,0,-1),
   _xlfn.XLOOKUP(VALUE(A917),[1]Base_Jugadores!A$2:A$50000,[1]Base_Jugadores!C$2:C$50000)
)</f>
        <v>Nottingham Forest</v>
      </c>
      <c r="D917" s="5" t="str">
        <f aca="false">[1]Base_Jugadores!D917</f>
        <v>Francia</v>
      </c>
      <c r="E917" s="3"/>
      <c r="F917" s="5" t="str">
        <f aca="false">[1]Base_Jugadores!E917</f>
        <v>ED</v>
      </c>
      <c r="G917" s="5" t="n">
        <f aca="false">[1]Base_Jugadores!F917</f>
        <v>76</v>
      </c>
      <c r="H917" s="5" t="n">
        <f aca="false">[1]Base_Jugadores!G917</f>
        <v>23</v>
      </c>
      <c r="I917" s="7" t="n">
        <f aca="false" t="array" ref="I917:I917">_xlfn.XLOOKUP(G917,{55;56;57;58;59;60;61;62;63;64;65;66;67;68;69;70;71;72;73;74;75;76;77;78;79;80;81;82;83;84;85;86;87;88;89;90;91;92;93;94;95;96;97;98;99},{100000;130000;160000;190000;220000;250000;300000;350000;400000;450000;500000;600000;700000;800000;900000;1000000;1500000;2000000;3000000;4000000;5000000;6500000;8000000;10000000;12500000;15000000;20000000;25000000;30000000;35000000;40000000;55000000;70000000;80000000;90000000;110000000;130000000;160000000;190000000;220000000;250000000;280000000;310000000;340000000;400000000})</f>
        <v>6500000</v>
      </c>
      <c r="J917" s="7" t="n">
        <f aca="false">I917*S917*T917*U917</f>
        <v>10553400</v>
      </c>
      <c r="K917" s="3"/>
      <c r="L917" s="3"/>
      <c r="M917" s="3"/>
      <c r="N917" s="9" t="n">
        <v>0</v>
      </c>
      <c r="O917" s="4" t="n">
        <v>0</v>
      </c>
      <c r="P917" s="5" t="n">
        <f aca="false">IF(COUNTIF([1]Base_Jugadores!J$2:J$500,B917)&gt;0,1,0)</f>
        <v>0</v>
      </c>
      <c r="Q917" s="10" t="b">
        <f aca="false">--(COUNTIFS(
   [1]Fichajes_Realizados!A$2:A$5000,A917,
   [1]Fichajes_Realizados!G$2:G$5000,$X$3
)&gt;0)</f>
        <v>0</v>
      </c>
      <c r="R917" s="5" t="n">
        <f aca="false">_xlfn.XLOOKUP(C917, [1]Estado_Equipos!A$2:A$500, [1]Estado_Equipos!J$2:J$500, "")</f>
        <v>77</v>
      </c>
      <c r="S917" s="5" t="n">
        <f aca="false">IF(H917&lt;=16,1.45,
IF(H917&gt;=41,0.3,
CHOOSE(ROUNDDOWN((H917-16)/2,0)+1,
1.45,1.38,1.3,1.23,1.17,1.15,1.12,1.05,0.95,0.8,0.6,0.4,0.3)))</f>
        <v>1.23</v>
      </c>
      <c r="T917" s="5" t="n">
        <f aca="false">CHOOSE(N917+1,1.2,1,0.85,0.7)</f>
        <v>1.2</v>
      </c>
      <c r="U917" s="5" t="n">
        <f aca="false">IF(F917="PO",0.6,
IF(F917="CT",0.75,
IF(F917="LI",0.8,
IF(F917="LD",0.8,
IF(F917="MCD",0.85,
IF(F917="MC",0.95,
IF(F917="MO",1.05,
IF(F917="EI",1.1,
IF(F917="ED",1.1,
IF(F917="SD",1.15,
IF(F917="DC",1.2,0)))))))))))</f>
        <v>1.1</v>
      </c>
    </row>
    <row r="918" customFormat="false" ht="16.4" hidden="false" customHeight="false" outlineLevel="0" collapsed="false">
      <c r="A918" s="1" t="n">
        <v>917</v>
      </c>
      <c r="B918" s="5" t="str">
        <f aca="false">[1]Base_Jugadores!B918</f>
        <v>Douglas Luiz</v>
      </c>
      <c r="C918" s="5" t="str">
        <f aca="false">IFERROR(
   _xlfn.XLOOKUP(VALUE(A918),[1]Fichajes_Realizados!A$2:A$50000,[1]Fichajes_Realizados!D$2:D$50000,,0,-1),
   _xlfn.XLOOKUP(VALUE(A918),[1]Base_Jugadores!A$2:A$50000,[1]Base_Jugadores!C$2:C$50000)
)</f>
        <v>Nottingham Forest</v>
      </c>
      <c r="D918" s="5" t="str">
        <f aca="false">[1]Base_Jugadores!D918</f>
        <v>Brasil</v>
      </c>
      <c r="E918" s="3"/>
      <c r="F918" s="5" t="str">
        <f aca="false">[1]Base_Jugadores!E918</f>
        <v>MC</v>
      </c>
      <c r="G918" s="5" t="n">
        <f aca="false">[1]Base_Jugadores!F918</f>
        <v>82</v>
      </c>
      <c r="H918" s="5" t="n">
        <f aca="false">[1]Base_Jugadores!G918</f>
        <v>27</v>
      </c>
      <c r="I918" s="7" t="n">
        <f aca="false" t="array" ref="I918:I918">_xlfn.XLOOKUP(G918,{55;56;57;58;59;60;61;62;63;64;65;66;67;68;69;70;71;72;73;74;75;76;77;78;79;80;81;82;83;84;85;86;87;88;89;90;91;92;93;94;95;96;97;98;99},{100000;130000;160000;190000;220000;250000;300000;350000;400000;450000;500000;600000;700000;800000;900000;1000000;1500000;2000000;3000000;4000000;5000000;6500000;8000000;10000000;12500000;15000000;20000000;25000000;30000000;35000000;40000000;55000000;70000000;80000000;90000000;110000000;130000000;160000000;190000000;220000000;250000000;280000000;310000000;340000000;400000000})</f>
        <v>25000000</v>
      </c>
      <c r="J918" s="7" t="n">
        <f aca="false">I918*S918*T918*U918</f>
        <v>32775000</v>
      </c>
      <c r="K918" s="3"/>
      <c r="L918" s="3"/>
      <c r="M918" s="3"/>
      <c r="N918" s="9" t="n">
        <v>0</v>
      </c>
      <c r="O918" s="4" t="n">
        <v>0</v>
      </c>
      <c r="P918" s="5" t="n">
        <f aca="false">IF(COUNTIF([1]Base_Jugadores!J$2:J$500,B918)&gt;0,1,0)</f>
        <v>0</v>
      </c>
      <c r="Q918" s="10" t="b">
        <f aca="false">--(COUNTIFS(
   [1]Fichajes_Realizados!A$2:A$5000,A918,
   [1]Fichajes_Realizados!G$2:G$5000,$X$3
)&gt;0)</f>
        <v>0</v>
      </c>
      <c r="R918" s="5" t="n">
        <f aca="false">_xlfn.XLOOKUP(C918, [1]Estado_Equipos!A$2:A$500, [1]Estado_Equipos!J$2:J$500, "")</f>
        <v>77</v>
      </c>
      <c r="S918" s="5" t="n">
        <f aca="false">IF(H918&lt;=16,1.45,
IF(H918&gt;=41,0.3,
CHOOSE(ROUNDDOWN((H918-16)/2,0)+1,
1.45,1.38,1.3,1.23,1.17,1.15,1.12,1.05,0.95,0.8,0.6,0.4,0.3)))</f>
        <v>1.15</v>
      </c>
      <c r="T918" s="5" t="n">
        <f aca="false">CHOOSE(N918+1,1.2,1,0.85,0.7)</f>
        <v>1.2</v>
      </c>
      <c r="U918" s="5" t="n">
        <f aca="false">IF(F918="PO",0.6,
IF(F918="CT",0.75,
IF(F918="LI",0.8,
IF(F918="LD",0.8,
IF(F918="MCD",0.85,
IF(F918="MC",0.95,
IF(F918="MO",1.05,
IF(F918="EI",1.1,
IF(F918="ED",1.1,
IF(F918="SD",1.15,
IF(F918="DC",1.2,0)))))))))))</f>
        <v>0.95</v>
      </c>
    </row>
    <row r="919" customFormat="false" ht="16.4" hidden="false" customHeight="false" outlineLevel="0" collapsed="false">
      <c r="A919" s="1" t="n">
        <v>918</v>
      </c>
      <c r="B919" s="5" t="str">
        <f aca="false">[1]Base_Jugadores!B919</f>
        <v>Elliot Anderson</v>
      </c>
      <c r="C919" s="5" t="str">
        <f aca="false">IFERROR(
   _xlfn.XLOOKUP(VALUE(A919),[1]Fichajes_Realizados!A$2:A$50000,[1]Fichajes_Realizados!D$2:D$50000,,0,-1),
   _xlfn.XLOOKUP(VALUE(A919),[1]Base_Jugadores!A$2:A$50000,[1]Base_Jugadores!C$2:C$50000)
)</f>
        <v>Nottingham Forest</v>
      </c>
      <c r="D919" s="5" t="str">
        <f aca="false">[1]Base_Jugadores!D919</f>
        <v>Inglaterra</v>
      </c>
      <c r="E919" s="3"/>
      <c r="F919" s="5" t="str">
        <f aca="false">[1]Base_Jugadores!E919</f>
        <v>MC</v>
      </c>
      <c r="G919" s="5" t="n">
        <f aca="false">[1]Base_Jugadores!F919</f>
        <v>77</v>
      </c>
      <c r="H919" s="5" t="n">
        <f aca="false">[1]Base_Jugadores!G919</f>
        <v>23</v>
      </c>
      <c r="I919" s="7" t="n">
        <f aca="false" t="array" ref="I919:I919">_xlfn.XLOOKUP(G919,{55;56;57;58;59;60;61;62;63;64;65;66;67;68;69;70;71;72;73;74;75;76;77;78;79;80;81;82;83;84;85;86;87;88;89;90;91;92;93;94;95;96;97;98;99},{100000;130000;160000;190000;220000;250000;300000;350000;400000;450000;500000;600000;700000;800000;900000;1000000;1500000;2000000;3000000;4000000;5000000;6500000;8000000;10000000;12500000;15000000;20000000;25000000;30000000;35000000;40000000;55000000;70000000;80000000;90000000;110000000;130000000;160000000;190000000;220000000;250000000;280000000;310000000;340000000;400000000})</f>
        <v>8000000</v>
      </c>
      <c r="J919" s="7" t="n">
        <f aca="false">I919*S919*T919*U919</f>
        <v>9348000</v>
      </c>
      <c r="K919" s="3"/>
      <c r="L919" s="3"/>
      <c r="M919" s="3"/>
      <c r="N919" s="9" t="n">
        <v>1</v>
      </c>
      <c r="O919" s="4" t="n">
        <v>0</v>
      </c>
      <c r="P919" s="5" t="n">
        <f aca="false">IF(COUNTIF([1]Base_Jugadores!J$2:J$500,B919)&gt;0,1,0)</f>
        <v>0</v>
      </c>
      <c r="Q919" s="10" t="b">
        <f aca="false">--(COUNTIFS(
   [1]Fichajes_Realizados!A$2:A$5000,A919,
   [1]Fichajes_Realizados!G$2:G$5000,$X$3
)&gt;0)</f>
        <v>0</v>
      </c>
      <c r="R919" s="5" t="n">
        <f aca="false">_xlfn.XLOOKUP(C919, [1]Estado_Equipos!A$2:A$500, [1]Estado_Equipos!J$2:J$500, "")</f>
        <v>77</v>
      </c>
      <c r="S919" s="5" t="n">
        <f aca="false">IF(H919&lt;=16,1.45,
IF(H919&gt;=41,0.3,
CHOOSE(ROUNDDOWN((H919-16)/2,0)+1,
1.45,1.38,1.3,1.23,1.17,1.15,1.12,1.05,0.95,0.8,0.6,0.4,0.3)))</f>
        <v>1.23</v>
      </c>
      <c r="T919" s="5" t="n">
        <f aca="false">CHOOSE(N919+1,1.2,1,0.85,0.7)</f>
        <v>1</v>
      </c>
      <c r="U919" s="5" t="n">
        <f aca="false">IF(F919="PO",0.6,
IF(F919="CT",0.75,
IF(F919="LI",0.8,
IF(F919="LD",0.8,
IF(F919="MCD",0.85,
IF(F919="MC",0.95,
IF(F919="MO",1.05,
IF(F919="EI",1.1,
IF(F919="ED",1.1,
IF(F919="SD",1.15,
IF(F919="DC",1.2,0)))))))))))</f>
        <v>0.95</v>
      </c>
    </row>
    <row r="920" customFormat="false" ht="16.4" hidden="false" customHeight="false" outlineLevel="0" collapsed="false">
      <c r="A920" s="1" t="n">
        <v>919</v>
      </c>
      <c r="B920" s="5" t="str">
        <f aca="false">[1]Base_Jugadores!B920</f>
        <v>Eric da Silva</v>
      </c>
      <c r="C920" s="5" t="str">
        <f aca="false">IFERROR(
   _xlfn.XLOOKUP(VALUE(A920),[1]Fichajes_Realizados!A$2:A$50000,[1]Fichajes_Realizados!D$2:D$50000,,0,-1),
   _xlfn.XLOOKUP(VALUE(A920),[1]Base_Jugadores!A$2:A$50000,[1]Base_Jugadores!C$2:C$50000)
)</f>
        <v>Nottingham Forest</v>
      </c>
      <c r="D920" s="5" t="str">
        <f aca="false">[1]Base_Jugadores!D920</f>
        <v>Alemania</v>
      </c>
      <c r="E920" s="3"/>
      <c r="F920" s="5" t="str">
        <f aca="false">[1]Base_Jugadores!E920</f>
        <v>LD</v>
      </c>
      <c r="G920" s="5" t="n">
        <f aca="false">[1]Base_Jugadores!F920</f>
        <v>67</v>
      </c>
      <c r="H920" s="5" t="n">
        <f aca="false">[1]Base_Jugadores!G920</f>
        <v>19</v>
      </c>
      <c r="I920" s="7" t="n">
        <f aca="false" t="array" ref="I920:I920">_xlfn.XLOOKUP(G920,{55;56;57;58;59;60;61;62;63;64;65;66;67;68;69;70;71;72;73;74;75;76;77;78;79;80;81;82;83;84;85;86;87;88;89;90;91;92;93;94;95;96;97;98;99},{100000;130000;160000;190000;220000;250000;300000;350000;400000;450000;500000;600000;700000;800000;900000;1000000;1500000;2000000;3000000;4000000;5000000;6500000;8000000;10000000;12500000;15000000;20000000;25000000;30000000;35000000;40000000;55000000;70000000;80000000;90000000;110000000;130000000;160000000;190000000;220000000;250000000;280000000;310000000;340000000;400000000})</f>
        <v>700000</v>
      </c>
      <c r="J920" s="7" t="n">
        <f aca="false">I920*S920*T920*U920</f>
        <v>656880</v>
      </c>
      <c r="K920" s="3"/>
      <c r="L920" s="3"/>
      <c r="M920" s="3"/>
      <c r="N920" s="9" t="n">
        <v>2</v>
      </c>
      <c r="O920" s="4" t="n">
        <v>0</v>
      </c>
      <c r="P920" s="5" t="n">
        <f aca="false">IF(COUNTIF([1]Base_Jugadores!J$2:J$500,B920)&gt;0,1,0)</f>
        <v>0</v>
      </c>
      <c r="Q920" s="10" t="b">
        <f aca="false">--(COUNTIFS(
   [1]Fichajes_Realizados!A$2:A$5000,A920,
   [1]Fichajes_Realizados!G$2:G$5000,$X$3
)&gt;0)</f>
        <v>0</v>
      </c>
      <c r="R920" s="5" t="n">
        <f aca="false">_xlfn.XLOOKUP(C920, [1]Estado_Equipos!A$2:A$500, [1]Estado_Equipos!J$2:J$500, "")</f>
        <v>77</v>
      </c>
      <c r="S920" s="5" t="n">
        <f aca="false">IF(H920&lt;=16,1.45,
IF(H920&gt;=41,0.3,
CHOOSE(ROUNDDOWN((H920-16)/2,0)+1,
1.45,1.38,1.3,1.23,1.17,1.15,1.12,1.05,0.95,0.8,0.6,0.4,0.3)))</f>
        <v>1.38</v>
      </c>
      <c r="T920" s="5" t="n">
        <f aca="false">CHOOSE(N920+1,1.2,1,0.85,0.7)</f>
        <v>0.85</v>
      </c>
      <c r="U920" s="5" t="n">
        <f aca="false">IF(F920="PO",0.6,
IF(F920="CT",0.75,
IF(F920="LI",0.8,
IF(F920="LD",0.8,
IF(F920="MCD",0.85,
IF(F920="MC",0.95,
IF(F920="MO",1.05,
IF(F920="EI",1.1,
IF(F920="ED",1.1,
IF(F920="SD",1.15,
IF(F920="DC",1.2,0)))))))))))</f>
        <v>0.8</v>
      </c>
    </row>
    <row r="921" customFormat="false" ht="16.4" hidden="false" customHeight="false" outlineLevel="0" collapsed="false">
      <c r="A921" s="1" t="n">
        <v>920</v>
      </c>
      <c r="B921" s="5" t="str">
        <f aca="false">[1]Base_Jugadores!B921</f>
        <v>Ibrahim Sangaré</v>
      </c>
      <c r="C921" s="5" t="str">
        <f aca="false">IFERROR(
   _xlfn.XLOOKUP(VALUE(A921),[1]Fichajes_Realizados!A$2:A$50000,[1]Fichajes_Realizados!D$2:D$50000,,0,-1),
   _xlfn.XLOOKUP(VALUE(A921),[1]Base_Jugadores!A$2:A$50000,[1]Base_Jugadores!C$2:C$50000)
)</f>
        <v>Nottingham Forest</v>
      </c>
      <c r="D921" s="5" t="str">
        <f aca="false">[1]Base_Jugadores!D921</f>
        <v>Costa de Marfil</v>
      </c>
      <c r="E921" s="3"/>
      <c r="F921" s="5" t="str">
        <f aca="false">[1]Base_Jugadores!E921</f>
        <v>MCD</v>
      </c>
      <c r="G921" s="5" t="n">
        <f aca="false">[1]Base_Jugadores!F921</f>
        <v>77</v>
      </c>
      <c r="H921" s="5" t="n">
        <f aca="false">[1]Base_Jugadores!G921</f>
        <v>28</v>
      </c>
      <c r="I921" s="7" t="n">
        <f aca="false" t="array" ref="I921:I921">_xlfn.XLOOKUP(G921,{55;56;57;58;59;60;61;62;63;64;65;66;67;68;69;70;71;72;73;74;75;76;77;78;79;80;81;82;83;84;85;86;87;88;89;90;91;92;93;94;95;96;97;98;99},{100000;130000;160000;190000;220000;250000;300000;350000;400000;450000;500000;600000;700000;800000;900000;1000000;1500000;2000000;3000000;4000000;5000000;6500000;8000000;10000000;12500000;15000000;20000000;25000000;30000000;35000000;40000000;55000000;70000000;80000000;90000000;110000000;130000000;160000000;190000000;220000000;250000000;280000000;310000000;340000000;400000000})</f>
        <v>8000000</v>
      </c>
      <c r="J921" s="7" t="n">
        <f aca="false">I921*S921*T921*U921</f>
        <v>7616000</v>
      </c>
      <c r="K921" s="3"/>
      <c r="L921" s="3"/>
      <c r="M921" s="3"/>
      <c r="N921" s="9" t="n">
        <v>1</v>
      </c>
      <c r="O921" s="4" t="n">
        <v>0</v>
      </c>
      <c r="P921" s="5" t="n">
        <f aca="false">IF(COUNTIF([1]Base_Jugadores!J$2:J$500,B921)&gt;0,1,0)</f>
        <v>0</v>
      </c>
      <c r="Q921" s="10" t="b">
        <f aca="false">--(COUNTIFS(
   [1]Fichajes_Realizados!A$2:A$5000,A921,
   [1]Fichajes_Realizados!G$2:G$5000,$X$3
)&gt;0)</f>
        <v>0</v>
      </c>
      <c r="R921" s="5" t="n">
        <f aca="false">_xlfn.XLOOKUP(C921, [1]Estado_Equipos!A$2:A$500, [1]Estado_Equipos!J$2:J$500, "")</f>
        <v>77</v>
      </c>
      <c r="S921" s="5" t="n">
        <f aca="false">IF(H921&lt;=16,1.45,
IF(H921&gt;=41,0.3,
CHOOSE(ROUNDDOWN((H921-16)/2,0)+1,
1.45,1.38,1.3,1.23,1.17,1.15,1.12,1.05,0.95,0.8,0.6,0.4,0.3)))</f>
        <v>1.12</v>
      </c>
      <c r="T921" s="5" t="n">
        <f aca="false">CHOOSE(N921+1,1.2,1,0.85,0.7)</f>
        <v>1</v>
      </c>
      <c r="U921" s="5" t="n">
        <f aca="false">IF(F921="PO",0.6,
IF(F921="CT",0.75,
IF(F921="LI",0.8,
IF(F921="LD",0.8,
IF(F921="MCD",0.85,
IF(F921="MC",0.95,
IF(F921="MO",1.05,
IF(F921="EI",1.1,
IF(F921="ED",1.1,
IF(F921="SD",1.15,
IF(F921="DC",1.2,0)))))))))))</f>
        <v>0.85</v>
      </c>
    </row>
    <row r="922" customFormat="false" ht="16.4" hidden="false" customHeight="false" outlineLevel="0" collapsed="false">
      <c r="A922" s="1" t="n">
        <v>921</v>
      </c>
      <c r="B922" s="5" t="str">
        <f aca="false">[1]Base_Jugadores!B922</f>
        <v>Igor Jesus M.</v>
      </c>
      <c r="C922" s="5" t="str">
        <f aca="false">IFERROR(
   _xlfn.XLOOKUP(VALUE(A922),[1]Fichajes_Realizados!A$2:A$50000,[1]Fichajes_Realizados!D$2:D$50000,,0,-1),
   _xlfn.XLOOKUP(VALUE(A922),[1]Base_Jugadores!A$2:A$50000,[1]Base_Jugadores!C$2:C$50000)
)</f>
        <v>Nottingham Forest</v>
      </c>
      <c r="D922" s="5" t="str">
        <f aca="false">[1]Base_Jugadores!D922</f>
        <v>Brasil</v>
      </c>
      <c r="E922" s="3"/>
      <c r="F922" s="5" t="str">
        <f aca="false">[1]Base_Jugadores!E922</f>
        <v>DC</v>
      </c>
      <c r="G922" s="5" t="n">
        <f aca="false">[1]Base_Jugadores!F922</f>
        <v>77</v>
      </c>
      <c r="H922" s="5" t="n">
        <f aca="false">[1]Base_Jugadores!G922</f>
        <v>24</v>
      </c>
      <c r="I922" s="7" t="n">
        <f aca="false" t="array" ref="I922:I922">_xlfn.XLOOKUP(G922,{55;56;57;58;59;60;61;62;63;64;65;66;67;68;69;70;71;72;73;74;75;76;77;78;79;80;81;82;83;84;85;86;87;88;89;90;91;92;93;94;95;96;97;98;99},{100000;130000;160000;190000;220000;250000;300000;350000;400000;450000;500000;600000;700000;800000;900000;1000000;1500000;2000000;3000000;4000000;5000000;6500000;8000000;10000000;12500000;15000000;20000000;25000000;30000000;35000000;40000000;55000000;70000000;80000000;90000000;110000000;130000000;160000000;190000000;220000000;250000000;280000000;310000000;340000000;400000000})</f>
        <v>8000000</v>
      </c>
      <c r="J922" s="7" t="n">
        <f aca="false">I922*S922*T922*U922</f>
        <v>11232000</v>
      </c>
      <c r="K922" s="3"/>
      <c r="L922" s="3"/>
      <c r="M922" s="3"/>
      <c r="N922" s="9" t="n">
        <v>1</v>
      </c>
      <c r="O922" s="4" t="n">
        <v>0</v>
      </c>
      <c r="P922" s="5" t="n">
        <f aca="false">IF(COUNTIF([1]Base_Jugadores!J$2:J$500,B922)&gt;0,1,0)</f>
        <v>0</v>
      </c>
      <c r="Q922" s="10" t="b">
        <f aca="false">--(COUNTIFS(
   [1]Fichajes_Realizados!A$2:A$5000,A922,
   [1]Fichajes_Realizados!G$2:G$5000,$X$3
)&gt;0)</f>
        <v>0</v>
      </c>
      <c r="R922" s="5" t="n">
        <f aca="false">_xlfn.XLOOKUP(C922, [1]Estado_Equipos!A$2:A$500, [1]Estado_Equipos!J$2:J$500, "")</f>
        <v>77</v>
      </c>
      <c r="S922" s="5" t="n">
        <f aca="false">IF(H922&lt;=16,1.45,
IF(H922&gt;=41,0.3,
CHOOSE(ROUNDDOWN((H922-16)/2,0)+1,
1.45,1.38,1.3,1.23,1.17,1.15,1.12,1.05,0.95,0.8,0.6,0.4,0.3)))</f>
        <v>1.17</v>
      </c>
      <c r="T922" s="5" t="n">
        <f aca="false">CHOOSE(N922+1,1.2,1,0.85,0.7)</f>
        <v>1</v>
      </c>
      <c r="U922" s="5" t="n">
        <f aca="false">IF(F922="PO",0.6,
IF(F922="CT",0.75,
IF(F922="LI",0.8,
IF(F922="LD",0.8,
IF(F922="MCD",0.85,
IF(F922="MC",0.95,
IF(F922="MO",1.05,
IF(F922="EI",1.1,
IF(F922="ED",1.1,
IF(F922="SD",1.15,
IF(F922="DC",1.2,0)))))))))))</f>
        <v>1.2</v>
      </c>
    </row>
    <row r="923" customFormat="false" ht="16.4" hidden="false" customHeight="false" outlineLevel="0" collapsed="false">
      <c r="A923" s="1" t="n">
        <v>922</v>
      </c>
      <c r="B923" s="5" t="str">
        <f aca="false">[1]Base_Jugadores!B923</f>
        <v>Jair Cunha</v>
      </c>
      <c r="C923" s="5" t="str">
        <f aca="false">IFERROR(
   _xlfn.XLOOKUP(VALUE(A923),[1]Fichajes_Realizados!A$2:A$50000,[1]Fichajes_Realizados!D$2:D$50000,,0,-1),
   _xlfn.XLOOKUP(VALUE(A923),[1]Base_Jugadores!A$2:A$50000,[1]Base_Jugadores!C$2:C$50000)
)</f>
        <v>Nottingham Forest</v>
      </c>
      <c r="D923" s="5" t="str">
        <f aca="false">[1]Base_Jugadores!D923</f>
        <v>Brasil</v>
      </c>
      <c r="E923" s="3"/>
      <c r="F923" s="5" t="str">
        <f aca="false">[1]Base_Jugadores!E923</f>
        <v>CT</v>
      </c>
      <c r="G923" s="5" t="n">
        <f aca="false">[1]Base_Jugadores!F923</f>
        <v>73</v>
      </c>
      <c r="H923" s="5" t="n">
        <f aca="false">[1]Base_Jugadores!G923</f>
        <v>20</v>
      </c>
      <c r="I923" s="7" t="n">
        <f aca="false" t="array" ref="I923:I923">_xlfn.XLOOKUP(G923,{55;56;57;58;59;60;61;62;63;64;65;66;67;68;69;70;71;72;73;74;75;76;77;78;79;80;81;82;83;84;85;86;87;88;89;90;91;92;93;94;95;96;97;98;99},{100000;130000;160000;190000;220000;250000;300000;350000;400000;450000;500000;600000;700000;800000;900000;1000000;1500000;2000000;3000000;4000000;5000000;6500000;8000000;10000000;12500000;15000000;20000000;25000000;30000000;35000000;40000000;55000000;70000000;80000000;90000000;110000000;130000000;160000000;190000000;220000000;250000000;280000000;310000000;340000000;400000000})</f>
        <v>3000000</v>
      </c>
      <c r="J923" s="7" t="n">
        <f aca="false">I923*S923*T923*U923</f>
        <v>2486250</v>
      </c>
      <c r="K923" s="3"/>
      <c r="L923" s="3"/>
      <c r="M923" s="3"/>
      <c r="N923" s="9" t="n">
        <v>2</v>
      </c>
      <c r="O923" s="4" t="n">
        <v>1</v>
      </c>
      <c r="P923" s="5" t="n">
        <f aca="false">IF(COUNTIF([1]Base_Jugadores!J$2:J$500,B923)&gt;0,1,0)</f>
        <v>0</v>
      </c>
      <c r="Q923" s="10" t="b">
        <f aca="false">--(COUNTIFS(
   [1]Fichajes_Realizados!A$2:A$5000,A923,
   [1]Fichajes_Realizados!G$2:G$5000,$X$3
)&gt;0)</f>
        <v>0</v>
      </c>
      <c r="R923" s="5" t="n">
        <f aca="false">_xlfn.XLOOKUP(C923, [1]Estado_Equipos!A$2:A$500, [1]Estado_Equipos!J$2:J$500, "")</f>
        <v>77</v>
      </c>
      <c r="S923" s="5" t="n">
        <f aca="false">IF(H923&lt;=16,1.45,
IF(H923&gt;=41,0.3,
CHOOSE(ROUNDDOWN((H923-16)/2,0)+1,
1.45,1.38,1.3,1.23,1.17,1.15,1.12,1.05,0.95,0.8,0.6,0.4,0.3)))</f>
        <v>1.3</v>
      </c>
      <c r="T923" s="5" t="n">
        <f aca="false">CHOOSE(N923+1,1.2,1,0.85,0.7)</f>
        <v>0.85</v>
      </c>
      <c r="U923" s="5" t="n">
        <f aca="false">IF(F923="PO",0.6,
IF(F923="CT",0.75,
IF(F923="LI",0.8,
IF(F923="LD",0.8,
IF(F923="MCD",0.85,
IF(F923="MC",0.95,
IF(F923="MO",1.05,
IF(F923="EI",1.1,
IF(F923="ED",1.1,
IF(F923="SD",1.15,
IF(F923="DC",1.2,0)))))))))))</f>
        <v>0.75</v>
      </c>
    </row>
    <row r="924" customFormat="false" ht="16.4" hidden="false" customHeight="false" outlineLevel="0" collapsed="false">
      <c r="A924" s="1" t="n">
        <v>923</v>
      </c>
      <c r="B924" s="5" t="str">
        <f aca="false">[1]Base_Jugadores!B924</f>
        <v>James McAtee</v>
      </c>
      <c r="C924" s="5" t="str">
        <f aca="false">IFERROR(
   _xlfn.XLOOKUP(VALUE(A924),[1]Fichajes_Realizados!A$2:A$50000,[1]Fichajes_Realizados!D$2:D$50000,,0,-1),
   _xlfn.XLOOKUP(VALUE(A924),[1]Base_Jugadores!A$2:A$50000,[1]Base_Jugadores!C$2:C$50000)
)</f>
        <v>Nottingham Forest</v>
      </c>
      <c r="D924" s="5" t="str">
        <f aca="false">[1]Base_Jugadores!D924</f>
        <v>Inglaterra</v>
      </c>
      <c r="E924" s="3"/>
      <c r="F924" s="5" t="str">
        <f aca="false">[1]Base_Jugadores!E924</f>
        <v>MO</v>
      </c>
      <c r="G924" s="5" t="n">
        <f aca="false">[1]Base_Jugadores!F924</f>
        <v>71</v>
      </c>
      <c r="H924" s="5" t="n">
        <f aca="false">[1]Base_Jugadores!G924</f>
        <v>23</v>
      </c>
      <c r="I924" s="7" t="n">
        <f aca="false" t="array" ref="I924:I924">_xlfn.XLOOKUP(G924,{55;56;57;58;59;60;61;62;63;64;65;66;67;68;69;70;71;72;73;74;75;76;77;78;79;80;81;82;83;84;85;86;87;88;89;90;91;92;93;94;95;96;97;98;99},{100000;130000;160000;190000;220000;250000;300000;350000;400000;450000;500000;600000;700000;800000;900000;1000000;1500000;2000000;3000000;4000000;5000000;6500000;8000000;10000000;12500000;15000000;20000000;25000000;30000000;35000000;40000000;55000000;70000000;80000000;90000000;110000000;130000000;160000000;190000000;220000000;250000000;280000000;310000000;340000000;400000000})</f>
        <v>1500000</v>
      </c>
      <c r="J924" s="7" t="n">
        <f aca="false">I924*S924*T924*U924</f>
        <v>1646662.5</v>
      </c>
      <c r="K924" s="3"/>
      <c r="L924" s="3"/>
      <c r="M924" s="3"/>
      <c r="N924" s="9" t="n">
        <v>2</v>
      </c>
      <c r="O924" s="4" t="n">
        <v>0</v>
      </c>
      <c r="P924" s="5" t="n">
        <f aca="false">IF(COUNTIF([1]Base_Jugadores!J$2:J$500,B924)&gt;0,1,0)</f>
        <v>0</v>
      </c>
      <c r="Q924" s="10" t="b">
        <f aca="false">--(COUNTIFS(
   [1]Fichajes_Realizados!A$2:A$5000,A924,
   [1]Fichajes_Realizados!G$2:G$5000,$X$3
)&gt;0)</f>
        <v>0</v>
      </c>
      <c r="R924" s="5" t="n">
        <f aca="false">_xlfn.XLOOKUP(C924, [1]Estado_Equipos!A$2:A$500, [1]Estado_Equipos!J$2:J$500, "")</f>
        <v>77</v>
      </c>
      <c r="S924" s="5" t="n">
        <f aca="false">IF(H924&lt;=16,1.45,
IF(H924&gt;=41,0.3,
CHOOSE(ROUNDDOWN((H924-16)/2,0)+1,
1.45,1.38,1.3,1.23,1.17,1.15,1.12,1.05,0.95,0.8,0.6,0.4,0.3)))</f>
        <v>1.23</v>
      </c>
      <c r="T924" s="5" t="n">
        <f aca="false">CHOOSE(N924+1,1.2,1,0.85,0.7)</f>
        <v>0.85</v>
      </c>
      <c r="U924" s="5" t="n">
        <f aca="false">IF(F924="PO",0.6,
IF(F924="CT",0.75,
IF(F924="LI",0.8,
IF(F924="LD",0.8,
IF(F924="MCD",0.85,
IF(F924="MC",0.95,
IF(F924="MO",1.05,
IF(F924="EI",1.1,
IF(F924="ED",1.1,
IF(F924="SD",1.15,
IF(F924="DC",1.2,0)))))))))))</f>
        <v>1.05</v>
      </c>
    </row>
    <row r="925" customFormat="false" ht="16.4" hidden="false" customHeight="false" outlineLevel="0" collapsed="false">
      <c r="A925" s="1" t="n">
        <v>924</v>
      </c>
      <c r="B925" s="5" t="str">
        <f aca="false">[1]Base_Jugadores!B925</f>
        <v>John Victor</v>
      </c>
      <c r="C925" s="5" t="str">
        <f aca="false">IFERROR(
   _xlfn.XLOOKUP(VALUE(A925),[1]Fichajes_Realizados!A$2:A$50000,[1]Fichajes_Realizados!D$2:D$50000,,0,-1),
   _xlfn.XLOOKUP(VALUE(A925),[1]Base_Jugadores!A$2:A$50000,[1]Base_Jugadores!C$2:C$50000)
)</f>
        <v>Nottingham Forest</v>
      </c>
      <c r="D925" s="5" t="str">
        <f aca="false">[1]Base_Jugadores!D925</f>
        <v>Brasil</v>
      </c>
      <c r="E925" s="3"/>
      <c r="F925" s="5" t="str">
        <f aca="false">[1]Base_Jugadores!E925</f>
        <v>PO</v>
      </c>
      <c r="G925" s="5" t="n">
        <f aca="false">[1]Base_Jugadores!F925</f>
        <v>74</v>
      </c>
      <c r="H925" s="5" t="n">
        <f aca="false">[1]Base_Jugadores!G925</f>
        <v>29</v>
      </c>
      <c r="I925" s="7" t="n">
        <f aca="false" t="array" ref="I925:I925">_xlfn.XLOOKUP(G925,{55;56;57;58;59;60;61;62;63;64;65;66;67;68;69;70;71;72;73;74;75;76;77;78;79;80;81;82;83;84;85;86;87;88;89;90;91;92;93;94;95;96;97;98;99},{100000;130000;160000;190000;220000;250000;300000;350000;400000;450000;500000;600000;700000;800000;900000;1000000;1500000;2000000;3000000;4000000;5000000;6500000;8000000;10000000;12500000;15000000;20000000;25000000;30000000;35000000;40000000;55000000;70000000;80000000;90000000;110000000;130000000;160000000;190000000;220000000;250000000;280000000;310000000;340000000;400000000})</f>
        <v>4000000</v>
      </c>
      <c r="J925" s="7" t="n">
        <f aca="false">I925*S925*T925*U925</f>
        <v>2284800</v>
      </c>
      <c r="K925" s="3"/>
      <c r="L925" s="3"/>
      <c r="M925" s="3"/>
      <c r="N925" s="9" t="n">
        <v>2</v>
      </c>
      <c r="O925" s="4" t="n">
        <v>0</v>
      </c>
      <c r="P925" s="5" t="n">
        <f aca="false">IF(COUNTIF([1]Base_Jugadores!J$2:J$500,B925)&gt;0,1,0)</f>
        <v>0</v>
      </c>
      <c r="Q925" s="10" t="b">
        <f aca="false">--(COUNTIFS(
   [1]Fichajes_Realizados!A$2:A$5000,A925,
   [1]Fichajes_Realizados!G$2:G$5000,$X$3
)&gt;0)</f>
        <v>0</v>
      </c>
      <c r="R925" s="5" t="n">
        <f aca="false">_xlfn.XLOOKUP(C925, [1]Estado_Equipos!A$2:A$500, [1]Estado_Equipos!J$2:J$500, "")</f>
        <v>77</v>
      </c>
      <c r="S925" s="5" t="n">
        <f aca="false">IF(H925&lt;=16,1.45,
IF(H925&gt;=41,0.3,
CHOOSE(ROUNDDOWN((H925-16)/2,0)+1,
1.45,1.38,1.3,1.23,1.17,1.15,1.12,1.05,0.95,0.8,0.6,0.4,0.3)))</f>
        <v>1.12</v>
      </c>
      <c r="T925" s="5" t="n">
        <f aca="false">CHOOSE(N925+1,1.2,1,0.85,0.7)</f>
        <v>0.85</v>
      </c>
      <c r="U925" s="5" t="n">
        <f aca="false">IF(F925="PO",0.6,
IF(F925="CT",0.75,
IF(F925="LI",0.8,
IF(F925="LD",0.8,
IF(F925="MCD",0.85,
IF(F925="MC",0.95,
IF(F925="MO",1.05,
IF(F925="EI",1.1,
IF(F925="ED",1.1,
IF(F925="SD",1.15,
IF(F925="DC",1.2,0)))))))))))</f>
        <v>0.6</v>
      </c>
    </row>
    <row r="926" customFormat="false" ht="16.4" hidden="false" customHeight="false" outlineLevel="0" collapsed="false">
      <c r="A926" s="1" t="n">
        <v>925</v>
      </c>
      <c r="B926" s="5" t="str">
        <f aca="false">[1]Base_Jugadores!B926</f>
        <v>M. Gibbs-White</v>
      </c>
      <c r="C926" s="5" t="str">
        <f aca="false">IFERROR(
   _xlfn.XLOOKUP(VALUE(A926),[1]Fichajes_Realizados!A$2:A$50000,[1]Fichajes_Realizados!D$2:D$50000,,0,-1),
   _xlfn.XLOOKUP(VALUE(A926),[1]Base_Jugadores!A$2:A$50000,[1]Base_Jugadores!C$2:C$50000)
)</f>
        <v>Nottingham Forest</v>
      </c>
      <c r="D926" s="5" t="str">
        <f aca="false">[1]Base_Jugadores!D926</f>
        <v>Inglaterra</v>
      </c>
      <c r="E926" s="3"/>
      <c r="F926" s="5" t="str">
        <f aca="false">[1]Base_Jugadores!E926</f>
        <v>MO</v>
      </c>
      <c r="G926" s="5" t="n">
        <f aca="false">[1]Base_Jugadores!F926</f>
        <v>81</v>
      </c>
      <c r="H926" s="5" t="n">
        <f aca="false">[1]Base_Jugadores!G926</f>
        <v>25</v>
      </c>
      <c r="I926" s="7" t="n">
        <f aca="false" t="array" ref="I926:I926">_xlfn.XLOOKUP(G926,{55;56;57;58;59;60;61;62;63;64;65;66;67;68;69;70;71;72;73;74;75;76;77;78;79;80;81;82;83;84;85;86;87;88;89;90;91;92;93;94;95;96;97;98;99},{100000;130000;160000;190000;220000;250000;300000;350000;400000;450000;500000;600000;700000;800000;900000;1000000;1500000;2000000;3000000;4000000;5000000;6500000;8000000;10000000;12500000;15000000;20000000;25000000;30000000;35000000;40000000;55000000;70000000;80000000;90000000;110000000;130000000;160000000;190000000;220000000;250000000;280000000;310000000;340000000;400000000})</f>
        <v>20000000</v>
      </c>
      <c r="J926" s="7" t="n">
        <f aca="false">I926*S926*T926*U926</f>
        <v>29484000</v>
      </c>
      <c r="K926" s="3"/>
      <c r="L926" s="3"/>
      <c r="M926" s="3"/>
      <c r="N926" s="9" t="n">
        <v>0</v>
      </c>
      <c r="O926" s="4" t="n">
        <v>0</v>
      </c>
      <c r="P926" s="5" t="n">
        <f aca="false">IF(COUNTIF([1]Base_Jugadores!J$2:J$500,B926)&gt;0,1,0)</f>
        <v>0</v>
      </c>
      <c r="Q926" s="10" t="b">
        <f aca="false">--(COUNTIFS(
   [1]Fichajes_Realizados!A$2:A$5000,A926,
   [1]Fichajes_Realizados!G$2:G$5000,$X$3
)&gt;0)</f>
        <v>0</v>
      </c>
      <c r="R926" s="5" t="n">
        <f aca="false">_xlfn.XLOOKUP(C926, [1]Estado_Equipos!A$2:A$500, [1]Estado_Equipos!J$2:J$500, "")</f>
        <v>77</v>
      </c>
      <c r="S926" s="5" t="n">
        <f aca="false">IF(H926&lt;=16,1.45,
IF(H926&gt;=41,0.3,
CHOOSE(ROUNDDOWN((H926-16)/2,0)+1,
1.45,1.38,1.3,1.23,1.17,1.15,1.12,1.05,0.95,0.8,0.6,0.4,0.3)))</f>
        <v>1.17</v>
      </c>
      <c r="T926" s="5" t="n">
        <f aca="false">CHOOSE(N926+1,1.2,1,0.85,0.7)</f>
        <v>1.2</v>
      </c>
      <c r="U926" s="5" t="n">
        <f aca="false">IF(F926="PO",0.6,
IF(F926="CT",0.75,
IF(F926="LI",0.8,
IF(F926="LD",0.8,
IF(F926="MCD",0.85,
IF(F926="MC",0.95,
IF(F926="MO",1.05,
IF(F926="EI",1.1,
IF(F926="ED",1.1,
IF(F926="SD",1.15,
IF(F926="DC",1.2,0)))))))))))</f>
        <v>1.05</v>
      </c>
    </row>
    <row r="927" customFormat="false" ht="16.4" hidden="false" customHeight="false" outlineLevel="0" collapsed="false">
      <c r="A927" s="1" t="n">
        <v>926</v>
      </c>
      <c r="B927" s="5" t="str">
        <f aca="false">[1]Base_Jugadores!B927</f>
        <v>Matz Sels</v>
      </c>
      <c r="C927" s="5" t="str">
        <f aca="false">IFERROR(
   _xlfn.XLOOKUP(VALUE(A927),[1]Fichajes_Realizados!A$2:A$50000,[1]Fichajes_Realizados!D$2:D$50000,,0,-1),
   _xlfn.XLOOKUP(VALUE(A927),[1]Base_Jugadores!A$2:A$50000,[1]Base_Jugadores!C$2:C$50000)
)</f>
        <v>Nottingham Forest</v>
      </c>
      <c r="D927" s="5" t="str">
        <f aca="false">[1]Base_Jugadores!D927</f>
        <v>Bélgica</v>
      </c>
      <c r="E927" s="3"/>
      <c r="F927" s="5" t="str">
        <f aca="false">[1]Base_Jugadores!E927</f>
        <v>PO</v>
      </c>
      <c r="G927" s="5" t="n">
        <f aca="false">[1]Base_Jugadores!F927</f>
        <v>82</v>
      </c>
      <c r="H927" s="5" t="n">
        <f aca="false">[1]Base_Jugadores!G927</f>
        <v>33</v>
      </c>
      <c r="I927" s="7" t="n">
        <f aca="false" t="array" ref="I927:I927">_xlfn.XLOOKUP(G927,{55;56;57;58;59;60;61;62;63;64;65;66;67;68;69;70;71;72;73;74;75;76;77;78;79;80;81;82;83;84;85;86;87;88;89;90;91;92;93;94;95;96;97;98;99},{100000;130000;160000;190000;220000;250000;300000;350000;400000;450000;500000;600000;700000;800000;900000;1000000;1500000;2000000;3000000;4000000;5000000;6500000;8000000;10000000;12500000;15000000;20000000;25000000;30000000;35000000;40000000;55000000;70000000;80000000;90000000;110000000;130000000;160000000;190000000;220000000;250000000;280000000;310000000;340000000;400000000})</f>
        <v>25000000</v>
      </c>
      <c r="J927" s="7" t="n">
        <f aca="false">I927*S927*T927*U927</f>
        <v>17100000</v>
      </c>
      <c r="K927" s="3"/>
      <c r="L927" s="3"/>
      <c r="M927" s="3"/>
      <c r="N927" s="9" t="n">
        <v>0</v>
      </c>
      <c r="O927" s="4" t="n">
        <v>0</v>
      </c>
      <c r="P927" s="5" t="n">
        <f aca="false">IF(COUNTIF([1]Base_Jugadores!J$2:J$500,B927)&gt;0,1,0)</f>
        <v>0</v>
      </c>
      <c r="Q927" s="10" t="b">
        <f aca="false">--(COUNTIFS(
   [1]Fichajes_Realizados!A$2:A$5000,A927,
   [1]Fichajes_Realizados!G$2:G$5000,$X$3
)&gt;0)</f>
        <v>0</v>
      </c>
      <c r="R927" s="5" t="n">
        <f aca="false">_xlfn.XLOOKUP(C927, [1]Estado_Equipos!A$2:A$500, [1]Estado_Equipos!J$2:J$500, "")</f>
        <v>77</v>
      </c>
      <c r="S927" s="5" t="n">
        <f aca="false">IF(H927&lt;=16,1.45,
IF(H927&gt;=41,0.3,
CHOOSE(ROUNDDOWN((H927-16)/2,0)+1,
1.45,1.38,1.3,1.23,1.17,1.15,1.12,1.05,0.95,0.8,0.6,0.4,0.3)))</f>
        <v>0.95</v>
      </c>
      <c r="T927" s="5" t="n">
        <f aca="false">CHOOSE(N927+1,1.2,1,0.85,0.7)</f>
        <v>1.2</v>
      </c>
      <c r="U927" s="5" t="n">
        <f aca="false">IF(F927="PO",0.6,
IF(F927="CT",0.75,
IF(F927="LI",0.8,
IF(F927="LD",0.8,
IF(F927="MCD",0.85,
IF(F927="MC",0.95,
IF(F927="MO",1.05,
IF(F927="EI",1.1,
IF(F927="ED",1.1,
IF(F927="SD",1.15,
IF(F927="DC",1.2,0)))))))))))</f>
        <v>0.6</v>
      </c>
    </row>
    <row r="928" customFormat="false" ht="16.4" hidden="false" customHeight="false" outlineLevel="0" collapsed="false">
      <c r="A928" s="1" t="n">
        <v>927</v>
      </c>
      <c r="B928" s="5" t="str">
        <f aca="false">[1]Base_Jugadores!B928</f>
        <v>Morato Rodrigues</v>
      </c>
      <c r="C928" s="5" t="str">
        <f aca="false">IFERROR(
   _xlfn.XLOOKUP(VALUE(A928),[1]Fichajes_Realizados!A$2:A$50000,[1]Fichajes_Realizados!D$2:D$50000,,0,-1),
   _xlfn.XLOOKUP(VALUE(A928),[1]Base_Jugadores!A$2:A$50000,[1]Base_Jugadores!C$2:C$50000)
)</f>
        <v>Nottingham Forest</v>
      </c>
      <c r="D928" s="5" t="str">
        <f aca="false">[1]Base_Jugadores!D928</f>
        <v>Brasil</v>
      </c>
      <c r="E928" s="3"/>
      <c r="F928" s="5" t="str">
        <f aca="false">[1]Base_Jugadores!E928</f>
        <v>CT</v>
      </c>
      <c r="G928" s="5" t="n">
        <f aca="false">[1]Base_Jugadores!F928</f>
        <v>76</v>
      </c>
      <c r="H928" s="5" t="n">
        <f aca="false">[1]Base_Jugadores!G928</f>
        <v>24</v>
      </c>
      <c r="I928" s="7" t="n">
        <f aca="false" t="array" ref="I928:I928">_xlfn.XLOOKUP(G928,{55;56;57;58;59;60;61;62;63;64;65;66;67;68;69;70;71;72;73;74;75;76;77;78;79;80;81;82;83;84;85;86;87;88;89;90;91;92;93;94;95;96;97;98;99},{100000;130000;160000;190000;220000;250000;300000;350000;400000;450000;500000;600000;700000;800000;900000;1000000;1500000;2000000;3000000;4000000;5000000;6500000;8000000;10000000;12500000;15000000;20000000;25000000;30000000;35000000;40000000;55000000;70000000;80000000;90000000;110000000;130000000;160000000;190000000;220000000;250000000;280000000;310000000;340000000;400000000})</f>
        <v>6500000</v>
      </c>
      <c r="J928" s="7" t="n">
        <f aca="false">I928*S928*T928*U928</f>
        <v>4848187.5</v>
      </c>
      <c r="K928" s="3"/>
      <c r="L928" s="3"/>
      <c r="M928" s="3"/>
      <c r="N928" s="9" t="n">
        <v>2</v>
      </c>
      <c r="O928" s="4" t="n">
        <v>0</v>
      </c>
      <c r="P928" s="5" t="n">
        <f aca="false">IF(COUNTIF([1]Base_Jugadores!J$2:J$500,B928)&gt;0,1,0)</f>
        <v>0</v>
      </c>
      <c r="Q928" s="10" t="b">
        <f aca="false">--(COUNTIFS(
   [1]Fichajes_Realizados!A$2:A$5000,A928,
   [1]Fichajes_Realizados!G$2:G$5000,$X$3
)&gt;0)</f>
        <v>0</v>
      </c>
      <c r="R928" s="5" t="n">
        <f aca="false">_xlfn.XLOOKUP(C928, [1]Estado_Equipos!A$2:A$500, [1]Estado_Equipos!J$2:J$500, "")</f>
        <v>77</v>
      </c>
      <c r="S928" s="5" t="n">
        <f aca="false">IF(H928&lt;=16,1.45,
IF(H928&gt;=41,0.3,
CHOOSE(ROUNDDOWN((H928-16)/2,0)+1,
1.45,1.38,1.3,1.23,1.17,1.15,1.12,1.05,0.95,0.8,0.6,0.4,0.3)))</f>
        <v>1.17</v>
      </c>
      <c r="T928" s="5" t="n">
        <f aca="false">CHOOSE(N928+1,1.2,1,0.85,0.7)</f>
        <v>0.85</v>
      </c>
      <c r="U928" s="5" t="n">
        <f aca="false">IF(F928="PO",0.6,
IF(F928="CT",0.75,
IF(F928="LI",0.8,
IF(F928="LD",0.8,
IF(F928="MCD",0.85,
IF(F928="MC",0.95,
IF(F928="MO",1.05,
IF(F928="EI",1.1,
IF(F928="ED",1.1,
IF(F928="SD",1.15,
IF(F928="DC",1.2,0)))))))))))</f>
        <v>0.75</v>
      </c>
    </row>
    <row r="929" customFormat="false" ht="16.4" hidden="false" customHeight="false" outlineLevel="0" collapsed="false">
      <c r="A929" s="1" t="n">
        <v>928</v>
      </c>
      <c r="B929" s="5" t="str">
        <f aca="false">[1]Base_Jugadores!B929</f>
        <v>Murillo Santiago</v>
      </c>
      <c r="C929" s="5" t="str">
        <f aca="false">IFERROR(
   _xlfn.XLOOKUP(VALUE(A929),[1]Fichajes_Realizados!A$2:A$50000,[1]Fichajes_Realizados!D$2:D$50000,,0,-1),
   _xlfn.XLOOKUP(VALUE(A929),[1]Base_Jugadores!A$2:A$50000,[1]Base_Jugadores!C$2:C$50000)
)</f>
        <v>Nottingham Forest</v>
      </c>
      <c r="D929" s="5" t="str">
        <f aca="false">[1]Base_Jugadores!D929</f>
        <v>Brasil</v>
      </c>
      <c r="E929" s="3"/>
      <c r="F929" s="5" t="str">
        <f aca="false">[1]Base_Jugadores!E929</f>
        <v>CT</v>
      </c>
      <c r="G929" s="5" t="n">
        <f aca="false">[1]Base_Jugadores!F929</f>
        <v>81</v>
      </c>
      <c r="H929" s="5" t="n">
        <f aca="false">[1]Base_Jugadores!G929</f>
        <v>23</v>
      </c>
      <c r="I929" s="7" t="n">
        <f aca="false" t="array" ref="I929:I929">_xlfn.XLOOKUP(G929,{55;56;57;58;59;60;61;62;63;64;65;66;67;68;69;70;71;72;73;74;75;76;77;78;79;80;81;82;83;84;85;86;87;88;89;90;91;92;93;94;95;96;97;98;99},{100000;130000;160000;190000;220000;250000;300000;350000;400000;450000;500000;600000;700000;800000;900000;1000000;1500000;2000000;3000000;4000000;5000000;6500000;8000000;10000000;12500000;15000000;20000000;25000000;30000000;35000000;40000000;55000000;70000000;80000000;90000000;110000000;130000000;160000000;190000000;220000000;250000000;280000000;310000000;340000000;400000000})</f>
        <v>20000000</v>
      </c>
      <c r="J929" s="7" t="n">
        <f aca="false">I929*S929*T929*U929</f>
        <v>22140000</v>
      </c>
      <c r="K929" s="3"/>
      <c r="L929" s="3"/>
      <c r="M929" s="3"/>
      <c r="N929" s="9" t="n">
        <v>0</v>
      </c>
      <c r="O929" s="4" t="n">
        <v>0</v>
      </c>
      <c r="P929" s="5" t="n">
        <f aca="false">IF(COUNTIF([1]Base_Jugadores!J$2:J$500,B929)&gt;0,1,0)</f>
        <v>0</v>
      </c>
      <c r="Q929" s="10" t="b">
        <f aca="false">--(COUNTIFS(
   [1]Fichajes_Realizados!A$2:A$5000,A929,
   [1]Fichajes_Realizados!G$2:G$5000,$X$3
)&gt;0)</f>
        <v>0</v>
      </c>
      <c r="R929" s="5" t="n">
        <f aca="false">_xlfn.XLOOKUP(C929, [1]Estado_Equipos!A$2:A$500, [1]Estado_Equipos!J$2:J$500, "")</f>
        <v>77</v>
      </c>
      <c r="S929" s="5" t="n">
        <f aca="false">IF(H929&lt;=16,1.45,
IF(H929&gt;=41,0.3,
CHOOSE(ROUNDDOWN((H929-16)/2,0)+1,
1.45,1.38,1.3,1.23,1.17,1.15,1.12,1.05,0.95,0.8,0.6,0.4,0.3)))</f>
        <v>1.23</v>
      </c>
      <c r="T929" s="5" t="n">
        <f aca="false">CHOOSE(N929+1,1.2,1,0.85,0.7)</f>
        <v>1.2</v>
      </c>
      <c r="U929" s="5" t="n">
        <f aca="false">IF(F929="PO",0.6,
IF(F929="CT",0.75,
IF(F929="LI",0.8,
IF(F929="LD",0.8,
IF(F929="MCD",0.85,
IF(F929="MC",0.95,
IF(F929="MO",1.05,
IF(F929="EI",1.1,
IF(F929="ED",1.1,
IF(F929="SD",1.15,
IF(F929="DC",1.2,0)))))))))))</f>
        <v>0.75</v>
      </c>
    </row>
    <row r="930" customFormat="false" ht="16.4" hidden="false" customHeight="false" outlineLevel="0" collapsed="false">
      <c r="A930" s="1" t="n">
        <v>929</v>
      </c>
      <c r="B930" s="5" t="str">
        <f aca="false">[1]Base_Jugadores!B930</f>
        <v>N. Milenković</v>
      </c>
      <c r="C930" s="5" t="str">
        <f aca="false">IFERROR(
   _xlfn.XLOOKUP(VALUE(A930),[1]Fichajes_Realizados!A$2:A$50000,[1]Fichajes_Realizados!D$2:D$50000,,0,-1),
   _xlfn.XLOOKUP(VALUE(A930),[1]Base_Jugadores!A$2:A$50000,[1]Base_Jugadores!C$2:C$50000)
)</f>
        <v>Nottingham Forest</v>
      </c>
      <c r="D930" s="5" t="str">
        <f aca="false">[1]Base_Jugadores!D930</f>
        <v>Serbia</v>
      </c>
      <c r="E930" s="3"/>
      <c r="F930" s="5" t="str">
        <f aca="false">[1]Base_Jugadores!E930</f>
        <v>CT</v>
      </c>
      <c r="G930" s="5" t="n">
        <f aca="false">[1]Base_Jugadores!F930</f>
        <v>81</v>
      </c>
      <c r="H930" s="5" t="n">
        <f aca="false">[1]Base_Jugadores!G930</f>
        <v>28</v>
      </c>
      <c r="I930" s="7" t="n">
        <f aca="false" t="array" ref="I930:I930">_xlfn.XLOOKUP(G930,{55;56;57;58;59;60;61;62;63;64;65;66;67;68;69;70;71;72;73;74;75;76;77;78;79;80;81;82;83;84;85;86;87;88;89;90;91;92;93;94;95;96;97;98;99},{100000;130000;160000;190000;220000;250000;300000;350000;400000;450000;500000;600000;700000;800000;900000;1000000;1500000;2000000;3000000;4000000;5000000;6500000;8000000;10000000;12500000;15000000;20000000;25000000;30000000;35000000;40000000;55000000;70000000;80000000;90000000;110000000;130000000;160000000;190000000;220000000;250000000;280000000;310000000;340000000;400000000})</f>
        <v>20000000</v>
      </c>
      <c r="J930" s="7" t="n">
        <f aca="false">I930*S930*T930*U930</f>
        <v>20160000</v>
      </c>
      <c r="K930" s="3"/>
      <c r="L930" s="3"/>
      <c r="M930" s="3"/>
      <c r="N930" s="9" t="n">
        <v>0</v>
      </c>
      <c r="O930" s="4" t="n">
        <v>0</v>
      </c>
      <c r="P930" s="5" t="n">
        <f aca="false">IF(COUNTIF([1]Base_Jugadores!J$2:J$500,B930)&gt;0,1,0)</f>
        <v>0</v>
      </c>
      <c r="Q930" s="10" t="b">
        <f aca="false">--(COUNTIFS(
   [1]Fichajes_Realizados!A$2:A$5000,A930,
   [1]Fichajes_Realizados!G$2:G$5000,$X$3
)&gt;0)</f>
        <v>0</v>
      </c>
      <c r="R930" s="5" t="n">
        <f aca="false">_xlfn.XLOOKUP(C930, [1]Estado_Equipos!A$2:A$500, [1]Estado_Equipos!J$2:J$500, "")</f>
        <v>77</v>
      </c>
      <c r="S930" s="5" t="n">
        <f aca="false">IF(H930&lt;=16,1.45,
IF(H930&gt;=41,0.3,
CHOOSE(ROUNDDOWN((H930-16)/2,0)+1,
1.45,1.38,1.3,1.23,1.17,1.15,1.12,1.05,0.95,0.8,0.6,0.4,0.3)))</f>
        <v>1.12</v>
      </c>
      <c r="T930" s="5" t="n">
        <f aca="false">CHOOSE(N930+1,1.2,1,0.85,0.7)</f>
        <v>1.2</v>
      </c>
      <c r="U930" s="5" t="n">
        <f aca="false">IF(F930="PO",0.6,
IF(F930="CT",0.75,
IF(F930="LI",0.8,
IF(F930="LD",0.8,
IF(F930="MCD",0.85,
IF(F930="MC",0.95,
IF(F930="MO",1.05,
IF(F930="EI",1.1,
IF(F930="ED",1.1,
IF(F930="SD",1.15,
IF(F930="DC",1.2,0)))))))))))</f>
        <v>0.75</v>
      </c>
    </row>
    <row r="931" customFormat="false" ht="16.4" hidden="false" customHeight="false" outlineLevel="0" collapsed="false">
      <c r="A931" s="1" t="n">
        <v>930</v>
      </c>
      <c r="B931" s="5" t="str">
        <f aca="false">[1]Base_Jugadores!B931</f>
        <v>Neco Williams</v>
      </c>
      <c r="C931" s="5" t="str">
        <f aca="false">IFERROR(
   _xlfn.XLOOKUP(VALUE(A931),[1]Fichajes_Realizados!A$2:A$50000,[1]Fichajes_Realizados!D$2:D$50000,,0,-1),
   _xlfn.XLOOKUP(VALUE(A931),[1]Base_Jugadores!A$2:A$50000,[1]Base_Jugadores!C$2:C$50000)
)</f>
        <v>Nottingham Forest</v>
      </c>
      <c r="D931" s="5" t="str">
        <f aca="false">[1]Base_Jugadores!D931</f>
        <v>Gales</v>
      </c>
      <c r="E931" s="3"/>
      <c r="F931" s="5" t="str">
        <f aca="false">[1]Base_Jugadores!E931</f>
        <v>LI</v>
      </c>
      <c r="G931" s="5" t="n">
        <f aca="false">[1]Base_Jugadores!F931</f>
        <v>78</v>
      </c>
      <c r="H931" s="5" t="n">
        <f aca="false">[1]Base_Jugadores!G931</f>
        <v>24</v>
      </c>
      <c r="I931" s="7" t="n">
        <f aca="false" t="array" ref="I931:I931">_xlfn.XLOOKUP(G931,{55;56;57;58;59;60;61;62;63;64;65;66;67;68;69;70;71;72;73;74;75;76;77;78;79;80;81;82;83;84;85;86;87;88;89;90;91;92;93;94;95;96;97;98;99},{100000;130000;160000;190000;220000;250000;300000;350000;400000;450000;500000;600000;700000;800000;900000;1000000;1500000;2000000;3000000;4000000;5000000;6500000;8000000;10000000;12500000;15000000;20000000;25000000;30000000;35000000;40000000;55000000;70000000;80000000;90000000;110000000;130000000;160000000;190000000;220000000;250000000;280000000;310000000;340000000;400000000})</f>
        <v>10000000</v>
      </c>
      <c r="J931" s="7" t="n">
        <f aca="false">I931*S931*T931*U931</f>
        <v>9360000</v>
      </c>
      <c r="K931" s="3"/>
      <c r="L931" s="3"/>
      <c r="M931" s="3"/>
      <c r="N931" s="9" t="n">
        <v>1</v>
      </c>
      <c r="O931" s="4" t="n">
        <v>0</v>
      </c>
      <c r="P931" s="5" t="n">
        <f aca="false">IF(COUNTIF([1]Base_Jugadores!J$2:J$500,B931)&gt;0,1,0)</f>
        <v>0</v>
      </c>
      <c r="Q931" s="10" t="b">
        <f aca="false">--(COUNTIFS(
   [1]Fichajes_Realizados!A$2:A$5000,A931,
   [1]Fichajes_Realizados!G$2:G$5000,$X$3
)&gt;0)</f>
        <v>0</v>
      </c>
      <c r="R931" s="5" t="n">
        <f aca="false">_xlfn.XLOOKUP(C931, [1]Estado_Equipos!A$2:A$500, [1]Estado_Equipos!J$2:J$500, "")</f>
        <v>77</v>
      </c>
      <c r="S931" s="5" t="n">
        <f aca="false">IF(H931&lt;=16,1.45,
IF(H931&gt;=41,0.3,
CHOOSE(ROUNDDOWN((H931-16)/2,0)+1,
1.45,1.38,1.3,1.23,1.17,1.15,1.12,1.05,0.95,0.8,0.6,0.4,0.3)))</f>
        <v>1.17</v>
      </c>
      <c r="T931" s="5" t="n">
        <f aca="false">CHOOSE(N931+1,1.2,1,0.85,0.7)</f>
        <v>1</v>
      </c>
      <c r="U931" s="5" t="n">
        <f aca="false">IF(F931="PO",0.6,
IF(F931="CT",0.75,
IF(F931="LI",0.8,
IF(F931="LD",0.8,
IF(F931="MCD",0.85,
IF(F931="MC",0.95,
IF(F931="MO",1.05,
IF(F931="EI",1.1,
IF(F931="ED",1.1,
IF(F931="SD",1.15,
IF(F931="DC",1.2,0)))))))))))</f>
        <v>0.8</v>
      </c>
    </row>
    <row r="932" customFormat="false" ht="16.4" hidden="false" customHeight="false" outlineLevel="0" collapsed="false">
      <c r="A932" s="1" t="n">
        <v>931</v>
      </c>
      <c r="B932" s="5" t="str">
        <f aca="false">[1]Base_Jugadores!B932</f>
        <v>Nicolás Domínguez</v>
      </c>
      <c r="C932" s="5" t="str">
        <f aca="false">IFERROR(
   _xlfn.XLOOKUP(VALUE(A932),[1]Fichajes_Realizados!A$2:A$50000,[1]Fichajes_Realizados!D$2:D$50000,,0,-1),
   _xlfn.XLOOKUP(VALUE(A932),[1]Base_Jugadores!A$2:A$50000,[1]Base_Jugadores!C$2:C$50000)
)</f>
        <v>Nottingham Forest</v>
      </c>
      <c r="D932" s="5" t="str">
        <f aca="false">[1]Base_Jugadores!D932</f>
        <v>Argentina</v>
      </c>
      <c r="E932" s="3"/>
      <c r="F932" s="5" t="str">
        <f aca="false">[1]Base_Jugadores!E932</f>
        <v>MC</v>
      </c>
      <c r="G932" s="5" t="n">
        <f aca="false">[1]Base_Jugadores!F932</f>
        <v>79</v>
      </c>
      <c r="H932" s="5" t="n">
        <f aca="false">[1]Base_Jugadores!G932</f>
        <v>27</v>
      </c>
      <c r="I932" s="7" t="n">
        <f aca="false" t="array" ref="I932:I932">_xlfn.XLOOKUP(G932,{55;56;57;58;59;60;61;62;63;64;65;66;67;68;69;70;71;72;73;74;75;76;77;78;79;80;81;82;83;84;85;86;87;88;89;90;91;92;93;94;95;96;97;98;99},{100000;130000;160000;190000;220000;250000;300000;350000;400000;450000;500000;600000;700000;800000;900000;1000000;1500000;2000000;3000000;4000000;5000000;6500000;8000000;10000000;12500000;15000000;20000000;25000000;30000000;35000000;40000000;55000000;70000000;80000000;90000000;110000000;130000000;160000000;190000000;220000000;250000000;280000000;310000000;340000000;400000000})</f>
        <v>12500000</v>
      </c>
      <c r="J932" s="7" t="n">
        <f aca="false">I932*S932*T932*U932</f>
        <v>16387500</v>
      </c>
      <c r="K932" s="3"/>
      <c r="L932" s="3"/>
      <c r="M932" s="3"/>
      <c r="N932" s="9" t="n">
        <v>0</v>
      </c>
      <c r="O932" s="4" t="n">
        <v>0</v>
      </c>
      <c r="P932" s="5" t="n">
        <f aca="false">IF(COUNTIF([1]Base_Jugadores!J$2:J$500,B932)&gt;0,1,0)</f>
        <v>0</v>
      </c>
      <c r="Q932" s="10" t="b">
        <f aca="false">--(COUNTIFS(
   [1]Fichajes_Realizados!A$2:A$5000,A932,
   [1]Fichajes_Realizados!G$2:G$5000,$X$3
)&gt;0)</f>
        <v>0</v>
      </c>
      <c r="R932" s="5" t="n">
        <f aca="false">_xlfn.XLOOKUP(C932, [1]Estado_Equipos!A$2:A$500, [1]Estado_Equipos!J$2:J$500, "")</f>
        <v>77</v>
      </c>
      <c r="S932" s="5" t="n">
        <f aca="false">IF(H932&lt;=16,1.45,
IF(H932&gt;=41,0.3,
CHOOSE(ROUNDDOWN((H932-16)/2,0)+1,
1.45,1.38,1.3,1.23,1.17,1.15,1.12,1.05,0.95,0.8,0.6,0.4,0.3)))</f>
        <v>1.15</v>
      </c>
      <c r="T932" s="5" t="n">
        <f aca="false">CHOOSE(N932+1,1.2,1,0.85,0.7)</f>
        <v>1.2</v>
      </c>
      <c r="U932" s="5" t="n">
        <f aca="false">IF(F932="PO",0.6,
IF(F932="CT",0.75,
IF(F932="LI",0.8,
IF(F932="LD",0.8,
IF(F932="MCD",0.85,
IF(F932="MC",0.95,
IF(F932="MO",1.05,
IF(F932="EI",1.1,
IF(F932="ED",1.1,
IF(F932="SD",1.15,
IF(F932="DC",1.2,0)))))))))))</f>
        <v>0.95</v>
      </c>
    </row>
    <row r="933" customFormat="false" ht="16.4" hidden="false" customHeight="false" outlineLevel="0" collapsed="false">
      <c r="A933" s="1" t="n">
        <v>932</v>
      </c>
      <c r="B933" s="5" t="str">
        <f aca="false">[1]Base_Jugadores!B933</f>
        <v>Nicolò Savona</v>
      </c>
      <c r="C933" s="5" t="str">
        <f aca="false">IFERROR(
   _xlfn.XLOOKUP(VALUE(A933),[1]Fichajes_Realizados!A$2:A$50000,[1]Fichajes_Realizados!D$2:D$50000,,0,-1),
   _xlfn.XLOOKUP(VALUE(A933),[1]Base_Jugadores!A$2:A$50000,[1]Base_Jugadores!C$2:C$50000)
)</f>
        <v>Nottingham Forest</v>
      </c>
      <c r="D933" s="5" t="str">
        <f aca="false">[1]Base_Jugadores!D933</f>
        <v>Italia</v>
      </c>
      <c r="E933" s="3"/>
      <c r="F933" s="5" t="str">
        <f aca="false">[1]Base_Jugadores!E933</f>
        <v>LD</v>
      </c>
      <c r="G933" s="5" t="n">
        <f aca="false">[1]Base_Jugadores!F933</f>
        <v>69</v>
      </c>
      <c r="H933" s="5" t="n">
        <f aca="false">[1]Base_Jugadores!G933</f>
        <v>22</v>
      </c>
      <c r="I933" s="7" t="n">
        <f aca="false" t="array" ref="I933:I933">_xlfn.XLOOKUP(G933,{55;56;57;58;59;60;61;62;63;64;65;66;67;68;69;70;71;72;73;74;75;76;77;78;79;80;81;82;83;84;85;86;87;88;89;90;91;92;93;94;95;96;97;98;99},{100000;130000;160000;190000;220000;250000;300000;350000;400000;450000;500000;600000;700000;800000;900000;1000000;1500000;2000000;3000000;4000000;5000000;6500000;8000000;10000000;12500000;15000000;20000000;25000000;30000000;35000000;40000000;55000000;70000000;80000000;90000000;110000000;130000000;160000000;190000000;220000000;250000000;280000000;310000000;340000000;400000000})</f>
        <v>900000</v>
      </c>
      <c r="J933" s="7" t="n">
        <f aca="false">I933*S933*T933*U933</f>
        <v>752760</v>
      </c>
      <c r="K933" s="3"/>
      <c r="L933" s="3"/>
      <c r="M933" s="3"/>
      <c r="N933" s="9" t="n">
        <v>2</v>
      </c>
      <c r="O933" s="4" t="n">
        <v>1</v>
      </c>
      <c r="P933" s="5" t="n">
        <f aca="false">IF(COUNTIF([1]Base_Jugadores!J$2:J$500,B933)&gt;0,1,0)</f>
        <v>0</v>
      </c>
      <c r="Q933" s="10" t="b">
        <f aca="false">--(COUNTIFS(
   [1]Fichajes_Realizados!A$2:A$5000,A933,
   [1]Fichajes_Realizados!G$2:G$5000,$X$3
)&gt;0)</f>
        <v>0</v>
      </c>
      <c r="R933" s="5" t="n">
        <f aca="false">_xlfn.XLOOKUP(C933, [1]Estado_Equipos!A$2:A$500, [1]Estado_Equipos!J$2:J$500, "")</f>
        <v>77</v>
      </c>
      <c r="S933" s="5" t="n">
        <f aca="false">IF(H933&lt;=16,1.45,
IF(H933&gt;=41,0.3,
CHOOSE(ROUNDDOWN((H933-16)/2,0)+1,
1.45,1.38,1.3,1.23,1.17,1.15,1.12,1.05,0.95,0.8,0.6,0.4,0.3)))</f>
        <v>1.23</v>
      </c>
      <c r="T933" s="5" t="n">
        <f aca="false">CHOOSE(N933+1,1.2,1,0.85,0.7)</f>
        <v>0.85</v>
      </c>
      <c r="U933" s="5" t="n">
        <f aca="false">IF(F933="PO",0.6,
IF(F933="CT",0.75,
IF(F933="LI",0.8,
IF(F933="LD",0.8,
IF(F933="MCD",0.85,
IF(F933="MC",0.95,
IF(F933="MO",1.05,
IF(F933="EI",1.1,
IF(F933="ED",1.1,
IF(F933="SD",1.15,
IF(F933="DC",1.2,0)))))))))))</f>
        <v>0.8</v>
      </c>
    </row>
    <row r="934" customFormat="false" ht="16.4" hidden="false" customHeight="false" outlineLevel="0" collapsed="false">
      <c r="A934" s="1" t="n">
        <v>933</v>
      </c>
      <c r="B934" s="5" t="str">
        <f aca="false">[1]Base_Jugadores!B934</f>
        <v>O. Zinchenko</v>
      </c>
      <c r="C934" s="5" t="str">
        <f aca="false">IFERROR(
   _xlfn.XLOOKUP(VALUE(A934),[1]Fichajes_Realizados!A$2:A$50000,[1]Fichajes_Realizados!D$2:D$50000,,0,-1),
   _xlfn.XLOOKUP(VALUE(A934),[1]Base_Jugadores!A$2:A$50000,[1]Base_Jugadores!C$2:C$50000)
)</f>
        <v>Nottingham Forest</v>
      </c>
      <c r="D934" s="5" t="str">
        <f aca="false">[1]Base_Jugadores!D934</f>
        <v>Ucrania</v>
      </c>
      <c r="E934" s="3"/>
      <c r="F934" s="5" t="str">
        <f aca="false">[1]Base_Jugadores!E934</f>
        <v>LI</v>
      </c>
      <c r="G934" s="5" t="n">
        <f aca="false">[1]Base_Jugadores!F934</f>
        <v>80</v>
      </c>
      <c r="H934" s="5" t="n">
        <f aca="false">[1]Base_Jugadores!G934</f>
        <v>29</v>
      </c>
      <c r="I934" s="7" t="n">
        <f aca="false" t="array" ref="I934:I934">_xlfn.XLOOKUP(G934,{55;56;57;58;59;60;61;62;63;64;65;66;67;68;69;70;71;72;73;74;75;76;77;78;79;80;81;82;83;84;85;86;87;88;89;90;91;92;93;94;95;96;97;98;99},{100000;130000;160000;190000;220000;250000;300000;350000;400000;450000;500000;600000;700000;800000;900000;1000000;1500000;2000000;3000000;4000000;5000000;6500000;8000000;10000000;12500000;15000000;20000000;25000000;30000000;35000000;40000000;55000000;70000000;80000000;90000000;110000000;130000000;160000000;190000000;220000000;250000000;280000000;310000000;340000000;400000000})</f>
        <v>15000000</v>
      </c>
      <c r="J934" s="7" t="n">
        <f aca="false">I934*S934*T934*U934</f>
        <v>16128000</v>
      </c>
      <c r="K934" s="3"/>
      <c r="L934" s="3"/>
      <c r="M934" s="3"/>
      <c r="N934" s="9" t="n">
        <v>0</v>
      </c>
      <c r="O934" s="4" t="n">
        <v>0</v>
      </c>
      <c r="P934" s="5" t="n">
        <f aca="false">IF(COUNTIF([1]Base_Jugadores!J$2:J$500,B934)&gt;0,1,0)</f>
        <v>0</v>
      </c>
      <c r="Q934" s="10" t="b">
        <f aca="false">--(COUNTIFS(
   [1]Fichajes_Realizados!A$2:A$5000,A934,
   [1]Fichajes_Realizados!G$2:G$5000,$X$3
)&gt;0)</f>
        <v>0</v>
      </c>
      <c r="R934" s="5" t="n">
        <f aca="false">_xlfn.XLOOKUP(C934, [1]Estado_Equipos!A$2:A$500, [1]Estado_Equipos!J$2:J$500, "")</f>
        <v>77</v>
      </c>
      <c r="S934" s="5" t="n">
        <f aca="false">IF(H934&lt;=16,1.45,
IF(H934&gt;=41,0.3,
CHOOSE(ROUNDDOWN((H934-16)/2,0)+1,
1.45,1.38,1.3,1.23,1.17,1.15,1.12,1.05,0.95,0.8,0.6,0.4,0.3)))</f>
        <v>1.12</v>
      </c>
      <c r="T934" s="5" t="n">
        <f aca="false">CHOOSE(N934+1,1.2,1,0.85,0.7)</f>
        <v>1.2</v>
      </c>
      <c r="U934" s="5" t="n">
        <f aca="false">IF(F934="PO",0.6,
IF(F934="CT",0.75,
IF(F934="LI",0.8,
IF(F934="LD",0.8,
IF(F934="MCD",0.85,
IF(F934="MC",0.95,
IF(F934="MO",1.05,
IF(F934="EI",1.1,
IF(F934="ED",1.1,
IF(F934="SD",1.15,
IF(F934="DC",1.2,0)))))))))))</f>
        <v>0.8</v>
      </c>
    </row>
    <row r="935" customFormat="false" ht="16.4" hidden="false" customHeight="false" outlineLevel="0" collapsed="false">
      <c r="A935" s="1" t="n">
        <v>934</v>
      </c>
      <c r="B935" s="5" t="str">
        <f aca="false">[1]Base_Jugadores!B935</f>
        <v>Ola Aina</v>
      </c>
      <c r="C935" s="5" t="str">
        <f aca="false">IFERROR(
   _xlfn.XLOOKUP(VALUE(A935),[1]Fichajes_Realizados!A$2:A$50000,[1]Fichajes_Realizados!D$2:D$50000,,0,-1),
   _xlfn.XLOOKUP(VALUE(A935),[1]Base_Jugadores!A$2:A$50000,[1]Base_Jugadores!C$2:C$50000)
)</f>
        <v>Nottingham Forest</v>
      </c>
      <c r="D935" s="5" t="str">
        <f aca="false">[1]Base_Jugadores!D935</f>
        <v>Nigeria</v>
      </c>
      <c r="E935" s="3"/>
      <c r="F935" s="5" t="str">
        <f aca="false">[1]Base_Jugadores!E935</f>
        <v>LD</v>
      </c>
      <c r="G935" s="5" t="n">
        <f aca="false">[1]Base_Jugadores!F935</f>
        <v>80</v>
      </c>
      <c r="H935" s="5" t="n">
        <f aca="false">[1]Base_Jugadores!G935</f>
        <v>29</v>
      </c>
      <c r="I935" s="7" t="n">
        <f aca="false" t="array" ref="I935:I935">_xlfn.XLOOKUP(G935,{55;56;57;58;59;60;61;62;63;64;65;66;67;68;69;70;71;72;73;74;75;76;77;78;79;80;81;82;83;84;85;86;87;88;89;90;91;92;93;94;95;96;97;98;99},{100000;130000;160000;190000;220000;250000;300000;350000;400000;450000;500000;600000;700000;800000;900000;1000000;1500000;2000000;3000000;4000000;5000000;6500000;8000000;10000000;12500000;15000000;20000000;25000000;30000000;35000000;40000000;55000000;70000000;80000000;90000000;110000000;130000000;160000000;190000000;220000000;250000000;280000000;310000000;340000000;400000000})</f>
        <v>15000000</v>
      </c>
      <c r="J935" s="7" t="n">
        <f aca="false">I935*S935*T935*U935</f>
        <v>16128000</v>
      </c>
      <c r="K935" s="3"/>
      <c r="L935" s="3"/>
      <c r="M935" s="3"/>
      <c r="N935" s="9" t="n">
        <v>0</v>
      </c>
      <c r="O935" s="4" t="n">
        <v>0</v>
      </c>
      <c r="P935" s="5" t="n">
        <f aca="false">IF(COUNTIF([1]Base_Jugadores!J$2:J$500,B935)&gt;0,1,0)</f>
        <v>0</v>
      </c>
      <c r="Q935" s="10" t="b">
        <f aca="false">--(COUNTIFS(
   [1]Fichajes_Realizados!A$2:A$5000,A935,
   [1]Fichajes_Realizados!G$2:G$5000,$X$3
)&gt;0)</f>
        <v>0</v>
      </c>
      <c r="R935" s="5" t="n">
        <f aca="false">_xlfn.XLOOKUP(C935, [1]Estado_Equipos!A$2:A$500, [1]Estado_Equipos!J$2:J$500, "")</f>
        <v>77</v>
      </c>
      <c r="S935" s="5" t="n">
        <f aca="false">IF(H935&lt;=16,1.45,
IF(H935&gt;=41,0.3,
CHOOSE(ROUNDDOWN((H935-16)/2,0)+1,
1.45,1.38,1.3,1.23,1.17,1.15,1.12,1.05,0.95,0.8,0.6,0.4,0.3)))</f>
        <v>1.12</v>
      </c>
      <c r="T935" s="5" t="n">
        <f aca="false">CHOOSE(N935+1,1.2,1,0.85,0.7)</f>
        <v>1.2</v>
      </c>
      <c r="U935" s="5" t="n">
        <f aca="false">IF(F935="PO",0.6,
IF(F935="CT",0.75,
IF(F935="LI",0.8,
IF(F935="LD",0.8,
IF(F935="MCD",0.85,
IF(F935="MC",0.95,
IF(F935="MO",1.05,
IF(F935="EI",1.1,
IF(F935="ED",1.1,
IF(F935="SD",1.15,
IF(F935="DC",1.2,0)))))))))))</f>
        <v>0.8</v>
      </c>
    </row>
    <row r="936" customFormat="false" ht="16.4" hidden="false" customHeight="false" outlineLevel="0" collapsed="false">
      <c r="A936" s="1" t="n">
        <v>935</v>
      </c>
      <c r="B936" s="5" t="str">
        <f aca="false">[1]Base_Jugadores!B936</f>
        <v>Omari Hutchinson</v>
      </c>
      <c r="C936" s="5" t="str">
        <f aca="false">IFERROR(
   _xlfn.XLOOKUP(VALUE(A936),[1]Fichajes_Realizados!A$2:A$50000,[1]Fichajes_Realizados!D$2:D$50000,,0,-1),
   _xlfn.XLOOKUP(VALUE(A936),[1]Base_Jugadores!A$2:A$50000,[1]Base_Jugadores!C$2:C$50000)
)</f>
        <v>Nottingham Forest</v>
      </c>
      <c r="D936" s="5" t="str">
        <f aca="false">[1]Base_Jugadores!D936</f>
        <v>Inglaterra</v>
      </c>
      <c r="E936" s="3"/>
      <c r="F936" s="5" t="str">
        <f aca="false">[1]Base_Jugadores!E936</f>
        <v>MO</v>
      </c>
      <c r="G936" s="5" t="n">
        <f aca="false">[1]Base_Jugadores!F936</f>
        <v>74</v>
      </c>
      <c r="H936" s="5" t="n">
        <f aca="false">[1]Base_Jugadores!G936</f>
        <v>22</v>
      </c>
      <c r="I936" s="7" t="n">
        <f aca="false" t="array" ref="I936:I936">_xlfn.XLOOKUP(G936,{55;56;57;58;59;60;61;62;63;64;65;66;67;68;69;70;71;72;73;74;75;76;77;78;79;80;81;82;83;84;85;86;87;88;89;90;91;92;93;94;95;96;97;98;99},{100000;130000;160000;190000;220000;250000;300000;350000;400000;450000;500000;600000;700000;800000;900000;1000000;1500000;2000000;3000000;4000000;5000000;6500000;8000000;10000000;12500000;15000000;20000000;25000000;30000000;35000000;40000000;55000000;70000000;80000000;90000000;110000000;130000000;160000000;190000000;220000000;250000000;280000000;310000000;340000000;400000000})</f>
        <v>4000000</v>
      </c>
      <c r="J936" s="7" t="n">
        <f aca="false">I936*S936*T936*U936</f>
        <v>4391100</v>
      </c>
      <c r="K936" s="3"/>
      <c r="L936" s="3"/>
      <c r="M936" s="3"/>
      <c r="N936" s="9" t="n">
        <v>2</v>
      </c>
      <c r="O936" s="4" t="n">
        <v>1</v>
      </c>
      <c r="P936" s="5" t="n">
        <f aca="false">IF(COUNTIF([1]Base_Jugadores!J$2:J$500,B936)&gt;0,1,0)</f>
        <v>0</v>
      </c>
      <c r="Q936" s="10" t="b">
        <f aca="false">--(COUNTIFS(
   [1]Fichajes_Realizados!A$2:A$5000,A936,
   [1]Fichajes_Realizados!G$2:G$5000,$X$3
)&gt;0)</f>
        <v>0</v>
      </c>
      <c r="R936" s="5" t="n">
        <f aca="false">_xlfn.XLOOKUP(C936, [1]Estado_Equipos!A$2:A$500, [1]Estado_Equipos!J$2:J$500, "")</f>
        <v>77</v>
      </c>
      <c r="S936" s="5" t="n">
        <f aca="false">IF(H936&lt;=16,1.45,
IF(H936&gt;=41,0.3,
CHOOSE(ROUNDDOWN((H936-16)/2,0)+1,
1.45,1.38,1.3,1.23,1.17,1.15,1.12,1.05,0.95,0.8,0.6,0.4,0.3)))</f>
        <v>1.23</v>
      </c>
      <c r="T936" s="5" t="n">
        <f aca="false">CHOOSE(N936+1,1.2,1,0.85,0.7)</f>
        <v>0.85</v>
      </c>
      <c r="U936" s="5" t="n">
        <f aca="false">IF(F936="PO",0.6,
IF(F936="CT",0.75,
IF(F936="LI",0.8,
IF(F936="LD",0.8,
IF(F936="MCD",0.85,
IF(F936="MC",0.95,
IF(F936="MO",1.05,
IF(F936="EI",1.1,
IF(F936="ED",1.1,
IF(F936="SD",1.15,
IF(F936="DC",1.2,0)))))))))))</f>
        <v>1.05</v>
      </c>
    </row>
    <row r="937" customFormat="false" ht="16.4" hidden="false" customHeight="false" outlineLevel="0" collapsed="false">
      <c r="A937" s="1" t="n">
        <v>936</v>
      </c>
      <c r="B937" s="5" t="str">
        <f aca="false">[1]Base_Jugadores!B937</f>
        <v>Ryan Yates</v>
      </c>
      <c r="C937" s="5" t="str">
        <f aca="false">IFERROR(
   _xlfn.XLOOKUP(VALUE(A937),[1]Fichajes_Realizados!A$2:A$50000,[1]Fichajes_Realizados!D$2:D$50000,,0,-1),
   _xlfn.XLOOKUP(VALUE(A937),[1]Base_Jugadores!A$2:A$50000,[1]Base_Jugadores!C$2:C$50000)
)</f>
        <v>Nottingham Forest</v>
      </c>
      <c r="D937" s="5" t="str">
        <f aca="false">[1]Base_Jugadores!D937</f>
        <v>Inglaterra</v>
      </c>
      <c r="E937" s="3"/>
      <c r="F937" s="5" t="str">
        <f aca="false">[1]Base_Jugadores!E937</f>
        <v>MC</v>
      </c>
      <c r="G937" s="5" t="n">
        <f aca="false">[1]Base_Jugadores!F937</f>
        <v>75</v>
      </c>
      <c r="H937" s="5" t="n">
        <f aca="false">[1]Base_Jugadores!G937</f>
        <v>28</v>
      </c>
      <c r="I937" s="7" t="n">
        <f aca="false" t="array" ref="I937:I937">_xlfn.XLOOKUP(G937,{55;56;57;58;59;60;61;62;63;64;65;66;67;68;69;70;71;72;73;74;75;76;77;78;79;80;81;82;83;84;85;86;87;88;89;90;91;92;93;94;95;96;97;98;99},{100000;130000;160000;190000;220000;250000;300000;350000;400000;450000;500000;600000;700000;800000;900000;1000000;1500000;2000000;3000000;4000000;5000000;6500000;8000000;10000000;12500000;15000000;20000000;25000000;30000000;35000000;40000000;55000000;70000000;80000000;90000000;110000000;130000000;160000000;190000000;220000000;250000000;280000000;310000000;340000000;400000000})</f>
        <v>5000000</v>
      </c>
      <c r="J937" s="7" t="n">
        <f aca="false">I937*S937*T937*U937</f>
        <v>4522000</v>
      </c>
      <c r="K937" s="3"/>
      <c r="L937" s="3"/>
      <c r="M937" s="3"/>
      <c r="N937" s="9" t="n">
        <v>2</v>
      </c>
      <c r="O937" s="4" t="n">
        <v>0</v>
      </c>
      <c r="P937" s="5" t="n">
        <f aca="false">IF(COUNTIF([1]Base_Jugadores!J$2:J$500,B937)&gt;0,1,0)</f>
        <v>0</v>
      </c>
      <c r="Q937" s="10" t="b">
        <f aca="false">--(COUNTIFS(
   [1]Fichajes_Realizados!A$2:A$5000,A937,
   [1]Fichajes_Realizados!G$2:G$5000,$X$3
)&gt;0)</f>
        <v>0</v>
      </c>
      <c r="R937" s="5" t="n">
        <f aca="false">_xlfn.XLOOKUP(C937, [1]Estado_Equipos!A$2:A$500, [1]Estado_Equipos!J$2:J$500, "")</f>
        <v>77</v>
      </c>
      <c r="S937" s="5" t="n">
        <f aca="false">IF(H937&lt;=16,1.45,
IF(H937&gt;=41,0.3,
CHOOSE(ROUNDDOWN((H937-16)/2,0)+1,
1.45,1.38,1.3,1.23,1.17,1.15,1.12,1.05,0.95,0.8,0.6,0.4,0.3)))</f>
        <v>1.12</v>
      </c>
      <c r="T937" s="5" t="n">
        <f aca="false">CHOOSE(N937+1,1.2,1,0.85,0.7)</f>
        <v>0.85</v>
      </c>
      <c r="U937" s="5" t="n">
        <f aca="false">IF(F937="PO",0.6,
IF(F937="CT",0.75,
IF(F937="LI",0.8,
IF(F937="LD",0.8,
IF(F937="MCD",0.85,
IF(F937="MC",0.95,
IF(F937="MO",1.05,
IF(F937="EI",1.1,
IF(F937="ED",1.1,
IF(F937="SD",1.15,
IF(F937="DC",1.2,0)))))))))))</f>
        <v>0.95</v>
      </c>
    </row>
    <row r="938" customFormat="false" ht="16.4" hidden="false" customHeight="false" outlineLevel="0" collapsed="false">
      <c r="A938" s="1" t="n">
        <v>937</v>
      </c>
      <c r="B938" s="5" t="str">
        <f aca="false">[1]Base_Jugadores!B938</f>
        <v>Taiwo Awoniyi</v>
      </c>
      <c r="C938" s="5" t="str">
        <f aca="false">IFERROR(
   _xlfn.XLOOKUP(VALUE(A938),[1]Fichajes_Realizados!A$2:A$50000,[1]Fichajes_Realizados!D$2:D$50000,,0,-1),
   _xlfn.XLOOKUP(VALUE(A938),[1]Base_Jugadores!A$2:A$50000,[1]Base_Jugadores!C$2:C$50000)
)</f>
        <v>Nottingham Forest</v>
      </c>
      <c r="D938" s="5" t="str">
        <f aca="false">[1]Base_Jugadores!D938</f>
        <v>Nigeria</v>
      </c>
      <c r="E938" s="3"/>
      <c r="F938" s="5" t="str">
        <f aca="false">[1]Base_Jugadores!E938</f>
        <v>DC</v>
      </c>
      <c r="G938" s="5" t="n">
        <f aca="false">[1]Base_Jugadores!F938</f>
        <v>76</v>
      </c>
      <c r="H938" s="5" t="n">
        <f aca="false">[1]Base_Jugadores!G938</f>
        <v>28</v>
      </c>
      <c r="I938" s="7" t="n">
        <f aca="false" t="array" ref="I938:I938">_xlfn.XLOOKUP(G938,{55;56;57;58;59;60;61;62;63;64;65;66;67;68;69;70;71;72;73;74;75;76;77;78;79;80;81;82;83;84;85;86;87;88;89;90;91;92;93;94;95;96;97;98;99},{100000;130000;160000;190000;220000;250000;300000;350000;400000;450000;500000;600000;700000;800000;900000;1000000;1500000;2000000;3000000;4000000;5000000;6500000;8000000;10000000;12500000;15000000;20000000;25000000;30000000;35000000;40000000;55000000;70000000;80000000;90000000;110000000;130000000;160000000;190000000;220000000;250000000;280000000;310000000;340000000;400000000})</f>
        <v>6500000</v>
      </c>
      <c r="J938" s="7" t="n">
        <f aca="false">I938*S938*T938*U938</f>
        <v>7425600</v>
      </c>
      <c r="K938" s="3"/>
      <c r="L938" s="3"/>
      <c r="M938" s="3"/>
      <c r="N938" s="9" t="n">
        <v>2</v>
      </c>
      <c r="O938" s="4" t="n">
        <v>0</v>
      </c>
      <c r="P938" s="5" t="n">
        <f aca="false">IF(COUNTIF([1]Base_Jugadores!J$2:J$500,B938)&gt;0,1,0)</f>
        <v>0</v>
      </c>
      <c r="Q938" s="10" t="b">
        <f aca="false">--(COUNTIFS(
   [1]Fichajes_Realizados!A$2:A$5000,A938,
   [1]Fichajes_Realizados!G$2:G$5000,$X$3
)&gt;0)</f>
        <v>0</v>
      </c>
      <c r="R938" s="5" t="n">
        <f aca="false">_xlfn.XLOOKUP(C938, [1]Estado_Equipos!A$2:A$500, [1]Estado_Equipos!J$2:J$500, "")</f>
        <v>77</v>
      </c>
      <c r="S938" s="5" t="n">
        <f aca="false">IF(H938&lt;=16,1.45,
IF(H938&gt;=41,0.3,
CHOOSE(ROUNDDOWN((H938-16)/2,0)+1,
1.45,1.38,1.3,1.23,1.17,1.15,1.12,1.05,0.95,0.8,0.6,0.4,0.3)))</f>
        <v>1.12</v>
      </c>
      <c r="T938" s="5" t="n">
        <f aca="false">CHOOSE(N938+1,1.2,1,0.85,0.7)</f>
        <v>0.85</v>
      </c>
      <c r="U938" s="5" t="n">
        <f aca="false">IF(F938="PO",0.6,
IF(F938="CT",0.75,
IF(F938="LI",0.8,
IF(F938="LD",0.8,
IF(F938="MCD",0.85,
IF(F938="MC",0.95,
IF(F938="MO",1.05,
IF(F938="EI",1.1,
IF(F938="ED",1.1,
IF(F938="SD",1.15,
IF(F938="DC",1.2,0)))))))))))</f>
        <v>1.2</v>
      </c>
    </row>
    <row r="939" customFormat="false" ht="16.4" hidden="false" customHeight="false" outlineLevel="0" collapsed="false">
      <c r="A939" s="1" t="n">
        <v>938</v>
      </c>
      <c r="B939" s="5" t="str">
        <f aca="false">[1]Base_Jugadores!B939</f>
        <v>Willy Boly</v>
      </c>
      <c r="C939" s="5" t="str">
        <f aca="false">IFERROR(
   _xlfn.XLOOKUP(VALUE(A939),[1]Fichajes_Realizados!A$2:A$50000,[1]Fichajes_Realizados!D$2:D$50000,,0,-1),
   _xlfn.XLOOKUP(VALUE(A939),[1]Base_Jugadores!A$2:A$50000,[1]Base_Jugadores!C$2:C$50000)
)</f>
        <v>Nottingham Forest</v>
      </c>
      <c r="D939" s="5" t="str">
        <f aca="false">[1]Base_Jugadores!D939</f>
        <v>Costa de Marfil</v>
      </c>
      <c r="E939" s="3"/>
      <c r="F939" s="5" t="str">
        <f aca="false">[1]Base_Jugadores!E939</f>
        <v>CT</v>
      </c>
      <c r="G939" s="5" t="n">
        <f aca="false">[1]Base_Jugadores!F939</f>
        <v>77</v>
      </c>
      <c r="H939" s="5" t="n">
        <f aca="false">[1]Base_Jugadores!G939</f>
        <v>34</v>
      </c>
      <c r="I939" s="7" t="n">
        <f aca="false" t="array" ref="I939:I939">_xlfn.XLOOKUP(G939,{55;56;57;58;59;60;61;62;63;64;65;66;67;68;69;70;71;72;73;74;75;76;77;78;79;80;81;82;83;84;85;86;87;88;89;90;91;92;93;94;95;96;97;98;99},{100000;130000;160000;190000;220000;250000;300000;350000;400000;450000;500000;600000;700000;800000;900000;1000000;1500000;2000000;3000000;4000000;5000000;6500000;8000000;10000000;12500000;15000000;20000000;25000000;30000000;35000000;40000000;55000000;70000000;80000000;90000000;110000000;130000000;160000000;190000000;220000000;250000000;280000000;310000000;340000000;400000000})</f>
        <v>8000000</v>
      </c>
      <c r="J939" s="7" t="n">
        <f aca="false">I939*S939*T939*U939</f>
        <v>4080000</v>
      </c>
      <c r="K939" s="3"/>
      <c r="L939" s="3"/>
      <c r="M939" s="3"/>
      <c r="N939" s="9" t="n">
        <v>2</v>
      </c>
      <c r="O939" s="4" t="n">
        <v>0</v>
      </c>
      <c r="P939" s="5" t="n">
        <f aca="false">IF(COUNTIF([1]Base_Jugadores!J$2:J$500,B939)&gt;0,1,0)</f>
        <v>0</v>
      </c>
      <c r="Q939" s="10" t="b">
        <f aca="false">--(COUNTIFS(
   [1]Fichajes_Realizados!A$2:A$5000,A939,
   [1]Fichajes_Realizados!G$2:G$5000,$X$3
)&gt;0)</f>
        <v>0</v>
      </c>
      <c r="R939" s="5" t="n">
        <f aca="false">_xlfn.XLOOKUP(C939, [1]Estado_Equipos!A$2:A$500, [1]Estado_Equipos!J$2:J$500, "")</f>
        <v>77</v>
      </c>
      <c r="S939" s="5" t="n">
        <f aca="false">IF(H939&lt;=16,1.45,
IF(H939&gt;=41,0.3,
CHOOSE(ROUNDDOWN((H939-16)/2,0)+1,
1.45,1.38,1.3,1.23,1.17,1.15,1.12,1.05,0.95,0.8,0.6,0.4,0.3)))</f>
        <v>0.8</v>
      </c>
      <c r="T939" s="5" t="n">
        <f aca="false">CHOOSE(N939+1,1.2,1,0.85,0.7)</f>
        <v>0.85</v>
      </c>
      <c r="U939" s="5" t="n">
        <f aca="false">IF(F939="PO",0.6,
IF(F939="CT",0.75,
IF(F939="LI",0.8,
IF(F939="LD",0.8,
IF(F939="MCD",0.85,
IF(F939="MC",0.95,
IF(F939="MO",1.05,
IF(F939="EI",1.1,
IF(F939="ED",1.1,
IF(F939="SD",1.15,
IF(F939="DC",1.2,0)))))))))))</f>
        <v>0.75</v>
      </c>
    </row>
    <row r="940" customFormat="false" ht="16.4" hidden="false" customHeight="false" outlineLevel="0" collapsed="false">
      <c r="A940" s="1" t="n">
        <v>939</v>
      </c>
      <c r="B940" s="5" t="str">
        <f aca="false">[1]Base_Jugadores!B940</f>
        <v>Abdoullah Ba</v>
      </c>
      <c r="C940" s="5" t="str">
        <f aca="false">IFERROR(
   _xlfn.XLOOKUP(VALUE(A940),[1]Fichajes_Realizados!A$2:A$50000,[1]Fichajes_Realizados!D$2:D$50000,,0,-1),
   _xlfn.XLOOKUP(VALUE(A940),[1]Base_Jugadores!A$2:A$50000,[1]Base_Jugadores!C$2:C$50000)
)</f>
        <v>Sunderland AFC</v>
      </c>
      <c r="D940" s="5" t="str">
        <f aca="false">[1]Base_Jugadores!D940</f>
        <v>Francia</v>
      </c>
      <c r="E940" s="3"/>
      <c r="F940" s="5" t="str">
        <f aca="false">[1]Base_Jugadores!E940</f>
        <v>ED</v>
      </c>
      <c r="G940" s="5" t="n">
        <f aca="false">[1]Base_Jugadores!F940</f>
        <v>68</v>
      </c>
      <c r="H940" s="5" t="n">
        <f aca="false">[1]Base_Jugadores!G940</f>
        <v>22</v>
      </c>
      <c r="I940" s="7" t="n">
        <f aca="false" t="array" ref="I940:I940">_xlfn.XLOOKUP(G940,{55;56;57;58;59;60;61;62;63;64;65;66;67;68;69;70;71;72;73;74;75;76;77;78;79;80;81;82;83;84;85;86;87;88;89;90;91;92;93;94;95;96;97;98;99},{100000;130000;160000;190000;220000;250000;300000;350000;400000;450000;500000;600000;700000;800000;900000;1000000;1500000;2000000;3000000;4000000;5000000;6500000;8000000;10000000;12500000;15000000;20000000;25000000;30000000;35000000;40000000;55000000;70000000;80000000;90000000;110000000;130000000;160000000;190000000;220000000;250000000;280000000;310000000;340000000;400000000})</f>
        <v>800000</v>
      </c>
      <c r="J940" s="7" t="n">
        <f aca="false">I940*S940*T940*U940</f>
        <v>757680</v>
      </c>
      <c r="K940" s="3"/>
      <c r="L940" s="3"/>
      <c r="M940" s="3"/>
      <c r="N940" s="9" t="n">
        <v>3</v>
      </c>
      <c r="O940" s="4" t="n">
        <v>0</v>
      </c>
      <c r="P940" s="5" t="n">
        <f aca="false">IF(COUNTIF([1]Base_Jugadores!J$2:J$500,B940)&gt;0,1,0)</f>
        <v>0</v>
      </c>
      <c r="Q940" s="10" t="b">
        <f aca="false">--(COUNTIFS(
   [1]Fichajes_Realizados!A$2:A$5000,A940,
   [1]Fichajes_Realizados!G$2:G$5000,$X$3
)&gt;0)</f>
        <v>0</v>
      </c>
      <c r="R940" s="5" t="n">
        <f aca="false">_xlfn.XLOOKUP(C940, [1]Estado_Equipos!A$2:A$500, [1]Estado_Equipos!J$2:J$500, "")</f>
        <v>72</v>
      </c>
      <c r="S940" s="5" t="n">
        <f aca="false">IF(H940&lt;=16,1.45,
IF(H940&gt;=41,0.3,
CHOOSE(ROUNDDOWN((H940-16)/2,0)+1,
1.45,1.38,1.3,1.23,1.17,1.15,1.12,1.05,0.95,0.8,0.6,0.4,0.3)))</f>
        <v>1.23</v>
      </c>
      <c r="T940" s="5" t="n">
        <f aca="false">CHOOSE(N940+1,1.2,1,0.85,0.7)</f>
        <v>0.7</v>
      </c>
      <c r="U940" s="5" t="n">
        <f aca="false">IF(F940="PO",0.6,
IF(F940="CT",0.75,
IF(F940="LI",0.8,
IF(F940="LD",0.8,
IF(F940="MCD",0.85,
IF(F940="MC",0.95,
IF(F940="MO",1.05,
IF(F940="EI",1.1,
IF(F940="ED",1.1,
IF(F940="SD",1.15,
IF(F940="DC",1.2,0)))))))))))</f>
        <v>1.1</v>
      </c>
    </row>
    <row r="941" customFormat="false" ht="16.4" hidden="false" customHeight="false" outlineLevel="0" collapsed="false">
      <c r="A941" s="1" t="n">
        <v>940</v>
      </c>
      <c r="B941" s="5" t="str">
        <f aca="false">[1]Base_Jugadores!B941</f>
        <v>Ahmed Abdullahi</v>
      </c>
      <c r="C941" s="5" t="str">
        <f aca="false">IFERROR(
   _xlfn.XLOOKUP(VALUE(A941),[1]Fichajes_Realizados!A$2:A$50000,[1]Fichajes_Realizados!D$2:D$50000,,0,-1),
   _xlfn.XLOOKUP(VALUE(A941),[1]Base_Jugadores!A$2:A$50000,[1]Base_Jugadores!C$2:C$50000)
)</f>
        <v>Sunderland AFC</v>
      </c>
      <c r="D941" s="5" t="str">
        <f aca="false">[1]Base_Jugadores!D941</f>
        <v>Nigeria</v>
      </c>
      <c r="E941" s="3"/>
      <c r="F941" s="5" t="str">
        <f aca="false">[1]Base_Jugadores!E941</f>
        <v>DC</v>
      </c>
      <c r="G941" s="5" t="n">
        <f aca="false">[1]Base_Jugadores!F941</f>
        <v>58</v>
      </c>
      <c r="H941" s="5" t="n">
        <f aca="false">[1]Base_Jugadores!G941</f>
        <v>21</v>
      </c>
      <c r="I941" s="7" t="n">
        <f aca="false" t="array" ref="I941:I941">_xlfn.XLOOKUP(G941,{55;56;57;58;59;60;61;62;63;64;65;66;67;68;69;70;71;72;73;74;75;76;77;78;79;80;81;82;83;84;85;86;87;88;89;90;91;92;93;94;95;96;97;98;99},{100000;130000;160000;190000;220000;250000;300000;350000;400000;450000;500000;600000;700000;800000;900000;1000000;1500000;2000000;3000000;4000000;5000000;6500000;8000000;10000000;12500000;15000000;20000000;25000000;30000000;35000000;40000000;55000000;70000000;80000000;90000000;110000000;130000000;160000000;190000000;220000000;250000000;280000000;310000000;340000000;400000000})</f>
        <v>190000</v>
      </c>
      <c r="J941" s="7" t="n">
        <f aca="false">I941*S941*T941*U941</f>
        <v>355680</v>
      </c>
      <c r="K941" s="3"/>
      <c r="L941" s="3"/>
      <c r="M941" s="3"/>
      <c r="N941" s="9" t="n">
        <v>0</v>
      </c>
      <c r="O941" s="4" t="n">
        <v>0</v>
      </c>
      <c r="P941" s="5" t="n">
        <f aca="false">IF(COUNTIF([1]Base_Jugadores!J$2:J$500,B941)&gt;0,1,0)</f>
        <v>0</v>
      </c>
      <c r="Q941" s="10" t="b">
        <f aca="false">--(COUNTIFS(
   [1]Fichajes_Realizados!A$2:A$5000,A941,
   [1]Fichajes_Realizados!G$2:G$5000,$X$3
)&gt;0)</f>
        <v>0</v>
      </c>
      <c r="R941" s="5" t="n">
        <f aca="false">_xlfn.XLOOKUP(C941, [1]Estado_Equipos!A$2:A$500, [1]Estado_Equipos!J$2:J$500, "")</f>
        <v>72</v>
      </c>
      <c r="S941" s="5" t="n">
        <f aca="false">IF(H941&lt;=16,1.45,
IF(H941&gt;=41,0.3,
CHOOSE(ROUNDDOWN((H941-16)/2,0)+1,
1.45,1.38,1.3,1.23,1.17,1.15,1.12,1.05,0.95,0.8,0.6,0.4,0.3)))</f>
        <v>1.3</v>
      </c>
      <c r="T941" s="5" t="n">
        <f aca="false">CHOOSE(N941+1,1.2,1,0.85,0.7)</f>
        <v>1.2</v>
      </c>
      <c r="U941" s="5" t="n">
        <f aca="false">IF(F941="PO",0.6,
IF(F941="CT",0.75,
IF(F941="LI",0.8,
IF(F941="LD",0.8,
IF(F941="MCD",0.85,
IF(F941="MC",0.95,
IF(F941="MO",1.05,
IF(F941="EI",1.1,
IF(F941="ED",1.1,
IF(F941="SD",1.15,
IF(F941="DC",1.2,0)))))))))))</f>
        <v>1.2</v>
      </c>
    </row>
    <row r="942" customFormat="false" ht="16.4" hidden="false" customHeight="false" outlineLevel="0" collapsed="false">
      <c r="A942" s="1" t="n">
        <v>941</v>
      </c>
      <c r="B942" s="5" t="str">
        <f aca="false">[1]Base_Jugadores!B942</f>
        <v>Aji Alese</v>
      </c>
      <c r="C942" s="5" t="str">
        <f aca="false">IFERROR(
   _xlfn.XLOOKUP(VALUE(A942),[1]Fichajes_Realizados!A$2:A$50000,[1]Fichajes_Realizados!D$2:D$50000,,0,-1),
   _xlfn.XLOOKUP(VALUE(A942),[1]Base_Jugadores!A$2:A$50000,[1]Base_Jugadores!C$2:C$50000)
)</f>
        <v>Sunderland AFC</v>
      </c>
      <c r="D942" s="5" t="str">
        <f aca="false">[1]Base_Jugadores!D942</f>
        <v>Inglaterra</v>
      </c>
      <c r="E942" s="3"/>
      <c r="F942" s="5" t="str">
        <f aca="false">[1]Base_Jugadores!E942</f>
        <v>CT</v>
      </c>
      <c r="G942" s="5" t="n">
        <f aca="false">[1]Base_Jugadores!F942</f>
        <v>67</v>
      </c>
      <c r="H942" s="5" t="n">
        <f aca="false">[1]Base_Jugadores!G942</f>
        <v>24</v>
      </c>
      <c r="I942" s="7" t="n">
        <f aca="false" t="array" ref="I942:I942">_xlfn.XLOOKUP(G942,{55;56;57;58;59;60;61;62;63;64;65;66;67;68;69;70;71;72;73;74;75;76;77;78;79;80;81;82;83;84;85;86;87;88;89;90;91;92;93;94;95;96;97;98;99},{100000;130000;160000;190000;220000;250000;300000;350000;400000;450000;500000;600000;700000;800000;900000;1000000;1500000;2000000;3000000;4000000;5000000;6500000;8000000;10000000;12500000;15000000;20000000;25000000;30000000;35000000;40000000;55000000;70000000;80000000;90000000;110000000;130000000;160000000;190000000;220000000;250000000;280000000;310000000;340000000;400000000})</f>
        <v>700000</v>
      </c>
      <c r="J942" s="7" t="n">
        <f aca="false">I942*S942*T942*U942</f>
        <v>522112.5</v>
      </c>
      <c r="K942" s="3"/>
      <c r="L942" s="3"/>
      <c r="M942" s="3"/>
      <c r="N942" s="9" t="n">
        <v>2</v>
      </c>
      <c r="O942" s="4" t="n">
        <v>0</v>
      </c>
      <c r="P942" s="5" t="n">
        <f aca="false">IF(COUNTIF([1]Base_Jugadores!J$2:J$500,B942)&gt;0,1,0)</f>
        <v>0</v>
      </c>
      <c r="Q942" s="10" t="b">
        <f aca="false">--(COUNTIFS(
   [1]Fichajes_Realizados!A$2:A$5000,A942,
   [1]Fichajes_Realizados!G$2:G$5000,$X$3
)&gt;0)</f>
        <v>0</v>
      </c>
      <c r="R942" s="5" t="n">
        <f aca="false">_xlfn.XLOOKUP(C942, [1]Estado_Equipos!A$2:A$500, [1]Estado_Equipos!J$2:J$500, "")</f>
        <v>72</v>
      </c>
      <c r="S942" s="5" t="n">
        <f aca="false">IF(H942&lt;=16,1.45,
IF(H942&gt;=41,0.3,
CHOOSE(ROUNDDOWN((H942-16)/2,0)+1,
1.45,1.38,1.3,1.23,1.17,1.15,1.12,1.05,0.95,0.8,0.6,0.4,0.3)))</f>
        <v>1.17</v>
      </c>
      <c r="T942" s="5" t="n">
        <f aca="false">CHOOSE(N942+1,1.2,1,0.85,0.7)</f>
        <v>0.85</v>
      </c>
      <c r="U942" s="5" t="n">
        <f aca="false">IF(F942="PO",0.6,
IF(F942="CT",0.75,
IF(F942="LI",0.8,
IF(F942="LD",0.8,
IF(F942="MCD",0.85,
IF(F942="MC",0.95,
IF(F942="MO",1.05,
IF(F942="EI",1.1,
IF(F942="ED",1.1,
IF(F942="SD",1.15,
IF(F942="DC",1.2,0)))))))))))</f>
        <v>0.75</v>
      </c>
    </row>
    <row r="943" customFormat="false" ht="16.4" hidden="false" customHeight="false" outlineLevel="0" collapsed="false">
      <c r="A943" s="1" t="n">
        <v>942</v>
      </c>
      <c r="B943" s="5" t="str">
        <f aca="false">[1]Base_Jugadores!B943</f>
        <v>Anthony Patterson</v>
      </c>
      <c r="C943" s="5" t="str">
        <f aca="false">IFERROR(
   _xlfn.XLOOKUP(VALUE(A943),[1]Fichajes_Realizados!A$2:A$50000,[1]Fichajes_Realizados!D$2:D$50000,,0,-1),
   _xlfn.XLOOKUP(VALUE(A943),[1]Base_Jugadores!A$2:A$50000,[1]Base_Jugadores!C$2:C$50000)
)</f>
        <v>Sunderland AFC</v>
      </c>
      <c r="D943" s="5" t="str">
        <f aca="false">[1]Base_Jugadores!D943</f>
        <v>Inglaterra</v>
      </c>
      <c r="E943" s="3"/>
      <c r="F943" s="5" t="str">
        <f aca="false">[1]Base_Jugadores!E943</f>
        <v>PO</v>
      </c>
      <c r="G943" s="5" t="n">
        <f aca="false">[1]Base_Jugadores!F943</f>
        <v>72</v>
      </c>
      <c r="H943" s="5" t="n">
        <f aca="false">[1]Base_Jugadores!G943</f>
        <v>25</v>
      </c>
      <c r="I943" s="7" t="n">
        <f aca="false" t="array" ref="I943:I943">_xlfn.XLOOKUP(G943,{55;56;57;58;59;60;61;62;63;64;65;66;67;68;69;70;71;72;73;74;75;76;77;78;79;80;81;82;83;84;85;86;87;88;89;90;91;92;93;94;95;96;97;98;99},{100000;130000;160000;190000;220000;250000;300000;350000;400000;450000;500000;600000;700000;800000;900000;1000000;1500000;2000000;3000000;4000000;5000000;6500000;8000000;10000000;12500000;15000000;20000000;25000000;30000000;35000000;40000000;55000000;70000000;80000000;90000000;110000000;130000000;160000000;190000000;220000000;250000000;280000000;310000000;340000000;400000000})</f>
        <v>2000000</v>
      </c>
      <c r="J943" s="7" t="n">
        <f aca="false">I943*S943*T943*U943</f>
        <v>1684800</v>
      </c>
      <c r="K943" s="3"/>
      <c r="L943" s="3"/>
      <c r="M943" s="3"/>
      <c r="N943" s="9" t="n">
        <v>0</v>
      </c>
      <c r="O943" s="4" t="n">
        <v>0</v>
      </c>
      <c r="P943" s="5" t="n">
        <f aca="false">IF(COUNTIF([1]Base_Jugadores!J$2:J$500,B943)&gt;0,1,0)</f>
        <v>0</v>
      </c>
      <c r="Q943" s="10" t="b">
        <f aca="false">--(COUNTIFS(
   [1]Fichajes_Realizados!A$2:A$5000,A943,
   [1]Fichajes_Realizados!G$2:G$5000,$X$3
)&gt;0)</f>
        <v>0</v>
      </c>
      <c r="R943" s="5" t="n">
        <f aca="false">_xlfn.XLOOKUP(C943, [1]Estado_Equipos!A$2:A$500, [1]Estado_Equipos!J$2:J$500, "")</f>
        <v>72</v>
      </c>
      <c r="S943" s="5" t="n">
        <f aca="false">IF(H943&lt;=16,1.45,
IF(H943&gt;=41,0.3,
CHOOSE(ROUNDDOWN((H943-16)/2,0)+1,
1.45,1.38,1.3,1.23,1.17,1.15,1.12,1.05,0.95,0.8,0.6,0.4,0.3)))</f>
        <v>1.17</v>
      </c>
      <c r="T943" s="5" t="n">
        <f aca="false">CHOOSE(N943+1,1.2,1,0.85,0.7)</f>
        <v>1.2</v>
      </c>
      <c r="U943" s="5" t="n">
        <f aca="false">IF(F943="PO",0.6,
IF(F943="CT",0.75,
IF(F943="LI",0.8,
IF(F943="LD",0.8,
IF(F943="MCD",0.85,
IF(F943="MC",0.95,
IF(F943="MO",1.05,
IF(F943="EI",1.1,
IF(F943="ED",1.1,
IF(F943="SD",1.15,
IF(F943="DC",1.2,0)))))))))))</f>
        <v>0.6</v>
      </c>
    </row>
    <row r="944" customFormat="false" ht="16.4" hidden="false" customHeight="false" outlineLevel="0" collapsed="false">
      <c r="A944" s="1" t="n">
        <v>943</v>
      </c>
      <c r="B944" s="5" t="str">
        <f aca="false">[1]Base_Jugadores!B944</f>
        <v>Arthur Masuaku</v>
      </c>
      <c r="C944" s="5" t="str">
        <f aca="false">IFERROR(
   _xlfn.XLOOKUP(VALUE(A944),[1]Fichajes_Realizados!A$2:A$50000,[1]Fichajes_Realizados!D$2:D$50000,,0,-1),
   _xlfn.XLOOKUP(VALUE(A944),[1]Base_Jugadores!A$2:A$50000,[1]Base_Jugadores!C$2:C$50000)
)</f>
        <v>Sunderland AFC</v>
      </c>
      <c r="D944" s="5" t="str">
        <f aca="false">[1]Base_Jugadores!D944</f>
        <v>RD del Congo</v>
      </c>
      <c r="E944" s="3"/>
      <c r="F944" s="5" t="str">
        <f aca="false">[1]Base_Jugadores!E944</f>
        <v>LI</v>
      </c>
      <c r="G944" s="5" t="n">
        <f aca="false">[1]Base_Jugadores!F944</f>
        <v>75</v>
      </c>
      <c r="H944" s="5" t="n">
        <f aca="false">[1]Base_Jugadores!G944</f>
        <v>32</v>
      </c>
      <c r="I944" s="7" t="n">
        <f aca="false" t="array" ref="I944:I944">_xlfn.XLOOKUP(G944,{55;56;57;58;59;60;61;62;63;64;65;66;67;68;69;70;71;72;73;74;75;76;77;78;79;80;81;82;83;84;85;86;87;88;89;90;91;92;93;94;95;96;97;98;99},{100000;130000;160000;190000;220000;250000;300000;350000;400000;450000;500000;600000;700000;800000;900000;1000000;1500000;2000000;3000000;4000000;5000000;6500000;8000000;10000000;12500000;15000000;20000000;25000000;30000000;35000000;40000000;55000000;70000000;80000000;90000000;110000000;130000000;160000000;190000000;220000000;250000000;280000000;310000000;340000000;400000000})</f>
        <v>5000000</v>
      </c>
      <c r="J944" s="7" t="n">
        <f aca="false">I944*S944*T944*U944</f>
        <v>3800000</v>
      </c>
      <c r="K944" s="3"/>
      <c r="L944" s="3"/>
      <c r="M944" s="3"/>
      <c r="N944" s="9" t="n">
        <v>1</v>
      </c>
      <c r="O944" s="4" t="n">
        <v>0</v>
      </c>
      <c r="P944" s="5" t="n">
        <f aca="false">IF(COUNTIF([1]Base_Jugadores!J$2:J$500,B944)&gt;0,1,0)</f>
        <v>0</v>
      </c>
      <c r="Q944" s="10" t="b">
        <f aca="false">--(COUNTIFS(
   [1]Fichajes_Realizados!A$2:A$5000,A944,
   [1]Fichajes_Realizados!G$2:G$5000,$X$3
)&gt;0)</f>
        <v>0</v>
      </c>
      <c r="R944" s="5" t="n">
        <f aca="false">_xlfn.XLOOKUP(C944, [1]Estado_Equipos!A$2:A$500, [1]Estado_Equipos!J$2:J$500, "")</f>
        <v>72</v>
      </c>
      <c r="S944" s="5" t="n">
        <f aca="false">IF(H944&lt;=16,1.45,
IF(H944&gt;=41,0.3,
CHOOSE(ROUNDDOWN((H944-16)/2,0)+1,
1.45,1.38,1.3,1.23,1.17,1.15,1.12,1.05,0.95,0.8,0.6,0.4,0.3)))</f>
        <v>0.95</v>
      </c>
      <c r="T944" s="5" t="n">
        <f aca="false">CHOOSE(N944+1,1.2,1,0.85,0.7)</f>
        <v>1</v>
      </c>
      <c r="U944" s="5" t="n">
        <f aca="false">IF(F944="PO",0.6,
IF(F944="CT",0.75,
IF(F944="LI",0.8,
IF(F944="LD",0.8,
IF(F944="MCD",0.85,
IF(F944="MC",0.95,
IF(F944="MO",1.05,
IF(F944="EI",1.1,
IF(F944="ED",1.1,
IF(F944="SD",1.15,
IF(F944="DC",1.2,0)))))))))))</f>
        <v>0.8</v>
      </c>
    </row>
    <row r="945" customFormat="false" ht="16.4" hidden="false" customHeight="false" outlineLevel="0" collapsed="false">
      <c r="A945" s="1" t="n">
        <v>944</v>
      </c>
      <c r="B945" s="5" t="str">
        <f aca="false">[1]Base_Jugadores!B945</f>
        <v>Bertrand Traoré</v>
      </c>
      <c r="C945" s="5" t="str">
        <f aca="false">IFERROR(
   _xlfn.XLOOKUP(VALUE(A945),[1]Fichajes_Realizados!A$2:A$50000,[1]Fichajes_Realizados!D$2:D$50000,,0,-1),
   _xlfn.XLOOKUP(VALUE(A945),[1]Base_Jugadores!A$2:A$50000,[1]Base_Jugadores!C$2:C$50000)
)</f>
        <v>Sunderland AFC</v>
      </c>
      <c r="D945" s="5" t="str">
        <f aca="false">[1]Base_Jugadores!D945</f>
        <v>Burkina Faso</v>
      </c>
      <c r="E945" s="3"/>
      <c r="F945" s="5" t="str">
        <f aca="false">[1]Base_Jugadores!E945</f>
        <v>ED</v>
      </c>
      <c r="G945" s="5" t="n">
        <f aca="false">[1]Base_Jugadores!F945</f>
        <v>76</v>
      </c>
      <c r="H945" s="5" t="n">
        <f aca="false">[1]Base_Jugadores!G945</f>
        <v>30</v>
      </c>
      <c r="I945" s="7" t="n">
        <f aca="false" t="array" ref="I945:I945">_xlfn.XLOOKUP(G945,{55;56;57;58;59;60;61;62;63;64;65;66;67;68;69;70;71;72;73;74;75;76;77;78;79;80;81;82;83;84;85;86;87;88;89;90;91;92;93;94;95;96;97;98;99},{100000;130000;160000;190000;220000;250000;300000;350000;400000;450000;500000;600000;700000;800000;900000;1000000;1500000;2000000;3000000;4000000;5000000;6500000;8000000;10000000;12500000;15000000;20000000;25000000;30000000;35000000;40000000;55000000;70000000;80000000;90000000;110000000;130000000;160000000;190000000;220000000;250000000;280000000;310000000;340000000;400000000})</f>
        <v>6500000</v>
      </c>
      <c r="J945" s="7" t="n">
        <f aca="false">I945*S945*T945*U945</f>
        <v>9009000</v>
      </c>
      <c r="K945" s="3"/>
      <c r="L945" s="3"/>
      <c r="M945" s="3"/>
      <c r="N945" s="9" t="n">
        <v>0</v>
      </c>
      <c r="O945" s="4" t="n">
        <v>0</v>
      </c>
      <c r="P945" s="5" t="n">
        <f aca="false">IF(COUNTIF([1]Base_Jugadores!J$2:J$500,B945)&gt;0,1,0)</f>
        <v>0</v>
      </c>
      <c r="Q945" s="10" t="b">
        <f aca="false">--(COUNTIFS(
   [1]Fichajes_Realizados!A$2:A$5000,A945,
   [1]Fichajes_Realizados!G$2:G$5000,$X$3
)&gt;0)</f>
        <v>0</v>
      </c>
      <c r="R945" s="5" t="n">
        <f aca="false">_xlfn.XLOOKUP(C945, [1]Estado_Equipos!A$2:A$500, [1]Estado_Equipos!J$2:J$500, "")</f>
        <v>72</v>
      </c>
      <c r="S945" s="5" t="n">
        <f aca="false">IF(H945&lt;=16,1.45,
IF(H945&gt;=41,0.3,
CHOOSE(ROUNDDOWN((H945-16)/2,0)+1,
1.45,1.38,1.3,1.23,1.17,1.15,1.12,1.05,0.95,0.8,0.6,0.4,0.3)))</f>
        <v>1.05</v>
      </c>
      <c r="T945" s="5" t="n">
        <f aca="false">CHOOSE(N945+1,1.2,1,0.85,0.7)</f>
        <v>1.2</v>
      </c>
      <c r="U945" s="5" t="n">
        <f aca="false">IF(F945="PO",0.6,
IF(F945="CT",0.75,
IF(F945="LI",0.8,
IF(F945="LD",0.8,
IF(F945="MCD",0.85,
IF(F945="MC",0.95,
IF(F945="MO",1.05,
IF(F945="EI",1.1,
IF(F945="ED",1.1,
IF(F945="SD",1.15,
IF(F945="DC",1.2,0)))))))))))</f>
        <v>1.1</v>
      </c>
    </row>
    <row r="946" customFormat="false" ht="16.4" hidden="false" customHeight="false" outlineLevel="0" collapsed="false">
      <c r="A946" s="1" t="n">
        <v>945</v>
      </c>
      <c r="B946" s="5" t="str">
        <f aca="false">[1]Base_Jugadores!B946</f>
        <v>Brian Brobbey</v>
      </c>
      <c r="C946" s="5" t="str">
        <f aca="false">IFERROR(
   _xlfn.XLOOKUP(VALUE(A946),[1]Fichajes_Realizados!A$2:A$50000,[1]Fichajes_Realizados!D$2:D$50000,,0,-1),
   _xlfn.XLOOKUP(VALUE(A946),[1]Base_Jugadores!A$2:A$50000,[1]Base_Jugadores!C$2:C$50000)
)</f>
        <v>Sunderland AFC</v>
      </c>
      <c r="D946" s="5" t="str">
        <f aca="false">[1]Base_Jugadores!D946</f>
        <v>Países Bajos</v>
      </c>
      <c r="E946" s="3"/>
      <c r="F946" s="5" t="str">
        <f aca="false">[1]Base_Jugadores!E946</f>
        <v>DC</v>
      </c>
      <c r="G946" s="5" t="n">
        <f aca="false">[1]Base_Jugadores!F946</f>
        <v>78</v>
      </c>
      <c r="H946" s="5" t="n">
        <f aca="false">[1]Base_Jugadores!G946</f>
        <v>23</v>
      </c>
      <c r="I946" s="7" t="n">
        <f aca="false" t="array" ref="I946:I946">_xlfn.XLOOKUP(G946,{55;56;57;58;59;60;61;62;63;64;65;66;67;68;69;70;71;72;73;74;75;76;77;78;79;80;81;82;83;84;85;86;87;88;89;90;91;92;93;94;95;96;97;98;99},{100000;130000;160000;190000;220000;250000;300000;350000;400000;450000;500000;600000;700000;800000;900000;1000000;1500000;2000000;3000000;4000000;5000000;6500000;8000000;10000000;12500000;15000000;20000000;25000000;30000000;35000000;40000000;55000000;70000000;80000000;90000000;110000000;130000000;160000000;190000000;220000000;250000000;280000000;310000000;340000000;400000000})</f>
        <v>10000000</v>
      </c>
      <c r="J946" s="7" t="n">
        <f aca="false">I946*S946*T946*U946</f>
        <v>17712000</v>
      </c>
      <c r="K946" s="3"/>
      <c r="L946" s="3"/>
      <c r="M946" s="3"/>
      <c r="N946" s="9" t="n">
        <v>0</v>
      </c>
      <c r="O946" s="4" t="n">
        <v>0</v>
      </c>
      <c r="P946" s="5" t="n">
        <f aca="false">IF(COUNTIF([1]Base_Jugadores!J$2:J$500,B946)&gt;0,1,0)</f>
        <v>0</v>
      </c>
      <c r="Q946" s="10" t="b">
        <f aca="false">--(COUNTIFS(
   [1]Fichajes_Realizados!A$2:A$5000,A946,
   [1]Fichajes_Realizados!G$2:G$5000,$X$3
)&gt;0)</f>
        <v>0</v>
      </c>
      <c r="R946" s="5" t="n">
        <f aca="false">_xlfn.XLOOKUP(C946, [1]Estado_Equipos!A$2:A$500, [1]Estado_Equipos!J$2:J$500, "")</f>
        <v>72</v>
      </c>
      <c r="S946" s="5" t="n">
        <f aca="false">IF(H946&lt;=16,1.45,
IF(H946&gt;=41,0.3,
CHOOSE(ROUNDDOWN((H946-16)/2,0)+1,
1.45,1.38,1.3,1.23,1.17,1.15,1.12,1.05,0.95,0.8,0.6,0.4,0.3)))</f>
        <v>1.23</v>
      </c>
      <c r="T946" s="5" t="n">
        <f aca="false">CHOOSE(N946+1,1.2,1,0.85,0.7)</f>
        <v>1.2</v>
      </c>
      <c r="U946" s="5" t="n">
        <f aca="false">IF(F946="PO",0.6,
IF(F946="CT",0.75,
IF(F946="LI",0.8,
IF(F946="LD",0.8,
IF(F946="MCD",0.85,
IF(F946="MC",0.95,
IF(F946="MO",1.05,
IF(F946="EI",1.1,
IF(F946="ED",1.1,
IF(F946="SD",1.15,
IF(F946="DC",1.2,0)))))))))))</f>
        <v>1.2</v>
      </c>
    </row>
    <row r="947" customFormat="false" ht="16.4" hidden="false" customHeight="false" outlineLevel="0" collapsed="false">
      <c r="A947" s="1" t="n">
        <v>946</v>
      </c>
      <c r="B947" s="5" t="str">
        <f aca="false">[1]Base_Jugadores!B947</f>
        <v>Chemsdine Talbi</v>
      </c>
      <c r="C947" s="5" t="str">
        <f aca="false">IFERROR(
   _xlfn.XLOOKUP(VALUE(A947),[1]Fichajes_Realizados!A$2:A$50000,[1]Fichajes_Realizados!D$2:D$50000,,0,-1),
   _xlfn.XLOOKUP(VALUE(A947),[1]Base_Jugadores!A$2:A$50000,[1]Base_Jugadores!C$2:C$50000)
)</f>
        <v>Sunderland AFC</v>
      </c>
      <c r="D947" s="5" t="str">
        <f aca="false">[1]Base_Jugadores!D947</f>
        <v>Marruecos</v>
      </c>
      <c r="E947" s="3"/>
      <c r="F947" s="5" t="str">
        <f aca="false">[1]Base_Jugadores!E947</f>
        <v>ED</v>
      </c>
      <c r="G947" s="5" t="n">
        <f aca="false">[1]Base_Jugadores!F947</f>
        <v>70</v>
      </c>
      <c r="H947" s="5" t="n">
        <f aca="false">[1]Base_Jugadores!G947</f>
        <v>20</v>
      </c>
      <c r="I947" s="7" t="n">
        <f aca="false" t="array" ref="I947:I947">_xlfn.XLOOKUP(G947,{55;56;57;58;59;60;61;62;63;64;65;66;67;68;69;70;71;72;73;74;75;76;77;78;79;80;81;82;83;84;85;86;87;88;89;90;91;92;93;94;95;96;97;98;99},{100000;130000;160000;190000;220000;250000;300000;350000;400000;450000;500000;600000;700000;800000;900000;1000000;1500000;2000000;3000000;4000000;5000000;6500000;8000000;10000000;12500000;15000000;20000000;25000000;30000000;35000000;40000000;55000000;70000000;80000000;90000000;110000000;130000000;160000000;190000000;220000000;250000000;280000000;310000000;340000000;400000000})</f>
        <v>1000000</v>
      </c>
      <c r="J947" s="7" t="n">
        <f aca="false">I947*S947*T947*U947</f>
        <v>1215500</v>
      </c>
      <c r="K947" s="3"/>
      <c r="L947" s="3"/>
      <c r="M947" s="3"/>
      <c r="N947" s="9" t="n">
        <v>2</v>
      </c>
      <c r="O947" s="4" t="n">
        <v>1</v>
      </c>
      <c r="P947" s="5" t="n">
        <f aca="false">IF(COUNTIF([1]Base_Jugadores!J$2:J$500,B947)&gt;0,1,0)</f>
        <v>0</v>
      </c>
      <c r="Q947" s="10" t="b">
        <f aca="false">--(COUNTIFS(
   [1]Fichajes_Realizados!A$2:A$5000,A947,
   [1]Fichajes_Realizados!G$2:G$5000,$X$3
)&gt;0)</f>
        <v>0</v>
      </c>
      <c r="R947" s="5" t="n">
        <f aca="false">_xlfn.XLOOKUP(C947, [1]Estado_Equipos!A$2:A$500, [1]Estado_Equipos!J$2:J$500, "")</f>
        <v>72</v>
      </c>
      <c r="S947" s="5" t="n">
        <f aca="false">IF(H947&lt;=16,1.45,
IF(H947&gt;=41,0.3,
CHOOSE(ROUNDDOWN((H947-16)/2,0)+1,
1.45,1.38,1.3,1.23,1.17,1.15,1.12,1.05,0.95,0.8,0.6,0.4,0.3)))</f>
        <v>1.3</v>
      </c>
      <c r="T947" s="5" t="n">
        <f aca="false">CHOOSE(N947+1,1.2,1,0.85,0.7)</f>
        <v>0.85</v>
      </c>
      <c r="U947" s="5" t="n">
        <f aca="false">IF(F947="PO",0.6,
IF(F947="CT",0.75,
IF(F947="LI",0.8,
IF(F947="LD",0.8,
IF(F947="MCD",0.85,
IF(F947="MC",0.95,
IF(F947="MO",1.05,
IF(F947="EI",1.1,
IF(F947="ED",1.1,
IF(F947="SD",1.15,
IF(F947="DC",1.2,0)))))))))))</f>
        <v>1.1</v>
      </c>
    </row>
    <row r="948" customFormat="false" ht="16.4" hidden="false" customHeight="false" outlineLevel="0" collapsed="false">
      <c r="A948" s="1" t="n">
        <v>947</v>
      </c>
      <c r="B948" s="5" t="str">
        <f aca="false">[1]Base_Jugadores!B948</f>
        <v>Chris Rigg</v>
      </c>
      <c r="C948" s="5" t="str">
        <f aca="false">IFERROR(
   _xlfn.XLOOKUP(VALUE(A948),[1]Fichajes_Realizados!A$2:A$50000,[1]Fichajes_Realizados!D$2:D$50000,,0,-1),
   _xlfn.XLOOKUP(VALUE(A948),[1]Base_Jugadores!A$2:A$50000,[1]Base_Jugadores!C$2:C$50000)
)</f>
        <v>Sunderland AFC</v>
      </c>
      <c r="D948" s="5" t="str">
        <f aca="false">[1]Base_Jugadores!D948</f>
        <v>Inglaterra</v>
      </c>
      <c r="E948" s="3"/>
      <c r="F948" s="5" t="str">
        <f aca="false">[1]Base_Jugadores!E948</f>
        <v>MO</v>
      </c>
      <c r="G948" s="5" t="n">
        <f aca="false">[1]Base_Jugadores!F948</f>
        <v>71</v>
      </c>
      <c r="H948" s="5" t="n">
        <f aca="false">[1]Base_Jugadores!G948</f>
        <v>18</v>
      </c>
      <c r="I948" s="7" t="n">
        <f aca="false" t="array" ref="I948:I948">_xlfn.XLOOKUP(G948,{55;56;57;58;59;60;61;62;63;64;65;66;67;68;69;70;71;72;73;74;75;76;77;78;79;80;81;82;83;84;85;86;87;88;89;90;91;92;93;94;95;96;97;98;99},{100000;130000;160000;190000;220000;250000;300000;350000;400000;450000;500000;600000;700000;800000;900000;1000000;1500000;2000000;3000000;4000000;5000000;6500000;8000000;10000000;12500000;15000000;20000000;25000000;30000000;35000000;40000000;55000000;70000000;80000000;90000000;110000000;130000000;160000000;190000000;220000000;250000000;280000000;310000000;340000000;400000000})</f>
        <v>1500000</v>
      </c>
      <c r="J948" s="7" t="n">
        <f aca="false">I948*S948*T948*U948</f>
        <v>2608200</v>
      </c>
      <c r="K948" s="3"/>
      <c r="L948" s="3"/>
      <c r="M948" s="3"/>
      <c r="N948" s="9" t="n">
        <v>0</v>
      </c>
      <c r="O948" s="4" t="n">
        <v>1</v>
      </c>
      <c r="P948" s="5" t="n">
        <f aca="false">IF(COUNTIF([1]Base_Jugadores!J$2:J$500,B948)&gt;0,1,0)</f>
        <v>0</v>
      </c>
      <c r="Q948" s="10" t="b">
        <f aca="false">--(COUNTIFS(
   [1]Fichajes_Realizados!A$2:A$5000,A948,
   [1]Fichajes_Realizados!G$2:G$5000,$X$3
)&gt;0)</f>
        <v>0</v>
      </c>
      <c r="R948" s="5" t="n">
        <f aca="false">_xlfn.XLOOKUP(C948, [1]Estado_Equipos!A$2:A$500, [1]Estado_Equipos!J$2:J$500, "")</f>
        <v>72</v>
      </c>
      <c r="S948" s="5" t="n">
        <f aca="false">IF(H948&lt;=16,1.45,
IF(H948&gt;=41,0.3,
CHOOSE(ROUNDDOWN((H948-16)/2,0)+1,
1.45,1.38,1.3,1.23,1.17,1.15,1.12,1.05,0.95,0.8,0.6,0.4,0.3)))</f>
        <v>1.38</v>
      </c>
      <c r="T948" s="5" t="n">
        <f aca="false">CHOOSE(N948+1,1.2,1,0.85,0.7)</f>
        <v>1.2</v>
      </c>
      <c r="U948" s="5" t="n">
        <f aca="false">IF(F948="PO",0.6,
IF(F948="CT",0.75,
IF(F948="LI",0.8,
IF(F948="LD",0.8,
IF(F948="MCD",0.85,
IF(F948="MC",0.95,
IF(F948="MO",1.05,
IF(F948="EI",1.1,
IF(F948="ED",1.1,
IF(F948="SD",1.15,
IF(F948="DC",1.2,0)))))))))))</f>
        <v>1.05</v>
      </c>
    </row>
    <row r="949" customFormat="false" ht="16.4" hidden="false" customHeight="false" outlineLevel="0" collapsed="false">
      <c r="A949" s="1" t="n">
        <v>948</v>
      </c>
      <c r="B949" s="5" t="str">
        <f aca="false">[1]Base_Jugadores!B949</f>
        <v>Dan Ballard</v>
      </c>
      <c r="C949" s="5" t="str">
        <f aca="false">IFERROR(
   _xlfn.XLOOKUP(VALUE(A949),[1]Fichajes_Realizados!A$2:A$50000,[1]Fichajes_Realizados!D$2:D$50000,,0,-1),
   _xlfn.XLOOKUP(VALUE(A949),[1]Base_Jugadores!A$2:A$50000,[1]Base_Jugadores!C$2:C$50000)
)</f>
        <v>Sunderland AFC</v>
      </c>
      <c r="D949" s="5" t="str">
        <f aca="false">[1]Base_Jugadores!D949</f>
        <v>Irlanda del Norte</v>
      </c>
      <c r="E949" s="3"/>
      <c r="F949" s="5" t="str">
        <f aca="false">[1]Base_Jugadores!E949</f>
        <v>CT</v>
      </c>
      <c r="G949" s="5" t="n">
        <f aca="false">[1]Base_Jugadores!F949</f>
        <v>74</v>
      </c>
      <c r="H949" s="5" t="n">
        <f aca="false">[1]Base_Jugadores!G949</f>
        <v>26</v>
      </c>
      <c r="I949" s="7" t="n">
        <f aca="false" t="array" ref="I949:I949">_xlfn.XLOOKUP(G949,{55;56;57;58;59;60;61;62;63;64;65;66;67;68;69;70;71;72;73;74;75;76;77;78;79;80;81;82;83;84;85;86;87;88;89;90;91;92;93;94;95;96;97;98;99},{100000;130000;160000;190000;220000;250000;300000;350000;400000;450000;500000;600000;700000;800000;900000;1000000;1500000;2000000;3000000;4000000;5000000;6500000;8000000;10000000;12500000;15000000;20000000;25000000;30000000;35000000;40000000;55000000;70000000;80000000;90000000;110000000;130000000;160000000;190000000;220000000;250000000;280000000;310000000;340000000;400000000})</f>
        <v>4000000</v>
      </c>
      <c r="J949" s="7" t="n">
        <f aca="false">I949*S949*T949*U949</f>
        <v>4140000</v>
      </c>
      <c r="K949" s="3"/>
      <c r="L949" s="3"/>
      <c r="M949" s="3"/>
      <c r="N949" s="9" t="n">
        <v>0</v>
      </c>
      <c r="O949" s="4" t="n">
        <v>0</v>
      </c>
      <c r="P949" s="5" t="n">
        <f aca="false">IF(COUNTIF([1]Base_Jugadores!J$2:J$500,B949)&gt;0,1,0)</f>
        <v>0</v>
      </c>
      <c r="Q949" s="10" t="b">
        <f aca="false">--(COUNTIFS(
   [1]Fichajes_Realizados!A$2:A$5000,A949,
   [1]Fichajes_Realizados!G$2:G$5000,$X$3
)&gt;0)</f>
        <v>0</v>
      </c>
      <c r="R949" s="5" t="n">
        <f aca="false">_xlfn.XLOOKUP(C949, [1]Estado_Equipos!A$2:A$500, [1]Estado_Equipos!J$2:J$500, "")</f>
        <v>72</v>
      </c>
      <c r="S949" s="5" t="n">
        <f aca="false">IF(H949&lt;=16,1.45,
IF(H949&gt;=41,0.3,
CHOOSE(ROUNDDOWN((H949-16)/2,0)+1,
1.45,1.38,1.3,1.23,1.17,1.15,1.12,1.05,0.95,0.8,0.6,0.4,0.3)))</f>
        <v>1.15</v>
      </c>
      <c r="T949" s="5" t="n">
        <f aca="false">CHOOSE(N949+1,1.2,1,0.85,0.7)</f>
        <v>1.2</v>
      </c>
      <c r="U949" s="5" t="n">
        <f aca="false">IF(F949="PO",0.6,
IF(F949="CT",0.75,
IF(F949="LI",0.8,
IF(F949="LD",0.8,
IF(F949="MCD",0.85,
IF(F949="MC",0.95,
IF(F949="MO",1.05,
IF(F949="EI",1.1,
IF(F949="ED",1.1,
IF(F949="SD",1.15,
IF(F949="DC",1.2,0)))))))))))</f>
        <v>0.75</v>
      </c>
    </row>
    <row r="950" customFormat="false" ht="16.4" hidden="false" customHeight="false" outlineLevel="0" collapsed="false">
      <c r="A950" s="1" t="n">
        <v>949</v>
      </c>
      <c r="B950" s="5" t="str">
        <f aca="false">[1]Base_Jugadores!B950</f>
        <v>Dan Neil</v>
      </c>
      <c r="C950" s="5" t="str">
        <f aca="false">IFERROR(
   _xlfn.XLOOKUP(VALUE(A950),[1]Fichajes_Realizados!A$2:A$50000,[1]Fichajes_Realizados!D$2:D$50000,,0,-1),
   _xlfn.XLOOKUP(VALUE(A950),[1]Base_Jugadores!A$2:A$50000,[1]Base_Jugadores!C$2:C$50000)
)</f>
        <v>Sunderland AFC</v>
      </c>
      <c r="D950" s="5" t="str">
        <f aca="false">[1]Base_Jugadores!D950</f>
        <v>Inglaterra</v>
      </c>
      <c r="E950" s="3"/>
      <c r="F950" s="5" t="str">
        <f aca="false">[1]Base_Jugadores!E950</f>
        <v>MC</v>
      </c>
      <c r="G950" s="5" t="n">
        <f aca="false">[1]Base_Jugadores!F950</f>
        <v>73</v>
      </c>
      <c r="H950" s="5" t="n">
        <f aca="false">[1]Base_Jugadores!G950</f>
        <v>24</v>
      </c>
      <c r="I950" s="7" t="n">
        <f aca="false" t="array" ref="I950:I950">_xlfn.XLOOKUP(G950,{55;56;57;58;59;60;61;62;63;64;65;66;67;68;69;70;71;72;73;74;75;76;77;78;79;80;81;82;83;84;85;86;87;88;89;90;91;92;93;94;95;96;97;98;99},{100000;130000;160000;190000;220000;250000;300000;350000;400000;450000;500000;600000;700000;800000;900000;1000000;1500000;2000000;3000000;4000000;5000000;6500000;8000000;10000000;12500000;15000000;20000000;25000000;30000000;35000000;40000000;55000000;70000000;80000000;90000000;110000000;130000000;160000000;190000000;220000000;250000000;280000000;310000000;340000000;400000000})</f>
        <v>3000000</v>
      </c>
      <c r="J950" s="7" t="n">
        <f aca="false">I950*S950*T950*U950</f>
        <v>3334500</v>
      </c>
      <c r="K950" s="3"/>
      <c r="L950" s="3"/>
      <c r="M950" s="3"/>
      <c r="N950" s="9" t="n">
        <v>1</v>
      </c>
      <c r="O950" s="4" t="n">
        <v>0</v>
      </c>
      <c r="P950" s="5" t="n">
        <f aca="false">IF(COUNTIF([1]Base_Jugadores!J$2:J$500,B950)&gt;0,1,0)</f>
        <v>0</v>
      </c>
      <c r="Q950" s="10" t="b">
        <f aca="false">--(COUNTIFS(
   [1]Fichajes_Realizados!A$2:A$5000,A950,
   [1]Fichajes_Realizados!G$2:G$5000,$X$3
)&gt;0)</f>
        <v>0</v>
      </c>
      <c r="R950" s="5" t="n">
        <f aca="false">_xlfn.XLOOKUP(C950, [1]Estado_Equipos!A$2:A$500, [1]Estado_Equipos!J$2:J$500, "")</f>
        <v>72</v>
      </c>
      <c r="S950" s="5" t="n">
        <f aca="false">IF(H950&lt;=16,1.45,
IF(H950&gt;=41,0.3,
CHOOSE(ROUNDDOWN((H950-16)/2,0)+1,
1.45,1.38,1.3,1.23,1.17,1.15,1.12,1.05,0.95,0.8,0.6,0.4,0.3)))</f>
        <v>1.17</v>
      </c>
      <c r="T950" s="5" t="n">
        <f aca="false">CHOOSE(N950+1,1.2,1,0.85,0.7)</f>
        <v>1</v>
      </c>
      <c r="U950" s="5" t="n">
        <f aca="false">IF(F950="PO",0.6,
IF(F950="CT",0.75,
IF(F950="LI",0.8,
IF(F950="LD",0.8,
IF(F950="MCD",0.85,
IF(F950="MC",0.95,
IF(F950="MO",1.05,
IF(F950="EI",1.1,
IF(F950="ED",1.1,
IF(F950="SD",1.15,
IF(F950="DC",1.2,0)))))))))))</f>
        <v>0.95</v>
      </c>
    </row>
    <row r="951" customFormat="false" ht="16.4" hidden="false" customHeight="false" outlineLevel="0" collapsed="false">
      <c r="A951" s="1" t="n">
        <v>950</v>
      </c>
      <c r="B951" s="5" t="str">
        <f aca="false">[1]Base_Jugadores!B951</f>
        <v>Dennis Cirkin</v>
      </c>
      <c r="C951" s="5" t="str">
        <f aca="false">IFERROR(
   _xlfn.XLOOKUP(VALUE(A951),[1]Fichajes_Realizados!A$2:A$50000,[1]Fichajes_Realizados!D$2:D$50000,,0,-1),
   _xlfn.XLOOKUP(VALUE(A951),[1]Base_Jugadores!A$2:A$50000,[1]Base_Jugadores!C$2:C$50000)
)</f>
        <v>Sunderland AFC</v>
      </c>
      <c r="D951" s="5" t="str">
        <f aca="false">[1]Base_Jugadores!D951</f>
        <v>Inglaterra</v>
      </c>
      <c r="E951" s="3"/>
      <c r="F951" s="5" t="str">
        <f aca="false">[1]Base_Jugadores!E951</f>
        <v>LI</v>
      </c>
      <c r="G951" s="5" t="n">
        <f aca="false">[1]Base_Jugadores!F951</f>
        <v>72</v>
      </c>
      <c r="H951" s="5" t="n">
        <f aca="false">[1]Base_Jugadores!G951</f>
        <v>23</v>
      </c>
      <c r="I951" s="7" t="n">
        <f aca="false" t="array" ref="I951:I951">_xlfn.XLOOKUP(G951,{55;56;57;58;59;60;61;62;63;64;65;66;67;68;69;70;71;72;73;74;75;76;77;78;79;80;81;82;83;84;85;86;87;88;89;90;91;92;93;94;95;96;97;98;99},{100000;130000;160000;190000;220000;250000;300000;350000;400000;450000;500000;600000;700000;800000;900000;1000000;1500000;2000000;3000000;4000000;5000000;6500000;8000000;10000000;12500000;15000000;20000000;25000000;30000000;35000000;40000000;55000000;70000000;80000000;90000000;110000000;130000000;160000000;190000000;220000000;250000000;280000000;310000000;340000000;400000000})</f>
        <v>2000000</v>
      </c>
      <c r="J951" s="7" t="n">
        <f aca="false">I951*S951*T951*U951</f>
        <v>1377600</v>
      </c>
      <c r="K951" s="3"/>
      <c r="L951" s="3"/>
      <c r="M951" s="3"/>
      <c r="N951" s="9" t="n">
        <v>3</v>
      </c>
      <c r="O951" s="4" t="n">
        <v>0</v>
      </c>
      <c r="P951" s="5" t="n">
        <f aca="false">IF(COUNTIF([1]Base_Jugadores!J$2:J$500,B951)&gt;0,1,0)</f>
        <v>0</v>
      </c>
      <c r="Q951" s="10" t="b">
        <f aca="false">--(COUNTIFS(
   [1]Fichajes_Realizados!A$2:A$5000,A951,
   [1]Fichajes_Realizados!G$2:G$5000,$X$3
)&gt;0)</f>
        <v>0</v>
      </c>
      <c r="R951" s="5" t="n">
        <f aca="false">_xlfn.XLOOKUP(C951, [1]Estado_Equipos!A$2:A$500, [1]Estado_Equipos!J$2:J$500, "")</f>
        <v>72</v>
      </c>
      <c r="S951" s="5" t="n">
        <f aca="false">IF(H951&lt;=16,1.45,
IF(H951&gt;=41,0.3,
CHOOSE(ROUNDDOWN((H951-16)/2,0)+1,
1.45,1.38,1.3,1.23,1.17,1.15,1.12,1.05,0.95,0.8,0.6,0.4,0.3)))</f>
        <v>1.23</v>
      </c>
      <c r="T951" s="5" t="n">
        <f aca="false">CHOOSE(N951+1,1.2,1,0.85,0.7)</f>
        <v>0.7</v>
      </c>
      <c r="U951" s="5" t="n">
        <f aca="false">IF(F951="PO",0.6,
IF(F951="CT",0.75,
IF(F951="LI",0.8,
IF(F951="LD",0.8,
IF(F951="MCD",0.85,
IF(F951="MC",0.95,
IF(F951="MO",1.05,
IF(F951="EI",1.1,
IF(F951="ED",1.1,
IF(F951="SD",1.15,
IF(F951="DC",1.2,0)))))))))))</f>
        <v>0.8</v>
      </c>
    </row>
    <row r="952" customFormat="false" ht="16.4" hidden="false" customHeight="false" outlineLevel="0" collapsed="false">
      <c r="A952" s="1" t="n">
        <v>951</v>
      </c>
      <c r="B952" s="5" t="str">
        <f aca="false">[1]Base_Jugadores!B952</f>
        <v>Eliezer Mayenda</v>
      </c>
      <c r="C952" s="5" t="str">
        <f aca="false">IFERROR(
   _xlfn.XLOOKUP(VALUE(A952),[1]Fichajes_Realizados!A$2:A$50000,[1]Fichajes_Realizados!D$2:D$50000,,0,-1),
   _xlfn.XLOOKUP(VALUE(A952),[1]Base_Jugadores!A$2:A$50000,[1]Base_Jugadores!C$2:C$50000)
)</f>
        <v>Sunderland AFC</v>
      </c>
      <c r="D952" s="5" t="str">
        <f aca="false">[1]Base_Jugadores!D952</f>
        <v>España</v>
      </c>
      <c r="E952" s="3"/>
      <c r="F952" s="5" t="str">
        <f aca="false">[1]Base_Jugadores!E952</f>
        <v>DC</v>
      </c>
      <c r="G952" s="5" t="n">
        <f aca="false">[1]Base_Jugadores!F952</f>
        <v>65</v>
      </c>
      <c r="H952" s="5" t="n">
        <f aca="false">[1]Base_Jugadores!G952</f>
        <v>20</v>
      </c>
      <c r="I952" s="7" t="n">
        <f aca="false" t="array" ref="I952:I952">_xlfn.XLOOKUP(G952,{55;56;57;58;59;60;61;62;63;64;65;66;67;68;69;70;71;72;73;74;75;76;77;78;79;80;81;82;83;84;85;86;87;88;89;90;91;92;93;94;95;96;97;98;99},{100000;130000;160000;190000;220000;250000;300000;350000;400000;450000;500000;600000;700000;800000;900000;1000000;1500000;2000000;3000000;4000000;5000000;6500000;8000000;10000000;12500000;15000000;20000000;25000000;30000000;35000000;40000000;55000000;70000000;80000000;90000000;110000000;130000000;160000000;190000000;220000000;250000000;280000000;310000000;340000000;400000000})</f>
        <v>500000</v>
      </c>
      <c r="J952" s="7" t="n">
        <f aca="false">I952*S952*T952*U952</f>
        <v>663000</v>
      </c>
      <c r="K952" s="3"/>
      <c r="L952" s="3"/>
      <c r="M952" s="3"/>
      <c r="N952" s="9" t="n">
        <v>2</v>
      </c>
      <c r="O952" s="4" t="n">
        <v>0</v>
      </c>
      <c r="P952" s="5" t="n">
        <f aca="false">IF(COUNTIF([1]Base_Jugadores!J$2:J$500,B952)&gt;0,1,0)</f>
        <v>0</v>
      </c>
      <c r="Q952" s="10" t="b">
        <f aca="false">--(COUNTIFS(
   [1]Fichajes_Realizados!A$2:A$5000,A952,
   [1]Fichajes_Realizados!G$2:G$5000,$X$3
)&gt;0)</f>
        <v>0</v>
      </c>
      <c r="R952" s="5" t="n">
        <f aca="false">_xlfn.XLOOKUP(C952, [1]Estado_Equipos!A$2:A$500, [1]Estado_Equipos!J$2:J$500, "")</f>
        <v>72</v>
      </c>
      <c r="S952" s="5" t="n">
        <f aca="false">IF(H952&lt;=16,1.45,
IF(H952&gt;=41,0.3,
CHOOSE(ROUNDDOWN((H952-16)/2,0)+1,
1.45,1.38,1.3,1.23,1.17,1.15,1.12,1.05,0.95,0.8,0.6,0.4,0.3)))</f>
        <v>1.3</v>
      </c>
      <c r="T952" s="5" t="n">
        <f aca="false">CHOOSE(N952+1,1.2,1,0.85,0.7)</f>
        <v>0.85</v>
      </c>
      <c r="U952" s="5" t="n">
        <f aca="false">IF(F952="PO",0.6,
IF(F952="CT",0.75,
IF(F952="LI",0.8,
IF(F952="LD",0.8,
IF(F952="MCD",0.85,
IF(F952="MC",0.95,
IF(F952="MO",1.05,
IF(F952="EI",1.1,
IF(F952="ED",1.1,
IF(F952="SD",1.15,
IF(F952="DC",1.2,0)))))))))))</f>
        <v>1.2</v>
      </c>
    </row>
    <row r="953" customFormat="false" ht="16.4" hidden="false" customHeight="false" outlineLevel="0" collapsed="false">
      <c r="A953" s="1" t="n">
        <v>952</v>
      </c>
      <c r="B953" s="5" t="str">
        <f aca="false">[1]Base_Jugadores!B953</f>
        <v>Enzo Le Fée</v>
      </c>
      <c r="C953" s="5" t="str">
        <f aca="false">IFERROR(
   _xlfn.XLOOKUP(VALUE(A953),[1]Fichajes_Realizados!A$2:A$50000,[1]Fichajes_Realizados!D$2:D$50000,,0,-1),
   _xlfn.XLOOKUP(VALUE(A953),[1]Base_Jugadores!A$2:A$50000,[1]Base_Jugadores!C$2:C$50000)
)</f>
        <v>Sunderland AFC</v>
      </c>
      <c r="D953" s="5" t="str">
        <f aca="false">[1]Base_Jugadores!D953</f>
        <v>Francia</v>
      </c>
      <c r="E953" s="3"/>
      <c r="F953" s="5" t="str">
        <f aca="false">[1]Base_Jugadores!E953</f>
        <v>MC</v>
      </c>
      <c r="G953" s="5" t="n">
        <f aca="false">[1]Base_Jugadores!F953</f>
        <v>77</v>
      </c>
      <c r="H953" s="5" t="n">
        <f aca="false">[1]Base_Jugadores!G953</f>
        <v>25</v>
      </c>
      <c r="I953" s="7" t="n">
        <f aca="false" t="array" ref="I953:I953">_xlfn.XLOOKUP(G953,{55;56;57;58;59;60;61;62;63;64;65;66;67;68;69;70;71;72;73;74;75;76;77;78;79;80;81;82;83;84;85;86;87;88;89;90;91;92;93;94;95;96;97;98;99},{100000;130000;160000;190000;220000;250000;300000;350000;400000;450000;500000;600000;700000;800000;900000;1000000;1500000;2000000;3000000;4000000;5000000;6500000;8000000;10000000;12500000;15000000;20000000;25000000;30000000;35000000;40000000;55000000;70000000;80000000;90000000;110000000;130000000;160000000;190000000;220000000;250000000;280000000;310000000;340000000;400000000})</f>
        <v>8000000</v>
      </c>
      <c r="J953" s="7" t="n">
        <f aca="false">I953*S953*T953*U953</f>
        <v>10670400</v>
      </c>
      <c r="K953" s="3"/>
      <c r="L953" s="3"/>
      <c r="M953" s="3"/>
      <c r="N953" s="9" t="n">
        <v>0</v>
      </c>
      <c r="O953" s="4" t="n">
        <v>0</v>
      </c>
      <c r="P953" s="5" t="n">
        <f aca="false">IF(COUNTIF([1]Base_Jugadores!J$2:J$500,B953)&gt;0,1,0)</f>
        <v>0</v>
      </c>
      <c r="Q953" s="10" t="b">
        <f aca="false">--(COUNTIFS(
   [1]Fichajes_Realizados!A$2:A$5000,A953,
   [1]Fichajes_Realizados!G$2:G$5000,$X$3
)&gt;0)</f>
        <v>0</v>
      </c>
      <c r="R953" s="5" t="n">
        <f aca="false">_xlfn.XLOOKUP(C953, [1]Estado_Equipos!A$2:A$500, [1]Estado_Equipos!J$2:J$500, "")</f>
        <v>72</v>
      </c>
      <c r="S953" s="5" t="n">
        <f aca="false">IF(H953&lt;=16,1.45,
IF(H953&gt;=41,0.3,
CHOOSE(ROUNDDOWN((H953-16)/2,0)+1,
1.45,1.38,1.3,1.23,1.17,1.15,1.12,1.05,0.95,0.8,0.6,0.4,0.3)))</f>
        <v>1.17</v>
      </c>
      <c r="T953" s="5" t="n">
        <f aca="false">CHOOSE(N953+1,1.2,1,0.85,0.7)</f>
        <v>1.2</v>
      </c>
      <c r="U953" s="5" t="n">
        <f aca="false">IF(F953="PO",0.6,
IF(F953="CT",0.75,
IF(F953="LI",0.8,
IF(F953="LD",0.8,
IF(F953="MCD",0.85,
IF(F953="MC",0.95,
IF(F953="MO",1.05,
IF(F953="EI",1.1,
IF(F953="ED",1.1,
IF(F953="SD",1.15,
IF(F953="DC",1.2,0)))))))))))</f>
        <v>0.95</v>
      </c>
    </row>
    <row r="954" customFormat="false" ht="16.4" hidden="false" customHeight="false" outlineLevel="0" collapsed="false">
      <c r="A954" s="1" t="n">
        <v>953</v>
      </c>
      <c r="B954" s="5" t="str">
        <f aca="false">[1]Base_Jugadores!B954</f>
        <v>Granit Xhaka</v>
      </c>
      <c r="C954" s="5" t="str">
        <f aca="false">IFERROR(
   _xlfn.XLOOKUP(VALUE(A954),[1]Fichajes_Realizados!A$2:A$50000,[1]Fichajes_Realizados!D$2:D$50000,,0,-1),
   _xlfn.XLOOKUP(VALUE(A954),[1]Base_Jugadores!A$2:A$50000,[1]Base_Jugadores!C$2:C$50000)
)</f>
        <v>Sunderland AFC</v>
      </c>
      <c r="D954" s="5" t="str">
        <f aca="false">[1]Base_Jugadores!D954</f>
        <v>Suiza</v>
      </c>
      <c r="E954" s="3"/>
      <c r="F954" s="5" t="str">
        <f aca="false">[1]Base_Jugadores!E954</f>
        <v>MCD</v>
      </c>
      <c r="G954" s="5" t="n">
        <f aca="false">[1]Base_Jugadores!F954</f>
        <v>85</v>
      </c>
      <c r="H954" s="5" t="n">
        <f aca="false">[1]Base_Jugadores!G954</f>
        <v>33</v>
      </c>
      <c r="I954" s="7" t="n">
        <f aca="false" t="array" ref="I954:I954">_xlfn.XLOOKUP(G954,{55;56;57;58;59;60;61;62;63;64;65;66;67;68;69;70;71;72;73;74;75;76;77;78;79;80;81;82;83;84;85;86;87;88;89;90;91;92;93;94;95;96;97;98;99},{100000;130000;160000;190000;220000;250000;300000;350000;400000;450000;500000;600000;700000;800000;900000;1000000;1500000;2000000;3000000;4000000;5000000;6500000;8000000;10000000;12500000;15000000;20000000;25000000;30000000;35000000;40000000;55000000;70000000;80000000;90000000;110000000;130000000;160000000;190000000;220000000;250000000;280000000;310000000;340000000;400000000})</f>
        <v>40000000</v>
      </c>
      <c r="J954" s="7" t="n">
        <f aca="false">I954*S954*T954*U954</f>
        <v>38760000</v>
      </c>
      <c r="K954" s="3"/>
      <c r="L954" s="3"/>
      <c r="M954" s="3"/>
      <c r="N954" s="9" t="n">
        <v>0</v>
      </c>
      <c r="O954" s="4" t="n">
        <v>0</v>
      </c>
      <c r="P954" s="5" t="n">
        <f aca="false">IF(COUNTIF([1]Base_Jugadores!J$2:J$500,B954)&gt;0,1,0)</f>
        <v>0</v>
      </c>
      <c r="Q954" s="10" t="b">
        <f aca="false">--(COUNTIFS(
   [1]Fichajes_Realizados!A$2:A$5000,A954,
   [1]Fichajes_Realizados!G$2:G$5000,$X$3
)&gt;0)</f>
        <v>0</v>
      </c>
      <c r="R954" s="5" t="n">
        <f aca="false">_xlfn.XLOOKUP(C954, [1]Estado_Equipos!A$2:A$500, [1]Estado_Equipos!J$2:J$500, "")</f>
        <v>72</v>
      </c>
      <c r="S954" s="5" t="n">
        <f aca="false">IF(H954&lt;=16,1.45,
IF(H954&gt;=41,0.3,
CHOOSE(ROUNDDOWN((H954-16)/2,0)+1,
1.45,1.38,1.3,1.23,1.17,1.15,1.12,1.05,0.95,0.8,0.6,0.4,0.3)))</f>
        <v>0.95</v>
      </c>
      <c r="T954" s="5" t="n">
        <f aca="false">CHOOSE(N954+1,1.2,1,0.85,0.7)</f>
        <v>1.2</v>
      </c>
      <c r="U954" s="5" t="n">
        <f aca="false">IF(F954="PO",0.6,
IF(F954="CT",0.75,
IF(F954="LI",0.8,
IF(F954="LD",0.8,
IF(F954="MCD",0.85,
IF(F954="MC",0.95,
IF(F954="MO",1.05,
IF(F954="EI",1.1,
IF(F954="ED",1.1,
IF(F954="SD",1.15,
IF(F954="DC",1.2,0)))))))))))</f>
        <v>0.85</v>
      </c>
    </row>
    <row r="955" customFormat="false" ht="16.4" hidden="false" customHeight="false" outlineLevel="0" collapsed="false">
      <c r="A955" s="1" t="n">
        <v>954</v>
      </c>
      <c r="B955" s="5" t="str">
        <f aca="false">[1]Base_Jugadores!B955</f>
        <v>Habib Diarra</v>
      </c>
      <c r="C955" s="5" t="str">
        <f aca="false">IFERROR(
   _xlfn.XLOOKUP(VALUE(A955),[1]Fichajes_Realizados!A$2:A$50000,[1]Fichajes_Realizados!D$2:D$50000,,0,-1),
   _xlfn.XLOOKUP(VALUE(A955),[1]Base_Jugadores!A$2:A$50000,[1]Base_Jugadores!C$2:C$50000)
)</f>
        <v>Sunderland AFC</v>
      </c>
      <c r="D955" s="5" t="str">
        <f aca="false">[1]Base_Jugadores!D955</f>
        <v>Senegal</v>
      </c>
      <c r="E955" s="3"/>
      <c r="F955" s="5" t="str">
        <f aca="false">[1]Base_Jugadores!E955</f>
        <v>MC</v>
      </c>
      <c r="G955" s="5" t="n">
        <f aca="false">[1]Base_Jugadores!F955</f>
        <v>75</v>
      </c>
      <c r="H955" s="5" t="n">
        <f aca="false">[1]Base_Jugadores!G955</f>
        <v>21</v>
      </c>
      <c r="I955" s="7" t="n">
        <f aca="false" t="array" ref="I955:I955">_xlfn.XLOOKUP(G955,{55;56;57;58;59;60;61;62;63;64;65;66;67;68;69;70;71;72;73;74;75;76;77;78;79;80;81;82;83;84;85;86;87;88;89;90;91;92;93;94;95;96;97;98;99},{100000;130000;160000;190000;220000;250000;300000;350000;400000;450000;500000;600000;700000;800000;900000;1000000;1500000;2000000;3000000;4000000;5000000;6500000;8000000;10000000;12500000;15000000;20000000;25000000;30000000;35000000;40000000;55000000;70000000;80000000;90000000;110000000;130000000;160000000;190000000;220000000;250000000;280000000;310000000;340000000;400000000})</f>
        <v>5000000</v>
      </c>
      <c r="J955" s="7" t="n">
        <f aca="false">I955*S955*T955*U955</f>
        <v>6175000</v>
      </c>
      <c r="K955" s="3"/>
      <c r="L955" s="3"/>
      <c r="M955" s="3"/>
      <c r="N955" s="9" t="n">
        <v>1</v>
      </c>
      <c r="O955" s="4" t="n">
        <v>1</v>
      </c>
      <c r="P955" s="5" t="n">
        <f aca="false">IF(COUNTIF([1]Base_Jugadores!J$2:J$500,B955)&gt;0,1,0)</f>
        <v>0</v>
      </c>
      <c r="Q955" s="10" t="b">
        <f aca="false">--(COUNTIFS(
   [1]Fichajes_Realizados!A$2:A$5000,A955,
   [1]Fichajes_Realizados!G$2:G$5000,$X$3
)&gt;0)</f>
        <v>0</v>
      </c>
      <c r="R955" s="5" t="n">
        <f aca="false">_xlfn.XLOOKUP(C955, [1]Estado_Equipos!A$2:A$500, [1]Estado_Equipos!J$2:J$500, "")</f>
        <v>72</v>
      </c>
      <c r="S955" s="5" t="n">
        <f aca="false">IF(H955&lt;=16,1.45,
IF(H955&gt;=41,0.3,
CHOOSE(ROUNDDOWN((H955-16)/2,0)+1,
1.45,1.38,1.3,1.23,1.17,1.15,1.12,1.05,0.95,0.8,0.6,0.4,0.3)))</f>
        <v>1.3</v>
      </c>
      <c r="T955" s="5" t="n">
        <f aca="false">CHOOSE(N955+1,1.2,1,0.85,0.7)</f>
        <v>1</v>
      </c>
      <c r="U955" s="5" t="n">
        <f aca="false">IF(F955="PO",0.6,
IF(F955="CT",0.75,
IF(F955="LI",0.8,
IF(F955="LD",0.8,
IF(F955="MCD",0.85,
IF(F955="MC",0.95,
IF(F955="MO",1.05,
IF(F955="EI",1.1,
IF(F955="ED",1.1,
IF(F955="SD",1.15,
IF(F955="DC",1.2,0)))))))))))</f>
        <v>0.95</v>
      </c>
    </row>
    <row r="956" customFormat="false" ht="16.4" hidden="false" customHeight="false" outlineLevel="0" collapsed="false">
      <c r="A956" s="1" t="n">
        <v>955</v>
      </c>
      <c r="B956" s="5" t="str">
        <f aca="false">[1]Base_Jugadores!B956</f>
        <v>Ian Poveda</v>
      </c>
      <c r="C956" s="5" t="str">
        <f aca="false">IFERROR(
   _xlfn.XLOOKUP(VALUE(A956),[1]Fichajes_Realizados!A$2:A$50000,[1]Fichajes_Realizados!D$2:D$50000,,0,-1),
   _xlfn.XLOOKUP(VALUE(A956),[1]Base_Jugadores!A$2:A$50000,[1]Base_Jugadores!C$2:C$50000)
)</f>
        <v>Sunderland AFC</v>
      </c>
      <c r="D956" s="5" t="str">
        <f aca="false">[1]Base_Jugadores!D956</f>
        <v>Colombia</v>
      </c>
      <c r="E956" s="3"/>
      <c r="F956" s="5" t="str">
        <f aca="false">[1]Base_Jugadores!E956</f>
        <v>ED</v>
      </c>
      <c r="G956" s="5" t="n">
        <f aca="false">[1]Base_Jugadores!F956</f>
        <v>70</v>
      </c>
      <c r="H956" s="5" t="n">
        <f aca="false">[1]Base_Jugadores!G956</f>
        <v>25</v>
      </c>
      <c r="I956" s="7" t="n">
        <f aca="false" t="array" ref="I956:I956">_xlfn.XLOOKUP(G956,{55;56;57;58;59;60;61;62;63;64;65;66;67;68;69;70;71;72;73;74;75;76;77;78;79;80;81;82;83;84;85;86;87;88;89;90;91;92;93;94;95;96;97;98;99},{100000;130000;160000;190000;220000;250000;300000;350000;400000;450000;500000;600000;700000;800000;900000;1000000;1500000;2000000;3000000;4000000;5000000;6500000;8000000;10000000;12500000;15000000;20000000;25000000;30000000;35000000;40000000;55000000;70000000;80000000;90000000;110000000;130000000;160000000;190000000;220000000;250000000;280000000;310000000;340000000;400000000})</f>
        <v>1000000</v>
      </c>
      <c r="J956" s="7" t="n">
        <f aca="false">I956*S956*T956*U956</f>
        <v>1093950</v>
      </c>
      <c r="K956" s="3"/>
      <c r="L956" s="3"/>
      <c r="M956" s="3"/>
      <c r="N956" s="9" t="n">
        <v>2</v>
      </c>
      <c r="O956" s="4" t="n">
        <v>0</v>
      </c>
      <c r="P956" s="5" t="n">
        <f aca="false">IF(COUNTIF([1]Base_Jugadores!J$2:J$500,B956)&gt;0,1,0)</f>
        <v>0</v>
      </c>
      <c r="Q956" s="10" t="b">
        <f aca="false">--(COUNTIFS(
   [1]Fichajes_Realizados!A$2:A$5000,A956,
   [1]Fichajes_Realizados!G$2:G$5000,$X$3
)&gt;0)</f>
        <v>0</v>
      </c>
      <c r="R956" s="5" t="n">
        <f aca="false">_xlfn.XLOOKUP(C956, [1]Estado_Equipos!A$2:A$500, [1]Estado_Equipos!J$2:J$500, "")</f>
        <v>72</v>
      </c>
      <c r="S956" s="5" t="n">
        <f aca="false">IF(H956&lt;=16,1.45,
IF(H956&gt;=41,0.3,
CHOOSE(ROUNDDOWN((H956-16)/2,0)+1,
1.45,1.38,1.3,1.23,1.17,1.15,1.12,1.05,0.95,0.8,0.6,0.4,0.3)))</f>
        <v>1.17</v>
      </c>
      <c r="T956" s="5" t="n">
        <f aca="false">CHOOSE(N956+1,1.2,1,0.85,0.7)</f>
        <v>0.85</v>
      </c>
      <c r="U956" s="5" t="n">
        <f aca="false">IF(F956="PO",0.6,
IF(F956="CT",0.75,
IF(F956="LI",0.8,
IF(F956="LD",0.8,
IF(F956="MCD",0.85,
IF(F956="MC",0.95,
IF(F956="MO",1.05,
IF(F956="EI",1.1,
IF(F956="ED",1.1,
IF(F956="SD",1.15,
IF(F956="DC",1.2,0)))))))))))</f>
        <v>1.1</v>
      </c>
    </row>
    <row r="957" customFormat="false" ht="16.4" hidden="false" customHeight="false" outlineLevel="0" collapsed="false">
      <c r="A957" s="1" t="n">
        <v>956</v>
      </c>
      <c r="B957" s="5" t="str">
        <f aca="false">[1]Base_Jugadores!B957</f>
        <v>Jay Matete</v>
      </c>
      <c r="C957" s="5" t="str">
        <f aca="false">IFERROR(
   _xlfn.XLOOKUP(VALUE(A957),[1]Fichajes_Realizados!A$2:A$50000,[1]Fichajes_Realizados!D$2:D$50000,,0,-1),
   _xlfn.XLOOKUP(VALUE(A957),[1]Base_Jugadores!A$2:A$50000,[1]Base_Jugadores!C$2:C$50000)
)</f>
        <v>Sunderland AFC</v>
      </c>
      <c r="D957" s="5" t="str">
        <f aca="false">[1]Base_Jugadores!D957</f>
        <v>Inglaterra</v>
      </c>
      <c r="E957" s="3"/>
      <c r="F957" s="5" t="str">
        <f aca="false">[1]Base_Jugadores!E957</f>
        <v>MC</v>
      </c>
      <c r="G957" s="5" t="n">
        <f aca="false">[1]Base_Jugadores!F957</f>
        <v>67</v>
      </c>
      <c r="H957" s="5" t="n">
        <f aca="false">[1]Base_Jugadores!G957</f>
        <v>24</v>
      </c>
      <c r="I957" s="7" t="n">
        <f aca="false" t="array" ref="I957:I957">_xlfn.XLOOKUP(G957,{55;56;57;58;59;60;61;62;63;64;65;66;67;68;69;70;71;72;73;74;75;76;77;78;79;80;81;82;83;84;85;86;87;88;89;90;91;92;93;94;95;96;97;98;99},{100000;130000;160000;190000;220000;250000;300000;350000;400000;450000;500000;600000;700000;800000;900000;1000000;1500000;2000000;3000000;4000000;5000000;6500000;8000000;10000000;12500000;15000000;20000000;25000000;30000000;35000000;40000000;55000000;70000000;80000000;90000000;110000000;130000000;160000000;190000000;220000000;250000000;280000000;310000000;340000000;400000000})</f>
        <v>700000</v>
      </c>
      <c r="J957" s="7" t="n">
        <f aca="false">I957*S957*T957*U957</f>
        <v>661342.5</v>
      </c>
      <c r="K957" s="3"/>
      <c r="L957" s="3"/>
      <c r="M957" s="3"/>
      <c r="N957" s="9" t="n">
        <v>2</v>
      </c>
      <c r="O957" s="4" t="n">
        <v>0</v>
      </c>
      <c r="P957" s="5" t="n">
        <f aca="false">IF(COUNTIF([1]Base_Jugadores!J$2:J$500,B957)&gt;0,1,0)</f>
        <v>0</v>
      </c>
      <c r="Q957" s="10" t="b">
        <f aca="false">--(COUNTIFS(
   [1]Fichajes_Realizados!A$2:A$5000,A957,
   [1]Fichajes_Realizados!G$2:G$5000,$X$3
)&gt;0)</f>
        <v>0</v>
      </c>
      <c r="R957" s="5" t="n">
        <f aca="false">_xlfn.XLOOKUP(C957, [1]Estado_Equipos!A$2:A$500, [1]Estado_Equipos!J$2:J$500, "")</f>
        <v>72</v>
      </c>
      <c r="S957" s="5" t="n">
        <f aca="false">IF(H957&lt;=16,1.45,
IF(H957&gt;=41,0.3,
CHOOSE(ROUNDDOWN((H957-16)/2,0)+1,
1.45,1.38,1.3,1.23,1.17,1.15,1.12,1.05,0.95,0.8,0.6,0.4,0.3)))</f>
        <v>1.17</v>
      </c>
      <c r="T957" s="5" t="n">
        <f aca="false">CHOOSE(N957+1,1.2,1,0.85,0.7)</f>
        <v>0.85</v>
      </c>
      <c r="U957" s="5" t="n">
        <f aca="false">IF(F957="PO",0.6,
IF(F957="CT",0.75,
IF(F957="LI",0.8,
IF(F957="LD",0.8,
IF(F957="MCD",0.85,
IF(F957="MC",0.95,
IF(F957="MO",1.05,
IF(F957="EI",1.1,
IF(F957="ED",1.1,
IF(F957="SD",1.15,
IF(F957="DC",1.2,0)))))))))))</f>
        <v>0.95</v>
      </c>
    </row>
    <row r="958" customFormat="false" ht="16.4" hidden="false" customHeight="false" outlineLevel="0" collapsed="false">
      <c r="A958" s="1" t="n">
        <v>957</v>
      </c>
      <c r="B958" s="5" t="str">
        <f aca="false">[1]Base_Jugadores!B958</f>
        <v>Joe Anderson</v>
      </c>
      <c r="C958" s="5" t="str">
        <f aca="false">IFERROR(
   _xlfn.XLOOKUP(VALUE(A958),[1]Fichajes_Realizados!A$2:A$50000,[1]Fichajes_Realizados!D$2:D$50000,,0,-1),
   _xlfn.XLOOKUP(VALUE(A958),[1]Base_Jugadores!A$2:A$50000,[1]Base_Jugadores!C$2:C$50000)
)</f>
        <v>Sunderland AFC</v>
      </c>
      <c r="D958" s="5" t="str">
        <f aca="false">[1]Base_Jugadores!D958</f>
        <v>Inglaterra</v>
      </c>
      <c r="E958" s="3"/>
      <c r="F958" s="5" t="str">
        <f aca="false">[1]Base_Jugadores!E958</f>
        <v>CT</v>
      </c>
      <c r="G958" s="5" t="n">
        <f aca="false">[1]Base_Jugadores!F958</f>
        <v>63</v>
      </c>
      <c r="H958" s="5" t="n">
        <f aca="false">[1]Base_Jugadores!G958</f>
        <v>24</v>
      </c>
      <c r="I958" s="7" t="n">
        <f aca="false" t="array" ref="I958:I958">_xlfn.XLOOKUP(G958,{55;56;57;58;59;60;61;62;63;64;65;66;67;68;69;70;71;72;73;74;75;76;77;78;79;80;81;82;83;84;85;86;87;88;89;90;91;92;93;94;95;96;97;98;99},{100000;130000;160000;190000;220000;250000;300000;350000;400000;450000;500000;600000;700000;800000;900000;1000000;1500000;2000000;3000000;4000000;5000000;6500000;8000000;10000000;12500000;15000000;20000000;25000000;30000000;35000000;40000000;55000000;70000000;80000000;90000000;110000000;130000000;160000000;190000000;220000000;250000000;280000000;310000000;340000000;400000000})</f>
        <v>400000</v>
      </c>
      <c r="J958" s="7" t="n">
        <f aca="false">I958*S958*T958*U958</f>
        <v>421200</v>
      </c>
      <c r="K958" s="3"/>
      <c r="L958" s="3"/>
      <c r="M958" s="3"/>
      <c r="N958" s="9" t="n">
        <v>0</v>
      </c>
      <c r="O958" s="4" t="n">
        <v>0</v>
      </c>
      <c r="P958" s="5" t="n">
        <f aca="false">IF(COUNTIF([1]Base_Jugadores!J$2:J$500,B958)&gt;0,1,0)</f>
        <v>0</v>
      </c>
      <c r="Q958" s="10" t="b">
        <f aca="false">--(COUNTIFS(
   [1]Fichajes_Realizados!A$2:A$5000,A958,
   [1]Fichajes_Realizados!G$2:G$5000,$X$3
)&gt;0)</f>
        <v>0</v>
      </c>
      <c r="R958" s="5" t="n">
        <f aca="false">_xlfn.XLOOKUP(C958, [1]Estado_Equipos!A$2:A$500, [1]Estado_Equipos!J$2:J$500, "")</f>
        <v>72</v>
      </c>
      <c r="S958" s="5" t="n">
        <f aca="false">IF(H958&lt;=16,1.45,
IF(H958&gt;=41,0.3,
CHOOSE(ROUNDDOWN((H958-16)/2,0)+1,
1.45,1.38,1.3,1.23,1.17,1.15,1.12,1.05,0.95,0.8,0.6,0.4,0.3)))</f>
        <v>1.17</v>
      </c>
      <c r="T958" s="5" t="n">
        <f aca="false">CHOOSE(N958+1,1.2,1,0.85,0.7)</f>
        <v>1.2</v>
      </c>
      <c r="U958" s="5" t="n">
        <f aca="false">IF(F958="PO",0.6,
IF(F958="CT",0.75,
IF(F958="LI",0.8,
IF(F958="LD",0.8,
IF(F958="MCD",0.85,
IF(F958="MC",0.95,
IF(F958="MO",1.05,
IF(F958="EI",1.1,
IF(F958="ED",1.1,
IF(F958="SD",1.15,
IF(F958="DC",1.2,0)))))))))))</f>
        <v>0.75</v>
      </c>
    </row>
    <row r="959" customFormat="false" ht="16.4" hidden="false" customHeight="false" outlineLevel="0" collapsed="false">
      <c r="A959" s="1" t="n">
        <v>958</v>
      </c>
      <c r="B959" s="5" t="str">
        <f aca="false">[1]Base_Jugadores!B959</f>
        <v>L. Geertruida</v>
      </c>
      <c r="C959" s="5" t="str">
        <f aca="false">IFERROR(
   _xlfn.XLOOKUP(VALUE(A959),[1]Fichajes_Realizados!A$2:A$50000,[1]Fichajes_Realizados!D$2:D$50000,,0,-1),
   _xlfn.XLOOKUP(VALUE(A959),[1]Base_Jugadores!A$2:A$50000,[1]Base_Jugadores!C$2:C$50000)
)</f>
        <v>Sunderland AFC</v>
      </c>
      <c r="D959" s="5" t="str">
        <f aca="false">[1]Base_Jugadores!D959</f>
        <v>Países Bajos</v>
      </c>
      <c r="E959" s="3"/>
      <c r="F959" s="5" t="str">
        <f aca="false">[1]Base_Jugadores!E959</f>
        <v>LD</v>
      </c>
      <c r="G959" s="5" t="n">
        <f aca="false">[1]Base_Jugadores!F959</f>
        <v>80</v>
      </c>
      <c r="H959" s="5" t="n">
        <f aca="false">[1]Base_Jugadores!G959</f>
        <v>25</v>
      </c>
      <c r="I959" s="7" t="n">
        <f aca="false" t="array" ref="I959:I959">_xlfn.XLOOKUP(G959,{55;56;57;58;59;60;61;62;63;64;65;66;67;68;69;70;71;72;73;74;75;76;77;78;79;80;81;82;83;84;85;86;87;88;89;90;91;92;93;94;95;96;97;98;99},{100000;130000;160000;190000;220000;250000;300000;350000;400000;450000;500000;600000;700000;800000;900000;1000000;1500000;2000000;3000000;4000000;5000000;6500000;8000000;10000000;12500000;15000000;20000000;25000000;30000000;35000000;40000000;55000000;70000000;80000000;90000000;110000000;130000000;160000000;190000000;220000000;250000000;280000000;310000000;340000000;400000000})</f>
        <v>15000000</v>
      </c>
      <c r="J959" s="7" t="n">
        <f aca="false">I959*S959*T959*U959</f>
        <v>16848000</v>
      </c>
      <c r="K959" s="3"/>
      <c r="L959" s="3"/>
      <c r="M959" s="3"/>
      <c r="N959" s="9" t="n">
        <v>0</v>
      </c>
      <c r="O959" s="4" t="n">
        <v>0</v>
      </c>
      <c r="P959" s="5" t="n">
        <f aca="false">IF(COUNTIF([1]Base_Jugadores!J$2:J$500,B959)&gt;0,1,0)</f>
        <v>0</v>
      </c>
      <c r="Q959" s="10" t="b">
        <f aca="false">--(COUNTIFS(
   [1]Fichajes_Realizados!A$2:A$5000,A959,
   [1]Fichajes_Realizados!G$2:G$5000,$X$3
)&gt;0)</f>
        <v>0</v>
      </c>
      <c r="R959" s="5" t="n">
        <f aca="false">_xlfn.XLOOKUP(C959, [1]Estado_Equipos!A$2:A$500, [1]Estado_Equipos!J$2:J$500, "")</f>
        <v>72</v>
      </c>
      <c r="S959" s="5" t="n">
        <f aca="false">IF(H959&lt;=16,1.45,
IF(H959&gt;=41,0.3,
CHOOSE(ROUNDDOWN((H959-16)/2,0)+1,
1.45,1.38,1.3,1.23,1.17,1.15,1.12,1.05,0.95,0.8,0.6,0.4,0.3)))</f>
        <v>1.17</v>
      </c>
      <c r="T959" s="5" t="n">
        <f aca="false">CHOOSE(N959+1,1.2,1,0.85,0.7)</f>
        <v>1.2</v>
      </c>
      <c r="U959" s="5" t="n">
        <f aca="false">IF(F959="PO",0.6,
IF(F959="CT",0.75,
IF(F959="LI",0.8,
IF(F959="LD",0.8,
IF(F959="MCD",0.85,
IF(F959="MC",0.95,
IF(F959="MO",1.05,
IF(F959="EI",1.1,
IF(F959="ED",1.1,
IF(F959="SD",1.15,
IF(F959="DC",1.2,0)))))))))))</f>
        <v>0.8</v>
      </c>
    </row>
    <row r="960" customFormat="false" ht="16.4" hidden="false" customHeight="false" outlineLevel="0" collapsed="false">
      <c r="A960" s="1" t="n">
        <v>959</v>
      </c>
      <c r="B960" s="5" t="str">
        <f aca="false">[1]Base_Jugadores!B960</f>
        <v>Leo Hjelde</v>
      </c>
      <c r="C960" s="5" t="str">
        <f aca="false">IFERROR(
   _xlfn.XLOOKUP(VALUE(A960),[1]Fichajes_Realizados!A$2:A$50000,[1]Fichajes_Realizados!D$2:D$50000,,0,-1),
   _xlfn.XLOOKUP(VALUE(A960),[1]Base_Jugadores!A$2:A$50000,[1]Base_Jugadores!C$2:C$50000)
)</f>
        <v>Sunderland AFC</v>
      </c>
      <c r="D960" s="5" t="str">
        <f aca="false">[1]Base_Jugadores!D960</f>
        <v>Noruega</v>
      </c>
      <c r="E960" s="3"/>
      <c r="F960" s="5" t="str">
        <f aca="false">[1]Base_Jugadores!E960</f>
        <v>LI</v>
      </c>
      <c r="G960" s="5" t="n">
        <f aca="false">[1]Base_Jugadores!F960</f>
        <v>65</v>
      </c>
      <c r="H960" s="5" t="n">
        <f aca="false">[1]Base_Jugadores!G960</f>
        <v>22</v>
      </c>
      <c r="I960" s="7" t="n">
        <f aca="false" t="array" ref="I960:I960">_xlfn.XLOOKUP(G960,{55;56;57;58;59;60;61;62;63;64;65;66;67;68;69;70;71;72;73;74;75;76;77;78;79;80;81;82;83;84;85;86;87;88;89;90;91;92;93;94;95;96;97;98;99},{100000;130000;160000;190000;220000;250000;300000;350000;400000;450000;500000;600000;700000;800000;900000;1000000;1500000;2000000;3000000;4000000;5000000;6500000;8000000;10000000;12500000;15000000;20000000;25000000;30000000;35000000;40000000;55000000;70000000;80000000;90000000;110000000;130000000;160000000;190000000;220000000;250000000;280000000;310000000;340000000;400000000})</f>
        <v>500000</v>
      </c>
      <c r="J960" s="7" t="n">
        <f aca="false">I960*S960*T960*U960</f>
        <v>590400</v>
      </c>
      <c r="K960" s="3"/>
      <c r="L960" s="3"/>
      <c r="M960" s="3"/>
      <c r="N960" s="9" t="n">
        <v>0</v>
      </c>
      <c r="O960" s="4" t="n">
        <v>0</v>
      </c>
      <c r="P960" s="5" t="n">
        <f aca="false">IF(COUNTIF([1]Base_Jugadores!J$2:J$500,B960)&gt;0,1,0)</f>
        <v>0</v>
      </c>
      <c r="Q960" s="10" t="b">
        <f aca="false">--(COUNTIFS(
   [1]Fichajes_Realizados!A$2:A$5000,A960,
   [1]Fichajes_Realizados!G$2:G$5000,$X$3
)&gt;0)</f>
        <v>0</v>
      </c>
      <c r="R960" s="5" t="n">
        <f aca="false">_xlfn.XLOOKUP(C960, [1]Estado_Equipos!A$2:A$500, [1]Estado_Equipos!J$2:J$500, "")</f>
        <v>72</v>
      </c>
      <c r="S960" s="5" t="n">
        <f aca="false">IF(H960&lt;=16,1.45,
IF(H960&gt;=41,0.3,
CHOOSE(ROUNDDOWN((H960-16)/2,0)+1,
1.45,1.38,1.3,1.23,1.17,1.15,1.12,1.05,0.95,0.8,0.6,0.4,0.3)))</f>
        <v>1.23</v>
      </c>
      <c r="T960" s="5" t="n">
        <f aca="false">CHOOSE(N960+1,1.2,1,0.85,0.7)</f>
        <v>1.2</v>
      </c>
      <c r="U960" s="5" t="n">
        <f aca="false">IF(F960="PO",0.6,
IF(F960="CT",0.75,
IF(F960="LI",0.8,
IF(F960="LD",0.8,
IF(F960="MCD",0.85,
IF(F960="MC",0.95,
IF(F960="MO",1.05,
IF(F960="EI",1.1,
IF(F960="ED",1.1,
IF(F960="SD",1.15,
IF(F960="DC",1.2,0)))))))))))</f>
        <v>0.8</v>
      </c>
    </row>
    <row r="961" customFormat="false" ht="16.4" hidden="false" customHeight="false" outlineLevel="0" collapsed="false">
      <c r="A961" s="1" t="n">
        <v>960</v>
      </c>
      <c r="B961" s="5" t="str">
        <f aca="false">[1]Base_Jugadores!B961</f>
        <v>Luke O'Nien</v>
      </c>
      <c r="C961" s="5" t="str">
        <f aca="false">IFERROR(
   _xlfn.XLOOKUP(VALUE(A961),[1]Fichajes_Realizados!A$2:A$50000,[1]Fichajes_Realizados!D$2:D$50000,,0,-1),
   _xlfn.XLOOKUP(VALUE(A961),[1]Base_Jugadores!A$2:A$50000,[1]Base_Jugadores!C$2:C$50000)
)</f>
        <v>Sunderland AFC</v>
      </c>
      <c r="D961" s="5" t="str">
        <f aca="false">[1]Base_Jugadores!D961</f>
        <v>Inglaterra</v>
      </c>
      <c r="E961" s="3"/>
      <c r="F961" s="5" t="str">
        <f aca="false">[1]Base_Jugadores!E961</f>
        <v>CT</v>
      </c>
      <c r="G961" s="5" t="n">
        <f aca="false">[1]Base_Jugadores!F961</f>
        <v>72</v>
      </c>
      <c r="H961" s="5" t="n">
        <f aca="false">[1]Base_Jugadores!G961</f>
        <v>31</v>
      </c>
      <c r="I961" s="7" t="n">
        <f aca="false" t="array" ref="I961:I961">_xlfn.XLOOKUP(G961,{55;56;57;58;59;60;61;62;63;64;65;66;67;68;69;70;71;72;73;74;75;76;77;78;79;80;81;82;83;84;85;86;87;88;89;90;91;92;93;94;95;96;97;98;99},{100000;130000;160000;190000;220000;250000;300000;350000;400000;450000;500000;600000;700000;800000;900000;1000000;1500000;2000000;3000000;4000000;5000000;6500000;8000000;10000000;12500000;15000000;20000000;25000000;30000000;35000000;40000000;55000000;70000000;80000000;90000000;110000000;130000000;160000000;190000000;220000000;250000000;280000000;310000000;340000000;400000000})</f>
        <v>2000000</v>
      </c>
      <c r="J961" s="7" t="n">
        <f aca="false">I961*S961*T961*U961</f>
        <v>1575000</v>
      </c>
      <c r="K961" s="3"/>
      <c r="L961" s="3"/>
      <c r="M961" s="3"/>
      <c r="N961" s="9" t="n">
        <v>1</v>
      </c>
      <c r="O961" s="4" t="n">
        <v>0</v>
      </c>
      <c r="P961" s="5" t="n">
        <f aca="false">IF(COUNTIF([1]Base_Jugadores!J$2:J$500,B961)&gt;0,1,0)</f>
        <v>0</v>
      </c>
      <c r="Q961" s="10" t="b">
        <f aca="false">--(COUNTIFS(
   [1]Fichajes_Realizados!A$2:A$5000,A961,
   [1]Fichajes_Realizados!G$2:G$5000,$X$3
)&gt;0)</f>
        <v>0</v>
      </c>
      <c r="R961" s="5" t="n">
        <f aca="false">_xlfn.XLOOKUP(C961, [1]Estado_Equipos!A$2:A$500, [1]Estado_Equipos!J$2:J$500, "")</f>
        <v>72</v>
      </c>
      <c r="S961" s="5" t="n">
        <f aca="false">IF(H961&lt;=16,1.45,
IF(H961&gt;=41,0.3,
CHOOSE(ROUNDDOWN((H961-16)/2,0)+1,
1.45,1.38,1.3,1.23,1.17,1.15,1.12,1.05,0.95,0.8,0.6,0.4,0.3)))</f>
        <v>1.05</v>
      </c>
      <c r="T961" s="5" t="n">
        <f aca="false">CHOOSE(N961+1,1.2,1,0.85,0.7)</f>
        <v>1</v>
      </c>
      <c r="U961" s="5" t="n">
        <f aca="false">IF(F961="PO",0.6,
IF(F961="CT",0.75,
IF(F961="LI",0.8,
IF(F961="LD",0.8,
IF(F961="MCD",0.85,
IF(F961="MC",0.95,
IF(F961="MO",1.05,
IF(F961="EI",1.1,
IF(F961="ED",1.1,
IF(F961="SD",1.15,
IF(F961="DC",1.2,0)))))))))))</f>
        <v>0.75</v>
      </c>
    </row>
    <row r="962" customFormat="false" ht="16.4" hidden="false" customHeight="false" outlineLevel="0" collapsed="false">
      <c r="A962" s="1" t="n">
        <v>961</v>
      </c>
      <c r="B962" s="5" t="str">
        <f aca="false">[1]Base_Jugadores!B962</f>
        <v>Nna Noukeu</v>
      </c>
      <c r="C962" s="5" t="str">
        <f aca="false">IFERROR(
   _xlfn.XLOOKUP(VALUE(A962),[1]Fichajes_Realizados!A$2:A$50000,[1]Fichajes_Realizados!D$2:D$50000,,0,-1),
   _xlfn.XLOOKUP(VALUE(A962),[1]Base_Jugadores!A$2:A$50000,[1]Base_Jugadores!C$2:C$50000)
)</f>
        <v>Sunderland AFC</v>
      </c>
      <c r="D962" s="5" t="str">
        <f aca="false">[1]Base_Jugadores!D962</f>
        <v>Camerún</v>
      </c>
      <c r="E962" s="3"/>
      <c r="F962" s="5" t="str">
        <f aca="false">[1]Base_Jugadores!E962</f>
        <v>PO</v>
      </c>
      <c r="G962" s="5" t="n">
        <f aca="false">[1]Base_Jugadores!F962</f>
        <v>64</v>
      </c>
      <c r="H962" s="5" t="n">
        <f aca="false">[1]Base_Jugadores!G962</f>
        <v>24</v>
      </c>
      <c r="I962" s="7" t="n">
        <f aca="false" t="array" ref="I962:I962">_xlfn.XLOOKUP(G962,{55;56;57;58;59;60;61;62;63;64;65;66;67;68;69;70;71;72;73;74;75;76;77;78;79;80;81;82;83;84;85;86;87;88;89;90;91;92;93;94;95;96;97;98;99},{100000;130000;160000;190000;220000;250000;300000;350000;400000;450000;500000;600000;700000;800000;900000;1000000;1500000;2000000;3000000;4000000;5000000;6500000;8000000;10000000;12500000;15000000;20000000;25000000;30000000;35000000;40000000;55000000;70000000;80000000;90000000;110000000;130000000;160000000;190000000;220000000;250000000;280000000;310000000;340000000;400000000})</f>
        <v>450000</v>
      </c>
      <c r="J962" s="7" t="n">
        <f aca="false">I962*S962*T962*U962</f>
        <v>379080</v>
      </c>
      <c r="K962" s="3"/>
      <c r="L962" s="3"/>
      <c r="M962" s="3"/>
      <c r="N962" s="9" t="n">
        <v>0</v>
      </c>
      <c r="O962" s="4" t="n">
        <v>0</v>
      </c>
      <c r="P962" s="5" t="n">
        <f aca="false">IF(COUNTIF([1]Base_Jugadores!J$2:J$500,B962)&gt;0,1,0)</f>
        <v>0</v>
      </c>
      <c r="Q962" s="10" t="b">
        <f aca="false">--(COUNTIFS(
   [1]Fichajes_Realizados!A$2:A$5000,A962,
   [1]Fichajes_Realizados!G$2:G$5000,$X$3
)&gt;0)</f>
        <v>0</v>
      </c>
      <c r="R962" s="5" t="n">
        <f aca="false">_xlfn.XLOOKUP(C962, [1]Estado_Equipos!A$2:A$500, [1]Estado_Equipos!J$2:J$500, "")</f>
        <v>72</v>
      </c>
      <c r="S962" s="5" t="n">
        <f aca="false">IF(H962&lt;=16,1.45,
IF(H962&gt;=41,0.3,
CHOOSE(ROUNDDOWN((H962-16)/2,0)+1,
1.45,1.38,1.3,1.23,1.17,1.15,1.12,1.05,0.95,0.8,0.6,0.4,0.3)))</f>
        <v>1.17</v>
      </c>
      <c r="T962" s="5" t="n">
        <f aca="false">CHOOSE(N962+1,1.2,1,0.85,0.7)</f>
        <v>1.2</v>
      </c>
      <c r="U962" s="5" t="n">
        <f aca="false">IF(F962="PO",0.6,
IF(F962="CT",0.75,
IF(F962="LI",0.8,
IF(F962="LD",0.8,
IF(F962="MCD",0.85,
IF(F962="MC",0.95,
IF(F962="MO",1.05,
IF(F962="EI",1.1,
IF(F962="ED",1.1,
IF(F962="SD",1.15,
IF(F962="DC",1.2,0)))))))))))</f>
        <v>0.6</v>
      </c>
    </row>
    <row r="963" customFormat="false" ht="16.4" hidden="false" customHeight="false" outlineLevel="0" collapsed="false">
      <c r="A963" s="1" t="n">
        <v>962</v>
      </c>
      <c r="B963" s="5" t="str">
        <f aca="false">[1]Base_Jugadores!B963</f>
        <v>Noah Sadiki</v>
      </c>
      <c r="C963" s="5" t="str">
        <f aca="false">IFERROR(
   _xlfn.XLOOKUP(VALUE(A963),[1]Fichajes_Realizados!A$2:A$50000,[1]Fichajes_Realizados!D$2:D$50000,,0,-1),
   _xlfn.XLOOKUP(VALUE(A963),[1]Base_Jugadores!A$2:A$50000,[1]Base_Jugadores!C$2:C$50000)
)</f>
        <v>Sunderland AFC</v>
      </c>
      <c r="D963" s="5" t="str">
        <f aca="false">[1]Base_Jugadores!D963</f>
        <v>RD del Congo</v>
      </c>
      <c r="E963" s="3"/>
      <c r="F963" s="5" t="str">
        <f aca="false">[1]Base_Jugadores!E963</f>
        <v>MC</v>
      </c>
      <c r="G963" s="5" t="n">
        <f aca="false">[1]Base_Jugadores!F963</f>
        <v>66</v>
      </c>
      <c r="H963" s="5" t="n">
        <f aca="false">[1]Base_Jugadores!G963</f>
        <v>21</v>
      </c>
      <c r="I963" s="7" t="n">
        <f aca="false" t="array" ref="I963:I963">_xlfn.XLOOKUP(G963,{55;56;57;58;59;60;61;62;63;64;65;66;67;68;69;70;71;72;73;74;75;76;77;78;79;80;81;82;83;84;85;86;87;88;89;90;91;92;93;94;95;96;97;98;99},{100000;130000;160000;190000;220000;250000;300000;350000;400000;450000;500000;600000;700000;800000;900000;1000000;1500000;2000000;3000000;4000000;5000000;6500000;8000000;10000000;12500000;15000000;20000000;25000000;30000000;35000000;40000000;55000000;70000000;80000000;90000000;110000000;130000000;160000000;190000000;220000000;250000000;280000000;310000000;340000000;400000000})</f>
        <v>600000</v>
      </c>
      <c r="J963" s="7" t="n">
        <f aca="false">I963*S963*T963*U963</f>
        <v>518700</v>
      </c>
      <c r="K963" s="3"/>
      <c r="L963" s="3"/>
      <c r="M963" s="3"/>
      <c r="N963" s="9" t="n">
        <v>3</v>
      </c>
      <c r="O963" s="4" t="n">
        <v>0</v>
      </c>
      <c r="P963" s="5" t="n">
        <f aca="false">IF(COUNTIF([1]Base_Jugadores!J$2:J$500,B963)&gt;0,1,0)</f>
        <v>0</v>
      </c>
      <c r="Q963" s="10" t="b">
        <f aca="false">--(COUNTIFS(
   [1]Fichajes_Realizados!A$2:A$5000,A963,
   [1]Fichajes_Realizados!G$2:G$5000,$X$3
)&gt;0)</f>
        <v>0</v>
      </c>
      <c r="R963" s="5" t="n">
        <f aca="false">_xlfn.XLOOKUP(C963, [1]Estado_Equipos!A$2:A$500, [1]Estado_Equipos!J$2:J$500, "")</f>
        <v>72</v>
      </c>
      <c r="S963" s="5" t="n">
        <f aca="false">IF(H963&lt;=16,1.45,
IF(H963&gt;=41,0.3,
CHOOSE(ROUNDDOWN((H963-16)/2,0)+1,
1.45,1.38,1.3,1.23,1.17,1.15,1.12,1.05,0.95,0.8,0.6,0.4,0.3)))</f>
        <v>1.3</v>
      </c>
      <c r="T963" s="5" t="n">
        <f aca="false">CHOOSE(N963+1,1.2,1,0.85,0.7)</f>
        <v>0.7</v>
      </c>
      <c r="U963" s="5" t="n">
        <f aca="false">IF(F963="PO",0.6,
IF(F963="CT",0.75,
IF(F963="LI",0.8,
IF(F963="LD",0.8,
IF(F963="MCD",0.85,
IF(F963="MC",0.95,
IF(F963="MO",1.05,
IF(F963="EI",1.1,
IF(F963="ED",1.1,
IF(F963="SD",1.15,
IF(F963="DC",1.2,0)))))))))))</f>
        <v>0.95</v>
      </c>
    </row>
    <row r="964" customFormat="false" ht="16.4" hidden="false" customHeight="false" outlineLevel="0" collapsed="false">
      <c r="A964" s="1" t="n">
        <v>963</v>
      </c>
      <c r="B964" s="5" t="str">
        <f aca="false">[1]Base_Jugadores!B964</f>
        <v>Nordi Mukiele</v>
      </c>
      <c r="C964" s="5" t="str">
        <f aca="false">IFERROR(
   _xlfn.XLOOKUP(VALUE(A964),[1]Fichajes_Realizados!A$2:A$50000,[1]Fichajes_Realizados!D$2:D$50000,,0,-1),
   _xlfn.XLOOKUP(VALUE(A964),[1]Base_Jugadores!A$2:A$50000,[1]Base_Jugadores!C$2:C$50000)
)</f>
        <v>Sunderland AFC</v>
      </c>
      <c r="D964" s="5" t="str">
        <f aca="false">[1]Base_Jugadores!D964</f>
        <v>Francia</v>
      </c>
      <c r="E964" s="3"/>
      <c r="F964" s="5" t="str">
        <f aca="false">[1]Base_Jugadores!E964</f>
        <v>LD</v>
      </c>
      <c r="G964" s="5" t="n">
        <f aca="false">[1]Base_Jugadores!F964</f>
        <v>80</v>
      </c>
      <c r="H964" s="5" t="n">
        <f aca="false">[1]Base_Jugadores!G964</f>
        <v>28</v>
      </c>
      <c r="I964" s="7" t="n">
        <f aca="false" t="array" ref="I964:I964">_xlfn.XLOOKUP(G964,{55;56;57;58;59;60;61;62;63;64;65;66;67;68;69;70;71;72;73;74;75;76;77;78;79;80;81;82;83;84;85;86;87;88;89;90;91;92;93;94;95;96;97;98;99},{100000;130000;160000;190000;220000;250000;300000;350000;400000;450000;500000;600000;700000;800000;900000;1000000;1500000;2000000;3000000;4000000;5000000;6500000;8000000;10000000;12500000;15000000;20000000;25000000;30000000;35000000;40000000;55000000;70000000;80000000;90000000;110000000;130000000;160000000;190000000;220000000;250000000;280000000;310000000;340000000;400000000})</f>
        <v>15000000</v>
      </c>
      <c r="J964" s="7" t="n">
        <f aca="false">I964*S964*T964*U964</f>
        <v>13440000</v>
      </c>
      <c r="K964" s="3"/>
      <c r="L964" s="3"/>
      <c r="M964" s="3"/>
      <c r="N964" s="9" t="n">
        <v>1</v>
      </c>
      <c r="O964" s="4" t="n">
        <v>0</v>
      </c>
      <c r="P964" s="5" t="n">
        <f aca="false">IF(COUNTIF([1]Base_Jugadores!J$2:J$500,B964)&gt;0,1,0)</f>
        <v>0</v>
      </c>
      <c r="Q964" s="10" t="b">
        <f aca="false">--(COUNTIFS(
   [1]Fichajes_Realizados!A$2:A$5000,A964,
   [1]Fichajes_Realizados!G$2:G$5000,$X$3
)&gt;0)</f>
        <v>0</v>
      </c>
      <c r="R964" s="5" t="n">
        <f aca="false">_xlfn.XLOOKUP(C964, [1]Estado_Equipos!A$2:A$500, [1]Estado_Equipos!J$2:J$500, "")</f>
        <v>72</v>
      </c>
      <c r="S964" s="5" t="n">
        <f aca="false">IF(H964&lt;=16,1.45,
IF(H964&gt;=41,0.3,
CHOOSE(ROUNDDOWN((H964-16)/2,0)+1,
1.45,1.38,1.3,1.23,1.17,1.15,1.12,1.05,0.95,0.8,0.6,0.4,0.3)))</f>
        <v>1.12</v>
      </c>
      <c r="T964" s="5" t="n">
        <f aca="false">CHOOSE(N964+1,1.2,1,0.85,0.7)</f>
        <v>1</v>
      </c>
      <c r="U964" s="5" t="n">
        <f aca="false">IF(F964="PO",0.6,
IF(F964="CT",0.75,
IF(F964="LI",0.8,
IF(F964="LD",0.8,
IF(F964="MCD",0.85,
IF(F964="MC",0.95,
IF(F964="MO",1.05,
IF(F964="EI",1.1,
IF(F964="ED",1.1,
IF(F964="SD",1.15,
IF(F964="DC",1.2,0)))))))))))</f>
        <v>0.8</v>
      </c>
    </row>
    <row r="965" customFormat="false" ht="16.4" hidden="false" customHeight="false" outlineLevel="0" collapsed="false">
      <c r="A965" s="1" t="n">
        <v>964</v>
      </c>
      <c r="B965" s="5" t="str">
        <f aca="false">[1]Base_Jugadores!B965</f>
        <v>Omar Alderete</v>
      </c>
      <c r="C965" s="5" t="str">
        <f aca="false">IFERROR(
   _xlfn.XLOOKUP(VALUE(A965),[1]Fichajes_Realizados!A$2:A$50000,[1]Fichajes_Realizados!D$2:D$50000,,0,-1),
   _xlfn.XLOOKUP(VALUE(A965),[1]Base_Jugadores!A$2:A$50000,[1]Base_Jugadores!C$2:C$50000)
)</f>
        <v>Sunderland AFC</v>
      </c>
      <c r="D965" s="5" t="str">
        <f aca="false">[1]Base_Jugadores!D965</f>
        <v>Paraguay</v>
      </c>
      <c r="E965" s="3"/>
      <c r="F965" s="5" t="str">
        <f aca="false">[1]Base_Jugadores!E965</f>
        <v>CT</v>
      </c>
      <c r="G965" s="5" t="n">
        <f aca="false">[1]Base_Jugadores!F965</f>
        <v>77</v>
      </c>
      <c r="H965" s="5" t="n">
        <f aca="false">[1]Base_Jugadores!G965</f>
        <v>29</v>
      </c>
      <c r="I965" s="7" t="n">
        <f aca="false" t="array" ref="I965:I965">_xlfn.XLOOKUP(G965,{55;56;57;58;59;60;61;62;63;64;65;66;67;68;69;70;71;72;73;74;75;76;77;78;79;80;81;82;83;84;85;86;87;88;89;90;91;92;93;94;95;96;97;98;99},{100000;130000;160000;190000;220000;250000;300000;350000;400000;450000;500000;600000;700000;800000;900000;1000000;1500000;2000000;3000000;4000000;5000000;6500000;8000000;10000000;12500000;15000000;20000000;25000000;30000000;35000000;40000000;55000000;70000000;80000000;90000000;110000000;130000000;160000000;190000000;220000000;250000000;280000000;310000000;340000000;400000000})</f>
        <v>8000000</v>
      </c>
      <c r="J965" s="7" t="n">
        <f aca="false">I965*S965*T965*U965</f>
        <v>8064000</v>
      </c>
      <c r="K965" s="3"/>
      <c r="L965" s="3"/>
      <c r="M965" s="3"/>
      <c r="N965" s="9" t="n">
        <v>0</v>
      </c>
      <c r="O965" s="4" t="n">
        <v>0</v>
      </c>
      <c r="P965" s="5" t="n">
        <f aca="false">IF(COUNTIF([1]Base_Jugadores!J$2:J$500,B965)&gt;0,1,0)</f>
        <v>0</v>
      </c>
      <c r="Q965" s="10" t="b">
        <f aca="false">--(COUNTIFS(
   [1]Fichajes_Realizados!A$2:A$5000,A965,
   [1]Fichajes_Realizados!G$2:G$5000,$X$3
)&gt;0)</f>
        <v>0</v>
      </c>
      <c r="R965" s="5" t="n">
        <f aca="false">_xlfn.XLOOKUP(C965, [1]Estado_Equipos!A$2:A$500, [1]Estado_Equipos!J$2:J$500, "")</f>
        <v>72</v>
      </c>
      <c r="S965" s="5" t="n">
        <f aca="false">IF(H965&lt;=16,1.45,
IF(H965&gt;=41,0.3,
CHOOSE(ROUNDDOWN((H965-16)/2,0)+1,
1.45,1.38,1.3,1.23,1.17,1.15,1.12,1.05,0.95,0.8,0.6,0.4,0.3)))</f>
        <v>1.12</v>
      </c>
      <c r="T965" s="5" t="n">
        <f aca="false">CHOOSE(N965+1,1.2,1,0.85,0.7)</f>
        <v>1.2</v>
      </c>
      <c r="U965" s="5" t="n">
        <f aca="false">IF(F965="PO",0.6,
IF(F965="CT",0.75,
IF(F965="LI",0.8,
IF(F965="LD",0.8,
IF(F965="MCD",0.85,
IF(F965="MC",0.95,
IF(F965="MO",1.05,
IF(F965="EI",1.1,
IF(F965="ED",1.1,
IF(F965="SD",1.15,
IF(F965="DC",1.2,0)))))))))))</f>
        <v>0.75</v>
      </c>
    </row>
    <row r="966" customFormat="false" ht="16.4" hidden="false" customHeight="false" outlineLevel="0" collapsed="false">
      <c r="A966" s="1" t="n">
        <v>965</v>
      </c>
      <c r="B966" s="5" t="str">
        <f aca="false">[1]Base_Jugadores!B966</f>
        <v>Reinildo Mandava</v>
      </c>
      <c r="C966" s="5" t="str">
        <f aca="false">IFERROR(
   _xlfn.XLOOKUP(VALUE(A966),[1]Fichajes_Realizados!A$2:A$50000,[1]Fichajes_Realizados!D$2:D$50000,,0,-1),
   _xlfn.XLOOKUP(VALUE(A966),[1]Base_Jugadores!A$2:A$50000,[1]Base_Jugadores!C$2:C$50000)
)</f>
        <v>Sunderland AFC</v>
      </c>
      <c r="D966" s="5" t="str">
        <f aca="false">[1]Base_Jugadores!D966</f>
        <v>Mozambique</v>
      </c>
      <c r="E966" s="3"/>
      <c r="F966" s="5" t="str">
        <f aca="false">[1]Base_Jugadores!E966</f>
        <v>LI</v>
      </c>
      <c r="G966" s="5" t="n">
        <f aca="false">[1]Base_Jugadores!F966</f>
        <v>80</v>
      </c>
      <c r="H966" s="5" t="n">
        <f aca="false">[1]Base_Jugadores!G966</f>
        <v>31</v>
      </c>
      <c r="I966" s="7" t="n">
        <f aca="false" t="array" ref="I966:I966">_xlfn.XLOOKUP(G966,{55;56;57;58;59;60;61;62;63;64;65;66;67;68;69;70;71;72;73;74;75;76;77;78;79;80;81;82;83;84;85;86;87;88;89;90;91;92;93;94;95;96;97;98;99},{100000;130000;160000;190000;220000;250000;300000;350000;400000;450000;500000;600000;700000;800000;900000;1000000;1500000;2000000;3000000;4000000;5000000;6500000;8000000;10000000;12500000;15000000;20000000;25000000;30000000;35000000;40000000;55000000;70000000;80000000;90000000;110000000;130000000;160000000;190000000;220000000;250000000;280000000;310000000;340000000;400000000})</f>
        <v>15000000</v>
      </c>
      <c r="J966" s="7" t="n">
        <f aca="false">I966*S966*T966*U966</f>
        <v>15120000</v>
      </c>
      <c r="K966" s="3"/>
      <c r="L966" s="3"/>
      <c r="M966" s="3"/>
      <c r="N966" s="9" t="n">
        <v>0</v>
      </c>
      <c r="O966" s="4" t="n">
        <v>0</v>
      </c>
      <c r="P966" s="5" t="n">
        <f aca="false">IF(COUNTIF([1]Base_Jugadores!J$2:J$500,B966)&gt;0,1,0)</f>
        <v>0</v>
      </c>
      <c r="Q966" s="10" t="b">
        <f aca="false">--(COUNTIFS(
   [1]Fichajes_Realizados!A$2:A$5000,A966,
   [1]Fichajes_Realizados!G$2:G$5000,$X$3
)&gt;0)</f>
        <v>0</v>
      </c>
      <c r="R966" s="5" t="n">
        <f aca="false">_xlfn.XLOOKUP(C966, [1]Estado_Equipos!A$2:A$500, [1]Estado_Equipos!J$2:J$500, "")</f>
        <v>72</v>
      </c>
      <c r="S966" s="5" t="n">
        <f aca="false">IF(H966&lt;=16,1.45,
IF(H966&gt;=41,0.3,
CHOOSE(ROUNDDOWN((H966-16)/2,0)+1,
1.45,1.38,1.3,1.23,1.17,1.15,1.12,1.05,0.95,0.8,0.6,0.4,0.3)))</f>
        <v>1.05</v>
      </c>
      <c r="T966" s="5" t="n">
        <f aca="false">CHOOSE(N966+1,1.2,1,0.85,0.7)</f>
        <v>1.2</v>
      </c>
      <c r="U966" s="5" t="n">
        <f aca="false">IF(F966="PO",0.6,
IF(F966="CT",0.75,
IF(F966="LI",0.8,
IF(F966="LD",0.8,
IF(F966="MCD",0.85,
IF(F966="MC",0.95,
IF(F966="MO",1.05,
IF(F966="EI",1.1,
IF(F966="ED",1.1,
IF(F966="SD",1.15,
IF(F966="DC",1.2,0)))))))))))</f>
        <v>0.8</v>
      </c>
    </row>
    <row r="967" customFormat="false" ht="16.4" hidden="false" customHeight="false" outlineLevel="0" collapsed="false">
      <c r="A967" s="1" t="n">
        <v>966</v>
      </c>
      <c r="B967" s="5" t="str">
        <f aca="false">[1]Base_Jugadores!B967</f>
        <v>Robin Roefs</v>
      </c>
      <c r="C967" s="5" t="str">
        <f aca="false">IFERROR(
   _xlfn.XLOOKUP(VALUE(A967),[1]Fichajes_Realizados!A$2:A$50000,[1]Fichajes_Realizados!D$2:D$50000,,0,-1),
   _xlfn.XLOOKUP(VALUE(A967),[1]Base_Jugadores!A$2:A$50000,[1]Base_Jugadores!C$2:C$50000)
)</f>
        <v>Sunderland AFC</v>
      </c>
      <c r="D967" s="5" t="str">
        <f aca="false">[1]Base_Jugadores!D967</f>
        <v>Países Bajos</v>
      </c>
      <c r="E967" s="3"/>
      <c r="F967" s="5" t="str">
        <f aca="false">[1]Base_Jugadores!E967</f>
        <v>PO</v>
      </c>
      <c r="G967" s="5" t="n">
        <f aca="false">[1]Base_Jugadores!F967</f>
        <v>67</v>
      </c>
      <c r="H967" s="5" t="n">
        <f aca="false">[1]Base_Jugadores!G967</f>
        <v>22</v>
      </c>
      <c r="I967" s="7" t="n">
        <f aca="false" t="array" ref="I967:I967">_xlfn.XLOOKUP(G967,{55;56;57;58;59;60;61;62;63;64;65;66;67;68;69;70;71;72;73;74;75;76;77;78;79;80;81;82;83;84;85;86;87;88;89;90;91;92;93;94;95;96;97;98;99},{100000;130000;160000;190000;220000;250000;300000;350000;400000;450000;500000;600000;700000;800000;900000;1000000;1500000;2000000;3000000;4000000;5000000;6500000;8000000;10000000;12500000;15000000;20000000;25000000;30000000;35000000;40000000;55000000;70000000;80000000;90000000;110000000;130000000;160000000;190000000;220000000;250000000;280000000;310000000;340000000;400000000})</f>
        <v>700000</v>
      </c>
      <c r="J967" s="7" t="n">
        <f aca="false">I967*S967*T967*U967</f>
        <v>439110</v>
      </c>
      <c r="K967" s="3"/>
      <c r="L967" s="3"/>
      <c r="M967" s="3"/>
      <c r="N967" s="9" t="n">
        <v>2</v>
      </c>
      <c r="O967" s="4" t="n">
        <v>1</v>
      </c>
      <c r="P967" s="5" t="n">
        <f aca="false">IF(COUNTIF([1]Base_Jugadores!J$2:J$500,B967)&gt;0,1,0)</f>
        <v>0</v>
      </c>
      <c r="Q967" s="10" t="b">
        <f aca="false">--(COUNTIFS(
   [1]Fichajes_Realizados!A$2:A$5000,A967,
   [1]Fichajes_Realizados!G$2:G$5000,$X$3
)&gt;0)</f>
        <v>0</v>
      </c>
      <c r="R967" s="5" t="n">
        <f aca="false">_xlfn.XLOOKUP(C967, [1]Estado_Equipos!A$2:A$500, [1]Estado_Equipos!J$2:J$500, "")</f>
        <v>72</v>
      </c>
      <c r="S967" s="5" t="n">
        <f aca="false">IF(H967&lt;=16,1.45,
IF(H967&gt;=41,0.3,
CHOOSE(ROUNDDOWN((H967-16)/2,0)+1,
1.45,1.38,1.3,1.23,1.17,1.15,1.12,1.05,0.95,0.8,0.6,0.4,0.3)))</f>
        <v>1.23</v>
      </c>
      <c r="T967" s="5" t="n">
        <f aca="false">CHOOSE(N967+1,1.2,1,0.85,0.7)</f>
        <v>0.85</v>
      </c>
      <c r="U967" s="5" t="n">
        <f aca="false">IF(F967="PO",0.6,
IF(F967="CT",0.75,
IF(F967="LI",0.8,
IF(F967="LD",0.8,
IF(F967="MCD",0.85,
IF(F967="MC",0.95,
IF(F967="MO",1.05,
IF(F967="EI",1.1,
IF(F967="ED",1.1,
IF(F967="SD",1.15,
IF(F967="DC",1.2,0)))))))))))</f>
        <v>0.6</v>
      </c>
    </row>
    <row r="968" customFormat="false" ht="16.4" hidden="false" customHeight="false" outlineLevel="0" collapsed="false">
      <c r="A968" s="1" t="n">
        <v>967</v>
      </c>
      <c r="B968" s="5" t="str">
        <f aca="false">[1]Base_Jugadores!B968</f>
        <v>Romaine Mundle</v>
      </c>
      <c r="C968" s="5" t="str">
        <f aca="false">IFERROR(
   _xlfn.XLOOKUP(VALUE(A968),[1]Fichajes_Realizados!A$2:A$50000,[1]Fichajes_Realizados!D$2:D$50000,,0,-1),
   _xlfn.XLOOKUP(VALUE(A968),[1]Base_Jugadores!A$2:A$50000,[1]Base_Jugadores!C$2:C$50000)
)</f>
        <v>Sunderland AFC</v>
      </c>
      <c r="D968" s="5" t="str">
        <f aca="false">[1]Base_Jugadores!D968</f>
        <v>Inglaterra</v>
      </c>
      <c r="E968" s="3"/>
      <c r="F968" s="5" t="str">
        <f aca="false">[1]Base_Jugadores!E968</f>
        <v>EI</v>
      </c>
      <c r="G968" s="5" t="n">
        <f aca="false">[1]Base_Jugadores!F968</f>
        <v>69</v>
      </c>
      <c r="H968" s="5" t="n">
        <f aca="false">[1]Base_Jugadores!G968</f>
        <v>22</v>
      </c>
      <c r="I968" s="7" t="n">
        <f aca="false" t="array" ref="I968:I968">_xlfn.XLOOKUP(G968,{55;56;57;58;59;60;61;62;63;64;65;66;67;68;69;70;71;72;73;74;75;76;77;78;79;80;81;82;83;84;85;86;87;88;89;90;91;92;93;94;95;96;97;98;99},{100000;130000;160000;190000;220000;250000;300000;350000;400000;450000;500000;600000;700000;800000;900000;1000000;1500000;2000000;3000000;4000000;5000000;6500000;8000000;10000000;12500000;15000000;20000000;25000000;30000000;35000000;40000000;55000000;70000000;80000000;90000000;110000000;130000000;160000000;190000000;220000000;250000000;280000000;310000000;340000000;400000000})</f>
        <v>900000</v>
      </c>
      <c r="J968" s="7" t="n">
        <f aca="false">I968*S968*T968*U968</f>
        <v>1035045</v>
      </c>
      <c r="K968" s="3"/>
      <c r="L968" s="3"/>
      <c r="M968" s="3"/>
      <c r="N968" s="9" t="n">
        <v>2</v>
      </c>
      <c r="O968" s="4" t="n">
        <v>1</v>
      </c>
      <c r="P968" s="5" t="n">
        <f aca="false">IF(COUNTIF([1]Base_Jugadores!J$2:J$500,B968)&gt;0,1,0)</f>
        <v>0</v>
      </c>
      <c r="Q968" s="10" t="b">
        <f aca="false">--(COUNTIFS(
   [1]Fichajes_Realizados!A$2:A$5000,A968,
   [1]Fichajes_Realizados!G$2:G$5000,$X$3
)&gt;0)</f>
        <v>0</v>
      </c>
      <c r="R968" s="5" t="n">
        <f aca="false">_xlfn.XLOOKUP(C968, [1]Estado_Equipos!A$2:A$500, [1]Estado_Equipos!J$2:J$500, "")</f>
        <v>72</v>
      </c>
      <c r="S968" s="5" t="n">
        <f aca="false">IF(H968&lt;=16,1.45,
IF(H968&gt;=41,0.3,
CHOOSE(ROUNDDOWN((H968-16)/2,0)+1,
1.45,1.38,1.3,1.23,1.17,1.15,1.12,1.05,0.95,0.8,0.6,0.4,0.3)))</f>
        <v>1.23</v>
      </c>
      <c r="T968" s="5" t="n">
        <f aca="false">CHOOSE(N968+1,1.2,1,0.85,0.7)</f>
        <v>0.85</v>
      </c>
      <c r="U968" s="5" t="n">
        <f aca="false">IF(F968="PO",0.6,
IF(F968="CT",0.75,
IF(F968="LI",0.8,
IF(F968="LD",0.8,
IF(F968="MCD",0.85,
IF(F968="MC",0.95,
IF(F968="MO",1.05,
IF(F968="EI",1.1,
IF(F968="ED",1.1,
IF(F968="SD",1.15,
IF(F968="DC",1.2,0)))))))))))</f>
        <v>1.1</v>
      </c>
    </row>
    <row r="969" customFormat="false" ht="16.4" hidden="false" customHeight="false" outlineLevel="0" collapsed="false">
      <c r="A969" s="1" t="n">
        <v>968</v>
      </c>
      <c r="B969" s="5" t="str">
        <f aca="false">[1]Base_Jugadores!B969</f>
        <v>Simon Adingra</v>
      </c>
      <c r="C969" s="5" t="str">
        <f aca="false">IFERROR(
   _xlfn.XLOOKUP(VALUE(A969),[1]Fichajes_Realizados!A$2:A$50000,[1]Fichajes_Realizados!D$2:D$50000,,0,-1),
   _xlfn.XLOOKUP(VALUE(A969),[1]Base_Jugadores!A$2:A$50000,[1]Base_Jugadores!C$2:C$50000)
)</f>
        <v>Sunderland AFC</v>
      </c>
      <c r="D969" s="5" t="str">
        <f aca="false">[1]Base_Jugadores!D969</f>
        <v>Costa de Marfil</v>
      </c>
      <c r="E969" s="3"/>
      <c r="F969" s="5" t="str">
        <f aca="false">[1]Base_Jugadores!E969</f>
        <v>EI</v>
      </c>
      <c r="G969" s="5" t="n">
        <f aca="false">[1]Base_Jugadores!F969</f>
        <v>76</v>
      </c>
      <c r="H969" s="5" t="n">
        <f aca="false">[1]Base_Jugadores!G969</f>
        <v>23</v>
      </c>
      <c r="I969" s="7" t="n">
        <f aca="false" t="array" ref="I969:I969">_xlfn.XLOOKUP(G969,{55;56;57;58;59;60;61;62;63;64;65;66;67;68;69;70;71;72;73;74;75;76;77;78;79;80;81;82;83;84;85;86;87;88;89;90;91;92;93;94;95;96;97;98;99},{100000;130000;160000;190000;220000;250000;300000;350000;400000;450000;500000;600000;700000;800000;900000;1000000;1500000;2000000;3000000;4000000;5000000;6500000;8000000;10000000;12500000;15000000;20000000;25000000;30000000;35000000;40000000;55000000;70000000;80000000;90000000;110000000;130000000;160000000;190000000;220000000;250000000;280000000;310000000;340000000;400000000})</f>
        <v>6500000</v>
      </c>
      <c r="J969" s="7" t="n">
        <f aca="false">I969*S969*T969*U969</f>
        <v>10553400</v>
      </c>
      <c r="K969" s="3"/>
      <c r="L969" s="3"/>
      <c r="M969" s="3"/>
      <c r="N969" s="9" t="n">
        <v>0</v>
      </c>
      <c r="O969" s="4" t="n">
        <v>0</v>
      </c>
      <c r="P969" s="5" t="n">
        <f aca="false">IF(COUNTIF([1]Base_Jugadores!J$2:J$500,B969)&gt;0,1,0)</f>
        <v>0</v>
      </c>
      <c r="Q969" s="10" t="b">
        <f aca="false">--(COUNTIFS(
   [1]Fichajes_Realizados!A$2:A$5000,A969,
   [1]Fichajes_Realizados!G$2:G$5000,$X$3
)&gt;0)</f>
        <v>0</v>
      </c>
      <c r="R969" s="5" t="n">
        <f aca="false">_xlfn.XLOOKUP(C969, [1]Estado_Equipos!A$2:A$500, [1]Estado_Equipos!J$2:J$500, "")</f>
        <v>72</v>
      </c>
      <c r="S969" s="5" t="n">
        <f aca="false">IF(H969&lt;=16,1.45,
IF(H969&gt;=41,0.3,
CHOOSE(ROUNDDOWN((H969-16)/2,0)+1,
1.45,1.38,1.3,1.23,1.17,1.15,1.12,1.05,0.95,0.8,0.6,0.4,0.3)))</f>
        <v>1.23</v>
      </c>
      <c r="T969" s="5" t="n">
        <f aca="false">CHOOSE(N969+1,1.2,1,0.85,0.7)</f>
        <v>1.2</v>
      </c>
      <c r="U969" s="5" t="n">
        <f aca="false">IF(F969="PO",0.6,
IF(F969="CT",0.75,
IF(F969="LI",0.8,
IF(F969="LD",0.8,
IF(F969="MCD",0.85,
IF(F969="MC",0.95,
IF(F969="MO",1.05,
IF(F969="EI",1.1,
IF(F969="ED",1.1,
IF(F969="SD",1.15,
IF(F969="DC",1.2,0)))))))))))</f>
        <v>1.1</v>
      </c>
    </row>
    <row r="970" customFormat="false" ht="16.4" hidden="false" customHeight="false" outlineLevel="0" collapsed="false">
      <c r="A970" s="1" t="n">
        <v>969</v>
      </c>
      <c r="B970" s="5" t="str">
        <f aca="false">[1]Base_Jugadores!B970</f>
        <v>Simon Moore</v>
      </c>
      <c r="C970" s="5" t="str">
        <f aca="false">IFERROR(
   _xlfn.XLOOKUP(VALUE(A970),[1]Fichajes_Realizados!A$2:A$50000,[1]Fichajes_Realizados!D$2:D$50000,,0,-1),
   _xlfn.XLOOKUP(VALUE(A970),[1]Base_Jugadores!A$2:A$50000,[1]Base_Jugadores!C$2:C$50000)
)</f>
        <v>Sunderland AFC</v>
      </c>
      <c r="D970" s="5" t="str">
        <f aca="false">[1]Base_Jugadores!D970</f>
        <v>Inglaterra</v>
      </c>
      <c r="E970" s="3"/>
      <c r="F970" s="5" t="str">
        <f aca="false">[1]Base_Jugadores!E970</f>
        <v>PO</v>
      </c>
      <c r="G970" s="5" t="n">
        <f aca="false">[1]Base_Jugadores!F970</f>
        <v>66</v>
      </c>
      <c r="H970" s="5" t="n">
        <f aca="false">[1]Base_Jugadores!G970</f>
        <v>35</v>
      </c>
      <c r="I970" s="7" t="n">
        <f aca="false" t="array" ref="I970:I970">_xlfn.XLOOKUP(G970,{55;56;57;58;59;60;61;62;63;64;65;66;67;68;69;70;71;72;73;74;75;76;77;78;79;80;81;82;83;84;85;86;87;88;89;90;91;92;93;94;95;96;97;98;99},{100000;130000;160000;190000;220000;250000;300000;350000;400000;450000;500000;600000;700000;800000;900000;1000000;1500000;2000000;3000000;4000000;5000000;6500000;8000000;10000000;12500000;15000000;20000000;25000000;30000000;35000000;40000000;55000000;70000000;80000000;90000000;110000000;130000000;160000000;190000000;220000000;250000000;280000000;310000000;340000000;400000000})</f>
        <v>600000</v>
      </c>
      <c r="J970" s="7" t="n">
        <f aca="false">I970*S970*T970*U970</f>
        <v>201600</v>
      </c>
      <c r="K970" s="3"/>
      <c r="L970" s="3"/>
      <c r="M970" s="3"/>
      <c r="N970" s="9" t="n">
        <v>3</v>
      </c>
      <c r="O970" s="4" t="n">
        <v>0</v>
      </c>
      <c r="P970" s="5" t="n">
        <f aca="false">IF(COUNTIF([1]Base_Jugadores!J$2:J$500,B970)&gt;0,1,0)</f>
        <v>0</v>
      </c>
      <c r="Q970" s="10" t="b">
        <f aca="false">--(COUNTIFS(
   [1]Fichajes_Realizados!A$2:A$5000,A970,
   [1]Fichajes_Realizados!G$2:G$5000,$X$3
)&gt;0)</f>
        <v>0</v>
      </c>
      <c r="R970" s="5" t="n">
        <f aca="false">_xlfn.XLOOKUP(C970, [1]Estado_Equipos!A$2:A$500, [1]Estado_Equipos!J$2:J$500, "")</f>
        <v>72</v>
      </c>
      <c r="S970" s="5" t="n">
        <f aca="false">IF(H970&lt;=16,1.45,
IF(H970&gt;=41,0.3,
CHOOSE(ROUNDDOWN((H970-16)/2,0)+1,
1.45,1.38,1.3,1.23,1.17,1.15,1.12,1.05,0.95,0.8,0.6,0.4,0.3)))</f>
        <v>0.8</v>
      </c>
      <c r="T970" s="5" t="n">
        <f aca="false">CHOOSE(N970+1,1.2,1,0.85,0.7)</f>
        <v>0.7</v>
      </c>
      <c r="U970" s="5" t="n">
        <f aca="false">IF(F970="PO",0.6,
IF(F970="CT",0.75,
IF(F970="LI",0.8,
IF(F970="LD",0.8,
IF(F970="MCD",0.85,
IF(F970="MC",0.95,
IF(F970="MO",1.05,
IF(F970="EI",1.1,
IF(F970="ED",1.1,
IF(F970="SD",1.15,
IF(F970="DC",1.2,0)))))))))))</f>
        <v>0.6</v>
      </c>
    </row>
    <row r="971" customFormat="false" ht="16.4" hidden="false" customHeight="false" outlineLevel="0" collapsed="false">
      <c r="A971" s="1" t="n">
        <v>970</v>
      </c>
      <c r="B971" s="5" t="str">
        <f aca="false">[1]Base_Jugadores!B971</f>
        <v>T. Pembélé</v>
      </c>
      <c r="C971" s="5" t="str">
        <f aca="false">IFERROR(
   _xlfn.XLOOKUP(VALUE(A971),[1]Fichajes_Realizados!A$2:A$50000,[1]Fichajes_Realizados!D$2:D$50000,,0,-1),
   _xlfn.XLOOKUP(VALUE(A971),[1]Base_Jugadores!A$2:A$50000,[1]Base_Jugadores!C$2:C$50000)
)</f>
        <v>Sunderland AFC</v>
      </c>
      <c r="D971" s="5" t="str">
        <f aca="false">[1]Base_Jugadores!D971</f>
        <v>Francia</v>
      </c>
      <c r="E971" s="3"/>
      <c r="F971" s="5" t="str">
        <f aca="false">[1]Base_Jugadores!E971</f>
        <v>LD</v>
      </c>
      <c r="G971" s="5" t="n">
        <f aca="false">[1]Base_Jugadores!F971</f>
        <v>69</v>
      </c>
      <c r="H971" s="5" t="n">
        <f aca="false">[1]Base_Jugadores!G971</f>
        <v>23</v>
      </c>
      <c r="I971" s="7" t="n">
        <f aca="false" t="array" ref="I971:I971">_xlfn.XLOOKUP(G971,{55;56;57;58;59;60;61;62;63;64;65;66;67;68;69;70;71;72;73;74;75;76;77;78;79;80;81;82;83;84;85;86;87;88;89;90;91;92;93;94;95;96;97;98;99},{100000;130000;160000;190000;220000;250000;300000;350000;400000;450000;500000;600000;700000;800000;900000;1000000;1500000;2000000;3000000;4000000;5000000;6500000;8000000;10000000;12500000;15000000;20000000;25000000;30000000;35000000;40000000;55000000;70000000;80000000;90000000;110000000;130000000;160000000;190000000;220000000;250000000;280000000;310000000;340000000;400000000})</f>
        <v>900000</v>
      </c>
      <c r="J971" s="7" t="n">
        <f aca="false">I971*S971*T971*U971</f>
        <v>619920</v>
      </c>
      <c r="K971" s="3"/>
      <c r="L971" s="3"/>
      <c r="M971" s="3"/>
      <c r="N971" s="9" t="n">
        <v>3</v>
      </c>
      <c r="O971" s="4" t="n">
        <v>0</v>
      </c>
      <c r="P971" s="5" t="n">
        <f aca="false">IF(COUNTIF([1]Base_Jugadores!J$2:J$500,B971)&gt;0,1,0)</f>
        <v>0</v>
      </c>
      <c r="Q971" s="10" t="b">
        <f aca="false">--(COUNTIFS(
   [1]Fichajes_Realizados!A$2:A$5000,A971,
   [1]Fichajes_Realizados!G$2:G$5000,$X$3
)&gt;0)</f>
        <v>0</v>
      </c>
      <c r="R971" s="5" t="n">
        <f aca="false">_xlfn.XLOOKUP(C971, [1]Estado_Equipos!A$2:A$500, [1]Estado_Equipos!J$2:J$500, "")</f>
        <v>72</v>
      </c>
      <c r="S971" s="5" t="n">
        <f aca="false">IF(H971&lt;=16,1.45,
IF(H971&gt;=41,0.3,
CHOOSE(ROUNDDOWN((H971-16)/2,0)+1,
1.45,1.38,1.3,1.23,1.17,1.15,1.12,1.05,0.95,0.8,0.6,0.4,0.3)))</f>
        <v>1.23</v>
      </c>
      <c r="T971" s="5" t="n">
        <f aca="false">CHOOSE(N971+1,1.2,1,0.85,0.7)</f>
        <v>0.7</v>
      </c>
      <c r="U971" s="5" t="n">
        <f aca="false">IF(F971="PO",0.6,
IF(F971="CT",0.75,
IF(F971="LI",0.8,
IF(F971="LD",0.8,
IF(F971="MCD",0.85,
IF(F971="MC",0.95,
IF(F971="MO",1.05,
IF(F971="EI",1.1,
IF(F971="ED",1.1,
IF(F971="SD",1.15,
IF(F971="DC",1.2,0)))))))))))</f>
        <v>0.8</v>
      </c>
    </row>
    <row r="972" customFormat="false" ht="16.4" hidden="false" customHeight="false" outlineLevel="0" collapsed="false">
      <c r="A972" s="1" t="n">
        <v>971</v>
      </c>
      <c r="B972" s="5" t="str">
        <f aca="false">[1]Base_Jugadores!B972</f>
        <v>Trai Hume</v>
      </c>
      <c r="C972" s="5" t="str">
        <f aca="false">IFERROR(
   _xlfn.XLOOKUP(VALUE(A972),[1]Fichajes_Realizados!A$2:A$50000,[1]Fichajes_Realizados!D$2:D$50000,,0,-1),
   _xlfn.XLOOKUP(VALUE(A972),[1]Base_Jugadores!A$2:A$50000,[1]Base_Jugadores!C$2:C$50000)
)</f>
        <v>Sunderland AFC</v>
      </c>
      <c r="D972" s="5" t="str">
        <f aca="false">[1]Base_Jugadores!D972</f>
        <v>Irlanda del Norte</v>
      </c>
      <c r="E972" s="3"/>
      <c r="F972" s="5" t="str">
        <f aca="false">[1]Base_Jugadores!E972</f>
        <v>LD</v>
      </c>
      <c r="G972" s="5" t="n">
        <f aca="false">[1]Base_Jugadores!F972</f>
        <v>74</v>
      </c>
      <c r="H972" s="5" t="n">
        <f aca="false">[1]Base_Jugadores!G972</f>
        <v>23</v>
      </c>
      <c r="I972" s="7" t="n">
        <f aca="false" t="array" ref="I972:I972">_xlfn.XLOOKUP(G972,{55;56;57;58;59;60;61;62;63;64;65;66;67;68;69;70;71;72;73;74;75;76;77;78;79;80;81;82;83;84;85;86;87;88;89;90;91;92;93;94;95;96;97;98;99},{100000;130000;160000;190000;220000;250000;300000;350000;400000;450000;500000;600000;700000;800000;900000;1000000;1500000;2000000;3000000;4000000;5000000;6500000;8000000;10000000;12500000;15000000;20000000;25000000;30000000;35000000;40000000;55000000;70000000;80000000;90000000;110000000;130000000;160000000;190000000;220000000;250000000;280000000;310000000;340000000;400000000})</f>
        <v>4000000</v>
      </c>
      <c r="J972" s="7" t="n">
        <f aca="false">I972*S972*T972*U972</f>
        <v>2755200</v>
      </c>
      <c r="K972" s="3"/>
      <c r="L972" s="3"/>
      <c r="M972" s="3"/>
      <c r="N972" s="9" t="n">
        <v>3</v>
      </c>
      <c r="O972" s="4" t="n">
        <v>0</v>
      </c>
      <c r="P972" s="5" t="n">
        <f aca="false">IF(COUNTIF([1]Base_Jugadores!J$2:J$500,B972)&gt;0,1,0)</f>
        <v>0</v>
      </c>
      <c r="Q972" s="10" t="b">
        <f aca="false">--(COUNTIFS(
   [1]Fichajes_Realizados!A$2:A$5000,A972,
   [1]Fichajes_Realizados!G$2:G$5000,$X$3
)&gt;0)</f>
        <v>0</v>
      </c>
      <c r="R972" s="5" t="n">
        <f aca="false">_xlfn.XLOOKUP(C972, [1]Estado_Equipos!A$2:A$500, [1]Estado_Equipos!J$2:J$500, "")</f>
        <v>72</v>
      </c>
      <c r="S972" s="5" t="n">
        <f aca="false">IF(H972&lt;=16,1.45,
IF(H972&gt;=41,0.3,
CHOOSE(ROUNDDOWN((H972-16)/2,0)+1,
1.45,1.38,1.3,1.23,1.17,1.15,1.12,1.05,0.95,0.8,0.6,0.4,0.3)))</f>
        <v>1.23</v>
      </c>
      <c r="T972" s="5" t="n">
        <f aca="false">CHOOSE(N972+1,1.2,1,0.85,0.7)</f>
        <v>0.7</v>
      </c>
      <c r="U972" s="5" t="n">
        <f aca="false">IF(F972="PO",0.6,
IF(F972="CT",0.75,
IF(F972="LI",0.8,
IF(F972="LD",0.8,
IF(F972="MCD",0.85,
IF(F972="MC",0.95,
IF(F972="MO",1.05,
IF(F972="EI",1.1,
IF(F972="ED",1.1,
IF(F972="SD",1.15,
IF(F972="DC",1.2,0)))))))))))</f>
        <v>0.8</v>
      </c>
    </row>
    <row r="973" customFormat="false" ht="16.4" hidden="false" customHeight="false" outlineLevel="0" collapsed="false">
      <c r="A973" s="1" t="n">
        <v>972</v>
      </c>
      <c r="B973" s="5" t="str">
        <f aca="false">[1]Base_Jugadores!B973</f>
        <v>Wilson Isidor</v>
      </c>
      <c r="C973" s="5" t="str">
        <f aca="false">IFERROR(
   _xlfn.XLOOKUP(VALUE(A973),[1]Fichajes_Realizados!A$2:A$50000,[1]Fichajes_Realizados!D$2:D$50000,,0,-1),
   _xlfn.XLOOKUP(VALUE(A973),[1]Base_Jugadores!A$2:A$50000,[1]Base_Jugadores!C$2:C$50000)
)</f>
        <v>Sunderland AFC</v>
      </c>
      <c r="D973" s="5" t="str">
        <f aca="false">[1]Base_Jugadores!D973</f>
        <v>Francia</v>
      </c>
      <c r="E973" s="3"/>
      <c r="F973" s="5" t="str">
        <f aca="false">[1]Base_Jugadores!E973</f>
        <v>DC</v>
      </c>
      <c r="G973" s="5" t="n">
        <f aca="false">[1]Base_Jugadores!F973</f>
        <v>70</v>
      </c>
      <c r="H973" s="5" t="n">
        <f aca="false">[1]Base_Jugadores!G973</f>
        <v>25</v>
      </c>
      <c r="I973" s="7" t="n">
        <f aca="false" t="array" ref="I973:I973">_xlfn.XLOOKUP(G973,{55;56;57;58;59;60;61;62;63;64;65;66;67;68;69;70;71;72;73;74;75;76;77;78;79;80;81;82;83;84;85;86;87;88;89;90;91;92;93;94;95;96;97;98;99},{100000;130000;160000;190000;220000;250000;300000;350000;400000;450000;500000;600000;700000;800000;900000;1000000;1500000;2000000;3000000;4000000;5000000;6500000;8000000;10000000;12500000;15000000;20000000;25000000;30000000;35000000;40000000;55000000;70000000;80000000;90000000;110000000;130000000;160000000;190000000;220000000;250000000;280000000;310000000;340000000;400000000})</f>
        <v>1000000</v>
      </c>
      <c r="J973" s="7" t="n">
        <f aca="false">I973*S973*T973*U973</f>
        <v>1404000</v>
      </c>
      <c r="K973" s="3"/>
      <c r="L973" s="3"/>
      <c r="M973" s="3"/>
      <c r="N973" s="9" t="n">
        <v>1</v>
      </c>
      <c r="O973" s="4" t="n">
        <v>0</v>
      </c>
      <c r="P973" s="5" t="n">
        <f aca="false">IF(COUNTIF([1]Base_Jugadores!J$2:J$500,B973)&gt;0,1,0)</f>
        <v>0</v>
      </c>
      <c r="Q973" s="10" t="b">
        <f aca="false">--(COUNTIFS(
   [1]Fichajes_Realizados!A$2:A$5000,A973,
   [1]Fichajes_Realizados!G$2:G$5000,$X$3
)&gt;0)</f>
        <v>0</v>
      </c>
      <c r="R973" s="5" t="n">
        <f aca="false">_xlfn.XLOOKUP(C973, [1]Estado_Equipos!A$2:A$500, [1]Estado_Equipos!J$2:J$500, "")</f>
        <v>72</v>
      </c>
      <c r="S973" s="5" t="n">
        <f aca="false">IF(H973&lt;=16,1.45,
IF(H973&gt;=41,0.3,
CHOOSE(ROUNDDOWN((H973-16)/2,0)+1,
1.45,1.38,1.3,1.23,1.17,1.15,1.12,1.05,0.95,0.8,0.6,0.4,0.3)))</f>
        <v>1.17</v>
      </c>
      <c r="T973" s="5" t="n">
        <f aca="false">CHOOSE(N973+1,1.2,1,0.85,0.7)</f>
        <v>1</v>
      </c>
      <c r="U973" s="5" t="n">
        <f aca="false">IF(F973="PO",0.6,
IF(F973="CT",0.75,
IF(F973="LI",0.8,
IF(F973="LD",0.8,
IF(F973="MCD",0.85,
IF(F973="MC",0.95,
IF(F973="MO",1.05,
IF(F973="EI",1.1,
IF(F973="ED",1.1,
IF(F973="SD",1.15,
IF(F973="DC",1.2,0)))))))))))</f>
        <v>1.2</v>
      </c>
    </row>
    <row r="974" customFormat="false" ht="16.4" hidden="false" customHeight="false" outlineLevel="0" collapsed="false">
      <c r="A974" s="1" t="n">
        <v>973</v>
      </c>
      <c r="B974" s="5" t="str">
        <f aca="false">[1]Base_Jugadores!B974</f>
        <v>Antonín Kinský</v>
      </c>
      <c r="C974" s="5" t="str">
        <f aca="false">IFERROR(
   _xlfn.XLOOKUP(VALUE(A974),[1]Fichajes_Realizados!A$2:A$50000,[1]Fichajes_Realizados!D$2:D$50000,,0,-1),
   _xlfn.XLOOKUP(VALUE(A974),[1]Base_Jugadores!A$2:A$50000,[1]Base_Jugadores!C$2:C$50000)
)</f>
        <v>Tottenham Hotspur</v>
      </c>
      <c r="D974" s="5" t="str">
        <f aca="false">[1]Base_Jugadores!D974</f>
        <v>República Checa</v>
      </c>
      <c r="E974" s="3"/>
      <c r="F974" s="5" t="str">
        <f aca="false">[1]Base_Jugadores!E974</f>
        <v>PO</v>
      </c>
      <c r="G974" s="5" t="n">
        <f aca="false">[1]Base_Jugadores!F974</f>
        <v>74</v>
      </c>
      <c r="H974" s="5" t="n">
        <f aca="false">[1]Base_Jugadores!G974</f>
        <v>22</v>
      </c>
      <c r="I974" s="7" t="n">
        <f aca="false" t="array" ref="I974:I974">_xlfn.XLOOKUP(G974,{55;56;57;58;59;60;61;62;63;64;65;66;67;68;69;70;71;72;73;74;75;76;77;78;79;80;81;82;83;84;85;86;87;88;89;90;91;92;93;94;95;96;97;98;99},{100000;130000;160000;190000;220000;250000;300000;350000;400000;450000;500000;600000;700000;800000;900000;1000000;1500000;2000000;3000000;4000000;5000000;6500000;8000000;10000000;12500000;15000000;20000000;25000000;30000000;35000000;40000000;55000000;70000000;80000000;90000000;110000000;130000000;160000000;190000000;220000000;250000000;280000000;310000000;340000000;400000000})</f>
        <v>4000000</v>
      </c>
      <c r="J974" s="7" t="n">
        <f aca="false">I974*S974*T974*U974</f>
        <v>2509200</v>
      </c>
      <c r="K974" s="3"/>
      <c r="L974" s="3"/>
      <c r="M974" s="3"/>
      <c r="N974" s="9" t="n">
        <v>2</v>
      </c>
      <c r="O974" s="4" t="n">
        <v>0</v>
      </c>
      <c r="P974" s="5" t="n">
        <f aca="false">IF(COUNTIF([1]Base_Jugadores!J$2:J$500,B974)&gt;0,1,0)</f>
        <v>0</v>
      </c>
      <c r="Q974" s="10" t="b">
        <f aca="false">--(COUNTIFS(
   [1]Fichajes_Realizados!A$2:A$5000,A974,
   [1]Fichajes_Realizados!G$2:G$5000,$X$3
)&gt;0)</f>
        <v>0</v>
      </c>
      <c r="R974" s="5" t="n">
        <f aca="false">_xlfn.XLOOKUP(C974, [1]Estado_Equipos!A$2:A$500, [1]Estado_Equipos!J$2:J$500, "")</f>
        <v>78</v>
      </c>
      <c r="S974" s="5" t="n">
        <f aca="false">IF(H974&lt;=16,1.45,
IF(H974&gt;=41,0.3,
CHOOSE(ROUNDDOWN((H974-16)/2,0)+1,
1.45,1.38,1.3,1.23,1.17,1.15,1.12,1.05,0.95,0.8,0.6,0.4,0.3)))</f>
        <v>1.23</v>
      </c>
      <c r="T974" s="5" t="n">
        <f aca="false">CHOOSE(N974+1,1.2,1,0.85,0.7)</f>
        <v>0.85</v>
      </c>
      <c r="U974" s="5" t="n">
        <f aca="false">IF(F974="PO",0.6,
IF(F974="CT",0.75,
IF(F974="LI",0.8,
IF(F974="LD",0.8,
IF(F974="MCD",0.85,
IF(F974="MC",0.95,
IF(F974="MO",1.05,
IF(F974="EI",1.1,
IF(F974="ED",1.1,
IF(F974="SD",1.15,
IF(F974="DC",1.2,0)))))))))))</f>
        <v>0.6</v>
      </c>
    </row>
    <row r="975" customFormat="false" ht="16.4" hidden="false" customHeight="false" outlineLevel="0" collapsed="false">
      <c r="A975" s="1" t="n">
        <v>974</v>
      </c>
      <c r="B975" s="5" t="str">
        <f aca="false">[1]Base_Jugadores!B975</f>
        <v>Archie Gray</v>
      </c>
      <c r="C975" s="5" t="str">
        <f aca="false">IFERROR(
   _xlfn.XLOOKUP(VALUE(A975),[1]Fichajes_Realizados!A$2:A$50000,[1]Fichajes_Realizados!D$2:D$50000,,0,-1),
   _xlfn.XLOOKUP(VALUE(A975),[1]Base_Jugadores!A$2:A$50000,[1]Base_Jugadores!C$2:C$50000)
)</f>
        <v>Tottenham Hotspur</v>
      </c>
      <c r="D975" s="5" t="str">
        <f aca="false">[1]Base_Jugadores!D975</f>
        <v>Inglaterra</v>
      </c>
      <c r="E975" s="3"/>
      <c r="F975" s="5" t="str">
        <f aca="false">[1]Base_Jugadores!E975</f>
        <v>MC</v>
      </c>
      <c r="G975" s="5" t="n">
        <f aca="false">[1]Base_Jugadores!F975</f>
        <v>74</v>
      </c>
      <c r="H975" s="5" t="n">
        <f aca="false">[1]Base_Jugadores!G975</f>
        <v>19</v>
      </c>
      <c r="I975" s="7" t="n">
        <f aca="false" t="array" ref="I975:I975">_xlfn.XLOOKUP(G975,{55;56;57;58;59;60;61;62;63;64;65;66;67;68;69;70;71;72;73;74;75;76;77;78;79;80;81;82;83;84;85;86;87;88;89;90;91;92;93;94;95;96;97;98;99},{100000;130000;160000;190000;220000;250000;300000;350000;400000;450000;500000;600000;700000;800000;900000;1000000;1500000;2000000;3000000;4000000;5000000;6500000;8000000;10000000;12500000;15000000;20000000;25000000;30000000;35000000;40000000;55000000;70000000;80000000;90000000;110000000;130000000;160000000;190000000;220000000;250000000;280000000;310000000;340000000;400000000})</f>
        <v>4000000</v>
      </c>
      <c r="J975" s="7" t="n">
        <f aca="false">I975*S975*T975*U975</f>
        <v>4457400</v>
      </c>
      <c r="K975" s="3"/>
      <c r="L975" s="3"/>
      <c r="M975" s="3"/>
      <c r="N975" s="9" t="n">
        <v>2</v>
      </c>
      <c r="O975" s="4" t="n">
        <v>0</v>
      </c>
      <c r="P975" s="5" t="n">
        <f aca="false">IF(COUNTIF([1]Base_Jugadores!J$2:J$500,B975)&gt;0,1,0)</f>
        <v>0</v>
      </c>
      <c r="Q975" s="10" t="b">
        <f aca="false">--(COUNTIFS(
   [1]Fichajes_Realizados!A$2:A$5000,A975,
   [1]Fichajes_Realizados!G$2:G$5000,$X$3
)&gt;0)</f>
        <v>0</v>
      </c>
      <c r="R975" s="5" t="n">
        <f aca="false">_xlfn.XLOOKUP(C975, [1]Estado_Equipos!A$2:A$500, [1]Estado_Equipos!J$2:J$500, "")</f>
        <v>78</v>
      </c>
      <c r="S975" s="5" t="n">
        <f aca="false">IF(H975&lt;=16,1.45,
IF(H975&gt;=41,0.3,
CHOOSE(ROUNDDOWN((H975-16)/2,0)+1,
1.45,1.38,1.3,1.23,1.17,1.15,1.12,1.05,0.95,0.8,0.6,0.4,0.3)))</f>
        <v>1.38</v>
      </c>
      <c r="T975" s="5" t="n">
        <f aca="false">CHOOSE(N975+1,1.2,1,0.85,0.7)</f>
        <v>0.85</v>
      </c>
      <c r="U975" s="5" t="n">
        <f aca="false">IF(F975="PO",0.6,
IF(F975="CT",0.75,
IF(F975="LI",0.8,
IF(F975="LD",0.8,
IF(F975="MCD",0.85,
IF(F975="MC",0.95,
IF(F975="MO",1.05,
IF(F975="EI",1.1,
IF(F975="ED",1.1,
IF(F975="SD",1.15,
IF(F975="DC",1.2,0)))))))))))</f>
        <v>0.95</v>
      </c>
    </row>
    <row r="976" customFormat="false" ht="16.4" hidden="false" customHeight="false" outlineLevel="0" collapsed="false">
      <c r="A976" s="1" t="n">
        <v>975</v>
      </c>
      <c r="B976" s="5" t="str">
        <f aca="false">[1]Base_Jugadores!B976</f>
        <v>Ben Davies</v>
      </c>
      <c r="C976" s="5" t="str">
        <f aca="false">IFERROR(
   _xlfn.XLOOKUP(VALUE(A976),[1]Fichajes_Realizados!A$2:A$50000,[1]Fichajes_Realizados!D$2:D$50000,,0,-1),
   _xlfn.XLOOKUP(VALUE(A976),[1]Base_Jugadores!A$2:A$50000,[1]Base_Jugadores!C$2:C$50000)
)</f>
        <v>Tottenham Hotspur</v>
      </c>
      <c r="D976" s="5" t="str">
        <f aca="false">[1]Base_Jugadores!D976</f>
        <v>Gales</v>
      </c>
      <c r="E976" s="3"/>
      <c r="F976" s="5" t="str">
        <f aca="false">[1]Base_Jugadores!E976</f>
        <v>CT</v>
      </c>
      <c r="G976" s="5" t="n">
        <f aca="false">[1]Base_Jugadores!F976</f>
        <v>73</v>
      </c>
      <c r="H976" s="5" t="n">
        <f aca="false">[1]Base_Jugadores!G976</f>
        <v>32</v>
      </c>
      <c r="I976" s="7" t="n">
        <f aca="false" t="array" ref="I976:I976">_xlfn.XLOOKUP(G976,{55;56;57;58;59;60;61;62;63;64;65;66;67;68;69;70;71;72;73;74;75;76;77;78;79;80;81;82;83;84;85;86;87;88;89;90;91;92;93;94;95;96;97;98;99},{100000;130000;160000;190000;220000;250000;300000;350000;400000;450000;500000;600000;700000;800000;900000;1000000;1500000;2000000;3000000;4000000;5000000;6500000;8000000;10000000;12500000;15000000;20000000;25000000;30000000;35000000;40000000;55000000;70000000;80000000;90000000;110000000;130000000;160000000;190000000;220000000;250000000;280000000;310000000;340000000;400000000})</f>
        <v>3000000</v>
      </c>
      <c r="J976" s="7" t="n">
        <f aca="false">I976*S976*T976*U976</f>
        <v>1816875</v>
      </c>
      <c r="K976" s="3"/>
      <c r="L976" s="3"/>
      <c r="M976" s="3"/>
      <c r="N976" s="9" t="n">
        <v>2</v>
      </c>
      <c r="O976" s="4" t="n">
        <v>0</v>
      </c>
      <c r="P976" s="5" t="n">
        <f aca="false">IF(COUNTIF([1]Base_Jugadores!J$2:J$500,B976)&gt;0,1,0)</f>
        <v>0</v>
      </c>
      <c r="Q976" s="10" t="b">
        <f aca="false">--(COUNTIFS(
   [1]Fichajes_Realizados!A$2:A$5000,A976,
   [1]Fichajes_Realizados!G$2:G$5000,$X$3
)&gt;0)</f>
        <v>0</v>
      </c>
      <c r="R976" s="5" t="n">
        <f aca="false">_xlfn.XLOOKUP(C976, [1]Estado_Equipos!A$2:A$500, [1]Estado_Equipos!J$2:J$500, "")</f>
        <v>78</v>
      </c>
      <c r="S976" s="5" t="n">
        <f aca="false">IF(H976&lt;=16,1.45,
IF(H976&gt;=41,0.3,
CHOOSE(ROUNDDOWN((H976-16)/2,0)+1,
1.45,1.38,1.3,1.23,1.17,1.15,1.12,1.05,0.95,0.8,0.6,0.4,0.3)))</f>
        <v>0.95</v>
      </c>
      <c r="T976" s="5" t="n">
        <f aca="false">CHOOSE(N976+1,1.2,1,0.85,0.7)</f>
        <v>0.85</v>
      </c>
      <c r="U976" s="5" t="n">
        <f aca="false">IF(F976="PO",0.6,
IF(F976="CT",0.75,
IF(F976="LI",0.8,
IF(F976="LD",0.8,
IF(F976="MCD",0.85,
IF(F976="MC",0.95,
IF(F976="MO",1.05,
IF(F976="EI",1.1,
IF(F976="ED",1.1,
IF(F976="SD",1.15,
IF(F976="DC",1.2,0)))))))))))</f>
        <v>0.75</v>
      </c>
    </row>
    <row r="977" customFormat="false" ht="16.4" hidden="false" customHeight="false" outlineLevel="0" collapsed="false">
      <c r="A977" s="1" t="n">
        <v>976</v>
      </c>
      <c r="B977" s="5" t="str">
        <f aca="false">[1]Base_Jugadores!B977</f>
        <v>Brandon Austin</v>
      </c>
      <c r="C977" s="5" t="str">
        <f aca="false">IFERROR(
   _xlfn.XLOOKUP(VALUE(A977),[1]Fichajes_Realizados!A$2:A$50000,[1]Fichajes_Realizados!D$2:D$50000,,0,-1),
   _xlfn.XLOOKUP(VALUE(A977),[1]Base_Jugadores!A$2:A$50000,[1]Base_Jugadores!C$2:C$50000)
)</f>
        <v>Tottenham Hotspur</v>
      </c>
      <c r="D977" s="5" t="str">
        <f aca="false">[1]Base_Jugadores!D977</f>
        <v>Inglaterra</v>
      </c>
      <c r="E977" s="3"/>
      <c r="F977" s="5" t="str">
        <f aca="false">[1]Base_Jugadores!E977</f>
        <v>PO</v>
      </c>
      <c r="G977" s="5" t="n">
        <f aca="false">[1]Base_Jugadores!F977</f>
        <v>65</v>
      </c>
      <c r="H977" s="5" t="n">
        <f aca="false">[1]Base_Jugadores!G977</f>
        <v>26</v>
      </c>
      <c r="I977" s="7" t="n">
        <f aca="false" t="array" ref="I977:I977">_xlfn.XLOOKUP(G977,{55;56;57;58;59;60;61;62;63;64;65;66;67;68;69;70;71;72;73;74;75;76;77;78;79;80;81;82;83;84;85;86;87;88;89;90;91;92;93;94;95;96;97;98;99},{100000;130000;160000;190000;220000;250000;300000;350000;400000;450000;500000;600000;700000;800000;900000;1000000;1500000;2000000;3000000;4000000;5000000;6500000;8000000;10000000;12500000;15000000;20000000;25000000;30000000;35000000;40000000;55000000;70000000;80000000;90000000;110000000;130000000;160000000;190000000;220000000;250000000;280000000;310000000;340000000;400000000})</f>
        <v>500000</v>
      </c>
      <c r="J977" s="7" t="n">
        <f aca="false">I977*S977*T977*U977</f>
        <v>241500</v>
      </c>
      <c r="K977" s="3"/>
      <c r="L977" s="3"/>
      <c r="M977" s="3"/>
      <c r="N977" s="9" t="n">
        <v>3</v>
      </c>
      <c r="O977" s="4" t="n">
        <v>0</v>
      </c>
      <c r="P977" s="5" t="n">
        <f aca="false">IF(COUNTIF([1]Base_Jugadores!J$2:J$500,B977)&gt;0,1,0)</f>
        <v>0</v>
      </c>
      <c r="Q977" s="10" t="b">
        <f aca="false">--(COUNTIFS(
   [1]Fichajes_Realizados!A$2:A$5000,A977,
   [1]Fichajes_Realizados!G$2:G$5000,$X$3
)&gt;0)</f>
        <v>0</v>
      </c>
      <c r="R977" s="5" t="n">
        <f aca="false">_xlfn.XLOOKUP(C977, [1]Estado_Equipos!A$2:A$500, [1]Estado_Equipos!J$2:J$500, "")</f>
        <v>78</v>
      </c>
      <c r="S977" s="5" t="n">
        <f aca="false">IF(H977&lt;=16,1.45,
IF(H977&gt;=41,0.3,
CHOOSE(ROUNDDOWN((H977-16)/2,0)+1,
1.45,1.38,1.3,1.23,1.17,1.15,1.12,1.05,0.95,0.8,0.6,0.4,0.3)))</f>
        <v>1.15</v>
      </c>
      <c r="T977" s="5" t="n">
        <f aca="false">CHOOSE(N977+1,1.2,1,0.85,0.7)</f>
        <v>0.7</v>
      </c>
      <c r="U977" s="5" t="n">
        <f aca="false">IF(F977="PO",0.6,
IF(F977="CT",0.75,
IF(F977="LI",0.8,
IF(F977="LD",0.8,
IF(F977="MCD",0.85,
IF(F977="MC",0.95,
IF(F977="MO",1.05,
IF(F977="EI",1.1,
IF(F977="ED",1.1,
IF(F977="SD",1.15,
IF(F977="DC",1.2,0)))))))))))</f>
        <v>0.6</v>
      </c>
    </row>
    <row r="978" customFormat="false" ht="16.4" hidden="false" customHeight="false" outlineLevel="0" collapsed="false">
      <c r="A978" s="1" t="n">
        <v>977</v>
      </c>
      <c r="B978" s="5" t="str">
        <f aca="false">[1]Base_Jugadores!B978</f>
        <v>Brennan Johnson</v>
      </c>
      <c r="C978" s="5" t="str">
        <f aca="false">IFERROR(
   _xlfn.XLOOKUP(VALUE(A978),[1]Fichajes_Realizados!A$2:A$50000,[1]Fichajes_Realizados!D$2:D$50000,,0,-1),
   _xlfn.XLOOKUP(VALUE(A978),[1]Base_Jugadores!A$2:A$50000,[1]Base_Jugadores!C$2:C$50000)
)</f>
        <v>Tottenham Hotspur</v>
      </c>
      <c r="D978" s="5" t="str">
        <f aca="false">[1]Base_Jugadores!D978</f>
        <v>Gales</v>
      </c>
      <c r="E978" s="3"/>
      <c r="F978" s="5" t="str">
        <f aca="false">[1]Base_Jugadores!E978</f>
        <v>ED</v>
      </c>
      <c r="G978" s="5" t="n">
        <f aca="false">[1]Base_Jugadores!F978</f>
        <v>79</v>
      </c>
      <c r="H978" s="5" t="n">
        <f aca="false">[1]Base_Jugadores!G978</f>
        <v>24</v>
      </c>
      <c r="I978" s="7" t="n">
        <f aca="false" t="array" ref="I978:I978">_xlfn.XLOOKUP(G978,{55;56;57;58;59;60;61;62;63;64;65;66;67;68;69;70;71;72;73;74;75;76;77;78;79;80;81;82;83;84;85;86;87;88;89;90;91;92;93;94;95;96;97;98;99},{100000;130000;160000;190000;220000;250000;300000;350000;400000;450000;500000;600000;700000;800000;900000;1000000;1500000;2000000;3000000;4000000;5000000;6500000;8000000;10000000;12500000;15000000;20000000;25000000;30000000;35000000;40000000;55000000;70000000;80000000;90000000;110000000;130000000;160000000;190000000;220000000;250000000;280000000;310000000;340000000;400000000})</f>
        <v>12500000</v>
      </c>
      <c r="J978" s="7" t="n">
        <f aca="false">I978*S978*T978*U978</f>
        <v>11261250</v>
      </c>
      <c r="K978" s="3"/>
      <c r="L978" s="3"/>
      <c r="M978" s="3"/>
      <c r="N978" s="9" t="n">
        <v>3</v>
      </c>
      <c r="O978" s="4" t="n">
        <v>0</v>
      </c>
      <c r="P978" s="5" t="n">
        <f aca="false">IF(COUNTIF([1]Base_Jugadores!J$2:J$500,B978)&gt;0,1,0)</f>
        <v>0</v>
      </c>
      <c r="Q978" s="10" t="b">
        <f aca="false">--(COUNTIFS(
   [1]Fichajes_Realizados!A$2:A$5000,A978,
   [1]Fichajes_Realizados!G$2:G$5000,$X$3
)&gt;0)</f>
        <v>0</v>
      </c>
      <c r="R978" s="5" t="n">
        <f aca="false">_xlfn.XLOOKUP(C978, [1]Estado_Equipos!A$2:A$500, [1]Estado_Equipos!J$2:J$500, "")</f>
        <v>78</v>
      </c>
      <c r="S978" s="5" t="n">
        <f aca="false">IF(H978&lt;=16,1.45,
IF(H978&gt;=41,0.3,
CHOOSE(ROUNDDOWN((H978-16)/2,0)+1,
1.45,1.38,1.3,1.23,1.17,1.15,1.12,1.05,0.95,0.8,0.6,0.4,0.3)))</f>
        <v>1.17</v>
      </c>
      <c r="T978" s="5" t="n">
        <f aca="false">CHOOSE(N978+1,1.2,1,0.85,0.7)</f>
        <v>0.7</v>
      </c>
      <c r="U978" s="5" t="n">
        <f aca="false">IF(F978="PO",0.6,
IF(F978="CT",0.75,
IF(F978="LI",0.8,
IF(F978="LD",0.8,
IF(F978="MCD",0.85,
IF(F978="MC",0.95,
IF(F978="MO",1.05,
IF(F978="EI",1.1,
IF(F978="ED",1.1,
IF(F978="SD",1.15,
IF(F978="DC",1.2,0)))))))))))</f>
        <v>1.1</v>
      </c>
    </row>
    <row r="979" customFormat="false" ht="16.4" hidden="false" customHeight="false" outlineLevel="0" collapsed="false">
      <c r="A979" s="1" t="n">
        <v>978</v>
      </c>
      <c r="B979" s="5" t="str">
        <f aca="false">[1]Base_Jugadores!B979</f>
        <v>Callum Olusesi</v>
      </c>
      <c r="C979" s="5" t="str">
        <f aca="false">IFERROR(
   _xlfn.XLOOKUP(VALUE(A979),[1]Fichajes_Realizados!A$2:A$50000,[1]Fichajes_Realizados!D$2:D$50000,,0,-1),
   _xlfn.XLOOKUP(VALUE(A979),[1]Base_Jugadores!A$2:A$50000,[1]Base_Jugadores!C$2:C$50000)
)</f>
        <v>Tottenham Hotspur</v>
      </c>
      <c r="D979" s="5" t="str">
        <f aca="false">[1]Base_Jugadores!D979</f>
        <v>Inglaterra</v>
      </c>
      <c r="E979" s="3"/>
      <c r="F979" s="5" t="str">
        <f aca="false">[1]Base_Jugadores!E979</f>
        <v>MC</v>
      </c>
      <c r="G979" s="5" t="n">
        <f aca="false">[1]Base_Jugadores!F979</f>
        <v>62</v>
      </c>
      <c r="H979" s="5" t="n">
        <f aca="false">[1]Base_Jugadores!G979</f>
        <v>18</v>
      </c>
      <c r="I979" s="7" t="n">
        <f aca="false" t="array" ref="I979:I979">_xlfn.XLOOKUP(G979,{55;56;57;58;59;60;61;62;63;64;65;66;67;68;69;70;71;72;73;74;75;76;77;78;79;80;81;82;83;84;85;86;87;88;89;90;91;92;93;94;95;96;97;98;99},{100000;130000;160000;190000;220000;250000;300000;350000;400000;450000;500000;600000;700000;800000;900000;1000000;1500000;2000000;3000000;4000000;5000000;6500000;8000000;10000000;12500000;15000000;20000000;25000000;30000000;35000000;40000000;55000000;70000000;80000000;90000000;110000000;130000000;160000000;190000000;220000000;250000000;280000000;310000000;340000000;400000000})</f>
        <v>350000</v>
      </c>
      <c r="J979" s="7" t="n">
        <f aca="false">I979*S979*T979*U979</f>
        <v>390022.5</v>
      </c>
      <c r="K979" s="3"/>
      <c r="L979" s="3"/>
      <c r="M979" s="3"/>
      <c r="N979" s="9" t="n">
        <v>2</v>
      </c>
      <c r="O979" s="4" t="n">
        <v>0</v>
      </c>
      <c r="P979" s="5" t="n">
        <f aca="false">IF(COUNTIF([1]Base_Jugadores!J$2:J$500,B979)&gt;0,1,0)</f>
        <v>0</v>
      </c>
      <c r="Q979" s="10" t="b">
        <f aca="false">--(COUNTIFS(
   [1]Fichajes_Realizados!A$2:A$5000,A979,
   [1]Fichajes_Realizados!G$2:G$5000,$X$3
)&gt;0)</f>
        <v>0</v>
      </c>
      <c r="R979" s="5" t="n">
        <f aca="false">_xlfn.XLOOKUP(C979, [1]Estado_Equipos!A$2:A$500, [1]Estado_Equipos!J$2:J$500, "")</f>
        <v>78</v>
      </c>
      <c r="S979" s="5" t="n">
        <f aca="false">IF(H979&lt;=16,1.45,
IF(H979&gt;=41,0.3,
CHOOSE(ROUNDDOWN((H979-16)/2,0)+1,
1.45,1.38,1.3,1.23,1.17,1.15,1.12,1.05,0.95,0.8,0.6,0.4,0.3)))</f>
        <v>1.38</v>
      </c>
      <c r="T979" s="5" t="n">
        <f aca="false">CHOOSE(N979+1,1.2,1,0.85,0.7)</f>
        <v>0.85</v>
      </c>
      <c r="U979" s="5" t="n">
        <f aca="false">IF(F979="PO",0.6,
IF(F979="CT",0.75,
IF(F979="LI",0.8,
IF(F979="LD",0.8,
IF(F979="MCD",0.85,
IF(F979="MC",0.95,
IF(F979="MO",1.05,
IF(F979="EI",1.1,
IF(F979="ED",1.1,
IF(F979="SD",1.15,
IF(F979="DC",1.2,0)))))))))))</f>
        <v>0.95</v>
      </c>
    </row>
    <row r="980" customFormat="false" ht="16.4" hidden="false" customHeight="false" outlineLevel="0" collapsed="false">
      <c r="A980" s="1" t="n">
        <v>979</v>
      </c>
      <c r="B980" s="5" t="str">
        <f aca="false">[1]Base_Jugadores!B980</f>
        <v>Cristian Romero</v>
      </c>
      <c r="C980" s="5" t="str">
        <f aca="false">IFERROR(
   _xlfn.XLOOKUP(VALUE(A980),[1]Fichajes_Realizados!A$2:A$50000,[1]Fichajes_Realizados!D$2:D$50000,,0,-1),
   _xlfn.XLOOKUP(VALUE(A980),[1]Base_Jugadores!A$2:A$50000,[1]Base_Jugadores!C$2:C$50000)
)</f>
        <v>Tottenham Hotspur</v>
      </c>
      <c r="D980" s="5" t="str">
        <f aca="false">[1]Base_Jugadores!D980</f>
        <v>Argentina</v>
      </c>
      <c r="E980" s="3"/>
      <c r="F980" s="5" t="str">
        <f aca="false">[1]Base_Jugadores!E980</f>
        <v>CT</v>
      </c>
      <c r="G980" s="5" t="n">
        <f aca="false">[1]Base_Jugadores!F980</f>
        <v>84</v>
      </c>
      <c r="H980" s="5" t="n">
        <f aca="false">[1]Base_Jugadores!G980</f>
        <v>27</v>
      </c>
      <c r="I980" s="7" t="n">
        <f aca="false" t="array" ref="I980:I980">_xlfn.XLOOKUP(G980,{55;56;57;58;59;60;61;62;63;64;65;66;67;68;69;70;71;72;73;74;75;76;77;78;79;80;81;82;83;84;85;86;87;88;89;90;91;92;93;94;95;96;97;98;99},{100000;130000;160000;190000;220000;250000;300000;350000;400000;450000;500000;600000;700000;800000;900000;1000000;1500000;2000000;3000000;4000000;5000000;6500000;8000000;10000000;12500000;15000000;20000000;25000000;30000000;35000000;40000000;55000000;70000000;80000000;90000000;110000000;130000000;160000000;190000000;220000000;250000000;280000000;310000000;340000000;400000000})</f>
        <v>35000000</v>
      </c>
      <c r="J980" s="7" t="n">
        <f aca="false">I980*S980*T980*U980</f>
        <v>36225000</v>
      </c>
      <c r="K980" s="3"/>
      <c r="L980" s="3"/>
      <c r="M980" s="3"/>
      <c r="N980" s="9" t="n">
        <v>0</v>
      </c>
      <c r="O980" s="4" t="n">
        <v>0</v>
      </c>
      <c r="P980" s="5" t="n">
        <f aca="false">IF(COUNTIF([1]Base_Jugadores!J$2:J$500,B980)&gt;0,1,0)</f>
        <v>0</v>
      </c>
      <c r="Q980" s="10" t="b">
        <f aca="false">--(COUNTIFS(
   [1]Fichajes_Realizados!A$2:A$5000,A980,
   [1]Fichajes_Realizados!G$2:G$5000,$X$3
)&gt;0)</f>
        <v>0</v>
      </c>
      <c r="R980" s="5" t="n">
        <f aca="false">_xlfn.XLOOKUP(C980, [1]Estado_Equipos!A$2:A$500, [1]Estado_Equipos!J$2:J$500, "")</f>
        <v>78</v>
      </c>
      <c r="S980" s="5" t="n">
        <f aca="false">IF(H980&lt;=16,1.45,
IF(H980&gt;=41,0.3,
CHOOSE(ROUNDDOWN((H980-16)/2,0)+1,
1.45,1.38,1.3,1.23,1.17,1.15,1.12,1.05,0.95,0.8,0.6,0.4,0.3)))</f>
        <v>1.15</v>
      </c>
      <c r="T980" s="5" t="n">
        <f aca="false">CHOOSE(N980+1,1.2,1,0.85,0.7)</f>
        <v>1.2</v>
      </c>
      <c r="U980" s="5" t="n">
        <f aca="false">IF(F980="PO",0.6,
IF(F980="CT",0.75,
IF(F980="LI",0.8,
IF(F980="LD",0.8,
IF(F980="MCD",0.85,
IF(F980="MC",0.95,
IF(F980="MO",1.05,
IF(F980="EI",1.1,
IF(F980="ED",1.1,
IF(F980="SD",1.15,
IF(F980="DC",1.2,0)))))))))))</f>
        <v>0.75</v>
      </c>
    </row>
    <row r="981" customFormat="false" ht="16.4" hidden="false" customHeight="false" outlineLevel="0" collapsed="false">
      <c r="A981" s="1" t="n">
        <v>980</v>
      </c>
      <c r="B981" s="5" t="str">
        <f aca="false">[1]Base_Jugadores!B981</f>
        <v>Dane Scarlett</v>
      </c>
      <c r="C981" s="5" t="str">
        <f aca="false">IFERROR(
   _xlfn.XLOOKUP(VALUE(A981),[1]Fichajes_Realizados!A$2:A$50000,[1]Fichajes_Realizados!D$2:D$50000,,0,-1),
   _xlfn.XLOOKUP(VALUE(A981),[1]Base_Jugadores!A$2:A$50000,[1]Base_Jugadores!C$2:C$50000)
)</f>
        <v>Tottenham Hotspur</v>
      </c>
      <c r="D981" s="5" t="str">
        <f aca="false">[1]Base_Jugadores!D981</f>
        <v>Inglaterra</v>
      </c>
      <c r="E981" s="3"/>
      <c r="F981" s="5" t="str">
        <f aca="false">[1]Base_Jugadores!E981</f>
        <v>DC</v>
      </c>
      <c r="G981" s="5" t="n">
        <f aca="false">[1]Base_Jugadores!F981</f>
        <v>67</v>
      </c>
      <c r="H981" s="5" t="n">
        <f aca="false">[1]Base_Jugadores!G981</f>
        <v>21</v>
      </c>
      <c r="I981" s="7" t="n">
        <f aca="false" t="array" ref="I981:I981">_xlfn.XLOOKUP(G981,{55;56;57;58;59;60;61;62;63;64;65;66;67;68;69;70;71;72;73;74;75;76;77;78;79;80;81;82;83;84;85;86;87;88;89;90;91;92;93;94;95;96;97;98;99},{100000;130000;160000;190000;220000;250000;300000;350000;400000;450000;500000;600000;700000;800000;900000;1000000;1500000;2000000;3000000;4000000;5000000;6500000;8000000;10000000;12500000;15000000;20000000;25000000;30000000;35000000;40000000;55000000;70000000;80000000;90000000;110000000;130000000;160000000;190000000;220000000;250000000;280000000;310000000;340000000;400000000})</f>
        <v>700000</v>
      </c>
      <c r="J981" s="7" t="n">
        <f aca="false">I981*S981*T981*U981</f>
        <v>928200</v>
      </c>
      <c r="K981" s="3"/>
      <c r="L981" s="3"/>
      <c r="M981" s="3"/>
      <c r="N981" s="9" t="n">
        <v>2</v>
      </c>
      <c r="O981" s="4" t="n">
        <v>0</v>
      </c>
      <c r="P981" s="5" t="n">
        <f aca="false">IF(COUNTIF([1]Base_Jugadores!J$2:J$500,B981)&gt;0,1,0)</f>
        <v>0</v>
      </c>
      <c r="Q981" s="10" t="b">
        <f aca="false">--(COUNTIFS(
   [1]Fichajes_Realizados!A$2:A$5000,A981,
   [1]Fichajes_Realizados!G$2:G$5000,$X$3
)&gt;0)</f>
        <v>0</v>
      </c>
      <c r="R981" s="5" t="n">
        <f aca="false">_xlfn.XLOOKUP(C981, [1]Estado_Equipos!A$2:A$500, [1]Estado_Equipos!J$2:J$500, "")</f>
        <v>78</v>
      </c>
      <c r="S981" s="5" t="n">
        <f aca="false">IF(H981&lt;=16,1.45,
IF(H981&gt;=41,0.3,
CHOOSE(ROUNDDOWN((H981-16)/2,0)+1,
1.45,1.38,1.3,1.23,1.17,1.15,1.12,1.05,0.95,0.8,0.6,0.4,0.3)))</f>
        <v>1.3</v>
      </c>
      <c r="T981" s="5" t="n">
        <f aca="false">CHOOSE(N981+1,1.2,1,0.85,0.7)</f>
        <v>0.85</v>
      </c>
      <c r="U981" s="5" t="n">
        <f aca="false">IF(F981="PO",0.6,
IF(F981="CT",0.75,
IF(F981="LI",0.8,
IF(F981="LD",0.8,
IF(F981="MCD",0.85,
IF(F981="MC",0.95,
IF(F981="MO",1.05,
IF(F981="EI",1.1,
IF(F981="ED",1.1,
IF(F981="SD",1.15,
IF(F981="DC",1.2,0)))))))))))</f>
        <v>1.2</v>
      </c>
    </row>
    <row r="982" customFormat="false" ht="16.4" hidden="false" customHeight="false" outlineLevel="0" collapsed="false">
      <c r="A982" s="1" t="n">
        <v>981</v>
      </c>
      <c r="B982" s="5" t="str">
        <f aca="false">[1]Base_Jugadores!B982</f>
        <v>Dejan Kulusevski</v>
      </c>
      <c r="C982" s="5" t="str">
        <f aca="false">IFERROR(
   _xlfn.XLOOKUP(VALUE(A982),[1]Fichajes_Realizados!A$2:A$50000,[1]Fichajes_Realizados!D$2:D$50000,,0,-1),
   _xlfn.XLOOKUP(VALUE(A982),[1]Base_Jugadores!A$2:A$50000,[1]Base_Jugadores!C$2:C$50000)
)</f>
        <v>Tottenham Hotspur</v>
      </c>
      <c r="D982" s="5" t="str">
        <f aca="false">[1]Base_Jugadores!D982</f>
        <v>Suecia</v>
      </c>
      <c r="E982" s="3"/>
      <c r="F982" s="5" t="str">
        <f aca="false">[1]Base_Jugadores!E982</f>
        <v>MO</v>
      </c>
      <c r="G982" s="5" t="n">
        <f aca="false">[1]Base_Jugadores!F982</f>
        <v>81</v>
      </c>
      <c r="H982" s="5" t="n">
        <f aca="false">[1]Base_Jugadores!G982</f>
        <v>25</v>
      </c>
      <c r="I982" s="7" t="n">
        <f aca="false" t="array" ref="I982:I982">_xlfn.XLOOKUP(G982,{55;56;57;58;59;60;61;62;63;64;65;66;67;68;69;70;71;72;73;74;75;76;77;78;79;80;81;82;83;84;85;86;87;88;89;90;91;92;93;94;95;96;97;98;99},{100000;130000;160000;190000;220000;250000;300000;350000;400000;450000;500000;600000;700000;800000;900000;1000000;1500000;2000000;3000000;4000000;5000000;6500000;8000000;10000000;12500000;15000000;20000000;25000000;30000000;35000000;40000000;55000000;70000000;80000000;90000000;110000000;130000000;160000000;190000000;220000000;250000000;280000000;310000000;340000000;400000000})</f>
        <v>20000000</v>
      </c>
      <c r="J982" s="7" t="n">
        <f aca="false">I982*S982*T982*U982</f>
        <v>24570000</v>
      </c>
      <c r="K982" s="3"/>
      <c r="L982" s="3"/>
      <c r="M982" s="3"/>
      <c r="N982" s="9" t="n">
        <v>1</v>
      </c>
      <c r="O982" s="4" t="n">
        <v>0</v>
      </c>
      <c r="P982" s="5" t="n">
        <f aca="false">IF(COUNTIF([1]Base_Jugadores!J$2:J$500,B982)&gt;0,1,0)</f>
        <v>0</v>
      </c>
      <c r="Q982" s="10" t="b">
        <f aca="false">--(COUNTIFS(
   [1]Fichajes_Realizados!A$2:A$5000,A982,
   [1]Fichajes_Realizados!G$2:G$5000,$X$3
)&gt;0)</f>
        <v>0</v>
      </c>
      <c r="R982" s="5" t="n">
        <f aca="false">_xlfn.XLOOKUP(C982, [1]Estado_Equipos!A$2:A$500, [1]Estado_Equipos!J$2:J$500, "")</f>
        <v>78</v>
      </c>
      <c r="S982" s="5" t="n">
        <f aca="false">IF(H982&lt;=16,1.45,
IF(H982&gt;=41,0.3,
CHOOSE(ROUNDDOWN((H982-16)/2,0)+1,
1.45,1.38,1.3,1.23,1.17,1.15,1.12,1.05,0.95,0.8,0.6,0.4,0.3)))</f>
        <v>1.17</v>
      </c>
      <c r="T982" s="5" t="n">
        <f aca="false">CHOOSE(N982+1,1.2,1,0.85,0.7)</f>
        <v>1</v>
      </c>
      <c r="U982" s="5" t="n">
        <f aca="false">IF(F982="PO",0.6,
IF(F982="CT",0.75,
IF(F982="LI",0.8,
IF(F982="LD",0.8,
IF(F982="MCD",0.85,
IF(F982="MC",0.95,
IF(F982="MO",1.05,
IF(F982="EI",1.1,
IF(F982="ED",1.1,
IF(F982="SD",1.15,
IF(F982="DC",1.2,0)))))))))))</f>
        <v>1.05</v>
      </c>
    </row>
    <row r="983" customFormat="false" ht="16.4" hidden="false" customHeight="false" outlineLevel="0" collapsed="false">
      <c r="A983" s="1" t="n">
        <v>982</v>
      </c>
      <c r="B983" s="5" t="str">
        <f aca="false">[1]Base_Jugadores!B983</f>
        <v>Destiny Udogie</v>
      </c>
      <c r="C983" s="5" t="str">
        <f aca="false">IFERROR(
   _xlfn.XLOOKUP(VALUE(A983),[1]Fichajes_Realizados!A$2:A$50000,[1]Fichajes_Realizados!D$2:D$50000,,0,-1),
   _xlfn.XLOOKUP(VALUE(A983),[1]Base_Jugadores!A$2:A$50000,[1]Base_Jugadores!C$2:C$50000)
)</f>
        <v>Tottenham Hotspur</v>
      </c>
      <c r="D983" s="5" t="str">
        <f aca="false">[1]Base_Jugadores!D983</f>
        <v>Italia</v>
      </c>
      <c r="E983" s="3"/>
      <c r="F983" s="5" t="str">
        <f aca="false">[1]Base_Jugadores!E983</f>
        <v>LI</v>
      </c>
      <c r="G983" s="5" t="n">
        <f aca="false">[1]Base_Jugadores!F983</f>
        <v>82</v>
      </c>
      <c r="H983" s="5" t="n">
        <f aca="false">[1]Base_Jugadores!G983</f>
        <v>23</v>
      </c>
      <c r="I983" s="7" t="n">
        <f aca="false" t="array" ref="I983:I983">_xlfn.XLOOKUP(G983,{55;56;57;58;59;60;61;62;63;64;65;66;67;68;69;70;71;72;73;74;75;76;77;78;79;80;81;82;83;84;85;86;87;88;89;90;91;92;93;94;95;96;97;98;99},{100000;130000;160000;190000;220000;250000;300000;350000;400000;450000;500000;600000;700000;800000;900000;1000000;1500000;2000000;3000000;4000000;5000000;6500000;8000000;10000000;12500000;15000000;20000000;25000000;30000000;35000000;40000000;55000000;70000000;80000000;90000000;110000000;130000000;160000000;190000000;220000000;250000000;280000000;310000000;340000000;400000000})</f>
        <v>25000000</v>
      </c>
      <c r="J983" s="7" t="n">
        <f aca="false">I983*S983*T983*U983</f>
        <v>29520000</v>
      </c>
      <c r="K983" s="3"/>
      <c r="L983" s="3"/>
      <c r="M983" s="3"/>
      <c r="N983" s="9" t="n">
        <v>0</v>
      </c>
      <c r="O983" s="4" t="n">
        <v>0</v>
      </c>
      <c r="P983" s="5" t="n">
        <f aca="false">IF(COUNTIF([1]Base_Jugadores!J$2:J$500,B983)&gt;0,1,0)</f>
        <v>0</v>
      </c>
      <c r="Q983" s="10" t="b">
        <f aca="false">--(COUNTIFS(
   [1]Fichajes_Realizados!A$2:A$5000,A983,
   [1]Fichajes_Realizados!G$2:G$5000,$X$3
)&gt;0)</f>
        <v>0</v>
      </c>
      <c r="R983" s="5" t="n">
        <f aca="false">_xlfn.XLOOKUP(C983, [1]Estado_Equipos!A$2:A$500, [1]Estado_Equipos!J$2:J$500, "")</f>
        <v>78</v>
      </c>
      <c r="S983" s="5" t="n">
        <f aca="false">IF(H983&lt;=16,1.45,
IF(H983&gt;=41,0.3,
CHOOSE(ROUNDDOWN((H983-16)/2,0)+1,
1.45,1.38,1.3,1.23,1.17,1.15,1.12,1.05,0.95,0.8,0.6,0.4,0.3)))</f>
        <v>1.23</v>
      </c>
      <c r="T983" s="5" t="n">
        <f aca="false">CHOOSE(N983+1,1.2,1,0.85,0.7)</f>
        <v>1.2</v>
      </c>
      <c r="U983" s="5" t="n">
        <f aca="false">IF(F983="PO",0.6,
IF(F983="CT",0.75,
IF(F983="LI",0.8,
IF(F983="LD",0.8,
IF(F983="MCD",0.85,
IF(F983="MC",0.95,
IF(F983="MO",1.05,
IF(F983="EI",1.1,
IF(F983="ED",1.1,
IF(F983="SD",1.15,
IF(F983="DC",1.2,0)))))))))))</f>
        <v>0.8</v>
      </c>
    </row>
    <row r="984" customFormat="false" ht="16.4" hidden="false" customHeight="false" outlineLevel="0" collapsed="false">
      <c r="A984" s="1" t="n">
        <v>983</v>
      </c>
      <c r="B984" s="5" t="str">
        <f aca="false">[1]Base_Jugadores!B984</f>
        <v>Djed Spence</v>
      </c>
      <c r="C984" s="5" t="str">
        <f aca="false">IFERROR(
   _xlfn.XLOOKUP(VALUE(A984),[1]Fichajes_Realizados!A$2:A$50000,[1]Fichajes_Realizados!D$2:D$50000,,0,-1),
   _xlfn.XLOOKUP(VALUE(A984),[1]Base_Jugadores!A$2:A$50000,[1]Base_Jugadores!C$2:C$50000)
)</f>
        <v>Tottenham Hotspur</v>
      </c>
      <c r="D984" s="5" t="str">
        <f aca="false">[1]Base_Jugadores!D984</f>
        <v>Inglaterra</v>
      </c>
      <c r="E984" s="3"/>
      <c r="F984" s="5" t="str">
        <f aca="false">[1]Base_Jugadores!E984</f>
        <v>LI</v>
      </c>
      <c r="G984" s="5" t="n">
        <f aca="false">[1]Base_Jugadores!F984</f>
        <v>74</v>
      </c>
      <c r="H984" s="5" t="n">
        <f aca="false">[1]Base_Jugadores!G984</f>
        <v>25</v>
      </c>
      <c r="I984" s="7" t="n">
        <f aca="false" t="array" ref="I984:I984">_xlfn.XLOOKUP(G984,{55;56;57;58;59;60;61;62;63;64;65;66;67;68;69;70;71;72;73;74;75;76;77;78;79;80;81;82;83;84;85;86;87;88;89;90;91;92;93;94;95;96;97;98;99},{100000;130000;160000;190000;220000;250000;300000;350000;400000;450000;500000;600000;700000;800000;900000;1000000;1500000;2000000;3000000;4000000;5000000;6500000;8000000;10000000;12500000;15000000;20000000;25000000;30000000;35000000;40000000;55000000;70000000;80000000;90000000;110000000;130000000;160000000;190000000;220000000;250000000;280000000;310000000;340000000;400000000})</f>
        <v>4000000</v>
      </c>
      <c r="J984" s="7" t="n">
        <f aca="false">I984*S984*T984*U984</f>
        <v>3182400</v>
      </c>
      <c r="K984" s="3"/>
      <c r="L984" s="3"/>
      <c r="M984" s="3"/>
      <c r="N984" s="9" t="n">
        <v>2</v>
      </c>
      <c r="O984" s="4" t="n">
        <v>0</v>
      </c>
      <c r="P984" s="5" t="n">
        <f aca="false">IF(COUNTIF([1]Base_Jugadores!J$2:J$500,B984)&gt;0,1,0)</f>
        <v>0</v>
      </c>
      <c r="Q984" s="10" t="b">
        <f aca="false">--(COUNTIFS(
   [1]Fichajes_Realizados!A$2:A$5000,A984,
   [1]Fichajes_Realizados!G$2:G$5000,$X$3
)&gt;0)</f>
        <v>0</v>
      </c>
      <c r="R984" s="5" t="n">
        <f aca="false">_xlfn.XLOOKUP(C984, [1]Estado_Equipos!A$2:A$500, [1]Estado_Equipos!J$2:J$500, "")</f>
        <v>78</v>
      </c>
      <c r="S984" s="5" t="n">
        <f aca="false">IF(H984&lt;=16,1.45,
IF(H984&gt;=41,0.3,
CHOOSE(ROUNDDOWN((H984-16)/2,0)+1,
1.45,1.38,1.3,1.23,1.17,1.15,1.12,1.05,0.95,0.8,0.6,0.4,0.3)))</f>
        <v>1.17</v>
      </c>
      <c r="T984" s="5" t="n">
        <f aca="false">CHOOSE(N984+1,1.2,1,0.85,0.7)</f>
        <v>0.85</v>
      </c>
      <c r="U984" s="5" t="n">
        <f aca="false">IF(F984="PO",0.6,
IF(F984="CT",0.75,
IF(F984="LI",0.8,
IF(F984="LD",0.8,
IF(F984="MCD",0.85,
IF(F984="MC",0.95,
IF(F984="MO",1.05,
IF(F984="EI",1.1,
IF(F984="ED",1.1,
IF(F984="SD",1.15,
IF(F984="DC",1.2,0)))))))))))</f>
        <v>0.8</v>
      </c>
    </row>
    <row r="985" customFormat="false" ht="16.4" hidden="false" customHeight="false" outlineLevel="0" collapsed="false">
      <c r="A985" s="1" t="n">
        <v>984</v>
      </c>
      <c r="B985" s="5" t="str">
        <f aca="false">[1]Base_Jugadores!B985</f>
        <v>Dominic Solanke</v>
      </c>
      <c r="C985" s="5" t="str">
        <f aca="false">IFERROR(
   _xlfn.XLOOKUP(VALUE(A985),[1]Fichajes_Realizados!A$2:A$50000,[1]Fichajes_Realizados!D$2:D$50000,,0,-1),
   _xlfn.XLOOKUP(VALUE(A985),[1]Base_Jugadores!A$2:A$50000,[1]Base_Jugadores!C$2:C$50000)
)</f>
        <v>Tottenham Hotspur</v>
      </c>
      <c r="D985" s="5" t="str">
        <f aca="false">[1]Base_Jugadores!D985</f>
        <v>Inglaterra</v>
      </c>
      <c r="E985" s="3"/>
      <c r="F985" s="5" t="str">
        <f aca="false">[1]Base_Jugadores!E985</f>
        <v>DC</v>
      </c>
      <c r="G985" s="5" t="n">
        <f aca="false">[1]Base_Jugadores!F985</f>
        <v>81</v>
      </c>
      <c r="H985" s="5" t="n">
        <f aca="false">[1]Base_Jugadores!G985</f>
        <v>28</v>
      </c>
      <c r="I985" s="7" t="n">
        <f aca="false" t="array" ref="I985:I985">_xlfn.XLOOKUP(G985,{55;56;57;58;59;60;61;62;63;64;65;66;67;68;69;70;71;72;73;74;75;76;77;78;79;80;81;82;83;84;85;86;87;88;89;90;91;92;93;94;95;96;97;98;99},{100000;130000;160000;190000;220000;250000;300000;350000;400000;450000;500000;600000;700000;800000;900000;1000000;1500000;2000000;3000000;4000000;5000000;6500000;8000000;10000000;12500000;15000000;20000000;25000000;30000000;35000000;40000000;55000000;70000000;80000000;90000000;110000000;130000000;160000000;190000000;220000000;250000000;280000000;310000000;340000000;400000000})</f>
        <v>20000000</v>
      </c>
      <c r="J985" s="7" t="n">
        <f aca="false">I985*S985*T985*U985</f>
        <v>32256000</v>
      </c>
      <c r="K985" s="3"/>
      <c r="L985" s="3"/>
      <c r="M985" s="3"/>
      <c r="N985" s="9" t="n">
        <v>0</v>
      </c>
      <c r="O985" s="4" t="n">
        <v>0</v>
      </c>
      <c r="P985" s="5" t="n">
        <f aca="false">IF(COUNTIF([1]Base_Jugadores!J$2:J$500,B985)&gt;0,1,0)</f>
        <v>0</v>
      </c>
      <c r="Q985" s="10" t="b">
        <f aca="false">--(COUNTIFS(
   [1]Fichajes_Realizados!A$2:A$5000,A985,
   [1]Fichajes_Realizados!G$2:G$5000,$X$3
)&gt;0)</f>
        <v>0</v>
      </c>
      <c r="R985" s="5" t="n">
        <f aca="false">_xlfn.XLOOKUP(C985, [1]Estado_Equipos!A$2:A$500, [1]Estado_Equipos!J$2:J$500, "")</f>
        <v>78</v>
      </c>
      <c r="S985" s="5" t="n">
        <f aca="false">IF(H985&lt;=16,1.45,
IF(H985&gt;=41,0.3,
CHOOSE(ROUNDDOWN((H985-16)/2,0)+1,
1.45,1.38,1.3,1.23,1.17,1.15,1.12,1.05,0.95,0.8,0.6,0.4,0.3)))</f>
        <v>1.12</v>
      </c>
      <c r="T985" s="5" t="n">
        <f aca="false">CHOOSE(N985+1,1.2,1,0.85,0.7)</f>
        <v>1.2</v>
      </c>
      <c r="U985" s="5" t="n">
        <f aca="false">IF(F985="PO",0.6,
IF(F985="CT",0.75,
IF(F985="LI",0.8,
IF(F985="LD",0.8,
IF(F985="MCD",0.85,
IF(F985="MC",0.95,
IF(F985="MO",1.05,
IF(F985="EI",1.1,
IF(F985="ED",1.1,
IF(F985="SD",1.15,
IF(F985="DC",1.2,0)))))))))))</f>
        <v>1.2</v>
      </c>
    </row>
    <row r="986" customFormat="false" ht="16.4" hidden="false" customHeight="false" outlineLevel="0" collapsed="false">
      <c r="A986" s="1" t="n">
        <v>985</v>
      </c>
      <c r="B986" s="5" t="str">
        <f aca="false">[1]Base_Jugadores!B986</f>
        <v>Guglielmo Vicario</v>
      </c>
      <c r="C986" s="5" t="str">
        <f aca="false">IFERROR(
   _xlfn.XLOOKUP(VALUE(A986),[1]Fichajes_Realizados!A$2:A$50000,[1]Fichajes_Realizados!D$2:D$50000,,0,-1),
   _xlfn.XLOOKUP(VALUE(A986),[1]Base_Jugadores!A$2:A$50000,[1]Base_Jugadores!C$2:C$50000)
)</f>
        <v>Tottenham Hotspur</v>
      </c>
      <c r="D986" s="5" t="str">
        <f aca="false">[1]Base_Jugadores!D986</f>
        <v>Italia</v>
      </c>
      <c r="E986" s="3"/>
      <c r="F986" s="5" t="str">
        <f aca="false">[1]Base_Jugadores!E986</f>
        <v>PO</v>
      </c>
      <c r="G986" s="5" t="n">
        <f aca="false">[1]Base_Jugadores!F986</f>
        <v>84</v>
      </c>
      <c r="H986" s="5" t="n">
        <f aca="false">[1]Base_Jugadores!G986</f>
        <v>29</v>
      </c>
      <c r="I986" s="7" t="n">
        <f aca="false" t="array" ref="I986:I986">_xlfn.XLOOKUP(G986,{55;56;57;58;59;60;61;62;63;64;65;66;67;68;69;70;71;72;73;74;75;76;77;78;79;80;81;82;83;84;85;86;87;88;89;90;91;92;93;94;95;96;97;98;99},{100000;130000;160000;190000;220000;250000;300000;350000;400000;450000;500000;600000;700000;800000;900000;1000000;1500000;2000000;3000000;4000000;5000000;6500000;8000000;10000000;12500000;15000000;20000000;25000000;30000000;35000000;40000000;55000000;70000000;80000000;90000000;110000000;130000000;160000000;190000000;220000000;250000000;280000000;310000000;340000000;400000000})</f>
        <v>35000000</v>
      </c>
      <c r="J986" s="7" t="n">
        <f aca="false">I986*S986*T986*U986</f>
        <v>28224000</v>
      </c>
      <c r="K986" s="3"/>
      <c r="L986" s="3"/>
      <c r="M986" s="3"/>
      <c r="N986" s="9" t="n">
        <v>0</v>
      </c>
      <c r="O986" s="4" t="n">
        <v>0</v>
      </c>
      <c r="P986" s="5" t="n">
        <f aca="false">IF(COUNTIF([1]Base_Jugadores!J$2:J$500,B986)&gt;0,1,0)</f>
        <v>0</v>
      </c>
      <c r="Q986" s="10" t="b">
        <f aca="false">--(COUNTIFS(
   [1]Fichajes_Realizados!A$2:A$5000,A986,
   [1]Fichajes_Realizados!G$2:G$5000,$X$3
)&gt;0)</f>
        <v>0</v>
      </c>
      <c r="R986" s="5" t="n">
        <f aca="false">_xlfn.XLOOKUP(C986, [1]Estado_Equipos!A$2:A$500, [1]Estado_Equipos!J$2:J$500, "")</f>
        <v>78</v>
      </c>
      <c r="S986" s="5" t="n">
        <f aca="false">IF(H986&lt;=16,1.45,
IF(H986&gt;=41,0.3,
CHOOSE(ROUNDDOWN((H986-16)/2,0)+1,
1.45,1.38,1.3,1.23,1.17,1.15,1.12,1.05,0.95,0.8,0.6,0.4,0.3)))</f>
        <v>1.12</v>
      </c>
      <c r="T986" s="5" t="n">
        <f aca="false">CHOOSE(N986+1,1.2,1,0.85,0.7)</f>
        <v>1.2</v>
      </c>
      <c r="U986" s="5" t="n">
        <f aca="false">IF(F986="PO",0.6,
IF(F986="CT",0.75,
IF(F986="LI",0.8,
IF(F986="LD",0.8,
IF(F986="MCD",0.85,
IF(F986="MC",0.95,
IF(F986="MO",1.05,
IF(F986="EI",1.1,
IF(F986="ED",1.1,
IF(F986="SD",1.15,
IF(F986="DC",1.2,0)))))))))))</f>
        <v>0.6</v>
      </c>
    </row>
    <row r="987" customFormat="false" ht="16.4" hidden="false" customHeight="false" outlineLevel="0" collapsed="false">
      <c r="A987" s="1" t="n">
        <v>986</v>
      </c>
      <c r="B987" s="5" t="str">
        <f aca="false">[1]Base_Jugadores!B987</f>
        <v>James Maddison</v>
      </c>
      <c r="C987" s="5" t="str">
        <f aca="false">IFERROR(
   _xlfn.XLOOKUP(VALUE(A987),[1]Fichajes_Realizados!A$2:A$50000,[1]Fichajes_Realizados!D$2:D$50000,,0,-1),
   _xlfn.XLOOKUP(VALUE(A987),[1]Base_Jugadores!A$2:A$50000,[1]Base_Jugadores!C$2:C$50000)
)</f>
        <v>Tottenham Hotspur</v>
      </c>
      <c r="D987" s="5" t="str">
        <f aca="false">[1]Base_Jugadores!D987</f>
        <v>Inglaterra</v>
      </c>
      <c r="E987" s="3"/>
      <c r="F987" s="5" t="str">
        <f aca="false">[1]Base_Jugadores!E987</f>
        <v>MO</v>
      </c>
      <c r="G987" s="5" t="n">
        <f aca="false">[1]Base_Jugadores!F987</f>
        <v>85</v>
      </c>
      <c r="H987" s="5" t="n">
        <f aca="false">[1]Base_Jugadores!G987</f>
        <v>29</v>
      </c>
      <c r="I987" s="7" t="n">
        <f aca="false" t="array" ref="I987:I987">_xlfn.XLOOKUP(G987,{55;56;57;58;59;60;61;62;63;64;65;66;67;68;69;70;71;72;73;74;75;76;77;78;79;80;81;82;83;84;85;86;87;88;89;90;91;92;93;94;95;96;97;98;99},{100000;130000;160000;190000;220000;250000;300000;350000;400000;450000;500000;600000;700000;800000;900000;1000000;1500000;2000000;3000000;4000000;5000000;6500000;8000000;10000000;12500000;15000000;20000000;25000000;30000000;35000000;40000000;55000000;70000000;80000000;90000000;110000000;130000000;160000000;190000000;220000000;250000000;280000000;310000000;340000000;400000000})</f>
        <v>40000000</v>
      </c>
      <c r="J987" s="7" t="n">
        <f aca="false">I987*S987*T987*U987</f>
        <v>56448000</v>
      </c>
      <c r="K987" s="3"/>
      <c r="L987" s="3"/>
      <c r="M987" s="3"/>
      <c r="N987" s="9" t="n">
        <v>0</v>
      </c>
      <c r="O987" s="4" t="n">
        <v>0</v>
      </c>
      <c r="P987" s="5" t="n">
        <f aca="false">IF(COUNTIF([1]Base_Jugadores!J$2:J$500,B987)&gt;0,1,0)</f>
        <v>0</v>
      </c>
      <c r="Q987" s="10" t="b">
        <f aca="false">--(COUNTIFS(
   [1]Fichajes_Realizados!A$2:A$5000,A987,
   [1]Fichajes_Realizados!G$2:G$5000,$X$3
)&gt;0)</f>
        <v>0</v>
      </c>
      <c r="R987" s="5" t="n">
        <f aca="false">_xlfn.XLOOKUP(C987, [1]Estado_Equipos!A$2:A$500, [1]Estado_Equipos!J$2:J$500, "")</f>
        <v>78</v>
      </c>
      <c r="S987" s="5" t="n">
        <f aca="false">IF(H987&lt;=16,1.45,
IF(H987&gt;=41,0.3,
CHOOSE(ROUNDDOWN((H987-16)/2,0)+1,
1.45,1.38,1.3,1.23,1.17,1.15,1.12,1.05,0.95,0.8,0.6,0.4,0.3)))</f>
        <v>1.12</v>
      </c>
      <c r="T987" s="5" t="n">
        <f aca="false">CHOOSE(N987+1,1.2,1,0.85,0.7)</f>
        <v>1.2</v>
      </c>
      <c r="U987" s="5" t="n">
        <f aca="false">IF(F987="PO",0.6,
IF(F987="CT",0.75,
IF(F987="LI",0.8,
IF(F987="LD",0.8,
IF(F987="MCD",0.85,
IF(F987="MC",0.95,
IF(F987="MO",1.05,
IF(F987="EI",1.1,
IF(F987="ED",1.1,
IF(F987="SD",1.15,
IF(F987="DC",1.2,0)))))))))))</f>
        <v>1.05</v>
      </c>
    </row>
    <row r="988" customFormat="false" ht="16.4" hidden="false" customHeight="false" outlineLevel="0" collapsed="false">
      <c r="A988" s="1" t="n">
        <v>987</v>
      </c>
      <c r="B988" s="5" t="str">
        <f aca="false">[1]Base_Jugadores!B988</f>
        <v>João Palhinha</v>
      </c>
      <c r="C988" s="5" t="str">
        <f aca="false">IFERROR(
   _xlfn.XLOOKUP(VALUE(A988),[1]Fichajes_Realizados!A$2:A$50000,[1]Fichajes_Realizados!D$2:D$50000,,0,-1),
   _xlfn.XLOOKUP(VALUE(A988),[1]Base_Jugadores!A$2:A$50000,[1]Base_Jugadores!C$2:C$50000)
)</f>
        <v>Tottenham Hotspur</v>
      </c>
      <c r="D988" s="5" t="str">
        <f aca="false">[1]Base_Jugadores!D988</f>
        <v>Portugal</v>
      </c>
      <c r="E988" s="3"/>
      <c r="F988" s="5" t="str">
        <f aca="false">[1]Base_Jugadores!E988</f>
        <v>MCD</v>
      </c>
      <c r="G988" s="5" t="n">
        <f aca="false">[1]Base_Jugadores!F988</f>
        <v>85</v>
      </c>
      <c r="H988" s="5" t="n">
        <f aca="false">[1]Base_Jugadores!G988</f>
        <v>30</v>
      </c>
      <c r="I988" s="7" t="n">
        <f aca="false" t="array" ref="I988:I988">_xlfn.XLOOKUP(G988,{55;56;57;58;59;60;61;62;63;64;65;66;67;68;69;70;71;72;73;74;75;76;77;78;79;80;81;82;83;84;85;86;87;88;89;90;91;92;93;94;95;96;97;98;99},{100000;130000;160000;190000;220000;250000;300000;350000;400000;450000;500000;600000;700000;800000;900000;1000000;1500000;2000000;3000000;4000000;5000000;6500000;8000000;10000000;12500000;15000000;20000000;25000000;30000000;35000000;40000000;55000000;70000000;80000000;90000000;110000000;130000000;160000000;190000000;220000000;250000000;280000000;310000000;340000000;400000000})</f>
        <v>40000000</v>
      </c>
      <c r="J988" s="7" t="n">
        <f aca="false">I988*S988*T988*U988</f>
        <v>42840000</v>
      </c>
      <c r="K988" s="3"/>
      <c r="L988" s="3"/>
      <c r="M988" s="3"/>
      <c r="N988" s="9" t="n">
        <v>0</v>
      </c>
      <c r="O988" s="4" t="n">
        <v>0</v>
      </c>
      <c r="P988" s="5" t="n">
        <f aca="false">IF(COUNTIF([1]Base_Jugadores!J$2:J$500,B988)&gt;0,1,0)</f>
        <v>0</v>
      </c>
      <c r="Q988" s="10" t="b">
        <f aca="false">--(COUNTIFS(
   [1]Fichajes_Realizados!A$2:A$5000,A988,
   [1]Fichajes_Realizados!G$2:G$5000,$X$3
)&gt;0)</f>
        <v>0</v>
      </c>
      <c r="R988" s="5" t="n">
        <f aca="false">_xlfn.XLOOKUP(C988, [1]Estado_Equipos!A$2:A$500, [1]Estado_Equipos!J$2:J$500, "")</f>
        <v>78</v>
      </c>
      <c r="S988" s="5" t="n">
        <f aca="false">IF(H988&lt;=16,1.45,
IF(H988&gt;=41,0.3,
CHOOSE(ROUNDDOWN((H988-16)/2,0)+1,
1.45,1.38,1.3,1.23,1.17,1.15,1.12,1.05,0.95,0.8,0.6,0.4,0.3)))</f>
        <v>1.05</v>
      </c>
      <c r="T988" s="5" t="n">
        <f aca="false">CHOOSE(N988+1,1.2,1,0.85,0.7)</f>
        <v>1.2</v>
      </c>
      <c r="U988" s="5" t="n">
        <f aca="false">IF(F988="PO",0.6,
IF(F988="CT",0.75,
IF(F988="LI",0.8,
IF(F988="LD",0.8,
IF(F988="MCD",0.85,
IF(F988="MC",0.95,
IF(F988="MO",1.05,
IF(F988="EI",1.1,
IF(F988="ED",1.1,
IF(F988="SD",1.15,
IF(F988="DC",1.2,0)))))))))))</f>
        <v>0.85</v>
      </c>
    </row>
    <row r="989" customFormat="false" ht="16.4" hidden="false" customHeight="false" outlineLevel="0" collapsed="false">
      <c r="A989" s="1" t="n">
        <v>988</v>
      </c>
      <c r="B989" s="5" t="str">
        <f aca="false">[1]Base_Jugadores!B989</f>
        <v>Kevin Danso</v>
      </c>
      <c r="C989" s="5" t="str">
        <f aca="false">IFERROR(
   _xlfn.XLOOKUP(VALUE(A989),[1]Fichajes_Realizados!A$2:A$50000,[1]Fichajes_Realizados!D$2:D$50000,,0,-1),
   _xlfn.XLOOKUP(VALUE(A989),[1]Base_Jugadores!A$2:A$50000,[1]Base_Jugadores!C$2:C$50000)
)</f>
        <v>Tottenham Hotspur</v>
      </c>
      <c r="D989" s="5" t="str">
        <f aca="false">[1]Base_Jugadores!D989</f>
        <v>Austria</v>
      </c>
      <c r="E989" s="3"/>
      <c r="F989" s="5" t="str">
        <f aca="false">[1]Base_Jugadores!E989</f>
        <v>CT</v>
      </c>
      <c r="G989" s="5" t="n">
        <f aca="false">[1]Base_Jugadores!F989</f>
        <v>80</v>
      </c>
      <c r="H989" s="5" t="n">
        <f aca="false">[1]Base_Jugadores!G989</f>
        <v>27</v>
      </c>
      <c r="I989" s="7" t="n">
        <f aca="false" t="array" ref="I989:I989">_xlfn.XLOOKUP(G989,{55;56;57;58;59;60;61;62;63;64;65;66;67;68;69;70;71;72;73;74;75;76;77;78;79;80;81;82;83;84;85;86;87;88;89;90;91;92;93;94;95;96;97;98;99},{100000;130000;160000;190000;220000;250000;300000;350000;400000;450000;500000;600000;700000;800000;900000;1000000;1500000;2000000;3000000;4000000;5000000;6500000;8000000;10000000;12500000;15000000;20000000;25000000;30000000;35000000;40000000;55000000;70000000;80000000;90000000;110000000;130000000;160000000;190000000;220000000;250000000;280000000;310000000;340000000;400000000})</f>
        <v>15000000</v>
      </c>
      <c r="J989" s="7" t="n">
        <f aca="false">I989*S989*T989*U989</f>
        <v>12937500</v>
      </c>
      <c r="K989" s="3"/>
      <c r="L989" s="3"/>
      <c r="M989" s="3"/>
      <c r="N989" s="9" t="n">
        <v>1</v>
      </c>
      <c r="O989" s="4" t="n">
        <v>0</v>
      </c>
      <c r="P989" s="5" t="n">
        <f aca="false">IF(COUNTIF([1]Base_Jugadores!J$2:J$500,B989)&gt;0,1,0)</f>
        <v>0</v>
      </c>
      <c r="Q989" s="10" t="b">
        <f aca="false">--(COUNTIFS(
   [1]Fichajes_Realizados!A$2:A$5000,A989,
   [1]Fichajes_Realizados!G$2:G$5000,$X$3
)&gt;0)</f>
        <v>0</v>
      </c>
      <c r="R989" s="5" t="n">
        <f aca="false">_xlfn.XLOOKUP(C989, [1]Estado_Equipos!A$2:A$500, [1]Estado_Equipos!J$2:J$500, "")</f>
        <v>78</v>
      </c>
      <c r="S989" s="5" t="n">
        <f aca="false">IF(H989&lt;=16,1.45,
IF(H989&gt;=41,0.3,
CHOOSE(ROUNDDOWN((H989-16)/2,0)+1,
1.45,1.38,1.3,1.23,1.17,1.15,1.12,1.05,0.95,0.8,0.6,0.4,0.3)))</f>
        <v>1.15</v>
      </c>
      <c r="T989" s="5" t="n">
        <f aca="false">CHOOSE(N989+1,1.2,1,0.85,0.7)</f>
        <v>1</v>
      </c>
      <c r="U989" s="5" t="n">
        <f aca="false">IF(F989="PO",0.6,
IF(F989="CT",0.75,
IF(F989="LI",0.8,
IF(F989="LD",0.8,
IF(F989="MCD",0.85,
IF(F989="MC",0.95,
IF(F989="MO",1.05,
IF(F989="EI",1.1,
IF(F989="ED",1.1,
IF(F989="SD",1.15,
IF(F989="DC",1.2,0)))))))))))</f>
        <v>0.75</v>
      </c>
    </row>
    <row r="990" customFormat="false" ht="16.4" hidden="false" customHeight="false" outlineLevel="0" collapsed="false">
      <c r="A990" s="1" t="n">
        <v>989</v>
      </c>
      <c r="B990" s="5" t="str">
        <f aca="false">[1]Base_Jugadores!B990</f>
        <v>Kolo Muani</v>
      </c>
      <c r="C990" s="5" t="str">
        <f aca="false">IFERROR(
   _xlfn.XLOOKUP(VALUE(A990),[1]Fichajes_Realizados!A$2:A$50000,[1]Fichajes_Realizados!D$2:D$50000,,0,-1),
   _xlfn.XLOOKUP(VALUE(A990),[1]Base_Jugadores!A$2:A$50000,[1]Base_Jugadores!C$2:C$50000)
)</f>
        <v>Tottenham Hotspur</v>
      </c>
      <c r="D990" s="5" t="str">
        <f aca="false">[1]Base_Jugadores!D990</f>
        <v>Francia</v>
      </c>
      <c r="E990" s="3"/>
      <c r="F990" s="5" t="str">
        <f aca="false">[1]Base_Jugadores!E990</f>
        <v>DC</v>
      </c>
      <c r="G990" s="5" t="n">
        <f aca="false">[1]Base_Jugadores!F990</f>
        <v>82</v>
      </c>
      <c r="H990" s="5" t="n">
        <f aca="false">[1]Base_Jugadores!G990</f>
        <v>27</v>
      </c>
      <c r="I990" s="7" t="n">
        <f aca="false" t="array" ref="I990:I990">_xlfn.XLOOKUP(G990,{55;56;57;58;59;60;61;62;63;64;65;66;67;68;69;70;71;72;73;74;75;76;77;78;79;80;81;82;83;84;85;86;87;88;89;90;91;92;93;94;95;96;97;98;99},{100000;130000;160000;190000;220000;250000;300000;350000;400000;450000;500000;600000;700000;800000;900000;1000000;1500000;2000000;3000000;4000000;5000000;6500000;8000000;10000000;12500000;15000000;20000000;25000000;30000000;35000000;40000000;55000000;70000000;80000000;90000000;110000000;130000000;160000000;190000000;220000000;250000000;280000000;310000000;340000000;400000000})</f>
        <v>25000000</v>
      </c>
      <c r="J990" s="7" t="n">
        <f aca="false">I990*S990*T990*U990</f>
        <v>41400000</v>
      </c>
      <c r="K990" s="3"/>
      <c r="L990" s="3"/>
      <c r="M990" s="3"/>
      <c r="N990" s="9" t="n">
        <v>0</v>
      </c>
      <c r="O990" s="4" t="n">
        <v>0</v>
      </c>
      <c r="P990" s="5" t="n">
        <f aca="false">IF(COUNTIF([1]Base_Jugadores!J$2:J$500,B990)&gt;0,1,0)</f>
        <v>0</v>
      </c>
      <c r="Q990" s="10" t="b">
        <f aca="false">--(COUNTIFS(
   [1]Fichajes_Realizados!A$2:A$5000,A990,
   [1]Fichajes_Realizados!G$2:G$5000,$X$3
)&gt;0)</f>
        <v>0</v>
      </c>
      <c r="R990" s="5" t="n">
        <f aca="false">_xlfn.XLOOKUP(C990, [1]Estado_Equipos!A$2:A$500, [1]Estado_Equipos!J$2:J$500, "")</f>
        <v>78</v>
      </c>
      <c r="S990" s="5" t="n">
        <f aca="false">IF(H990&lt;=16,1.45,
IF(H990&gt;=41,0.3,
CHOOSE(ROUNDDOWN((H990-16)/2,0)+1,
1.45,1.38,1.3,1.23,1.17,1.15,1.12,1.05,0.95,0.8,0.6,0.4,0.3)))</f>
        <v>1.15</v>
      </c>
      <c r="T990" s="5" t="n">
        <f aca="false">CHOOSE(N990+1,1.2,1,0.85,0.7)</f>
        <v>1.2</v>
      </c>
      <c r="U990" s="5" t="n">
        <f aca="false">IF(F990="PO",0.6,
IF(F990="CT",0.75,
IF(F990="LI",0.8,
IF(F990="LD",0.8,
IF(F990="MCD",0.85,
IF(F990="MC",0.95,
IF(F990="MO",1.05,
IF(F990="EI",1.1,
IF(F990="ED",1.1,
IF(F990="SD",1.15,
IF(F990="DC",1.2,0)))))))))))</f>
        <v>1.2</v>
      </c>
    </row>
    <row r="991" customFormat="false" ht="16.4" hidden="false" customHeight="false" outlineLevel="0" collapsed="false">
      <c r="A991" s="1" t="n">
        <v>990</v>
      </c>
      <c r="B991" s="5" t="str">
        <f aca="false">[1]Base_Jugadores!B991</f>
        <v>Kota Takai</v>
      </c>
      <c r="C991" s="5" t="str">
        <f aca="false">IFERROR(
   _xlfn.XLOOKUP(VALUE(A991),[1]Fichajes_Realizados!A$2:A$50000,[1]Fichajes_Realizados!D$2:D$50000,,0,-1),
   _xlfn.XLOOKUP(VALUE(A991),[1]Base_Jugadores!A$2:A$50000,[1]Base_Jugadores!C$2:C$50000)
)</f>
        <v>Tottenham Hotspur</v>
      </c>
      <c r="D991" s="5" t="str">
        <f aca="false">[1]Base_Jugadores!D991</f>
        <v>Japón</v>
      </c>
      <c r="E991" s="3"/>
      <c r="F991" s="5" t="str">
        <f aca="false">[1]Base_Jugadores!E991</f>
        <v>CT</v>
      </c>
      <c r="G991" s="5" t="n">
        <f aca="false">[1]Base_Jugadores!F991</f>
        <v>66</v>
      </c>
      <c r="H991" s="5" t="n">
        <f aca="false">[1]Base_Jugadores!G991</f>
        <v>21</v>
      </c>
      <c r="I991" s="7" t="n">
        <f aca="false" t="array" ref="I991:I991">_xlfn.XLOOKUP(G991,{55;56;57;58;59;60;61;62;63;64;65;66;67;68;69;70;71;72;73;74;75;76;77;78;79;80;81;82;83;84;85;86;87;88;89;90;91;92;93;94;95;96;97;98;99},{100000;130000;160000;190000;220000;250000;300000;350000;400000;450000;500000;600000;700000;800000;900000;1000000;1500000;2000000;3000000;4000000;5000000;6500000;8000000;10000000;12500000;15000000;20000000;25000000;30000000;35000000;40000000;55000000;70000000;80000000;90000000;110000000;130000000;160000000;190000000;220000000;250000000;280000000;310000000;340000000;400000000})</f>
        <v>600000</v>
      </c>
      <c r="J991" s="7" t="n">
        <f aca="false">I991*S991*T991*U991</f>
        <v>497250</v>
      </c>
      <c r="K991" s="3"/>
      <c r="L991" s="3"/>
      <c r="M991" s="3"/>
      <c r="N991" s="9" t="n">
        <v>2</v>
      </c>
      <c r="O991" s="4" t="n">
        <v>0</v>
      </c>
      <c r="P991" s="5" t="n">
        <f aca="false">IF(COUNTIF([1]Base_Jugadores!J$2:J$500,B991)&gt;0,1,0)</f>
        <v>0</v>
      </c>
      <c r="Q991" s="10" t="b">
        <f aca="false">--(COUNTIFS(
   [1]Fichajes_Realizados!A$2:A$5000,A991,
   [1]Fichajes_Realizados!G$2:G$5000,$X$3
)&gt;0)</f>
        <v>0</v>
      </c>
      <c r="R991" s="5" t="n">
        <f aca="false">_xlfn.XLOOKUP(C991, [1]Estado_Equipos!A$2:A$500, [1]Estado_Equipos!J$2:J$500, "")</f>
        <v>78</v>
      </c>
      <c r="S991" s="5" t="n">
        <f aca="false">IF(H991&lt;=16,1.45,
IF(H991&gt;=41,0.3,
CHOOSE(ROUNDDOWN((H991-16)/2,0)+1,
1.45,1.38,1.3,1.23,1.17,1.15,1.12,1.05,0.95,0.8,0.6,0.4,0.3)))</f>
        <v>1.3</v>
      </c>
      <c r="T991" s="5" t="n">
        <f aca="false">CHOOSE(N991+1,1.2,1,0.85,0.7)</f>
        <v>0.85</v>
      </c>
      <c r="U991" s="5" t="n">
        <f aca="false">IF(F991="PO",0.6,
IF(F991="CT",0.75,
IF(F991="LI",0.8,
IF(F991="LD",0.8,
IF(F991="MCD",0.85,
IF(F991="MC",0.95,
IF(F991="MO",1.05,
IF(F991="EI",1.1,
IF(F991="ED",1.1,
IF(F991="SD",1.15,
IF(F991="DC",1.2,0)))))))))))</f>
        <v>0.75</v>
      </c>
    </row>
    <row r="992" customFormat="false" ht="16.4" hidden="false" customHeight="false" outlineLevel="0" collapsed="false">
      <c r="A992" s="1" t="n">
        <v>991</v>
      </c>
      <c r="B992" s="5" t="str">
        <f aca="false">[1]Base_Jugadores!B992</f>
        <v>Lucas Bergvall</v>
      </c>
      <c r="C992" s="5" t="str">
        <f aca="false">IFERROR(
   _xlfn.XLOOKUP(VALUE(A992),[1]Fichajes_Realizados!A$2:A$50000,[1]Fichajes_Realizados!D$2:D$50000,,0,-1),
   _xlfn.XLOOKUP(VALUE(A992),[1]Base_Jugadores!A$2:A$50000,[1]Base_Jugadores!C$2:C$50000)
)</f>
        <v>Tottenham Hotspur</v>
      </c>
      <c r="D992" s="5" t="str">
        <f aca="false">[1]Base_Jugadores!D992</f>
        <v>Suecia</v>
      </c>
      <c r="E992" s="3"/>
      <c r="F992" s="5" t="str">
        <f aca="false">[1]Base_Jugadores!E992</f>
        <v>MC</v>
      </c>
      <c r="G992" s="5" t="n">
        <f aca="false">[1]Base_Jugadores!F992</f>
        <v>75</v>
      </c>
      <c r="H992" s="5" t="n">
        <f aca="false">[1]Base_Jugadores!G992</f>
        <v>19</v>
      </c>
      <c r="I992" s="7" t="n">
        <f aca="false" t="array" ref="I992:I992">_xlfn.XLOOKUP(G992,{55;56;57;58;59;60;61;62;63;64;65;66;67;68;69;70;71;72;73;74;75;76;77;78;79;80;81;82;83;84;85;86;87;88;89;90;91;92;93;94;95;96;97;98;99},{100000;130000;160000;190000;220000;250000;300000;350000;400000;450000;500000;600000;700000;800000;900000;1000000;1500000;2000000;3000000;4000000;5000000;6500000;8000000;10000000;12500000;15000000;20000000;25000000;30000000;35000000;40000000;55000000;70000000;80000000;90000000;110000000;130000000;160000000;190000000;220000000;250000000;280000000;310000000;340000000;400000000})</f>
        <v>5000000</v>
      </c>
      <c r="J992" s="7" t="n">
        <f aca="false">I992*S992*T992*U992</f>
        <v>5571750</v>
      </c>
      <c r="K992" s="3"/>
      <c r="L992" s="3"/>
      <c r="M992" s="3"/>
      <c r="N992" s="9" t="n">
        <v>2</v>
      </c>
      <c r="O992" s="4" t="n">
        <v>0</v>
      </c>
      <c r="P992" s="5" t="n">
        <f aca="false">IF(COUNTIF([1]Base_Jugadores!J$2:J$500,B992)&gt;0,1,0)</f>
        <v>0</v>
      </c>
      <c r="Q992" s="10" t="b">
        <f aca="false">--(COUNTIFS(
   [1]Fichajes_Realizados!A$2:A$5000,A992,
   [1]Fichajes_Realizados!G$2:G$5000,$X$3
)&gt;0)</f>
        <v>0</v>
      </c>
      <c r="R992" s="5" t="n">
        <f aca="false">_xlfn.XLOOKUP(C992, [1]Estado_Equipos!A$2:A$500, [1]Estado_Equipos!J$2:J$500, "")</f>
        <v>78</v>
      </c>
      <c r="S992" s="5" t="n">
        <f aca="false">IF(H992&lt;=16,1.45,
IF(H992&gt;=41,0.3,
CHOOSE(ROUNDDOWN((H992-16)/2,0)+1,
1.45,1.38,1.3,1.23,1.17,1.15,1.12,1.05,0.95,0.8,0.6,0.4,0.3)))</f>
        <v>1.38</v>
      </c>
      <c r="T992" s="5" t="n">
        <f aca="false">CHOOSE(N992+1,1.2,1,0.85,0.7)</f>
        <v>0.85</v>
      </c>
      <c r="U992" s="5" t="n">
        <f aca="false">IF(F992="PO",0.6,
IF(F992="CT",0.75,
IF(F992="LI",0.8,
IF(F992="LD",0.8,
IF(F992="MCD",0.85,
IF(F992="MC",0.95,
IF(F992="MO",1.05,
IF(F992="EI",1.1,
IF(F992="ED",1.1,
IF(F992="SD",1.15,
IF(F992="DC",1.2,0)))))))))))</f>
        <v>0.95</v>
      </c>
    </row>
    <row r="993" customFormat="false" ht="16.4" hidden="false" customHeight="false" outlineLevel="0" collapsed="false">
      <c r="A993" s="1" t="n">
        <v>992</v>
      </c>
      <c r="B993" s="5" t="str">
        <f aca="false">[1]Base_Jugadores!B993</f>
        <v>Mathys Tel</v>
      </c>
      <c r="C993" s="5" t="str">
        <f aca="false">IFERROR(
   _xlfn.XLOOKUP(VALUE(A993),[1]Fichajes_Realizados!A$2:A$50000,[1]Fichajes_Realizados!D$2:D$50000,,0,-1),
   _xlfn.XLOOKUP(VALUE(A993),[1]Base_Jugadores!A$2:A$50000,[1]Base_Jugadores!C$2:C$50000)
)</f>
        <v>Tottenham Hotspur</v>
      </c>
      <c r="D993" s="5" t="str">
        <f aca="false">[1]Base_Jugadores!D993</f>
        <v>Francia</v>
      </c>
      <c r="E993" s="3"/>
      <c r="F993" s="5" t="str">
        <f aca="false">[1]Base_Jugadores!E993</f>
        <v>DC</v>
      </c>
      <c r="G993" s="5" t="n">
        <f aca="false">[1]Base_Jugadores!F993</f>
        <v>77</v>
      </c>
      <c r="H993" s="5" t="n">
        <f aca="false">[1]Base_Jugadores!G993</f>
        <v>20</v>
      </c>
      <c r="I993" s="7" t="n">
        <f aca="false" t="array" ref="I993:I993">_xlfn.XLOOKUP(G993,{55;56;57;58;59;60;61;62;63;64;65;66;67;68;69;70;71;72;73;74;75;76;77;78;79;80;81;82;83;84;85;86;87;88;89;90;91;92;93;94;95;96;97;98;99},{100000;130000;160000;190000;220000;250000;300000;350000;400000;450000;500000;600000;700000;800000;900000;1000000;1500000;2000000;3000000;4000000;5000000;6500000;8000000;10000000;12500000;15000000;20000000;25000000;30000000;35000000;40000000;55000000;70000000;80000000;90000000;110000000;130000000;160000000;190000000;220000000;250000000;280000000;310000000;340000000;400000000})</f>
        <v>8000000</v>
      </c>
      <c r="J993" s="7" t="n">
        <f aca="false">I993*S993*T993*U993</f>
        <v>10608000</v>
      </c>
      <c r="K993" s="3"/>
      <c r="L993" s="3"/>
      <c r="M993" s="3"/>
      <c r="N993" s="9" t="n">
        <v>2</v>
      </c>
      <c r="O993" s="4" t="n">
        <v>0</v>
      </c>
      <c r="P993" s="5" t="n">
        <f aca="false">IF(COUNTIF([1]Base_Jugadores!J$2:J$500,B993)&gt;0,1,0)</f>
        <v>0</v>
      </c>
      <c r="Q993" s="10" t="b">
        <f aca="false">--(COUNTIFS(
   [1]Fichajes_Realizados!A$2:A$5000,A993,
   [1]Fichajes_Realizados!G$2:G$5000,$X$3
)&gt;0)</f>
        <v>0</v>
      </c>
      <c r="R993" s="5" t="n">
        <f aca="false">_xlfn.XLOOKUP(C993, [1]Estado_Equipos!A$2:A$500, [1]Estado_Equipos!J$2:J$500, "")</f>
        <v>78</v>
      </c>
      <c r="S993" s="5" t="n">
        <f aca="false">IF(H993&lt;=16,1.45,
IF(H993&gt;=41,0.3,
CHOOSE(ROUNDDOWN((H993-16)/2,0)+1,
1.45,1.38,1.3,1.23,1.17,1.15,1.12,1.05,0.95,0.8,0.6,0.4,0.3)))</f>
        <v>1.3</v>
      </c>
      <c r="T993" s="5" t="n">
        <f aca="false">CHOOSE(N993+1,1.2,1,0.85,0.7)</f>
        <v>0.85</v>
      </c>
      <c r="U993" s="5" t="n">
        <f aca="false">IF(F993="PO",0.6,
IF(F993="CT",0.75,
IF(F993="LI",0.8,
IF(F993="LD",0.8,
IF(F993="MCD",0.85,
IF(F993="MC",0.95,
IF(F993="MO",1.05,
IF(F993="EI",1.1,
IF(F993="ED",1.1,
IF(F993="SD",1.15,
IF(F993="DC",1.2,0)))))))))))</f>
        <v>1.2</v>
      </c>
    </row>
    <row r="994" customFormat="false" ht="16.4" hidden="false" customHeight="false" outlineLevel="0" collapsed="false">
      <c r="A994" s="1" t="n">
        <v>993</v>
      </c>
      <c r="B994" s="5" t="str">
        <f aca="false">[1]Base_Jugadores!B994</f>
        <v>Micky van de Ven</v>
      </c>
      <c r="C994" s="5" t="str">
        <f aca="false">IFERROR(
   _xlfn.XLOOKUP(VALUE(A994),[1]Fichajes_Realizados!A$2:A$50000,[1]Fichajes_Realizados!D$2:D$50000,,0,-1),
   _xlfn.XLOOKUP(VALUE(A994),[1]Base_Jugadores!A$2:A$50000,[1]Base_Jugadores!C$2:C$50000)
)</f>
        <v>Tottenham Hotspur</v>
      </c>
      <c r="D994" s="5" t="str">
        <f aca="false">[1]Base_Jugadores!D994</f>
        <v>Países Bajos</v>
      </c>
      <c r="E994" s="3"/>
      <c r="F994" s="5" t="str">
        <f aca="false">[1]Base_Jugadores!E994</f>
        <v>CT</v>
      </c>
      <c r="G994" s="5" t="n">
        <f aca="false">[1]Base_Jugadores!F994</f>
        <v>83</v>
      </c>
      <c r="H994" s="5" t="n">
        <f aca="false">[1]Base_Jugadores!G994</f>
        <v>24</v>
      </c>
      <c r="I994" s="7" t="n">
        <f aca="false" t="array" ref="I994:I994">_xlfn.XLOOKUP(G994,{55;56;57;58;59;60;61;62;63;64;65;66;67;68;69;70;71;72;73;74;75;76;77;78;79;80;81;82;83;84;85;86;87;88;89;90;91;92;93;94;95;96;97;98;99},{100000;130000;160000;190000;220000;250000;300000;350000;400000;450000;500000;600000;700000;800000;900000;1000000;1500000;2000000;3000000;4000000;5000000;6500000;8000000;10000000;12500000;15000000;20000000;25000000;30000000;35000000;40000000;55000000;70000000;80000000;90000000;110000000;130000000;160000000;190000000;220000000;250000000;280000000;310000000;340000000;400000000})</f>
        <v>30000000</v>
      </c>
      <c r="J994" s="7" t="n">
        <f aca="false">I994*S994*T994*U994</f>
        <v>31590000</v>
      </c>
      <c r="K994" s="3"/>
      <c r="L994" s="3"/>
      <c r="M994" s="3"/>
      <c r="N994" s="9" t="n">
        <v>0</v>
      </c>
      <c r="O994" s="4" t="n">
        <v>0</v>
      </c>
      <c r="P994" s="5" t="n">
        <f aca="false">IF(COUNTIF([1]Base_Jugadores!J$2:J$500,B994)&gt;0,1,0)</f>
        <v>0</v>
      </c>
      <c r="Q994" s="10" t="b">
        <f aca="false">--(COUNTIFS(
   [1]Fichajes_Realizados!A$2:A$5000,A994,
   [1]Fichajes_Realizados!G$2:G$5000,$X$3
)&gt;0)</f>
        <v>0</v>
      </c>
      <c r="R994" s="5" t="n">
        <f aca="false">_xlfn.XLOOKUP(C994, [1]Estado_Equipos!A$2:A$500, [1]Estado_Equipos!J$2:J$500, "")</f>
        <v>78</v>
      </c>
      <c r="S994" s="5" t="n">
        <f aca="false">IF(H994&lt;=16,1.45,
IF(H994&gt;=41,0.3,
CHOOSE(ROUNDDOWN((H994-16)/2,0)+1,
1.45,1.38,1.3,1.23,1.17,1.15,1.12,1.05,0.95,0.8,0.6,0.4,0.3)))</f>
        <v>1.17</v>
      </c>
      <c r="T994" s="5" t="n">
        <f aca="false">CHOOSE(N994+1,1.2,1,0.85,0.7)</f>
        <v>1.2</v>
      </c>
      <c r="U994" s="5" t="n">
        <f aca="false">IF(F994="PO",0.6,
IF(F994="CT",0.75,
IF(F994="LI",0.8,
IF(F994="LD",0.8,
IF(F994="MCD",0.85,
IF(F994="MC",0.95,
IF(F994="MO",1.05,
IF(F994="EI",1.1,
IF(F994="ED",1.1,
IF(F994="SD",1.15,
IF(F994="DC",1.2,0)))))))))))</f>
        <v>0.75</v>
      </c>
    </row>
    <row r="995" customFormat="false" ht="16.4" hidden="false" customHeight="false" outlineLevel="0" collapsed="false">
      <c r="A995" s="1" t="n">
        <v>994</v>
      </c>
      <c r="B995" s="5" t="str">
        <f aca="false">[1]Base_Jugadores!B995</f>
        <v>Mohammed Kudus</v>
      </c>
      <c r="C995" s="5" t="str">
        <f aca="false">IFERROR(
   _xlfn.XLOOKUP(VALUE(A995),[1]Fichajes_Realizados!A$2:A$50000,[1]Fichajes_Realizados!D$2:D$50000,,0,-1),
   _xlfn.XLOOKUP(VALUE(A995),[1]Base_Jugadores!A$2:A$50000,[1]Base_Jugadores!C$2:C$50000)
)</f>
        <v>Tottenham Hotspur</v>
      </c>
      <c r="D995" s="5" t="str">
        <f aca="false">[1]Base_Jugadores!D995</f>
        <v>Ghana</v>
      </c>
      <c r="E995" s="3"/>
      <c r="F995" s="5" t="str">
        <f aca="false">[1]Base_Jugadores!E995</f>
        <v>ED</v>
      </c>
      <c r="G995" s="5" t="n">
        <f aca="false">[1]Base_Jugadores!F995</f>
        <v>84</v>
      </c>
      <c r="H995" s="5" t="n">
        <f aca="false">[1]Base_Jugadores!G995</f>
        <v>25</v>
      </c>
      <c r="I995" s="7" t="n">
        <f aca="false" t="array" ref="I995:I995">_xlfn.XLOOKUP(G995,{55;56;57;58;59;60;61;62;63;64;65;66;67;68;69;70;71;72;73;74;75;76;77;78;79;80;81;82;83;84;85;86;87;88;89;90;91;92;93;94;95;96;97;98;99},{100000;130000;160000;190000;220000;250000;300000;350000;400000;450000;500000;600000;700000;800000;900000;1000000;1500000;2000000;3000000;4000000;5000000;6500000;8000000;10000000;12500000;15000000;20000000;25000000;30000000;35000000;40000000;55000000;70000000;80000000;90000000;110000000;130000000;160000000;190000000;220000000;250000000;280000000;310000000;340000000;400000000})</f>
        <v>35000000</v>
      </c>
      <c r="J995" s="7" t="n">
        <f aca="false">I995*S995*T995*U995</f>
        <v>31531500</v>
      </c>
      <c r="K995" s="3"/>
      <c r="L995" s="3"/>
      <c r="M995" s="3"/>
      <c r="N995" s="12" t="n">
        <v>3</v>
      </c>
      <c r="O995" s="4" t="n">
        <v>0</v>
      </c>
      <c r="P995" s="5" t="n">
        <f aca="false">IF(COUNTIF([1]Base_Jugadores!J$2:J$500,B995)&gt;0,1,0)</f>
        <v>0</v>
      </c>
      <c r="Q995" s="10" t="b">
        <f aca="false">--(COUNTIFS(
   [1]Fichajes_Realizados!A$2:A$5000,A995,
   [1]Fichajes_Realizados!G$2:G$5000,$X$3
)&gt;0)</f>
        <v>0</v>
      </c>
      <c r="R995" s="5" t="n">
        <f aca="false">_xlfn.XLOOKUP(C995, [1]Estado_Equipos!A$2:A$500, [1]Estado_Equipos!J$2:J$500, "")</f>
        <v>78</v>
      </c>
      <c r="S995" s="5" t="n">
        <f aca="false">IF(H995&lt;=16,1.45,
IF(H995&gt;=41,0.3,
CHOOSE(ROUNDDOWN((H995-16)/2,0)+1,
1.45,1.38,1.3,1.23,1.17,1.15,1.12,1.05,0.95,0.8,0.6,0.4,0.3)))</f>
        <v>1.17</v>
      </c>
      <c r="T995" s="5" t="n">
        <f aca="false">CHOOSE(N995+1,1.2,1,0.85,0.7)</f>
        <v>0.7</v>
      </c>
      <c r="U995" s="5" t="n">
        <f aca="false">IF(F995="PO",0.6,
IF(F995="CT",0.75,
IF(F995="LI",0.8,
IF(F995="LD",0.8,
IF(F995="MCD",0.85,
IF(F995="MC",0.95,
IF(F995="MO",1.05,
IF(F995="EI",1.1,
IF(F995="ED",1.1,
IF(F995="SD",1.15,
IF(F995="DC",1.2,0)))))))))))</f>
        <v>1.1</v>
      </c>
    </row>
    <row r="996" customFormat="false" ht="16.4" hidden="false" customHeight="false" outlineLevel="0" collapsed="false">
      <c r="A996" s="1" t="n">
        <v>995</v>
      </c>
      <c r="B996" s="5" t="str">
        <f aca="false">[1]Base_Jugadores!B996</f>
        <v>Pape Matar Sarr</v>
      </c>
      <c r="C996" s="5" t="str">
        <f aca="false">IFERROR(
   _xlfn.XLOOKUP(VALUE(A996),[1]Fichajes_Realizados!A$2:A$50000,[1]Fichajes_Realizados!D$2:D$50000,,0,-1),
   _xlfn.XLOOKUP(VALUE(A996),[1]Base_Jugadores!A$2:A$50000,[1]Base_Jugadores!C$2:C$50000)
)</f>
        <v>Tottenham Hotspur</v>
      </c>
      <c r="D996" s="5" t="str">
        <f aca="false">[1]Base_Jugadores!D996</f>
        <v>Senegal</v>
      </c>
      <c r="E996" s="3"/>
      <c r="F996" s="5" t="str">
        <f aca="false">[1]Base_Jugadores!E996</f>
        <v>MC</v>
      </c>
      <c r="G996" s="5" t="n">
        <f aca="false">[1]Base_Jugadores!F996</f>
        <v>79</v>
      </c>
      <c r="H996" s="5" t="n">
        <f aca="false">[1]Base_Jugadores!G996</f>
        <v>23</v>
      </c>
      <c r="I996" s="7" t="n">
        <f aca="false" t="array" ref="I996:I996">_xlfn.XLOOKUP(G996,{55;56;57;58;59;60;61;62;63;64;65;66;67;68;69;70;71;72;73;74;75;76;77;78;79;80;81;82;83;84;85;86;87;88;89;90;91;92;93;94;95;96;97;98;99},{100000;130000;160000;190000;220000;250000;300000;350000;400000;450000;500000;600000;700000;800000;900000;1000000;1500000;2000000;3000000;4000000;5000000;6500000;8000000;10000000;12500000;15000000;20000000;25000000;30000000;35000000;40000000;55000000;70000000;80000000;90000000;110000000;130000000;160000000;190000000;220000000;250000000;280000000;310000000;340000000;400000000})</f>
        <v>12500000</v>
      </c>
      <c r="J996" s="7" t="n">
        <f aca="false">I996*S996*T996*U996</f>
        <v>14606250</v>
      </c>
      <c r="K996" s="3"/>
      <c r="L996" s="3"/>
      <c r="M996" s="3"/>
      <c r="N996" s="9" t="n">
        <v>1</v>
      </c>
      <c r="O996" s="4" t="n">
        <v>0</v>
      </c>
      <c r="P996" s="5" t="n">
        <f aca="false">IF(COUNTIF([1]Base_Jugadores!J$2:J$500,B996)&gt;0,1,0)</f>
        <v>0</v>
      </c>
      <c r="Q996" s="10" t="b">
        <f aca="false">--(COUNTIFS(
   [1]Fichajes_Realizados!A$2:A$5000,A996,
   [1]Fichajes_Realizados!G$2:G$5000,$X$3
)&gt;0)</f>
        <v>0</v>
      </c>
      <c r="R996" s="5" t="n">
        <f aca="false">_xlfn.XLOOKUP(C996, [1]Estado_Equipos!A$2:A$500, [1]Estado_Equipos!J$2:J$500, "")</f>
        <v>78</v>
      </c>
      <c r="S996" s="5" t="n">
        <f aca="false">IF(H996&lt;=16,1.45,
IF(H996&gt;=41,0.3,
CHOOSE(ROUNDDOWN((H996-16)/2,0)+1,
1.45,1.38,1.3,1.23,1.17,1.15,1.12,1.05,0.95,0.8,0.6,0.4,0.3)))</f>
        <v>1.23</v>
      </c>
      <c r="T996" s="5" t="n">
        <f aca="false">CHOOSE(N996+1,1.2,1,0.85,0.7)</f>
        <v>1</v>
      </c>
      <c r="U996" s="5" t="n">
        <f aca="false">IF(F996="PO",0.6,
IF(F996="CT",0.75,
IF(F996="LI",0.8,
IF(F996="LD",0.8,
IF(F996="MCD",0.85,
IF(F996="MC",0.95,
IF(F996="MO",1.05,
IF(F996="EI",1.1,
IF(F996="ED",1.1,
IF(F996="SD",1.15,
IF(F996="DC",1.2,0)))))))))))</f>
        <v>0.95</v>
      </c>
    </row>
    <row r="997" customFormat="false" ht="16.4" hidden="false" customHeight="false" outlineLevel="0" collapsed="false">
      <c r="A997" s="1" t="n">
        <v>996</v>
      </c>
      <c r="B997" s="5" t="str">
        <f aca="false">[1]Base_Jugadores!B997</f>
        <v>Pedro Porro</v>
      </c>
      <c r="C997" s="5" t="str">
        <f aca="false">IFERROR(
   _xlfn.XLOOKUP(VALUE(A997),[1]Fichajes_Realizados!A$2:A$50000,[1]Fichajes_Realizados!D$2:D$50000,,0,-1),
   _xlfn.XLOOKUP(VALUE(A997),[1]Base_Jugadores!A$2:A$50000,[1]Base_Jugadores!C$2:C$50000)
)</f>
        <v>Tottenham Hotspur</v>
      </c>
      <c r="D997" s="5" t="str">
        <f aca="false">[1]Base_Jugadores!D997</f>
        <v>España</v>
      </c>
      <c r="E997" s="3"/>
      <c r="F997" s="5" t="str">
        <f aca="false">[1]Base_Jugadores!E997</f>
        <v>LD</v>
      </c>
      <c r="G997" s="5" t="n">
        <f aca="false">[1]Base_Jugadores!F997</f>
        <v>83</v>
      </c>
      <c r="H997" s="5" t="n">
        <f aca="false">[1]Base_Jugadores!G997</f>
        <v>26</v>
      </c>
      <c r="I997" s="7" t="n">
        <f aca="false" t="array" ref="I997:I997">_xlfn.XLOOKUP(G997,{55;56;57;58;59;60;61;62;63;64;65;66;67;68;69;70;71;72;73;74;75;76;77;78;79;80;81;82;83;84;85;86;87;88;89;90;91;92;93;94;95;96;97;98;99},{100000;130000;160000;190000;220000;250000;300000;350000;400000;450000;500000;600000;700000;800000;900000;1000000;1500000;2000000;3000000;4000000;5000000;6500000;8000000;10000000;12500000;15000000;20000000;25000000;30000000;35000000;40000000;55000000;70000000;80000000;90000000;110000000;130000000;160000000;190000000;220000000;250000000;280000000;310000000;340000000;400000000})</f>
        <v>30000000</v>
      </c>
      <c r="J997" s="7" t="n">
        <f aca="false">I997*S997*T997*U997</f>
        <v>33120000</v>
      </c>
      <c r="K997" s="3"/>
      <c r="L997" s="3"/>
      <c r="M997" s="3"/>
      <c r="N997" s="9" t="n">
        <v>0</v>
      </c>
      <c r="O997" s="4" t="n">
        <v>0</v>
      </c>
      <c r="P997" s="5" t="n">
        <f aca="false">IF(COUNTIF([1]Base_Jugadores!J$2:J$500,B997)&gt;0,1,0)</f>
        <v>0</v>
      </c>
      <c r="Q997" s="10" t="b">
        <f aca="false">--(COUNTIFS(
   [1]Fichajes_Realizados!A$2:A$5000,A997,
   [1]Fichajes_Realizados!G$2:G$5000,$X$3
)&gt;0)</f>
        <v>0</v>
      </c>
      <c r="R997" s="5" t="n">
        <f aca="false">_xlfn.XLOOKUP(C997, [1]Estado_Equipos!A$2:A$500, [1]Estado_Equipos!J$2:J$500, "")</f>
        <v>78</v>
      </c>
      <c r="S997" s="5" t="n">
        <f aca="false">IF(H997&lt;=16,1.45,
IF(H997&gt;=41,0.3,
CHOOSE(ROUNDDOWN((H997-16)/2,0)+1,
1.45,1.38,1.3,1.23,1.17,1.15,1.12,1.05,0.95,0.8,0.6,0.4,0.3)))</f>
        <v>1.15</v>
      </c>
      <c r="T997" s="5" t="n">
        <f aca="false">CHOOSE(N997+1,1.2,1,0.85,0.7)</f>
        <v>1.2</v>
      </c>
      <c r="U997" s="5" t="n">
        <f aca="false">IF(F997="PO",0.6,
IF(F997="CT",0.75,
IF(F997="LI",0.8,
IF(F997="LD",0.8,
IF(F997="MCD",0.85,
IF(F997="MC",0.95,
IF(F997="MO",1.05,
IF(F997="EI",1.1,
IF(F997="ED",1.1,
IF(F997="SD",1.15,
IF(F997="DC",1.2,0)))))))))))</f>
        <v>0.8</v>
      </c>
    </row>
    <row r="998" customFormat="false" ht="16.4" hidden="false" customHeight="false" outlineLevel="0" collapsed="false">
      <c r="A998" s="1" t="n">
        <v>997</v>
      </c>
      <c r="B998" s="5" t="str">
        <f aca="false">[1]Base_Jugadores!B998</f>
        <v>Radu Drăgușin</v>
      </c>
      <c r="C998" s="5" t="str">
        <f aca="false">IFERROR(
   _xlfn.XLOOKUP(VALUE(A998),[1]Fichajes_Realizados!A$2:A$50000,[1]Fichajes_Realizados!D$2:D$50000,,0,-1),
   _xlfn.XLOOKUP(VALUE(A998),[1]Base_Jugadores!A$2:A$50000,[1]Base_Jugadores!C$2:C$50000)
)</f>
        <v>Tottenham Hotspur</v>
      </c>
      <c r="D998" s="5" t="str">
        <f aca="false">[1]Base_Jugadores!D998</f>
        <v>Rumania</v>
      </c>
      <c r="E998" s="3"/>
      <c r="F998" s="5" t="str">
        <f aca="false">[1]Base_Jugadores!E998</f>
        <v>CT</v>
      </c>
      <c r="G998" s="5" t="n">
        <f aca="false">[1]Base_Jugadores!F998</f>
        <v>76</v>
      </c>
      <c r="H998" s="5" t="n">
        <f aca="false">[1]Base_Jugadores!G998</f>
        <v>23</v>
      </c>
      <c r="I998" s="7" t="n">
        <f aca="false" t="array" ref="I998:I998">_xlfn.XLOOKUP(G998,{55;56;57;58;59;60;61;62;63;64;65;66;67;68;69;70;71;72;73;74;75;76;77;78;79;80;81;82;83;84;85;86;87;88;89;90;91;92;93;94;95;96;97;98;99},{100000;130000;160000;190000;220000;250000;300000;350000;400000;450000;500000;600000;700000;800000;900000;1000000;1500000;2000000;3000000;4000000;5000000;6500000;8000000;10000000;12500000;15000000;20000000;25000000;30000000;35000000;40000000;55000000;70000000;80000000;90000000;110000000;130000000;160000000;190000000;220000000;250000000;280000000;310000000;340000000;400000000})</f>
        <v>6500000</v>
      </c>
      <c r="J998" s="7" t="n">
        <f aca="false">I998*S998*T998*U998</f>
        <v>5096812.5</v>
      </c>
      <c r="K998" s="3"/>
      <c r="L998" s="3"/>
      <c r="M998" s="3"/>
      <c r="N998" s="9" t="n">
        <v>2</v>
      </c>
      <c r="O998" s="4" t="n">
        <v>0</v>
      </c>
      <c r="P998" s="5" t="n">
        <f aca="false">IF(COUNTIF([1]Base_Jugadores!J$2:J$500,B998)&gt;0,1,0)</f>
        <v>0</v>
      </c>
      <c r="Q998" s="10" t="b">
        <f aca="false">--(COUNTIFS(
   [1]Fichajes_Realizados!A$2:A$5000,A998,
   [1]Fichajes_Realizados!G$2:G$5000,$X$3
)&gt;0)</f>
        <v>0</v>
      </c>
      <c r="R998" s="5" t="n">
        <f aca="false">_xlfn.XLOOKUP(C998, [1]Estado_Equipos!A$2:A$500, [1]Estado_Equipos!J$2:J$500, "")</f>
        <v>78</v>
      </c>
      <c r="S998" s="5" t="n">
        <f aca="false">IF(H998&lt;=16,1.45,
IF(H998&gt;=41,0.3,
CHOOSE(ROUNDDOWN((H998-16)/2,0)+1,
1.45,1.38,1.3,1.23,1.17,1.15,1.12,1.05,0.95,0.8,0.6,0.4,0.3)))</f>
        <v>1.23</v>
      </c>
      <c r="T998" s="5" t="n">
        <f aca="false">CHOOSE(N998+1,1.2,1,0.85,0.7)</f>
        <v>0.85</v>
      </c>
      <c r="U998" s="5" t="n">
        <f aca="false">IF(F998="PO",0.6,
IF(F998="CT",0.75,
IF(F998="LI",0.8,
IF(F998="LD",0.8,
IF(F998="MCD",0.85,
IF(F998="MC",0.95,
IF(F998="MO",1.05,
IF(F998="EI",1.1,
IF(F998="ED",1.1,
IF(F998="SD",1.15,
IF(F998="DC",1.2,0)))))))))))</f>
        <v>0.75</v>
      </c>
    </row>
    <row r="999" customFormat="false" ht="16.4" hidden="false" customHeight="false" outlineLevel="0" collapsed="false">
      <c r="A999" s="1" t="n">
        <v>998</v>
      </c>
      <c r="B999" s="5" t="str">
        <f aca="false">[1]Base_Jugadores!B999</f>
        <v>Richarlison</v>
      </c>
      <c r="C999" s="5" t="str">
        <f aca="false">IFERROR(
   _xlfn.XLOOKUP(VALUE(A999),[1]Fichajes_Realizados!A$2:A$50000,[1]Fichajes_Realizados!D$2:D$50000,,0,-1),
   _xlfn.XLOOKUP(VALUE(A999),[1]Base_Jugadores!A$2:A$50000,[1]Base_Jugadores!C$2:C$50000)
)</f>
        <v>Tottenham Hotspur</v>
      </c>
      <c r="D999" s="5" t="str">
        <f aca="false">[1]Base_Jugadores!D999</f>
        <v>Brasil</v>
      </c>
      <c r="E999" s="3"/>
      <c r="F999" s="5" t="str">
        <f aca="false">[1]Base_Jugadores!E999</f>
        <v>DC</v>
      </c>
      <c r="G999" s="5" t="n">
        <f aca="false">[1]Base_Jugadores!F999</f>
        <v>80</v>
      </c>
      <c r="H999" s="5" t="n">
        <f aca="false">[1]Base_Jugadores!G999</f>
        <v>28</v>
      </c>
      <c r="I999" s="7" t="n">
        <f aca="false" t="array" ref="I999:I999">_xlfn.XLOOKUP(G999,{55;56;57;58;59;60;61;62;63;64;65;66;67;68;69;70;71;72;73;74;75;76;77;78;79;80;81;82;83;84;85;86;87;88;89;90;91;92;93;94;95;96;97;98;99},{100000;130000;160000;190000;220000;250000;300000;350000;400000;450000;500000;600000;700000;800000;900000;1000000;1500000;2000000;3000000;4000000;5000000;6500000;8000000;10000000;12500000;15000000;20000000;25000000;30000000;35000000;40000000;55000000;70000000;80000000;90000000;110000000;130000000;160000000;190000000;220000000;250000000;280000000;310000000;340000000;400000000})</f>
        <v>15000000</v>
      </c>
      <c r="J999" s="7" t="n">
        <f aca="false">I999*S999*T999*U999</f>
        <v>20160000</v>
      </c>
      <c r="K999" s="3"/>
      <c r="L999" s="3"/>
      <c r="M999" s="3"/>
      <c r="N999" s="9" t="n">
        <v>1</v>
      </c>
      <c r="O999" s="4" t="n">
        <v>0</v>
      </c>
      <c r="P999" s="5" t="n">
        <f aca="false">IF(COUNTIF([1]Base_Jugadores!J$2:J$500,B999)&gt;0,1,0)</f>
        <v>0</v>
      </c>
      <c r="Q999" s="10" t="b">
        <f aca="false">--(COUNTIFS(
   [1]Fichajes_Realizados!A$2:A$5000,A999,
   [1]Fichajes_Realizados!G$2:G$5000,$X$3
)&gt;0)</f>
        <v>0</v>
      </c>
      <c r="R999" s="5" t="n">
        <f aca="false">_xlfn.XLOOKUP(C999, [1]Estado_Equipos!A$2:A$500, [1]Estado_Equipos!J$2:J$500, "")</f>
        <v>78</v>
      </c>
      <c r="S999" s="5" t="n">
        <f aca="false">IF(H999&lt;=16,1.45,
IF(H999&gt;=41,0.3,
CHOOSE(ROUNDDOWN((H999-16)/2,0)+1,
1.45,1.38,1.3,1.23,1.17,1.15,1.12,1.05,0.95,0.8,0.6,0.4,0.3)))</f>
        <v>1.12</v>
      </c>
      <c r="T999" s="5" t="n">
        <f aca="false">CHOOSE(N999+1,1.2,1,0.85,0.7)</f>
        <v>1</v>
      </c>
      <c r="U999" s="5" t="n">
        <f aca="false">IF(F999="PO",0.6,
IF(F999="CT",0.75,
IF(F999="LI",0.8,
IF(F999="LD",0.8,
IF(F999="MCD",0.85,
IF(F999="MC",0.95,
IF(F999="MO",1.05,
IF(F999="EI",1.1,
IF(F999="ED",1.1,
IF(F999="SD",1.15,
IF(F999="DC",1.2,0)))))))))))</f>
        <v>1.2</v>
      </c>
    </row>
    <row r="1000" customFormat="false" ht="16.4" hidden="false" customHeight="false" outlineLevel="0" collapsed="false">
      <c r="A1000" s="1" t="n">
        <v>999</v>
      </c>
      <c r="B1000" s="5" t="str">
        <f aca="false">[1]Base_Jugadores!B1000</f>
        <v>Rodrigo Bentancur</v>
      </c>
      <c r="C1000" s="5" t="str">
        <f aca="false">IFERROR(
   _xlfn.XLOOKUP(VALUE(A1000),[1]Fichajes_Realizados!A$2:A$50000,[1]Fichajes_Realizados!D$2:D$50000,,0,-1),
   _xlfn.XLOOKUP(VALUE(A1000),[1]Base_Jugadores!A$2:A$50000,[1]Base_Jugadores!C$2:C$50000)
)</f>
        <v>Tottenham Hotspur</v>
      </c>
      <c r="D1000" s="5" t="str">
        <f aca="false">[1]Base_Jugadores!D1000</f>
        <v>Uruguay</v>
      </c>
      <c r="E1000" s="3"/>
      <c r="F1000" s="5" t="str">
        <f aca="false">[1]Base_Jugadores!E1000</f>
        <v>MCD</v>
      </c>
      <c r="G1000" s="5" t="n">
        <f aca="false">[1]Base_Jugadores!F1000</f>
        <v>83</v>
      </c>
      <c r="H1000" s="5" t="n">
        <f aca="false">[1]Base_Jugadores!G1000</f>
        <v>28</v>
      </c>
      <c r="I1000" s="7" t="n">
        <f aca="false" t="array" ref="I1000:I1000">_xlfn.XLOOKUP(G1000,{55;56;57;58;59;60;61;62;63;64;65;66;67;68;69;70;71;72;73;74;75;76;77;78;79;80;81;82;83;84;85;86;87;88;89;90;91;92;93;94;95;96;97;98;99},{100000;130000;160000;190000;220000;250000;300000;350000;400000;450000;500000;600000;700000;800000;900000;1000000;1500000;2000000;3000000;4000000;5000000;6500000;8000000;10000000;12500000;15000000;20000000;25000000;30000000;35000000;40000000;55000000;70000000;80000000;90000000;110000000;130000000;160000000;190000000;220000000;250000000;280000000;310000000;340000000;400000000})</f>
        <v>30000000</v>
      </c>
      <c r="J1000" s="7" t="n">
        <f aca="false">I1000*S1000*T1000*U1000</f>
        <v>34272000</v>
      </c>
      <c r="K1000" s="3"/>
      <c r="L1000" s="3"/>
      <c r="M1000" s="3"/>
      <c r="N1000" s="9" t="n">
        <v>0</v>
      </c>
      <c r="O1000" s="4" t="n">
        <v>0</v>
      </c>
      <c r="P1000" s="5" t="n">
        <f aca="false">IF(COUNTIF([1]Base_Jugadores!J$2:J$500,B1000)&gt;0,1,0)</f>
        <v>0</v>
      </c>
      <c r="Q1000" s="10" t="b">
        <f aca="false">--(COUNTIFS(
   [1]Fichajes_Realizados!A$2:A$5000,A1000,
   [1]Fichajes_Realizados!G$2:G$5000,$X$3
)&gt;0)</f>
        <v>0</v>
      </c>
      <c r="R1000" s="5" t="n">
        <f aca="false">_xlfn.XLOOKUP(C1000, [1]Estado_Equipos!A$2:A$500, [1]Estado_Equipos!J$2:J$500, "")</f>
        <v>78</v>
      </c>
      <c r="S1000" s="5" t="n">
        <f aca="false">IF(H1000&lt;=16,1.45,
IF(H1000&gt;=41,0.3,
CHOOSE(ROUNDDOWN((H1000-16)/2,0)+1,
1.45,1.38,1.3,1.23,1.17,1.15,1.12,1.05,0.95,0.8,0.6,0.4,0.3)))</f>
        <v>1.12</v>
      </c>
      <c r="T1000" s="5" t="n">
        <f aca="false">CHOOSE(N1000+1,1.2,1,0.85,0.7)</f>
        <v>1.2</v>
      </c>
      <c r="U1000" s="5" t="n">
        <f aca="false">IF(F1000="PO",0.6,
IF(F1000="CT",0.75,
IF(F1000="LI",0.8,
IF(F1000="LD",0.8,
IF(F1000="MCD",0.85,
IF(F1000="MC",0.95,
IF(F1000="MO",1.05,
IF(F1000="EI",1.1,
IF(F1000="ED",1.1,
IF(F1000="SD",1.15,
IF(F1000="DC",1.2,0)))))))))))</f>
        <v>0.85</v>
      </c>
    </row>
    <row r="1001" customFormat="false" ht="16.4" hidden="false" customHeight="false" outlineLevel="0" collapsed="false">
      <c r="A1001" s="1" t="n">
        <v>1000</v>
      </c>
      <c r="B1001" s="5" t="str">
        <f aca="false">[1]Base_Jugadores!B1001</f>
        <v>Wilson Odobert</v>
      </c>
      <c r="C1001" s="5" t="str">
        <f aca="false">IFERROR(
   _xlfn.XLOOKUP(VALUE(A1001),[1]Fichajes_Realizados!A$2:A$50000,[1]Fichajes_Realizados!D$2:D$50000,,0,-1),
   _xlfn.XLOOKUP(VALUE(A1001),[1]Base_Jugadores!A$2:A$50000,[1]Base_Jugadores!C$2:C$50000)
)</f>
        <v>Tottenham Hotspur</v>
      </c>
      <c r="D1001" s="5" t="str">
        <f aca="false">[1]Base_Jugadores!D1001</f>
        <v>Francia</v>
      </c>
      <c r="E1001" s="3"/>
      <c r="F1001" s="5" t="str">
        <f aca="false">[1]Base_Jugadores!E1001</f>
        <v>EI</v>
      </c>
      <c r="G1001" s="5" t="n">
        <f aca="false">[1]Base_Jugadores!F1001</f>
        <v>73</v>
      </c>
      <c r="H1001" s="5" t="n">
        <f aca="false">[1]Base_Jugadores!G1001</f>
        <v>21</v>
      </c>
      <c r="I1001" s="7" t="n">
        <f aca="false" t="array" ref="I1001:I1001">_xlfn.XLOOKUP(G1001,{55;56;57;58;59;60;61;62;63;64;65;66;67;68;69;70;71;72;73;74;75;76;77;78;79;80;81;82;83;84;85;86;87;88;89;90;91;92;93;94;95;96;97;98;99},{100000;130000;160000;190000;220000;250000;300000;350000;400000;450000;500000;600000;700000;800000;900000;1000000;1500000;2000000;3000000;4000000;5000000;6500000;8000000;10000000;12500000;15000000;20000000;25000000;30000000;35000000;40000000;55000000;70000000;80000000;90000000;110000000;130000000;160000000;190000000;220000000;250000000;280000000;310000000;340000000;400000000})</f>
        <v>3000000</v>
      </c>
      <c r="J1001" s="7" t="n">
        <f aca="false">I1001*S1001*T1001*U1001</f>
        <v>3646500</v>
      </c>
      <c r="K1001" s="3"/>
      <c r="L1001" s="3"/>
      <c r="M1001" s="3"/>
      <c r="N1001" s="9" t="n">
        <v>2</v>
      </c>
      <c r="O1001" s="4" t="n">
        <v>0</v>
      </c>
      <c r="P1001" s="5" t="n">
        <f aca="false">IF(COUNTIF([1]Base_Jugadores!J$2:J$500,B1001)&gt;0,1,0)</f>
        <v>0</v>
      </c>
      <c r="Q1001" s="10" t="b">
        <f aca="false">--(COUNTIFS(
   [1]Fichajes_Realizados!A$2:A$5000,A1001,
   [1]Fichajes_Realizados!G$2:G$5000,$X$3
)&gt;0)</f>
        <v>0</v>
      </c>
      <c r="R1001" s="5" t="n">
        <f aca="false">_xlfn.XLOOKUP(C1001, [1]Estado_Equipos!A$2:A$500, [1]Estado_Equipos!J$2:J$500, "")</f>
        <v>78</v>
      </c>
      <c r="S1001" s="5" t="n">
        <f aca="false">IF(H1001&lt;=16,1.45,
IF(H1001&gt;=41,0.3,
CHOOSE(ROUNDDOWN((H1001-16)/2,0)+1,
1.45,1.38,1.3,1.23,1.17,1.15,1.12,1.05,0.95,0.8,0.6,0.4,0.3)))</f>
        <v>1.3</v>
      </c>
      <c r="T1001" s="5" t="n">
        <f aca="false">CHOOSE(N1001+1,1.2,1,0.85,0.7)</f>
        <v>0.85</v>
      </c>
      <c r="U1001" s="5" t="n">
        <f aca="false">IF(F1001="PO",0.6,
IF(F1001="CT",0.75,
IF(F1001="LI",0.8,
IF(F1001="LD",0.8,
IF(F1001="MCD",0.85,
IF(F1001="MC",0.95,
IF(F1001="MO",1.05,
IF(F1001="EI",1.1,
IF(F1001="ED",1.1,
IF(F1001="SD",1.15,
IF(F1001="DC",1.2,0)))))))))))</f>
        <v>1.1</v>
      </c>
    </row>
    <row r="1002" customFormat="false" ht="16.4" hidden="false" customHeight="false" outlineLevel="0" collapsed="false">
      <c r="A1002" s="1" t="n">
        <v>1001</v>
      </c>
      <c r="B1002" s="5" t="str">
        <f aca="false">[1]Base_Jugadores!B1002</f>
        <v>Xavi Simons</v>
      </c>
      <c r="C1002" s="5" t="str">
        <f aca="false">IFERROR(
   _xlfn.XLOOKUP(VALUE(A1002),[1]Fichajes_Realizados!A$2:A$50000,[1]Fichajes_Realizados!D$2:D$50000,,0,-1),
   _xlfn.XLOOKUP(VALUE(A1002),[1]Base_Jugadores!A$2:A$50000,[1]Base_Jugadores!C$2:C$50000)
)</f>
        <v>Tottenham Hotspur</v>
      </c>
      <c r="D1002" s="5" t="str">
        <f aca="false">[1]Base_Jugadores!D1002</f>
        <v>Países Bajos</v>
      </c>
      <c r="E1002" s="3"/>
      <c r="F1002" s="5" t="str">
        <f aca="false">[1]Base_Jugadores!E1002</f>
        <v>MO</v>
      </c>
      <c r="G1002" s="5" t="n">
        <f aca="false">[1]Base_Jugadores!F1002</f>
        <v>83</v>
      </c>
      <c r="H1002" s="5" t="n">
        <f aca="false">[1]Base_Jugadores!G1002</f>
        <v>22</v>
      </c>
      <c r="I1002" s="7" t="n">
        <f aca="false" t="array" ref="I1002:I1002">_xlfn.XLOOKUP(G1002,{55;56;57;58;59;60;61;62;63;64;65;66;67;68;69;70;71;72;73;74;75;76;77;78;79;80;81;82;83;84;85;86;87;88;89;90;91;92;93;94;95;96;97;98;99},{100000;130000;160000;190000;220000;250000;300000;350000;400000;450000;500000;600000;700000;800000;900000;1000000;1500000;2000000;3000000;4000000;5000000;6500000;8000000;10000000;12500000;15000000;20000000;25000000;30000000;35000000;40000000;55000000;70000000;80000000;90000000;110000000;130000000;160000000;190000000;220000000;250000000;280000000;310000000;340000000;400000000})</f>
        <v>30000000</v>
      </c>
      <c r="J1002" s="7" t="n">
        <f aca="false">I1002*S1002*T1002*U1002</f>
        <v>46494000</v>
      </c>
      <c r="K1002" s="3"/>
      <c r="L1002" s="3"/>
      <c r="M1002" s="3"/>
      <c r="N1002" s="9" t="n">
        <v>0</v>
      </c>
      <c r="O1002" s="4" t="n">
        <v>0</v>
      </c>
      <c r="P1002" s="5" t="n">
        <f aca="false">IF(COUNTIF([1]Base_Jugadores!J$2:J$500,B1002)&gt;0,1,0)</f>
        <v>0</v>
      </c>
      <c r="Q1002" s="10" t="b">
        <f aca="false">--(COUNTIFS(
   [1]Fichajes_Realizados!A$2:A$5000,A1002,
   [1]Fichajes_Realizados!G$2:G$5000,$X$3
)&gt;0)</f>
        <v>0</v>
      </c>
      <c r="R1002" s="5" t="n">
        <f aca="false">_xlfn.XLOOKUP(C1002, [1]Estado_Equipos!A$2:A$500, [1]Estado_Equipos!J$2:J$500, "")</f>
        <v>78</v>
      </c>
      <c r="S1002" s="5" t="n">
        <f aca="false">IF(H1002&lt;=16,1.45,
IF(H1002&gt;=41,0.3,
CHOOSE(ROUNDDOWN((H1002-16)/2,0)+1,
1.45,1.38,1.3,1.23,1.17,1.15,1.12,1.05,0.95,0.8,0.6,0.4,0.3)))</f>
        <v>1.23</v>
      </c>
      <c r="T1002" s="5" t="n">
        <f aca="false">CHOOSE(N1002+1,1.2,1,0.85,0.7)</f>
        <v>1.2</v>
      </c>
      <c r="U1002" s="5" t="n">
        <f aca="false">IF(F1002="PO",0.6,
IF(F1002="CT",0.75,
IF(F1002="LI",0.8,
IF(F1002="LD",0.8,
IF(F1002="MCD",0.85,
IF(F1002="MC",0.95,
IF(F1002="MO",1.05,
IF(F1002="EI",1.1,
IF(F1002="ED",1.1,
IF(F1002="SD",1.15,
IF(F1002="DC",1.2,0)))))))))))</f>
        <v>1.05</v>
      </c>
    </row>
    <row r="1003" customFormat="false" ht="16.4" hidden="false" customHeight="false" outlineLevel="0" collapsed="false">
      <c r="A1003" s="1" t="n">
        <v>1002</v>
      </c>
      <c r="B1003" s="5" t="str">
        <f aca="false">[1]Base_Jugadores!B1003</f>
        <v>Yves Bissouma</v>
      </c>
      <c r="C1003" s="5" t="str">
        <f aca="false">IFERROR(
   _xlfn.XLOOKUP(VALUE(A1003),[1]Fichajes_Realizados!A$2:A$50000,[1]Fichajes_Realizados!D$2:D$50000,,0,-1),
   _xlfn.XLOOKUP(VALUE(A1003),[1]Base_Jugadores!A$2:A$50000,[1]Base_Jugadores!C$2:C$50000)
)</f>
        <v>Tottenham Hotspur</v>
      </c>
      <c r="D1003" s="5" t="str">
        <f aca="false">[1]Base_Jugadores!D1003</f>
        <v>Malí</v>
      </c>
      <c r="E1003" s="3"/>
      <c r="F1003" s="5" t="str">
        <f aca="false">[1]Base_Jugadores!E1003</f>
        <v>MCD</v>
      </c>
      <c r="G1003" s="5" t="n">
        <f aca="false">[1]Base_Jugadores!F1003</f>
        <v>82</v>
      </c>
      <c r="H1003" s="5" t="n">
        <f aca="false">[1]Base_Jugadores!G1003</f>
        <v>29</v>
      </c>
      <c r="I1003" s="7" t="n">
        <f aca="false" t="array" ref="I1003:I1003">_xlfn.XLOOKUP(G1003,{55;56;57;58;59;60;61;62;63;64;65;66;67;68;69;70;71;72;73;74;75;76;77;78;79;80;81;82;83;84;85;86;87;88;89;90;91;92;93;94;95;96;97;98;99},{100000;130000;160000;190000;220000;250000;300000;350000;400000;450000;500000;600000;700000;800000;900000;1000000;1500000;2000000;3000000;4000000;5000000;6500000;8000000;10000000;12500000;15000000;20000000;25000000;30000000;35000000;40000000;55000000;70000000;80000000;90000000;110000000;130000000;160000000;190000000;220000000;250000000;280000000;310000000;340000000;400000000})</f>
        <v>25000000</v>
      </c>
      <c r="J1003" s="7" t="n">
        <f aca="false">I1003*S1003*T1003*U1003</f>
        <v>23800000</v>
      </c>
      <c r="K1003" s="3"/>
      <c r="L1003" s="3"/>
      <c r="M1003" s="3"/>
      <c r="N1003" s="9" t="n">
        <v>1</v>
      </c>
      <c r="O1003" s="4" t="n">
        <v>0</v>
      </c>
      <c r="P1003" s="5" t="n">
        <f aca="false">IF(COUNTIF([1]Base_Jugadores!J$2:J$500,B1003)&gt;0,1,0)</f>
        <v>0</v>
      </c>
      <c r="Q1003" s="10" t="b">
        <f aca="false">--(COUNTIFS(
   [1]Fichajes_Realizados!A$2:A$5000,A1003,
   [1]Fichajes_Realizados!G$2:G$5000,$X$3
)&gt;0)</f>
        <v>0</v>
      </c>
      <c r="R1003" s="5" t="n">
        <f aca="false">_xlfn.XLOOKUP(C1003, [1]Estado_Equipos!A$2:A$500, [1]Estado_Equipos!J$2:J$500, "")</f>
        <v>78</v>
      </c>
      <c r="S1003" s="5" t="n">
        <f aca="false">IF(H1003&lt;=16,1.45,
IF(H1003&gt;=41,0.3,
CHOOSE(ROUNDDOWN((H1003-16)/2,0)+1,
1.45,1.38,1.3,1.23,1.17,1.15,1.12,1.05,0.95,0.8,0.6,0.4,0.3)))</f>
        <v>1.12</v>
      </c>
      <c r="T1003" s="5" t="n">
        <f aca="false">CHOOSE(N1003+1,1.2,1,0.85,0.7)</f>
        <v>1</v>
      </c>
      <c r="U1003" s="5" t="n">
        <f aca="false">IF(F1003="PO",0.6,
IF(F1003="CT",0.75,
IF(F1003="LI",0.8,
IF(F1003="LD",0.8,
IF(F1003="MCD",0.85,
IF(F1003="MC",0.95,
IF(F1003="MO",1.05,
IF(F1003="EI",1.1,
IF(F1003="ED",1.1,
IF(F1003="SD",1.15,
IF(F1003="DC",1.2,0)))))))))))</f>
        <v>0.85</v>
      </c>
    </row>
    <row r="1004" customFormat="false" ht="16.4" hidden="false" customHeight="false" outlineLevel="0" collapsed="false">
      <c r="A1004" s="1" t="n">
        <v>1003</v>
      </c>
      <c r="B1004" s="5" t="str">
        <f aca="false">[1]Base_Jugadores!B1004</f>
        <v>Aaron Cresswell</v>
      </c>
      <c r="C1004" s="5" t="str">
        <f aca="false">IFERROR(
   _xlfn.XLOOKUP(VALUE(A1004),[1]Fichajes_Realizados!A$2:A$50000,[1]Fichajes_Realizados!D$2:D$50000,,0,-1),
   _xlfn.XLOOKUP(VALUE(A1004),[1]Base_Jugadores!A$2:A$50000,[1]Base_Jugadores!C$2:C$50000)
)</f>
        <v>West Ham United</v>
      </c>
      <c r="D1004" s="5" t="str">
        <f aca="false">[1]Base_Jugadores!D1004</f>
        <v>Inglaterra</v>
      </c>
      <c r="E1004" s="3"/>
      <c r="F1004" s="5" t="str">
        <f aca="false">[1]Base_Jugadores!E1004</f>
        <v>LI</v>
      </c>
      <c r="G1004" s="5" t="n">
        <f aca="false">[1]Base_Jugadores!F1004</f>
        <v>74</v>
      </c>
      <c r="H1004" s="5" t="n">
        <f aca="false">[1]Base_Jugadores!G1004</f>
        <v>36</v>
      </c>
      <c r="I1004" s="7" t="n">
        <f aca="false" t="array" ref="I1004:I1004">_xlfn.XLOOKUP(G1004,{55;56;57;58;59;60;61;62;63;64;65;66;67;68;69;70;71;72;73;74;75;76;77;78;79;80;81;82;83;84;85;86;87;88;89;90;91;92;93;94;95;96;97;98;99},{100000;130000;160000;190000;220000;250000;300000;350000;400000;450000;500000;600000;700000;800000;900000;1000000;1500000;2000000;3000000;4000000;5000000;6500000;8000000;10000000;12500000;15000000;20000000;25000000;30000000;35000000;40000000;55000000;70000000;80000000;90000000;110000000;130000000;160000000;190000000;220000000;250000000;280000000;310000000;340000000;400000000})</f>
        <v>4000000</v>
      </c>
      <c r="J1004" s="7" t="n">
        <f aca="false">I1004*S1004*T1004*U1004</f>
        <v>1632000</v>
      </c>
      <c r="K1004" s="3"/>
      <c r="L1004" s="3"/>
      <c r="M1004" s="3"/>
      <c r="N1004" s="9" t="n">
        <v>2</v>
      </c>
      <c r="O1004" s="4" t="n">
        <v>0</v>
      </c>
      <c r="P1004" s="5" t="n">
        <f aca="false">IF(COUNTIF([1]Base_Jugadores!J$2:J$500,B1004)&gt;0,1,0)</f>
        <v>0</v>
      </c>
      <c r="Q1004" s="10" t="b">
        <f aca="false">--(COUNTIFS(
   [1]Fichajes_Realizados!A$2:A$5000,A1004,
   [1]Fichajes_Realizados!G$2:G$5000,$X$3
)&gt;0)</f>
        <v>0</v>
      </c>
      <c r="R1004" s="5" t="n">
        <f aca="false">_xlfn.XLOOKUP(C1004, [1]Estado_Equipos!A$2:A$500, [1]Estado_Equipos!J$2:J$500, "")</f>
        <v>75</v>
      </c>
      <c r="S1004" s="5" t="n">
        <f aca="false">IF(H1004&lt;=16,1.45,
IF(H1004&gt;=41,0.3,
CHOOSE(ROUNDDOWN((H1004-16)/2,0)+1,
1.45,1.38,1.3,1.23,1.17,1.15,1.12,1.05,0.95,0.8,0.6,0.4,0.3)))</f>
        <v>0.6</v>
      </c>
      <c r="T1004" s="5" t="n">
        <f aca="false">CHOOSE(N1004+1,1.2,1,0.85,0.7)</f>
        <v>0.85</v>
      </c>
      <c r="U1004" s="5" t="n">
        <f aca="false">IF(F1004="PO",0.6,
IF(F1004="CT",0.75,
IF(F1004="LI",0.8,
IF(F1004="LD",0.8,
IF(F1004="MCD",0.85,
IF(F1004="MC",0.95,
IF(F1004="MO",1.05,
IF(F1004="EI",1.1,
IF(F1004="ED",1.1,
IF(F1004="SD",1.15,
IF(F1004="DC",1.2,0)))))))))))</f>
        <v>0.8</v>
      </c>
    </row>
    <row r="1005" customFormat="false" ht="16.4" hidden="false" customHeight="false" outlineLevel="0" collapsed="false">
      <c r="A1005" s="1" t="n">
        <v>1004</v>
      </c>
      <c r="B1005" s="5" t="str">
        <f aca="false">[1]Base_Jugadores!B1005</f>
        <v>Aaron Wan-Bissaka</v>
      </c>
      <c r="C1005" s="5" t="str">
        <f aca="false">IFERROR(
   _xlfn.XLOOKUP(VALUE(A1005),[1]Fichajes_Realizados!A$2:A$50000,[1]Fichajes_Realizados!D$2:D$50000,,0,-1),
   _xlfn.XLOOKUP(VALUE(A1005),[1]Base_Jugadores!A$2:A$50000,[1]Base_Jugadores!C$2:C$50000)
)</f>
        <v>West Ham United</v>
      </c>
      <c r="D1005" s="5" t="str">
        <f aca="false">[1]Base_Jugadores!D1005</f>
        <v>RD del Congo</v>
      </c>
      <c r="E1005" s="3"/>
      <c r="F1005" s="5" t="str">
        <f aca="false">[1]Base_Jugadores!E1005</f>
        <v>LD</v>
      </c>
      <c r="G1005" s="5" t="n">
        <f aca="false">[1]Base_Jugadores!F1005</f>
        <v>79</v>
      </c>
      <c r="H1005" s="5" t="n">
        <f aca="false">[1]Base_Jugadores!G1005</f>
        <v>28</v>
      </c>
      <c r="I1005" s="7" t="n">
        <f aca="false" t="array" ref="I1005:I1005">_xlfn.XLOOKUP(G1005,{55;56;57;58;59;60;61;62;63;64;65;66;67;68;69;70;71;72;73;74;75;76;77;78;79;80;81;82;83;84;85;86;87;88;89;90;91;92;93;94;95;96;97;98;99},{100000;130000;160000;190000;220000;250000;300000;350000;400000;450000;500000;600000;700000;800000;900000;1000000;1500000;2000000;3000000;4000000;5000000;6500000;8000000;10000000;12500000;15000000;20000000;25000000;30000000;35000000;40000000;55000000;70000000;80000000;90000000;110000000;130000000;160000000;190000000;220000000;250000000;280000000;310000000;340000000;400000000})</f>
        <v>12500000</v>
      </c>
      <c r="J1005" s="7" t="n">
        <f aca="false">I1005*S1005*T1005*U1005</f>
        <v>13440000</v>
      </c>
      <c r="K1005" s="3"/>
      <c r="L1005" s="3"/>
      <c r="M1005" s="3"/>
      <c r="N1005" s="9" t="n">
        <v>0</v>
      </c>
      <c r="O1005" s="4" t="n">
        <v>0</v>
      </c>
      <c r="P1005" s="5" t="n">
        <f aca="false">IF(COUNTIF([1]Base_Jugadores!J$2:J$500,B1005)&gt;0,1,0)</f>
        <v>0</v>
      </c>
      <c r="Q1005" s="10" t="b">
        <f aca="false">--(COUNTIFS(
   [1]Fichajes_Realizados!A$2:A$5000,A1005,
   [1]Fichajes_Realizados!G$2:G$5000,$X$3
)&gt;0)</f>
        <v>0</v>
      </c>
      <c r="R1005" s="5" t="n">
        <f aca="false">_xlfn.XLOOKUP(C1005, [1]Estado_Equipos!A$2:A$500, [1]Estado_Equipos!J$2:J$500, "")</f>
        <v>75</v>
      </c>
      <c r="S1005" s="5" t="n">
        <f aca="false">IF(H1005&lt;=16,1.45,
IF(H1005&gt;=41,0.3,
CHOOSE(ROUNDDOWN((H1005-16)/2,0)+1,
1.45,1.38,1.3,1.23,1.17,1.15,1.12,1.05,0.95,0.8,0.6,0.4,0.3)))</f>
        <v>1.12</v>
      </c>
      <c r="T1005" s="5" t="n">
        <f aca="false">CHOOSE(N1005+1,1.2,1,0.85,0.7)</f>
        <v>1.2</v>
      </c>
      <c r="U1005" s="5" t="n">
        <f aca="false">IF(F1005="PO",0.6,
IF(F1005="CT",0.75,
IF(F1005="LI",0.8,
IF(F1005="LD",0.8,
IF(F1005="MCD",0.85,
IF(F1005="MC",0.95,
IF(F1005="MO",1.05,
IF(F1005="EI",1.1,
IF(F1005="ED",1.1,
IF(F1005="SD",1.15,
IF(F1005="DC",1.2,0)))))))))))</f>
        <v>0.8</v>
      </c>
    </row>
    <row r="1006" customFormat="false" ht="16.4" hidden="false" customHeight="false" outlineLevel="0" collapsed="false">
      <c r="A1006" s="1" t="n">
        <v>1005</v>
      </c>
      <c r="B1006" s="5" t="str">
        <f aca="false">[1]Base_Jugadores!B1006</f>
        <v>Alphonse Areola</v>
      </c>
      <c r="C1006" s="5" t="str">
        <f aca="false">IFERROR(
   _xlfn.XLOOKUP(VALUE(A1006),[1]Fichajes_Realizados!A$2:A$50000,[1]Fichajes_Realizados!D$2:D$50000,,0,-1),
   _xlfn.XLOOKUP(VALUE(A1006),[1]Base_Jugadores!A$2:A$50000,[1]Base_Jugadores!C$2:C$50000)
)</f>
        <v>West Ham United</v>
      </c>
      <c r="D1006" s="5" t="str">
        <f aca="false">[1]Base_Jugadores!D1006</f>
        <v>Francia</v>
      </c>
      <c r="E1006" s="3"/>
      <c r="F1006" s="5" t="str">
        <f aca="false">[1]Base_Jugadores!E1006</f>
        <v>PO</v>
      </c>
      <c r="G1006" s="5" t="n">
        <f aca="false">[1]Base_Jugadores!F1006</f>
        <v>81</v>
      </c>
      <c r="H1006" s="5" t="n">
        <f aca="false">[1]Base_Jugadores!G1006</f>
        <v>32</v>
      </c>
      <c r="I1006" s="7" t="n">
        <f aca="false" t="array" ref="I1006:I1006">_xlfn.XLOOKUP(G1006,{55;56;57;58;59;60;61;62;63;64;65;66;67;68;69;70;71;72;73;74;75;76;77;78;79;80;81;82;83;84;85;86;87;88;89;90;91;92;93;94;95;96;97;98;99},{100000;130000;160000;190000;220000;250000;300000;350000;400000;450000;500000;600000;700000;800000;900000;1000000;1500000;2000000;3000000;4000000;5000000;6500000;8000000;10000000;12500000;15000000;20000000;25000000;30000000;35000000;40000000;55000000;70000000;80000000;90000000;110000000;130000000;160000000;190000000;220000000;250000000;280000000;310000000;340000000;400000000})</f>
        <v>20000000</v>
      </c>
      <c r="J1006" s="7" t="n">
        <f aca="false">I1006*S1006*T1006*U1006</f>
        <v>13680000</v>
      </c>
      <c r="K1006" s="3"/>
      <c r="L1006" s="3"/>
      <c r="M1006" s="3"/>
      <c r="N1006" s="9" t="n">
        <v>0</v>
      </c>
      <c r="O1006" s="4" t="n">
        <v>0</v>
      </c>
      <c r="P1006" s="5" t="n">
        <f aca="false">IF(COUNTIF([1]Base_Jugadores!J$2:J$500,B1006)&gt;0,1,0)</f>
        <v>0</v>
      </c>
      <c r="Q1006" s="10" t="b">
        <f aca="false">--(COUNTIFS(
   [1]Fichajes_Realizados!A$2:A$5000,A1006,
   [1]Fichajes_Realizados!G$2:G$5000,$X$3
)&gt;0)</f>
        <v>0</v>
      </c>
      <c r="R1006" s="5" t="n">
        <f aca="false">_xlfn.XLOOKUP(C1006, [1]Estado_Equipos!A$2:A$500, [1]Estado_Equipos!J$2:J$500, "")</f>
        <v>75</v>
      </c>
      <c r="S1006" s="5" t="n">
        <f aca="false">IF(H1006&lt;=16,1.45,
IF(H1006&gt;=41,0.3,
CHOOSE(ROUNDDOWN((H1006-16)/2,0)+1,
1.45,1.38,1.3,1.23,1.17,1.15,1.12,1.05,0.95,0.8,0.6,0.4,0.3)))</f>
        <v>0.95</v>
      </c>
      <c r="T1006" s="5" t="n">
        <f aca="false">CHOOSE(N1006+1,1.2,1,0.85,0.7)</f>
        <v>1.2</v>
      </c>
      <c r="U1006" s="5" t="n">
        <f aca="false">IF(F1006="PO",0.6,
IF(F1006="CT",0.75,
IF(F1006="LI",0.8,
IF(F1006="LD",0.8,
IF(F1006="MCD",0.85,
IF(F1006="MC",0.95,
IF(F1006="MO",1.05,
IF(F1006="EI",1.1,
IF(F1006="ED",1.1,
IF(F1006="SD",1.15,
IF(F1006="DC",1.2,0)))))))))))</f>
        <v>0.6</v>
      </c>
    </row>
    <row r="1007" customFormat="false" ht="16.4" hidden="false" customHeight="false" outlineLevel="0" collapsed="false">
      <c r="A1007" s="1" t="n">
        <v>1006</v>
      </c>
      <c r="B1007" s="5" t="str">
        <f aca="false">[1]Base_Jugadores!B1007</f>
        <v>Andrew Irving</v>
      </c>
      <c r="C1007" s="5" t="str">
        <f aca="false">IFERROR(
   _xlfn.XLOOKUP(VALUE(A1007),[1]Fichajes_Realizados!A$2:A$50000,[1]Fichajes_Realizados!D$2:D$50000,,0,-1),
   _xlfn.XLOOKUP(VALUE(A1007),[1]Base_Jugadores!A$2:A$50000,[1]Base_Jugadores!C$2:C$50000)
)</f>
        <v>West Ham United</v>
      </c>
      <c r="D1007" s="5" t="str">
        <f aca="false">[1]Base_Jugadores!D1007</f>
        <v>Escocia</v>
      </c>
      <c r="E1007" s="3"/>
      <c r="F1007" s="5" t="str">
        <f aca="false">[1]Base_Jugadores!E1007</f>
        <v>MC</v>
      </c>
      <c r="G1007" s="5" t="n">
        <f aca="false">[1]Base_Jugadores!F1007</f>
        <v>71</v>
      </c>
      <c r="H1007" s="5" t="n">
        <f aca="false">[1]Base_Jugadores!G1007</f>
        <v>25</v>
      </c>
      <c r="I1007" s="7" t="n">
        <f aca="false" t="array" ref="I1007:I1007">_xlfn.XLOOKUP(G1007,{55;56;57;58;59;60;61;62;63;64;65;66;67;68;69;70;71;72;73;74;75;76;77;78;79;80;81;82;83;84;85;86;87;88;89;90;91;92;93;94;95;96;97;98;99},{100000;130000;160000;190000;220000;250000;300000;350000;400000;450000;500000;600000;700000;800000;900000;1000000;1500000;2000000;3000000;4000000;5000000;6500000;8000000;10000000;12500000;15000000;20000000;25000000;30000000;35000000;40000000;55000000;70000000;80000000;90000000;110000000;130000000;160000000;190000000;220000000;250000000;280000000;310000000;340000000;400000000})</f>
        <v>1500000</v>
      </c>
      <c r="J1007" s="7" t="n">
        <f aca="false">I1007*S1007*T1007*U1007</f>
        <v>1417162.5</v>
      </c>
      <c r="K1007" s="3"/>
      <c r="L1007" s="3"/>
      <c r="M1007" s="3"/>
      <c r="N1007" s="9" t="n">
        <v>2</v>
      </c>
      <c r="O1007" s="4" t="n">
        <v>0</v>
      </c>
      <c r="P1007" s="5" t="n">
        <f aca="false">IF(COUNTIF([1]Base_Jugadores!J$2:J$500,B1007)&gt;0,1,0)</f>
        <v>0</v>
      </c>
      <c r="Q1007" s="10" t="b">
        <f aca="false">--(COUNTIFS(
   [1]Fichajes_Realizados!A$2:A$5000,A1007,
   [1]Fichajes_Realizados!G$2:G$5000,$X$3
)&gt;0)</f>
        <v>0</v>
      </c>
      <c r="R1007" s="5" t="n">
        <f aca="false">_xlfn.XLOOKUP(C1007, [1]Estado_Equipos!A$2:A$500, [1]Estado_Equipos!J$2:J$500, "")</f>
        <v>75</v>
      </c>
      <c r="S1007" s="5" t="n">
        <f aca="false">IF(H1007&lt;=16,1.45,
IF(H1007&gt;=41,0.3,
CHOOSE(ROUNDDOWN((H1007-16)/2,0)+1,
1.45,1.38,1.3,1.23,1.17,1.15,1.12,1.05,0.95,0.8,0.6,0.4,0.3)))</f>
        <v>1.17</v>
      </c>
      <c r="T1007" s="5" t="n">
        <f aca="false">CHOOSE(N1007+1,1.2,1,0.85,0.7)</f>
        <v>0.85</v>
      </c>
      <c r="U1007" s="5" t="n">
        <f aca="false">IF(F1007="PO",0.6,
IF(F1007="CT",0.75,
IF(F1007="LI",0.8,
IF(F1007="LD",0.8,
IF(F1007="MCD",0.85,
IF(F1007="MC",0.95,
IF(F1007="MO",1.05,
IF(F1007="EI",1.1,
IF(F1007="ED",1.1,
IF(F1007="SD",1.15,
IF(F1007="DC",1.2,0)))))))))))</f>
        <v>0.95</v>
      </c>
    </row>
    <row r="1008" customFormat="false" ht="16.4" hidden="false" customHeight="false" outlineLevel="0" collapsed="false">
      <c r="A1008" s="1" t="n">
        <v>1007</v>
      </c>
      <c r="B1008" s="5" t="str">
        <f aca="false">[1]Base_Jugadores!B1008</f>
        <v>C. Summerville</v>
      </c>
      <c r="C1008" s="5" t="str">
        <f aca="false">IFERROR(
   _xlfn.XLOOKUP(VALUE(A1008),[1]Fichajes_Realizados!A$2:A$50000,[1]Fichajes_Realizados!D$2:D$50000,,0,-1),
   _xlfn.XLOOKUP(VALUE(A1008),[1]Base_Jugadores!A$2:A$50000,[1]Base_Jugadores!C$2:C$50000)
)</f>
        <v>West Ham United</v>
      </c>
      <c r="D1008" s="5" t="str">
        <f aca="false">[1]Base_Jugadores!D1008</f>
        <v>Países Bajos</v>
      </c>
      <c r="E1008" s="3"/>
      <c r="F1008" s="5" t="str">
        <f aca="false">[1]Base_Jugadores!E1008</f>
        <v>EI</v>
      </c>
      <c r="G1008" s="5" t="n">
        <f aca="false">[1]Base_Jugadores!F1008</f>
        <v>77</v>
      </c>
      <c r="H1008" s="5" t="n">
        <f aca="false">[1]Base_Jugadores!G1008</f>
        <v>24</v>
      </c>
      <c r="I1008" s="7" t="n">
        <f aca="false" t="array" ref="I1008:I1008">_xlfn.XLOOKUP(G1008,{55;56;57;58;59;60;61;62;63;64;65;66;67;68;69;70;71;72;73;74;75;76;77;78;79;80;81;82;83;84;85;86;87;88;89;90;91;92;93;94;95;96;97;98;99},{100000;130000;160000;190000;220000;250000;300000;350000;400000;450000;500000;600000;700000;800000;900000;1000000;1500000;2000000;3000000;4000000;5000000;6500000;8000000;10000000;12500000;15000000;20000000;25000000;30000000;35000000;40000000;55000000;70000000;80000000;90000000;110000000;130000000;160000000;190000000;220000000;250000000;280000000;310000000;340000000;400000000})</f>
        <v>8000000</v>
      </c>
      <c r="J1008" s="7" t="n">
        <f aca="false">I1008*S1008*T1008*U1008</f>
        <v>12355200</v>
      </c>
      <c r="K1008" s="3"/>
      <c r="L1008" s="3"/>
      <c r="M1008" s="3"/>
      <c r="N1008" s="9" t="n">
        <v>0</v>
      </c>
      <c r="O1008" s="4" t="n">
        <v>0</v>
      </c>
      <c r="P1008" s="5" t="n">
        <f aca="false">IF(COUNTIF([1]Base_Jugadores!J$2:J$500,B1008)&gt;0,1,0)</f>
        <v>0</v>
      </c>
      <c r="Q1008" s="10" t="b">
        <f aca="false">--(COUNTIFS(
   [1]Fichajes_Realizados!A$2:A$5000,A1008,
   [1]Fichajes_Realizados!G$2:G$5000,$X$3
)&gt;0)</f>
        <v>0</v>
      </c>
      <c r="R1008" s="5" t="n">
        <f aca="false">_xlfn.XLOOKUP(C1008, [1]Estado_Equipos!A$2:A$500, [1]Estado_Equipos!J$2:J$500, "")</f>
        <v>75</v>
      </c>
      <c r="S1008" s="5" t="n">
        <f aca="false">IF(H1008&lt;=16,1.45,
IF(H1008&gt;=41,0.3,
CHOOSE(ROUNDDOWN((H1008-16)/2,0)+1,
1.45,1.38,1.3,1.23,1.17,1.15,1.12,1.05,0.95,0.8,0.6,0.4,0.3)))</f>
        <v>1.17</v>
      </c>
      <c r="T1008" s="5" t="n">
        <f aca="false">CHOOSE(N1008+1,1.2,1,0.85,0.7)</f>
        <v>1.2</v>
      </c>
      <c r="U1008" s="5" t="n">
        <f aca="false">IF(F1008="PO",0.6,
IF(F1008="CT",0.75,
IF(F1008="LI",0.8,
IF(F1008="LD",0.8,
IF(F1008="MCD",0.85,
IF(F1008="MC",0.95,
IF(F1008="MO",1.05,
IF(F1008="EI",1.1,
IF(F1008="ED",1.1,
IF(F1008="SD",1.15,
IF(F1008="DC",1.2,0)))))))))))</f>
        <v>1.1</v>
      </c>
    </row>
    <row r="1009" customFormat="false" ht="16.4" hidden="false" customHeight="false" outlineLevel="0" collapsed="false">
      <c r="A1009" s="1" t="n">
        <v>1008</v>
      </c>
      <c r="B1009" s="5" t="str">
        <f aca="false">[1]Base_Jugadores!B1009</f>
        <v>Callum Marshall</v>
      </c>
      <c r="C1009" s="5" t="str">
        <f aca="false">IFERROR(
   _xlfn.XLOOKUP(VALUE(A1009),[1]Fichajes_Realizados!A$2:A$50000,[1]Fichajes_Realizados!D$2:D$50000,,0,-1),
   _xlfn.XLOOKUP(VALUE(A1009),[1]Base_Jugadores!A$2:A$50000,[1]Base_Jugadores!C$2:C$50000)
)</f>
        <v>West Ham United</v>
      </c>
      <c r="D1009" s="5" t="str">
        <f aca="false">[1]Base_Jugadores!D1009</f>
        <v>Irlanda del Norte</v>
      </c>
      <c r="E1009" s="3"/>
      <c r="F1009" s="5" t="str">
        <f aca="false">[1]Base_Jugadores!E1009</f>
        <v>DC</v>
      </c>
      <c r="G1009" s="5" t="n">
        <f aca="false">[1]Base_Jugadores!F1009</f>
        <v>64</v>
      </c>
      <c r="H1009" s="5" t="n">
        <f aca="false">[1]Base_Jugadores!G1009</f>
        <v>21</v>
      </c>
      <c r="I1009" s="7" t="n">
        <f aca="false" t="array" ref="I1009:I1009">_xlfn.XLOOKUP(G1009,{55;56;57;58;59;60;61;62;63;64;65;66;67;68;69;70;71;72;73;74;75;76;77;78;79;80;81;82;83;84;85;86;87;88;89;90;91;92;93;94;95;96;97;98;99},{100000;130000;160000;190000;220000;250000;300000;350000;400000;450000;500000;600000;700000;800000;900000;1000000;1500000;2000000;3000000;4000000;5000000;6500000;8000000;10000000;12500000;15000000;20000000;25000000;30000000;35000000;40000000;55000000;70000000;80000000;90000000;110000000;130000000;160000000;190000000;220000000;250000000;280000000;310000000;340000000;400000000})</f>
        <v>450000</v>
      </c>
      <c r="J1009" s="7" t="n">
        <f aca="false">I1009*S1009*T1009*U1009</f>
        <v>702000</v>
      </c>
      <c r="K1009" s="3"/>
      <c r="L1009" s="3"/>
      <c r="M1009" s="3"/>
      <c r="N1009" s="9" t="n">
        <v>1</v>
      </c>
      <c r="O1009" s="4" t="n">
        <v>0</v>
      </c>
      <c r="P1009" s="5" t="n">
        <f aca="false">IF(COUNTIF([1]Base_Jugadores!J$2:J$500,B1009)&gt;0,1,0)</f>
        <v>0</v>
      </c>
      <c r="Q1009" s="10" t="b">
        <f aca="false">--(COUNTIFS(
   [1]Fichajes_Realizados!A$2:A$5000,A1009,
   [1]Fichajes_Realizados!G$2:G$5000,$X$3
)&gt;0)</f>
        <v>0</v>
      </c>
      <c r="R1009" s="5" t="n">
        <f aca="false">_xlfn.XLOOKUP(C1009, [1]Estado_Equipos!A$2:A$500, [1]Estado_Equipos!J$2:J$500, "")</f>
        <v>75</v>
      </c>
      <c r="S1009" s="5" t="n">
        <f aca="false">IF(H1009&lt;=16,1.45,
IF(H1009&gt;=41,0.3,
CHOOSE(ROUNDDOWN((H1009-16)/2,0)+1,
1.45,1.38,1.3,1.23,1.17,1.15,1.12,1.05,0.95,0.8,0.6,0.4,0.3)))</f>
        <v>1.3</v>
      </c>
      <c r="T1009" s="5" t="n">
        <f aca="false">CHOOSE(N1009+1,1.2,1,0.85,0.7)</f>
        <v>1</v>
      </c>
      <c r="U1009" s="5" t="n">
        <f aca="false">IF(F1009="PO",0.6,
IF(F1009="CT",0.75,
IF(F1009="LI",0.8,
IF(F1009="LD",0.8,
IF(F1009="MCD",0.85,
IF(F1009="MC",0.95,
IF(F1009="MO",1.05,
IF(F1009="EI",1.1,
IF(F1009="ED",1.1,
IF(F1009="SD",1.15,
IF(F1009="DC",1.2,0)))))))))))</f>
        <v>1.2</v>
      </c>
    </row>
    <row r="1010" customFormat="false" ht="16.4" hidden="false" customHeight="false" outlineLevel="0" collapsed="false">
      <c r="A1010" s="1" t="n">
        <v>1009</v>
      </c>
      <c r="B1010" s="5" t="str">
        <f aca="false">[1]Base_Jugadores!B1010</f>
        <v>Callum Wilson</v>
      </c>
      <c r="C1010" s="5" t="str">
        <f aca="false">IFERROR(
   _xlfn.XLOOKUP(VALUE(A1010),[1]Fichajes_Realizados!A$2:A$50000,[1]Fichajes_Realizados!D$2:D$50000,,0,-1),
   _xlfn.XLOOKUP(VALUE(A1010),[1]Base_Jugadores!A$2:A$50000,[1]Base_Jugadores!C$2:C$50000)
)</f>
        <v>West Ham United</v>
      </c>
      <c r="D1010" s="5" t="str">
        <f aca="false">[1]Base_Jugadores!D1010</f>
        <v>Inglaterra</v>
      </c>
      <c r="E1010" s="3"/>
      <c r="F1010" s="5" t="str">
        <f aca="false">[1]Base_Jugadores!E1010</f>
        <v>DC</v>
      </c>
      <c r="G1010" s="5" t="n">
        <f aca="false">[1]Base_Jugadores!F1010</f>
        <v>81</v>
      </c>
      <c r="H1010" s="5" t="n">
        <f aca="false">[1]Base_Jugadores!G1010</f>
        <v>33</v>
      </c>
      <c r="I1010" s="7" t="n">
        <f aca="false" t="array" ref="I1010:I1010">_xlfn.XLOOKUP(G1010,{55;56;57;58;59;60;61;62;63;64;65;66;67;68;69;70;71;72;73;74;75;76;77;78;79;80;81;82;83;84;85;86;87;88;89;90;91;92;93;94;95;96;97;98;99},{100000;130000;160000;190000;220000;250000;300000;350000;400000;450000;500000;600000;700000;800000;900000;1000000;1500000;2000000;3000000;4000000;5000000;6500000;8000000;10000000;12500000;15000000;20000000;25000000;30000000;35000000;40000000;55000000;70000000;80000000;90000000;110000000;130000000;160000000;190000000;220000000;250000000;280000000;310000000;340000000;400000000})</f>
        <v>20000000</v>
      </c>
      <c r="J1010" s="7" t="n">
        <f aca="false">I1010*S1010*T1010*U1010</f>
        <v>19380000</v>
      </c>
      <c r="K1010" s="3"/>
      <c r="L1010" s="3"/>
      <c r="M1010" s="3"/>
      <c r="N1010" s="9" t="n">
        <v>2</v>
      </c>
      <c r="O1010" s="4" t="n">
        <v>0</v>
      </c>
      <c r="P1010" s="5" t="n">
        <f aca="false">IF(COUNTIF([1]Base_Jugadores!J$2:J$500,B1010)&gt;0,1,0)</f>
        <v>0</v>
      </c>
      <c r="Q1010" s="10" t="b">
        <f aca="false">--(COUNTIFS(
   [1]Fichajes_Realizados!A$2:A$5000,A1010,
   [1]Fichajes_Realizados!G$2:G$5000,$X$3
)&gt;0)</f>
        <v>0</v>
      </c>
      <c r="R1010" s="5" t="n">
        <f aca="false">_xlfn.XLOOKUP(C1010, [1]Estado_Equipos!A$2:A$500, [1]Estado_Equipos!J$2:J$500, "")</f>
        <v>75</v>
      </c>
      <c r="S1010" s="5" t="n">
        <f aca="false">IF(H1010&lt;=16,1.45,
IF(H1010&gt;=41,0.3,
CHOOSE(ROUNDDOWN((H1010-16)/2,0)+1,
1.45,1.38,1.3,1.23,1.17,1.15,1.12,1.05,0.95,0.8,0.6,0.4,0.3)))</f>
        <v>0.95</v>
      </c>
      <c r="T1010" s="5" t="n">
        <f aca="false">CHOOSE(N1010+1,1.2,1,0.85,0.7)</f>
        <v>0.85</v>
      </c>
      <c r="U1010" s="5" t="n">
        <f aca="false">IF(F1010="PO",0.6,
IF(F1010="CT",0.75,
IF(F1010="LI",0.8,
IF(F1010="LD",0.8,
IF(F1010="MCD",0.85,
IF(F1010="MC",0.95,
IF(F1010="MO",1.05,
IF(F1010="EI",1.1,
IF(F1010="ED",1.1,
IF(F1010="SD",1.15,
IF(F1010="DC",1.2,0)))))))))))</f>
        <v>1.2</v>
      </c>
    </row>
    <row r="1011" customFormat="false" ht="16.4" hidden="false" customHeight="false" outlineLevel="0" collapsed="false">
      <c r="A1011" s="1" t="n">
        <v>1010</v>
      </c>
      <c r="B1011" s="5" t="str">
        <f aca="false">[1]Base_Jugadores!B1011</f>
        <v>El Hadji Diouf</v>
      </c>
      <c r="C1011" s="5" t="str">
        <f aca="false">IFERROR(
   _xlfn.XLOOKUP(VALUE(A1011),[1]Fichajes_Realizados!A$2:A$50000,[1]Fichajes_Realizados!D$2:D$50000,,0,-1),
   _xlfn.XLOOKUP(VALUE(A1011),[1]Base_Jugadores!A$2:A$50000,[1]Base_Jugadores!C$2:C$50000)
)</f>
        <v>West Ham United</v>
      </c>
      <c r="D1011" s="5" t="str">
        <f aca="false">[1]Base_Jugadores!D1011</f>
        <v>Senegal</v>
      </c>
      <c r="E1011" s="3"/>
      <c r="F1011" s="5" t="str">
        <f aca="false">[1]Base_Jugadores!E1011</f>
        <v>LI</v>
      </c>
      <c r="G1011" s="5" t="n">
        <f aca="false">[1]Base_Jugadores!F1011</f>
        <v>77</v>
      </c>
      <c r="H1011" s="5" t="n">
        <f aca="false">[1]Base_Jugadores!G1011</f>
        <v>21</v>
      </c>
      <c r="I1011" s="7" t="n">
        <f aca="false" t="array" ref="I1011:I1011">_xlfn.XLOOKUP(G1011,{55;56;57;58;59;60;61;62;63;64;65;66;67;68;69;70;71;72;73;74;75;76;77;78;79;80;81;82;83;84;85;86;87;88;89;90;91;92;93;94;95;96;97;98;99},{100000;130000;160000;190000;220000;250000;300000;350000;400000;450000;500000;600000;700000;800000;900000;1000000;1500000;2000000;3000000;4000000;5000000;6500000;8000000;10000000;12500000;15000000;20000000;25000000;30000000;35000000;40000000;55000000;70000000;80000000;90000000;110000000;130000000;160000000;190000000;220000000;250000000;280000000;310000000;340000000;400000000})</f>
        <v>8000000</v>
      </c>
      <c r="J1011" s="7" t="n">
        <f aca="false">I1011*S1011*T1011*U1011</f>
        <v>9984000</v>
      </c>
      <c r="K1011" s="3"/>
      <c r="L1011" s="3"/>
      <c r="M1011" s="3"/>
      <c r="N1011" s="9" t="n">
        <v>0</v>
      </c>
      <c r="O1011" s="4" t="n">
        <v>0</v>
      </c>
      <c r="P1011" s="5" t="n">
        <f aca="false">IF(COUNTIF([1]Base_Jugadores!J$2:J$500,B1011)&gt;0,1,0)</f>
        <v>0</v>
      </c>
      <c r="Q1011" s="10" t="b">
        <f aca="false">--(COUNTIFS(
   [1]Fichajes_Realizados!A$2:A$5000,A1011,
   [1]Fichajes_Realizados!G$2:G$5000,$X$3
)&gt;0)</f>
        <v>0</v>
      </c>
      <c r="R1011" s="5" t="n">
        <f aca="false">_xlfn.XLOOKUP(C1011, [1]Estado_Equipos!A$2:A$500, [1]Estado_Equipos!J$2:J$500, "")</f>
        <v>75</v>
      </c>
      <c r="S1011" s="5" t="n">
        <f aca="false">IF(H1011&lt;=16,1.45,
IF(H1011&gt;=41,0.3,
CHOOSE(ROUNDDOWN((H1011-16)/2,0)+1,
1.45,1.38,1.3,1.23,1.17,1.15,1.12,1.05,0.95,0.8,0.6,0.4,0.3)))</f>
        <v>1.3</v>
      </c>
      <c r="T1011" s="5" t="n">
        <f aca="false">CHOOSE(N1011+1,1.2,1,0.85,0.7)</f>
        <v>1.2</v>
      </c>
      <c r="U1011" s="5" t="n">
        <f aca="false">IF(F1011="PO",0.6,
IF(F1011="CT",0.75,
IF(F1011="LI",0.8,
IF(F1011="LD",0.8,
IF(F1011="MCD",0.85,
IF(F1011="MC",0.95,
IF(F1011="MO",1.05,
IF(F1011="EI",1.1,
IF(F1011="ED",1.1,
IF(F1011="SD",1.15,
IF(F1011="DC",1.2,0)))))))))))</f>
        <v>0.8</v>
      </c>
    </row>
    <row r="1012" customFormat="false" ht="16.4" hidden="false" customHeight="false" outlineLevel="0" collapsed="false">
      <c r="A1012" s="1" t="n">
        <v>1011</v>
      </c>
      <c r="B1012" s="5" t="str">
        <f aca="false">[1]Base_Jugadores!B1012</f>
        <v>Freddie Potts</v>
      </c>
      <c r="C1012" s="5" t="str">
        <f aca="false">IFERROR(
   _xlfn.XLOOKUP(VALUE(A1012),[1]Fichajes_Realizados!A$2:A$50000,[1]Fichajes_Realizados!D$2:D$50000,,0,-1),
   _xlfn.XLOOKUP(VALUE(A1012),[1]Base_Jugadores!A$2:A$50000,[1]Base_Jugadores!C$2:C$50000)
)</f>
        <v>West Ham United</v>
      </c>
      <c r="D1012" s="5" t="str">
        <f aca="false">[1]Base_Jugadores!D1012</f>
        <v>Inglaterra</v>
      </c>
      <c r="E1012" s="3"/>
      <c r="F1012" s="5" t="str">
        <f aca="false">[1]Base_Jugadores!E1012</f>
        <v>MCD</v>
      </c>
      <c r="G1012" s="5" t="n">
        <f aca="false">[1]Base_Jugadores!F1012</f>
        <v>69</v>
      </c>
      <c r="H1012" s="5" t="n">
        <f aca="false">[1]Base_Jugadores!G1012</f>
        <v>22</v>
      </c>
      <c r="I1012" s="7" t="n">
        <f aca="false" t="array" ref="I1012:I1012">_xlfn.XLOOKUP(G1012,{55;56;57;58;59;60;61;62;63;64;65;66;67;68;69;70;71;72;73;74;75;76;77;78;79;80;81;82;83;84;85;86;87;88;89;90;91;92;93;94;95;96;97;98;99},{100000;130000;160000;190000;220000;250000;300000;350000;400000;450000;500000;600000;700000;800000;900000;1000000;1500000;2000000;3000000;4000000;5000000;6500000;8000000;10000000;12500000;15000000;20000000;25000000;30000000;35000000;40000000;55000000;70000000;80000000;90000000;110000000;130000000;160000000;190000000;220000000;250000000;280000000;310000000;340000000;400000000})</f>
        <v>900000</v>
      </c>
      <c r="J1012" s="7" t="n">
        <f aca="false">I1012*S1012*T1012*U1012</f>
        <v>799807.5</v>
      </c>
      <c r="K1012" s="3"/>
      <c r="L1012" s="3"/>
      <c r="M1012" s="3"/>
      <c r="N1012" s="9" t="n">
        <v>2</v>
      </c>
      <c r="O1012" s="4" t="n">
        <v>0</v>
      </c>
      <c r="P1012" s="5" t="n">
        <f aca="false">IF(COUNTIF([1]Base_Jugadores!J$2:J$500,B1012)&gt;0,1,0)</f>
        <v>0</v>
      </c>
      <c r="Q1012" s="10" t="b">
        <f aca="false">--(COUNTIFS(
   [1]Fichajes_Realizados!A$2:A$5000,A1012,
   [1]Fichajes_Realizados!G$2:G$5000,$X$3
)&gt;0)</f>
        <v>0</v>
      </c>
      <c r="R1012" s="5" t="n">
        <f aca="false">_xlfn.XLOOKUP(C1012, [1]Estado_Equipos!A$2:A$500, [1]Estado_Equipos!J$2:J$500, "")</f>
        <v>75</v>
      </c>
      <c r="S1012" s="5" t="n">
        <f aca="false">IF(H1012&lt;=16,1.45,
IF(H1012&gt;=41,0.3,
CHOOSE(ROUNDDOWN((H1012-16)/2,0)+1,
1.45,1.38,1.3,1.23,1.17,1.15,1.12,1.05,0.95,0.8,0.6,0.4,0.3)))</f>
        <v>1.23</v>
      </c>
      <c r="T1012" s="5" t="n">
        <f aca="false">CHOOSE(N1012+1,1.2,1,0.85,0.7)</f>
        <v>0.85</v>
      </c>
      <c r="U1012" s="5" t="n">
        <f aca="false">IF(F1012="PO",0.6,
IF(F1012="CT",0.75,
IF(F1012="LI",0.8,
IF(F1012="LD",0.8,
IF(F1012="MCD",0.85,
IF(F1012="MC",0.95,
IF(F1012="MO",1.05,
IF(F1012="EI",1.1,
IF(F1012="ED",1.1,
IF(F1012="SD",1.15,
IF(F1012="DC",1.2,0)))))))))))</f>
        <v>0.85</v>
      </c>
    </row>
    <row r="1013" customFormat="false" ht="16.4" hidden="false" customHeight="false" outlineLevel="0" collapsed="false">
      <c r="A1013" s="1" t="n">
        <v>1012</v>
      </c>
      <c r="B1013" s="5" t="str">
        <f aca="false">[1]Base_Jugadores!B1013</f>
        <v>George Earthy</v>
      </c>
      <c r="C1013" s="5" t="str">
        <f aca="false">IFERROR(
   _xlfn.XLOOKUP(VALUE(A1013),[1]Fichajes_Realizados!A$2:A$50000,[1]Fichajes_Realizados!D$2:D$50000,,0,-1),
   _xlfn.XLOOKUP(VALUE(A1013),[1]Base_Jugadores!A$2:A$50000,[1]Base_Jugadores!C$2:C$50000)
)</f>
        <v>West Ham United</v>
      </c>
      <c r="D1013" s="5" t="str">
        <f aca="false">[1]Base_Jugadores!D1013</f>
        <v>Inglaterra</v>
      </c>
      <c r="E1013" s="3"/>
      <c r="F1013" s="5" t="str">
        <f aca="false">[1]Base_Jugadores!E1013</f>
        <v>MO</v>
      </c>
      <c r="G1013" s="5" t="n">
        <f aca="false">[1]Base_Jugadores!F1013</f>
        <v>64</v>
      </c>
      <c r="H1013" s="5" t="n">
        <f aca="false">[1]Base_Jugadores!G1013</f>
        <v>21</v>
      </c>
      <c r="I1013" s="7" t="n">
        <f aca="false" t="array" ref="I1013:I1013">_xlfn.XLOOKUP(G1013,{55;56;57;58;59;60;61;62;63;64;65;66;67;68;69;70;71;72;73;74;75;76;77;78;79;80;81;82;83;84;85;86;87;88;89;90;91;92;93;94;95;96;97;98;99},{100000;130000;160000;190000;220000;250000;300000;350000;400000;450000;500000;600000;700000;800000;900000;1000000;1500000;2000000;3000000;4000000;5000000;6500000;8000000;10000000;12500000;15000000;20000000;25000000;30000000;35000000;40000000;55000000;70000000;80000000;90000000;110000000;130000000;160000000;190000000;220000000;250000000;280000000;310000000;340000000;400000000})</f>
        <v>450000</v>
      </c>
      <c r="J1013" s="7" t="n">
        <f aca="false">I1013*S1013*T1013*U1013</f>
        <v>522112.5</v>
      </c>
      <c r="K1013" s="3"/>
      <c r="L1013" s="3"/>
      <c r="M1013" s="3"/>
      <c r="N1013" s="9" t="n">
        <v>2</v>
      </c>
      <c r="O1013" s="4" t="n">
        <v>0</v>
      </c>
      <c r="P1013" s="5" t="n">
        <f aca="false">IF(COUNTIF([1]Base_Jugadores!J$2:J$500,B1013)&gt;0,1,0)</f>
        <v>0</v>
      </c>
      <c r="Q1013" s="10" t="b">
        <f aca="false">--(COUNTIFS(
   [1]Fichajes_Realizados!A$2:A$5000,A1013,
   [1]Fichajes_Realizados!G$2:G$5000,$X$3
)&gt;0)</f>
        <v>0</v>
      </c>
      <c r="R1013" s="5" t="n">
        <f aca="false">_xlfn.XLOOKUP(C1013, [1]Estado_Equipos!A$2:A$500, [1]Estado_Equipos!J$2:J$500, "")</f>
        <v>75</v>
      </c>
      <c r="S1013" s="5" t="n">
        <f aca="false">IF(H1013&lt;=16,1.45,
IF(H1013&gt;=41,0.3,
CHOOSE(ROUNDDOWN((H1013-16)/2,0)+1,
1.45,1.38,1.3,1.23,1.17,1.15,1.12,1.05,0.95,0.8,0.6,0.4,0.3)))</f>
        <v>1.3</v>
      </c>
      <c r="T1013" s="5" t="n">
        <f aca="false">CHOOSE(N1013+1,1.2,1,0.85,0.7)</f>
        <v>0.85</v>
      </c>
      <c r="U1013" s="5" t="n">
        <f aca="false">IF(F1013="PO",0.6,
IF(F1013="CT",0.75,
IF(F1013="LI",0.8,
IF(F1013="LD",0.8,
IF(F1013="MCD",0.85,
IF(F1013="MC",0.95,
IF(F1013="MO",1.05,
IF(F1013="EI",1.1,
IF(F1013="ED",1.1,
IF(F1013="SD",1.15,
IF(F1013="DC",1.2,0)))))))))))</f>
        <v>1.05</v>
      </c>
    </row>
    <row r="1014" customFormat="false" ht="16.4" hidden="false" customHeight="false" outlineLevel="0" collapsed="false">
      <c r="A1014" s="1" t="n">
        <v>1013</v>
      </c>
      <c r="B1014" s="5" t="str">
        <f aca="false">[1]Base_Jugadores!B1014</f>
        <v>Guido Rodríguez</v>
      </c>
      <c r="C1014" s="5" t="str">
        <f aca="false">IFERROR(
   _xlfn.XLOOKUP(VALUE(A1014),[1]Fichajes_Realizados!A$2:A$50000,[1]Fichajes_Realizados!D$2:D$50000,,0,-1),
   _xlfn.XLOOKUP(VALUE(A1014),[1]Base_Jugadores!A$2:A$50000,[1]Base_Jugadores!C$2:C$50000)
)</f>
        <v>West Ham United</v>
      </c>
      <c r="D1014" s="5" t="str">
        <f aca="false">[1]Base_Jugadores!D1014</f>
        <v>Argentina</v>
      </c>
      <c r="E1014" s="3"/>
      <c r="F1014" s="5" t="str">
        <f aca="false">[1]Base_Jugadores!E1014</f>
        <v>MCD</v>
      </c>
      <c r="G1014" s="5" t="n">
        <f aca="false">[1]Base_Jugadores!F1014</f>
        <v>82</v>
      </c>
      <c r="H1014" s="5" t="n">
        <f aca="false">[1]Base_Jugadores!G1014</f>
        <v>31</v>
      </c>
      <c r="I1014" s="7" t="n">
        <f aca="false" t="array" ref="I1014:I1014">_xlfn.XLOOKUP(G1014,{55;56;57;58;59;60;61;62;63;64;65;66;67;68;69;70;71;72;73;74;75;76;77;78;79;80;81;82;83;84;85;86;87;88;89;90;91;92;93;94;95;96;97;98;99},{100000;130000;160000;190000;220000;250000;300000;350000;400000;450000;500000;600000;700000;800000;900000;1000000;1500000;2000000;3000000;4000000;5000000;6500000;8000000;10000000;12500000;15000000;20000000;25000000;30000000;35000000;40000000;55000000;70000000;80000000;90000000;110000000;130000000;160000000;190000000;220000000;250000000;280000000;310000000;340000000;400000000})</f>
        <v>25000000</v>
      </c>
      <c r="J1014" s="7" t="n">
        <f aca="false">I1014*S1014*T1014*U1014</f>
        <v>26775000</v>
      </c>
      <c r="K1014" s="3"/>
      <c r="L1014" s="3"/>
      <c r="M1014" s="3"/>
      <c r="N1014" s="9" t="n">
        <v>0</v>
      </c>
      <c r="O1014" s="4" t="n">
        <v>0</v>
      </c>
      <c r="P1014" s="5" t="n">
        <f aca="false">IF(COUNTIF([1]Base_Jugadores!J$2:J$500,B1014)&gt;0,1,0)</f>
        <v>0</v>
      </c>
      <c r="Q1014" s="10" t="b">
        <f aca="false">--(COUNTIFS(
   [1]Fichajes_Realizados!A$2:A$5000,A1014,
   [1]Fichajes_Realizados!G$2:G$5000,$X$3
)&gt;0)</f>
        <v>0</v>
      </c>
      <c r="R1014" s="5" t="n">
        <f aca="false">_xlfn.XLOOKUP(C1014, [1]Estado_Equipos!A$2:A$500, [1]Estado_Equipos!J$2:J$500, "")</f>
        <v>75</v>
      </c>
      <c r="S1014" s="5" t="n">
        <f aca="false">IF(H1014&lt;=16,1.45,
IF(H1014&gt;=41,0.3,
CHOOSE(ROUNDDOWN((H1014-16)/2,0)+1,
1.45,1.38,1.3,1.23,1.17,1.15,1.12,1.05,0.95,0.8,0.6,0.4,0.3)))</f>
        <v>1.05</v>
      </c>
      <c r="T1014" s="5" t="n">
        <f aca="false">CHOOSE(N1014+1,1.2,1,0.85,0.7)</f>
        <v>1.2</v>
      </c>
      <c r="U1014" s="5" t="n">
        <f aca="false">IF(F1014="PO",0.6,
IF(F1014="CT",0.75,
IF(F1014="LI",0.8,
IF(F1014="LD",0.8,
IF(F1014="MCD",0.85,
IF(F1014="MC",0.95,
IF(F1014="MO",1.05,
IF(F1014="EI",1.1,
IF(F1014="ED",1.1,
IF(F1014="SD",1.15,
IF(F1014="DC",1.2,0)))))))))))</f>
        <v>0.85</v>
      </c>
    </row>
    <row r="1015" customFormat="false" ht="16.4" hidden="false" customHeight="false" outlineLevel="0" collapsed="false">
      <c r="A1015" s="1" t="n">
        <v>1014</v>
      </c>
      <c r="B1015" s="5" t="str">
        <f aca="false">[1]Base_Jugadores!B1015</f>
        <v>Igor Julio</v>
      </c>
      <c r="C1015" s="5" t="str">
        <f aca="false">IFERROR(
   _xlfn.XLOOKUP(VALUE(A1015),[1]Fichajes_Realizados!A$2:A$50000,[1]Fichajes_Realizados!D$2:D$50000,,0,-1),
   _xlfn.XLOOKUP(VALUE(A1015),[1]Base_Jugadores!A$2:A$50000,[1]Base_Jugadores!C$2:C$50000)
)</f>
        <v>West Ham United</v>
      </c>
      <c r="D1015" s="5" t="str">
        <f aca="false">[1]Base_Jugadores!D1015</f>
        <v>Brasil</v>
      </c>
      <c r="E1015" s="3"/>
      <c r="F1015" s="5" t="str">
        <f aca="false">[1]Base_Jugadores!E1015</f>
        <v>CT</v>
      </c>
      <c r="G1015" s="5" t="n">
        <f aca="false">[1]Base_Jugadores!F1015</f>
        <v>77</v>
      </c>
      <c r="H1015" s="5" t="n">
        <f aca="false">[1]Base_Jugadores!G1015</f>
        <v>27</v>
      </c>
      <c r="I1015" s="7" t="n">
        <f aca="false" t="array" ref="I1015:I1015">_xlfn.XLOOKUP(G1015,{55;56;57;58;59;60;61;62;63;64;65;66;67;68;69;70;71;72;73;74;75;76;77;78;79;80;81;82;83;84;85;86;87;88;89;90;91;92;93;94;95;96;97;98;99},{100000;130000;160000;190000;220000;250000;300000;350000;400000;450000;500000;600000;700000;800000;900000;1000000;1500000;2000000;3000000;4000000;5000000;6500000;8000000;10000000;12500000;15000000;20000000;25000000;30000000;35000000;40000000;55000000;70000000;80000000;90000000;110000000;130000000;160000000;190000000;220000000;250000000;280000000;310000000;340000000;400000000})</f>
        <v>8000000</v>
      </c>
      <c r="J1015" s="7" t="n">
        <f aca="false">I1015*S1015*T1015*U1015</f>
        <v>6900000</v>
      </c>
      <c r="K1015" s="3"/>
      <c r="L1015" s="3"/>
      <c r="M1015" s="3"/>
      <c r="N1015" s="9" t="n">
        <v>1</v>
      </c>
      <c r="O1015" s="4" t="n">
        <v>0</v>
      </c>
      <c r="P1015" s="5" t="n">
        <f aca="false">IF(COUNTIF([1]Base_Jugadores!J$2:J$500,B1015)&gt;0,1,0)</f>
        <v>0</v>
      </c>
      <c r="Q1015" s="10" t="b">
        <f aca="false">--(COUNTIFS(
   [1]Fichajes_Realizados!A$2:A$5000,A1015,
   [1]Fichajes_Realizados!G$2:G$5000,$X$3
)&gt;0)</f>
        <v>0</v>
      </c>
      <c r="R1015" s="5" t="n">
        <f aca="false">_xlfn.XLOOKUP(C1015, [1]Estado_Equipos!A$2:A$500, [1]Estado_Equipos!J$2:J$500, "")</f>
        <v>75</v>
      </c>
      <c r="S1015" s="5" t="n">
        <f aca="false">IF(H1015&lt;=16,1.45,
IF(H1015&gt;=41,0.3,
CHOOSE(ROUNDDOWN((H1015-16)/2,0)+1,
1.45,1.38,1.3,1.23,1.17,1.15,1.12,1.05,0.95,0.8,0.6,0.4,0.3)))</f>
        <v>1.15</v>
      </c>
      <c r="T1015" s="5" t="n">
        <f aca="false">CHOOSE(N1015+1,1.2,1,0.85,0.7)</f>
        <v>1</v>
      </c>
      <c r="U1015" s="5" t="n">
        <f aca="false">IF(F1015="PO",0.6,
IF(F1015="CT",0.75,
IF(F1015="LI",0.8,
IF(F1015="LD",0.8,
IF(F1015="MCD",0.85,
IF(F1015="MC",0.95,
IF(F1015="MO",1.05,
IF(F1015="EI",1.1,
IF(F1015="ED",1.1,
IF(F1015="SD",1.15,
IF(F1015="DC",1.2,0)))))))))))</f>
        <v>0.75</v>
      </c>
    </row>
    <row r="1016" customFormat="false" ht="16.4" hidden="false" customHeight="false" outlineLevel="0" collapsed="false">
      <c r="A1016" s="1" t="n">
        <v>1015</v>
      </c>
      <c r="B1016" s="5" t="str">
        <f aca="false">[1]Base_Jugadores!B1016</f>
        <v>James Ward-Prowse</v>
      </c>
      <c r="C1016" s="5" t="str">
        <f aca="false">IFERROR(
   _xlfn.XLOOKUP(VALUE(A1016),[1]Fichajes_Realizados!A$2:A$50000,[1]Fichajes_Realizados!D$2:D$50000,,0,-1),
   _xlfn.XLOOKUP(VALUE(A1016),[1]Base_Jugadores!A$2:A$50000,[1]Base_Jugadores!C$2:C$50000)
)</f>
        <v>West Ham United</v>
      </c>
      <c r="D1016" s="5" t="str">
        <f aca="false">[1]Base_Jugadores!D1016</f>
        <v>Inglaterra</v>
      </c>
      <c r="E1016" s="3"/>
      <c r="F1016" s="5" t="str">
        <f aca="false">[1]Base_Jugadores!E1016</f>
        <v>MC</v>
      </c>
      <c r="G1016" s="5" t="n">
        <f aca="false">[1]Base_Jugadores!F1016</f>
        <v>79</v>
      </c>
      <c r="H1016" s="5" t="n">
        <f aca="false">[1]Base_Jugadores!G1016</f>
        <v>31</v>
      </c>
      <c r="I1016" s="7" t="n">
        <f aca="false" t="array" ref="I1016:I1016">_xlfn.XLOOKUP(G1016,{55;56;57;58;59;60;61;62;63;64;65;66;67;68;69;70;71;72;73;74;75;76;77;78;79;80;81;82;83;84;85;86;87;88;89;90;91;92;93;94;95;96;97;98;99},{100000;130000;160000;190000;220000;250000;300000;350000;400000;450000;500000;600000;700000;800000;900000;1000000;1500000;2000000;3000000;4000000;5000000;6500000;8000000;10000000;12500000;15000000;20000000;25000000;30000000;35000000;40000000;55000000;70000000;80000000;90000000;110000000;130000000;160000000;190000000;220000000;250000000;280000000;310000000;340000000;400000000})</f>
        <v>12500000</v>
      </c>
      <c r="J1016" s="7" t="n">
        <f aca="false">I1016*S1016*T1016*U1016</f>
        <v>14962500</v>
      </c>
      <c r="K1016" s="3"/>
      <c r="L1016" s="3"/>
      <c r="M1016" s="3"/>
      <c r="N1016" s="9" t="n">
        <v>0</v>
      </c>
      <c r="O1016" s="4" t="n">
        <v>0</v>
      </c>
      <c r="P1016" s="5" t="n">
        <f aca="false">IF(COUNTIF([1]Base_Jugadores!J$2:J$500,B1016)&gt;0,1,0)</f>
        <v>0</v>
      </c>
      <c r="Q1016" s="10" t="b">
        <f aca="false">--(COUNTIFS(
   [1]Fichajes_Realizados!A$2:A$5000,A1016,
   [1]Fichajes_Realizados!G$2:G$5000,$X$3
)&gt;0)</f>
        <v>0</v>
      </c>
      <c r="R1016" s="5" t="n">
        <f aca="false">_xlfn.XLOOKUP(C1016, [1]Estado_Equipos!A$2:A$500, [1]Estado_Equipos!J$2:J$500, "")</f>
        <v>75</v>
      </c>
      <c r="S1016" s="5" t="n">
        <f aca="false">IF(H1016&lt;=16,1.45,
IF(H1016&gt;=41,0.3,
CHOOSE(ROUNDDOWN((H1016-16)/2,0)+1,
1.45,1.38,1.3,1.23,1.17,1.15,1.12,1.05,0.95,0.8,0.6,0.4,0.3)))</f>
        <v>1.05</v>
      </c>
      <c r="T1016" s="5" t="n">
        <f aca="false">CHOOSE(N1016+1,1.2,1,0.85,0.7)</f>
        <v>1.2</v>
      </c>
      <c r="U1016" s="5" t="n">
        <f aca="false">IF(F1016="PO",0.6,
IF(F1016="CT",0.75,
IF(F1016="LI",0.8,
IF(F1016="LD",0.8,
IF(F1016="MCD",0.85,
IF(F1016="MC",0.95,
IF(F1016="MO",1.05,
IF(F1016="EI",1.1,
IF(F1016="ED",1.1,
IF(F1016="SD",1.15,
IF(F1016="DC",1.2,0)))))))))))</f>
        <v>0.95</v>
      </c>
    </row>
    <row r="1017" customFormat="false" ht="16.4" hidden="false" customHeight="false" outlineLevel="0" collapsed="false">
      <c r="A1017" s="1" t="n">
        <v>1016</v>
      </c>
      <c r="B1017" s="5" t="str">
        <f aca="false">[1]Base_Jugadores!B1017</f>
        <v>Jarrod Bowen</v>
      </c>
      <c r="C1017" s="5" t="str">
        <f aca="false">IFERROR(
   _xlfn.XLOOKUP(VALUE(A1017),[1]Fichajes_Realizados!A$2:A$50000,[1]Fichajes_Realizados!D$2:D$50000,,0,-1),
   _xlfn.XLOOKUP(VALUE(A1017),[1]Base_Jugadores!A$2:A$50000,[1]Base_Jugadores!C$2:C$50000)
)</f>
        <v>West Ham United</v>
      </c>
      <c r="D1017" s="5" t="str">
        <f aca="false">[1]Base_Jugadores!D1017</f>
        <v>Inglaterra</v>
      </c>
      <c r="E1017" s="3"/>
      <c r="F1017" s="5" t="str">
        <f aca="false">[1]Base_Jugadores!E1017</f>
        <v>ED</v>
      </c>
      <c r="G1017" s="5" t="n">
        <f aca="false">[1]Base_Jugadores!F1017</f>
        <v>83</v>
      </c>
      <c r="H1017" s="5" t="n">
        <f aca="false">[1]Base_Jugadores!G1017</f>
        <v>29</v>
      </c>
      <c r="I1017" s="7" t="n">
        <f aca="false" t="array" ref="I1017:I1017">_xlfn.XLOOKUP(G1017,{55;56;57;58;59;60;61;62;63;64;65;66;67;68;69;70;71;72;73;74;75;76;77;78;79;80;81;82;83;84;85;86;87;88;89;90;91;92;93;94;95;96;97;98;99},{100000;130000;160000;190000;220000;250000;300000;350000;400000;450000;500000;600000;700000;800000;900000;1000000;1500000;2000000;3000000;4000000;5000000;6500000;8000000;10000000;12500000;15000000;20000000;25000000;30000000;35000000;40000000;55000000;70000000;80000000;90000000;110000000;130000000;160000000;190000000;220000000;250000000;280000000;310000000;340000000;400000000})</f>
        <v>30000000</v>
      </c>
      <c r="J1017" s="7" t="n">
        <f aca="false">I1017*S1017*T1017*U1017</f>
        <v>44352000</v>
      </c>
      <c r="K1017" s="3"/>
      <c r="L1017" s="3"/>
      <c r="M1017" s="3"/>
      <c r="N1017" s="9" t="n">
        <v>0</v>
      </c>
      <c r="O1017" s="4" t="n">
        <v>0</v>
      </c>
      <c r="P1017" s="5" t="n">
        <f aca="false">IF(COUNTIF([1]Base_Jugadores!J$2:J$500,B1017)&gt;0,1,0)</f>
        <v>0</v>
      </c>
      <c r="Q1017" s="10" t="b">
        <f aca="false">--(COUNTIFS(
   [1]Fichajes_Realizados!A$2:A$5000,A1017,
   [1]Fichajes_Realizados!G$2:G$5000,$X$3
)&gt;0)</f>
        <v>0</v>
      </c>
      <c r="R1017" s="5" t="n">
        <f aca="false">_xlfn.XLOOKUP(C1017, [1]Estado_Equipos!A$2:A$500, [1]Estado_Equipos!J$2:J$500, "")</f>
        <v>75</v>
      </c>
      <c r="S1017" s="5" t="n">
        <f aca="false">IF(H1017&lt;=16,1.45,
IF(H1017&gt;=41,0.3,
CHOOSE(ROUNDDOWN((H1017-16)/2,0)+1,
1.45,1.38,1.3,1.23,1.17,1.15,1.12,1.05,0.95,0.8,0.6,0.4,0.3)))</f>
        <v>1.12</v>
      </c>
      <c r="T1017" s="5" t="n">
        <f aca="false">CHOOSE(N1017+1,1.2,1,0.85,0.7)</f>
        <v>1.2</v>
      </c>
      <c r="U1017" s="5" t="n">
        <f aca="false">IF(F1017="PO",0.6,
IF(F1017="CT",0.75,
IF(F1017="LI",0.8,
IF(F1017="LD",0.8,
IF(F1017="MCD",0.85,
IF(F1017="MC",0.95,
IF(F1017="MO",1.05,
IF(F1017="EI",1.1,
IF(F1017="ED",1.1,
IF(F1017="SD",1.15,
IF(F1017="DC",1.2,0)))))))))))</f>
        <v>1.1</v>
      </c>
    </row>
    <row r="1018" customFormat="false" ht="16.4" hidden="false" customHeight="false" outlineLevel="0" collapsed="false">
      <c r="A1018" s="1" t="n">
        <v>1017</v>
      </c>
      <c r="B1018" s="5" t="str">
        <f aca="false">[1]Base_Jugadores!B1018</f>
        <v>Jean-Clair Todibo</v>
      </c>
      <c r="C1018" s="5" t="str">
        <f aca="false">IFERROR(
   _xlfn.XLOOKUP(VALUE(A1018),[1]Fichajes_Realizados!A$2:A$50000,[1]Fichajes_Realizados!D$2:D$50000,,0,-1),
   _xlfn.XLOOKUP(VALUE(A1018),[1]Base_Jugadores!A$2:A$50000,[1]Base_Jugadores!C$2:C$50000)
)</f>
        <v>West Ham United</v>
      </c>
      <c r="D1018" s="5" t="str">
        <f aca="false">[1]Base_Jugadores!D1018</f>
        <v>Francia</v>
      </c>
      <c r="E1018" s="3"/>
      <c r="F1018" s="5" t="str">
        <f aca="false">[1]Base_Jugadores!E1018</f>
        <v>CT</v>
      </c>
      <c r="G1018" s="5" t="n">
        <f aca="false">[1]Base_Jugadores!F1018</f>
        <v>80</v>
      </c>
      <c r="H1018" s="5" t="n">
        <f aca="false">[1]Base_Jugadores!G1018</f>
        <v>26</v>
      </c>
      <c r="I1018" s="7" t="n">
        <f aca="false" t="array" ref="I1018:I1018">_xlfn.XLOOKUP(G1018,{55;56;57;58;59;60;61;62;63;64;65;66;67;68;69;70;71;72;73;74;75;76;77;78;79;80;81;82;83;84;85;86;87;88;89;90;91;92;93;94;95;96;97;98;99},{100000;130000;160000;190000;220000;250000;300000;350000;400000;450000;500000;600000;700000;800000;900000;1000000;1500000;2000000;3000000;4000000;5000000;6500000;8000000;10000000;12500000;15000000;20000000;25000000;30000000;35000000;40000000;55000000;70000000;80000000;90000000;110000000;130000000;160000000;190000000;220000000;250000000;280000000;310000000;340000000;400000000})</f>
        <v>15000000</v>
      </c>
      <c r="J1018" s="7" t="n">
        <f aca="false">I1018*S1018*T1018*U1018</f>
        <v>15525000</v>
      </c>
      <c r="K1018" s="3"/>
      <c r="L1018" s="3"/>
      <c r="M1018" s="3"/>
      <c r="N1018" s="9" t="n">
        <v>0</v>
      </c>
      <c r="O1018" s="4" t="n">
        <v>0</v>
      </c>
      <c r="P1018" s="5" t="n">
        <f aca="false">IF(COUNTIF([1]Base_Jugadores!J$2:J$500,B1018)&gt;0,1,0)</f>
        <v>0</v>
      </c>
      <c r="Q1018" s="10" t="b">
        <f aca="false">--(COUNTIFS(
   [1]Fichajes_Realizados!A$2:A$5000,A1018,
   [1]Fichajes_Realizados!G$2:G$5000,$X$3
)&gt;0)</f>
        <v>0</v>
      </c>
      <c r="R1018" s="5" t="n">
        <f aca="false">_xlfn.XLOOKUP(C1018, [1]Estado_Equipos!A$2:A$500, [1]Estado_Equipos!J$2:J$500, "")</f>
        <v>75</v>
      </c>
      <c r="S1018" s="5" t="n">
        <f aca="false">IF(H1018&lt;=16,1.45,
IF(H1018&gt;=41,0.3,
CHOOSE(ROUNDDOWN((H1018-16)/2,0)+1,
1.45,1.38,1.3,1.23,1.17,1.15,1.12,1.05,0.95,0.8,0.6,0.4,0.3)))</f>
        <v>1.15</v>
      </c>
      <c r="T1018" s="5" t="n">
        <f aca="false">CHOOSE(N1018+1,1.2,1,0.85,0.7)</f>
        <v>1.2</v>
      </c>
      <c r="U1018" s="5" t="n">
        <f aca="false">IF(F1018="PO",0.6,
IF(F1018="CT",0.75,
IF(F1018="LI",0.8,
IF(F1018="LD",0.8,
IF(F1018="MCD",0.85,
IF(F1018="MC",0.95,
IF(F1018="MO",1.05,
IF(F1018="EI",1.1,
IF(F1018="ED",1.1,
IF(F1018="SD",1.15,
IF(F1018="DC",1.2,0)))))))))))</f>
        <v>0.75</v>
      </c>
    </row>
    <row r="1019" customFormat="false" ht="16.4" hidden="false" customHeight="false" outlineLevel="0" collapsed="false">
      <c r="A1019" s="1" t="n">
        <v>1018</v>
      </c>
      <c r="B1019" s="5" t="str">
        <f aca="false">[1]Base_Jugadores!B1019</f>
        <v>K. Mavropanos</v>
      </c>
      <c r="C1019" s="5" t="str">
        <f aca="false">IFERROR(
   _xlfn.XLOOKUP(VALUE(A1019),[1]Fichajes_Realizados!A$2:A$50000,[1]Fichajes_Realizados!D$2:D$50000,,0,-1),
   _xlfn.XLOOKUP(VALUE(A1019),[1]Base_Jugadores!A$2:A$50000,[1]Base_Jugadores!C$2:C$50000)
)</f>
        <v>West Ham United</v>
      </c>
      <c r="D1019" s="5" t="str">
        <f aca="false">[1]Base_Jugadores!D1019</f>
        <v>Grecia</v>
      </c>
      <c r="E1019" s="3"/>
      <c r="F1019" s="5" t="str">
        <f aca="false">[1]Base_Jugadores!E1019</f>
        <v>CT</v>
      </c>
      <c r="G1019" s="5" t="n">
        <f aca="false">[1]Base_Jugadores!F1019</f>
        <v>78</v>
      </c>
      <c r="H1019" s="5" t="n">
        <f aca="false">[1]Base_Jugadores!G1019</f>
        <v>28</v>
      </c>
      <c r="I1019" s="7" t="n">
        <f aca="false" t="array" ref="I1019:I1019">_xlfn.XLOOKUP(G1019,{55;56;57;58;59;60;61;62;63;64;65;66;67;68;69;70;71;72;73;74;75;76;77;78;79;80;81;82;83;84;85;86;87;88;89;90;91;92;93;94;95;96;97;98;99},{100000;130000;160000;190000;220000;250000;300000;350000;400000;450000;500000;600000;700000;800000;900000;1000000;1500000;2000000;3000000;4000000;5000000;6500000;8000000;10000000;12500000;15000000;20000000;25000000;30000000;35000000;40000000;55000000;70000000;80000000;90000000;110000000;130000000;160000000;190000000;220000000;250000000;280000000;310000000;340000000;400000000})</f>
        <v>10000000</v>
      </c>
      <c r="J1019" s="7" t="n">
        <f aca="false">I1019*S1019*T1019*U1019</f>
        <v>8400000</v>
      </c>
      <c r="K1019" s="3"/>
      <c r="L1019" s="3"/>
      <c r="M1019" s="3"/>
      <c r="N1019" s="9" t="n">
        <v>1</v>
      </c>
      <c r="O1019" s="4" t="n">
        <v>0</v>
      </c>
      <c r="P1019" s="5" t="n">
        <f aca="false">IF(COUNTIF([1]Base_Jugadores!J$2:J$500,B1019)&gt;0,1,0)</f>
        <v>0</v>
      </c>
      <c r="Q1019" s="10" t="b">
        <f aca="false">--(COUNTIFS(
   [1]Fichajes_Realizados!A$2:A$5000,A1019,
   [1]Fichajes_Realizados!G$2:G$5000,$X$3
)&gt;0)</f>
        <v>0</v>
      </c>
      <c r="R1019" s="5" t="n">
        <f aca="false">_xlfn.XLOOKUP(C1019, [1]Estado_Equipos!A$2:A$500, [1]Estado_Equipos!J$2:J$500, "")</f>
        <v>75</v>
      </c>
      <c r="S1019" s="5" t="n">
        <f aca="false">IF(H1019&lt;=16,1.45,
IF(H1019&gt;=41,0.3,
CHOOSE(ROUNDDOWN((H1019-16)/2,0)+1,
1.45,1.38,1.3,1.23,1.17,1.15,1.12,1.05,0.95,0.8,0.6,0.4,0.3)))</f>
        <v>1.12</v>
      </c>
      <c r="T1019" s="5" t="n">
        <f aca="false">CHOOSE(N1019+1,1.2,1,0.85,0.7)</f>
        <v>1</v>
      </c>
      <c r="U1019" s="5" t="n">
        <f aca="false">IF(F1019="PO",0.6,
IF(F1019="CT",0.75,
IF(F1019="LI",0.8,
IF(F1019="LD",0.8,
IF(F1019="MCD",0.85,
IF(F1019="MC",0.95,
IF(F1019="MO",1.05,
IF(F1019="EI",1.1,
IF(F1019="ED",1.1,
IF(F1019="SD",1.15,
IF(F1019="DC",1.2,0)))))))))))</f>
        <v>0.75</v>
      </c>
    </row>
    <row r="1020" customFormat="false" ht="16.4" hidden="false" customHeight="false" outlineLevel="0" collapsed="false">
      <c r="A1020" s="1" t="n">
        <v>1019</v>
      </c>
      <c r="B1020" s="5" t="str">
        <f aca="false">[1]Base_Jugadores!B1020</f>
        <v>Kyle Walker-Peters</v>
      </c>
      <c r="C1020" s="5" t="str">
        <f aca="false">IFERROR(
   _xlfn.XLOOKUP(VALUE(A1020),[1]Fichajes_Realizados!A$2:A$50000,[1]Fichajes_Realizados!D$2:D$50000,,0,-1),
   _xlfn.XLOOKUP(VALUE(A1020),[1]Base_Jugadores!A$2:A$50000,[1]Base_Jugadores!C$2:C$50000)
)</f>
        <v>West Ham United</v>
      </c>
      <c r="D1020" s="5" t="str">
        <f aca="false">[1]Base_Jugadores!D1020</f>
        <v>Inglaterra</v>
      </c>
      <c r="E1020" s="3"/>
      <c r="F1020" s="5" t="str">
        <f aca="false">[1]Base_Jugadores!E1020</f>
        <v>LD</v>
      </c>
      <c r="G1020" s="5" t="n">
        <f aca="false">[1]Base_Jugadores!F1020</f>
        <v>77</v>
      </c>
      <c r="H1020" s="5" t="n">
        <f aca="false">[1]Base_Jugadores!G1020</f>
        <v>28</v>
      </c>
      <c r="I1020" s="7" t="n">
        <f aca="false" t="array" ref="I1020:I1020">_xlfn.XLOOKUP(G1020,{55;56;57;58;59;60;61;62;63;64;65;66;67;68;69;70;71;72;73;74;75;76;77;78;79;80;81;82;83;84;85;86;87;88;89;90;91;92;93;94;95;96;97;98;99},{100000;130000;160000;190000;220000;250000;300000;350000;400000;450000;500000;600000;700000;800000;900000;1000000;1500000;2000000;3000000;4000000;5000000;6500000;8000000;10000000;12500000;15000000;20000000;25000000;30000000;35000000;40000000;55000000;70000000;80000000;90000000;110000000;130000000;160000000;190000000;220000000;250000000;280000000;310000000;340000000;400000000})</f>
        <v>8000000</v>
      </c>
      <c r="J1020" s="7" t="n">
        <f aca="false">I1020*S1020*T1020*U1020</f>
        <v>7168000</v>
      </c>
      <c r="K1020" s="3"/>
      <c r="L1020" s="3"/>
      <c r="M1020" s="3"/>
      <c r="N1020" s="9" t="n">
        <v>1</v>
      </c>
      <c r="O1020" s="4" t="n">
        <v>0</v>
      </c>
      <c r="P1020" s="5" t="n">
        <f aca="false">IF(COUNTIF([1]Base_Jugadores!J$2:J$500,B1020)&gt;0,1,0)</f>
        <v>0</v>
      </c>
      <c r="Q1020" s="10" t="b">
        <f aca="false">--(COUNTIFS(
   [1]Fichajes_Realizados!A$2:A$5000,A1020,
   [1]Fichajes_Realizados!G$2:G$5000,$X$3
)&gt;0)</f>
        <v>0</v>
      </c>
      <c r="R1020" s="5" t="n">
        <f aca="false">_xlfn.XLOOKUP(C1020, [1]Estado_Equipos!A$2:A$500, [1]Estado_Equipos!J$2:J$500, "")</f>
        <v>75</v>
      </c>
      <c r="S1020" s="5" t="n">
        <f aca="false">IF(H1020&lt;=16,1.45,
IF(H1020&gt;=41,0.3,
CHOOSE(ROUNDDOWN((H1020-16)/2,0)+1,
1.45,1.38,1.3,1.23,1.17,1.15,1.12,1.05,0.95,0.8,0.6,0.4,0.3)))</f>
        <v>1.12</v>
      </c>
      <c r="T1020" s="5" t="n">
        <f aca="false">CHOOSE(N1020+1,1.2,1,0.85,0.7)</f>
        <v>1</v>
      </c>
      <c r="U1020" s="5" t="n">
        <f aca="false">IF(F1020="PO",0.6,
IF(F1020="CT",0.75,
IF(F1020="LI",0.8,
IF(F1020="LD",0.8,
IF(F1020="MCD",0.85,
IF(F1020="MC",0.95,
IF(F1020="MO",1.05,
IF(F1020="EI",1.1,
IF(F1020="ED",1.1,
IF(F1020="SD",1.15,
IF(F1020="DC",1.2,0)))))))))))</f>
        <v>0.8</v>
      </c>
    </row>
    <row r="1021" customFormat="false" ht="16.4" hidden="false" customHeight="false" outlineLevel="0" collapsed="false">
      <c r="A1021" s="1" t="n">
        <v>1020</v>
      </c>
      <c r="B1021" s="5" t="str">
        <f aca="false">[1]Base_Jugadores!B1021</f>
        <v>Lewis Orford</v>
      </c>
      <c r="C1021" s="5" t="str">
        <f aca="false">IFERROR(
   _xlfn.XLOOKUP(VALUE(A1021),[1]Fichajes_Realizados!A$2:A$50000,[1]Fichajes_Realizados!D$2:D$50000,,0,-1),
   _xlfn.XLOOKUP(VALUE(A1021),[1]Base_Jugadores!A$2:A$50000,[1]Base_Jugadores!C$2:C$50000)
)</f>
        <v>West Ham United</v>
      </c>
      <c r="D1021" s="5" t="str">
        <f aca="false">[1]Base_Jugadores!D1021</f>
        <v>Inglaterra</v>
      </c>
      <c r="E1021" s="3"/>
      <c r="F1021" s="5" t="str">
        <f aca="false">[1]Base_Jugadores!E1021</f>
        <v>MC</v>
      </c>
      <c r="G1021" s="5" t="n">
        <f aca="false">[1]Base_Jugadores!F1021</f>
        <v>63</v>
      </c>
      <c r="H1021" s="5" t="n">
        <f aca="false">[1]Base_Jugadores!G1021</f>
        <v>19</v>
      </c>
      <c r="I1021" s="7" t="n">
        <f aca="false" t="array" ref="I1021:I1021">_xlfn.XLOOKUP(G1021,{55;56;57;58;59;60;61;62;63;64;65;66;67;68;69;70;71;72;73;74;75;76;77;78;79;80;81;82;83;84;85;86;87;88;89;90;91;92;93;94;95;96;97;98;99},{100000;130000;160000;190000;220000;250000;300000;350000;400000;450000;500000;600000;700000;800000;900000;1000000;1500000;2000000;3000000;4000000;5000000;6500000;8000000;10000000;12500000;15000000;20000000;25000000;30000000;35000000;40000000;55000000;70000000;80000000;90000000;110000000;130000000;160000000;190000000;220000000;250000000;280000000;310000000;340000000;400000000})</f>
        <v>400000</v>
      </c>
      <c r="J1021" s="7" t="n">
        <f aca="false">I1021*S1021*T1021*U1021</f>
        <v>445740</v>
      </c>
      <c r="K1021" s="3"/>
      <c r="L1021" s="3"/>
      <c r="M1021" s="3"/>
      <c r="N1021" s="9" t="n">
        <v>2</v>
      </c>
      <c r="O1021" s="4" t="n">
        <v>0</v>
      </c>
      <c r="P1021" s="5" t="n">
        <f aca="false">IF(COUNTIF([1]Base_Jugadores!J$2:J$500,B1021)&gt;0,1,0)</f>
        <v>0</v>
      </c>
      <c r="Q1021" s="10" t="b">
        <f aca="false">--(COUNTIFS(
   [1]Fichajes_Realizados!A$2:A$5000,A1021,
   [1]Fichajes_Realizados!G$2:G$5000,$X$3
)&gt;0)</f>
        <v>0</v>
      </c>
      <c r="R1021" s="5" t="n">
        <f aca="false">_xlfn.XLOOKUP(C1021, [1]Estado_Equipos!A$2:A$500, [1]Estado_Equipos!J$2:J$500, "")</f>
        <v>75</v>
      </c>
      <c r="S1021" s="5" t="n">
        <f aca="false">IF(H1021&lt;=16,1.45,
IF(H1021&gt;=41,0.3,
CHOOSE(ROUNDDOWN((H1021-16)/2,0)+1,
1.45,1.38,1.3,1.23,1.17,1.15,1.12,1.05,0.95,0.8,0.6,0.4,0.3)))</f>
        <v>1.38</v>
      </c>
      <c r="T1021" s="5" t="n">
        <f aca="false">CHOOSE(N1021+1,1.2,1,0.85,0.7)</f>
        <v>0.85</v>
      </c>
      <c r="U1021" s="5" t="n">
        <f aca="false">IF(F1021="PO",0.6,
IF(F1021="CT",0.75,
IF(F1021="LI",0.8,
IF(F1021="LD",0.8,
IF(F1021="MCD",0.85,
IF(F1021="MC",0.95,
IF(F1021="MO",1.05,
IF(F1021="EI",1.1,
IF(F1021="ED",1.1,
IF(F1021="SD",1.15,
IF(F1021="DC",1.2,0)))))))))))</f>
        <v>0.95</v>
      </c>
    </row>
    <row r="1022" customFormat="false" ht="16.4" hidden="false" customHeight="false" outlineLevel="0" collapsed="false">
      <c r="A1022" s="1" t="n">
        <v>1021</v>
      </c>
      <c r="B1022" s="5" t="str">
        <f aca="false">[1]Base_Jugadores!B1022</f>
        <v>Lucas Paquetá</v>
      </c>
      <c r="C1022" s="5" t="str">
        <f aca="false">IFERROR(
   _xlfn.XLOOKUP(VALUE(A1022),[1]Fichajes_Realizados!A$2:A$50000,[1]Fichajes_Realizados!D$2:D$50000,,0,-1),
   _xlfn.XLOOKUP(VALUE(A1022),[1]Base_Jugadores!A$2:A$50000,[1]Base_Jugadores!C$2:C$50000)
)</f>
        <v>West Ham United</v>
      </c>
      <c r="D1022" s="5" t="str">
        <f aca="false">[1]Base_Jugadores!D1022</f>
        <v>Brasil</v>
      </c>
      <c r="E1022" s="3"/>
      <c r="F1022" s="5" t="str">
        <f aca="false">[1]Base_Jugadores!E1022</f>
        <v>MO</v>
      </c>
      <c r="G1022" s="5" t="n">
        <f aca="false">[1]Base_Jugadores!F1022</f>
        <v>82</v>
      </c>
      <c r="H1022" s="5" t="n">
        <f aca="false">[1]Base_Jugadores!G1022</f>
        <v>28</v>
      </c>
      <c r="I1022" s="7" t="n">
        <f aca="false" t="array" ref="I1022:I1022">_xlfn.XLOOKUP(G1022,{55;56;57;58;59;60;61;62;63;64;65;66;67;68;69;70;71;72;73;74;75;76;77;78;79;80;81;82;83;84;85;86;87;88;89;90;91;92;93;94;95;96;97;98;99},{100000;130000;160000;190000;220000;250000;300000;350000;400000;450000;500000;600000;700000;800000;900000;1000000;1500000;2000000;3000000;4000000;5000000;6500000;8000000;10000000;12500000;15000000;20000000;25000000;30000000;35000000;40000000;55000000;70000000;80000000;90000000;110000000;130000000;160000000;190000000;220000000;250000000;280000000;310000000;340000000;400000000})</f>
        <v>25000000</v>
      </c>
      <c r="J1022" s="7" t="n">
        <f aca="false">I1022*S1022*T1022*U1022</f>
        <v>35280000</v>
      </c>
      <c r="K1022" s="3"/>
      <c r="L1022" s="3"/>
      <c r="M1022" s="3"/>
      <c r="N1022" s="9" t="n">
        <v>0</v>
      </c>
      <c r="O1022" s="4" t="n">
        <v>0</v>
      </c>
      <c r="P1022" s="5" t="n">
        <f aca="false">IF(COUNTIF([1]Base_Jugadores!J$2:J$500,B1022)&gt;0,1,0)</f>
        <v>0</v>
      </c>
      <c r="Q1022" s="10" t="b">
        <f aca="false">--(COUNTIFS(
   [1]Fichajes_Realizados!A$2:A$5000,A1022,
   [1]Fichajes_Realizados!G$2:G$5000,$X$3
)&gt;0)</f>
        <v>0</v>
      </c>
      <c r="R1022" s="5" t="n">
        <f aca="false">_xlfn.XLOOKUP(C1022, [1]Estado_Equipos!A$2:A$500, [1]Estado_Equipos!J$2:J$500, "")</f>
        <v>75</v>
      </c>
      <c r="S1022" s="5" t="n">
        <f aca="false">IF(H1022&lt;=16,1.45,
IF(H1022&gt;=41,0.3,
CHOOSE(ROUNDDOWN((H1022-16)/2,0)+1,
1.45,1.38,1.3,1.23,1.17,1.15,1.12,1.05,0.95,0.8,0.6,0.4,0.3)))</f>
        <v>1.12</v>
      </c>
      <c r="T1022" s="5" t="n">
        <f aca="false">CHOOSE(N1022+1,1.2,1,0.85,0.7)</f>
        <v>1.2</v>
      </c>
      <c r="U1022" s="5" t="n">
        <f aca="false">IF(F1022="PO",0.6,
IF(F1022="CT",0.75,
IF(F1022="LI",0.8,
IF(F1022="LD",0.8,
IF(F1022="MCD",0.85,
IF(F1022="MC",0.95,
IF(F1022="MO",1.05,
IF(F1022="EI",1.1,
IF(F1022="ED",1.1,
IF(F1022="SD",1.15,
IF(F1022="DC",1.2,0)))))))))))</f>
        <v>1.05</v>
      </c>
    </row>
    <row r="1023" customFormat="false" ht="16.4" hidden="false" customHeight="false" outlineLevel="0" collapsed="false">
      <c r="A1023" s="1" t="n">
        <v>1022</v>
      </c>
      <c r="B1023" s="5" t="str">
        <f aca="false">[1]Base_Jugadores!B1023</f>
        <v>Luís Guilherme</v>
      </c>
      <c r="C1023" s="5" t="str">
        <f aca="false">IFERROR(
   _xlfn.XLOOKUP(VALUE(A1023),[1]Fichajes_Realizados!A$2:A$50000,[1]Fichajes_Realizados!D$2:D$50000,,0,-1),
   _xlfn.XLOOKUP(VALUE(A1023),[1]Base_Jugadores!A$2:A$50000,[1]Base_Jugadores!C$2:C$50000)
)</f>
        <v>West Ham United</v>
      </c>
      <c r="D1023" s="5" t="str">
        <f aca="false">[1]Base_Jugadores!D1023</f>
        <v>Brasil</v>
      </c>
      <c r="E1023" s="3"/>
      <c r="F1023" s="5" t="str">
        <f aca="false">[1]Base_Jugadores!E1023</f>
        <v>ED</v>
      </c>
      <c r="G1023" s="5" t="n">
        <f aca="false">[1]Base_Jugadores!F1023</f>
        <v>71</v>
      </c>
      <c r="H1023" s="5" t="n">
        <f aca="false">[1]Base_Jugadores!G1023</f>
        <v>19</v>
      </c>
      <c r="I1023" s="7" t="n">
        <f aca="false" t="array" ref="I1023:I1023">_xlfn.XLOOKUP(G1023,{55;56;57;58;59;60;61;62;63;64;65;66;67;68;69;70;71;72;73;74;75;76;77;78;79;80;81;82;83;84;85;86;87;88;89;90;91;92;93;94;95;96;97;98;99},{100000;130000;160000;190000;220000;250000;300000;350000;400000;450000;500000;600000;700000;800000;900000;1000000;1500000;2000000;3000000;4000000;5000000;6500000;8000000;10000000;12500000;15000000;20000000;25000000;30000000;35000000;40000000;55000000;70000000;80000000;90000000;110000000;130000000;160000000;190000000;220000000;250000000;280000000;310000000;340000000;400000000})</f>
        <v>1500000</v>
      </c>
      <c r="J1023" s="7" t="n">
        <f aca="false">I1023*S1023*T1023*U1023</f>
        <v>1935450</v>
      </c>
      <c r="K1023" s="3"/>
      <c r="L1023" s="3"/>
      <c r="M1023" s="3"/>
      <c r="N1023" s="9" t="n">
        <v>2</v>
      </c>
      <c r="O1023" s="4" t="n">
        <v>0</v>
      </c>
      <c r="P1023" s="5" t="n">
        <f aca="false">IF(COUNTIF([1]Base_Jugadores!J$2:J$500,B1023)&gt;0,1,0)</f>
        <v>0</v>
      </c>
      <c r="Q1023" s="10" t="b">
        <f aca="false">--(COUNTIFS(
   [1]Fichajes_Realizados!A$2:A$5000,A1023,
   [1]Fichajes_Realizados!G$2:G$5000,$X$3
)&gt;0)</f>
        <v>0</v>
      </c>
      <c r="R1023" s="5" t="n">
        <f aca="false">_xlfn.XLOOKUP(C1023, [1]Estado_Equipos!A$2:A$500, [1]Estado_Equipos!J$2:J$500, "")</f>
        <v>75</v>
      </c>
      <c r="S1023" s="5" t="n">
        <f aca="false">IF(H1023&lt;=16,1.45,
IF(H1023&gt;=41,0.3,
CHOOSE(ROUNDDOWN((H1023-16)/2,0)+1,
1.45,1.38,1.3,1.23,1.17,1.15,1.12,1.05,0.95,0.8,0.6,0.4,0.3)))</f>
        <v>1.38</v>
      </c>
      <c r="T1023" s="5" t="n">
        <f aca="false">CHOOSE(N1023+1,1.2,1,0.85,0.7)</f>
        <v>0.85</v>
      </c>
      <c r="U1023" s="5" t="n">
        <f aca="false">IF(F1023="PO",0.6,
IF(F1023="CT",0.75,
IF(F1023="LI",0.8,
IF(F1023="LD",0.8,
IF(F1023="MCD",0.85,
IF(F1023="MC",0.95,
IF(F1023="MO",1.05,
IF(F1023="EI",1.1,
IF(F1023="ED",1.1,
IF(F1023="SD",1.15,
IF(F1023="DC",1.2,0)))))))))))</f>
        <v>1.1</v>
      </c>
    </row>
    <row r="1024" customFormat="false" ht="16.4" hidden="false" customHeight="false" outlineLevel="0" collapsed="false">
      <c r="A1024" s="1" t="n">
        <v>1023</v>
      </c>
      <c r="B1024" s="5" t="str">
        <f aca="false">[1]Base_Jugadores!B1024</f>
        <v>Luizão Oliveira</v>
      </c>
      <c r="C1024" s="5" t="str">
        <f aca="false">IFERROR(
   _xlfn.XLOOKUP(VALUE(A1024),[1]Fichajes_Realizados!A$2:A$50000,[1]Fichajes_Realizados!D$2:D$50000,,0,-1),
   _xlfn.XLOOKUP(VALUE(A1024),[1]Base_Jugadores!A$2:A$50000,[1]Base_Jugadores!C$2:C$50000)
)</f>
        <v>West Ham United</v>
      </c>
      <c r="D1024" s="5" t="str">
        <f aca="false">[1]Base_Jugadores!D1024</f>
        <v>Brasil</v>
      </c>
      <c r="E1024" s="3"/>
      <c r="F1024" s="5" t="str">
        <f aca="false">[1]Base_Jugadores!E1024</f>
        <v>CT</v>
      </c>
      <c r="G1024" s="5" t="n">
        <f aca="false">[1]Base_Jugadores!F1024</f>
        <v>63</v>
      </c>
      <c r="H1024" s="5" t="n">
        <f aca="false">[1]Base_Jugadores!G1024</f>
        <v>23</v>
      </c>
      <c r="I1024" s="7" t="n">
        <f aca="false" t="array" ref="I1024:I1024">_xlfn.XLOOKUP(G1024,{55;56;57;58;59;60;61;62;63;64;65;66;67;68;69;70;71;72;73;74;75;76;77;78;79;80;81;82;83;84;85;86;87;88;89;90;91;92;93;94;95;96;97;98;99},{100000;130000;160000;190000;220000;250000;300000;350000;400000;450000;500000;600000;700000;800000;900000;1000000;1500000;2000000;3000000;4000000;5000000;6500000;8000000;10000000;12500000;15000000;20000000;25000000;30000000;35000000;40000000;55000000;70000000;80000000;90000000;110000000;130000000;160000000;190000000;220000000;250000000;280000000;310000000;340000000;400000000})</f>
        <v>400000</v>
      </c>
      <c r="J1024" s="7" t="n">
        <f aca="false">I1024*S1024*T1024*U1024</f>
        <v>313650</v>
      </c>
      <c r="K1024" s="3"/>
      <c r="L1024" s="3"/>
      <c r="M1024" s="3"/>
      <c r="N1024" s="9" t="n">
        <v>2</v>
      </c>
      <c r="O1024" s="4" t="n">
        <v>0</v>
      </c>
      <c r="P1024" s="5" t="n">
        <f aca="false">IF(COUNTIF([1]Base_Jugadores!J$2:J$500,B1024)&gt;0,1,0)</f>
        <v>0</v>
      </c>
      <c r="Q1024" s="10" t="b">
        <f aca="false">--(COUNTIFS(
   [1]Fichajes_Realizados!A$2:A$5000,A1024,
   [1]Fichajes_Realizados!G$2:G$5000,$X$3
)&gt;0)</f>
        <v>0</v>
      </c>
      <c r="R1024" s="5" t="n">
        <f aca="false">_xlfn.XLOOKUP(C1024, [1]Estado_Equipos!A$2:A$500, [1]Estado_Equipos!J$2:J$500, "")</f>
        <v>75</v>
      </c>
      <c r="S1024" s="5" t="n">
        <f aca="false">IF(H1024&lt;=16,1.45,
IF(H1024&gt;=41,0.3,
CHOOSE(ROUNDDOWN((H1024-16)/2,0)+1,
1.45,1.38,1.3,1.23,1.17,1.15,1.12,1.05,0.95,0.8,0.6,0.4,0.3)))</f>
        <v>1.23</v>
      </c>
      <c r="T1024" s="5" t="n">
        <f aca="false">CHOOSE(N1024+1,1.2,1,0.85,0.7)</f>
        <v>0.85</v>
      </c>
      <c r="U1024" s="5" t="n">
        <f aca="false">IF(F1024="PO",0.6,
IF(F1024="CT",0.75,
IF(F1024="LI",0.8,
IF(F1024="LD",0.8,
IF(F1024="MCD",0.85,
IF(F1024="MC",0.95,
IF(F1024="MO",1.05,
IF(F1024="EI",1.1,
IF(F1024="ED",1.1,
IF(F1024="SD",1.15,
IF(F1024="DC",1.2,0)))))))))))</f>
        <v>0.75</v>
      </c>
    </row>
    <row r="1025" customFormat="false" ht="16.4" hidden="false" customHeight="false" outlineLevel="0" collapsed="false">
      <c r="A1025" s="1" t="n">
        <v>1024</v>
      </c>
      <c r="B1025" s="5" t="str">
        <f aca="false">[1]Base_Jugadores!B1025</f>
        <v>Lukasz Fabianski</v>
      </c>
      <c r="C1025" s="5" t="str">
        <f aca="false">IFERROR(
   _xlfn.XLOOKUP(VALUE(A1025),[1]Fichajes_Realizados!A$2:A$50000,[1]Fichajes_Realizados!D$2:D$50000,,0,-1),
   _xlfn.XLOOKUP(VALUE(A1025),[1]Base_Jugadores!A$2:A$50000,[1]Base_Jugadores!C$2:C$50000)
)</f>
        <v>West Ham United</v>
      </c>
      <c r="D1025" s="5" t="str">
        <f aca="false">[1]Base_Jugadores!D1025</f>
        <v>Polonia</v>
      </c>
      <c r="E1025" s="3"/>
      <c r="F1025" s="5" t="str">
        <f aca="false">[1]Base_Jugadores!E1025</f>
        <v>PO</v>
      </c>
      <c r="G1025" s="5" t="n">
        <f aca="false">[1]Base_Jugadores!F1025</f>
        <v>77</v>
      </c>
      <c r="H1025" s="5" t="n">
        <f aca="false">[1]Base_Jugadores!G1025</f>
        <v>40</v>
      </c>
      <c r="I1025" s="7" t="n">
        <f aca="false" t="array" ref="I1025:I1025">_xlfn.XLOOKUP(G1025,{55;56;57;58;59;60;61;62;63;64;65;66;67;68;69;70;71;72;73;74;75;76;77;78;79;80;81;82;83;84;85;86;87;88;89;90;91;92;93;94;95;96;97;98;99},{100000;130000;160000;190000;220000;250000;300000;350000;400000;450000;500000;600000;700000;800000;900000;1000000;1500000;2000000;3000000;4000000;5000000;6500000;8000000;10000000;12500000;15000000;20000000;25000000;30000000;35000000;40000000;55000000;70000000;80000000;90000000;110000000;130000000;160000000;190000000;220000000;250000000;280000000;310000000;340000000;400000000})</f>
        <v>8000000</v>
      </c>
      <c r="J1025" s="7" t="n">
        <f aca="false">I1025*S1025*T1025*U1025</f>
        <v>1224000</v>
      </c>
      <c r="K1025" s="3"/>
      <c r="L1025" s="3"/>
      <c r="M1025" s="3"/>
      <c r="N1025" s="9" t="n">
        <v>2</v>
      </c>
      <c r="O1025" s="4" t="n">
        <v>0</v>
      </c>
      <c r="P1025" s="5" t="n">
        <f aca="false">IF(COUNTIF([1]Base_Jugadores!J$2:J$500,B1025)&gt;0,1,0)</f>
        <v>0</v>
      </c>
      <c r="Q1025" s="10" t="b">
        <f aca="false">--(COUNTIFS(
   [1]Fichajes_Realizados!A$2:A$5000,A1025,
   [1]Fichajes_Realizados!G$2:G$5000,$X$3
)&gt;0)</f>
        <v>0</v>
      </c>
      <c r="R1025" s="5" t="n">
        <f aca="false">_xlfn.XLOOKUP(C1025, [1]Estado_Equipos!A$2:A$500, [1]Estado_Equipos!J$2:J$500, "")</f>
        <v>75</v>
      </c>
      <c r="S1025" s="5" t="n">
        <f aca="false">IF(H1025&lt;=16,1.45,
IF(H1025&gt;=41,0.3,
CHOOSE(ROUNDDOWN((H1025-16)/2,0)+1,
1.45,1.38,1.3,1.23,1.17,1.15,1.12,1.05,0.95,0.8,0.6,0.4,0.3)))</f>
        <v>0.3</v>
      </c>
      <c r="T1025" s="5" t="n">
        <f aca="false">CHOOSE(N1025+1,1.2,1,0.85,0.7)</f>
        <v>0.85</v>
      </c>
      <c r="U1025" s="5" t="n">
        <f aca="false">IF(F1025="PO",0.6,
IF(F1025="CT",0.75,
IF(F1025="LI",0.8,
IF(F1025="LD",0.8,
IF(F1025="MCD",0.85,
IF(F1025="MC",0.95,
IF(F1025="MO",1.05,
IF(F1025="EI",1.1,
IF(F1025="ED",1.1,
IF(F1025="SD",1.15,
IF(F1025="DC",1.2,0)))))))))))</f>
        <v>0.6</v>
      </c>
    </row>
    <row r="1026" customFormat="false" ht="16.4" hidden="false" customHeight="false" outlineLevel="0" collapsed="false">
      <c r="A1026" s="1" t="n">
        <v>1025</v>
      </c>
      <c r="B1026" s="5" t="str">
        <f aca="false">[1]Base_Jugadores!B1026</f>
        <v>Mads Hermansen</v>
      </c>
      <c r="C1026" s="5" t="str">
        <f aca="false">IFERROR(
   _xlfn.XLOOKUP(VALUE(A1026),[1]Fichajes_Realizados!A$2:A$50000,[1]Fichajes_Realizados!D$2:D$50000,,0,-1),
   _xlfn.XLOOKUP(VALUE(A1026),[1]Base_Jugadores!A$2:A$50000,[1]Base_Jugadores!C$2:C$50000)
)</f>
        <v>West Ham United</v>
      </c>
      <c r="D1026" s="5" t="str">
        <f aca="false">[1]Base_Jugadores!D1026</f>
        <v>Dinamarca</v>
      </c>
      <c r="E1026" s="3"/>
      <c r="F1026" s="5" t="str">
        <f aca="false">[1]Base_Jugadores!E1026</f>
        <v>PO</v>
      </c>
      <c r="G1026" s="5" t="n">
        <f aca="false">[1]Base_Jugadores!F1026</f>
        <v>76</v>
      </c>
      <c r="H1026" s="5" t="n">
        <f aca="false">[1]Base_Jugadores!G1026</f>
        <v>25</v>
      </c>
      <c r="I1026" s="7" t="n">
        <f aca="false" t="array" ref="I1026:I1026">_xlfn.XLOOKUP(G1026,{55;56;57;58;59;60;61;62;63;64;65;66;67;68;69;70;71;72;73;74;75;76;77;78;79;80;81;82;83;84;85;86;87;88;89;90;91;92;93;94;95;96;97;98;99},{100000;130000;160000;190000;220000;250000;300000;350000;400000;450000;500000;600000;700000;800000;900000;1000000;1500000;2000000;3000000;4000000;5000000;6500000;8000000;10000000;12500000;15000000;20000000;25000000;30000000;35000000;40000000;55000000;70000000;80000000;90000000;110000000;130000000;160000000;190000000;220000000;250000000;280000000;310000000;340000000;400000000})</f>
        <v>6500000</v>
      </c>
      <c r="J1026" s="7" t="n">
        <f aca="false">I1026*S1026*T1026*U1026</f>
        <v>3878550</v>
      </c>
      <c r="K1026" s="3"/>
      <c r="L1026" s="3"/>
      <c r="M1026" s="3"/>
      <c r="N1026" s="9" t="n">
        <v>2</v>
      </c>
      <c r="O1026" s="4" t="n">
        <v>0</v>
      </c>
      <c r="P1026" s="5" t="n">
        <f aca="false">IF(COUNTIF([1]Base_Jugadores!J$2:J$500,B1026)&gt;0,1,0)</f>
        <v>0</v>
      </c>
      <c r="Q1026" s="10" t="b">
        <f aca="false">--(COUNTIFS(
   [1]Fichajes_Realizados!A$2:A$5000,A1026,
   [1]Fichajes_Realizados!G$2:G$5000,$X$3
)&gt;0)</f>
        <v>0</v>
      </c>
      <c r="R1026" s="5" t="n">
        <f aca="false">_xlfn.XLOOKUP(C1026, [1]Estado_Equipos!A$2:A$500, [1]Estado_Equipos!J$2:J$500, "")</f>
        <v>75</v>
      </c>
      <c r="S1026" s="5" t="n">
        <f aca="false">IF(H1026&lt;=16,1.45,
IF(H1026&gt;=41,0.3,
CHOOSE(ROUNDDOWN((H1026-16)/2,0)+1,
1.45,1.38,1.3,1.23,1.17,1.15,1.12,1.05,0.95,0.8,0.6,0.4,0.3)))</f>
        <v>1.17</v>
      </c>
      <c r="T1026" s="5" t="n">
        <f aca="false">CHOOSE(N1026+1,1.2,1,0.85,0.7)</f>
        <v>0.85</v>
      </c>
      <c r="U1026" s="5" t="n">
        <f aca="false">IF(F1026="PO",0.6,
IF(F1026="CT",0.75,
IF(F1026="LI",0.8,
IF(F1026="LD",0.8,
IF(F1026="MCD",0.85,
IF(F1026="MC",0.95,
IF(F1026="MO",1.05,
IF(F1026="EI",1.1,
IF(F1026="ED",1.1,
IF(F1026="SD",1.15,
IF(F1026="DC",1.2,0)))))))))))</f>
        <v>0.6</v>
      </c>
    </row>
    <row r="1027" customFormat="false" ht="16.4" hidden="false" customHeight="false" outlineLevel="0" collapsed="false">
      <c r="A1027" s="1" t="n">
        <v>1026</v>
      </c>
      <c r="B1027" s="5" t="str">
        <f aca="false">[1]Base_Jugadores!B1027</f>
        <v>Mateus Fernandes</v>
      </c>
      <c r="C1027" s="5" t="str">
        <f aca="false">IFERROR(
   _xlfn.XLOOKUP(VALUE(A1027),[1]Fichajes_Realizados!A$2:A$50000,[1]Fichajes_Realizados!D$2:D$50000,,0,-1),
   _xlfn.XLOOKUP(VALUE(A1027),[1]Base_Jugadores!A$2:A$50000,[1]Base_Jugadores!C$2:C$50000)
)</f>
        <v>West Ham United</v>
      </c>
      <c r="D1027" s="5" t="str">
        <f aca="false">[1]Base_Jugadores!D1027</f>
        <v>Portugal</v>
      </c>
      <c r="E1027" s="3"/>
      <c r="F1027" s="5" t="str">
        <f aca="false">[1]Base_Jugadores!E1027</f>
        <v>MC</v>
      </c>
      <c r="G1027" s="5" t="n">
        <f aca="false">[1]Base_Jugadores!F1027</f>
        <v>74</v>
      </c>
      <c r="H1027" s="5" t="n">
        <f aca="false">[1]Base_Jugadores!G1027</f>
        <v>21</v>
      </c>
      <c r="I1027" s="7" t="n">
        <f aca="false" t="array" ref="I1027:I1027">_xlfn.XLOOKUP(G1027,{55;56;57;58;59;60;61;62;63;64;65;66;67;68;69;70;71;72;73;74;75;76;77;78;79;80;81;82;83;84;85;86;87;88;89;90;91;92;93;94;95;96;97;98;99},{100000;130000;160000;190000;220000;250000;300000;350000;400000;450000;500000;600000;700000;800000;900000;1000000;1500000;2000000;3000000;4000000;5000000;6500000;8000000;10000000;12500000;15000000;20000000;25000000;30000000;35000000;40000000;55000000;70000000;80000000;90000000;110000000;130000000;160000000;190000000;220000000;250000000;280000000;310000000;340000000;400000000})</f>
        <v>4000000</v>
      </c>
      <c r="J1027" s="7" t="n">
        <f aca="false">I1027*S1027*T1027*U1027</f>
        <v>4199000</v>
      </c>
      <c r="K1027" s="3"/>
      <c r="L1027" s="3"/>
      <c r="M1027" s="3"/>
      <c r="N1027" s="9" t="n">
        <v>2</v>
      </c>
      <c r="O1027" s="4" t="n">
        <v>0</v>
      </c>
      <c r="P1027" s="5" t="n">
        <f aca="false">IF(COUNTIF([1]Base_Jugadores!J$2:J$500,B1027)&gt;0,1,0)</f>
        <v>0</v>
      </c>
      <c r="Q1027" s="10" t="b">
        <f aca="false">--(COUNTIFS(
   [1]Fichajes_Realizados!A$2:A$5000,A1027,
   [1]Fichajes_Realizados!G$2:G$5000,$X$3
)&gt;0)</f>
        <v>0</v>
      </c>
      <c r="R1027" s="5" t="n">
        <f aca="false">_xlfn.XLOOKUP(C1027, [1]Estado_Equipos!A$2:A$500, [1]Estado_Equipos!J$2:J$500, "")</f>
        <v>75</v>
      </c>
      <c r="S1027" s="5" t="n">
        <f aca="false">IF(H1027&lt;=16,1.45,
IF(H1027&gt;=41,0.3,
CHOOSE(ROUNDDOWN((H1027-16)/2,0)+1,
1.45,1.38,1.3,1.23,1.17,1.15,1.12,1.05,0.95,0.8,0.6,0.4,0.3)))</f>
        <v>1.3</v>
      </c>
      <c r="T1027" s="5" t="n">
        <f aca="false">CHOOSE(N1027+1,1.2,1,0.85,0.7)</f>
        <v>0.85</v>
      </c>
      <c r="U1027" s="5" t="n">
        <f aca="false">IF(F1027="PO",0.6,
IF(F1027="CT",0.75,
IF(F1027="LI",0.8,
IF(F1027="LD",0.8,
IF(F1027="MCD",0.85,
IF(F1027="MC",0.95,
IF(F1027="MO",1.05,
IF(F1027="EI",1.1,
IF(F1027="ED",1.1,
IF(F1027="SD",1.15,
IF(F1027="DC",1.2,0)))))))))))</f>
        <v>0.95</v>
      </c>
    </row>
    <row r="1028" customFormat="false" ht="16.4" hidden="false" customHeight="false" outlineLevel="0" collapsed="false">
      <c r="A1028" s="1" t="n">
        <v>1027</v>
      </c>
      <c r="B1028" s="5" t="str">
        <f aca="false">[1]Base_Jugadores!B1028</f>
        <v>Maximilian Kilman</v>
      </c>
      <c r="C1028" s="5" t="str">
        <f aca="false">IFERROR(
   _xlfn.XLOOKUP(VALUE(A1028),[1]Fichajes_Realizados!A$2:A$50000,[1]Fichajes_Realizados!D$2:D$50000,,0,-1),
   _xlfn.XLOOKUP(VALUE(A1028),[1]Base_Jugadores!A$2:A$50000,[1]Base_Jugadores!C$2:C$50000)
)</f>
        <v>West Ham United</v>
      </c>
      <c r="D1028" s="5" t="str">
        <f aca="false">[1]Base_Jugadores!D1028</f>
        <v>Inglaterra</v>
      </c>
      <c r="E1028" s="3"/>
      <c r="F1028" s="5" t="str">
        <f aca="false">[1]Base_Jugadores!E1028</f>
        <v>CT</v>
      </c>
      <c r="G1028" s="5" t="n">
        <f aca="false">[1]Base_Jugadores!F1028</f>
        <v>78</v>
      </c>
      <c r="H1028" s="5" t="n">
        <f aca="false">[1]Base_Jugadores!G1028</f>
        <v>28</v>
      </c>
      <c r="I1028" s="7" t="n">
        <f aca="false" t="array" ref="I1028:I1028">_xlfn.XLOOKUP(G1028,{55;56;57;58;59;60;61;62;63;64;65;66;67;68;69;70;71;72;73;74;75;76;77;78;79;80;81;82;83;84;85;86;87;88;89;90;91;92;93;94;95;96;97;98;99},{100000;130000;160000;190000;220000;250000;300000;350000;400000;450000;500000;600000;700000;800000;900000;1000000;1500000;2000000;3000000;4000000;5000000;6500000;8000000;10000000;12500000;15000000;20000000;25000000;30000000;35000000;40000000;55000000;70000000;80000000;90000000;110000000;130000000;160000000;190000000;220000000;250000000;280000000;310000000;340000000;400000000})</f>
        <v>10000000</v>
      </c>
      <c r="J1028" s="7" t="n">
        <f aca="false">I1028*S1028*T1028*U1028</f>
        <v>10080000</v>
      </c>
      <c r="K1028" s="3"/>
      <c r="L1028" s="3"/>
      <c r="M1028" s="3"/>
      <c r="N1028" s="9" t="n">
        <v>0</v>
      </c>
      <c r="O1028" s="4" t="n">
        <v>0</v>
      </c>
      <c r="P1028" s="5" t="n">
        <f aca="false">IF(COUNTIF([1]Base_Jugadores!J$2:J$500,B1028)&gt;0,1,0)</f>
        <v>0</v>
      </c>
      <c r="Q1028" s="10" t="b">
        <f aca="false">--(COUNTIFS(
   [1]Fichajes_Realizados!A$2:A$5000,A1028,
   [1]Fichajes_Realizados!G$2:G$5000,$X$3
)&gt;0)</f>
        <v>0</v>
      </c>
      <c r="R1028" s="5" t="n">
        <f aca="false">_xlfn.XLOOKUP(C1028, [1]Estado_Equipos!A$2:A$500, [1]Estado_Equipos!J$2:J$500, "")</f>
        <v>75</v>
      </c>
      <c r="S1028" s="5" t="n">
        <f aca="false">IF(H1028&lt;=16,1.45,
IF(H1028&gt;=41,0.3,
CHOOSE(ROUNDDOWN((H1028-16)/2,0)+1,
1.45,1.38,1.3,1.23,1.17,1.15,1.12,1.05,0.95,0.8,0.6,0.4,0.3)))</f>
        <v>1.12</v>
      </c>
      <c r="T1028" s="5" t="n">
        <f aca="false">CHOOSE(N1028+1,1.2,1,0.85,0.7)</f>
        <v>1.2</v>
      </c>
      <c r="U1028" s="5" t="n">
        <f aca="false">IF(F1028="PO",0.6,
IF(F1028="CT",0.75,
IF(F1028="LI",0.8,
IF(F1028="LD",0.8,
IF(F1028="MCD",0.85,
IF(F1028="MC",0.95,
IF(F1028="MO",1.05,
IF(F1028="EI",1.1,
IF(F1028="ED",1.1,
IF(F1028="SD",1.15,
IF(F1028="DC",1.2,0)))))))))))</f>
        <v>0.75</v>
      </c>
    </row>
    <row r="1029" customFormat="false" ht="16.4" hidden="false" customHeight="false" outlineLevel="0" collapsed="false">
      <c r="A1029" s="1" t="n">
        <v>1028</v>
      </c>
      <c r="B1029" s="5" t="str">
        <f aca="false">[1]Base_Jugadores!B1029</f>
        <v>Niclas Füllkrug</v>
      </c>
      <c r="C1029" s="5" t="str">
        <f aca="false">IFERROR(
   _xlfn.XLOOKUP(VALUE(A1029),[1]Fichajes_Realizados!A$2:A$50000,[1]Fichajes_Realizados!D$2:D$50000,,0,-1),
   _xlfn.XLOOKUP(VALUE(A1029),[1]Base_Jugadores!A$2:A$50000,[1]Base_Jugadores!C$2:C$50000)
)</f>
        <v>West Ham United</v>
      </c>
      <c r="D1029" s="5" t="str">
        <f aca="false">[1]Base_Jugadores!D1029</f>
        <v>Alemania</v>
      </c>
      <c r="E1029" s="3"/>
      <c r="F1029" s="5" t="str">
        <f aca="false">[1]Base_Jugadores!E1029</f>
        <v>DC</v>
      </c>
      <c r="G1029" s="5" t="n">
        <f aca="false">[1]Base_Jugadores!F1029</f>
        <v>82</v>
      </c>
      <c r="H1029" s="5" t="n">
        <f aca="false">[1]Base_Jugadores!G1029</f>
        <v>32</v>
      </c>
      <c r="I1029" s="7" t="n">
        <f aca="false" t="array" ref="I1029:I1029">_xlfn.XLOOKUP(G1029,{55;56;57;58;59;60;61;62;63;64;65;66;67;68;69;70;71;72;73;74;75;76;77;78;79;80;81;82;83;84;85;86;87;88;89;90;91;92;93;94;95;96;97;98;99},{100000;130000;160000;190000;220000;250000;300000;350000;400000;450000;500000;600000;700000;800000;900000;1000000;1500000;2000000;3000000;4000000;5000000;6500000;8000000;10000000;12500000;15000000;20000000;25000000;30000000;35000000;40000000;55000000;70000000;80000000;90000000;110000000;130000000;160000000;190000000;220000000;250000000;280000000;310000000;340000000;400000000})</f>
        <v>25000000</v>
      </c>
      <c r="J1029" s="7" t="n">
        <f aca="false">I1029*S1029*T1029*U1029</f>
        <v>34200000</v>
      </c>
      <c r="K1029" s="3"/>
      <c r="L1029" s="3"/>
      <c r="M1029" s="3"/>
      <c r="N1029" s="9" t="n">
        <v>0</v>
      </c>
      <c r="O1029" s="4" t="n">
        <v>0</v>
      </c>
      <c r="P1029" s="5" t="n">
        <f aca="false">IF(COUNTIF([1]Base_Jugadores!J$2:J$500,B1029)&gt;0,1,0)</f>
        <v>0</v>
      </c>
      <c r="Q1029" s="10" t="b">
        <f aca="false">--(COUNTIFS(
   [1]Fichajes_Realizados!A$2:A$5000,A1029,
   [1]Fichajes_Realizados!G$2:G$5000,$X$3
)&gt;0)</f>
        <v>0</v>
      </c>
      <c r="R1029" s="5" t="n">
        <f aca="false">_xlfn.XLOOKUP(C1029, [1]Estado_Equipos!A$2:A$500, [1]Estado_Equipos!J$2:J$500, "")</f>
        <v>75</v>
      </c>
      <c r="S1029" s="5" t="n">
        <f aca="false">IF(H1029&lt;=16,1.45,
IF(H1029&gt;=41,0.3,
CHOOSE(ROUNDDOWN((H1029-16)/2,0)+1,
1.45,1.38,1.3,1.23,1.17,1.15,1.12,1.05,0.95,0.8,0.6,0.4,0.3)))</f>
        <v>0.95</v>
      </c>
      <c r="T1029" s="5" t="n">
        <f aca="false">CHOOSE(N1029+1,1.2,1,0.85,0.7)</f>
        <v>1.2</v>
      </c>
      <c r="U1029" s="5" t="n">
        <f aca="false">IF(F1029="PO",0.6,
IF(F1029="CT",0.75,
IF(F1029="LI",0.8,
IF(F1029="LD",0.8,
IF(F1029="MCD",0.85,
IF(F1029="MC",0.95,
IF(F1029="MO",1.05,
IF(F1029="EI",1.1,
IF(F1029="ED",1.1,
IF(F1029="SD",1.15,
IF(F1029="DC",1.2,0)))))))))))</f>
        <v>1.2</v>
      </c>
    </row>
    <row r="1030" customFormat="false" ht="16.4" hidden="false" customHeight="false" outlineLevel="0" collapsed="false">
      <c r="A1030" s="1" t="n">
        <v>1029</v>
      </c>
      <c r="B1030" s="5" t="str">
        <f aca="false">[1]Base_Jugadores!B1030</f>
        <v>Oliver Scarles</v>
      </c>
      <c r="C1030" s="5" t="str">
        <f aca="false">IFERROR(
   _xlfn.XLOOKUP(VALUE(A1030),[1]Fichajes_Realizados!A$2:A$50000,[1]Fichajes_Realizados!D$2:D$50000,,0,-1),
   _xlfn.XLOOKUP(VALUE(A1030),[1]Base_Jugadores!A$2:A$50000,[1]Base_Jugadores!C$2:C$50000)
)</f>
        <v>West Ham United</v>
      </c>
      <c r="D1030" s="5" t="str">
        <f aca="false">[1]Base_Jugadores!D1030</f>
        <v>Inglaterra</v>
      </c>
      <c r="E1030" s="3"/>
      <c r="F1030" s="5" t="str">
        <f aca="false">[1]Base_Jugadores!E1030</f>
        <v>LI</v>
      </c>
      <c r="G1030" s="5" t="n">
        <f aca="false">[1]Base_Jugadores!F1030</f>
        <v>65</v>
      </c>
      <c r="H1030" s="5" t="n">
        <f aca="false">[1]Base_Jugadores!G1030</f>
        <v>20</v>
      </c>
      <c r="I1030" s="7" t="n">
        <f aca="false" t="array" ref="I1030:I1030">_xlfn.XLOOKUP(G1030,{55;56;57;58;59;60;61;62;63;64;65;66;67;68;69;70;71;72;73;74;75;76;77;78;79;80;81;82;83;84;85;86;87;88;89;90;91;92;93;94;95;96;97;98;99},{100000;130000;160000;190000;220000;250000;300000;350000;400000;450000;500000;600000;700000;800000;900000;1000000;1500000;2000000;3000000;4000000;5000000;6500000;8000000;10000000;12500000;15000000;20000000;25000000;30000000;35000000;40000000;55000000;70000000;80000000;90000000;110000000;130000000;160000000;190000000;220000000;250000000;280000000;310000000;340000000;400000000})</f>
        <v>500000</v>
      </c>
      <c r="J1030" s="7" t="n">
        <f aca="false">I1030*S1030*T1030*U1030</f>
        <v>442000</v>
      </c>
      <c r="K1030" s="3"/>
      <c r="L1030" s="3"/>
      <c r="M1030" s="3"/>
      <c r="N1030" s="9" t="n">
        <v>2</v>
      </c>
      <c r="O1030" s="4" t="n">
        <v>0</v>
      </c>
      <c r="P1030" s="5" t="n">
        <f aca="false">IF(COUNTIF([1]Base_Jugadores!J$2:J$500,B1030)&gt;0,1,0)</f>
        <v>0</v>
      </c>
      <c r="Q1030" s="10" t="b">
        <f aca="false">--(COUNTIFS(
   [1]Fichajes_Realizados!A$2:A$5000,A1030,
   [1]Fichajes_Realizados!G$2:G$5000,$X$3
)&gt;0)</f>
        <v>0</v>
      </c>
      <c r="R1030" s="5" t="n">
        <f aca="false">_xlfn.XLOOKUP(C1030, [1]Estado_Equipos!A$2:A$500, [1]Estado_Equipos!J$2:J$500, "")</f>
        <v>75</v>
      </c>
      <c r="S1030" s="5" t="n">
        <f aca="false">IF(H1030&lt;=16,1.45,
IF(H1030&gt;=41,0.3,
CHOOSE(ROUNDDOWN((H1030-16)/2,0)+1,
1.45,1.38,1.3,1.23,1.17,1.15,1.12,1.05,0.95,0.8,0.6,0.4,0.3)))</f>
        <v>1.3</v>
      </c>
      <c r="T1030" s="5" t="n">
        <f aca="false">CHOOSE(N1030+1,1.2,1,0.85,0.7)</f>
        <v>0.85</v>
      </c>
      <c r="U1030" s="5" t="n">
        <f aca="false">IF(F1030="PO",0.6,
IF(F1030="CT",0.75,
IF(F1030="LI",0.8,
IF(F1030="LD",0.8,
IF(F1030="MCD",0.85,
IF(F1030="MC",0.95,
IF(F1030="MO",1.05,
IF(F1030="EI",1.1,
IF(F1030="ED",1.1,
IF(F1030="SD",1.15,
IF(F1030="DC",1.2,0)))))))))))</f>
        <v>0.8</v>
      </c>
    </row>
    <row r="1031" customFormat="false" ht="16.4" hidden="false" customHeight="false" outlineLevel="0" collapsed="false">
      <c r="A1031" s="1" t="n">
        <v>1030</v>
      </c>
      <c r="B1031" s="5" t="str">
        <f aca="false">[1]Base_Jugadores!B1031</f>
        <v>Soungoutou Magassa</v>
      </c>
      <c r="C1031" s="5" t="str">
        <f aca="false">IFERROR(
   _xlfn.XLOOKUP(VALUE(A1031),[1]Fichajes_Realizados!A$2:A$50000,[1]Fichajes_Realizados!D$2:D$50000,,0,-1),
   _xlfn.XLOOKUP(VALUE(A1031),[1]Base_Jugadores!A$2:A$50000,[1]Base_Jugadores!C$2:C$50000)
)</f>
        <v>West Ham United</v>
      </c>
      <c r="D1031" s="5" t="str">
        <f aca="false">[1]Base_Jugadores!D1031</f>
        <v>Francia</v>
      </c>
      <c r="E1031" s="3"/>
      <c r="F1031" s="5" t="str">
        <f aca="false">[1]Base_Jugadores!E1031</f>
        <v>MCD</v>
      </c>
      <c r="G1031" s="5" t="n">
        <f aca="false">[1]Base_Jugadores!F1031</f>
        <v>72</v>
      </c>
      <c r="H1031" s="5" t="n">
        <f aca="false">[1]Base_Jugadores!G1031</f>
        <v>22</v>
      </c>
      <c r="I1031" s="7" t="n">
        <f aca="false" t="array" ref="I1031:I1031">_xlfn.XLOOKUP(G1031,{55;56;57;58;59;60;61;62;63;64;65;66;67;68;69;70;71;72;73;74;75;76;77;78;79;80;81;82;83;84;85;86;87;88;89;90;91;92;93;94;95;96;97;98;99},{100000;130000;160000;190000;220000;250000;300000;350000;400000;450000;500000;600000;700000;800000;900000;1000000;1500000;2000000;3000000;4000000;5000000;6500000;8000000;10000000;12500000;15000000;20000000;25000000;30000000;35000000;40000000;55000000;70000000;80000000;90000000;110000000;130000000;160000000;190000000;220000000;250000000;280000000;310000000;340000000;400000000})</f>
        <v>2000000</v>
      </c>
      <c r="J1031" s="7" t="n">
        <f aca="false">I1031*S1031*T1031*U1031</f>
        <v>1777350</v>
      </c>
      <c r="K1031" s="3"/>
      <c r="L1031" s="3"/>
      <c r="M1031" s="3"/>
      <c r="N1031" s="9" t="n">
        <v>2</v>
      </c>
      <c r="O1031" s="4" t="n">
        <v>0</v>
      </c>
      <c r="P1031" s="5" t="n">
        <f aca="false">IF(COUNTIF([1]Base_Jugadores!J$2:J$500,B1031)&gt;0,1,0)</f>
        <v>0</v>
      </c>
      <c r="Q1031" s="10" t="b">
        <f aca="false">--(COUNTIFS(
   [1]Fichajes_Realizados!A$2:A$5000,A1031,
   [1]Fichajes_Realizados!G$2:G$5000,$X$3
)&gt;0)</f>
        <v>0</v>
      </c>
      <c r="R1031" s="5" t="n">
        <f aca="false">_xlfn.XLOOKUP(C1031, [1]Estado_Equipos!A$2:A$500, [1]Estado_Equipos!J$2:J$500, "")</f>
        <v>75</v>
      </c>
      <c r="S1031" s="5" t="n">
        <f aca="false">IF(H1031&lt;=16,1.45,
IF(H1031&gt;=41,0.3,
CHOOSE(ROUNDDOWN((H1031-16)/2,0)+1,
1.45,1.38,1.3,1.23,1.17,1.15,1.12,1.05,0.95,0.8,0.6,0.4,0.3)))</f>
        <v>1.23</v>
      </c>
      <c r="T1031" s="5" t="n">
        <f aca="false">CHOOSE(N1031+1,1.2,1,0.85,0.7)</f>
        <v>0.85</v>
      </c>
      <c r="U1031" s="5" t="n">
        <f aca="false">IF(F1031="PO",0.6,
IF(F1031="CT",0.75,
IF(F1031="LI",0.8,
IF(F1031="LD",0.8,
IF(F1031="MCD",0.85,
IF(F1031="MC",0.95,
IF(F1031="MO",1.05,
IF(F1031="EI",1.1,
IF(F1031="ED",1.1,
IF(F1031="SD",1.15,
IF(F1031="DC",1.2,0)))))))))))</f>
        <v>0.85</v>
      </c>
    </row>
    <row r="1032" customFormat="false" ht="16.4" hidden="false" customHeight="false" outlineLevel="0" collapsed="false">
      <c r="A1032" s="1" t="n">
        <v>1031</v>
      </c>
      <c r="B1032" s="5" t="str">
        <f aca="false">[1]Base_Jugadores!B1032</f>
        <v>Tomáš Souček</v>
      </c>
      <c r="C1032" s="5" t="str">
        <f aca="false">IFERROR(
   _xlfn.XLOOKUP(VALUE(A1032),[1]Fichajes_Realizados!A$2:A$50000,[1]Fichajes_Realizados!D$2:D$50000,,0,-1),
   _xlfn.XLOOKUP(VALUE(A1032),[1]Base_Jugadores!A$2:A$50000,[1]Base_Jugadores!C$2:C$50000)
)</f>
        <v>West Ham United</v>
      </c>
      <c r="D1032" s="5" t="str">
        <f aca="false">[1]Base_Jugadores!D1032</f>
        <v>República Checa</v>
      </c>
      <c r="E1032" s="3"/>
      <c r="F1032" s="5" t="str">
        <f aca="false">[1]Base_Jugadores!E1032</f>
        <v>MCD</v>
      </c>
      <c r="G1032" s="5" t="n">
        <f aca="false">[1]Base_Jugadores!F1032</f>
        <v>79</v>
      </c>
      <c r="H1032" s="5" t="n">
        <f aca="false">[1]Base_Jugadores!G1032</f>
        <v>30</v>
      </c>
      <c r="I1032" s="7" t="n">
        <f aca="false" t="array" ref="I1032:I1032">_xlfn.XLOOKUP(G1032,{55;56;57;58;59;60;61;62;63;64;65;66;67;68;69;70;71;72;73;74;75;76;77;78;79;80;81;82;83;84;85;86;87;88;89;90;91;92;93;94;95;96;97;98;99},{100000;130000;160000;190000;220000;250000;300000;350000;400000;450000;500000;600000;700000;800000;900000;1000000;1500000;2000000;3000000;4000000;5000000;6500000;8000000;10000000;12500000;15000000;20000000;25000000;30000000;35000000;40000000;55000000;70000000;80000000;90000000;110000000;130000000;160000000;190000000;220000000;250000000;280000000;310000000;340000000;400000000})</f>
        <v>12500000</v>
      </c>
      <c r="J1032" s="7" t="n">
        <f aca="false">I1032*S1032*T1032*U1032</f>
        <v>11156250</v>
      </c>
      <c r="K1032" s="3"/>
      <c r="L1032" s="3"/>
      <c r="M1032" s="3"/>
      <c r="N1032" s="9" t="n">
        <v>1</v>
      </c>
      <c r="O1032" s="4" t="n">
        <v>0</v>
      </c>
      <c r="P1032" s="5" t="n">
        <f aca="false">IF(COUNTIF([1]Base_Jugadores!J$2:J$500,B1032)&gt;0,1,0)</f>
        <v>0</v>
      </c>
      <c r="Q1032" s="10" t="b">
        <f aca="false">--(COUNTIFS(
   [1]Fichajes_Realizados!A$2:A$5000,A1032,
   [1]Fichajes_Realizados!G$2:G$5000,$X$3
)&gt;0)</f>
        <v>0</v>
      </c>
      <c r="R1032" s="5" t="n">
        <f aca="false">_xlfn.XLOOKUP(C1032, [1]Estado_Equipos!A$2:A$500, [1]Estado_Equipos!J$2:J$500, "")</f>
        <v>75</v>
      </c>
      <c r="S1032" s="5" t="n">
        <f aca="false">IF(H1032&lt;=16,1.45,
IF(H1032&gt;=41,0.3,
CHOOSE(ROUNDDOWN((H1032-16)/2,0)+1,
1.45,1.38,1.3,1.23,1.17,1.15,1.12,1.05,0.95,0.8,0.6,0.4,0.3)))</f>
        <v>1.05</v>
      </c>
      <c r="T1032" s="5" t="n">
        <f aca="false">CHOOSE(N1032+1,1.2,1,0.85,0.7)</f>
        <v>1</v>
      </c>
      <c r="U1032" s="5" t="n">
        <f aca="false">IF(F1032="PO",0.6,
IF(F1032="CT",0.75,
IF(F1032="LI",0.8,
IF(F1032="LD",0.8,
IF(F1032="MCD",0.85,
IF(F1032="MC",0.95,
IF(F1032="MO",1.05,
IF(F1032="EI",1.1,
IF(F1032="ED",1.1,
IF(F1032="SD",1.15,
IF(F1032="DC",1.2,0)))))))))))</f>
        <v>0.85</v>
      </c>
    </row>
    <row r="1033" customFormat="false" ht="16.4" hidden="false" customHeight="false" outlineLevel="0" collapsed="false">
      <c r="A1033" s="1" t="n">
        <v>1032</v>
      </c>
      <c r="B1033" s="5" t="str">
        <f aca="false">[1]Base_Jugadores!B1033</f>
        <v>André da Costa</v>
      </c>
      <c r="C1033" s="5" t="str">
        <f aca="false">IFERROR(
   _xlfn.XLOOKUP(VALUE(A1033),[1]Fichajes_Realizados!A$2:A$50000,[1]Fichajes_Realizados!D$2:D$50000,,0,-1),
   _xlfn.XLOOKUP(VALUE(A1033),[1]Base_Jugadores!A$2:A$50000,[1]Base_Jugadores!C$2:C$50000)
)</f>
        <v>Wolverhampton W.</v>
      </c>
      <c r="D1033" s="5" t="str">
        <f aca="false">[1]Base_Jugadores!D1033</f>
        <v>Brasil</v>
      </c>
      <c r="E1033" s="3"/>
      <c r="F1033" s="5" t="str">
        <f aca="false">[1]Base_Jugadores!E1033</f>
        <v>MCD</v>
      </c>
      <c r="G1033" s="5" t="n">
        <f aca="false">[1]Base_Jugadores!F1033</f>
        <v>76</v>
      </c>
      <c r="H1033" s="5" t="n">
        <f aca="false">[1]Base_Jugadores!G1033</f>
        <v>24</v>
      </c>
      <c r="I1033" s="7" t="n">
        <f aca="false" t="array" ref="I1033:I1033">_xlfn.XLOOKUP(G1033,{55;56;57;58;59;60;61;62;63;64;65;66;67;68;69;70;71;72;73;74;75;76;77;78;79;80;81;82;83;84;85;86;87;88;89;90;91;92;93;94;95;96;97;98;99},{100000;130000;160000;190000;220000;250000;300000;350000;400000;450000;500000;600000;700000;800000;900000;1000000;1500000;2000000;3000000;4000000;5000000;6500000;8000000;10000000;12500000;15000000;20000000;25000000;30000000;35000000;40000000;55000000;70000000;80000000;90000000;110000000;130000000;160000000;190000000;220000000;250000000;280000000;310000000;340000000;400000000})</f>
        <v>6500000</v>
      </c>
      <c r="J1033" s="7" t="n">
        <f aca="false">I1033*S1033*T1033*U1033</f>
        <v>7757100</v>
      </c>
      <c r="K1033" s="3"/>
      <c r="L1033" s="3"/>
      <c r="M1033" s="3"/>
      <c r="N1033" s="9" t="n">
        <v>0</v>
      </c>
      <c r="O1033" s="4" t="n">
        <v>0</v>
      </c>
      <c r="P1033" s="5" t="n">
        <f aca="false">IF(COUNTIF([1]Base_Jugadores!J$2:J$500,B1033)&gt;0,1,0)</f>
        <v>0</v>
      </c>
      <c r="Q1033" s="10" t="b">
        <f aca="false">--(COUNTIFS(
   [1]Fichajes_Realizados!A$2:A$5000,A1033,
   [1]Fichajes_Realizados!G$2:G$5000,$X$3
)&gt;0)</f>
        <v>0</v>
      </c>
      <c r="R1033" s="5" t="n">
        <f aca="false">_xlfn.XLOOKUP(C1033, [1]Estado_Equipos!A$2:A$500, [1]Estado_Equipos!J$2:J$500, "")</f>
        <v>74</v>
      </c>
      <c r="S1033" s="5" t="n">
        <f aca="false">IF(H1033&lt;=16,1.45,
IF(H1033&gt;=41,0.3,
CHOOSE(ROUNDDOWN((H1033-16)/2,0)+1,
1.45,1.38,1.3,1.23,1.17,1.15,1.12,1.05,0.95,0.8,0.6,0.4,0.3)))</f>
        <v>1.17</v>
      </c>
      <c r="T1033" s="5" t="n">
        <f aca="false">CHOOSE(N1033+1,1.2,1,0.85,0.7)</f>
        <v>1.2</v>
      </c>
      <c r="U1033" s="5" t="n">
        <f aca="false">IF(F1033="PO",0.6,
IF(F1033="CT",0.75,
IF(F1033="LI",0.8,
IF(F1033="LD",0.8,
IF(F1033="MCD",0.85,
IF(F1033="MC",0.95,
IF(F1033="MO",1.05,
IF(F1033="EI",1.1,
IF(F1033="ED",1.1,
IF(F1033="SD",1.15,
IF(F1033="DC",1.2,0)))))))))))</f>
        <v>0.85</v>
      </c>
    </row>
    <row r="1034" customFormat="false" ht="16.4" hidden="false" customHeight="false" outlineLevel="0" collapsed="false">
      <c r="A1034" s="1" t="n">
        <v>1033</v>
      </c>
      <c r="B1034" s="5" t="str">
        <f aca="false">[1]Base_Jugadores!B1034</f>
        <v>Daniel Bentley</v>
      </c>
      <c r="C1034" s="5" t="str">
        <f aca="false">IFERROR(
   _xlfn.XLOOKUP(VALUE(A1034),[1]Fichajes_Realizados!A$2:A$50000,[1]Fichajes_Realizados!D$2:D$50000,,0,-1),
   _xlfn.XLOOKUP(VALUE(A1034),[1]Base_Jugadores!A$2:A$50000,[1]Base_Jugadores!C$2:C$50000)
)</f>
        <v>Wolverhampton W.</v>
      </c>
      <c r="D1034" s="5" t="str">
        <f aca="false">[1]Base_Jugadores!D1034</f>
        <v>Inglaterra</v>
      </c>
      <c r="E1034" s="3"/>
      <c r="F1034" s="5" t="str">
        <f aca="false">[1]Base_Jugadores!E1034</f>
        <v>PO</v>
      </c>
      <c r="G1034" s="5" t="n">
        <f aca="false">[1]Base_Jugadores!F1034</f>
        <v>72</v>
      </c>
      <c r="H1034" s="5" t="n">
        <f aca="false">[1]Base_Jugadores!G1034</f>
        <v>32</v>
      </c>
      <c r="I1034" s="7" t="n">
        <f aca="false" t="array" ref="I1034:I1034">_xlfn.XLOOKUP(G1034,{55;56;57;58;59;60;61;62;63;64;65;66;67;68;69;70;71;72;73;74;75;76;77;78;79;80;81;82;83;84;85;86;87;88;89;90;91;92;93;94;95;96;97;98;99},{100000;130000;160000;190000;220000;250000;300000;350000;400000;450000;500000;600000;700000;800000;900000;1000000;1500000;2000000;3000000;4000000;5000000;6500000;8000000;10000000;12500000;15000000;20000000;25000000;30000000;35000000;40000000;55000000;70000000;80000000;90000000;110000000;130000000;160000000;190000000;220000000;250000000;280000000;310000000;340000000;400000000})</f>
        <v>2000000</v>
      </c>
      <c r="J1034" s="7" t="n">
        <f aca="false">I1034*S1034*T1034*U1034</f>
        <v>1368000</v>
      </c>
      <c r="K1034" s="3"/>
      <c r="L1034" s="3"/>
      <c r="M1034" s="3"/>
      <c r="N1034" s="9" t="n">
        <v>0</v>
      </c>
      <c r="O1034" s="4" t="n">
        <v>0</v>
      </c>
      <c r="P1034" s="5" t="n">
        <f aca="false">IF(COUNTIF([1]Base_Jugadores!J$2:J$500,B1034)&gt;0,1,0)</f>
        <v>0</v>
      </c>
      <c r="Q1034" s="10" t="b">
        <f aca="false">--(COUNTIFS(
   [1]Fichajes_Realizados!A$2:A$5000,A1034,
   [1]Fichajes_Realizados!G$2:G$5000,$X$3
)&gt;0)</f>
        <v>0</v>
      </c>
      <c r="R1034" s="5" t="n">
        <f aca="false">_xlfn.XLOOKUP(C1034, [1]Estado_Equipos!A$2:A$500, [1]Estado_Equipos!J$2:J$500, "")</f>
        <v>74</v>
      </c>
      <c r="S1034" s="5" t="n">
        <f aca="false">IF(H1034&lt;=16,1.45,
IF(H1034&gt;=41,0.3,
CHOOSE(ROUNDDOWN((H1034-16)/2,0)+1,
1.45,1.38,1.3,1.23,1.17,1.15,1.12,1.05,0.95,0.8,0.6,0.4,0.3)))</f>
        <v>0.95</v>
      </c>
      <c r="T1034" s="5" t="n">
        <f aca="false">CHOOSE(N1034+1,1.2,1,0.85,0.7)</f>
        <v>1.2</v>
      </c>
      <c r="U1034" s="5" t="n">
        <f aca="false">IF(F1034="PO",0.6,
IF(F1034="CT",0.75,
IF(F1034="LI",0.8,
IF(F1034="LD",0.8,
IF(F1034="MCD",0.85,
IF(F1034="MC",0.95,
IF(F1034="MO",1.05,
IF(F1034="EI",1.1,
IF(F1034="ED",1.1,
IF(F1034="SD",1.15,
IF(F1034="DC",1.2,0)))))))))))</f>
        <v>0.6</v>
      </c>
    </row>
    <row r="1035" customFormat="false" ht="16.4" hidden="false" customHeight="false" outlineLevel="0" collapsed="false">
      <c r="A1035" s="1" t="n">
        <v>1034</v>
      </c>
      <c r="B1035" s="5" t="str">
        <f aca="false">[1]Base_Jugadores!B1035</f>
        <v>E. Agbadou</v>
      </c>
      <c r="C1035" s="5" t="str">
        <f aca="false">IFERROR(
   _xlfn.XLOOKUP(VALUE(A1035),[1]Fichajes_Realizados!A$2:A$50000,[1]Fichajes_Realizados!D$2:D$50000,,0,-1),
   _xlfn.XLOOKUP(VALUE(A1035),[1]Base_Jugadores!A$2:A$50000,[1]Base_Jugadores!C$2:C$50000)
)</f>
        <v>Wolverhampton W.</v>
      </c>
      <c r="D1035" s="5" t="str">
        <f aca="false">[1]Base_Jugadores!D1035</f>
        <v>Costa de Marfil</v>
      </c>
      <c r="E1035" s="3"/>
      <c r="F1035" s="5" t="str">
        <f aca="false">[1]Base_Jugadores!E1035</f>
        <v>CT</v>
      </c>
      <c r="G1035" s="5" t="n">
        <f aca="false">[1]Base_Jugadores!F1035</f>
        <v>77</v>
      </c>
      <c r="H1035" s="5" t="n">
        <f aca="false">[1]Base_Jugadores!G1035</f>
        <v>28</v>
      </c>
      <c r="I1035" s="7" t="n">
        <f aca="false" t="array" ref="I1035:I1035">_xlfn.XLOOKUP(G1035,{55;56;57;58;59;60;61;62;63;64;65;66;67;68;69;70;71;72;73;74;75;76;77;78;79;80;81;82;83;84;85;86;87;88;89;90;91;92;93;94;95;96;97;98;99},{100000;130000;160000;190000;220000;250000;300000;350000;400000;450000;500000;600000;700000;800000;900000;1000000;1500000;2000000;3000000;4000000;5000000;6500000;8000000;10000000;12500000;15000000;20000000;25000000;30000000;35000000;40000000;55000000;70000000;80000000;90000000;110000000;130000000;160000000;190000000;220000000;250000000;280000000;310000000;340000000;400000000})</f>
        <v>8000000</v>
      </c>
      <c r="J1035" s="7" t="n">
        <f aca="false">I1035*S1035*T1035*U1035</f>
        <v>8064000</v>
      </c>
      <c r="K1035" s="3"/>
      <c r="L1035" s="3"/>
      <c r="M1035" s="3"/>
      <c r="N1035" s="9" t="n">
        <v>0</v>
      </c>
      <c r="O1035" s="4" t="n">
        <v>0</v>
      </c>
      <c r="P1035" s="5" t="n">
        <f aca="false">IF(COUNTIF([1]Base_Jugadores!J$2:J$500,B1035)&gt;0,1,0)</f>
        <v>0</v>
      </c>
      <c r="Q1035" s="10" t="b">
        <f aca="false">--(COUNTIFS(
   [1]Fichajes_Realizados!A$2:A$5000,A1035,
   [1]Fichajes_Realizados!G$2:G$5000,$X$3
)&gt;0)</f>
        <v>0</v>
      </c>
      <c r="R1035" s="5" t="n">
        <f aca="false">_xlfn.XLOOKUP(C1035, [1]Estado_Equipos!A$2:A$500, [1]Estado_Equipos!J$2:J$500, "")</f>
        <v>74</v>
      </c>
      <c r="S1035" s="5" t="n">
        <f aca="false">IF(H1035&lt;=16,1.45,
IF(H1035&gt;=41,0.3,
CHOOSE(ROUNDDOWN((H1035-16)/2,0)+1,
1.45,1.38,1.3,1.23,1.17,1.15,1.12,1.05,0.95,0.8,0.6,0.4,0.3)))</f>
        <v>1.12</v>
      </c>
      <c r="T1035" s="5" t="n">
        <f aca="false">CHOOSE(N1035+1,1.2,1,0.85,0.7)</f>
        <v>1.2</v>
      </c>
      <c r="U1035" s="5" t="n">
        <f aca="false">IF(F1035="PO",0.6,
IF(F1035="CT",0.75,
IF(F1035="LI",0.8,
IF(F1035="LD",0.8,
IF(F1035="MCD",0.85,
IF(F1035="MC",0.95,
IF(F1035="MO",1.05,
IF(F1035="EI",1.1,
IF(F1035="ED",1.1,
IF(F1035="SD",1.15,
IF(F1035="DC",1.2,0)))))))))))</f>
        <v>0.75</v>
      </c>
    </row>
    <row r="1036" customFormat="false" ht="16.4" hidden="false" customHeight="false" outlineLevel="0" collapsed="false">
      <c r="A1036" s="1" t="n">
        <v>1035</v>
      </c>
      <c r="B1036" s="5" t="str">
        <f aca="false">[1]Base_Jugadores!B1036</f>
        <v>Enso González</v>
      </c>
      <c r="C1036" s="5" t="str">
        <f aca="false">IFERROR(
   _xlfn.XLOOKUP(VALUE(A1036),[1]Fichajes_Realizados!A$2:A$50000,[1]Fichajes_Realizados!D$2:D$50000,,0,-1),
   _xlfn.XLOOKUP(VALUE(A1036),[1]Base_Jugadores!A$2:A$50000,[1]Base_Jugadores!C$2:C$50000)
)</f>
        <v>Wolverhampton W.</v>
      </c>
      <c r="D1036" s="5" t="str">
        <f aca="false">[1]Base_Jugadores!D1036</f>
        <v>Paraguay</v>
      </c>
      <c r="E1036" s="3"/>
      <c r="F1036" s="5" t="str">
        <f aca="false">[1]Base_Jugadores!E1036</f>
        <v>EI</v>
      </c>
      <c r="G1036" s="5" t="n">
        <f aca="false">[1]Base_Jugadores!F1036</f>
        <v>64</v>
      </c>
      <c r="H1036" s="5" t="n">
        <f aca="false">[1]Base_Jugadores!G1036</f>
        <v>20</v>
      </c>
      <c r="I1036" s="7" t="n">
        <f aca="false" t="array" ref="I1036:I1036">_xlfn.XLOOKUP(G1036,{55;56;57;58;59;60;61;62;63;64;65;66;67;68;69;70;71;72;73;74;75;76;77;78;79;80;81;82;83;84;85;86;87;88;89;90;91;92;93;94;95;96;97;98;99},{100000;130000;160000;190000;220000;250000;300000;350000;400000;450000;500000;600000;700000;800000;900000;1000000;1500000;2000000;3000000;4000000;5000000;6500000;8000000;10000000;12500000;15000000;20000000;25000000;30000000;35000000;40000000;55000000;70000000;80000000;90000000;110000000;130000000;160000000;190000000;220000000;250000000;280000000;310000000;340000000;400000000})</f>
        <v>450000</v>
      </c>
      <c r="J1036" s="7" t="n">
        <f aca="false">I1036*S1036*T1036*U1036</f>
        <v>772200</v>
      </c>
      <c r="K1036" s="3"/>
      <c r="L1036" s="3"/>
      <c r="M1036" s="3"/>
      <c r="N1036" s="9" t="n">
        <v>0</v>
      </c>
      <c r="O1036" s="4" t="n">
        <v>0</v>
      </c>
      <c r="P1036" s="5" t="n">
        <f aca="false">IF(COUNTIF([1]Base_Jugadores!J$2:J$500,B1036)&gt;0,1,0)</f>
        <v>0</v>
      </c>
      <c r="Q1036" s="10" t="b">
        <f aca="false">--(COUNTIFS(
   [1]Fichajes_Realizados!A$2:A$5000,A1036,
   [1]Fichajes_Realizados!G$2:G$5000,$X$3
)&gt;0)</f>
        <v>0</v>
      </c>
      <c r="R1036" s="5" t="n">
        <f aca="false">_xlfn.XLOOKUP(C1036, [1]Estado_Equipos!A$2:A$500, [1]Estado_Equipos!J$2:J$500, "")</f>
        <v>74</v>
      </c>
      <c r="S1036" s="5" t="n">
        <f aca="false">IF(H1036&lt;=16,1.45,
IF(H1036&gt;=41,0.3,
CHOOSE(ROUNDDOWN((H1036-16)/2,0)+1,
1.45,1.38,1.3,1.23,1.17,1.15,1.12,1.05,0.95,0.8,0.6,0.4,0.3)))</f>
        <v>1.3</v>
      </c>
      <c r="T1036" s="5" t="n">
        <f aca="false">CHOOSE(N1036+1,1.2,1,0.85,0.7)</f>
        <v>1.2</v>
      </c>
      <c r="U1036" s="5" t="n">
        <f aca="false">IF(F1036="PO",0.6,
IF(F1036="CT",0.75,
IF(F1036="LI",0.8,
IF(F1036="LD",0.8,
IF(F1036="MCD",0.85,
IF(F1036="MC",0.95,
IF(F1036="MO",1.05,
IF(F1036="EI",1.1,
IF(F1036="ED",1.1,
IF(F1036="SD",1.15,
IF(F1036="DC",1.2,0)))))))))))</f>
        <v>1.1</v>
      </c>
    </row>
    <row r="1037" customFormat="false" ht="16.4" hidden="false" customHeight="false" outlineLevel="0" collapsed="false">
      <c r="A1037" s="1" t="n">
        <v>1036</v>
      </c>
      <c r="B1037" s="5" t="str">
        <f aca="false">[1]Base_Jugadores!B1037</f>
        <v>Fer López</v>
      </c>
      <c r="C1037" s="5" t="str">
        <f aca="false">IFERROR(
   _xlfn.XLOOKUP(VALUE(A1037),[1]Fichajes_Realizados!A$2:A$50000,[1]Fichajes_Realizados!D$2:D$50000,,0,-1),
   _xlfn.XLOOKUP(VALUE(A1037),[1]Base_Jugadores!A$2:A$50000,[1]Base_Jugadores!C$2:C$50000)
)</f>
        <v>Wolverhampton W.</v>
      </c>
      <c r="D1037" s="5" t="str">
        <f aca="false">[1]Base_Jugadores!D1037</f>
        <v>España</v>
      </c>
      <c r="E1037" s="3"/>
      <c r="F1037" s="5" t="str">
        <f aca="false">[1]Base_Jugadores!E1037</f>
        <v>MO</v>
      </c>
      <c r="G1037" s="5" t="n">
        <f aca="false">[1]Base_Jugadores!F1037</f>
        <v>61</v>
      </c>
      <c r="H1037" s="5" t="n">
        <f aca="false">[1]Base_Jugadores!G1037</f>
        <v>21</v>
      </c>
      <c r="I1037" s="7" t="n">
        <f aca="false" t="array" ref="I1037:I1037">_xlfn.XLOOKUP(G1037,{55;56;57;58;59;60;61;62;63;64;65;66;67;68;69;70;71;72;73;74;75;76;77;78;79;80;81;82;83;84;85;86;87;88;89;90;91;92;93;94;95;96;97;98;99},{100000;130000;160000;190000;220000;250000;300000;350000;400000;450000;500000;600000;700000;800000;900000;1000000;1500000;2000000;3000000;4000000;5000000;6500000;8000000;10000000;12500000;15000000;20000000;25000000;30000000;35000000;40000000;55000000;70000000;80000000;90000000;110000000;130000000;160000000;190000000;220000000;250000000;280000000;310000000;340000000;400000000})</f>
        <v>300000</v>
      </c>
      <c r="J1037" s="7" t="n">
        <f aca="false">I1037*S1037*T1037*U1037</f>
        <v>491400</v>
      </c>
      <c r="K1037" s="3"/>
      <c r="L1037" s="3"/>
      <c r="M1037" s="3"/>
      <c r="N1037" s="9" t="n">
        <v>0</v>
      </c>
      <c r="O1037" s="4" t="n">
        <v>0</v>
      </c>
      <c r="P1037" s="5" t="n">
        <f aca="false">IF(COUNTIF([1]Base_Jugadores!J$2:J$500,B1037)&gt;0,1,0)</f>
        <v>0</v>
      </c>
      <c r="Q1037" s="10" t="b">
        <f aca="false">--(COUNTIFS(
   [1]Fichajes_Realizados!A$2:A$5000,A1037,
   [1]Fichajes_Realizados!G$2:G$5000,$X$3
)&gt;0)</f>
        <v>0</v>
      </c>
      <c r="R1037" s="5" t="n">
        <f aca="false">_xlfn.XLOOKUP(C1037, [1]Estado_Equipos!A$2:A$500, [1]Estado_Equipos!J$2:J$500, "")</f>
        <v>74</v>
      </c>
      <c r="S1037" s="5" t="n">
        <f aca="false">IF(H1037&lt;=16,1.45,
IF(H1037&gt;=41,0.3,
CHOOSE(ROUNDDOWN((H1037-16)/2,0)+1,
1.45,1.38,1.3,1.23,1.17,1.15,1.12,1.05,0.95,0.8,0.6,0.4,0.3)))</f>
        <v>1.3</v>
      </c>
      <c r="T1037" s="5" t="n">
        <f aca="false">CHOOSE(N1037+1,1.2,1,0.85,0.7)</f>
        <v>1.2</v>
      </c>
      <c r="U1037" s="5" t="n">
        <f aca="false">IF(F1037="PO",0.6,
IF(F1037="CT",0.75,
IF(F1037="LI",0.8,
IF(F1037="LD",0.8,
IF(F1037="MCD",0.85,
IF(F1037="MC",0.95,
IF(F1037="MO",1.05,
IF(F1037="EI",1.1,
IF(F1037="ED",1.1,
IF(F1037="SD",1.15,
IF(F1037="DC",1.2,0)))))))))))</f>
        <v>1.05</v>
      </c>
    </row>
    <row r="1038" customFormat="false" ht="16.4" hidden="false" customHeight="false" outlineLevel="0" collapsed="false">
      <c r="A1038" s="1" t="n">
        <v>1037</v>
      </c>
      <c r="B1038" s="5" t="str">
        <f aca="false">[1]Base_Jugadores!B1038</f>
        <v>Hee-chan Hwang</v>
      </c>
      <c r="C1038" s="5" t="str">
        <f aca="false">IFERROR(
   _xlfn.XLOOKUP(VALUE(A1038),[1]Fichajes_Realizados!A$2:A$50000,[1]Fichajes_Realizados!D$2:D$50000,,0,-1),
   _xlfn.XLOOKUP(VALUE(A1038),[1]Base_Jugadores!A$2:A$50000,[1]Base_Jugadores!C$2:C$50000)
)</f>
        <v>Wolverhampton W.</v>
      </c>
      <c r="D1038" s="5" t="str">
        <f aca="false">[1]Base_Jugadores!D1038</f>
        <v>Corea del Sur</v>
      </c>
      <c r="E1038" s="3"/>
      <c r="F1038" s="5" t="str">
        <f aca="false">[1]Base_Jugadores!E1038</f>
        <v>DC</v>
      </c>
      <c r="G1038" s="5" t="n">
        <f aca="false">[1]Base_Jugadores!F1038</f>
        <v>78</v>
      </c>
      <c r="H1038" s="5" t="n">
        <f aca="false">[1]Base_Jugadores!G1038</f>
        <v>29</v>
      </c>
      <c r="I1038" s="7" t="n">
        <f aca="false" t="array" ref="I1038:I1038">_xlfn.XLOOKUP(G1038,{55;56;57;58;59;60;61;62;63;64;65;66;67;68;69;70;71;72;73;74;75;76;77;78;79;80;81;82;83;84;85;86;87;88;89;90;91;92;93;94;95;96;97;98;99},{100000;130000;160000;190000;220000;250000;300000;350000;400000;450000;500000;600000;700000;800000;900000;1000000;1500000;2000000;3000000;4000000;5000000;6500000;8000000;10000000;12500000;15000000;20000000;25000000;30000000;35000000;40000000;55000000;70000000;80000000;90000000;110000000;130000000;160000000;190000000;220000000;250000000;280000000;310000000;340000000;400000000})</f>
        <v>10000000</v>
      </c>
      <c r="J1038" s="7" t="n">
        <f aca="false">I1038*S1038*T1038*U1038</f>
        <v>16128000</v>
      </c>
      <c r="K1038" s="3"/>
      <c r="L1038" s="3"/>
      <c r="M1038" s="3"/>
      <c r="N1038" s="9" t="n">
        <v>0</v>
      </c>
      <c r="O1038" s="4" t="n">
        <v>0</v>
      </c>
      <c r="P1038" s="5" t="n">
        <f aca="false">IF(COUNTIF([1]Base_Jugadores!J$2:J$500,B1038)&gt;0,1,0)</f>
        <v>0</v>
      </c>
      <c r="Q1038" s="10" t="b">
        <f aca="false">--(COUNTIFS(
   [1]Fichajes_Realizados!A$2:A$5000,A1038,
   [1]Fichajes_Realizados!G$2:G$5000,$X$3
)&gt;0)</f>
        <v>0</v>
      </c>
      <c r="R1038" s="5" t="n">
        <f aca="false">_xlfn.XLOOKUP(C1038, [1]Estado_Equipos!A$2:A$500, [1]Estado_Equipos!J$2:J$500, "")</f>
        <v>74</v>
      </c>
      <c r="S1038" s="5" t="n">
        <f aca="false">IF(H1038&lt;=16,1.45,
IF(H1038&gt;=41,0.3,
CHOOSE(ROUNDDOWN((H1038-16)/2,0)+1,
1.45,1.38,1.3,1.23,1.17,1.15,1.12,1.05,0.95,0.8,0.6,0.4,0.3)))</f>
        <v>1.12</v>
      </c>
      <c r="T1038" s="5" t="n">
        <f aca="false">CHOOSE(N1038+1,1.2,1,0.85,0.7)</f>
        <v>1.2</v>
      </c>
      <c r="U1038" s="5" t="n">
        <f aca="false">IF(F1038="PO",0.6,
IF(F1038="CT",0.75,
IF(F1038="LI",0.8,
IF(F1038="LD",0.8,
IF(F1038="MCD",0.85,
IF(F1038="MC",0.95,
IF(F1038="MO",1.05,
IF(F1038="EI",1.1,
IF(F1038="ED",1.1,
IF(F1038="SD",1.15,
IF(F1038="DC",1.2,0)))))))))))</f>
        <v>1.2</v>
      </c>
    </row>
    <row r="1039" customFormat="false" ht="16.4" hidden="false" customHeight="false" outlineLevel="0" collapsed="false">
      <c r="A1039" s="1" t="n">
        <v>1038</v>
      </c>
      <c r="B1039" s="5" t="str">
        <f aca="false">[1]Base_Jugadores!B1039</f>
        <v>Hugo Bueno</v>
      </c>
      <c r="C1039" s="5" t="str">
        <f aca="false">IFERROR(
   _xlfn.XLOOKUP(VALUE(A1039),[1]Fichajes_Realizados!A$2:A$50000,[1]Fichajes_Realizados!D$2:D$50000,,0,-1),
   _xlfn.XLOOKUP(VALUE(A1039),[1]Base_Jugadores!A$2:A$50000,[1]Base_Jugadores!C$2:C$50000)
)</f>
        <v>Wolverhampton W.</v>
      </c>
      <c r="D1039" s="5" t="str">
        <f aca="false">[1]Base_Jugadores!D1039</f>
        <v>España</v>
      </c>
      <c r="E1039" s="3"/>
      <c r="F1039" s="5" t="str">
        <f aca="false">[1]Base_Jugadores!E1039</f>
        <v>LI</v>
      </c>
      <c r="G1039" s="5" t="n">
        <f aca="false">[1]Base_Jugadores!F1039</f>
        <v>74</v>
      </c>
      <c r="H1039" s="5" t="n">
        <f aca="false">[1]Base_Jugadores!G1039</f>
        <v>23</v>
      </c>
      <c r="I1039" s="7" t="n">
        <f aca="false" t="array" ref="I1039:I1039">_xlfn.XLOOKUP(G1039,{55;56;57;58;59;60;61;62;63;64;65;66;67;68;69;70;71;72;73;74;75;76;77;78;79;80;81;82;83;84;85;86;87;88;89;90;91;92;93;94;95;96;97;98;99},{100000;130000;160000;190000;220000;250000;300000;350000;400000;450000;500000;600000;700000;800000;900000;1000000;1500000;2000000;3000000;4000000;5000000;6500000;8000000;10000000;12500000;15000000;20000000;25000000;30000000;35000000;40000000;55000000;70000000;80000000;90000000;110000000;130000000;160000000;190000000;220000000;250000000;280000000;310000000;340000000;400000000})</f>
        <v>4000000</v>
      </c>
      <c r="J1039" s="7" t="n">
        <f aca="false">I1039*S1039*T1039*U1039</f>
        <v>4723200</v>
      </c>
      <c r="K1039" s="3"/>
      <c r="L1039" s="3"/>
      <c r="M1039" s="3"/>
      <c r="N1039" s="9" t="n">
        <v>0</v>
      </c>
      <c r="O1039" s="4" t="n">
        <v>0</v>
      </c>
      <c r="P1039" s="5" t="n">
        <f aca="false">IF(COUNTIF([1]Base_Jugadores!J$2:J$500,B1039)&gt;0,1,0)</f>
        <v>0</v>
      </c>
      <c r="Q1039" s="10" t="b">
        <f aca="false">--(COUNTIFS(
   [1]Fichajes_Realizados!A$2:A$5000,A1039,
   [1]Fichajes_Realizados!G$2:G$5000,$X$3
)&gt;0)</f>
        <v>0</v>
      </c>
      <c r="R1039" s="5" t="n">
        <f aca="false">_xlfn.XLOOKUP(C1039, [1]Estado_Equipos!A$2:A$500, [1]Estado_Equipos!J$2:J$500, "")</f>
        <v>74</v>
      </c>
      <c r="S1039" s="5" t="n">
        <f aca="false">IF(H1039&lt;=16,1.45,
IF(H1039&gt;=41,0.3,
CHOOSE(ROUNDDOWN((H1039-16)/2,0)+1,
1.45,1.38,1.3,1.23,1.17,1.15,1.12,1.05,0.95,0.8,0.6,0.4,0.3)))</f>
        <v>1.23</v>
      </c>
      <c r="T1039" s="5" t="n">
        <f aca="false">CHOOSE(N1039+1,1.2,1,0.85,0.7)</f>
        <v>1.2</v>
      </c>
      <c r="U1039" s="5" t="n">
        <f aca="false">IF(F1039="PO",0.6,
IF(F1039="CT",0.75,
IF(F1039="LI",0.8,
IF(F1039="LD",0.8,
IF(F1039="MCD",0.85,
IF(F1039="MC",0.95,
IF(F1039="MO",1.05,
IF(F1039="EI",1.1,
IF(F1039="ED",1.1,
IF(F1039="SD",1.15,
IF(F1039="DC",1.2,0)))))))))))</f>
        <v>0.8</v>
      </c>
    </row>
    <row r="1040" customFormat="false" ht="16.4" hidden="false" customHeight="false" outlineLevel="0" collapsed="false">
      <c r="A1040" s="1" t="n">
        <v>1039</v>
      </c>
      <c r="B1040" s="5" t="str">
        <f aca="false">[1]Base_Jugadores!B1040</f>
        <v>J. Bellegarde</v>
      </c>
      <c r="C1040" s="5" t="str">
        <f aca="false">IFERROR(
   _xlfn.XLOOKUP(VALUE(A1040),[1]Fichajes_Realizados!A$2:A$50000,[1]Fichajes_Realizados!D$2:D$50000,,0,-1),
   _xlfn.XLOOKUP(VALUE(A1040),[1]Base_Jugadores!A$2:A$50000,[1]Base_Jugadores!C$2:C$50000)
)</f>
        <v>Wolverhampton W.</v>
      </c>
      <c r="D1040" s="5" t="str">
        <f aca="false">[1]Base_Jugadores!D1040</f>
        <v>Haití</v>
      </c>
      <c r="E1040" s="3"/>
      <c r="F1040" s="5" t="str">
        <f aca="false">[1]Base_Jugadores!E1040</f>
        <v>MC</v>
      </c>
      <c r="G1040" s="5" t="n">
        <f aca="false">[1]Base_Jugadores!F1040</f>
        <v>76</v>
      </c>
      <c r="H1040" s="5" t="n">
        <f aca="false">[1]Base_Jugadores!G1040</f>
        <v>27</v>
      </c>
      <c r="I1040" s="7" t="n">
        <f aca="false" t="array" ref="I1040:I1040">_xlfn.XLOOKUP(G1040,{55;56;57;58;59;60;61;62;63;64;65;66;67;68;69;70;71;72;73;74;75;76;77;78;79;80;81;82;83;84;85;86;87;88;89;90;91;92;93;94;95;96;97;98;99},{100000;130000;160000;190000;220000;250000;300000;350000;400000;450000;500000;600000;700000;800000;900000;1000000;1500000;2000000;3000000;4000000;5000000;6500000;8000000;10000000;12500000;15000000;20000000;25000000;30000000;35000000;40000000;55000000;70000000;80000000;90000000;110000000;130000000;160000000;190000000;220000000;250000000;280000000;310000000;340000000;400000000})</f>
        <v>6500000</v>
      </c>
      <c r="J1040" s="7" t="n">
        <f aca="false">I1040*S1040*T1040*U1040</f>
        <v>8521500</v>
      </c>
      <c r="K1040" s="3"/>
      <c r="L1040" s="3"/>
      <c r="M1040" s="3"/>
      <c r="N1040" s="9" t="n">
        <v>0</v>
      </c>
      <c r="O1040" s="4" t="n">
        <v>0</v>
      </c>
      <c r="P1040" s="5" t="n">
        <f aca="false">IF(COUNTIF([1]Base_Jugadores!J$2:J$500,B1040)&gt;0,1,0)</f>
        <v>0</v>
      </c>
      <c r="Q1040" s="10" t="b">
        <f aca="false">--(COUNTIFS(
   [1]Fichajes_Realizados!A$2:A$5000,A1040,
   [1]Fichajes_Realizados!G$2:G$5000,$X$3
)&gt;0)</f>
        <v>0</v>
      </c>
      <c r="R1040" s="5" t="n">
        <f aca="false">_xlfn.XLOOKUP(C1040, [1]Estado_Equipos!A$2:A$500, [1]Estado_Equipos!J$2:J$500, "")</f>
        <v>74</v>
      </c>
      <c r="S1040" s="5" t="n">
        <f aca="false">IF(H1040&lt;=16,1.45,
IF(H1040&gt;=41,0.3,
CHOOSE(ROUNDDOWN((H1040-16)/2,0)+1,
1.45,1.38,1.3,1.23,1.17,1.15,1.12,1.05,0.95,0.8,0.6,0.4,0.3)))</f>
        <v>1.15</v>
      </c>
      <c r="T1040" s="5" t="n">
        <f aca="false">CHOOSE(N1040+1,1.2,1,0.85,0.7)</f>
        <v>1.2</v>
      </c>
      <c r="U1040" s="5" t="n">
        <f aca="false">IF(F1040="PO",0.6,
IF(F1040="CT",0.75,
IF(F1040="LI",0.8,
IF(F1040="LD",0.8,
IF(F1040="MCD",0.85,
IF(F1040="MC",0.95,
IF(F1040="MO",1.05,
IF(F1040="EI",1.1,
IF(F1040="ED",1.1,
IF(F1040="SD",1.15,
IF(F1040="DC",1.2,0)))))))))))</f>
        <v>0.95</v>
      </c>
    </row>
    <row r="1041" customFormat="false" ht="16.4" hidden="false" customHeight="false" outlineLevel="0" collapsed="false">
      <c r="A1041" s="1" t="n">
        <v>1040</v>
      </c>
      <c r="B1041" s="5" t="str">
        <f aca="false">[1]Base_Jugadores!B1041</f>
        <v>Jackson Tchatchoua</v>
      </c>
      <c r="C1041" s="5" t="str">
        <f aca="false">IFERROR(
   _xlfn.XLOOKUP(VALUE(A1041),[1]Fichajes_Realizados!A$2:A$50000,[1]Fichajes_Realizados!D$2:D$50000,,0,-1),
   _xlfn.XLOOKUP(VALUE(A1041),[1]Base_Jugadores!A$2:A$50000,[1]Base_Jugadores!C$2:C$50000)
)</f>
        <v>Wolverhampton W.</v>
      </c>
      <c r="D1041" s="5" t="str">
        <f aca="false">[1]Base_Jugadores!D1041</f>
        <v>Camerún</v>
      </c>
      <c r="E1041" s="3"/>
      <c r="F1041" s="5" t="str">
        <f aca="false">[1]Base_Jugadores!E1041</f>
        <v>LD</v>
      </c>
      <c r="G1041" s="5" t="n">
        <f aca="false">[1]Base_Jugadores!F1041</f>
        <v>74</v>
      </c>
      <c r="H1041" s="5" t="n">
        <f aca="false">[1]Base_Jugadores!G1041</f>
        <v>24</v>
      </c>
      <c r="I1041" s="7" t="n">
        <f aca="false" t="array" ref="I1041:I1041">_xlfn.XLOOKUP(G1041,{55;56;57;58;59;60;61;62;63;64;65;66;67;68;69;70;71;72;73;74;75;76;77;78;79;80;81;82;83;84;85;86;87;88;89;90;91;92;93;94;95;96;97;98;99},{100000;130000;160000;190000;220000;250000;300000;350000;400000;450000;500000;600000;700000;800000;900000;1000000;1500000;2000000;3000000;4000000;5000000;6500000;8000000;10000000;12500000;15000000;20000000;25000000;30000000;35000000;40000000;55000000;70000000;80000000;90000000;110000000;130000000;160000000;190000000;220000000;250000000;280000000;310000000;340000000;400000000})</f>
        <v>4000000</v>
      </c>
      <c r="J1041" s="7" t="n">
        <f aca="false">I1041*S1041*T1041*U1041</f>
        <v>4492800</v>
      </c>
      <c r="K1041" s="3"/>
      <c r="L1041" s="3"/>
      <c r="M1041" s="3"/>
      <c r="N1041" s="9" t="n">
        <v>0</v>
      </c>
      <c r="O1041" s="4" t="n">
        <v>0</v>
      </c>
      <c r="P1041" s="5" t="n">
        <f aca="false">IF(COUNTIF([1]Base_Jugadores!J$2:J$500,B1041)&gt;0,1,0)</f>
        <v>0</v>
      </c>
      <c r="Q1041" s="10" t="b">
        <f aca="false">--(COUNTIFS(
   [1]Fichajes_Realizados!A$2:A$5000,A1041,
   [1]Fichajes_Realizados!G$2:G$5000,$X$3
)&gt;0)</f>
        <v>0</v>
      </c>
      <c r="R1041" s="5" t="n">
        <f aca="false">_xlfn.XLOOKUP(C1041, [1]Estado_Equipos!A$2:A$500, [1]Estado_Equipos!J$2:J$500, "")</f>
        <v>74</v>
      </c>
      <c r="S1041" s="5" t="n">
        <f aca="false">IF(H1041&lt;=16,1.45,
IF(H1041&gt;=41,0.3,
CHOOSE(ROUNDDOWN((H1041-16)/2,0)+1,
1.45,1.38,1.3,1.23,1.17,1.15,1.12,1.05,0.95,0.8,0.6,0.4,0.3)))</f>
        <v>1.17</v>
      </c>
      <c r="T1041" s="5" t="n">
        <f aca="false">CHOOSE(N1041+1,1.2,1,0.85,0.7)</f>
        <v>1.2</v>
      </c>
      <c r="U1041" s="5" t="n">
        <f aca="false">IF(F1041="PO",0.6,
IF(F1041="CT",0.75,
IF(F1041="LI",0.8,
IF(F1041="LD",0.8,
IF(F1041="MCD",0.85,
IF(F1041="MC",0.95,
IF(F1041="MO",1.05,
IF(F1041="EI",1.1,
IF(F1041="ED",1.1,
IF(F1041="SD",1.15,
IF(F1041="DC",1.2,0)))))))))))</f>
        <v>0.8</v>
      </c>
    </row>
    <row r="1042" customFormat="false" ht="16.4" hidden="false" customHeight="false" outlineLevel="0" collapsed="false">
      <c r="A1042" s="1" t="n">
        <v>1041</v>
      </c>
      <c r="B1042" s="5" t="str">
        <f aca="false">[1]Base_Jugadores!B1042</f>
        <v>Jhon Arias</v>
      </c>
      <c r="C1042" s="5" t="str">
        <f aca="false">IFERROR(
   _xlfn.XLOOKUP(VALUE(A1042),[1]Fichajes_Realizados!A$2:A$50000,[1]Fichajes_Realizados!D$2:D$50000,,0,-1),
   _xlfn.XLOOKUP(VALUE(A1042),[1]Base_Jugadores!A$2:A$50000,[1]Base_Jugadores!C$2:C$50000)
)</f>
        <v>Wolverhampton W.</v>
      </c>
      <c r="D1042" s="5" t="str">
        <f aca="false">[1]Base_Jugadores!D1042</f>
        <v>Colombia</v>
      </c>
      <c r="E1042" s="3"/>
      <c r="F1042" s="5" t="str">
        <f aca="false">[1]Base_Jugadores!E1042</f>
        <v>ED</v>
      </c>
      <c r="G1042" s="5" t="n">
        <f aca="false">[1]Base_Jugadores!F1042</f>
        <v>78</v>
      </c>
      <c r="H1042" s="5" t="n">
        <f aca="false">[1]Base_Jugadores!G1042</f>
        <v>28</v>
      </c>
      <c r="I1042" s="7" t="n">
        <f aca="false" t="array" ref="I1042:I1042">_xlfn.XLOOKUP(G1042,{55;56;57;58;59;60;61;62;63;64;65;66;67;68;69;70;71;72;73;74;75;76;77;78;79;80;81;82;83;84;85;86;87;88;89;90;91;92;93;94;95;96;97;98;99},{100000;130000;160000;190000;220000;250000;300000;350000;400000;450000;500000;600000;700000;800000;900000;1000000;1500000;2000000;3000000;4000000;5000000;6500000;8000000;10000000;12500000;15000000;20000000;25000000;30000000;35000000;40000000;55000000;70000000;80000000;90000000;110000000;130000000;160000000;190000000;220000000;250000000;280000000;310000000;340000000;400000000})</f>
        <v>10000000</v>
      </c>
      <c r="J1042" s="7" t="n">
        <f aca="false">I1042*S1042*T1042*U1042</f>
        <v>14784000</v>
      </c>
      <c r="K1042" s="3"/>
      <c r="L1042" s="3"/>
      <c r="M1042" s="3"/>
      <c r="N1042" s="9" t="n">
        <v>0</v>
      </c>
      <c r="O1042" s="4" t="n">
        <v>0</v>
      </c>
      <c r="P1042" s="5" t="n">
        <f aca="false">IF(COUNTIF([1]Base_Jugadores!J$2:J$500,B1042)&gt;0,1,0)</f>
        <v>0</v>
      </c>
      <c r="Q1042" s="10" t="b">
        <f aca="false">--(COUNTIFS(
   [1]Fichajes_Realizados!A$2:A$5000,A1042,
   [1]Fichajes_Realizados!G$2:G$5000,$X$3
)&gt;0)</f>
        <v>0</v>
      </c>
      <c r="R1042" s="5" t="n">
        <f aca="false">_xlfn.XLOOKUP(C1042, [1]Estado_Equipos!A$2:A$500, [1]Estado_Equipos!J$2:J$500, "")</f>
        <v>74</v>
      </c>
      <c r="S1042" s="5" t="n">
        <f aca="false">IF(H1042&lt;=16,1.45,
IF(H1042&gt;=41,0.3,
CHOOSE(ROUNDDOWN((H1042-16)/2,0)+1,
1.45,1.38,1.3,1.23,1.17,1.15,1.12,1.05,0.95,0.8,0.6,0.4,0.3)))</f>
        <v>1.12</v>
      </c>
      <c r="T1042" s="5" t="n">
        <f aca="false">CHOOSE(N1042+1,1.2,1,0.85,0.7)</f>
        <v>1.2</v>
      </c>
      <c r="U1042" s="5" t="n">
        <f aca="false">IF(F1042="PO",0.6,
IF(F1042="CT",0.75,
IF(F1042="LI",0.8,
IF(F1042="LD",0.8,
IF(F1042="MCD",0.85,
IF(F1042="MC",0.95,
IF(F1042="MO",1.05,
IF(F1042="EI",1.1,
IF(F1042="ED",1.1,
IF(F1042="SD",1.15,
IF(F1042="DC",1.2,0)))))))))))</f>
        <v>1.1</v>
      </c>
    </row>
    <row r="1043" customFormat="false" ht="16.4" hidden="false" customHeight="false" outlineLevel="0" collapsed="false">
      <c r="A1043" s="1" t="n">
        <v>1042</v>
      </c>
      <c r="B1043" s="5" t="str">
        <f aca="false">[1]Base_Jugadores!B1043</f>
        <v>João Gomes</v>
      </c>
      <c r="C1043" s="5" t="str">
        <f aca="false">IFERROR(
   _xlfn.XLOOKUP(VALUE(A1043),[1]Fichajes_Realizados!A$2:A$50000,[1]Fichajes_Realizados!D$2:D$50000,,0,-1),
   _xlfn.XLOOKUP(VALUE(A1043),[1]Base_Jugadores!A$2:A$50000,[1]Base_Jugadores!C$2:C$50000)
)</f>
        <v>Wolverhampton W.</v>
      </c>
      <c r="D1043" s="5" t="str">
        <f aca="false">[1]Base_Jugadores!D1043</f>
        <v>Brasil</v>
      </c>
      <c r="E1043" s="3"/>
      <c r="F1043" s="5" t="str">
        <f aca="false">[1]Base_Jugadores!E1043</f>
        <v>MC</v>
      </c>
      <c r="G1043" s="5" t="n">
        <f aca="false">[1]Base_Jugadores!F1043</f>
        <v>78</v>
      </c>
      <c r="H1043" s="5" t="n">
        <f aca="false">[1]Base_Jugadores!G1043</f>
        <v>24</v>
      </c>
      <c r="I1043" s="7" t="n">
        <f aca="false" t="array" ref="I1043:I1043">_xlfn.XLOOKUP(G1043,{55;56;57;58;59;60;61;62;63;64;65;66;67;68;69;70;71;72;73;74;75;76;77;78;79;80;81;82;83;84;85;86;87;88;89;90;91;92;93;94;95;96;97;98;99},{100000;130000;160000;190000;220000;250000;300000;350000;400000;450000;500000;600000;700000;800000;900000;1000000;1500000;2000000;3000000;4000000;5000000;6500000;8000000;10000000;12500000;15000000;20000000;25000000;30000000;35000000;40000000;55000000;70000000;80000000;90000000;110000000;130000000;160000000;190000000;220000000;250000000;280000000;310000000;340000000;400000000})</f>
        <v>10000000</v>
      </c>
      <c r="J1043" s="7" t="n">
        <f aca="false">I1043*S1043*T1043*U1043</f>
        <v>13338000</v>
      </c>
      <c r="K1043" s="3"/>
      <c r="L1043" s="3"/>
      <c r="M1043" s="3"/>
      <c r="N1043" s="9" t="n">
        <v>0</v>
      </c>
      <c r="O1043" s="4" t="n">
        <v>0</v>
      </c>
      <c r="P1043" s="5" t="n">
        <f aca="false">IF(COUNTIF([1]Base_Jugadores!J$2:J$500,B1043)&gt;0,1,0)</f>
        <v>0</v>
      </c>
      <c r="Q1043" s="10" t="b">
        <f aca="false">--(COUNTIFS(
   [1]Fichajes_Realizados!A$2:A$5000,A1043,
   [1]Fichajes_Realizados!G$2:G$5000,$X$3
)&gt;0)</f>
        <v>0</v>
      </c>
      <c r="R1043" s="5" t="n">
        <f aca="false">_xlfn.XLOOKUP(C1043, [1]Estado_Equipos!A$2:A$500, [1]Estado_Equipos!J$2:J$500, "")</f>
        <v>74</v>
      </c>
      <c r="S1043" s="5" t="n">
        <f aca="false">IF(H1043&lt;=16,1.45,
IF(H1043&gt;=41,0.3,
CHOOSE(ROUNDDOWN((H1043-16)/2,0)+1,
1.45,1.38,1.3,1.23,1.17,1.15,1.12,1.05,0.95,0.8,0.6,0.4,0.3)))</f>
        <v>1.17</v>
      </c>
      <c r="T1043" s="5" t="n">
        <f aca="false">CHOOSE(N1043+1,1.2,1,0.85,0.7)</f>
        <v>1.2</v>
      </c>
      <c r="U1043" s="5" t="n">
        <f aca="false">IF(F1043="PO",0.6,
IF(F1043="CT",0.75,
IF(F1043="LI",0.8,
IF(F1043="LD",0.8,
IF(F1043="MCD",0.85,
IF(F1043="MC",0.95,
IF(F1043="MO",1.05,
IF(F1043="EI",1.1,
IF(F1043="ED",1.1,
IF(F1043="SD",1.15,
IF(F1043="DC",1.2,0)))))))))))</f>
        <v>0.95</v>
      </c>
    </row>
    <row r="1044" customFormat="false" ht="16.4" hidden="false" customHeight="false" outlineLevel="0" collapsed="false">
      <c r="A1044" s="1" t="n">
        <v>1043</v>
      </c>
      <c r="B1044" s="5" t="str">
        <f aca="false">[1]Base_Jugadores!B1044</f>
        <v>José Sá</v>
      </c>
      <c r="C1044" s="5" t="str">
        <f aca="false">IFERROR(
   _xlfn.XLOOKUP(VALUE(A1044),[1]Fichajes_Realizados!A$2:A$50000,[1]Fichajes_Realizados!D$2:D$50000,,0,-1),
   _xlfn.XLOOKUP(VALUE(A1044),[1]Base_Jugadores!A$2:A$50000,[1]Base_Jugadores!C$2:C$50000)
)</f>
        <v>Wolverhampton W.</v>
      </c>
      <c r="D1044" s="5" t="str">
        <f aca="false">[1]Base_Jugadores!D1044</f>
        <v>Portugal</v>
      </c>
      <c r="E1044" s="3"/>
      <c r="F1044" s="5" t="str">
        <f aca="false">[1]Base_Jugadores!E1044</f>
        <v>PO</v>
      </c>
      <c r="G1044" s="5" t="n">
        <f aca="false">[1]Base_Jugadores!F1044</f>
        <v>79</v>
      </c>
      <c r="H1044" s="5" t="n">
        <f aca="false">[1]Base_Jugadores!G1044</f>
        <v>32</v>
      </c>
      <c r="I1044" s="7" t="n">
        <f aca="false" t="array" ref="I1044:I1044">_xlfn.XLOOKUP(G1044,{55;56;57;58;59;60;61;62;63;64;65;66;67;68;69;70;71;72;73;74;75;76;77;78;79;80;81;82;83;84;85;86;87;88;89;90;91;92;93;94;95;96;97;98;99},{100000;130000;160000;190000;220000;250000;300000;350000;400000;450000;500000;600000;700000;800000;900000;1000000;1500000;2000000;3000000;4000000;5000000;6500000;8000000;10000000;12500000;15000000;20000000;25000000;30000000;35000000;40000000;55000000;70000000;80000000;90000000;110000000;130000000;160000000;190000000;220000000;250000000;280000000;310000000;340000000;400000000})</f>
        <v>12500000</v>
      </c>
      <c r="J1044" s="7" t="n">
        <f aca="false">I1044*S1044*T1044*U1044</f>
        <v>8550000</v>
      </c>
      <c r="K1044" s="3"/>
      <c r="L1044" s="3"/>
      <c r="M1044" s="3"/>
      <c r="N1044" s="9" t="n">
        <v>0</v>
      </c>
      <c r="O1044" s="4" t="n">
        <v>0</v>
      </c>
      <c r="P1044" s="5" t="n">
        <f aca="false">IF(COUNTIF([1]Base_Jugadores!J$2:J$500,B1044)&gt;0,1,0)</f>
        <v>0</v>
      </c>
      <c r="Q1044" s="10" t="b">
        <f aca="false">--(COUNTIFS(
   [1]Fichajes_Realizados!A$2:A$5000,A1044,
   [1]Fichajes_Realizados!G$2:G$5000,$X$3
)&gt;0)</f>
        <v>0</v>
      </c>
      <c r="R1044" s="5" t="n">
        <f aca="false">_xlfn.XLOOKUP(C1044, [1]Estado_Equipos!A$2:A$500, [1]Estado_Equipos!J$2:J$500, "")</f>
        <v>74</v>
      </c>
      <c r="S1044" s="5" t="n">
        <f aca="false">IF(H1044&lt;=16,1.45,
IF(H1044&gt;=41,0.3,
CHOOSE(ROUNDDOWN((H1044-16)/2,0)+1,
1.45,1.38,1.3,1.23,1.17,1.15,1.12,1.05,0.95,0.8,0.6,0.4,0.3)))</f>
        <v>0.95</v>
      </c>
      <c r="T1044" s="5" t="n">
        <f aca="false">CHOOSE(N1044+1,1.2,1,0.85,0.7)</f>
        <v>1.2</v>
      </c>
      <c r="U1044" s="5" t="n">
        <f aca="false">IF(F1044="PO",0.6,
IF(F1044="CT",0.75,
IF(F1044="LI",0.8,
IF(F1044="LD",0.8,
IF(F1044="MCD",0.85,
IF(F1044="MC",0.95,
IF(F1044="MO",1.05,
IF(F1044="EI",1.1,
IF(F1044="ED",1.1,
IF(F1044="SD",1.15,
IF(F1044="DC",1.2,0)))))))))))</f>
        <v>0.6</v>
      </c>
    </row>
    <row r="1045" customFormat="false" ht="16.4" hidden="false" customHeight="false" outlineLevel="0" collapsed="false">
      <c r="A1045" s="1" t="n">
        <v>1044</v>
      </c>
      <c r="B1045" s="5" t="str">
        <f aca="false">[1]Base_Jugadores!B1045</f>
        <v>Ki-Jana Hoever</v>
      </c>
      <c r="C1045" s="5" t="str">
        <f aca="false">IFERROR(
   _xlfn.XLOOKUP(VALUE(A1045),[1]Fichajes_Realizados!A$2:A$50000,[1]Fichajes_Realizados!D$2:D$50000,,0,-1),
   _xlfn.XLOOKUP(VALUE(A1045),[1]Base_Jugadores!A$2:A$50000,[1]Base_Jugadores!C$2:C$50000)
)</f>
        <v>Wolverhampton W.</v>
      </c>
      <c r="D1045" s="5" t="str">
        <f aca="false">[1]Base_Jugadores!D1045</f>
        <v>Países Bajos</v>
      </c>
      <c r="E1045" s="3"/>
      <c r="F1045" s="5" t="str">
        <f aca="false">[1]Base_Jugadores!E1045</f>
        <v>LD</v>
      </c>
      <c r="G1045" s="5" t="n">
        <f aca="false">[1]Base_Jugadores!F1045</f>
        <v>73</v>
      </c>
      <c r="H1045" s="5" t="n">
        <f aca="false">[1]Base_Jugadores!G1045</f>
        <v>23</v>
      </c>
      <c r="I1045" s="7" t="n">
        <f aca="false" t="array" ref="I1045:I1045">_xlfn.XLOOKUP(G1045,{55;56;57;58;59;60;61;62;63;64;65;66;67;68;69;70;71;72;73;74;75;76;77;78;79;80;81;82;83;84;85;86;87;88;89;90;91;92;93;94;95;96;97;98;99},{100000;130000;160000;190000;220000;250000;300000;350000;400000;450000;500000;600000;700000;800000;900000;1000000;1500000;2000000;3000000;4000000;5000000;6500000;8000000;10000000;12500000;15000000;20000000;25000000;30000000;35000000;40000000;55000000;70000000;80000000;90000000;110000000;130000000;160000000;190000000;220000000;250000000;280000000;310000000;340000000;400000000})</f>
        <v>3000000</v>
      </c>
      <c r="J1045" s="7" t="n">
        <f aca="false">I1045*S1045*T1045*U1045</f>
        <v>3542400</v>
      </c>
      <c r="K1045" s="3"/>
      <c r="L1045" s="3"/>
      <c r="M1045" s="3"/>
      <c r="N1045" s="9" t="n">
        <v>0</v>
      </c>
      <c r="O1045" s="4" t="n">
        <v>0</v>
      </c>
      <c r="P1045" s="5" t="n">
        <f aca="false">IF(COUNTIF([1]Base_Jugadores!J$2:J$500,B1045)&gt;0,1,0)</f>
        <v>0</v>
      </c>
      <c r="Q1045" s="10" t="b">
        <f aca="false">--(COUNTIFS(
   [1]Fichajes_Realizados!A$2:A$5000,A1045,
   [1]Fichajes_Realizados!G$2:G$5000,$X$3
)&gt;0)</f>
        <v>0</v>
      </c>
      <c r="R1045" s="5" t="n">
        <f aca="false">_xlfn.XLOOKUP(C1045, [1]Estado_Equipos!A$2:A$500, [1]Estado_Equipos!J$2:J$500, "")</f>
        <v>74</v>
      </c>
      <c r="S1045" s="5" t="n">
        <f aca="false">IF(H1045&lt;=16,1.45,
IF(H1045&gt;=41,0.3,
CHOOSE(ROUNDDOWN((H1045-16)/2,0)+1,
1.45,1.38,1.3,1.23,1.17,1.15,1.12,1.05,0.95,0.8,0.6,0.4,0.3)))</f>
        <v>1.23</v>
      </c>
      <c r="T1045" s="5" t="n">
        <f aca="false">CHOOSE(N1045+1,1.2,1,0.85,0.7)</f>
        <v>1.2</v>
      </c>
      <c r="U1045" s="5" t="n">
        <f aca="false">IF(F1045="PO",0.6,
IF(F1045="CT",0.75,
IF(F1045="LI",0.8,
IF(F1045="LD",0.8,
IF(F1045="MCD",0.85,
IF(F1045="MC",0.95,
IF(F1045="MO",1.05,
IF(F1045="EI",1.1,
IF(F1045="ED",1.1,
IF(F1045="SD",1.15,
IF(F1045="DC",1.2,0)))))))))))</f>
        <v>0.8</v>
      </c>
    </row>
    <row r="1046" customFormat="false" ht="16.4" hidden="false" customHeight="false" outlineLevel="0" collapsed="false">
      <c r="A1046" s="1" t="n">
        <v>1045</v>
      </c>
      <c r="B1046" s="5" t="str">
        <f aca="false">[1]Base_Jugadores!B1046</f>
        <v>Ladislav Krejci</v>
      </c>
      <c r="C1046" s="5" t="str">
        <f aca="false">IFERROR(
   _xlfn.XLOOKUP(VALUE(A1046),[1]Fichajes_Realizados!A$2:A$50000,[1]Fichajes_Realizados!D$2:D$50000,,0,-1),
   _xlfn.XLOOKUP(VALUE(A1046),[1]Base_Jugadores!A$2:A$50000,[1]Base_Jugadores!C$2:C$50000)
)</f>
        <v>Wolverhampton W.</v>
      </c>
      <c r="D1046" s="5" t="str">
        <f aca="false">[1]Base_Jugadores!D1046</f>
        <v>República Checa</v>
      </c>
      <c r="E1046" s="3"/>
      <c r="F1046" s="5" t="str">
        <f aca="false">[1]Base_Jugadores!E1046</f>
        <v>CT</v>
      </c>
      <c r="G1046" s="5" t="n">
        <f aca="false">[1]Base_Jugadores!F1046</f>
        <v>78</v>
      </c>
      <c r="H1046" s="5" t="n">
        <f aca="false">[1]Base_Jugadores!G1046</f>
        <v>26</v>
      </c>
      <c r="I1046" s="7" t="n">
        <f aca="false" t="array" ref="I1046:I1046">_xlfn.XLOOKUP(G1046,{55;56;57;58;59;60;61;62;63;64;65;66;67;68;69;70;71;72;73;74;75;76;77;78;79;80;81;82;83;84;85;86;87;88;89;90;91;92;93;94;95;96;97;98;99},{100000;130000;160000;190000;220000;250000;300000;350000;400000;450000;500000;600000;700000;800000;900000;1000000;1500000;2000000;3000000;4000000;5000000;6500000;8000000;10000000;12500000;15000000;20000000;25000000;30000000;35000000;40000000;55000000;70000000;80000000;90000000;110000000;130000000;160000000;190000000;220000000;250000000;280000000;310000000;340000000;400000000})</f>
        <v>10000000</v>
      </c>
      <c r="J1046" s="7" t="n">
        <f aca="false">I1046*S1046*T1046*U1046</f>
        <v>10350000</v>
      </c>
      <c r="K1046" s="3"/>
      <c r="L1046" s="3"/>
      <c r="M1046" s="3"/>
      <c r="N1046" s="9" t="n">
        <v>0</v>
      </c>
      <c r="O1046" s="4" t="n">
        <v>0</v>
      </c>
      <c r="P1046" s="5" t="n">
        <f aca="false">IF(COUNTIF([1]Base_Jugadores!J$2:J$500,B1046)&gt;0,1,0)</f>
        <v>0</v>
      </c>
      <c r="Q1046" s="10" t="b">
        <f aca="false">--(COUNTIFS(
   [1]Fichajes_Realizados!A$2:A$5000,A1046,
   [1]Fichajes_Realizados!G$2:G$5000,$X$3
)&gt;0)</f>
        <v>0</v>
      </c>
      <c r="R1046" s="5" t="n">
        <f aca="false">_xlfn.XLOOKUP(C1046, [1]Estado_Equipos!A$2:A$500, [1]Estado_Equipos!J$2:J$500, "")</f>
        <v>74</v>
      </c>
      <c r="S1046" s="5" t="n">
        <f aca="false">IF(H1046&lt;=16,1.45,
IF(H1046&gt;=41,0.3,
CHOOSE(ROUNDDOWN((H1046-16)/2,0)+1,
1.45,1.38,1.3,1.23,1.17,1.15,1.12,1.05,0.95,0.8,0.6,0.4,0.3)))</f>
        <v>1.15</v>
      </c>
      <c r="T1046" s="5" t="n">
        <f aca="false">CHOOSE(N1046+1,1.2,1,0.85,0.7)</f>
        <v>1.2</v>
      </c>
      <c r="U1046" s="5" t="n">
        <f aca="false">IF(F1046="PO",0.6,
IF(F1046="CT",0.75,
IF(F1046="LI",0.8,
IF(F1046="LD",0.8,
IF(F1046="MCD",0.85,
IF(F1046="MC",0.95,
IF(F1046="MO",1.05,
IF(F1046="EI",1.1,
IF(F1046="ED",1.1,
IF(F1046="SD",1.15,
IF(F1046="DC",1.2,0)))))))))))</f>
        <v>0.75</v>
      </c>
    </row>
    <row r="1047" customFormat="false" ht="16.4" hidden="false" customHeight="false" outlineLevel="0" collapsed="false">
      <c r="A1047" s="1" t="n">
        <v>1046</v>
      </c>
      <c r="B1047" s="5" t="str">
        <f aca="false">[1]Base_Jugadores!B1047</f>
        <v>Marshall Munetsi</v>
      </c>
      <c r="C1047" s="5" t="str">
        <f aca="false">IFERROR(
   _xlfn.XLOOKUP(VALUE(A1047),[1]Fichajes_Realizados!A$2:A$50000,[1]Fichajes_Realizados!D$2:D$50000,,0,-1),
   _xlfn.XLOOKUP(VALUE(A1047),[1]Base_Jugadores!A$2:A$50000,[1]Base_Jugadores!C$2:C$50000)
)</f>
        <v>Wolverhampton W.</v>
      </c>
      <c r="D1047" s="5" t="str">
        <f aca="false">[1]Base_Jugadores!D1047</f>
        <v>Zimbabue</v>
      </c>
      <c r="E1047" s="3"/>
      <c r="F1047" s="5" t="str">
        <f aca="false">[1]Base_Jugadores!E1047</f>
        <v>MC</v>
      </c>
      <c r="G1047" s="5" t="n">
        <f aca="false">[1]Base_Jugadores!F1047</f>
        <v>75</v>
      </c>
      <c r="H1047" s="5" t="n">
        <f aca="false">[1]Base_Jugadores!G1047</f>
        <v>29</v>
      </c>
      <c r="I1047" s="7" t="n">
        <f aca="false" t="array" ref="I1047:I1047">_xlfn.XLOOKUP(G1047,{55;56;57;58;59;60;61;62;63;64;65;66;67;68;69;70;71;72;73;74;75;76;77;78;79;80;81;82;83;84;85;86;87;88;89;90;91;92;93;94;95;96;97;98;99},{100000;130000;160000;190000;220000;250000;300000;350000;400000;450000;500000;600000;700000;800000;900000;1000000;1500000;2000000;3000000;4000000;5000000;6500000;8000000;10000000;12500000;15000000;20000000;25000000;30000000;35000000;40000000;55000000;70000000;80000000;90000000;110000000;130000000;160000000;190000000;220000000;250000000;280000000;310000000;340000000;400000000})</f>
        <v>5000000</v>
      </c>
      <c r="J1047" s="7" t="n">
        <f aca="false">I1047*S1047*T1047*U1047</f>
        <v>6384000</v>
      </c>
      <c r="K1047" s="3"/>
      <c r="L1047" s="3"/>
      <c r="M1047" s="3"/>
      <c r="N1047" s="9" t="n">
        <v>0</v>
      </c>
      <c r="O1047" s="4" t="n">
        <v>0</v>
      </c>
      <c r="P1047" s="5" t="n">
        <f aca="false">IF(COUNTIF([1]Base_Jugadores!J$2:J$500,B1047)&gt;0,1,0)</f>
        <v>0</v>
      </c>
      <c r="Q1047" s="10" t="b">
        <f aca="false">--(COUNTIFS(
   [1]Fichajes_Realizados!A$2:A$5000,A1047,
   [1]Fichajes_Realizados!G$2:G$5000,$X$3
)&gt;0)</f>
        <v>0</v>
      </c>
      <c r="R1047" s="5" t="n">
        <f aca="false">_xlfn.XLOOKUP(C1047, [1]Estado_Equipos!A$2:A$500, [1]Estado_Equipos!J$2:J$500, "")</f>
        <v>74</v>
      </c>
      <c r="S1047" s="5" t="n">
        <f aca="false">IF(H1047&lt;=16,1.45,
IF(H1047&gt;=41,0.3,
CHOOSE(ROUNDDOWN((H1047-16)/2,0)+1,
1.45,1.38,1.3,1.23,1.17,1.15,1.12,1.05,0.95,0.8,0.6,0.4,0.3)))</f>
        <v>1.12</v>
      </c>
      <c r="T1047" s="5" t="n">
        <f aca="false">CHOOSE(N1047+1,1.2,1,0.85,0.7)</f>
        <v>1.2</v>
      </c>
      <c r="U1047" s="5" t="n">
        <f aca="false">IF(F1047="PO",0.6,
IF(F1047="CT",0.75,
IF(F1047="LI",0.8,
IF(F1047="LD",0.8,
IF(F1047="MCD",0.85,
IF(F1047="MC",0.95,
IF(F1047="MO",1.05,
IF(F1047="EI",1.1,
IF(F1047="ED",1.1,
IF(F1047="SD",1.15,
IF(F1047="DC",1.2,0)))))))))))</f>
        <v>0.95</v>
      </c>
    </row>
    <row r="1048" customFormat="false" ht="16.4" hidden="false" customHeight="false" outlineLevel="0" collapsed="false">
      <c r="A1048" s="1" t="n">
        <v>1047</v>
      </c>
      <c r="B1048" s="5" t="str">
        <f aca="false">[1]Base_Jugadores!B1048</f>
        <v>Matt Doherty</v>
      </c>
      <c r="C1048" s="5" t="str">
        <f aca="false">IFERROR(
   _xlfn.XLOOKUP(VALUE(A1048),[1]Fichajes_Realizados!A$2:A$50000,[1]Fichajes_Realizados!D$2:D$50000,,0,-1),
   _xlfn.XLOOKUP(VALUE(A1048),[1]Base_Jugadores!A$2:A$50000,[1]Base_Jugadores!C$2:C$50000)
)</f>
        <v>Wolverhampton W.</v>
      </c>
      <c r="D1048" s="5" t="str">
        <f aca="false">[1]Base_Jugadores!D1048</f>
        <v>Irlanda</v>
      </c>
      <c r="E1048" s="3"/>
      <c r="F1048" s="5" t="str">
        <f aca="false">[1]Base_Jugadores!E1048</f>
        <v>LD</v>
      </c>
      <c r="G1048" s="5" t="n">
        <f aca="false">[1]Base_Jugadores!F1048</f>
        <v>74</v>
      </c>
      <c r="H1048" s="5" t="n">
        <f aca="false">[1]Base_Jugadores!G1048</f>
        <v>33</v>
      </c>
      <c r="I1048" s="7" t="n">
        <f aca="false" t="array" ref="I1048:I1048">_xlfn.XLOOKUP(G1048,{55;56;57;58;59;60;61;62;63;64;65;66;67;68;69;70;71;72;73;74;75;76;77;78;79;80;81;82;83;84;85;86;87;88;89;90;91;92;93;94;95;96;97;98;99},{100000;130000;160000;190000;220000;250000;300000;350000;400000;450000;500000;600000;700000;800000;900000;1000000;1500000;2000000;3000000;4000000;5000000;6500000;8000000;10000000;12500000;15000000;20000000;25000000;30000000;35000000;40000000;55000000;70000000;80000000;90000000;110000000;130000000;160000000;190000000;220000000;250000000;280000000;310000000;340000000;400000000})</f>
        <v>4000000</v>
      </c>
      <c r="J1048" s="7" t="n">
        <f aca="false">I1048*S1048*T1048*U1048</f>
        <v>3648000</v>
      </c>
      <c r="K1048" s="3"/>
      <c r="L1048" s="3"/>
      <c r="M1048" s="3"/>
      <c r="N1048" s="9" t="n">
        <v>0</v>
      </c>
      <c r="O1048" s="4" t="n">
        <v>0</v>
      </c>
      <c r="P1048" s="5" t="n">
        <f aca="false">IF(COUNTIF([1]Base_Jugadores!J$2:J$500,B1048)&gt;0,1,0)</f>
        <v>0</v>
      </c>
      <c r="Q1048" s="10" t="b">
        <f aca="false">--(COUNTIFS(
   [1]Fichajes_Realizados!A$2:A$5000,A1048,
   [1]Fichajes_Realizados!G$2:G$5000,$X$3
)&gt;0)</f>
        <v>0</v>
      </c>
      <c r="R1048" s="5" t="n">
        <f aca="false">_xlfn.XLOOKUP(C1048, [1]Estado_Equipos!A$2:A$500, [1]Estado_Equipos!J$2:J$500, "")</f>
        <v>74</v>
      </c>
      <c r="S1048" s="5" t="n">
        <f aca="false">IF(H1048&lt;=16,1.45,
IF(H1048&gt;=41,0.3,
CHOOSE(ROUNDDOWN((H1048-16)/2,0)+1,
1.45,1.38,1.3,1.23,1.17,1.15,1.12,1.05,0.95,0.8,0.6,0.4,0.3)))</f>
        <v>0.95</v>
      </c>
      <c r="T1048" s="5" t="n">
        <f aca="false">CHOOSE(N1048+1,1.2,1,0.85,0.7)</f>
        <v>1.2</v>
      </c>
      <c r="U1048" s="5" t="n">
        <f aca="false">IF(F1048="PO",0.6,
IF(F1048="CT",0.75,
IF(F1048="LI",0.8,
IF(F1048="LD",0.8,
IF(F1048="MCD",0.85,
IF(F1048="MC",0.95,
IF(F1048="MO",1.05,
IF(F1048="EI",1.1,
IF(F1048="ED",1.1,
IF(F1048="SD",1.15,
IF(F1048="DC",1.2,0)))))))))))</f>
        <v>0.8</v>
      </c>
    </row>
    <row r="1049" customFormat="false" ht="16.4" hidden="false" customHeight="false" outlineLevel="0" collapsed="false">
      <c r="A1049" s="1" t="n">
        <v>1048</v>
      </c>
      <c r="B1049" s="5" t="str">
        <f aca="false">[1]Base_Jugadores!B1049</f>
        <v>Møller Wolfe</v>
      </c>
      <c r="C1049" s="5" t="str">
        <f aca="false">IFERROR(
   _xlfn.XLOOKUP(VALUE(A1049),[1]Fichajes_Realizados!A$2:A$50000,[1]Fichajes_Realizados!D$2:D$50000,,0,-1),
   _xlfn.XLOOKUP(VALUE(A1049),[1]Base_Jugadores!A$2:A$50000,[1]Base_Jugadores!C$2:C$50000)
)</f>
        <v>Wolverhampton W.</v>
      </c>
      <c r="D1049" s="5" t="str">
        <f aca="false">[1]Base_Jugadores!D1049</f>
        <v>Noruega</v>
      </c>
      <c r="E1049" s="3"/>
      <c r="F1049" s="5" t="str">
        <f aca="false">[1]Base_Jugadores!E1049</f>
        <v>LI</v>
      </c>
      <c r="G1049" s="5" t="n">
        <f aca="false">[1]Base_Jugadores!F1049</f>
        <v>69</v>
      </c>
      <c r="H1049" s="5" t="n">
        <f aca="false">[1]Base_Jugadores!G1049</f>
        <v>23</v>
      </c>
      <c r="I1049" s="7" t="n">
        <f aca="false" t="array" ref="I1049:I1049">_xlfn.XLOOKUP(G1049,{55;56;57;58;59;60;61;62;63;64;65;66;67;68;69;70;71;72;73;74;75;76;77;78;79;80;81;82;83;84;85;86;87;88;89;90;91;92;93;94;95;96;97;98;99},{100000;130000;160000;190000;220000;250000;300000;350000;400000;450000;500000;600000;700000;800000;900000;1000000;1500000;2000000;3000000;4000000;5000000;6500000;8000000;10000000;12500000;15000000;20000000;25000000;30000000;35000000;40000000;55000000;70000000;80000000;90000000;110000000;130000000;160000000;190000000;220000000;250000000;280000000;310000000;340000000;400000000})</f>
        <v>900000</v>
      </c>
      <c r="J1049" s="7" t="n">
        <f aca="false">I1049*S1049*T1049*U1049</f>
        <v>1062720</v>
      </c>
      <c r="K1049" s="3"/>
      <c r="L1049" s="3"/>
      <c r="M1049" s="3"/>
      <c r="N1049" s="9" t="n">
        <v>0</v>
      </c>
      <c r="O1049" s="4" t="n">
        <v>0</v>
      </c>
      <c r="P1049" s="5" t="n">
        <f aca="false">IF(COUNTIF([1]Base_Jugadores!J$2:J$500,B1049)&gt;0,1,0)</f>
        <v>0</v>
      </c>
      <c r="Q1049" s="10" t="b">
        <f aca="false">--(COUNTIFS(
   [1]Fichajes_Realizados!A$2:A$5000,A1049,
   [1]Fichajes_Realizados!G$2:G$5000,$X$3
)&gt;0)</f>
        <v>0</v>
      </c>
      <c r="R1049" s="5" t="n">
        <f aca="false">_xlfn.XLOOKUP(C1049, [1]Estado_Equipos!A$2:A$500, [1]Estado_Equipos!J$2:J$500, "")</f>
        <v>74</v>
      </c>
      <c r="S1049" s="5" t="n">
        <f aca="false">IF(H1049&lt;=16,1.45,
IF(H1049&gt;=41,0.3,
CHOOSE(ROUNDDOWN((H1049-16)/2,0)+1,
1.45,1.38,1.3,1.23,1.17,1.15,1.12,1.05,0.95,0.8,0.6,0.4,0.3)))</f>
        <v>1.23</v>
      </c>
      <c r="T1049" s="5" t="n">
        <f aca="false">CHOOSE(N1049+1,1.2,1,0.85,0.7)</f>
        <v>1.2</v>
      </c>
      <c r="U1049" s="5" t="n">
        <f aca="false">IF(F1049="PO",0.6,
IF(F1049="CT",0.75,
IF(F1049="LI",0.8,
IF(F1049="LD",0.8,
IF(F1049="MCD",0.85,
IF(F1049="MC",0.95,
IF(F1049="MO",1.05,
IF(F1049="EI",1.1,
IF(F1049="ED",1.1,
IF(F1049="SD",1.15,
IF(F1049="DC",1.2,0)))))))))))</f>
        <v>0.8</v>
      </c>
    </row>
    <row r="1050" customFormat="false" ht="16.4" hidden="false" customHeight="false" outlineLevel="0" collapsed="false">
      <c r="A1050" s="1" t="n">
        <v>1049</v>
      </c>
      <c r="B1050" s="5" t="str">
        <f aca="false">[1]Base_Jugadores!B1050</f>
        <v>Nathan Fraser</v>
      </c>
      <c r="C1050" s="5" t="str">
        <f aca="false">IFERROR(
   _xlfn.XLOOKUP(VALUE(A1050),[1]Fichajes_Realizados!A$2:A$50000,[1]Fichajes_Realizados!D$2:D$50000,,0,-1),
   _xlfn.XLOOKUP(VALUE(A1050),[1]Base_Jugadores!A$2:A$50000,[1]Base_Jugadores!C$2:C$50000)
)</f>
        <v>Wolverhampton W.</v>
      </c>
      <c r="D1050" s="5" t="str">
        <f aca="false">[1]Base_Jugadores!D1050</f>
        <v>Irlanda</v>
      </c>
      <c r="E1050" s="3"/>
      <c r="F1050" s="5" t="str">
        <f aca="false">[1]Base_Jugadores!E1050</f>
        <v>DC</v>
      </c>
      <c r="G1050" s="5" t="n">
        <f aca="false">[1]Base_Jugadores!F1050</f>
        <v>69</v>
      </c>
      <c r="H1050" s="5" t="n">
        <f aca="false">[1]Base_Jugadores!G1050</f>
        <v>20</v>
      </c>
      <c r="I1050" s="7" t="n">
        <f aca="false" t="array" ref="I1050:I1050">_xlfn.XLOOKUP(G1050,{55;56;57;58;59;60;61;62;63;64;65;66;67;68;69;70;71;72;73;74;75;76;77;78;79;80;81;82;83;84;85;86;87;88;89;90;91;92;93;94;95;96;97;98;99},{100000;130000;160000;190000;220000;250000;300000;350000;400000;450000;500000;600000;700000;800000;900000;1000000;1500000;2000000;3000000;4000000;5000000;6500000;8000000;10000000;12500000;15000000;20000000;25000000;30000000;35000000;40000000;55000000;70000000;80000000;90000000;110000000;130000000;160000000;190000000;220000000;250000000;280000000;310000000;340000000;400000000})</f>
        <v>900000</v>
      </c>
      <c r="J1050" s="7" t="n">
        <f aca="false">I1050*S1050*T1050*U1050</f>
        <v>1684800</v>
      </c>
      <c r="K1050" s="3"/>
      <c r="L1050" s="3"/>
      <c r="M1050" s="3"/>
      <c r="N1050" s="9" t="n">
        <v>0</v>
      </c>
      <c r="O1050" s="4" t="n">
        <v>0</v>
      </c>
      <c r="P1050" s="5" t="n">
        <f aca="false">IF(COUNTIF([1]Base_Jugadores!J$2:J$500,B1050)&gt;0,1,0)</f>
        <v>0</v>
      </c>
      <c r="Q1050" s="10" t="b">
        <f aca="false">--(COUNTIFS(
   [1]Fichajes_Realizados!A$2:A$5000,A1050,
   [1]Fichajes_Realizados!G$2:G$5000,$X$3
)&gt;0)</f>
        <v>0</v>
      </c>
      <c r="R1050" s="5" t="n">
        <f aca="false">_xlfn.XLOOKUP(C1050, [1]Estado_Equipos!A$2:A$500, [1]Estado_Equipos!J$2:J$500, "")</f>
        <v>74</v>
      </c>
      <c r="S1050" s="5" t="n">
        <f aca="false">IF(H1050&lt;=16,1.45,
IF(H1050&gt;=41,0.3,
CHOOSE(ROUNDDOWN((H1050-16)/2,0)+1,
1.45,1.38,1.3,1.23,1.17,1.15,1.12,1.05,0.95,0.8,0.6,0.4,0.3)))</f>
        <v>1.3</v>
      </c>
      <c r="T1050" s="5" t="n">
        <f aca="false">CHOOSE(N1050+1,1.2,1,0.85,0.7)</f>
        <v>1.2</v>
      </c>
      <c r="U1050" s="5" t="n">
        <f aca="false">IF(F1050="PO",0.6,
IF(F1050="CT",0.75,
IF(F1050="LI",0.8,
IF(F1050="LD",0.8,
IF(F1050="MCD",0.85,
IF(F1050="MC",0.95,
IF(F1050="MO",1.05,
IF(F1050="EI",1.1,
IF(F1050="ED",1.1,
IF(F1050="SD",1.15,
IF(F1050="DC",1.2,0)))))))))))</f>
        <v>1.2</v>
      </c>
    </row>
    <row r="1051" customFormat="false" ht="16.4" hidden="false" customHeight="false" outlineLevel="0" collapsed="false">
      <c r="A1051" s="1" t="n">
        <v>1050</v>
      </c>
      <c r="B1051" s="5" t="str">
        <f aca="false">[1]Base_Jugadores!B1051</f>
        <v>Rodrigo Gomes</v>
      </c>
      <c r="C1051" s="5" t="str">
        <f aca="false">IFERROR(
   _xlfn.XLOOKUP(VALUE(A1051),[1]Fichajes_Realizados!A$2:A$50000,[1]Fichajes_Realizados!D$2:D$50000,,0,-1),
   _xlfn.XLOOKUP(VALUE(A1051),[1]Base_Jugadores!A$2:A$50000,[1]Base_Jugadores!C$2:C$50000)
)</f>
        <v>Wolverhampton W.</v>
      </c>
      <c r="D1051" s="5" t="str">
        <f aca="false">[1]Base_Jugadores!D1051</f>
        <v>Portugal</v>
      </c>
      <c r="E1051" s="3"/>
      <c r="F1051" s="5" t="str">
        <f aca="false">[1]Base_Jugadores!E1051</f>
        <v>EI</v>
      </c>
      <c r="G1051" s="5" t="n">
        <f aca="false">[1]Base_Jugadores!F1051</f>
        <v>72</v>
      </c>
      <c r="H1051" s="5" t="n">
        <f aca="false">[1]Base_Jugadores!G1051</f>
        <v>22</v>
      </c>
      <c r="I1051" s="7" t="n">
        <f aca="false" t="array" ref="I1051:I1051">_xlfn.XLOOKUP(G1051,{55;56;57;58;59;60;61;62;63;64;65;66;67;68;69;70;71;72;73;74;75;76;77;78;79;80;81;82;83;84;85;86;87;88;89;90;91;92;93;94;95;96;97;98;99},{100000;130000;160000;190000;220000;250000;300000;350000;400000;450000;500000;600000;700000;800000;900000;1000000;1500000;2000000;3000000;4000000;5000000;6500000;8000000;10000000;12500000;15000000;20000000;25000000;30000000;35000000;40000000;55000000;70000000;80000000;90000000;110000000;130000000;160000000;190000000;220000000;250000000;280000000;310000000;340000000;400000000})</f>
        <v>2000000</v>
      </c>
      <c r="J1051" s="7" t="n">
        <f aca="false">I1051*S1051*T1051*U1051</f>
        <v>3247200</v>
      </c>
      <c r="K1051" s="3"/>
      <c r="L1051" s="3"/>
      <c r="M1051" s="3"/>
      <c r="N1051" s="9" t="n">
        <v>0</v>
      </c>
      <c r="O1051" s="4" t="n">
        <v>0</v>
      </c>
      <c r="P1051" s="5" t="n">
        <f aca="false">IF(COUNTIF([1]Base_Jugadores!J$2:J$500,B1051)&gt;0,1,0)</f>
        <v>0</v>
      </c>
      <c r="Q1051" s="10" t="b">
        <f aca="false">--(COUNTIFS(
   [1]Fichajes_Realizados!A$2:A$5000,A1051,
   [1]Fichajes_Realizados!G$2:G$5000,$X$3
)&gt;0)</f>
        <v>0</v>
      </c>
      <c r="R1051" s="5" t="n">
        <f aca="false">_xlfn.XLOOKUP(C1051, [1]Estado_Equipos!A$2:A$500, [1]Estado_Equipos!J$2:J$500, "")</f>
        <v>74</v>
      </c>
      <c r="S1051" s="5" t="n">
        <f aca="false">IF(H1051&lt;=16,1.45,
IF(H1051&gt;=41,0.3,
CHOOSE(ROUNDDOWN((H1051-16)/2,0)+1,
1.45,1.38,1.3,1.23,1.17,1.15,1.12,1.05,0.95,0.8,0.6,0.4,0.3)))</f>
        <v>1.23</v>
      </c>
      <c r="T1051" s="5" t="n">
        <f aca="false">CHOOSE(N1051+1,1.2,1,0.85,0.7)</f>
        <v>1.2</v>
      </c>
      <c r="U1051" s="5" t="n">
        <f aca="false">IF(F1051="PO",0.6,
IF(F1051="CT",0.75,
IF(F1051="LI",0.8,
IF(F1051="LD",0.8,
IF(F1051="MCD",0.85,
IF(F1051="MC",0.95,
IF(F1051="MO",1.05,
IF(F1051="EI",1.1,
IF(F1051="ED",1.1,
IF(F1051="SD",1.15,
IF(F1051="DC",1.2,0)))))))))))</f>
        <v>1.1</v>
      </c>
    </row>
    <row r="1052" customFormat="false" ht="16.4" hidden="false" customHeight="false" outlineLevel="0" collapsed="false">
      <c r="A1052" s="1" t="n">
        <v>1051</v>
      </c>
      <c r="B1052" s="5" t="str">
        <f aca="false">[1]Base_Jugadores!B1052</f>
        <v>Sam Johnstone</v>
      </c>
      <c r="C1052" s="5" t="str">
        <f aca="false">IFERROR(
   _xlfn.XLOOKUP(VALUE(A1052),[1]Fichajes_Realizados!A$2:A$50000,[1]Fichajes_Realizados!D$2:D$50000,,0,-1),
   _xlfn.XLOOKUP(VALUE(A1052),[1]Base_Jugadores!A$2:A$50000,[1]Base_Jugadores!C$2:C$50000)
)</f>
        <v>Wolverhampton W.</v>
      </c>
      <c r="D1052" s="5" t="str">
        <f aca="false">[1]Base_Jugadores!D1052</f>
        <v>Inglaterra</v>
      </c>
      <c r="E1052" s="3"/>
      <c r="F1052" s="5" t="str">
        <f aca="false">[1]Base_Jugadores!E1052</f>
        <v>PO</v>
      </c>
      <c r="G1052" s="5" t="n">
        <f aca="false">[1]Base_Jugadores!F1052</f>
        <v>78</v>
      </c>
      <c r="H1052" s="5" t="n">
        <f aca="false">[1]Base_Jugadores!G1052</f>
        <v>32</v>
      </c>
      <c r="I1052" s="7" t="n">
        <f aca="false" t="array" ref="I1052:I1052">_xlfn.XLOOKUP(G1052,{55;56;57;58;59;60;61;62;63;64;65;66;67;68;69;70;71;72;73;74;75;76;77;78;79;80;81;82;83;84;85;86;87;88;89;90;91;92;93;94;95;96;97;98;99},{100000;130000;160000;190000;220000;250000;300000;350000;400000;450000;500000;600000;700000;800000;900000;1000000;1500000;2000000;3000000;4000000;5000000;6500000;8000000;10000000;12500000;15000000;20000000;25000000;30000000;35000000;40000000;55000000;70000000;80000000;90000000;110000000;130000000;160000000;190000000;220000000;250000000;280000000;310000000;340000000;400000000})</f>
        <v>10000000</v>
      </c>
      <c r="J1052" s="7" t="n">
        <f aca="false">I1052*S1052*T1052*U1052</f>
        <v>6840000</v>
      </c>
      <c r="K1052" s="3"/>
      <c r="L1052" s="3"/>
      <c r="M1052" s="3"/>
      <c r="N1052" s="9" t="n">
        <v>0</v>
      </c>
      <c r="O1052" s="4" t="n">
        <v>0</v>
      </c>
      <c r="P1052" s="5" t="n">
        <f aca="false">IF(COUNTIF([1]Base_Jugadores!J$2:J$500,B1052)&gt;0,1,0)</f>
        <v>0</v>
      </c>
      <c r="Q1052" s="10" t="b">
        <f aca="false">--(COUNTIFS(
   [1]Fichajes_Realizados!A$2:A$5000,A1052,
   [1]Fichajes_Realizados!G$2:G$5000,$X$3
)&gt;0)</f>
        <v>0</v>
      </c>
      <c r="R1052" s="5" t="n">
        <f aca="false">_xlfn.XLOOKUP(C1052, [1]Estado_Equipos!A$2:A$500, [1]Estado_Equipos!J$2:J$500, "")</f>
        <v>74</v>
      </c>
      <c r="S1052" s="5" t="n">
        <f aca="false">IF(H1052&lt;=16,1.45,
IF(H1052&gt;=41,0.3,
CHOOSE(ROUNDDOWN((H1052-16)/2,0)+1,
1.45,1.38,1.3,1.23,1.17,1.15,1.12,1.05,0.95,0.8,0.6,0.4,0.3)))</f>
        <v>0.95</v>
      </c>
      <c r="T1052" s="5" t="n">
        <f aca="false">CHOOSE(N1052+1,1.2,1,0.85,0.7)</f>
        <v>1.2</v>
      </c>
      <c r="U1052" s="5" t="n">
        <f aca="false">IF(F1052="PO",0.6,
IF(F1052="CT",0.75,
IF(F1052="LI",0.8,
IF(F1052="LD",0.8,
IF(F1052="MCD",0.85,
IF(F1052="MC",0.95,
IF(F1052="MO",1.05,
IF(F1052="EI",1.1,
IF(F1052="ED",1.1,
IF(F1052="SD",1.15,
IF(F1052="DC",1.2,0)))))))))))</f>
        <v>0.6</v>
      </c>
    </row>
    <row r="1053" customFormat="false" ht="16.4" hidden="false" customHeight="false" outlineLevel="0" collapsed="false">
      <c r="A1053" s="1" t="n">
        <v>1052</v>
      </c>
      <c r="B1053" s="5" t="str">
        <f aca="false">[1]Base_Jugadores!B1053</f>
        <v>Santiago Bueno</v>
      </c>
      <c r="C1053" s="5" t="str">
        <f aca="false">IFERROR(
   _xlfn.XLOOKUP(VALUE(A1053),[1]Fichajes_Realizados!A$2:A$50000,[1]Fichajes_Realizados!D$2:D$50000,,0,-1),
   _xlfn.XLOOKUP(VALUE(A1053),[1]Base_Jugadores!A$2:A$50000,[1]Base_Jugadores!C$2:C$50000)
)</f>
        <v>Wolverhampton W.</v>
      </c>
      <c r="D1053" s="5" t="str">
        <f aca="false">[1]Base_Jugadores!D1053</f>
        <v>Uruguay</v>
      </c>
      <c r="E1053" s="3"/>
      <c r="F1053" s="5" t="str">
        <f aca="false">[1]Base_Jugadores!E1053</f>
        <v>CT</v>
      </c>
      <c r="G1053" s="5" t="n">
        <f aca="false">[1]Base_Jugadores!F1053</f>
        <v>77</v>
      </c>
      <c r="H1053" s="5" t="n">
        <f aca="false">[1]Base_Jugadores!G1053</f>
        <v>27</v>
      </c>
      <c r="I1053" s="7" t="n">
        <f aca="false" t="array" ref="I1053:I1053">_xlfn.XLOOKUP(G1053,{55;56;57;58;59;60;61;62;63;64;65;66;67;68;69;70;71;72;73;74;75;76;77;78;79;80;81;82;83;84;85;86;87;88;89;90;91;92;93;94;95;96;97;98;99},{100000;130000;160000;190000;220000;250000;300000;350000;400000;450000;500000;600000;700000;800000;900000;1000000;1500000;2000000;3000000;4000000;5000000;6500000;8000000;10000000;12500000;15000000;20000000;25000000;30000000;35000000;40000000;55000000;70000000;80000000;90000000;110000000;130000000;160000000;190000000;220000000;250000000;280000000;310000000;340000000;400000000})</f>
        <v>8000000</v>
      </c>
      <c r="J1053" s="7" t="n">
        <f aca="false">I1053*S1053*T1053*U1053</f>
        <v>8280000</v>
      </c>
      <c r="K1053" s="3"/>
      <c r="L1053" s="3"/>
      <c r="M1053" s="3"/>
      <c r="N1053" s="9" t="n">
        <v>0</v>
      </c>
      <c r="O1053" s="4" t="n">
        <v>0</v>
      </c>
      <c r="P1053" s="5" t="n">
        <f aca="false">IF(COUNTIF([1]Base_Jugadores!J$2:J$500,B1053)&gt;0,1,0)</f>
        <v>0</v>
      </c>
      <c r="Q1053" s="10" t="b">
        <f aca="false">--(COUNTIFS(
   [1]Fichajes_Realizados!A$2:A$5000,A1053,
   [1]Fichajes_Realizados!G$2:G$5000,$X$3
)&gt;0)</f>
        <v>0</v>
      </c>
      <c r="R1053" s="5" t="n">
        <f aca="false">_xlfn.XLOOKUP(C1053, [1]Estado_Equipos!A$2:A$500, [1]Estado_Equipos!J$2:J$500, "")</f>
        <v>74</v>
      </c>
      <c r="S1053" s="5" t="n">
        <f aca="false">IF(H1053&lt;=16,1.45,
IF(H1053&gt;=41,0.3,
CHOOSE(ROUNDDOWN((H1053-16)/2,0)+1,
1.45,1.38,1.3,1.23,1.17,1.15,1.12,1.05,0.95,0.8,0.6,0.4,0.3)))</f>
        <v>1.15</v>
      </c>
      <c r="T1053" s="5" t="n">
        <f aca="false">CHOOSE(N1053+1,1.2,1,0.85,0.7)</f>
        <v>1.2</v>
      </c>
      <c r="U1053" s="5" t="n">
        <f aca="false">IF(F1053="PO",0.6,
IF(F1053="CT",0.75,
IF(F1053="LI",0.8,
IF(F1053="LD",0.8,
IF(F1053="MCD",0.85,
IF(F1053="MC",0.95,
IF(F1053="MO",1.05,
IF(F1053="EI",1.1,
IF(F1053="ED",1.1,
IF(F1053="SD",1.15,
IF(F1053="DC",1.2,0)))))))))))</f>
        <v>0.75</v>
      </c>
    </row>
    <row r="1054" customFormat="false" ht="16.4" hidden="false" customHeight="false" outlineLevel="0" collapsed="false">
      <c r="A1054" s="1" t="n">
        <v>1053</v>
      </c>
      <c r="B1054" s="5" t="str">
        <f aca="false">[1]Base_Jugadores!B1054</f>
        <v>Strand Larsen</v>
      </c>
      <c r="C1054" s="5" t="str">
        <f aca="false">IFERROR(
   _xlfn.XLOOKUP(VALUE(A1054),[1]Fichajes_Realizados!A$2:A$50000,[1]Fichajes_Realizados!D$2:D$50000,,0,-1),
   _xlfn.XLOOKUP(VALUE(A1054),[1]Base_Jugadores!A$2:A$50000,[1]Base_Jugadores!C$2:C$50000)
)</f>
        <v>Wolverhampton W.</v>
      </c>
      <c r="D1054" s="5" t="str">
        <f aca="false">[1]Base_Jugadores!D1054</f>
        <v>Noruega</v>
      </c>
      <c r="E1054" s="3"/>
      <c r="F1054" s="5" t="str">
        <f aca="false">[1]Base_Jugadores!E1054</f>
        <v>DC</v>
      </c>
      <c r="G1054" s="5" t="n">
        <f aca="false">[1]Base_Jugadores!F1054</f>
        <v>78</v>
      </c>
      <c r="H1054" s="5" t="n">
        <f aca="false">[1]Base_Jugadores!G1054</f>
        <v>25</v>
      </c>
      <c r="I1054" s="7" t="n">
        <f aca="false" t="array" ref="I1054:I1054">_xlfn.XLOOKUP(G1054,{55;56;57;58;59;60;61;62;63;64;65;66;67;68;69;70;71;72;73;74;75;76;77;78;79;80;81;82;83;84;85;86;87;88;89;90;91;92;93;94;95;96;97;98;99},{100000;130000;160000;190000;220000;250000;300000;350000;400000;450000;500000;600000;700000;800000;900000;1000000;1500000;2000000;3000000;4000000;5000000;6500000;8000000;10000000;12500000;15000000;20000000;25000000;30000000;35000000;40000000;55000000;70000000;80000000;90000000;110000000;130000000;160000000;190000000;220000000;250000000;280000000;310000000;340000000;400000000})</f>
        <v>10000000</v>
      </c>
      <c r="J1054" s="7" t="n">
        <f aca="false">I1054*S1054*T1054*U1054</f>
        <v>16848000</v>
      </c>
      <c r="K1054" s="3"/>
      <c r="L1054" s="3"/>
      <c r="M1054" s="3"/>
      <c r="N1054" s="9" t="n">
        <v>0</v>
      </c>
      <c r="O1054" s="4" t="n">
        <v>0</v>
      </c>
      <c r="P1054" s="5" t="n">
        <f aca="false">IF(COUNTIF([1]Base_Jugadores!J$2:J$500,B1054)&gt;0,1,0)</f>
        <v>0</v>
      </c>
      <c r="Q1054" s="10" t="b">
        <f aca="false">--(COUNTIFS(
   [1]Fichajes_Realizados!A$2:A$5000,A1054,
   [1]Fichajes_Realizados!G$2:G$5000,$X$3
)&gt;0)</f>
        <v>0</v>
      </c>
      <c r="R1054" s="5" t="n">
        <f aca="false">_xlfn.XLOOKUP(C1054, [1]Estado_Equipos!A$2:A$500, [1]Estado_Equipos!J$2:J$500, "")</f>
        <v>74</v>
      </c>
      <c r="S1054" s="5" t="n">
        <f aca="false">IF(H1054&lt;=16,1.45,
IF(H1054&gt;=41,0.3,
CHOOSE(ROUNDDOWN((H1054-16)/2,0)+1,
1.45,1.38,1.3,1.23,1.17,1.15,1.12,1.05,0.95,0.8,0.6,0.4,0.3)))</f>
        <v>1.17</v>
      </c>
      <c r="T1054" s="5" t="n">
        <f aca="false">CHOOSE(N1054+1,1.2,1,0.85,0.7)</f>
        <v>1.2</v>
      </c>
      <c r="U1054" s="5" t="n">
        <f aca="false">IF(F1054="PO",0.6,
IF(F1054="CT",0.75,
IF(F1054="LI",0.8,
IF(F1054="LD",0.8,
IF(F1054="MCD",0.85,
IF(F1054="MC",0.95,
IF(F1054="MO",1.05,
IF(F1054="EI",1.1,
IF(F1054="ED",1.1,
IF(F1054="SD",1.15,
IF(F1054="DC",1.2,0)))))))))))</f>
        <v>1.2</v>
      </c>
    </row>
    <row r="1055" customFormat="false" ht="16.4" hidden="false" customHeight="false" outlineLevel="0" collapsed="false">
      <c r="A1055" s="1" t="n">
        <v>1054</v>
      </c>
      <c r="B1055" s="5" t="str">
        <f aca="false">[1]Base_Jugadores!B1055</f>
        <v>Tawanda Chirewa</v>
      </c>
      <c r="C1055" s="5" t="str">
        <f aca="false">IFERROR(
   _xlfn.XLOOKUP(VALUE(A1055),[1]Fichajes_Realizados!A$2:A$50000,[1]Fichajes_Realizados!D$2:D$50000,,0,-1),
   _xlfn.XLOOKUP(VALUE(A1055),[1]Base_Jugadores!A$2:A$50000,[1]Base_Jugadores!C$2:C$50000)
)</f>
        <v>Wolverhampton W.</v>
      </c>
      <c r="D1055" s="5" t="str">
        <f aca="false">[1]Base_Jugadores!D1055</f>
        <v>Zimbabue</v>
      </c>
      <c r="E1055" s="3"/>
      <c r="F1055" s="5" t="str">
        <f aca="false">[1]Base_Jugadores!E1055</f>
        <v>MO</v>
      </c>
      <c r="G1055" s="5" t="n">
        <f aca="false">[1]Base_Jugadores!F1055</f>
        <v>64</v>
      </c>
      <c r="H1055" s="5" t="n">
        <f aca="false">[1]Base_Jugadores!G1055</f>
        <v>22</v>
      </c>
      <c r="I1055" s="7" t="n">
        <f aca="false" t="array" ref="I1055:I1055">_xlfn.XLOOKUP(G1055,{55;56;57;58;59;60;61;62;63;64;65;66;67;68;69;70;71;72;73;74;75;76;77;78;79;80;81;82;83;84;85;86;87;88;89;90;91;92;93;94;95;96;97;98;99},{100000;130000;160000;190000;220000;250000;300000;350000;400000;450000;500000;600000;700000;800000;900000;1000000;1500000;2000000;3000000;4000000;5000000;6500000;8000000;10000000;12500000;15000000;20000000;25000000;30000000;35000000;40000000;55000000;70000000;80000000;90000000;110000000;130000000;160000000;190000000;220000000;250000000;280000000;310000000;340000000;400000000})</f>
        <v>450000</v>
      </c>
      <c r="J1055" s="7" t="n">
        <f aca="false">I1055*S1055*T1055*U1055</f>
        <v>697410</v>
      </c>
      <c r="K1055" s="3"/>
      <c r="L1055" s="3"/>
      <c r="M1055" s="3"/>
      <c r="N1055" s="9" t="n">
        <v>0</v>
      </c>
      <c r="O1055" s="4" t="n">
        <v>0</v>
      </c>
      <c r="P1055" s="5" t="n">
        <f aca="false">IF(COUNTIF([1]Base_Jugadores!J$2:J$500,B1055)&gt;0,1,0)</f>
        <v>0</v>
      </c>
      <c r="Q1055" s="10" t="b">
        <f aca="false">--(COUNTIFS(
   [1]Fichajes_Realizados!A$2:A$5000,A1055,
   [1]Fichajes_Realizados!G$2:G$5000,$X$3
)&gt;0)</f>
        <v>0</v>
      </c>
      <c r="R1055" s="5" t="n">
        <f aca="false">_xlfn.XLOOKUP(C1055, [1]Estado_Equipos!A$2:A$500, [1]Estado_Equipos!J$2:J$500, "")</f>
        <v>74</v>
      </c>
      <c r="S1055" s="5" t="n">
        <f aca="false">IF(H1055&lt;=16,1.45,
IF(H1055&gt;=41,0.3,
CHOOSE(ROUNDDOWN((H1055-16)/2,0)+1,
1.45,1.38,1.3,1.23,1.17,1.15,1.12,1.05,0.95,0.8,0.6,0.4,0.3)))</f>
        <v>1.23</v>
      </c>
      <c r="T1055" s="5" t="n">
        <f aca="false">CHOOSE(N1055+1,1.2,1,0.85,0.7)</f>
        <v>1.2</v>
      </c>
      <c r="U1055" s="5" t="n">
        <f aca="false">IF(F1055="PO",0.6,
IF(F1055="CT",0.75,
IF(F1055="LI",0.8,
IF(F1055="LD",0.8,
IF(F1055="MCD",0.85,
IF(F1055="MC",0.95,
IF(F1055="MO",1.05,
IF(F1055="EI",1.1,
IF(F1055="ED",1.1,
IF(F1055="SD",1.15,
IF(F1055="DC",1.2,0)))))))))))</f>
        <v>1.05</v>
      </c>
    </row>
    <row r="1056" customFormat="false" ht="16.4" hidden="false" customHeight="false" outlineLevel="0" collapsed="false">
      <c r="A1056" s="1" t="n">
        <v>1055</v>
      </c>
      <c r="B1056" s="5" t="str">
        <f aca="false">[1]Base_Jugadores!B1056</f>
        <v>Tolu Arokodare</v>
      </c>
      <c r="C1056" s="5" t="str">
        <f aca="false">IFERROR(
   _xlfn.XLOOKUP(VALUE(A1056),[1]Fichajes_Realizados!A$2:A$50000,[1]Fichajes_Realizados!D$2:D$50000,,0,-1),
   _xlfn.XLOOKUP(VALUE(A1056),[1]Base_Jugadores!A$2:A$50000,[1]Base_Jugadores!C$2:C$50000)
)</f>
        <v>Wolverhampton W.</v>
      </c>
      <c r="D1056" s="5" t="str">
        <f aca="false">[1]Base_Jugadores!D1056</f>
        <v>Nigeria</v>
      </c>
      <c r="E1056" s="3"/>
      <c r="F1056" s="5" t="str">
        <f aca="false">[1]Base_Jugadores!E1056</f>
        <v>DC</v>
      </c>
      <c r="G1056" s="5" t="n">
        <f aca="false">[1]Base_Jugadores!F1056</f>
        <v>75</v>
      </c>
      <c r="H1056" s="5" t="n">
        <f aca="false">[1]Base_Jugadores!G1056</f>
        <v>25</v>
      </c>
      <c r="I1056" s="7" t="n">
        <f aca="false" t="array" ref="I1056:I1056">_xlfn.XLOOKUP(G1056,{55;56;57;58;59;60;61;62;63;64;65;66;67;68;69;70;71;72;73;74;75;76;77;78;79;80;81;82;83;84;85;86;87;88;89;90;91;92;93;94;95;96;97;98;99},{100000;130000;160000;190000;220000;250000;300000;350000;400000;450000;500000;600000;700000;800000;900000;1000000;1500000;2000000;3000000;4000000;5000000;6500000;8000000;10000000;12500000;15000000;20000000;25000000;30000000;35000000;40000000;55000000;70000000;80000000;90000000;110000000;130000000;160000000;190000000;220000000;250000000;280000000;310000000;340000000;400000000})</f>
        <v>5000000</v>
      </c>
      <c r="J1056" s="7" t="n">
        <f aca="false">I1056*S1056*T1056*U1056</f>
        <v>8424000</v>
      </c>
      <c r="K1056" s="3"/>
      <c r="L1056" s="3"/>
      <c r="M1056" s="3"/>
      <c r="N1056" s="9" t="n">
        <v>0</v>
      </c>
      <c r="O1056" s="4" t="n">
        <v>0</v>
      </c>
      <c r="P1056" s="5" t="n">
        <f aca="false">IF(COUNTIF([1]Base_Jugadores!J$2:J$500,B1056)&gt;0,1,0)</f>
        <v>0</v>
      </c>
      <c r="Q1056" s="10" t="b">
        <f aca="false">--(COUNTIFS(
   [1]Fichajes_Realizados!A$2:A$5000,A1056,
   [1]Fichajes_Realizados!G$2:G$5000,$X$3
)&gt;0)</f>
        <v>0</v>
      </c>
      <c r="R1056" s="5" t="n">
        <f aca="false">_xlfn.XLOOKUP(C1056, [1]Estado_Equipos!A$2:A$500, [1]Estado_Equipos!J$2:J$500, "")</f>
        <v>74</v>
      </c>
      <c r="S1056" s="5" t="n">
        <f aca="false">IF(H1056&lt;=16,1.45,
IF(H1056&gt;=41,0.3,
CHOOSE(ROUNDDOWN((H1056-16)/2,0)+1,
1.45,1.38,1.3,1.23,1.17,1.15,1.12,1.05,0.95,0.8,0.6,0.4,0.3)))</f>
        <v>1.17</v>
      </c>
      <c r="T1056" s="5" t="n">
        <f aca="false">CHOOSE(N1056+1,1.2,1,0.85,0.7)</f>
        <v>1.2</v>
      </c>
      <c r="U1056" s="5" t="n">
        <f aca="false">IF(F1056="PO",0.6,
IF(F1056="CT",0.75,
IF(F1056="LI",0.8,
IF(F1056="LD",0.8,
IF(F1056="MCD",0.85,
IF(F1056="MC",0.95,
IF(F1056="MO",1.05,
IF(F1056="EI",1.1,
IF(F1056="ED",1.1,
IF(F1056="SD",1.15,
IF(F1056="DC",1.2,0)))))))))))</f>
        <v>1.2</v>
      </c>
    </row>
    <row r="1057" customFormat="false" ht="16.4" hidden="false" customHeight="false" outlineLevel="0" collapsed="false">
      <c r="A1057" s="1" t="n">
        <v>1056</v>
      </c>
      <c r="B1057" s="5" t="str">
        <f aca="false">[1]Base_Jugadores!B1057</f>
        <v>Toti Gomes</v>
      </c>
      <c r="C1057" s="5" t="str">
        <f aca="false">IFERROR(
   _xlfn.XLOOKUP(VALUE(A1057),[1]Fichajes_Realizados!A$2:A$50000,[1]Fichajes_Realizados!D$2:D$50000,,0,-1),
   _xlfn.XLOOKUP(VALUE(A1057),[1]Base_Jugadores!A$2:A$50000,[1]Base_Jugadores!C$2:C$50000)
)</f>
        <v>Wolverhampton W.</v>
      </c>
      <c r="D1057" s="5" t="str">
        <f aca="false">[1]Base_Jugadores!D1057</f>
        <v>Portugal</v>
      </c>
      <c r="E1057" s="3"/>
      <c r="F1057" s="5" t="str">
        <f aca="false">[1]Base_Jugadores!E1057</f>
        <v>CT</v>
      </c>
      <c r="G1057" s="5" t="n">
        <f aca="false">[1]Base_Jugadores!F1057</f>
        <v>77</v>
      </c>
      <c r="H1057" s="5" t="n">
        <f aca="false">[1]Base_Jugadores!G1057</f>
        <v>26</v>
      </c>
      <c r="I1057" s="7" t="n">
        <f aca="false" t="array" ref="I1057:I1057">_xlfn.XLOOKUP(G1057,{55;56;57;58;59;60;61;62;63;64;65;66;67;68;69;70;71;72;73;74;75;76;77;78;79;80;81;82;83;84;85;86;87;88;89;90;91;92;93;94;95;96;97;98;99},{100000;130000;160000;190000;220000;250000;300000;350000;400000;450000;500000;600000;700000;800000;900000;1000000;1500000;2000000;3000000;4000000;5000000;6500000;8000000;10000000;12500000;15000000;20000000;25000000;30000000;35000000;40000000;55000000;70000000;80000000;90000000;110000000;130000000;160000000;190000000;220000000;250000000;280000000;310000000;340000000;400000000})</f>
        <v>8000000</v>
      </c>
      <c r="J1057" s="7" t="n">
        <f aca="false">I1057*S1057*T1057*U1057</f>
        <v>8280000</v>
      </c>
      <c r="K1057" s="3"/>
      <c r="L1057" s="3"/>
      <c r="M1057" s="3"/>
      <c r="N1057" s="9" t="n">
        <v>0</v>
      </c>
      <c r="O1057" s="4" t="n">
        <v>0</v>
      </c>
      <c r="P1057" s="5" t="n">
        <f aca="false">IF(COUNTIF([1]Base_Jugadores!J$2:J$500,B1057)&gt;0,1,0)</f>
        <v>0</v>
      </c>
      <c r="Q1057" s="10" t="b">
        <f aca="false">--(COUNTIFS(
   [1]Fichajes_Realizados!A$2:A$5000,A1057,
   [1]Fichajes_Realizados!G$2:G$5000,$X$3
)&gt;0)</f>
        <v>0</v>
      </c>
      <c r="R1057" s="5" t="n">
        <f aca="false">_xlfn.XLOOKUP(C1057, [1]Estado_Equipos!A$2:A$500, [1]Estado_Equipos!J$2:J$500, "")</f>
        <v>74</v>
      </c>
      <c r="S1057" s="5" t="n">
        <f aca="false">IF(H1057&lt;=16,1.45,
IF(H1057&gt;=41,0.3,
CHOOSE(ROUNDDOWN((H1057-16)/2,0)+1,
1.45,1.38,1.3,1.23,1.17,1.15,1.12,1.05,0.95,0.8,0.6,0.4,0.3)))</f>
        <v>1.15</v>
      </c>
      <c r="T1057" s="5" t="n">
        <f aca="false">CHOOSE(N1057+1,1.2,1,0.85,0.7)</f>
        <v>1.2</v>
      </c>
      <c r="U1057" s="5" t="n">
        <f aca="false">IF(F1057="PO",0.6,
IF(F1057="CT",0.75,
IF(F1057="LI",0.8,
IF(F1057="LD",0.8,
IF(F1057="MCD",0.85,
IF(F1057="MC",0.95,
IF(F1057="MO",1.05,
IF(F1057="EI",1.1,
IF(F1057="ED",1.1,
IF(F1057="SD",1.15,
IF(F1057="DC",1.2,0)))))))))))</f>
        <v>0.75</v>
      </c>
    </row>
    <row r="1058" customFormat="false" ht="16.4" hidden="false" customHeight="false" outlineLevel="0" collapsed="false">
      <c r="A1058" s="1" t="n">
        <v>1057</v>
      </c>
      <c r="B1058" s="5" t="str">
        <f aca="false">[1]Base_Jugadores!B1058</f>
        <v>Yerson Mosquera</v>
      </c>
      <c r="C1058" s="5" t="str">
        <f aca="false">IFERROR(
   _xlfn.XLOOKUP(VALUE(A1058),[1]Fichajes_Realizados!A$2:A$50000,[1]Fichajes_Realizados!D$2:D$50000,,0,-1),
   _xlfn.XLOOKUP(VALUE(A1058),[1]Base_Jugadores!A$2:A$50000,[1]Base_Jugadores!C$2:C$50000)
)</f>
        <v>Wolverhampton W.</v>
      </c>
      <c r="D1058" s="5" t="str">
        <f aca="false">[1]Base_Jugadores!D1058</f>
        <v>Colombia</v>
      </c>
      <c r="E1058" s="3"/>
      <c r="F1058" s="5" t="str">
        <f aca="false">[1]Base_Jugadores!E1058</f>
        <v>CT</v>
      </c>
      <c r="G1058" s="5" t="n">
        <f aca="false">[1]Base_Jugadores!F1058</f>
        <v>72</v>
      </c>
      <c r="H1058" s="5" t="n">
        <f aca="false">[1]Base_Jugadores!G1058</f>
        <v>24</v>
      </c>
      <c r="I1058" s="7" t="n">
        <f aca="false" t="array" ref="I1058:I1058">_xlfn.XLOOKUP(G1058,{55;56;57;58;59;60;61;62;63;64;65;66;67;68;69;70;71;72;73;74;75;76;77;78;79;80;81;82;83;84;85;86;87;88;89;90;91;92;93;94;95;96;97;98;99},{100000;130000;160000;190000;220000;250000;300000;350000;400000;450000;500000;600000;700000;800000;900000;1000000;1500000;2000000;3000000;4000000;5000000;6500000;8000000;10000000;12500000;15000000;20000000;25000000;30000000;35000000;40000000;55000000;70000000;80000000;90000000;110000000;130000000;160000000;190000000;220000000;250000000;280000000;310000000;340000000;400000000})</f>
        <v>2000000</v>
      </c>
      <c r="J1058" s="7" t="n">
        <f aca="false">I1058*S1058*T1058*U1058</f>
        <v>2106000</v>
      </c>
      <c r="K1058" s="3"/>
      <c r="L1058" s="3"/>
      <c r="M1058" s="3"/>
      <c r="N1058" s="9" t="n">
        <v>0</v>
      </c>
      <c r="O1058" s="4" t="n">
        <v>0</v>
      </c>
      <c r="P1058" s="5" t="n">
        <f aca="false">IF(COUNTIF([1]Base_Jugadores!J$2:J$500,B1058)&gt;0,1,0)</f>
        <v>0</v>
      </c>
      <c r="Q1058" s="10" t="b">
        <f aca="false">--(COUNTIFS(
   [1]Fichajes_Realizados!A$2:A$5000,A1058,
   [1]Fichajes_Realizados!G$2:G$5000,$X$3
)&gt;0)</f>
        <v>0</v>
      </c>
      <c r="R1058" s="5" t="n">
        <f aca="false">_xlfn.XLOOKUP(C1058, [1]Estado_Equipos!A$2:A$500, [1]Estado_Equipos!J$2:J$500, "")</f>
        <v>74</v>
      </c>
      <c r="S1058" s="5" t="n">
        <f aca="false">IF(H1058&lt;=16,1.45,
IF(H1058&gt;=41,0.3,
CHOOSE(ROUNDDOWN((H1058-16)/2,0)+1,
1.45,1.38,1.3,1.23,1.17,1.15,1.12,1.05,0.95,0.8,0.6,0.4,0.3)))</f>
        <v>1.17</v>
      </c>
      <c r="T1058" s="5" t="n">
        <f aca="false">CHOOSE(N1058+1,1.2,1,0.85,0.7)</f>
        <v>1.2</v>
      </c>
      <c r="U1058" s="5" t="n">
        <f aca="false">IF(F1058="PO",0.6,
IF(F1058="CT",0.75,
IF(F1058="LI",0.8,
IF(F1058="LD",0.8,
IF(F1058="MCD",0.85,
IF(F1058="MC",0.95,
IF(F1058="MO",1.05,
IF(F1058="EI",1.1,
IF(F1058="ED",1.1,
IF(F1058="SD",1.15,
IF(F1058="DC",1.2,0)))))))))))</f>
        <v>0.75</v>
      </c>
    </row>
    <row r="1059" customFormat="false" ht="16.4" hidden="false" customHeight="false" outlineLevel="0" collapsed="false">
      <c r="A1059" s="1" t="n">
        <v>1058</v>
      </c>
      <c r="B1059" s="5" t="str">
        <f aca="false">[1]Base_Jugadores!B1059</f>
        <v>Ademola Lookman</v>
      </c>
      <c r="C1059" s="5" t="str">
        <f aca="false">IFERROR(
   _xlfn.XLOOKUP(VALUE(A1059),[1]Fichajes_Realizados!A$2:A$50000,[1]Fichajes_Realizados!D$2:D$50000,,0,-1),
   _xlfn.XLOOKUP(VALUE(A1059),[1]Base_Jugadores!A$2:A$50000,[1]Base_Jugadores!C$2:C$50000)
)</f>
        <v>Atalanta BC</v>
      </c>
      <c r="D1059" s="5" t="str">
        <f aca="false">[1]Base_Jugadores!D1059</f>
        <v>Nigeria</v>
      </c>
      <c r="E1059" s="3"/>
      <c r="F1059" s="5" t="str">
        <f aca="false">[1]Base_Jugadores!E1059</f>
        <v>SD</v>
      </c>
      <c r="G1059" s="5" t="n">
        <f aca="false">[1]Base_Jugadores!F1059</f>
        <v>81</v>
      </c>
      <c r="H1059" s="5" t="n">
        <f aca="false">[1]Base_Jugadores!G1059</f>
        <v>28</v>
      </c>
      <c r="I1059" s="7" t="n">
        <f aca="false" t="array" ref="I1059:I1059">_xlfn.XLOOKUP(G1059,{55;56;57;58;59;60;61;62;63;64;65;66;67;68;69;70;71;72;73;74;75;76;77;78;79;80;81;82;83;84;85;86;87;88;89;90;91;92;93;94;95;96;97;98;99},{100000;130000;160000;190000;220000;250000;300000;350000;400000;450000;500000;600000;700000;800000;900000;1000000;1500000;2000000;3000000;4000000;5000000;6500000;8000000;10000000;12500000;15000000;20000000;25000000;30000000;35000000;40000000;55000000;70000000;80000000;90000000;110000000;130000000;160000000;190000000;220000000;250000000;280000000;310000000;340000000;400000000})</f>
        <v>20000000</v>
      </c>
      <c r="J1059" s="7" t="n">
        <f aca="false">I1059*S1059*T1059*U1059</f>
        <v>30912000</v>
      </c>
      <c r="K1059" s="3"/>
      <c r="L1059" s="3"/>
      <c r="M1059" s="3"/>
      <c r="N1059" s="9" t="n">
        <v>0</v>
      </c>
      <c r="O1059" s="4" t="n">
        <v>0</v>
      </c>
      <c r="P1059" s="5" t="n">
        <f aca="false">IF(COUNTIF([1]Base_Jugadores!J$2:J$500,B1059)&gt;0,1,0)</f>
        <v>0</v>
      </c>
      <c r="Q1059" s="10" t="b">
        <f aca="false">--(COUNTIFS(
   [1]Fichajes_Realizados!A$2:A$5000,A1059,
   [1]Fichajes_Realizados!G$2:G$5000,$X$3
)&gt;0)</f>
        <v>0</v>
      </c>
      <c r="R1059" s="5" t="n">
        <f aca="false">_xlfn.XLOOKUP(C1059, [1]Estado_Equipos!A$2:A$500, [1]Estado_Equipos!J$2:J$500, "")</f>
        <v>76</v>
      </c>
      <c r="S1059" s="5" t="n">
        <f aca="false">IF(H1059&lt;=16,1.45,
IF(H1059&gt;=41,0.3,
CHOOSE(ROUNDDOWN((H1059-16)/2,0)+1,
1.45,1.38,1.3,1.23,1.17,1.15,1.12,1.05,0.95,0.8,0.6,0.4,0.3)))</f>
        <v>1.12</v>
      </c>
      <c r="T1059" s="5" t="n">
        <f aca="false">CHOOSE(N1059+1,1.2,1,0.85,0.7)</f>
        <v>1.2</v>
      </c>
      <c r="U1059" s="5" t="n">
        <f aca="false">IF(F1059="PO",0.6,
IF(F1059="CT",0.75,
IF(F1059="LI",0.8,
IF(F1059="LD",0.8,
IF(F1059="MCD",0.85,
IF(F1059="MC",0.95,
IF(F1059="MO",1.05,
IF(F1059="EI",1.1,
IF(F1059="ED",1.1,
IF(F1059="SD",1.15,
IF(F1059="DC",1.2,0)))))))))))</f>
        <v>1.15</v>
      </c>
    </row>
    <row r="1060" customFormat="false" ht="16.4" hidden="false" customHeight="false" outlineLevel="0" collapsed="false">
      <c r="A1060" s="1" t="n">
        <v>1059</v>
      </c>
      <c r="B1060" s="5" t="str">
        <f aca="false">[1]Base_Jugadores!B1060</f>
        <v>Berat Djimsiti</v>
      </c>
      <c r="C1060" s="5" t="str">
        <f aca="false">IFERROR(
   _xlfn.XLOOKUP(VALUE(A1060),[1]Fichajes_Realizados!A$2:A$50000,[1]Fichajes_Realizados!D$2:D$50000,,0,-1),
   _xlfn.XLOOKUP(VALUE(A1060),[1]Base_Jugadores!A$2:A$50000,[1]Base_Jugadores!C$2:C$50000)
)</f>
        <v>Atalanta BC</v>
      </c>
      <c r="D1060" s="5" t="str">
        <f aca="false">[1]Base_Jugadores!D1060</f>
        <v>Albania</v>
      </c>
      <c r="E1060" s="3"/>
      <c r="F1060" s="5" t="str">
        <f aca="false">[1]Base_Jugadores!E1060</f>
        <v>CT</v>
      </c>
      <c r="G1060" s="5" t="n">
        <f aca="false">[1]Base_Jugadores!F1060</f>
        <v>77</v>
      </c>
      <c r="H1060" s="5" t="n">
        <f aca="false">[1]Base_Jugadores!G1060</f>
        <v>32</v>
      </c>
      <c r="I1060" s="7" t="n">
        <f aca="false" t="array" ref="I1060:I1060">_xlfn.XLOOKUP(G1060,{55;56;57;58;59;60;61;62;63;64;65;66;67;68;69;70;71;72;73;74;75;76;77;78;79;80;81;82;83;84;85;86;87;88;89;90;91;92;93;94;95;96;97;98;99},{100000;130000;160000;190000;220000;250000;300000;350000;400000;450000;500000;600000;700000;800000;900000;1000000;1500000;2000000;3000000;4000000;5000000;6500000;8000000;10000000;12500000;15000000;20000000;25000000;30000000;35000000;40000000;55000000;70000000;80000000;90000000;110000000;130000000;160000000;190000000;220000000;250000000;280000000;310000000;340000000;400000000})</f>
        <v>8000000</v>
      </c>
      <c r="J1060" s="7" t="n">
        <f aca="false">I1060*S1060*T1060*U1060</f>
        <v>6840000</v>
      </c>
      <c r="K1060" s="3"/>
      <c r="L1060" s="3"/>
      <c r="M1060" s="3"/>
      <c r="N1060" s="9" t="n">
        <v>0</v>
      </c>
      <c r="O1060" s="4" t="n">
        <v>0</v>
      </c>
      <c r="P1060" s="5" t="n">
        <f aca="false">IF(COUNTIF([1]Base_Jugadores!J$2:J$500,B1060)&gt;0,1,0)</f>
        <v>0</v>
      </c>
      <c r="Q1060" s="10" t="b">
        <f aca="false">--(COUNTIFS(
   [1]Fichajes_Realizados!A$2:A$5000,A1060,
   [1]Fichajes_Realizados!G$2:G$5000,$X$3
)&gt;0)</f>
        <v>0</v>
      </c>
      <c r="R1060" s="5" t="n">
        <f aca="false">_xlfn.XLOOKUP(C1060, [1]Estado_Equipos!A$2:A$500, [1]Estado_Equipos!J$2:J$500, "")</f>
        <v>76</v>
      </c>
      <c r="S1060" s="5" t="n">
        <f aca="false">IF(H1060&lt;=16,1.45,
IF(H1060&gt;=41,0.3,
CHOOSE(ROUNDDOWN((H1060-16)/2,0)+1,
1.45,1.38,1.3,1.23,1.17,1.15,1.12,1.05,0.95,0.8,0.6,0.4,0.3)))</f>
        <v>0.95</v>
      </c>
      <c r="T1060" s="5" t="n">
        <f aca="false">CHOOSE(N1060+1,1.2,1,0.85,0.7)</f>
        <v>1.2</v>
      </c>
      <c r="U1060" s="5" t="n">
        <f aca="false">IF(F1060="PO",0.6,
IF(F1060="CT",0.75,
IF(F1060="LI",0.8,
IF(F1060="LD",0.8,
IF(F1060="MCD",0.85,
IF(F1060="MC",0.95,
IF(F1060="MO",1.05,
IF(F1060="EI",1.1,
IF(F1060="ED",1.1,
IF(F1060="SD",1.15,
IF(F1060="DC",1.2,0)))))))))))</f>
        <v>0.75</v>
      </c>
    </row>
    <row r="1061" customFormat="false" ht="16.4" hidden="false" customHeight="false" outlineLevel="0" collapsed="false">
      <c r="A1061" s="1" t="n">
        <v>1060</v>
      </c>
      <c r="B1061" s="5" t="str">
        <f aca="false">[1]Base_Jugadores!B1061</f>
        <v>Charles De Ketelaere</v>
      </c>
      <c r="C1061" s="5" t="str">
        <f aca="false">IFERROR(
   _xlfn.XLOOKUP(VALUE(A1061),[1]Fichajes_Realizados!A$2:A$50000,[1]Fichajes_Realizados!D$2:D$50000,,0,-1),
   _xlfn.XLOOKUP(VALUE(A1061),[1]Base_Jugadores!A$2:A$50000,[1]Base_Jugadores!C$2:C$50000)
)</f>
        <v>Atalanta BC</v>
      </c>
      <c r="D1061" s="5" t="str">
        <f aca="false">[1]Base_Jugadores!D1061</f>
        <v>Bélgica</v>
      </c>
      <c r="E1061" s="3"/>
      <c r="F1061" s="5" t="str">
        <f aca="false">[1]Base_Jugadores!E1061</f>
        <v>MO</v>
      </c>
      <c r="G1061" s="5" t="n">
        <f aca="false">[1]Base_Jugadores!F1061</f>
        <v>80</v>
      </c>
      <c r="H1061" s="5" t="n">
        <f aca="false">[1]Base_Jugadores!G1061</f>
        <v>24</v>
      </c>
      <c r="I1061" s="7" t="n">
        <f aca="false" t="array" ref="I1061:I1061">_xlfn.XLOOKUP(G1061,{55;56;57;58;59;60;61;62;63;64;65;66;67;68;69;70;71;72;73;74;75;76;77;78;79;80;81;82;83;84;85;86;87;88;89;90;91;92;93;94;95;96;97;98;99},{100000;130000;160000;190000;220000;250000;300000;350000;400000;450000;500000;600000;700000;800000;900000;1000000;1500000;2000000;3000000;4000000;5000000;6500000;8000000;10000000;12500000;15000000;20000000;25000000;30000000;35000000;40000000;55000000;70000000;80000000;90000000;110000000;130000000;160000000;190000000;220000000;250000000;280000000;310000000;340000000;400000000})</f>
        <v>15000000</v>
      </c>
      <c r="J1061" s="7" t="n">
        <f aca="false">I1061*S1061*T1061*U1061</f>
        <v>22113000</v>
      </c>
      <c r="K1061" s="3"/>
      <c r="L1061" s="3"/>
      <c r="M1061" s="3"/>
      <c r="N1061" s="9" t="n">
        <v>0</v>
      </c>
      <c r="O1061" s="4" t="n">
        <v>0</v>
      </c>
      <c r="P1061" s="5" t="n">
        <f aca="false">IF(COUNTIF([1]Base_Jugadores!J$2:J$500,B1061)&gt;0,1,0)</f>
        <v>0</v>
      </c>
      <c r="Q1061" s="10" t="b">
        <f aca="false">--(COUNTIFS(
   [1]Fichajes_Realizados!A$2:A$5000,A1061,
   [1]Fichajes_Realizados!G$2:G$5000,$X$3
)&gt;0)</f>
        <v>0</v>
      </c>
      <c r="R1061" s="5" t="n">
        <f aca="false">_xlfn.XLOOKUP(C1061, [1]Estado_Equipos!A$2:A$500, [1]Estado_Equipos!J$2:J$500, "")</f>
        <v>76</v>
      </c>
      <c r="S1061" s="5" t="n">
        <f aca="false">IF(H1061&lt;=16,1.45,
IF(H1061&gt;=41,0.3,
CHOOSE(ROUNDDOWN((H1061-16)/2,0)+1,
1.45,1.38,1.3,1.23,1.17,1.15,1.12,1.05,0.95,0.8,0.6,0.4,0.3)))</f>
        <v>1.17</v>
      </c>
      <c r="T1061" s="5" t="n">
        <f aca="false">CHOOSE(N1061+1,1.2,1,0.85,0.7)</f>
        <v>1.2</v>
      </c>
      <c r="U1061" s="5" t="n">
        <f aca="false">IF(F1061="PO",0.6,
IF(F1061="CT",0.75,
IF(F1061="LI",0.8,
IF(F1061="LD",0.8,
IF(F1061="MCD",0.85,
IF(F1061="MC",0.95,
IF(F1061="MO",1.05,
IF(F1061="EI",1.1,
IF(F1061="ED",1.1,
IF(F1061="SD",1.15,
IF(F1061="DC",1.2,0)))))))))))</f>
        <v>1.05</v>
      </c>
    </row>
    <row r="1062" customFormat="false" ht="16.4" hidden="false" customHeight="false" outlineLevel="0" collapsed="false">
      <c r="A1062" s="1" t="n">
        <v>1061</v>
      </c>
      <c r="B1062" s="5" t="str">
        <f aca="false">[1]Base_Jugadores!B1062</f>
        <v>Daniel Maldini</v>
      </c>
      <c r="C1062" s="5" t="str">
        <f aca="false">IFERROR(
   _xlfn.XLOOKUP(VALUE(A1062),[1]Fichajes_Realizados!A$2:A$50000,[1]Fichajes_Realizados!D$2:D$50000,,0,-1),
   _xlfn.XLOOKUP(VALUE(A1062),[1]Base_Jugadores!A$2:A$50000,[1]Base_Jugadores!C$2:C$50000)
)</f>
        <v>Atalanta BC</v>
      </c>
      <c r="D1062" s="5" t="str">
        <f aca="false">[1]Base_Jugadores!D1062</f>
        <v>Italia</v>
      </c>
      <c r="E1062" s="3"/>
      <c r="F1062" s="5" t="str">
        <f aca="false">[1]Base_Jugadores!E1062</f>
        <v>MO</v>
      </c>
      <c r="G1062" s="5" t="n">
        <f aca="false">[1]Base_Jugadores!F1062</f>
        <v>74</v>
      </c>
      <c r="H1062" s="5" t="n">
        <f aca="false">[1]Base_Jugadores!G1062</f>
        <v>24</v>
      </c>
      <c r="I1062" s="7" t="n">
        <f aca="false" t="array" ref="I1062:I1062">_xlfn.XLOOKUP(G1062,{55;56;57;58;59;60;61;62;63;64;65;66;67;68;69;70;71;72;73;74;75;76;77;78;79;80;81;82;83;84;85;86;87;88;89;90;91;92;93;94;95;96;97;98;99},{100000;130000;160000;190000;220000;250000;300000;350000;400000;450000;500000;600000;700000;800000;900000;1000000;1500000;2000000;3000000;4000000;5000000;6500000;8000000;10000000;12500000;15000000;20000000;25000000;30000000;35000000;40000000;55000000;70000000;80000000;90000000;110000000;130000000;160000000;190000000;220000000;250000000;280000000;310000000;340000000;400000000})</f>
        <v>4000000</v>
      </c>
      <c r="J1062" s="7" t="n">
        <f aca="false">I1062*S1062*T1062*U1062</f>
        <v>5896800</v>
      </c>
      <c r="K1062" s="3"/>
      <c r="L1062" s="3"/>
      <c r="M1062" s="3"/>
      <c r="N1062" s="9" t="n">
        <v>0</v>
      </c>
      <c r="O1062" s="4" t="n">
        <v>0</v>
      </c>
      <c r="P1062" s="5" t="n">
        <f aca="false">IF(COUNTIF([1]Base_Jugadores!J$2:J$500,B1062)&gt;0,1,0)</f>
        <v>0</v>
      </c>
      <c r="Q1062" s="10" t="b">
        <f aca="false">--(COUNTIFS(
   [1]Fichajes_Realizados!A$2:A$5000,A1062,
   [1]Fichajes_Realizados!G$2:G$5000,$X$3
)&gt;0)</f>
        <v>0</v>
      </c>
      <c r="R1062" s="5" t="n">
        <f aca="false">_xlfn.XLOOKUP(C1062, [1]Estado_Equipos!A$2:A$500, [1]Estado_Equipos!J$2:J$500, "")</f>
        <v>76</v>
      </c>
      <c r="S1062" s="5" t="n">
        <f aca="false">IF(H1062&lt;=16,1.45,
IF(H1062&gt;=41,0.3,
CHOOSE(ROUNDDOWN((H1062-16)/2,0)+1,
1.45,1.38,1.3,1.23,1.17,1.15,1.12,1.05,0.95,0.8,0.6,0.4,0.3)))</f>
        <v>1.17</v>
      </c>
      <c r="T1062" s="5" t="n">
        <f aca="false">CHOOSE(N1062+1,1.2,1,0.85,0.7)</f>
        <v>1.2</v>
      </c>
      <c r="U1062" s="5" t="n">
        <f aca="false">IF(F1062="PO",0.6,
IF(F1062="CT",0.75,
IF(F1062="LI",0.8,
IF(F1062="LD",0.8,
IF(F1062="MCD",0.85,
IF(F1062="MC",0.95,
IF(F1062="MO",1.05,
IF(F1062="EI",1.1,
IF(F1062="ED",1.1,
IF(F1062="SD",1.15,
IF(F1062="DC",1.2,0)))))))))))</f>
        <v>1.05</v>
      </c>
    </row>
    <row r="1063" customFormat="false" ht="16.4" hidden="false" customHeight="false" outlineLevel="0" collapsed="false">
      <c r="A1063" s="1" t="n">
        <v>1062</v>
      </c>
      <c r="B1063" s="5" t="str">
        <f aca="false">[1]Base_Jugadores!B1063</f>
        <v>Davide Zappacosta</v>
      </c>
      <c r="C1063" s="5" t="str">
        <f aca="false">IFERROR(
   _xlfn.XLOOKUP(VALUE(A1063),[1]Fichajes_Realizados!A$2:A$50000,[1]Fichajes_Realizados!D$2:D$50000,,0,-1),
   _xlfn.XLOOKUP(VALUE(A1063),[1]Base_Jugadores!A$2:A$50000,[1]Base_Jugadores!C$2:C$50000)
)</f>
        <v>Atalanta BC</v>
      </c>
      <c r="D1063" s="5" t="str">
        <f aca="false">[1]Base_Jugadores!D1063</f>
        <v>Italia</v>
      </c>
      <c r="E1063" s="3"/>
      <c r="F1063" s="5" t="str">
        <f aca="false">[1]Base_Jugadores!E1063</f>
        <v>ED</v>
      </c>
      <c r="G1063" s="5" t="n">
        <f aca="false">[1]Base_Jugadores!F1063</f>
        <v>79</v>
      </c>
      <c r="H1063" s="5" t="n">
        <f aca="false">[1]Base_Jugadores!G1063</f>
        <v>33</v>
      </c>
      <c r="I1063" s="7" t="n">
        <f aca="false" t="array" ref="I1063:I1063">_xlfn.XLOOKUP(G1063,{55;56;57;58;59;60;61;62;63;64;65;66;67;68;69;70;71;72;73;74;75;76;77;78;79;80;81;82;83;84;85;86;87;88;89;90;91;92;93;94;95;96;97;98;99},{100000;130000;160000;190000;220000;250000;300000;350000;400000;450000;500000;600000;700000;800000;900000;1000000;1500000;2000000;3000000;4000000;5000000;6500000;8000000;10000000;12500000;15000000;20000000;25000000;30000000;35000000;40000000;55000000;70000000;80000000;90000000;110000000;130000000;160000000;190000000;220000000;250000000;280000000;310000000;340000000;400000000})</f>
        <v>12500000</v>
      </c>
      <c r="J1063" s="7" t="n">
        <f aca="false">I1063*S1063*T1063*U1063</f>
        <v>15675000</v>
      </c>
      <c r="K1063" s="3"/>
      <c r="L1063" s="3"/>
      <c r="M1063" s="3"/>
      <c r="N1063" s="9" t="n">
        <v>0</v>
      </c>
      <c r="O1063" s="4" t="n">
        <v>0</v>
      </c>
      <c r="P1063" s="5" t="n">
        <f aca="false">IF(COUNTIF([1]Base_Jugadores!J$2:J$500,B1063)&gt;0,1,0)</f>
        <v>0</v>
      </c>
      <c r="Q1063" s="10" t="b">
        <f aca="false">--(COUNTIFS(
   [1]Fichajes_Realizados!A$2:A$5000,A1063,
   [1]Fichajes_Realizados!G$2:G$5000,$X$3
)&gt;0)</f>
        <v>0</v>
      </c>
      <c r="R1063" s="5" t="n">
        <f aca="false">_xlfn.XLOOKUP(C1063, [1]Estado_Equipos!A$2:A$500, [1]Estado_Equipos!J$2:J$500, "")</f>
        <v>76</v>
      </c>
      <c r="S1063" s="5" t="n">
        <f aca="false">IF(H1063&lt;=16,1.45,
IF(H1063&gt;=41,0.3,
CHOOSE(ROUNDDOWN((H1063-16)/2,0)+1,
1.45,1.38,1.3,1.23,1.17,1.15,1.12,1.05,0.95,0.8,0.6,0.4,0.3)))</f>
        <v>0.95</v>
      </c>
      <c r="T1063" s="5" t="n">
        <f aca="false">CHOOSE(N1063+1,1.2,1,0.85,0.7)</f>
        <v>1.2</v>
      </c>
      <c r="U1063" s="5" t="n">
        <f aca="false">IF(F1063="PO",0.6,
IF(F1063="CT",0.75,
IF(F1063="LI",0.8,
IF(F1063="LD",0.8,
IF(F1063="MCD",0.85,
IF(F1063="MC",0.95,
IF(F1063="MO",1.05,
IF(F1063="EI",1.1,
IF(F1063="ED",1.1,
IF(F1063="SD",1.15,
IF(F1063="DC",1.2,0)))))))))))</f>
        <v>1.1</v>
      </c>
    </row>
    <row r="1064" customFormat="false" ht="16.4" hidden="false" customHeight="false" outlineLevel="0" collapsed="false">
      <c r="A1064" s="1" t="n">
        <v>1063</v>
      </c>
      <c r="B1064" s="5" t="str">
        <f aca="false">[1]Base_Jugadores!B1064</f>
        <v>Éderson dos Santos</v>
      </c>
      <c r="C1064" s="5" t="str">
        <f aca="false">IFERROR(
   _xlfn.XLOOKUP(VALUE(A1064),[1]Fichajes_Realizados!A$2:A$50000,[1]Fichajes_Realizados!D$2:D$50000,,0,-1),
   _xlfn.XLOOKUP(VALUE(A1064),[1]Base_Jugadores!A$2:A$50000,[1]Base_Jugadores!C$2:C$50000)
)</f>
        <v>Atalanta BC</v>
      </c>
      <c r="D1064" s="5" t="str">
        <f aca="false">[1]Base_Jugadores!D1064</f>
        <v>Brasil</v>
      </c>
      <c r="E1064" s="3"/>
      <c r="F1064" s="5" t="str">
        <f aca="false">[1]Base_Jugadores!E1064</f>
        <v>MC</v>
      </c>
      <c r="G1064" s="5" t="n">
        <f aca="false">[1]Base_Jugadores!F1064</f>
        <v>80</v>
      </c>
      <c r="H1064" s="5" t="n">
        <f aca="false">[1]Base_Jugadores!G1064</f>
        <v>26</v>
      </c>
      <c r="I1064" s="7" t="n">
        <f aca="false" t="array" ref="I1064:I1064">_xlfn.XLOOKUP(G1064,{55;56;57;58;59;60;61;62;63;64;65;66;67;68;69;70;71;72;73;74;75;76;77;78;79;80;81;82;83;84;85;86;87;88;89;90;91;92;93;94;95;96;97;98;99},{100000;130000;160000;190000;220000;250000;300000;350000;400000;450000;500000;600000;700000;800000;900000;1000000;1500000;2000000;3000000;4000000;5000000;6500000;8000000;10000000;12500000;15000000;20000000;25000000;30000000;35000000;40000000;55000000;70000000;80000000;90000000;110000000;130000000;160000000;190000000;220000000;250000000;280000000;310000000;340000000;400000000})</f>
        <v>15000000</v>
      </c>
      <c r="J1064" s="7" t="n">
        <f aca="false">I1064*S1064*T1064*U1064</f>
        <v>19665000</v>
      </c>
      <c r="K1064" s="3"/>
      <c r="L1064" s="3"/>
      <c r="M1064" s="3"/>
      <c r="N1064" s="9" t="n">
        <v>0</v>
      </c>
      <c r="O1064" s="4" t="n">
        <v>0</v>
      </c>
      <c r="P1064" s="5" t="n">
        <f aca="false">IF(COUNTIF([1]Base_Jugadores!J$2:J$500,B1064)&gt;0,1,0)</f>
        <v>0</v>
      </c>
      <c r="Q1064" s="10" t="b">
        <f aca="false">--(COUNTIFS(
   [1]Fichajes_Realizados!A$2:A$5000,A1064,
   [1]Fichajes_Realizados!G$2:G$5000,$X$3
)&gt;0)</f>
        <v>0</v>
      </c>
      <c r="R1064" s="5" t="n">
        <f aca="false">_xlfn.XLOOKUP(C1064, [1]Estado_Equipos!A$2:A$500, [1]Estado_Equipos!J$2:J$500, "")</f>
        <v>76</v>
      </c>
      <c r="S1064" s="5" t="n">
        <f aca="false">IF(H1064&lt;=16,1.45,
IF(H1064&gt;=41,0.3,
CHOOSE(ROUNDDOWN((H1064-16)/2,0)+1,
1.45,1.38,1.3,1.23,1.17,1.15,1.12,1.05,0.95,0.8,0.6,0.4,0.3)))</f>
        <v>1.15</v>
      </c>
      <c r="T1064" s="5" t="n">
        <f aca="false">CHOOSE(N1064+1,1.2,1,0.85,0.7)</f>
        <v>1.2</v>
      </c>
      <c r="U1064" s="5" t="n">
        <f aca="false">IF(F1064="PO",0.6,
IF(F1064="CT",0.75,
IF(F1064="LI",0.8,
IF(F1064="LD",0.8,
IF(F1064="MCD",0.85,
IF(F1064="MC",0.95,
IF(F1064="MO",1.05,
IF(F1064="EI",1.1,
IF(F1064="ED",1.1,
IF(F1064="SD",1.15,
IF(F1064="DC",1.2,0)))))))))))</f>
        <v>0.95</v>
      </c>
    </row>
    <row r="1065" customFormat="false" ht="16.4" hidden="false" customHeight="false" outlineLevel="0" collapsed="false">
      <c r="A1065" s="1" t="n">
        <v>1064</v>
      </c>
      <c r="B1065" s="5" t="str">
        <f aca="false">[1]Base_Jugadores!B1065</f>
        <v>Francesco Rossi</v>
      </c>
      <c r="C1065" s="5" t="str">
        <f aca="false">IFERROR(
   _xlfn.XLOOKUP(VALUE(A1065),[1]Fichajes_Realizados!A$2:A$50000,[1]Fichajes_Realizados!D$2:D$50000,,0,-1),
   _xlfn.XLOOKUP(VALUE(A1065),[1]Base_Jugadores!A$2:A$50000,[1]Base_Jugadores!C$2:C$50000)
)</f>
        <v>Atalanta BC</v>
      </c>
      <c r="D1065" s="5" t="str">
        <f aca="false">[1]Base_Jugadores!D1065</f>
        <v>Italia</v>
      </c>
      <c r="E1065" s="3"/>
      <c r="F1065" s="5" t="str">
        <f aca="false">[1]Base_Jugadores!E1065</f>
        <v>PO</v>
      </c>
      <c r="G1065" s="5" t="n">
        <f aca="false">[1]Base_Jugadores!F1065</f>
        <v>71</v>
      </c>
      <c r="H1065" s="5" t="n">
        <f aca="false">[1]Base_Jugadores!G1065</f>
        <v>34</v>
      </c>
      <c r="I1065" s="7" t="n">
        <f aca="false" t="array" ref="I1065:I1065">_xlfn.XLOOKUP(G1065,{55;56;57;58;59;60;61;62;63;64;65;66;67;68;69;70;71;72;73;74;75;76;77;78;79;80;81;82;83;84;85;86;87;88;89;90;91;92;93;94;95;96;97;98;99},{100000;130000;160000;190000;220000;250000;300000;350000;400000;450000;500000;600000;700000;800000;900000;1000000;1500000;2000000;3000000;4000000;5000000;6500000;8000000;10000000;12500000;15000000;20000000;25000000;30000000;35000000;40000000;55000000;70000000;80000000;90000000;110000000;130000000;160000000;190000000;220000000;250000000;280000000;310000000;340000000;400000000})</f>
        <v>1500000</v>
      </c>
      <c r="J1065" s="7" t="n">
        <f aca="false">I1065*S1065*T1065*U1065</f>
        <v>864000</v>
      </c>
      <c r="K1065" s="3"/>
      <c r="L1065" s="3"/>
      <c r="M1065" s="3"/>
      <c r="N1065" s="9" t="n">
        <v>0</v>
      </c>
      <c r="O1065" s="4" t="n">
        <v>0</v>
      </c>
      <c r="P1065" s="5" t="n">
        <f aca="false">IF(COUNTIF([1]Base_Jugadores!J$2:J$500,B1065)&gt;0,1,0)</f>
        <v>0</v>
      </c>
      <c r="Q1065" s="10" t="b">
        <f aca="false">--(COUNTIFS(
   [1]Fichajes_Realizados!A$2:A$5000,A1065,
   [1]Fichajes_Realizados!G$2:G$5000,$X$3
)&gt;0)</f>
        <v>0</v>
      </c>
      <c r="R1065" s="5" t="n">
        <f aca="false">_xlfn.XLOOKUP(C1065, [1]Estado_Equipos!A$2:A$500, [1]Estado_Equipos!J$2:J$500, "")</f>
        <v>76</v>
      </c>
      <c r="S1065" s="5" t="n">
        <f aca="false">IF(H1065&lt;=16,1.45,
IF(H1065&gt;=41,0.3,
CHOOSE(ROUNDDOWN((H1065-16)/2,0)+1,
1.45,1.38,1.3,1.23,1.17,1.15,1.12,1.05,0.95,0.8,0.6,0.4,0.3)))</f>
        <v>0.8</v>
      </c>
      <c r="T1065" s="5" t="n">
        <f aca="false">CHOOSE(N1065+1,1.2,1,0.85,0.7)</f>
        <v>1.2</v>
      </c>
      <c r="U1065" s="5" t="n">
        <f aca="false">IF(F1065="PO",0.6,
IF(F1065="CT",0.75,
IF(F1065="LI",0.8,
IF(F1065="LD",0.8,
IF(F1065="MCD",0.85,
IF(F1065="MC",0.95,
IF(F1065="MO",1.05,
IF(F1065="EI",1.1,
IF(F1065="ED",1.1,
IF(F1065="SD",1.15,
IF(F1065="DC",1.2,0)))))))))))</f>
        <v>0.6</v>
      </c>
    </row>
    <row r="1066" customFormat="false" ht="16.4" hidden="false" customHeight="false" outlineLevel="0" collapsed="false">
      <c r="A1066" s="1" t="n">
        <v>1065</v>
      </c>
      <c r="B1066" s="5" t="str">
        <f aca="false">[1]Base_Jugadores!B1066</f>
        <v>Gianluca Scamacca</v>
      </c>
      <c r="C1066" s="5" t="str">
        <f aca="false">IFERROR(
   _xlfn.XLOOKUP(VALUE(A1066),[1]Fichajes_Realizados!A$2:A$50000,[1]Fichajes_Realizados!D$2:D$50000,,0,-1),
   _xlfn.XLOOKUP(VALUE(A1066),[1]Base_Jugadores!A$2:A$50000,[1]Base_Jugadores!C$2:C$50000)
)</f>
        <v>Atalanta BC</v>
      </c>
      <c r="D1066" s="5" t="str">
        <f aca="false">[1]Base_Jugadores!D1066</f>
        <v>Italia</v>
      </c>
      <c r="E1066" s="3"/>
      <c r="F1066" s="5" t="str">
        <f aca="false">[1]Base_Jugadores!E1066</f>
        <v>DC</v>
      </c>
      <c r="G1066" s="5" t="n">
        <f aca="false">[1]Base_Jugadores!F1066</f>
        <v>80</v>
      </c>
      <c r="H1066" s="5" t="n">
        <f aca="false">[1]Base_Jugadores!G1066</f>
        <v>26</v>
      </c>
      <c r="I1066" s="7" t="n">
        <f aca="false" t="array" ref="I1066:I1066">_xlfn.XLOOKUP(G1066,{55;56;57;58;59;60;61;62;63;64;65;66;67;68;69;70;71;72;73;74;75;76;77;78;79;80;81;82;83;84;85;86;87;88;89;90;91;92;93;94;95;96;97;98;99},{100000;130000;160000;190000;220000;250000;300000;350000;400000;450000;500000;600000;700000;800000;900000;1000000;1500000;2000000;3000000;4000000;5000000;6500000;8000000;10000000;12500000;15000000;20000000;25000000;30000000;35000000;40000000;55000000;70000000;80000000;90000000;110000000;130000000;160000000;190000000;220000000;250000000;280000000;310000000;340000000;400000000})</f>
        <v>15000000</v>
      </c>
      <c r="J1066" s="7" t="n">
        <f aca="false">I1066*S1066*T1066*U1066</f>
        <v>24840000</v>
      </c>
      <c r="K1066" s="3"/>
      <c r="L1066" s="3"/>
      <c r="M1066" s="3"/>
      <c r="N1066" s="9" t="n">
        <v>0</v>
      </c>
      <c r="O1066" s="4" t="n">
        <v>0</v>
      </c>
      <c r="P1066" s="5" t="n">
        <f aca="false">IF(COUNTIF([1]Base_Jugadores!J$2:J$500,B1066)&gt;0,1,0)</f>
        <v>0</v>
      </c>
      <c r="Q1066" s="10" t="b">
        <f aca="false">--(COUNTIFS(
   [1]Fichajes_Realizados!A$2:A$5000,A1066,
   [1]Fichajes_Realizados!G$2:G$5000,$X$3
)&gt;0)</f>
        <v>0</v>
      </c>
      <c r="R1066" s="5" t="n">
        <f aca="false">_xlfn.XLOOKUP(C1066, [1]Estado_Equipos!A$2:A$500, [1]Estado_Equipos!J$2:J$500, "")</f>
        <v>76</v>
      </c>
      <c r="S1066" s="5" t="n">
        <f aca="false">IF(H1066&lt;=16,1.45,
IF(H1066&gt;=41,0.3,
CHOOSE(ROUNDDOWN((H1066-16)/2,0)+1,
1.45,1.38,1.3,1.23,1.17,1.15,1.12,1.05,0.95,0.8,0.6,0.4,0.3)))</f>
        <v>1.15</v>
      </c>
      <c r="T1066" s="5" t="n">
        <f aca="false">CHOOSE(N1066+1,1.2,1,0.85,0.7)</f>
        <v>1.2</v>
      </c>
      <c r="U1066" s="5" t="n">
        <f aca="false">IF(F1066="PO",0.6,
IF(F1066="CT",0.75,
IF(F1066="LI",0.8,
IF(F1066="LD",0.8,
IF(F1066="MCD",0.85,
IF(F1066="MC",0.95,
IF(F1066="MO",1.05,
IF(F1066="EI",1.1,
IF(F1066="ED",1.1,
IF(F1066="SD",1.15,
IF(F1066="DC",1.2,0)))))))))))</f>
        <v>1.2</v>
      </c>
    </row>
    <row r="1067" customFormat="false" ht="16.4" hidden="false" customHeight="false" outlineLevel="0" collapsed="false">
      <c r="A1067" s="1" t="n">
        <v>1066</v>
      </c>
      <c r="B1067" s="5" t="str">
        <f aca="false">[1]Base_Jugadores!B1067</f>
        <v>Giorgio Scalvini</v>
      </c>
      <c r="C1067" s="5" t="str">
        <f aca="false">IFERROR(
   _xlfn.XLOOKUP(VALUE(A1067),[1]Fichajes_Realizados!A$2:A$50000,[1]Fichajes_Realizados!D$2:D$50000,,0,-1),
   _xlfn.XLOOKUP(VALUE(A1067),[1]Base_Jugadores!A$2:A$50000,[1]Base_Jugadores!C$2:C$50000)
)</f>
        <v>Atalanta BC</v>
      </c>
      <c r="D1067" s="5" t="str">
        <f aca="false">[1]Base_Jugadores!D1067</f>
        <v>Italia</v>
      </c>
      <c r="E1067" s="3"/>
      <c r="F1067" s="5" t="str">
        <f aca="false">[1]Base_Jugadores!E1067</f>
        <v>CT</v>
      </c>
      <c r="G1067" s="5" t="n">
        <f aca="false">[1]Base_Jugadores!F1067</f>
        <v>78</v>
      </c>
      <c r="H1067" s="5" t="n">
        <f aca="false">[1]Base_Jugadores!G1067</f>
        <v>22</v>
      </c>
      <c r="I1067" s="7" t="n">
        <f aca="false" t="array" ref="I1067:I1067">_xlfn.XLOOKUP(G1067,{55;56;57;58;59;60;61;62;63;64;65;66;67;68;69;70;71;72;73;74;75;76;77;78;79;80;81;82;83;84;85;86;87;88;89;90;91;92;93;94;95;96;97;98;99},{100000;130000;160000;190000;220000;250000;300000;350000;400000;450000;500000;600000;700000;800000;900000;1000000;1500000;2000000;3000000;4000000;5000000;6500000;8000000;10000000;12500000;15000000;20000000;25000000;30000000;35000000;40000000;55000000;70000000;80000000;90000000;110000000;130000000;160000000;190000000;220000000;250000000;280000000;310000000;340000000;400000000})</f>
        <v>10000000</v>
      </c>
      <c r="J1067" s="7" t="n">
        <f aca="false">I1067*S1067*T1067*U1067</f>
        <v>11070000</v>
      </c>
      <c r="K1067" s="3"/>
      <c r="L1067" s="3"/>
      <c r="M1067" s="3"/>
      <c r="N1067" s="9" t="n">
        <v>0</v>
      </c>
      <c r="O1067" s="4" t="n">
        <v>0</v>
      </c>
      <c r="P1067" s="5" t="n">
        <f aca="false">IF(COUNTIF([1]Base_Jugadores!J$2:J$500,B1067)&gt;0,1,0)</f>
        <v>0</v>
      </c>
      <c r="Q1067" s="10" t="b">
        <f aca="false">--(COUNTIFS(
   [1]Fichajes_Realizados!A$2:A$5000,A1067,
   [1]Fichajes_Realizados!G$2:G$5000,$X$3
)&gt;0)</f>
        <v>0</v>
      </c>
      <c r="R1067" s="5" t="n">
        <f aca="false">_xlfn.XLOOKUP(C1067, [1]Estado_Equipos!A$2:A$500, [1]Estado_Equipos!J$2:J$500, "")</f>
        <v>76</v>
      </c>
      <c r="S1067" s="5" t="n">
        <f aca="false">IF(H1067&lt;=16,1.45,
IF(H1067&gt;=41,0.3,
CHOOSE(ROUNDDOWN((H1067-16)/2,0)+1,
1.45,1.38,1.3,1.23,1.17,1.15,1.12,1.05,0.95,0.8,0.6,0.4,0.3)))</f>
        <v>1.23</v>
      </c>
      <c r="T1067" s="5" t="n">
        <f aca="false">CHOOSE(N1067+1,1.2,1,0.85,0.7)</f>
        <v>1.2</v>
      </c>
      <c r="U1067" s="5" t="n">
        <f aca="false">IF(F1067="PO",0.6,
IF(F1067="CT",0.75,
IF(F1067="LI",0.8,
IF(F1067="LD",0.8,
IF(F1067="MCD",0.85,
IF(F1067="MC",0.95,
IF(F1067="MO",1.05,
IF(F1067="EI",1.1,
IF(F1067="ED",1.1,
IF(F1067="SD",1.15,
IF(F1067="DC",1.2,0)))))))))))</f>
        <v>0.75</v>
      </c>
    </row>
    <row r="1068" customFormat="false" ht="16.4" hidden="false" customHeight="false" outlineLevel="0" collapsed="false">
      <c r="A1068" s="1" t="n">
        <v>1067</v>
      </c>
      <c r="B1068" s="5" t="str">
        <f aca="false">[1]Base_Jugadores!B1068</f>
        <v>Honest Ahanor</v>
      </c>
      <c r="C1068" s="5" t="str">
        <f aca="false">IFERROR(
   _xlfn.XLOOKUP(VALUE(A1068),[1]Fichajes_Realizados!A$2:A$50000,[1]Fichajes_Realizados!D$2:D$50000,,0,-1),
   _xlfn.XLOOKUP(VALUE(A1068),[1]Base_Jugadores!A$2:A$50000,[1]Base_Jugadores!C$2:C$50000)
)</f>
        <v>Atalanta BC</v>
      </c>
      <c r="D1068" s="5" t="str">
        <f aca="false">[1]Base_Jugadores!D1068</f>
        <v>Nigeria</v>
      </c>
      <c r="E1068" s="3"/>
      <c r="F1068" s="5" t="str">
        <f aca="false">[1]Base_Jugadores!E1068</f>
        <v>CT</v>
      </c>
      <c r="G1068" s="5" t="n">
        <f aca="false">[1]Base_Jugadores!F1068</f>
        <v>56</v>
      </c>
      <c r="H1068" s="5" t="n">
        <f aca="false">[1]Base_Jugadores!G1068</f>
        <v>17</v>
      </c>
      <c r="I1068" s="7" t="n">
        <f aca="false" t="array" ref="I1068:I1068">_xlfn.XLOOKUP(G1068,{55;56;57;58;59;60;61;62;63;64;65;66;67;68;69;70;71;72;73;74;75;76;77;78;79;80;81;82;83;84;85;86;87;88;89;90;91;92;93;94;95;96;97;98;99},{100000;130000;160000;190000;220000;250000;300000;350000;400000;450000;500000;600000;700000;800000;900000;1000000;1500000;2000000;3000000;4000000;5000000;6500000;8000000;10000000;12500000;15000000;20000000;25000000;30000000;35000000;40000000;55000000;70000000;80000000;90000000;110000000;130000000;160000000;190000000;220000000;250000000;280000000;310000000;340000000;400000000})</f>
        <v>130000</v>
      </c>
      <c r="J1068" s="7" t="n">
        <f aca="false">I1068*S1068*T1068*U1068</f>
        <v>169650</v>
      </c>
      <c r="K1068" s="3"/>
      <c r="L1068" s="3"/>
      <c r="M1068" s="3"/>
      <c r="N1068" s="9" t="n">
        <v>0</v>
      </c>
      <c r="O1068" s="4" t="n">
        <v>0</v>
      </c>
      <c r="P1068" s="5" t="n">
        <f aca="false">IF(COUNTIF([1]Base_Jugadores!J$2:J$500,B1068)&gt;0,1,0)</f>
        <v>0</v>
      </c>
      <c r="Q1068" s="10" t="b">
        <f aca="false">--(COUNTIFS(
   [1]Fichajes_Realizados!A$2:A$5000,A1068,
   [1]Fichajes_Realizados!G$2:G$5000,$X$3
)&gt;0)</f>
        <v>0</v>
      </c>
      <c r="R1068" s="5" t="n">
        <f aca="false">_xlfn.XLOOKUP(C1068, [1]Estado_Equipos!A$2:A$500, [1]Estado_Equipos!J$2:J$500, "")</f>
        <v>76</v>
      </c>
      <c r="S1068" s="5" t="n">
        <f aca="false">IF(H1068&lt;=16,1.45,
IF(H1068&gt;=41,0.3,
CHOOSE(ROUNDDOWN((H1068-16)/2,0)+1,
1.45,1.38,1.3,1.23,1.17,1.15,1.12,1.05,0.95,0.8,0.6,0.4,0.3)))</f>
        <v>1.45</v>
      </c>
      <c r="T1068" s="5" t="n">
        <f aca="false">CHOOSE(N1068+1,1.2,1,0.85,0.7)</f>
        <v>1.2</v>
      </c>
      <c r="U1068" s="5" t="n">
        <f aca="false">IF(F1068="PO",0.6,
IF(F1068="CT",0.75,
IF(F1068="LI",0.8,
IF(F1068="LD",0.8,
IF(F1068="MCD",0.85,
IF(F1068="MC",0.95,
IF(F1068="MO",1.05,
IF(F1068="EI",1.1,
IF(F1068="ED",1.1,
IF(F1068="SD",1.15,
IF(F1068="DC",1.2,0)))))))))))</f>
        <v>0.75</v>
      </c>
    </row>
    <row r="1069" customFormat="false" ht="16.4" hidden="false" customHeight="false" outlineLevel="0" collapsed="false">
      <c r="A1069" s="1" t="n">
        <v>1068</v>
      </c>
      <c r="B1069" s="5" t="str">
        <f aca="false">[1]Base_Jugadores!B1069</f>
        <v>Isak Hien</v>
      </c>
      <c r="C1069" s="5" t="str">
        <f aca="false">IFERROR(
   _xlfn.XLOOKUP(VALUE(A1069),[1]Fichajes_Realizados!A$2:A$50000,[1]Fichajes_Realizados!D$2:D$50000,,0,-1),
   _xlfn.XLOOKUP(VALUE(A1069),[1]Base_Jugadores!A$2:A$50000,[1]Base_Jugadores!C$2:C$50000)
)</f>
        <v>Atalanta BC</v>
      </c>
      <c r="D1069" s="5" t="str">
        <f aca="false">[1]Base_Jugadores!D1069</f>
        <v>Suecia</v>
      </c>
      <c r="E1069" s="3"/>
      <c r="F1069" s="5" t="str">
        <f aca="false">[1]Base_Jugadores!E1069</f>
        <v>CT</v>
      </c>
      <c r="G1069" s="5" t="n">
        <f aca="false">[1]Base_Jugadores!F1069</f>
        <v>78</v>
      </c>
      <c r="H1069" s="5" t="n">
        <f aca="false">[1]Base_Jugadores!G1069</f>
        <v>26</v>
      </c>
      <c r="I1069" s="7" t="n">
        <f aca="false" t="array" ref="I1069:I1069">_xlfn.XLOOKUP(G1069,{55;56;57;58;59;60;61;62;63;64;65;66;67;68;69;70;71;72;73;74;75;76;77;78;79;80;81;82;83;84;85;86;87;88;89;90;91;92;93;94;95;96;97;98;99},{100000;130000;160000;190000;220000;250000;300000;350000;400000;450000;500000;600000;700000;800000;900000;1000000;1500000;2000000;3000000;4000000;5000000;6500000;8000000;10000000;12500000;15000000;20000000;25000000;30000000;35000000;40000000;55000000;70000000;80000000;90000000;110000000;130000000;160000000;190000000;220000000;250000000;280000000;310000000;340000000;400000000})</f>
        <v>10000000</v>
      </c>
      <c r="J1069" s="7" t="n">
        <f aca="false">I1069*S1069*T1069*U1069</f>
        <v>10350000</v>
      </c>
      <c r="K1069" s="3"/>
      <c r="L1069" s="3"/>
      <c r="M1069" s="3"/>
      <c r="N1069" s="9" t="n">
        <v>0</v>
      </c>
      <c r="O1069" s="4" t="n">
        <v>0</v>
      </c>
      <c r="P1069" s="5" t="n">
        <f aca="false">IF(COUNTIF([1]Base_Jugadores!J$2:J$500,B1069)&gt;0,1,0)</f>
        <v>0</v>
      </c>
      <c r="Q1069" s="10" t="b">
        <f aca="false">--(COUNTIFS(
   [1]Fichajes_Realizados!A$2:A$5000,A1069,
   [1]Fichajes_Realizados!G$2:G$5000,$X$3
)&gt;0)</f>
        <v>0</v>
      </c>
      <c r="R1069" s="5" t="n">
        <f aca="false">_xlfn.XLOOKUP(C1069, [1]Estado_Equipos!A$2:A$500, [1]Estado_Equipos!J$2:J$500, "")</f>
        <v>76</v>
      </c>
      <c r="S1069" s="5" t="n">
        <f aca="false">IF(H1069&lt;=16,1.45,
IF(H1069&gt;=41,0.3,
CHOOSE(ROUNDDOWN((H1069-16)/2,0)+1,
1.45,1.38,1.3,1.23,1.17,1.15,1.12,1.05,0.95,0.8,0.6,0.4,0.3)))</f>
        <v>1.15</v>
      </c>
      <c r="T1069" s="5" t="n">
        <f aca="false">CHOOSE(N1069+1,1.2,1,0.85,0.7)</f>
        <v>1.2</v>
      </c>
      <c r="U1069" s="5" t="n">
        <f aca="false">IF(F1069="PO",0.6,
IF(F1069="CT",0.75,
IF(F1069="LI",0.8,
IF(F1069="LD",0.8,
IF(F1069="MCD",0.85,
IF(F1069="MC",0.95,
IF(F1069="MO",1.05,
IF(F1069="EI",1.1,
IF(F1069="ED",1.1,
IF(F1069="SD",1.15,
IF(F1069="DC",1.2,0)))))))))))</f>
        <v>0.75</v>
      </c>
    </row>
    <row r="1070" customFormat="false" ht="16.4" hidden="false" customHeight="false" outlineLevel="0" collapsed="false">
      <c r="A1070" s="1" t="n">
        <v>1069</v>
      </c>
      <c r="B1070" s="5" t="str">
        <f aca="false">[1]Base_Jugadores!B1070</f>
        <v>K. Sulemana</v>
      </c>
      <c r="C1070" s="5" t="str">
        <f aca="false">IFERROR(
   _xlfn.XLOOKUP(VALUE(A1070),[1]Fichajes_Realizados!A$2:A$50000,[1]Fichajes_Realizados!D$2:D$50000,,0,-1),
   _xlfn.XLOOKUP(VALUE(A1070),[1]Base_Jugadores!A$2:A$50000,[1]Base_Jugadores!C$2:C$50000)
)</f>
        <v>Atalanta BC</v>
      </c>
      <c r="D1070" s="5" t="str">
        <f aca="false">[1]Base_Jugadores!D1070</f>
        <v>Ghana</v>
      </c>
      <c r="E1070" s="3"/>
      <c r="F1070" s="5" t="str">
        <f aca="false">[1]Base_Jugadores!E1070</f>
        <v>EI</v>
      </c>
      <c r="G1070" s="5" t="n">
        <f aca="false">[1]Base_Jugadores!F1070</f>
        <v>71</v>
      </c>
      <c r="H1070" s="5" t="n">
        <f aca="false">[1]Base_Jugadores!G1070</f>
        <v>23</v>
      </c>
      <c r="I1070" s="7" t="n">
        <f aca="false" t="array" ref="I1070:I1070">_xlfn.XLOOKUP(G1070,{55;56;57;58;59;60;61;62;63;64;65;66;67;68;69;70;71;72;73;74;75;76;77;78;79;80;81;82;83;84;85;86;87;88;89;90;91;92;93;94;95;96;97;98;99},{100000;130000;160000;190000;220000;250000;300000;350000;400000;450000;500000;600000;700000;800000;900000;1000000;1500000;2000000;3000000;4000000;5000000;6500000;8000000;10000000;12500000;15000000;20000000;25000000;30000000;35000000;40000000;55000000;70000000;80000000;90000000;110000000;130000000;160000000;190000000;220000000;250000000;280000000;310000000;340000000;400000000})</f>
        <v>1500000</v>
      </c>
      <c r="J1070" s="7" t="n">
        <f aca="false">I1070*S1070*T1070*U1070</f>
        <v>2435400</v>
      </c>
      <c r="K1070" s="3"/>
      <c r="L1070" s="3"/>
      <c r="M1070" s="3"/>
      <c r="N1070" s="9" t="n">
        <v>0</v>
      </c>
      <c r="O1070" s="4" t="n">
        <v>0</v>
      </c>
      <c r="P1070" s="5" t="n">
        <f aca="false">IF(COUNTIF([1]Base_Jugadores!J$2:J$500,B1070)&gt;0,1,0)</f>
        <v>0</v>
      </c>
      <c r="Q1070" s="10" t="b">
        <f aca="false">--(COUNTIFS(
   [1]Fichajes_Realizados!A$2:A$5000,A1070,
   [1]Fichajes_Realizados!G$2:G$5000,$X$3
)&gt;0)</f>
        <v>0</v>
      </c>
      <c r="R1070" s="5" t="n">
        <f aca="false">_xlfn.XLOOKUP(C1070, [1]Estado_Equipos!A$2:A$500, [1]Estado_Equipos!J$2:J$500, "")</f>
        <v>76</v>
      </c>
      <c r="S1070" s="5" t="n">
        <f aca="false">IF(H1070&lt;=16,1.45,
IF(H1070&gt;=41,0.3,
CHOOSE(ROUNDDOWN((H1070-16)/2,0)+1,
1.45,1.38,1.3,1.23,1.17,1.15,1.12,1.05,0.95,0.8,0.6,0.4,0.3)))</f>
        <v>1.23</v>
      </c>
      <c r="T1070" s="5" t="n">
        <f aca="false">CHOOSE(N1070+1,1.2,1,0.85,0.7)</f>
        <v>1.2</v>
      </c>
      <c r="U1070" s="5" t="n">
        <f aca="false">IF(F1070="PO",0.6,
IF(F1070="CT",0.75,
IF(F1070="LI",0.8,
IF(F1070="LD",0.8,
IF(F1070="MCD",0.85,
IF(F1070="MC",0.95,
IF(F1070="MO",1.05,
IF(F1070="EI",1.1,
IF(F1070="ED",1.1,
IF(F1070="SD",1.15,
IF(F1070="DC",1.2,0)))))))))))</f>
        <v>1.1</v>
      </c>
    </row>
    <row r="1071" customFormat="false" ht="16.4" hidden="false" customHeight="false" outlineLevel="0" collapsed="false">
      <c r="A1071" s="1" t="n">
        <v>1070</v>
      </c>
      <c r="B1071" s="5" t="str">
        <f aca="false">[1]Base_Jugadores!B1071</f>
        <v>Lazar Samardžić</v>
      </c>
      <c r="C1071" s="5" t="str">
        <f aca="false">IFERROR(
   _xlfn.XLOOKUP(VALUE(A1071),[1]Fichajes_Realizados!A$2:A$50000,[1]Fichajes_Realizados!D$2:D$50000,,0,-1),
   _xlfn.XLOOKUP(VALUE(A1071),[1]Base_Jugadores!A$2:A$50000,[1]Base_Jugadores!C$2:C$50000)
)</f>
        <v>Atalanta BC</v>
      </c>
      <c r="D1071" s="5" t="str">
        <f aca="false">[1]Base_Jugadores!D1071</f>
        <v>Serbia</v>
      </c>
      <c r="E1071" s="3"/>
      <c r="F1071" s="5" t="str">
        <f aca="false">[1]Base_Jugadores!E1071</f>
        <v>MO</v>
      </c>
      <c r="G1071" s="5" t="n">
        <f aca="false">[1]Base_Jugadores!F1071</f>
        <v>75</v>
      </c>
      <c r="H1071" s="5" t="n">
        <f aca="false">[1]Base_Jugadores!G1071</f>
        <v>23</v>
      </c>
      <c r="I1071" s="7" t="n">
        <f aca="false" t="array" ref="I1071:I1071">_xlfn.XLOOKUP(G1071,{55;56;57;58;59;60;61;62;63;64;65;66;67;68;69;70;71;72;73;74;75;76;77;78;79;80;81;82;83;84;85;86;87;88;89;90;91;92;93;94;95;96;97;98;99},{100000;130000;160000;190000;220000;250000;300000;350000;400000;450000;500000;600000;700000;800000;900000;1000000;1500000;2000000;3000000;4000000;5000000;6500000;8000000;10000000;12500000;15000000;20000000;25000000;30000000;35000000;40000000;55000000;70000000;80000000;90000000;110000000;130000000;160000000;190000000;220000000;250000000;280000000;310000000;340000000;400000000})</f>
        <v>5000000</v>
      </c>
      <c r="J1071" s="7" t="n">
        <f aca="false">I1071*S1071*T1071*U1071</f>
        <v>7749000</v>
      </c>
      <c r="K1071" s="3"/>
      <c r="L1071" s="3"/>
      <c r="M1071" s="3"/>
      <c r="N1071" s="9" t="n">
        <v>0</v>
      </c>
      <c r="O1071" s="4" t="n">
        <v>0</v>
      </c>
      <c r="P1071" s="5" t="n">
        <f aca="false">IF(COUNTIF([1]Base_Jugadores!J$2:J$500,B1071)&gt;0,1,0)</f>
        <v>0</v>
      </c>
      <c r="Q1071" s="10" t="b">
        <f aca="false">--(COUNTIFS(
   [1]Fichajes_Realizados!A$2:A$5000,A1071,
   [1]Fichajes_Realizados!G$2:G$5000,$X$3
)&gt;0)</f>
        <v>0</v>
      </c>
      <c r="R1071" s="5" t="n">
        <f aca="false">_xlfn.XLOOKUP(C1071, [1]Estado_Equipos!A$2:A$500, [1]Estado_Equipos!J$2:J$500, "")</f>
        <v>76</v>
      </c>
      <c r="S1071" s="5" t="n">
        <f aca="false">IF(H1071&lt;=16,1.45,
IF(H1071&gt;=41,0.3,
CHOOSE(ROUNDDOWN((H1071-16)/2,0)+1,
1.45,1.38,1.3,1.23,1.17,1.15,1.12,1.05,0.95,0.8,0.6,0.4,0.3)))</f>
        <v>1.23</v>
      </c>
      <c r="T1071" s="5" t="n">
        <f aca="false">CHOOSE(N1071+1,1.2,1,0.85,0.7)</f>
        <v>1.2</v>
      </c>
      <c r="U1071" s="5" t="n">
        <f aca="false">IF(F1071="PO",0.6,
IF(F1071="CT",0.75,
IF(F1071="LI",0.8,
IF(F1071="LD",0.8,
IF(F1071="MCD",0.85,
IF(F1071="MC",0.95,
IF(F1071="MO",1.05,
IF(F1071="EI",1.1,
IF(F1071="ED",1.1,
IF(F1071="SD",1.15,
IF(F1071="DC",1.2,0)))))))))))</f>
        <v>1.05</v>
      </c>
    </row>
    <row r="1072" customFormat="false" ht="16.4" hidden="false" customHeight="false" outlineLevel="0" collapsed="false">
      <c r="A1072" s="1" t="n">
        <v>1071</v>
      </c>
      <c r="B1072" s="5" t="str">
        <f aca="false">[1]Base_Jugadores!B1072</f>
        <v>Marco Brescianini</v>
      </c>
      <c r="C1072" s="5" t="str">
        <f aca="false">IFERROR(
   _xlfn.XLOOKUP(VALUE(A1072),[1]Fichajes_Realizados!A$2:A$50000,[1]Fichajes_Realizados!D$2:D$50000,,0,-1),
   _xlfn.XLOOKUP(VALUE(A1072),[1]Base_Jugadores!A$2:A$50000,[1]Base_Jugadores!C$2:C$50000)
)</f>
        <v>Atalanta BC</v>
      </c>
      <c r="D1072" s="5" t="str">
        <f aca="false">[1]Base_Jugadores!D1072</f>
        <v>Italia</v>
      </c>
      <c r="E1072" s="3"/>
      <c r="F1072" s="5" t="str">
        <f aca="false">[1]Base_Jugadores!E1072</f>
        <v>MC</v>
      </c>
      <c r="G1072" s="5" t="n">
        <f aca="false">[1]Base_Jugadores!F1072</f>
        <v>72</v>
      </c>
      <c r="H1072" s="5" t="n">
        <f aca="false">[1]Base_Jugadores!G1072</f>
        <v>25</v>
      </c>
      <c r="I1072" s="7" t="n">
        <f aca="false" t="array" ref="I1072:I1072">_xlfn.XLOOKUP(G1072,{55;56;57;58;59;60;61;62;63;64;65;66;67;68;69;70;71;72;73;74;75;76;77;78;79;80;81;82;83;84;85;86;87;88;89;90;91;92;93;94;95;96;97;98;99},{100000;130000;160000;190000;220000;250000;300000;350000;400000;450000;500000;600000;700000;800000;900000;1000000;1500000;2000000;3000000;4000000;5000000;6500000;8000000;10000000;12500000;15000000;20000000;25000000;30000000;35000000;40000000;55000000;70000000;80000000;90000000;110000000;130000000;160000000;190000000;220000000;250000000;280000000;310000000;340000000;400000000})</f>
        <v>2000000</v>
      </c>
      <c r="J1072" s="7" t="n">
        <f aca="false">I1072*S1072*T1072*U1072</f>
        <v>2667600</v>
      </c>
      <c r="K1072" s="3"/>
      <c r="L1072" s="3"/>
      <c r="M1072" s="3"/>
      <c r="N1072" s="9" t="n">
        <v>0</v>
      </c>
      <c r="O1072" s="4" t="n">
        <v>0</v>
      </c>
      <c r="P1072" s="5" t="n">
        <f aca="false">IF(COUNTIF([1]Base_Jugadores!J$2:J$500,B1072)&gt;0,1,0)</f>
        <v>0</v>
      </c>
      <c r="Q1072" s="10" t="b">
        <f aca="false">--(COUNTIFS(
   [1]Fichajes_Realizados!A$2:A$5000,A1072,
   [1]Fichajes_Realizados!G$2:G$5000,$X$3
)&gt;0)</f>
        <v>0</v>
      </c>
      <c r="R1072" s="5" t="n">
        <f aca="false">_xlfn.XLOOKUP(C1072, [1]Estado_Equipos!A$2:A$500, [1]Estado_Equipos!J$2:J$500, "")</f>
        <v>76</v>
      </c>
      <c r="S1072" s="5" t="n">
        <f aca="false">IF(H1072&lt;=16,1.45,
IF(H1072&gt;=41,0.3,
CHOOSE(ROUNDDOWN((H1072-16)/2,0)+1,
1.45,1.38,1.3,1.23,1.17,1.15,1.12,1.05,0.95,0.8,0.6,0.4,0.3)))</f>
        <v>1.17</v>
      </c>
      <c r="T1072" s="5" t="n">
        <f aca="false">CHOOSE(N1072+1,1.2,1,0.85,0.7)</f>
        <v>1.2</v>
      </c>
      <c r="U1072" s="5" t="n">
        <f aca="false">IF(F1072="PO",0.6,
IF(F1072="CT",0.75,
IF(F1072="LI",0.8,
IF(F1072="LD",0.8,
IF(F1072="MCD",0.85,
IF(F1072="MC",0.95,
IF(F1072="MO",1.05,
IF(F1072="EI",1.1,
IF(F1072="ED",1.1,
IF(F1072="SD",1.15,
IF(F1072="DC",1.2,0)))))))))))</f>
        <v>0.95</v>
      </c>
    </row>
    <row r="1073" customFormat="false" ht="16.4" hidden="false" customHeight="false" outlineLevel="0" collapsed="false">
      <c r="A1073" s="1" t="n">
        <v>1072</v>
      </c>
      <c r="B1073" s="5" t="str">
        <f aca="false">[1]Base_Jugadores!B1073</f>
        <v>Marco Carnesecchi</v>
      </c>
      <c r="C1073" s="5" t="str">
        <f aca="false">IFERROR(
   _xlfn.XLOOKUP(VALUE(A1073),[1]Fichajes_Realizados!A$2:A$50000,[1]Fichajes_Realizados!D$2:D$50000,,0,-1),
   _xlfn.XLOOKUP(VALUE(A1073),[1]Base_Jugadores!A$2:A$50000,[1]Base_Jugadores!C$2:C$50000)
)</f>
        <v>Atalanta BC</v>
      </c>
      <c r="D1073" s="5" t="str">
        <f aca="false">[1]Base_Jugadores!D1073</f>
        <v>Italia</v>
      </c>
      <c r="E1073" s="3"/>
      <c r="F1073" s="5" t="str">
        <f aca="false">[1]Base_Jugadores!E1073</f>
        <v>PO</v>
      </c>
      <c r="G1073" s="5" t="n">
        <f aca="false">[1]Base_Jugadores!F1073</f>
        <v>82</v>
      </c>
      <c r="H1073" s="5" t="n">
        <f aca="false">[1]Base_Jugadores!G1073</f>
        <v>25</v>
      </c>
      <c r="I1073" s="7" t="n">
        <f aca="false" t="array" ref="I1073:I1073">_xlfn.XLOOKUP(G1073,{55;56;57;58;59;60;61;62;63;64;65;66;67;68;69;70;71;72;73;74;75;76;77;78;79;80;81;82;83;84;85;86;87;88;89;90;91;92;93;94;95;96;97;98;99},{100000;130000;160000;190000;220000;250000;300000;350000;400000;450000;500000;600000;700000;800000;900000;1000000;1500000;2000000;3000000;4000000;5000000;6500000;8000000;10000000;12500000;15000000;20000000;25000000;30000000;35000000;40000000;55000000;70000000;80000000;90000000;110000000;130000000;160000000;190000000;220000000;250000000;280000000;310000000;340000000;400000000})</f>
        <v>25000000</v>
      </c>
      <c r="J1073" s="7" t="n">
        <f aca="false">I1073*S1073*T1073*U1073</f>
        <v>21060000</v>
      </c>
      <c r="K1073" s="3"/>
      <c r="L1073" s="3"/>
      <c r="M1073" s="3"/>
      <c r="N1073" s="9" t="n">
        <v>0</v>
      </c>
      <c r="O1073" s="4" t="n">
        <v>0</v>
      </c>
      <c r="P1073" s="5" t="n">
        <f aca="false">IF(COUNTIF([1]Base_Jugadores!J$2:J$500,B1073)&gt;0,1,0)</f>
        <v>0</v>
      </c>
      <c r="Q1073" s="10" t="b">
        <f aca="false">--(COUNTIFS(
   [1]Fichajes_Realizados!A$2:A$5000,A1073,
   [1]Fichajes_Realizados!G$2:G$5000,$X$3
)&gt;0)</f>
        <v>0</v>
      </c>
      <c r="R1073" s="5" t="n">
        <f aca="false">_xlfn.XLOOKUP(C1073, [1]Estado_Equipos!A$2:A$500, [1]Estado_Equipos!J$2:J$500, "")</f>
        <v>76</v>
      </c>
      <c r="S1073" s="5" t="n">
        <f aca="false">IF(H1073&lt;=16,1.45,
IF(H1073&gt;=41,0.3,
CHOOSE(ROUNDDOWN((H1073-16)/2,0)+1,
1.45,1.38,1.3,1.23,1.17,1.15,1.12,1.05,0.95,0.8,0.6,0.4,0.3)))</f>
        <v>1.17</v>
      </c>
      <c r="T1073" s="5" t="n">
        <f aca="false">CHOOSE(N1073+1,1.2,1,0.85,0.7)</f>
        <v>1.2</v>
      </c>
      <c r="U1073" s="5" t="n">
        <f aca="false">IF(F1073="PO",0.6,
IF(F1073="CT",0.75,
IF(F1073="LI",0.8,
IF(F1073="LD",0.8,
IF(F1073="MCD",0.85,
IF(F1073="MC",0.95,
IF(F1073="MO",1.05,
IF(F1073="EI",1.1,
IF(F1073="ED",1.1,
IF(F1073="SD",1.15,
IF(F1073="DC",1.2,0)))))))))))</f>
        <v>0.6</v>
      </c>
    </row>
    <row r="1074" customFormat="false" ht="16.4" hidden="false" customHeight="false" outlineLevel="0" collapsed="false">
      <c r="A1074" s="1" t="n">
        <v>1073</v>
      </c>
      <c r="B1074" s="5" t="str">
        <f aca="false">[1]Base_Jugadores!B1074</f>
        <v>Marco Sportiello</v>
      </c>
      <c r="C1074" s="5" t="str">
        <f aca="false">IFERROR(
   _xlfn.XLOOKUP(VALUE(A1074),[1]Fichajes_Realizados!A$2:A$50000,[1]Fichajes_Realizados!D$2:D$50000,,0,-1),
   _xlfn.XLOOKUP(VALUE(A1074),[1]Base_Jugadores!A$2:A$50000,[1]Base_Jugadores!C$2:C$50000)
)</f>
        <v>Atalanta BC</v>
      </c>
      <c r="D1074" s="5" t="str">
        <f aca="false">[1]Base_Jugadores!D1074</f>
        <v>Italia</v>
      </c>
      <c r="E1074" s="3"/>
      <c r="F1074" s="5" t="str">
        <f aca="false">[1]Base_Jugadores!E1074</f>
        <v>PO</v>
      </c>
      <c r="G1074" s="5" t="n">
        <f aca="false">[1]Base_Jugadores!F1074</f>
        <v>77</v>
      </c>
      <c r="H1074" s="5" t="n">
        <f aca="false">[1]Base_Jugadores!G1074</f>
        <v>33</v>
      </c>
      <c r="I1074" s="7" t="n">
        <f aca="false" t="array" ref="I1074:I1074">_xlfn.XLOOKUP(G1074,{55;56;57;58;59;60;61;62;63;64;65;66;67;68;69;70;71;72;73;74;75;76;77;78;79;80;81;82;83;84;85;86;87;88;89;90;91;92;93;94;95;96;97;98;99},{100000;130000;160000;190000;220000;250000;300000;350000;400000;450000;500000;600000;700000;800000;900000;1000000;1500000;2000000;3000000;4000000;5000000;6500000;8000000;10000000;12500000;15000000;20000000;25000000;30000000;35000000;40000000;55000000;70000000;80000000;90000000;110000000;130000000;160000000;190000000;220000000;250000000;280000000;310000000;340000000;400000000})</f>
        <v>8000000</v>
      </c>
      <c r="J1074" s="7" t="n">
        <f aca="false">I1074*S1074*T1074*U1074</f>
        <v>5472000</v>
      </c>
      <c r="K1074" s="3"/>
      <c r="L1074" s="3"/>
      <c r="M1074" s="3"/>
      <c r="N1074" s="9" t="n">
        <v>0</v>
      </c>
      <c r="O1074" s="4" t="n">
        <v>0</v>
      </c>
      <c r="P1074" s="5" t="n">
        <f aca="false">IF(COUNTIF([1]Base_Jugadores!J$2:J$500,B1074)&gt;0,1,0)</f>
        <v>0</v>
      </c>
      <c r="Q1074" s="10" t="b">
        <f aca="false">--(COUNTIFS(
   [1]Fichajes_Realizados!A$2:A$5000,A1074,
   [1]Fichajes_Realizados!G$2:G$5000,$X$3
)&gt;0)</f>
        <v>0</v>
      </c>
      <c r="R1074" s="5" t="n">
        <f aca="false">_xlfn.XLOOKUP(C1074, [1]Estado_Equipos!A$2:A$500, [1]Estado_Equipos!J$2:J$500, "")</f>
        <v>76</v>
      </c>
      <c r="S1074" s="5" t="n">
        <f aca="false">IF(H1074&lt;=16,1.45,
IF(H1074&gt;=41,0.3,
CHOOSE(ROUNDDOWN((H1074-16)/2,0)+1,
1.45,1.38,1.3,1.23,1.17,1.15,1.12,1.05,0.95,0.8,0.6,0.4,0.3)))</f>
        <v>0.95</v>
      </c>
      <c r="T1074" s="5" t="n">
        <f aca="false">CHOOSE(N1074+1,1.2,1,0.85,0.7)</f>
        <v>1.2</v>
      </c>
      <c r="U1074" s="5" t="n">
        <f aca="false">IF(F1074="PO",0.6,
IF(F1074="CT",0.75,
IF(F1074="LI",0.8,
IF(F1074="LD",0.8,
IF(F1074="MCD",0.85,
IF(F1074="MC",0.95,
IF(F1074="MO",1.05,
IF(F1074="EI",1.1,
IF(F1074="ED",1.1,
IF(F1074="SD",1.15,
IF(F1074="DC",1.2,0)))))))))))</f>
        <v>0.6</v>
      </c>
    </row>
    <row r="1075" customFormat="false" ht="16.4" hidden="false" customHeight="false" outlineLevel="0" collapsed="false">
      <c r="A1075" s="1" t="n">
        <v>1074</v>
      </c>
      <c r="B1075" s="5" t="str">
        <f aca="false">[1]Base_Jugadores!B1075</f>
        <v>Mario Pašalić</v>
      </c>
      <c r="C1075" s="5" t="str">
        <f aca="false">IFERROR(
   _xlfn.XLOOKUP(VALUE(A1075),[1]Fichajes_Realizados!A$2:A$50000,[1]Fichajes_Realizados!D$2:D$50000,,0,-1),
   _xlfn.XLOOKUP(VALUE(A1075),[1]Base_Jugadores!A$2:A$50000,[1]Base_Jugadores!C$2:C$50000)
)</f>
        <v>Atalanta BC</v>
      </c>
      <c r="D1075" s="5" t="str">
        <f aca="false">[1]Base_Jugadores!D1075</f>
        <v>Croacia</v>
      </c>
      <c r="E1075" s="3"/>
      <c r="F1075" s="5" t="str">
        <f aca="false">[1]Base_Jugadores!E1075</f>
        <v>MC</v>
      </c>
      <c r="G1075" s="5" t="n">
        <f aca="false">[1]Base_Jugadores!F1075</f>
        <v>80</v>
      </c>
      <c r="H1075" s="5" t="n">
        <f aca="false">[1]Base_Jugadores!G1075</f>
        <v>30</v>
      </c>
      <c r="I1075" s="7" t="n">
        <f aca="false" t="array" ref="I1075:I1075">_xlfn.XLOOKUP(G1075,{55;56;57;58;59;60;61;62;63;64;65;66;67;68;69;70;71;72;73;74;75;76;77;78;79;80;81;82;83;84;85;86;87;88;89;90;91;92;93;94;95;96;97;98;99},{100000;130000;160000;190000;220000;250000;300000;350000;400000;450000;500000;600000;700000;800000;900000;1000000;1500000;2000000;3000000;4000000;5000000;6500000;8000000;10000000;12500000;15000000;20000000;25000000;30000000;35000000;40000000;55000000;70000000;80000000;90000000;110000000;130000000;160000000;190000000;220000000;250000000;280000000;310000000;340000000;400000000})</f>
        <v>15000000</v>
      </c>
      <c r="J1075" s="7" t="n">
        <f aca="false">I1075*S1075*T1075*U1075</f>
        <v>17955000</v>
      </c>
      <c r="K1075" s="3"/>
      <c r="L1075" s="3"/>
      <c r="M1075" s="3"/>
      <c r="N1075" s="9" t="n">
        <v>0</v>
      </c>
      <c r="O1075" s="4" t="n">
        <v>0</v>
      </c>
      <c r="P1075" s="5" t="n">
        <f aca="false">IF(COUNTIF([1]Base_Jugadores!J$2:J$500,B1075)&gt;0,1,0)</f>
        <v>0</v>
      </c>
      <c r="Q1075" s="10" t="b">
        <f aca="false">--(COUNTIFS(
   [1]Fichajes_Realizados!A$2:A$5000,A1075,
   [1]Fichajes_Realizados!G$2:G$5000,$X$3
)&gt;0)</f>
        <v>0</v>
      </c>
      <c r="R1075" s="5" t="n">
        <f aca="false">_xlfn.XLOOKUP(C1075, [1]Estado_Equipos!A$2:A$500, [1]Estado_Equipos!J$2:J$500, "")</f>
        <v>76</v>
      </c>
      <c r="S1075" s="5" t="n">
        <f aca="false">IF(H1075&lt;=16,1.45,
IF(H1075&gt;=41,0.3,
CHOOSE(ROUNDDOWN((H1075-16)/2,0)+1,
1.45,1.38,1.3,1.23,1.17,1.15,1.12,1.05,0.95,0.8,0.6,0.4,0.3)))</f>
        <v>1.05</v>
      </c>
      <c r="T1075" s="5" t="n">
        <f aca="false">CHOOSE(N1075+1,1.2,1,0.85,0.7)</f>
        <v>1.2</v>
      </c>
      <c r="U1075" s="5" t="n">
        <f aca="false">IF(F1075="PO",0.6,
IF(F1075="CT",0.75,
IF(F1075="LI",0.8,
IF(F1075="LD",0.8,
IF(F1075="MCD",0.85,
IF(F1075="MC",0.95,
IF(F1075="MO",1.05,
IF(F1075="EI",1.1,
IF(F1075="ED",1.1,
IF(F1075="SD",1.15,
IF(F1075="DC",1.2,0)))))))))))</f>
        <v>0.95</v>
      </c>
    </row>
    <row r="1076" customFormat="false" ht="16.4" hidden="false" customHeight="false" outlineLevel="0" collapsed="false">
      <c r="A1076" s="1" t="n">
        <v>1075</v>
      </c>
      <c r="B1076" s="5" t="str">
        <f aca="false">[1]Base_Jugadores!B1076</f>
        <v>Marten de Roon</v>
      </c>
      <c r="C1076" s="5" t="str">
        <f aca="false">IFERROR(
   _xlfn.XLOOKUP(VALUE(A1076),[1]Fichajes_Realizados!A$2:A$50000,[1]Fichajes_Realizados!D$2:D$50000,,0,-1),
   _xlfn.XLOOKUP(VALUE(A1076),[1]Base_Jugadores!A$2:A$50000,[1]Base_Jugadores!C$2:C$50000)
)</f>
        <v>Atalanta BC</v>
      </c>
      <c r="D1076" s="5" t="str">
        <f aca="false">[1]Base_Jugadores!D1076</f>
        <v>Países Bajos</v>
      </c>
      <c r="E1076" s="3"/>
      <c r="F1076" s="5" t="str">
        <f aca="false">[1]Base_Jugadores!E1076</f>
        <v>MCD</v>
      </c>
      <c r="G1076" s="5" t="n">
        <f aca="false">[1]Base_Jugadores!F1076</f>
        <v>80</v>
      </c>
      <c r="H1076" s="5" t="n">
        <f aca="false">[1]Base_Jugadores!G1076</f>
        <v>34</v>
      </c>
      <c r="I1076" s="7" t="n">
        <f aca="false" t="array" ref="I1076:I1076">_xlfn.XLOOKUP(G1076,{55;56;57;58;59;60;61;62;63;64;65;66;67;68;69;70;71;72;73;74;75;76;77;78;79;80;81;82;83;84;85;86;87;88;89;90;91;92;93;94;95;96;97;98;99},{100000;130000;160000;190000;220000;250000;300000;350000;400000;450000;500000;600000;700000;800000;900000;1000000;1500000;2000000;3000000;4000000;5000000;6500000;8000000;10000000;12500000;15000000;20000000;25000000;30000000;35000000;40000000;55000000;70000000;80000000;90000000;110000000;130000000;160000000;190000000;220000000;250000000;280000000;310000000;340000000;400000000})</f>
        <v>15000000</v>
      </c>
      <c r="J1076" s="7" t="n">
        <f aca="false">I1076*S1076*T1076*U1076</f>
        <v>12240000</v>
      </c>
      <c r="K1076" s="3"/>
      <c r="L1076" s="3"/>
      <c r="M1076" s="3"/>
      <c r="N1076" s="9" t="n">
        <v>0</v>
      </c>
      <c r="O1076" s="4" t="n">
        <v>0</v>
      </c>
      <c r="P1076" s="5" t="n">
        <f aca="false">IF(COUNTIF([1]Base_Jugadores!J$2:J$500,B1076)&gt;0,1,0)</f>
        <v>0</v>
      </c>
      <c r="Q1076" s="10" t="b">
        <f aca="false">--(COUNTIFS(
   [1]Fichajes_Realizados!A$2:A$5000,A1076,
   [1]Fichajes_Realizados!G$2:G$5000,$X$3
)&gt;0)</f>
        <v>0</v>
      </c>
      <c r="R1076" s="5" t="n">
        <f aca="false">_xlfn.XLOOKUP(C1076, [1]Estado_Equipos!A$2:A$500, [1]Estado_Equipos!J$2:J$500, "")</f>
        <v>76</v>
      </c>
      <c r="S1076" s="5" t="n">
        <f aca="false">IF(H1076&lt;=16,1.45,
IF(H1076&gt;=41,0.3,
CHOOSE(ROUNDDOWN((H1076-16)/2,0)+1,
1.45,1.38,1.3,1.23,1.17,1.15,1.12,1.05,0.95,0.8,0.6,0.4,0.3)))</f>
        <v>0.8</v>
      </c>
      <c r="T1076" s="5" t="n">
        <f aca="false">CHOOSE(N1076+1,1.2,1,0.85,0.7)</f>
        <v>1.2</v>
      </c>
      <c r="U1076" s="5" t="n">
        <f aca="false">IF(F1076="PO",0.6,
IF(F1076="CT",0.75,
IF(F1076="LI",0.8,
IF(F1076="LD",0.8,
IF(F1076="MCD",0.85,
IF(F1076="MC",0.95,
IF(F1076="MO",1.05,
IF(F1076="EI",1.1,
IF(F1076="ED",1.1,
IF(F1076="SD",1.15,
IF(F1076="DC",1.2,0)))))))))))</f>
        <v>0.85</v>
      </c>
    </row>
    <row r="1077" customFormat="false" ht="16.4" hidden="false" customHeight="false" outlineLevel="0" collapsed="false">
      <c r="A1077" s="1" t="n">
        <v>1076</v>
      </c>
      <c r="B1077" s="5" t="str">
        <f aca="false">[1]Base_Jugadores!B1077</f>
        <v>Mitchel Bakker</v>
      </c>
      <c r="C1077" s="5" t="str">
        <f aca="false">IFERROR(
   _xlfn.XLOOKUP(VALUE(A1077),[1]Fichajes_Realizados!A$2:A$50000,[1]Fichajes_Realizados!D$2:D$50000,,0,-1),
   _xlfn.XLOOKUP(VALUE(A1077),[1]Base_Jugadores!A$2:A$50000,[1]Base_Jugadores!C$2:C$50000)
)</f>
        <v>Atalanta BC</v>
      </c>
      <c r="D1077" s="5" t="str">
        <f aca="false">[1]Base_Jugadores!D1077</f>
        <v>Países Bajos</v>
      </c>
      <c r="E1077" s="3"/>
      <c r="F1077" s="5" t="str">
        <f aca="false">[1]Base_Jugadores!E1077</f>
        <v>EI</v>
      </c>
      <c r="G1077" s="5" t="n">
        <f aca="false">[1]Base_Jugadores!F1077</f>
        <v>71</v>
      </c>
      <c r="H1077" s="5" t="n">
        <f aca="false">[1]Base_Jugadores!G1077</f>
        <v>25</v>
      </c>
      <c r="I1077" s="7" t="n">
        <f aca="false" t="array" ref="I1077:I1077">_xlfn.XLOOKUP(G1077,{55;56;57;58;59;60;61;62;63;64;65;66;67;68;69;70;71;72;73;74;75;76;77;78;79;80;81;82;83;84;85;86;87;88;89;90;91;92;93;94;95;96;97;98;99},{100000;130000;160000;190000;220000;250000;300000;350000;400000;450000;500000;600000;700000;800000;900000;1000000;1500000;2000000;3000000;4000000;5000000;6500000;8000000;10000000;12500000;15000000;20000000;25000000;30000000;35000000;40000000;55000000;70000000;80000000;90000000;110000000;130000000;160000000;190000000;220000000;250000000;280000000;310000000;340000000;400000000})</f>
        <v>1500000</v>
      </c>
      <c r="J1077" s="7" t="n">
        <f aca="false">I1077*S1077*T1077*U1077</f>
        <v>2316600</v>
      </c>
      <c r="K1077" s="3"/>
      <c r="L1077" s="3"/>
      <c r="M1077" s="3"/>
      <c r="N1077" s="9" t="n">
        <v>0</v>
      </c>
      <c r="O1077" s="4" t="n">
        <v>0</v>
      </c>
      <c r="P1077" s="5" t="n">
        <f aca="false">IF(COUNTIF([1]Base_Jugadores!J$2:J$500,B1077)&gt;0,1,0)</f>
        <v>0</v>
      </c>
      <c r="Q1077" s="10" t="b">
        <f aca="false">--(COUNTIFS(
   [1]Fichajes_Realizados!A$2:A$5000,A1077,
   [1]Fichajes_Realizados!G$2:G$5000,$X$3
)&gt;0)</f>
        <v>0</v>
      </c>
      <c r="R1077" s="5" t="n">
        <f aca="false">_xlfn.XLOOKUP(C1077, [1]Estado_Equipos!A$2:A$500, [1]Estado_Equipos!J$2:J$500, "")</f>
        <v>76</v>
      </c>
      <c r="S1077" s="5" t="n">
        <f aca="false">IF(H1077&lt;=16,1.45,
IF(H1077&gt;=41,0.3,
CHOOSE(ROUNDDOWN((H1077-16)/2,0)+1,
1.45,1.38,1.3,1.23,1.17,1.15,1.12,1.05,0.95,0.8,0.6,0.4,0.3)))</f>
        <v>1.17</v>
      </c>
      <c r="T1077" s="5" t="n">
        <f aca="false">CHOOSE(N1077+1,1.2,1,0.85,0.7)</f>
        <v>1.2</v>
      </c>
      <c r="U1077" s="5" t="n">
        <f aca="false">IF(F1077="PO",0.6,
IF(F1077="CT",0.75,
IF(F1077="LI",0.8,
IF(F1077="LD",0.8,
IF(F1077="MCD",0.85,
IF(F1077="MC",0.95,
IF(F1077="MO",1.05,
IF(F1077="EI",1.1,
IF(F1077="ED",1.1,
IF(F1077="SD",1.15,
IF(F1077="DC",1.2,0)))))))))))</f>
        <v>1.1</v>
      </c>
    </row>
    <row r="1078" customFormat="false" ht="16.4" hidden="false" customHeight="false" outlineLevel="0" collapsed="false">
      <c r="A1078" s="1" t="n">
        <v>1077</v>
      </c>
      <c r="B1078" s="5" t="str">
        <f aca="false">[1]Base_Jugadores!B1078</f>
        <v>Nicola Zalewski</v>
      </c>
      <c r="C1078" s="5" t="str">
        <f aca="false">IFERROR(
   _xlfn.XLOOKUP(VALUE(A1078),[1]Fichajes_Realizados!A$2:A$50000,[1]Fichajes_Realizados!D$2:D$50000,,0,-1),
   _xlfn.XLOOKUP(VALUE(A1078),[1]Base_Jugadores!A$2:A$50000,[1]Base_Jugadores!C$2:C$50000)
)</f>
        <v>Atalanta BC</v>
      </c>
      <c r="D1078" s="5" t="str">
        <f aca="false">[1]Base_Jugadores!D1078</f>
        <v>Polonia</v>
      </c>
      <c r="E1078" s="3"/>
      <c r="F1078" s="5" t="str">
        <f aca="false">[1]Base_Jugadores!E1078</f>
        <v>EI</v>
      </c>
      <c r="G1078" s="5" t="n">
        <f aca="false">[1]Base_Jugadores!F1078</f>
        <v>77</v>
      </c>
      <c r="H1078" s="5" t="n">
        <f aca="false">[1]Base_Jugadores!G1078</f>
        <v>23</v>
      </c>
      <c r="I1078" s="7" t="n">
        <f aca="false" t="array" ref="I1078:I1078">_xlfn.XLOOKUP(G1078,{55;56;57;58;59;60;61;62;63;64;65;66;67;68;69;70;71;72;73;74;75;76;77;78;79;80;81;82;83;84;85;86;87;88;89;90;91;92;93;94;95;96;97;98;99},{100000;130000;160000;190000;220000;250000;300000;350000;400000;450000;500000;600000;700000;800000;900000;1000000;1500000;2000000;3000000;4000000;5000000;6500000;8000000;10000000;12500000;15000000;20000000;25000000;30000000;35000000;40000000;55000000;70000000;80000000;90000000;110000000;130000000;160000000;190000000;220000000;250000000;280000000;310000000;340000000;400000000})</f>
        <v>8000000</v>
      </c>
      <c r="J1078" s="7" t="n">
        <f aca="false">I1078*S1078*T1078*U1078</f>
        <v>12988800</v>
      </c>
      <c r="K1078" s="3"/>
      <c r="L1078" s="3"/>
      <c r="M1078" s="3"/>
      <c r="N1078" s="9" t="n">
        <v>0</v>
      </c>
      <c r="O1078" s="4" t="n">
        <v>0</v>
      </c>
      <c r="P1078" s="5" t="n">
        <f aca="false">IF(COUNTIF([1]Base_Jugadores!J$2:J$500,B1078)&gt;0,1,0)</f>
        <v>0</v>
      </c>
      <c r="Q1078" s="10" t="b">
        <f aca="false">--(COUNTIFS(
   [1]Fichajes_Realizados!A$2:A$5000,A1078,
   [1]Fichajes_Realizados!G$2:G$5000,$X$3
)&gt;0)</f>
        <v>0</v>
      </c>
      <c r="R1078" s="5" t="n">
        <f aca="false">_xlfn.XLOOKUP(C1078, [1]Estado_Equipos!A$2:A$500, [1]Estado_Equipos!J$2:J$500, "")</f>
        <v>76</v>
      </c>
      <c r="S1078" s="5" t="n">
        <f aca="false">IF(H1078&lt;=16,1.45,
IF(H1078&gt;=41,0.3,
CHOOSE(ROUNDDOWN((H1078-16)/2,0)+1,
1.45,1.38,1.3,1.23,1.17,1.15,1.12,1.05,0.95,0.8,0.6,0.4,0.3)))</f>
        <v>1.23</v>
      </c>
      <c r="T1078" s="5" t="n">
        <f aca="false">CHOOSE(N1078+1,1.2,1,0.85,0.7)</f>
        <v>1.2</v>
      </c>
      <c r="U1078" s="5" t="n">
        <f aca="false">IF(F1078="PO",0.6,
IF(F1078="CT",0.75,
IF(F1078="LI",0.8,
IF(F1078="LD",0.8,
IF(F1078="MCD",0.85,
IF(F1078="MC",0.95,
IF(F1078="MO",1.05,
IF(F1078="EI",1.1,
IF(F1078="ED",1.1,
IF(F1078="SD",1.15,
IF(F1078="DC",1.2,0)))))))))))</f>
        <v>1.1</v>
      </c>
    </row>
    <row r="1079" customFormat="false" ht="16.4" hidden="false" customHeight="false" outlineLevel="0" collapsed="false">
      <c r="A1079" s="1" t="n">
        <v>1078</v>
      </c>
      <c r="B1079" s="5" t="str">
        <f aca="false">[1]Base_Jugadores!B1079</f>
        <v>Nikola Krstović</v>
      </c>
      <c r="C1079" s="5" t="str">
        <f aca="false">IFERROR(
   _xlfn.XLOOKUP(VALUE(A1079),[1]Fichajes_Realizados!A$2:A$50000,[1]Fichajes_Realizados!D$2:D$50000,,0,-1),
   _xlfn.XLOOKUP(VALUE(A1079),[1]Base_Jugadores!A$2:A$50000,[1]Base_Jugadores!C$2:C$50000)
)</f>
        <v>Atalanta BC</v>
      </c>
      <c r="D1079" s="5" t="str">
        <f aca="false">[1]Base_Jugadores!D1079</f>
        <v>Montenegro</v>
      </c>
      <c r="E1079" s="3"/>
      <c r="F1079" s="5" t="str">
        <f aca="false">[1]Base_Jugadores!E1079</f>
        <v>DC</v>
      </c>
      <c r="G1079" s="5" t="n">
        <f aca="false">[1]Base_Jugadores!F1079</f>
        <v>75</v>
      </c>
      <c r="H1079" s="5" t="n">
        <f aca="false">[1]Base_Jugadores!G1079</f>
        <v>25</v>
      </c>
      <c r="I1079" s="7" t="n">
        <f aca="false" t="array" ref="I1079:I1079">_xlfn.XLOOKUP(G1079,{55;56;57;58;59;60;61;62;63;64;65;66;67;68;69;70;71;72;73;74;75;76;77;78;79;80;81;82;83;84;85;86;87;88;89;90;91;92;93;94;95;96;97;98;99},{100000;130000;160000;190000;220000;250000;300000;350000;400000;450000;500000;600000;700000;800000;900000;1000000;1500000;2000000;3000000;4000000;5000000;6500000;8000000;10000000;12500000;15000000;20000000;25000000;30000000;35000000;40000000;55000000;70000000;80000000;90000000;110000000;130000000;160000000;190000000;220000000;250000000;280000000;310000000;340000000;400000000})</f>
        <v>5000000</v>
      </c>
      <c r="J1079" s="7" t="n">
        <f aca="false">I1079*S1079*T1079*U1079</f>
        <v>8424000</v>
      </c>
      <c r="K1079" s="3"/>
      <c r="L1079" s="3"/>
      <c r="M1079" s="3"/>
      <c r="N1079" s="9" t="n">
        <v>0</v>
      </c>
      <c r="O1079" s="4" t="n">
        <v>0</v>
      </c>
      <c r="P1079" s="5" t="n">
        <f aca="false">IF(COUNTIF([1]Base_Jugadores!J$2:J$500,B1079)&gt;0,1,0)</f>
        <v>0</v>
      </c>
      <c r="Q1079" s="10" t="b">
        <f aca="false">--(COUNTIFS(
   [1]Fichajes_Realizados!A$2:A$5000,A1079,
   [1]Fichajes_Realizados!G$2:G$5000,$X$3
)&gt;0)</f>
        <v>0</v>
      </c>
      <c r="R1079" s="5" t="n">
        <f aca="false">_xlfn.XLOOKUP(C1079, [1]Estado_Equipos!A$2:A$500, [1]Estado_Equipos!J$2:J$500, "")</f>
        <v>76</v>
      </c>
      <c r="S1079" s="5" t="n">
        <f aca="false">IF(H1079&lt;=16,1.45,
IF(H1079&gt;=41,0.3,
CHOOSE(ROUNDDOWN((H1079-16)/2,0)+1,
1.45,1.38,1.3,1.23,1.17,1.15,1.12,1.05,0.95,0.8,0.6,0.4,0.3)))</f>
        <v>1.17</v>
      </c>
      <c r="T1079" s="5" t="n">
        <f aca="false">CHOOSE(N1079+1,1.2,1,0.85,0.7)</f>
        <v>1.2</v>
      </c>
      <c r="U1079" s="5" t="n">
        <f aca="false">IF(F1079="PO",0.6,
IF(F1079="CT",0.75,
IF(F1079="LI",0.8,
IF(F1079="LD",0.8,
IF(F1079="MCD",0.85,
IF(F1079="MC",0.95,
IF(F1079="MO",1.05,
IF(F1079="EI",1.1,
IF(F1079="ED",1.1,
IF(F1079="SD",1.15,
IF(F1079="DC",1.2,0)))))))))))</f>
        <v>1.2</v>
      </c>
    </row>
    <row r="1080" customFormat="false" ht="16.4" hidden="false" customHeight="false" outlineLevel="0" collapsed="false">
      <c r="A1080" s="1" t="n">
        <v>1079</v>
      </c>
      <c r="B1080" s="5" t="str">
        <f aca="false">[1]Base_Jugadores!B1080</f>
        <v>Odilon Kossounou</v>
      </c>
      <c r="C1080" s="5" t="str">
        <f aca="false">IFERROR(
   _xlfn.XLOOKUP(VALUE(A1080),[1]Fichajes_Realizados!A$2:A$50000,[1]Fichajes_Realizados!D$2:D$50000,,0,-1),
   _xlfn.XLOOKUP(VALUE(A1080),[1]Base_Jugadores!A$2:A$50000,[1]Base_Jugadores!C$2:C$50000)
)</f>
        <v>Atalanta BC</v>
      </c>
      <c r="D1080" s="5" t="str">
        <f aca="false">[1]Base_Jugadores!D1080</f>
        <v>Costa de Marfil</v>
      </c>
      <c r="E1080" s="3"/>
      <c r="F1080" s="5" t="str">
        <f aca="false">[1]Base_Jugadores!E1080</f>
        <v>CT</v>
      </c>
      <c r="G1080" s="5" t="n">
        <f aca="false">[1]Base_Jugadores!F1080</f>
        <v>81</v>
      </c>
      <c r="H1080" s="5" t="n">
        <f aca="false">[1]Base_Jugadores!G1080</f>
        <v>24</v>
      </c>
      <c r="I1080" s="7" t="n">
        <f aca="false" t="array" ref="I1080:I1080">_xlfn.XLOOKUP(G1080,{55;56;57;58;59;60;61;62;63;64;65;66;67;68;69;70;71;72;73;74;75;76;77;78;79;80;81;82;83;84;85;86;87;88;89;90;91;92;93;94;95;96;97;98;99},{100000;130000;160000;190000;220000;250000;300000;350000;400000;450000;500000;600000;700000;800000;900000;1000000;1500000;2000000;3000000;4000000;5000000;6500000;8000000;10000000;12500000;15000000;20000000;25000000;30000000;35000000;40000000;55000000;70000000;80000000;90000000;110000000;130000000;160000000;190000000;220000000;250000000;280000000;310000000;340000000;400000000})</f>
        <v>20000000</v>
      </c>
      <c r="J1080" s="7" t="n">
        <f aca="false">I1080*S1080*T1080*U1080</f>
        <v>21060000</v>
      </c>
      <c r="K1080" s="3"/>
      <c r="L1080" s="3"/>
      <c r="M1080" s="3"/>
      <c r="N1080" s="9" t="n">
        <v>0</v>
      </c>
      <c r="O1080" s="4" t="n">
        <v>0</v>
      </c>
      <c r="P1080" s="5" t="n">
        <f aca="false">IF(COUNTIF([1]Base_Jugadores!J$2:J$500,B1080)&gt;0,1,0)</f>
        <v>0</v>
      </c>
      <c r="Q1080" s="10" t="b">
        <f aca="false">--(COUNTIFS(
   [1]Fichajes_Realizados!A$2:A$5000,A1080,
   [1]Fichajes_Realizados!G$2:G$5000,$X$3
)&gt;0)</f>
        <v>0</v>
      </c>
      <c r="R1080" s="5" t="n">
        <f aca="false">_xlfn.XLOOKUP(C1080, [1]Estado_Equipos!A$2:A$500, [1]Estado_Equipos!J$2:J$500, "")</f>
        <v>76</v>
      </c>
      <c r="S1080" s="5" t="n">
        <f aca="false">IF(H1080&lt;=16,1.45,
IF(H1080&gt;=41,0.3,
CHOOSE(ROUNDDOWN((H1080-16)/2,0)+1,
1.45,1.38,1.3,1.23,1.17,1.15,1.12,1.05,0.95,0.8,0.6,0.4,0.3)))</f>
        <v>1.17</v>
      </c>
      <c r="T1080" s="5" t="n">
        <f aca="false">CHOOSE(N1080+1,1.2,1,0.85,0.7)</f>
        <v>1.2</v>
      </c>
      <c r="U1080" s="5" t="n">
        <f aca="false">IF(F1080="PO",0.6,
IF(F1080="CT",0.75,
IF(F1080="LI",0.8,
IF(F1080="LD",0.8,
IF(F1080="MCD",0.85,
IF(F1080="MC",0.95,
IF(F1080="MO",1.05,
IF(F1080="EI",1.1,
IF(F1080="ED",1.1,
IF(F1080="SD",1.15,
IF(F1080="DC",1.2,0)))))))))))</f>
        <v>0.75</v>
      </c>
    </row>
    <row r="1081" customFormat="false" ht="16.4" hidden="false" customHeight="false" outlineLevel="0" collapsed="false">
      <c r="A1081" s="1" t="n">
        <v>1080</v>
      </c>
      <c r="B1081" s="5" t="str">
        <f aca="false">[1]Base_Jugadores!B1081</f>
        <v>Raoul Bellanova</v>
      </c>
      <c r="C1081" s="5" t="str">
        <f aca="false">IFERROR(
   _xlfn.XLOOKUP(VALUE(A1081),[1]Fichajes_Realizados!A$2:A$50000,[1]Fichajes_Realizados!D$2:D$50000,,0,-1),
   _xlfn.XLOOKUP(VALUE(A1081),[1]Base_Jugadores!A$2:A$50000,[1]Base_Jugadores!C$2:C$50000)
)</f>
        <v>Atalanta BC</v>
      </c>
      <c r="D1081" s="5" t="str">
        <f aca="false">[1]Base_Jugadores!D1081</f>
        <v>Italia</v>
      </c>
      <c r="E1081" s="3"/>
      <c r="F1081" s="5" t="str">
        <f aca="false">[1]Base_Jugadores!E1081</f>
        <v>ED</v>
      </c>
      <c r="G1081" s="5" t="n">
        <f aca="false">[1]Base_Jugadores!F1081</f>
        <v>73</v>
      </c>
      <c r="H1081" s="5" t="n">
        <f aca="false">[1]Base_Jugadores!G1081</f>
        <v>25</v>
      </c>
      <c r="I1081" s="7" t="n">
        <f aca="false" t="array" ref="I1081:I1081">_xlfn.XLOOKUP(G1081,{55;56;57;58;59;60;61;62;63;64;65;66;67;68;69;70;71;72;73;74;75;76;77;78;79;80;81;82;83;84;85;86;87;88;89;90;91;92;93;94;95;96;97;98;99},{100000;130000;160000;190000;220000;250000;300000;350000;400000;450000;500000;600000;700000;800000;900000;1000000;1500000;2000000;3000000;4000000;5000000;6500000;8000000;10000000;12500000;15000000;20000000;25000000;30000000;35000000;40000000;55000000;70000000;80000000;90000000;110000000;130000000;160000000;190000000;220000000;250000000;280000000;310000000;340000000;400000000})</f>
        <v>3000000</v>
      </c>
      <c r="J1081" s="7" t="n">
        <f aca="false">I1081*S1081*T1081*U1081</f>
        <v>4633200</v>
      </c>
      <c r="K1081" s="3"/>
      <c r="L1081" s="3"/>
      <c r="M1081" s="3"/>
      <c r="N1081" s="9" t="n">
        <v>0</v>
      </c>
      <c r="O1081" s="4" t="n">
        <v>0</v>
      </c>
      <c r="P1081" s="5" t="n">
        <f aca="false">IF(COUNTIF([1]Base_Jugadores!J$2:J$500,B1081)&gt;0,1,0)</f>
        <v>0</v>
      </c>
      <c r="Q1081" s="10" t="b">
        <f aca="false">--(COUNTIFS(
   [1]Fichajes_Realizados!A$2:A$5000,A1081,
   [1]Fichajes_Realizados!G$2:G$5000,$X$3
)&gt;0)</f>
        <v>0</v>
      </c>
      <c r="R1081" s="5" t="n">
        <f aca="false">_xlfn.XLOOKUP(C1081, [1]Estado_Equipos!A$2:A$500, [1]Estado_Equipos!J$2:J$500, "")</f>
        <v>76</v>
      </c>
      <c r="S1081" s="5" t="n">
        <f aca="false">IF(H1081&lt;=16,1.45,
IF(H1081&gt;=41,0.3,
CHOOSE(ROUNDDOWN((H1081-16)/2,0)+1,
1.45,1.38,1.3,1.23,1.17,1.15,1.12,1.05,0.95,0.8,0.6,0.4,0.3)))</f>
        <v>1.17</v>
      </c>
      <c r="T1081" s="5" t="n">
        <f aca="false">CHOOSE(N1081+1,1.2,1,0.85,0.7)</f>
        <v>1.2</v>
      </c>
      <c r="U1081" s="5" t="n">
        <f aca="false">IF(F1081="PO",0.6,
IF(F1081="CT",0.75,
IF(F1081="LI",0.8,
IF(F1081="LD",0.8,
IF(F1081="MCD",0.85,
IF(F1081="MC",0.95,
IF(F1081="MO",1.05,
IF(F1081="EI",1.1,
IF(F1081="ED",1.1,
IF(F1081="SD",1.15,
IF(F1081="DC",1.2,0)))))))))))</f>
        <v>1.1</v>
      </c>
    </row>
    <row r="1082" customFormat="false" ht="16.4" hidden="false" customHeight="false" outlineLevel="0" collapsed="false">
      <c r="A1082" s="1" t="n">
        <v>1081</v>
      </c>
      <c r="B1082" s="5" t="str">
        <f aca="false">[1]Base_Jugadores!B1082</f>
        <v>Sead Kolasinac</v>
      </c>
      <c r="C1082" s="5" t="str">
        <f aca="false">IFERROR(
   _xlfn.XLOOKUP(VALUE(A1082),[1]Fichajes_Realizados!A$2:A$50000,[1]Fichajes_Realizados!D$2:D$50000,,0,-1),
   _xlfn.XLOOKUP(VALUE(A1082),[1]Base_Jugadores!A$2:A$50000,[1]Base_Jugadores!C$2:C$50000)
)</f>
        <v>Atalanta BC</v>
      </c>
      <c r="D1082" s="5" t="str">
        <f aca="false">[1]Base_Jugadores!D1082</f>
        <v>Bosnia y Herzegovina</v>
      </c>
      <c r="E1082" s="3"/>
      <c r="F1082" s="5" t="str">
        <f aca="false">[1]Base_Jugadores!E1082</f>
        <v>CT</v>
      </c>
      <c r="G1082" s="5" t="n">
        <f aca="false">[1]Base_Jugadores!F1082</f>
        <v>78</v>
      </c>
      <c r="H1082" s="5" t="n">
        <f aca="false">[1]Base_Jugadores!G1082</f>
        <v>32</v>
      </c>
      <c r="I1082" s="7" t="n">
        <f aca="false" t="array" ref="I1082:I1082">_xlfn.XLOOKUP(G1082,{55;56;57;58;59;60;61;62;63;64;65;66;67;68;69;70;71;72;73;74;75;76;77;78;79;80;81;82;83;84;85;86;87;88;89;90;91;92;93;94;95;96;97;98;99},{100000;130000;160000;190000;220000;250000;300000;350000;400000;450000;500000;600000;700000;800000;900000;1000000;1500000;2000000;3000000;4000000;5000000;6500000;8000000;10000000;12500000;15000000;20000000;25000000;30000000;35000000;40000000;55000000;70000000;80000000;90000000;110000000;130000000;160000000;190000000;220000000;250000000;280000000;310000000;340000000;400000000})</f>
        <v>10000000</v>
      </c>
      <c r="J1082" s="7" t="n">
        <f aca="false">I1082*S1082*T1082*U1082</f>
        <v>8550000</v>
      </c>
      <c r="K1082" s="3"/>
      <c r="L1082" s="3"/>
      <c r="M1082" s="3"/>
      <c r="N1082" s="9" t="n">
        <v>0</v>
      </c>
      <c r="O1082" s="4" t="n">
        <v>0</v>
      </c>
      <c r="P1082" s="5" t="n">
        <f aca="false">IF(COUNTIF([1]Base_Jugadores!J$2:J$500,B1082)&gt;0,1,0)</f>
        <v>0</v>
      </c>
      <c r="Q1082" s="10" t="b">
        <f aca="false">--(COUNTIFS(
   [1]Fichajes_Realizados!A$2:A$5000,A1082,
   [1]Fichajes_Realizados!G$2:G$5000,$X$3
)&gt;0)</f>
        <v>0</v>
      </c>
      <c r="R1082" s="5" t="n">
        <f aca="false">_xlfn.XLOOKUP(C1082, [1]Estado_Equipos!A$2:A$500, [1]Estado_Equipos!J$2:J$500, "")</f>
        <v>76</v>
      </c>
      <c r="S1082" s="5" t="n">
        <f aca="false">IF(H1082&lt;=16,1.45,
IF(H1082&gt;=41,0.3,
CHOOSE(ROUNDDOWN((H1082-16)/2,0)+1,
1.45,1.38,1.3,1.23,1.17,1.15,1.12,1.05,0.95,0.8,0.6,0.4,0.3)))</f>
        <v>0.95</v>
      </c>
      <c r="T1082" s="5" t="n">
        <f aca="false">CHOOSE(N1082+1,1.2,1,0.85,0.7)</f>
        <v>1.2</v>
      </c>
      <c r="U1082" s="5" t="n">
        <f aca="false">IF(F1082="PO",0.6,
IF(F1082="CT",0.75,
IF(F1082="LI",0.8,
IF(F1082="LD",0.8,
IF(F1082="MCD",0.85,
IF(F1082="MC",0.95,
IF(F1082="MO",1.05,
IF(F1082="EI",1.1,
IF(F1082="ED",1.1,
IF(F1082="SD",1.15,
IF(F1082="DC",1.2,0)))))))))))</f>
        <v>0.75</v>
      </c>
    </row>
    <row r="1083" customFormat="false" ht="16.4" hidden="false" customHeight="false" outlineLevel="0" collapsed="false">
      <c r="A1083" s="1" t="n">
        <v>1082</v>
      </c>
      <c r="B1083" s="5" t="str">
        <f aca="false">[1]Base_Jugadores!B1083</f>
        <v>Yunus Musah</v>
      </c>
      <c r="C1083" s="5" t="str">
        <f aca="false">IFERROR(
   _xlfn.XLOOKUP(VALUE(A1083),[1]Fichajes_Realizados!A$2:A$50000,[1]Fichajes_Realizados!D$2:D$50000,,0,-1),
   _xlfn.XLOOKUP(VALUE(A1083),[1]Base_Jugadores!A$2:A$50000,[1]Base_Jugadores!C$2:C$50000)
)</f>
        <v>Atalanta BC</v>
      </c>
      <c r="D1083" s="5" t="str">
        <f aca="false">[1]Base_Jugadores!D1083</f>
        <v>Estados Unidos</v>
      </c>
      <c r="E1083" s="3"/>
      <c r="F1083" s="5" t="str">
        <f aca="false">[1]Base_Jugadores!E1083</f>
        <v>MC</v>
      </c>
      <c r="G1083" s="5" t="n">
        <f aca="false">[1]Base_Jugadores!F1083</f>
        <v>75</v>
      </c>
      <c r="H1083" s="5" t="n">
        <f aca="false">[1]Base_Jugadores!G1083</f>
        <v>23</v>
      </c>
      <c r="I1083" s="7" t="n">
        <f aca="false" t="array" ref="I1083:I1083">_xlfn.XLOOKUP(G1083,{55;56;57;58;59;60;61;62;63;64;65;66;67;68;69;70;71;72;73;74;75;76;77;78;79;80;81;82;83;84;85;86;87;88;89;90;91;92;93;94;95;96;97;98;99},{100000;130000;160000;190000;220000;250000;300000;350000;400000;450000;500000;600000;700000;800000;900000;1000000;1500000;2000000;3000000;4000000;5000000;6500000;8000000;10000000;12500000;15000000;20000000;25000000;30000000;35000000;40000000;55000000;70000000;80000000;90000000;110000000;130000000;160000000;190000000;220000000;250000000;280000000;310000000;340000000;400000000})</f>
        <v>5000000</v>
      </c>
      <c r="J1083" s="7" t="n">
        <f aca="false">I1083*S1083*T1083*U1083</f>
        <v>7011000</v>
      </c>
      <c r="K1083" s="3"/>
      <c r="L1083" s="3"/>
      <c r="M1083" s="3"/>
      <c r="N1083" s="9" t="n">
        <v>0</v>
      </c>
      <c r="O1083" s="4" t="n">
        <v>0</v>
      </c>
      <c r="P1083" s="5" t="n">
        <f aca="false">IF(COUNTIF([1]Base_Jugadores!J$2:J$500,B1083)&gt;0,1,0)</f>
        <v>0</v>
      </c>
      <c r="Q1083" s="10" t="b">
        <f aca="false">--(COUNTIFS(
   [1]Fichajes_Realizados!A$2:A$5000,A1083,
   [1]Fichajes_Realizados!G$2:G$5000,$X$3
)&gt;0)</f>
        <v>0</v>
      </c>
      <c r="R1083" s="5" t="n">
        <f aca="false">_xlfn.XLOOKUP(C1083, [1]Estado_Equipos!A$2:A$500, [1]Estado_Equipos!J$2:J$500, "")</f>
        <v>76</v>
      </c>
      <c r="S1083" s="5" t="n">
        <f aca="false">IF(H1083&lt;=16,1.45,
IF(H1083&gt;=41,0.3,
CHOOSE(ROUNDDOWN((H1083-16)/2,0)+1,
1.45,1.38,1.3,1.23,1.17,1.15,1.12,1.05,0.95,0.8,0.6,0.4,0.3)))</f>
        <v>1.23</v>
      </c>
      <c r="T1083" s="5" t="n">
        <f aca="false">CHOOSE(N1083+1,1.2,1,0.85,0.7)</f>
        <v>1.2</v>
      </c>
      <c r="U1083" s="5" t="n">
        <f aca="false">IF(F1083="PO",0.6,
IF(F1083="CT",0.75,
IF(F1083="LI",0.8,
IF(F1083="LD",0.8,
IF(F1083="MCD",0.85,
IF(F1083="MC",0.95,
IF(F1083="MO",1.05,
IF(F1083="EI",1.1,
IF(F1083="ED",1.1,
IF(F1083="SD",1.15,
IF(F1083="DC",1.2,0)))))))))))</f>
        <v>0.95</v>
      </c>
    </row>
    <row r="1084" customFormat="false" ht="16.4" hidden="false" customHeight="false" outlineLevel="0" collapsed="false">
      <c r="A1084" s="1" t="n">
        <v>1083</v>
      </c>
      <c r="B1084" s="5" t="str">
        <f aca="false">[1]Base_Jugadores!B1084</f>
        <v>Lukasz Skorupski</v>
      </c>
      <c r="C1084" s="5" t="str">
        <f aca="false">IFERROR(
   _xlfn.XLOOKUP(VALUE(A1084),[1]Fichajes_Realizados!A$2:A$50000,[1]Fichajes_Realizados!D$2:D$50000,,0,-1),
   _xlfn.XLOOKUP(VALUE(A1084),[1]Base_Jugadores!A$2:A$50000,[1]Base_Jugadores!C$2:C$50000)
)</f>
        <v>Bolonia</v>
      </c>
      <c r="D1084" s="5" t="str">
        <f aca="false">[1]Base_Jugadores!D1084</f>
        <v>Polonia</v>
      </c>
      <c r="E1084" s="3"/>
      <c r="F1084" s="5" t="str">
        <f aca="false">[1]Base_Jugadores!E1084</f>
        <v>PO</v>
      </c>
      <c r="G1084" s="5" t="n">
        <f aca="false">[1]Base_Jugadores!F1084</f>
        <v>79</v>
      </c>
      <c r="H1084" s="5" t="n">
        <f aca="false">[1]Base_Jugadores!G1084</f>
        <v>34</v>
      </c>
      <c r="I1084" s="7" t="n">
        <f aca="false" t="array" ref="I1084:I1084">_xlfn.XLOOKUP(G1084,{55;56;57;58;59;60;61;62;63;64;65;66;67;68;69;70;71;72;73;74;75;76;77;78;79;80;81;82;83;84;85;86;87;88;89;90;91;92;93;94;95;96;97;98;99},{100000;130000;160000;190000;220000;250000;300000;350000;400000;450000;500000;600000;700000;800000;900000;1000000;1500000;2000000;3000000;4000000;5000000;6500000;8000000;10000000;12500000;15000000;20000000;25000000;30000000;35000000;40000000;55000000;70000000;80000000;90000000;110000000;130000000;160000000;190000000;220000000;250000000;280000000;310000000;340000000;400000000})</f>
        <v>12500000</v>
      </c>
      <c r="J1084" s="7" t="n">
        <f aca="false">I1084*S1084*T1084*U1084</f>
        <v>7200000</v>
      </c>
      <c r="K1084" s="3"/>
      <c r="L1084" s="3"/>
      <c r="M1084" s="3"/>
      <c r="N1084" s="9" t="n">
        <v>0</v>
      </c>
      <c r="O1084" s="4" t="n">
        <v>0</v>
      </c>
      <c r="P1084" s="5" t="n">
        <f aca="false">IF(COUNTIF([1]Base_Jugadores!J$2:J$500,B1084)&gt;0,1,0)</f>
        <v>0</v>
      </c>
      <c r="Q1084" s="10" t="b">
        <f aca="false">--(COUNTIFS(
   [1]Fichajes_Realizados!A$2:A$5000,A1084,
   [1]Fichajes_Realizados!G$2:G$5000,$X$3
)&gt;0)</f>
        <v>0</v>
      </c>
      <c r="R1084" s="5" t="n">
        <f aca="false">_xlfn.XLOOKUP(C1084, [1]Estado_Equipos!A$2:A$500, [1]Estado_Equipos!J$2:J$500, "")</f>
        <v>75</v>
      </c>
      <c r="S1084" s="5" t="n">
        <f aca="false">IF(H1084&lt;=16,1.45,
IF(H1084&gt;=41,0.3,
CHOOSE(ROUNDDOWN((H1084-16)/2,0)+1,
1.45,1.38,1.3,1.23,1.17,1.15,1.12,1.05,0.95,0.8,0.6,0.4,0.3)))</f>
        <v>0.8</v>
      </c>
      <c r="T1084" s="5" t="n">
        <f aca="false">CHOOSE(N1084+1,1.2,1,0.85,0.7)</f>
        <v>1.2</v>
      </c>
      <c r="U1084" s="5" t="n">
        <f aca="false">IF(F1084="PO",0.6,
IF(F1084="CT",0.75,
IF(F1084="LI",0.8,
IF(F1084="LD",0.8,
IF(F1084="MCD",0.85,
IF(F1084="MC",0.95,
IF(F1084="MO",1.05,
IF(F1084="EI",1.1,
IF(F1084="ED",1.1,
IF(F1084="SD",1.15,
IF(F1084="DC",1.2,0)))))))))))</f>
        <v>0.6</v>
      </c>
    </row>
    <row r="1085" customFormat="false" ht="16.4" hidden="false" customHeight="false" outlineLevel="0" collapsed="false">
      <c r="A1085" s="1" t="n">
        <v>1084</v>
      </c>
      <c r="B1085" s="5" t="str">
        <f aca="false">[1]Base_Jugadores!B1085</f>
        <v>Federico Ravaglia</v>
      </c>
      <c r="C1085" s="5" t="str">
        <f aca="false">IFERROR(
   _xlfn.XLOOKUP(VALUE(A1085),[1]Fichajes_Realizados!A$2:A$50000,[1]Fichajes_Realizados!D$2:D$50000,,0,-1),
   _xlfn.XLOOKUP(VALUE(A1085),[1]Base_Jugadores!A$2:A$50000,[1]Base_Jugadores!C$2:C$50000)
)</f>
        <v>Bolonia</v>
      </c>
      <c r="D1085" s="5" t="str">
        <f aca="false">[1]Base_Jugadores!D1085</f>
        <v>Italia</v>
      </c>
      <c r="E1085" s="3"/>
      <c r="F1085" s="5" t="str">
        <f aca="false">[1]Base_Jugadores!E1085</f>
        <v>PO</v>
      </c>
      <c r="G1085" s="5" t="n">
        <f aca="false">[1]Base_Jugadores!F1085</f>
        <v>70</v>
      </c>
      <c r="H1085" s="5" t="n">
        <f aca="false">[1]Base_Jugadores!G1085</f>
        <v>26</v>
      </c>
      <c r="I1085" s="7" t="n">
        <f aca="false" t="array" ref="I1085:I1085">_xlfn.XLOOKUP(G1085,{55;56;57;58;59;60;61;62;63;64;65;66;67;68;69;70;71;72;73;74;75;76;77;78;79;80;81;82;83;84;85;86;87;88;89;90;91;92;93;94;95;96;97;98;99},{100000;130000;160000;190000;220000;250000;300000;350000;400000;450000;500000;600000;700000;800000;900000;1000000;1500000;2000000;3000000;4000000;5000000;6500000;8000000;10000000;12500000;15000000;20000000;25000000;30000000;35000000;40000000;55000000;70000000;80000000;90000000;110000000;130000000;160000000;190000000;220000000;250000000;280000000;310000000;340000000;400000000})</f>
        <v>1000000</v>
      </c>
      <c r="J1085" s="7" t="n">
        <f aca="false">I1085*S1085*T1085*U1085</f>
        <v>828000</v>
      </c>
      <c r="K1085" s="3"/>
      <c r="L1085" s="3"/>
      <c r="M1085" s="3"/>
      <c r="N1085" s="9" t="n">
        <v>0</v>
      </c>
      <c r="O1085" s="4" t="n">
        <v>0</v>
      </c>
      <c r="P1085" s="5" t="n">
        <f aca="false">IF(COUNTIF([1]Base_Jugadores!J$2:J$500,B1085)&gt;0,1,0)</f>
        <v>0</v>
      </c>
      <c r="Q1085" s="10" t="b">
        <f aca="false">--(COUNTIFS(
   [1]Fichajes_Realizados!A$2:A$5000,A1085,
   [1]Fichajes_Realizados!G$2:G$5000,$X$3
)&gt;0)</f>
        <v>0</v>
      </c>
      <c r="R1085" s="5" t="n">
        <f aca="false">_xlfn.XLOOKUP(C1085, [1]Estado_Equipos!A$2:A$500, [1]Estado_Equipos!J$2:J$500, "")</f>
        <v>75</v>
      </c>
      <c r="S1085" s="5" t="n">
        <f aca="false">IF(H1085&lt;=16,1.45,
IF(H1085&gt;=41,0.3,
CHOOSE(ROUNDDOWN((H1085-16)/2,0)+1,
1.45,1.38,1.3,1.23,1.17,1.15,1.12,1.05,0.95,0.8,0.6,0.4,0.3)))</f>
        <v>1.15</v>
      </c>
      <c r="T1085" s="5" t="n">
        <f aca="false">CHOOSE(N1085+1,1.2,1,0.85,0.7)</f>
        <v>1.2</v>
      </c>
      <c r="U1085" s="5" t="n">
        <f aca="false">IF(F1085="PO",0.6,
IF(F1085="CT",0.75,
IF(F1085="LI",0.8,
IF(F1085="LD",0.8,
IF(F1085="MCD",0.85,
IF(F1085="MC",0.95,
IF(F1085="MO",1.05,
IF(F1085="EI",1.1,
IF(F1085="ED",1.1,
IF(F1085="SD",1.15,
IF(F1085="DC",1.2,0)))))))))))</f>
        <v>0.6</v>
      </c>
    </row>
    <row r="1086" customFormat="false" ht="16.4" hidden="false" customHeight="false" outlineLevel="0" collapsed="false">
      <c r="A1086" s="1" t="n">
        <v>1085</v>
      </c>
      <c r="B1086" s="5" t="str">
        <f aca="false">[1]Base_Jugadores!B1086</f>
        <v>Jhon Lucumí</v>
      </c>
      <c r="C1086" s="5" t="str">
        <f aca="false">IFERROR(
   _xlfn.XLOOKUP(VALUE(A1086),[1]Fichajes_Realizados!A$2:A$50000,[1]Fichajes_Realizados!D$2:D$50000,,0,-1),
   _xlfn.XLOOKUP(VALUE(A1086),[1]Base_Jugadores!A$2:A$50000,[1]Base_Jugadores!C$2:C$50000)
)</f>
        <v>Bolonia</v>
      </c>
      <c r="D1086" s="5" t="str">
        <f aca="false">[1]Base_Jugadores!D1086</f>
        <v>Colombia</v>
      </c>
      <c r="E1086" s="3"/>
      <c r="F1086" s="5" t="str">
        <f aca="false">[1]Base_Jugadores!E1086</f>
        <v>CT</v>
      </c>
      <c r="G1086" s="5" t="n">
        <f aca="false">[1]Base_Jugadores!F1086</f>
        <v>78</v>
      </c>
      <c r="H1086" s="5" t="n">
        <f aca="false">[1]Base_Jugadores!G1086</f>
        <v>27</v>
      </c>
      <c r="I1086" s="7" t="n">
        <f aca="false" t="array" ref="I1086:I1086">_xlfn.XLOOKUP(G1086,{55;56;57;58;59;60;61;62;63;64;65;66;67;68;69;70;71;72;73;74;75;76;77;78;79;80;81;82;83;84;85;86;87;88;89;90;91;92;93;94;95;96;97;98;99},{100000;130000;160000;190000;220000;250000;300000;350000;400000;450000;500000;600000;700000;800000;900000;1000000;1500000;2000000;3000000;4000000;5000000;6500000;8000000;10000000;12500000;15000000;20000000;25000000;30000000;35000000;40000000;55000000;70000000;80000000;90000000;110000000;130000000;160000000;190000000;220000000;250000000;280000000;310000000;340000000;400000000})</f>
        <v>10000000</v>
      </c>
      <c r="J1086" s="7" t="n">
        <f aca="false">I1086*S1086*T1086*U1086</f>
        <v>10350000</v>
      </c>
      <c r="K1086" s="3"/>
      <c r="L1086" s="3"/>
      <c r="M1086" s="3"/>
      <c r="N1086" s="9" t="n">
        <v>0</v>
      </c>
      <c r="O1086" s="4" t="n">
        <v>0</v>
      </c>
      <c r="P1086" s="5" t="n">
        <f aca="false">IF(COUNTIF([1]Base_Jugadores!J$2:J$500,B1086)&gt;0,1,0)</f>
        <v>0</v>
      </c>
      <c r="Q1086" s="10" t="b">
        <f aca="false">--(COUNTIFS(
   [1]Fichajes_Realizados!A$2:A$5000,A1086,
   [1]Fichajes_Realizados!G$2:G$5000,$X$3
)&gt;0)</f>
        <v>0</v>
      </c>
      <c r="R1086" s="5" t="n">
        <f aca="false">_xlfn.XLOOKUP(C1086, [1]Estado_Equipos!A$2:A$500, [1]Estado_Equipos!J$2:J$500, "")</f>
        <v>75</v>
      </c>
      <c r="S1086" s="5" t="n">
        <f aca="false">IF(H1086&lt;=16,1.45,
IF(H1086&gt;=41,0.3,
CHOOSE(ROUNDDOWN((H1086-16)/2,0)+1,
1.45,1.38,1.3,1.23,1.17,1.15,1.12,1.05,0.95,0.8,0.6,0.4,0.3)))</f>
        <v>1.15</v>
      </c>
      <c r="T1086" s="5" t="n">
        <f aca="false">CHOOSE(N1086+1,1.2,1,0.85,0.7)</f>
        <v>1.2</v>
      </c>
      <c r="U1086" s="5" t="n">
        <f aca="false">IF(F1086="PO",0.6,
IF(F1086="CT",0.75,
IF(F1086="LI",0.8,
IF(F1086="LD",0.8,
IF(F1086="MCD",0.85,
IF(F1086="MC",0.95,
IF(F1086="MO",1.05,
IF(F1086="EI",1.1,
IF(F1086="ED",1.1,
IF(F1086="SD",1.15,
IF(F1086="DC",1.2,0)))))))))))</f>
        <v>0.75</v>
      </c>
    </row>
    <row r="1087" customFormat="false" ht="16.4" hidden="false" customHeight="false" outlineLevel="0" collapsed="false">
      <c r="A1087" s="1" t="n">
        <v>1086</v>
      </c>
      <c r="B1087" s="5" t="str">
        <f aca="false">[1]Base_Jugadores!B1087</f>
        <v>Martin Vitík</v>
      </c>
      <c r="C1087" s="5" t="str">
        <f aca="false">IFERROR(
   _xlfn.XLOOKUP(VALUE(A1087),[1]Fichajes_Realizados!A$2:A$50000,[1]Fichajes_Realizados!D$2:D$50000,,0,-1),
   _xlfn.XLOOKUP(VALUE(A1087),[1]Base_Jugadores!A$2:A$50000,[1]Base_Jugadores!C$2:C$50000)
)</f>
        <v>Bolonia</v>
      </c>
      <c r="D1087" s="5" t="str">
        <f aca="false">[1]Base_Jugadores!D1087</f>
        <v>República Checa</v>
      </c>
      <c r="E1087" s="3"/>
      <c r="F1087" s="5" t="str">
        <f aca="false">[1]Base_Jugadores!E1087</f>
        <v>CT</v>
      </c>
      <c r="G1087" s="5" t="n">
        <f aca="false">[1]Base_Jugadores!F1087</f>
        <v>74</v>
      </c>
      <c r="H1087" s="5" t="n">
        <f aca="false">[1]Base_Jugadores!G1087</f>
        <v>22</v>
      </c>
      <c r="I1087" s="7" t="n">
        <f aca="false" t="array" ref="I1087:I1087">_xlfn.XLOOKUP(G1087,{55;56;57;58;59;60;61;62;63;64;65;66;67;68;69;70;71;72;73;74;75;76;77;78;79;80;81;82;83;84;85;86;87;88;89;90;91;92;93;94;95;96;97;98;99},{100000;130000;160000;190000;220000;250000;300000;350000;400000;450000;500000;600000;700000;800000;900000;1000000;1500000;2000000;3000000;4000000;5000000;6500000;8000000;10000000;12500000;15000000;20000000;25000000;30000000;35000000;40000000;55000000;70000000;80000000;90000000;110000000;130000000;160000000;190000000;220000000;250000000;280000000;310000000;340000000;400000000})</f>
        <v>4000000</v>
      </c>
      <c r="J1087" s="7" t="n">
        <f aca="false">I1087*S1087*T1087*U1087</f>
        <v>4428000</v>
      </c>
      <c r="K1087" s="3"/>
      <c r="L1087" s="3"/>
      <c r="M1087" s="3"/>
      <c r="N1087" s="9" t="n">
        <v>0</v>
      </c>
      <c r="O1087" s="4" t="n">
        <v>0</v>
      </c>
      <c r="P1087" s="5" t="n">
        <f aca="false">IF(COUNTIF([1]Base_Jugadores!J$2:J$500,B1087)&gt;0,1,0)</f>
        <v>0</v>
      </c>
      <c r="Q1087" s="10" t="b">
        <f aca="false">--(COUNTIFS(
   [1]Fichajes_Realizados!A$2:A$5000,A1087,
   [1]Fichajes_Realizados!G$2:G$5000,$X$3
)&gt;0)</f>
        <v>0</v>
      </c>
      <c r="R1087" s="5" t="n">
        <f aca="false">_xlfn.XLOOKUP(C1087, [1]Estado_Equipos!A$2:A$500, [1]Estado_Equipos!J$2:J$500, "")</f>
        <v>75</v>
      </c>
      <c r="S1087" s="5" t="n">
        <f aca="false">IF(H1087&lt;=16,1.45,
IF(H1087&gt;=41,0.3,
CHOOSE(ROUNDDOWN((H1087-16)/2,0)+1,
1.45,1.38,1.3,1.23,1.17,1.15,1.12,1.05,0.95,0.8,0.6,0.4,0.3)))</f>
        <v>1.23</v>
      </c>
      <c r="T1087" s="5" t="n">
        <f aca="false">CHOOSE(N1087+1,1.2,1,0.85,0.7)</f>
        <v>1.2</v>
      </c>
      <c r="U1087" s="5" t="n">
        <f aca="false">IF(F1087="PO",0.6,
IF(F1087="CT",0.75,
IF(F1087="LI",0.8,
IF(F1087="LD",0.8,
IF(F1087="MCD",0.85,
IF(F1087="MC",0.95,
IF(F1087="MO",1.05,
IF(F1087="EI",1.1,
IF(F1087="ED",1.1,
IF(F1087="SD",1.15,
IF(F1087="DC",1.2,0)))))))))))</f>
        <v>0.75</v>
      </c>
    </row>
    <row r="1088" customFormat="false" ht="16.4" hidden="false" customHeight="false" outlineLevel="0" collapsed="false">
      <c r="A1088" s="1" t="n">
        <v>1087</v>
      </c>
      <c r="B1088" s="5" t="str">
        <f aca="false">[1]Base_Jugadores!B1088</f>
        <v>Torbjørn Heggem</v>
      </c>
      <c r="C1088" s="5" t="str">
        <f aca="false">IFERROR(
   _xlfn.XLOOKUP(VALUE(A1088),[1]Fichajes_Realizados!A$2:A$50000,[1]Fichajes_Realizados!D$2:D$50000,,0,-1),
   _xlfn.XLOOKUP(VALUE(A1088),[1]Base_Jugadores!A$2:A$50000,[1]Base_Jugadores!C$2:C$50000)
)</f>
        <v>Bolonia</v>
      </c>
      <c r="D1088" s="5" t="str">
        <f aca="false">[1]Base_Jugadores!D1088</f>
        <v>Noruega</v>
      </c>
      <c r="E1088" s="3"/>
      <c r="F1088" s="5" t="str">
        <f aca="false">[1]Base_Jugadores!E1088</f>
        <v>CT</v>
      </c>
      <c r="G1088" s="5" t="n">
        <f aca="false">[1]Base_Jugadores!F1088</f>
        <v>69</v>
      </c>
      <c r="H1088" s="5" t="n">
        <f aca="false">[1]Base_Jugadores!G1088</f>
        <v>26</v>
      </c>
      <c r="I1088" s="7" t="n">
        <f aca="false" t="array" ref="I1088:I1088">_xlfn.XLOOKUP(G1088,{55;56;57;58;59;60;61;62;63;64;65;66;67;68;69;70;71;72;73;74;75;76;77;78;79;80;81;82;83;84;85;86;87;88;89;90;91;92;93;94;95;96;97;98;99},{100000;130000;160000;190000;220000;250000;300000;350000;400000;450000;500000;600000;700000;800000;900000;1000000;1500000;2000000;3000000;4000000;5000000;6500000;8000000;10000000;12500000;15000000;20000000;25000000;30000000;35000000;40000000;55000000;70000000;80000000;90000000;110000000;130000000;160000000;190000000;220000000;250000000;280000000;310000000;340000000;400000000})</f>
        <v>900000</v>
      </c>
      <c r="J1088" s="7" t="n">
        <f aca="false">I1088*S1088*T1088*U1088</f>
        <v>931500</v>
      </c>
      <c r="K1088" s="3"/>
      <c r="L1088" s="3"/>
      <c r="M1088" s="3"/>
      <c r="N1088" s="9" t="n">
        <v>0</v>
      </c>
      <c r="O1088" s="4" t="n">
        <v>0</v>
      </c>
      <c r="P1088" s="5" t="n">
        <f aca="false">IF(COUNTIF([1]Base_Jugadores!J$2:J$500,B1088)&gt;0,1,0)</f>
        <v>0</v>
      </c>
      <c r="Q1088" s="10" t="b">
        <f aca="false">--(COUNTIFS(
   [1]Fichajes_Realizados!A$2:A$5000,A1088,
   [1]Fichajes_Realizados!G$2:G$5000,$X$3
)&gt;0)</f>
        <v>0</v>
      </c>
      <c r="R1088" s="5" t="n">
        <f aca="false">_xlfn.XLOOKUP(C1088, [1]Estado_Equipos!A$2:A$500, [1]Estado_Equipos!J$2:J$500, "")</f>
        <v>75</v>
      </c>
      <c r="S1088" s="5" t="n">
        <f aca="false">IF(H1088&lt;=16,1.45,
IF(H1088&gt;=41,0.3,
CHOOSE(ROUNDDOWN((H1088-16)/2,0)+1,
1.45,1.38,1.3,1.23,1.17,1.15,1.12,1.05,0.95,0.8,0.6,0.4,0.3)))</f>
        <v>1.15</v>
      </c>
      <c r="T1088" s="5" t="n">
        <f aca="false">CHOOSE(N1088+1,1.2,1,0.85,0.7)</f>
        <v>1.2</v>
      </c>
      <c r="U1088" s="5" t="n">
        <f aca="false">IF(F1088="PO",0.6,
IF(F1088="CT",0.75,
IF(F1088="LI",0.8,
IF(F1088="LD",0.8,
IF(F1088="MCD",0.85,
IF(F1088="MC",0.95,
IF(F1088="MO",1.05,
IF(F1088="EI",1.1,
IF(F1088="ED",1.1,
IF(F1088="SD",1.15,
IF(F1088="DC",1.2,0)))))))))))</f>
        <v>0.75</v>
      </c>
    </row>
    <row r="1089" customFormat="false" ht="16.4" hidden="false" customHeight="false" outlineLevel="0" collapsed="false">
      <c r="A1089" s="1" t="n">
        <v>1088</v>
      </c>
      <c r="B1089" s="5" t="str">
        <f aca="false">[1]Base_Jugadores!B1089</f>
        <v>Nicolò Casale</v>
      </c>
      <c r="C1089" s="5" t="str">
        <f aca="false">IFERROR(
   _xlfn.XLOOKUP(VALUE(A1089),[1]Fichajes_Realizados!A$2:A$50000,[1]Fichajes_Realizados!D$2:D$50000,,0,-1),
   _xlfn.XLOOKUP(VALUE(A1089),[1]Base_Jugadores!A$2:A$50000,[1]Base_Jugadores!C$2:C$50000)
)</f>
        <v>Bolonia</v>
      </c>
      <c r="D1089" s="5" t="str">
        <f aca="false">[1]Base_Jugadores!D1089</f>
        <v>Italia</v>
      </c>
      <c r="E1089" s="3"/>
      <c r="F1089" s="5" t="str">
        <f aca="false">[1]Base_Jugadores!E1089</f>
        <v>CT</v>
      </c>
      <c r="G1089" s="5" t="n">
        <f aca="false">[1]Base_Jugadores!F1089</f>
        <v>76</v>
      </c>
      <c r="H1089" s="5" t="n">
        <f aca="false">[1]Base_Jugadores!G1089</f>
        <v>27</v>
      </c>
      <c r="I1089" s="7" t="n">
        <f aca="false" t="array" ref="I1089:I1089">_xlfn.XLOOKUP(G1089,{55;56;57;58;59;60;61;62;63;64;65;66;67;68;69;70;71;72;73;74;75;76;77;78;79;80;81;82;83;84;85;86;87;88;89;90;91;92;93;94;95;96;97;98;99},{100000;130000;160000;190000;220000;250000;300000;350000;400000;450000;500000;600000;700000;800000;900000;1000000;1500000;2000000;3000000;4000000;5000000;6500000;8000000;10000000;12500000;15000000;20000000;25000000;30000000;35000000;40000000;55000000;70000000;80000000;90000000;110000000;130000000;160000000;190000000;220000000;250000000;280000000;310000000;340000000;400000000})</f>
        <v>6500000</v>
      </c>
      <c r="J1089" s="7" t="n">
        <f aca="false">I1089*S1089*T1089*U1089</f>
        <v>6727500</v>
      </c>
      <c r="K1089" s="3"/>
      <c r="L1089" s="3"/>
      <c r="M1089" s="3"/>
      <c r="N1089" s="9" t="n">
        <v>0</v>
      </c>
      <c r="O1089" s="4" t="n">
        <v>0</v>
      </c>
      <c r="P1089" s="5" t="n">
        <f aca="false">IF(COUNTIF([1]Base_Jugadores!J$2:J$500,B1089)&gt;0,1,0)</f>
        <v>0</v>
      </c>
      <c r="Q1089" s="10" t="b">
        <f aca="false">--(COUNTIFS(
   [1]Fichajes_Realizados!A$2:A$5000,A1089,
   [1]Fichajes_Realizados!G$2:G$5000,$X$3
)&gt;0)</f>
        <v>0</v>
      </c>
      <c r="R1089" s="5" t="n">
        <f aca="false">_xlfn.XLOOKUP(C1089, [1]Estado_Equipos!A$2:A$500, [1]Estado_Equipos!J$2:J$500, "")</f>
        <v>75</v>
      </c>
      <c r="S1089" s="5" t="n">
        <f aca="false">IF(H1089&lt;=16,1.45,
IF(H1089&gt;=41,0.3,
CHOOSE(ROUNDDOWN((H1089-16)/2,0)+1,
1.45,1.38,1.3,1.23,1.17,1.15,1.12,1.05,0.95,0.8,0.6,0.4,0.3)))</f>
        <v>1.15</v>
      </c>
      <c r="T1089" s="5" t="n">
        <f aca="false">CHOOSE(N1089+1,1.2,1,0.85,0.7)</f>
        <v>1.2</v>
      </c>
      <c r="U1089" s="5" t="n">
        <f aca="false">IF(F1089="PO",0.6,
IF(F1089="CT",0.75,
IF(F1089="LI",0.8,
IF(F1089="LD",0.8,
IF(F1089="MCD",0.85,
IF(F1089="MC",0.95,
IF(F1089="MO",1.05,
IF(F1089="EI",1.1,
IF(F1089="ED",1.1,
IF(F1089="SD",1.15,
IF(F1089="DC",1.2,0)))))))))))</f>
        <v>0.75</v>
      </c>
    </row>
    <row r="1090" customFormat="false" ht="16.4" hidden="false" customHeight="false" outlineLevel="0" collapsed="false">
      <c r="A1090" s="1" t="n">
        <v>1089</v>
      </c>
      <c r="B1090" s="5" t="str">
        <f aca="false">[1]Base_Jugadores!B1090</f>
        <v>Kevin Bonifazi</v>
      </c>
      <c r="C1090" s="5" t="str">
        <f aca="false">IFERROR(
   _xlfn.XLOOKUP(VALUE(A1090),[1]Fichajes_Realizados!A$2:A$50000,[1]Fichajes_Realizados!D$2:D$50000,,0,-1),
   _xlfn.XLOOKUP(VALUE(A1090),[1]Base_Jugadores!A$2:A$50000,[1]Base_Jugadores!C$2:C$50000)
)</f>
        <v>Bolonia</v>
      </c>
      <c r="D1090" s="5" t="str">
        <f aca="false">[1]Base_Jugadores!D1090</f>
        <v>Italia</v>
      </c>
      <c r="E1090" s="3"/>
      <c r="F1090" s="5" t="str">
        <f aca="false">[1]Base_Jugadores!E1090</f>
        <v>CT</v>
      </c>
      <c r="G1090" s="5" t="n">
        <f aca="false">[1]Base_Jugadores!F1090</f>
        <v>69</v>
      </c>
      <c r="H1090" s="5" t="n">
        <f aca="false">[1]Base_Jugadores!G1090</f>
        <v>29</v>
      </c>
      <c r="I1090" s="7" t="n">
        <f aca="false" t="array" ref="I1090:I1090">_xlfn.XLOOKUP(G1090,{55;56;57;58;59;60;61;62;63;64;65;66;67;68;69;70;71;72;73;74;75;76;77;78;79;80;81;82;83;84;85;86;87;88;89;90;91;92;93;94;95;96;97;98;99},{100000;130000;160000;190000;220000;250000;300000;350000;400000;450000;500000;600000;700000;800000;900000;1000000;1500000;2000000;3000000;4000000;5000000;6500000;8000000;10000000;12500000;15000000;20000000;25000000;30000000;35000000;40000000;55000000;70000000;80000000;90000000;110000000;130000000;160000000;190000000;220000000;250000000;280000000;310000000;340000000;400000000})</f>
        <v>900000</v>
      </c>
      <c r="J1090" s="7" t="n">
        <f aca="false">I1090*S1090*T1090*U1090</f>
        <v>907200</v>
      </c>
      <c r="K1090" s="3"/>
      <c r="L1090" s="3"/>
      <c r="M1090" s="3"/>
      <c r="N1090" s="9" t="n">
        <v>0</v>
      </c>
      <c r="O1090" s="4" t="n">
        <v>0</v>
      </c>
      <c r="P1090" s="5" t="n">
        <f aca="false">IF(COUNTIF([1]Base_Jugadores!J$2:J$500,B1090)&gt;0,1,0)</f>
        <v>0</v>
      </c>
      <c r="Q1090" s="10" t="b">
        <f aca="false">--(COUNTIFS(
   [1]Fichajes_Realizados!A$2:A$5000,A1090,
   [1]Fichajes_Realizados!G$2:G$5000,$X$3
)&gt;0)</f>
        <v>0</v>
      </c>
      <c r="R1090" s="5" t="n">
        <f aca="false">_xlfn.XLOOKUP(C1090, [1]Estado_Equipos!A$2:A$500, [1]Estado_Equipos!J$2:J$500, "")</f>
        <v>75</v>
      </c>
      <c r="S1090" s="5" t="n">
        <f aca="false">IF(H1090&lt;=16,1.45,
IF(H1090&gt;=41,0.3,
CHOOSE(ROUNDDOWN((H1090-16)/2,0)+1,
1.45,1.38,1.3,1.23,1.17,1.15,1.12,1.05,0.95,0.8,0.6,0.4,0.3)))</f>
        <v>1.12</v>
      </c>
      <c r="T1090" s="5" t="n">
        <f aca="false">CHOOSE(N1090+1,1.2,1,0.85,0.7)</f>
        <v>1.2</v>
      </c>
      <c r="U1090" s="5" t="n">
        <f aca="false">IF(F1090="PO",0.6,
IF(F1090="CT",0.75,
IF(F1090="LI",0.8,
IF(F1090="LD",0.8,
IF(F1090="MCD",0.85,
IF(F1090="MC",0.95,
IF(F1090="MO",1.05,
IF(F1090="EI",1.1,
IF(F1090="ED",1.1,
IF(F1090="SD",1.15,
IF(F1090="DC",1.2,0)))))))))))</f>
        <v>0.75</v>
      </c>
    </row>
    <row r="1091" customFormat="false" ht="16.4" hidden="false" customHeight="false" outlineLevel="0" collapsed="false">
      <c r="A1091" s="1" t="n">
        <v>1090</v>
      </c>
      <c r="B1091" s="5" t="str">
        <f aca="false">[1]Base_Jugadores!B1091</f>
        <v>Juan Miranda</v>
      </c>
      <c r="C1091" s="5" t="str">
        <f aca="false">IFERROR(
   _xlfn.XLOOKUP(VALUE(A1091),[1]Fichajes_Realizados!A$2:A$50000,[1]Fichajes_Realizados!D$2:D$50000,,0,-1),
   _xlfn.XLOOKUP(VALUE(A1091),[1]Base_Jugadores!A$2:A$50000,[1]Base_Jugadores!C$2:C$50000)
)</f>
        <v>Bolonia</v>
      </c>
      <c r="D1091" s="5" t="str">
        <f aca="false">[1]Base_Jugadores!D1091</f>
        <v>España</v>
      </c>
      <c r="E1091" s="3"/>
      <c r="F1091" s="5" t="str">
        <f aca="false">[1]Base_Jugadores!E1091</f>
        <v>LI</v>
      </c>
      <c r="G1091" s="5" t="n">
        <f aca="false">[1]Base_Jugadores!F1091</f>
        <v>76</v>
      </c>
      <c r="H1091" s="5" t="n">
        <f aca="false">[1]Base_Jugadores!G1091</f>
        <v>25</v>
      </c>
      <c r="I1091" s="7" t="n">
        <f aca="false" t="array" ref="I1091:I1091">_xlfn.XLOOKUP(G1091,{55;56;57;58;59;60;61;62;63;64;65;66;67;68;69;70;71;72;73;74;75;76;77;78;79;80;81;82;83;84;85;86;87;88;89;90;91;92;93;94;95;96;97;98;99},{100000;130000;160000;190000;220000;250000;300000;350000;400000;450000;500000;600000;700000;800000;900000;1000000;1500000;2000000;3000000;4000000;5000000;6500000;8000000;10000000;12500000;15000000;20000000;25000000;30000000;35000000;40000000;55000000;70000000;80000000;90000000;110000000;130000000;160000000;190000000;220000000;250000000;280000000;310000000;340000000;400000000})</f>
        <v>6500000</v>
      </c>
      <c r="J1091" s="7" t="n">
        <f aca="false">I1091*S1091*T1091*U1091</f>
        <v>7300800</v>
      </c>
      <c r="K1091" s="3"/>
      <c r="L1091" s="3"/>
      <c r="M1091" s="3"/>
      <c r="N1091" s="9" t="n">
        <v>0</v>
      </c>
      <c r="O1091" s="4" t="n">
        <v>0</v>
      </c>
      <c r="P1091" s="5" t="n">
        <f aca="false">IF(COUNTIF([1]Base_Jugadores!J$2:J$500,B1091)&gt;0,1,0)</f>
        <v>0</v>
      </c>
      <c r="Q1091" s="10" t="b">
        <f aca="false">--(COUNTIFS(
   [1]Fichajes_Realizados!A$2:A$5000,A1091,
   [1]Fichajes_Realizados!G$2:G$5000,$X$3
)&gt;0)</f>
        <v>0</v>
      </c>
      <c r="R1091" s="5" t="n">
        <f aca="false">_xlfn.XLOOKUP(C1091, [1]Estado_Equipos!A$2:A$500, [1]Estado_Equipos!J$2:J$500, "")</f>
        <v>75</v>
      </c>
      <c r="S1091" s="5" t="n">
        <f aca="false">IF(H1091&lt;=16,1.45,
IF(H1091&gt;=41,0.3,
CHOOSE(ROUNDDOWN((H1091-16)/2,0)+1,
1.45,1.38,1.3,1.23,1.17,1.15,1.12,1.05,0.95,0.8,0.6,0.4,0.3)))</f>
        <v>1.17</v>
      </c>
      <c r="T1091" s="5" t="n">
        <f aca="false">CHOOSE(N1091+1,1.2,1,0.85,0.7)</f>
        <v>1.2</v>
      </c>
      <c r="U1091" s="5" t="n">
        <f aca="false">IF(F1091="PO",0.6,
IF(F1091="CT",0.75,
IF(F1091="LI",0.8,
IF(F1091="LD",0.8,
IF(F1091="MCD",0.85,
IF(F1091="MC",0.95,
IF(F1091="MO",1.05,
IF(F1091="EI",1.1,
IF(F1091="ED",1.1,
IF(F1091="SD",1.15,
IF(F1091="DC",1.2,0)))))))))))</f>
        <v>0.8</v>
      </c>
    </row>
    <row r="1092" customFormat="false" ht="16.4" hidden="false" customHeight="false" outlineLevel="0" collapsed="false">
      <c r="A1092" s="1" t="n">
        <v>1091</v>
      </c>
      <c r="B1092" s="5" t="str">
        <f aca="false">[1]Base_Jugadores!B1092</f>
        <v>C. Lykogiannis</v>
      </c>
      <c r="C1092" s="5" t="str">
        <f aca="false">IFERROR(
   _xlfn.XLOOKUP(VALUE(A1092),[1]Fichajes_Realizados!A$2:A$50000,[1]Fichajes_Realizados!D$2:D$50000,,0,-1),
   _xlfn.XLOOKUP(VALUE(A1092),[1]Base_Jugadores!A$2:A$50000,[1]Base_Jugadores!C$2:C$50000)
)</f>
        <v>Bolonia</v>
      </c>
      <c r="D1092" s="5" t="str">
        <f aca="false">[1]Base_Jugadores!D1092</f>
        <v>Grecia</v>
      </c>
      <c r="E1092" s="3"/>
      <c r="F1092" s="5" t="str">
        <f aca="false">[1]Base_Jugadores!E1092</f>
        <v>LI</v>
      </c>
      <c r="G1092" s="5" t="n">
        <f aca="false">[1]Base_Jugadores!F1092</f>
        <v>74</v>
      </c>
      <c r="H1092" s="5" t="n">
        <f aca="false">[1]Base_Jugadores!G1092</f>
        <v>32</v>
      </c>
      <c r="I1092" s="7" t="n">
        <f aca="false" t="array" ref="I1092:I1092">_xlfn.XLOOKUP(G1092,{55;56;57;58;59;60;61;62;63;64;65;66;67;68;69;70;71;72;73;74;75;76;77;78;79;80;81;82;83;84;85;86;87;88;89;90;91;92;93;94;95;96;97;98;99},{100000;130000;160000;190000;220000;250000;300000;350000;400000;450000;500000;600000;700000;800000;900000;1000000;1500000;2000000;3000000;4000000;5000000;6500000;8000000;10000000;12500000;15000000;20000000;25000000;30000000;35000000;40000000;55000000;70000000;80000000;90000000;110000000;130000000;160000000;190000000;220000000;250000000;280000000;310000000;340000000;400000000})</f>
        <v>4000000</v>
      </c>
      <c r="J1092" s="7" t="n">
        <f aca="false">I1092*S1092*T1092*U1092</f>
        <v>3648000</v>
      </c>
      <c r="K1092" s="3"/>
      <c r="L1092" s="3"/>
      <c r="M1092" s="3"/>
      <c r="N1092" s="9" t="n">
        <v>0</v>
      </c>
      <c r="O1092" s="4" t="n">
        <v>0</v>
      </c>
      <c r="P1092" s="5" t="n">
        <f aca="false">IF(COUNTIF([1]Base_Jugadores!J$2:J$500,B1092)&gt;0,1,0)</f>
        <v>0</v>
      </c>
      <c r="Q1092" s="10" t="b">
        <f aca="false">--(COUNTIFS(
   [1]Fichajes_Realizados!A$2:A$5000,A1092,
   [1]Fichajes_Realizados!G$2:G$5000,$X$3
)&gt;0)</f>
        <v>0</v>
      </c>
      <c r="R1092" s="5" t="n">
        <f aca="false">_xlfn.XLOOKUP(C1092, [1]Estado_Equipos!A$2:A$500, [1]Estado_Equipos!J$2:J$500, "")</f>
        <v>75</v>
      </c>
      <c r="S1092" s="5" t="n">
        <f aca="false">IF(H1092&lt;=16,1.45,
IF(H1092&gt;=41,0.3,
CHOOSE(ROUNDDOWN((H1092-16)/2,0)+1,
1.45,1.38,1.3,1.23,1.17,1.15,1.12,1.05,0.95,0.8,0.6,0.4,0.3)))</f>
        <v>0.95</v>
      </c>
      <c r="T1092" s="5" t="n">
        <f aca="false">CHOOSE(N1092+1,1.2,1,0.85,0.7)</f>
        <v>1.2</v>
      </c>
      <c r="U1092" s="5" t="n">
        <f aca="false">IF(F1092="PO",0.6,
IF(F1092="CT",0.75,
IF(F1092="LI",0.8,
IF(F1092="LD",0.8,
IF(F1092="MCD",0.85,
IF(F1092="MC",0.95,
IF(F1092="MO",1.05,
IF(F1092="EI",1.1,
IF(F1092="ED",1.1,
IF(F1092="SD",1.15,
IF(F1092="DC",1.2,0)))))))))))</f>
        <v>0.8</v>
      </c>
    </row>
    <row r="1093" customFormat="false" ht="16.4" hidden="false" customHeight="false" outlineLevel="0" collapsed="false">
      <c r="A1093" s="1" t="n">
        <v>1092</v>
      </c>
      <c r="B1093" s="5" t="str">
        <f aca="false">[1]Base_Jugadores!B1093</f>
        <v>Emil Holm</v>
      </c>
      <c r="C1093" s="5" t="str">
        <f aca="false">IFERROR(
   _xlfn.XLOOKUP(VALUE(A1093),[1]Fichajes_Realizados!A$2:A$50000,[1]Fichajes_Realizados!D$2:D$50000,,0,-1),
   _xlfn.XLOOKUP(VALUE(A1093),[1]Base_Jugadores!A$2:A$50000,[1]Base_Jugadores!C$2:C$50000)
)</f>
        <v>Bolonia</v>
      </c>
      <c r="D1093" s="5" t="str">
        <f aca="false">[1]Base_Jugadores!D1093</f>
        <v>Suecia</v>
      </c>
      <c r="E1093" s="3"/>
      <c r="F1093" s="5" t="str">
        <f aca="false">[1]Base_Jugadores!E1093</f>
        <v>LD</v>
      </c>
      <c r="G1093" s="5" t="n">
        <f aca="false">[1]Base_Jugadores!F1093</f>
        <v>74</v>
      </c>
      <c r="H1093" s="5" t="n">
        <f aca="false">[1]Base_Jugadores!G1093</f>
        <v>25</v>
      </c>
      <c r="I1093" s="7" t="n">
        <f aca="false" t="array" ref="I1093:I1093">_xlfn.XLOOKUP(G1093,{55;56;57;58;59;60;61;62;63;64;65;66;67;68;69;70;71;72;73;74;75;76;77;78;79;80;81;82;83;84;85;86;87;88;89;90;91;92;93;94;95;96;97;98;99},{100000;130000;160000;190000;220000;250000;300000;350000;400000;450000;500000;600000;700000;800000;900000;1000000;1500000;2000000;3000000;4000000;5000000;6500000;8000000;10000000;12500000;15000000;20000000;25000000;30000000;35000000;40000000;55000000;70000000;80000000;90000000;110000000;130000000;160000000;190000000;220000000;250000000;280000000;310000000;340000000;400000000})</f>
        <v>4000000</v>
      </c>
      <c r="J1093" s="7" t="n">
        <f aca="false">I1093*S1093*T1093*U1093</f>
        <v>4492800</v>
      </c>
      <c r="K1093" s="3"/>
      <c r="L1093" s="3"/>
      <c r="M1093" s="3"/>
      <c r="N1093" s="9" t="n">
        <v>0</v>
      </c>
      <c r="O1093" s="4" t="n">
        <v>0</v>
      </c>
      <c r="P1093" s="5" t="n">
        <f aca="false">IF(COUNTIF([1]Base_Jugadores!J$2:J$500,B1093)&gt;0,1,0)</f>
        <v>0</v>
      </c>
      <c r="Q1093" s="10" t="b">
        <f aca="false">--(COUNTIFS(
   [1]Fichajes_Realizados!A$2:A$5000,A1093,
   [1]Fichajes_Realizados!G$2:G$5000,$X$3
)&gt;0)</f>
        <v>0</v>
      </c>
      <c r="R1093" s="5" t="n">
        <f aca="false">_xlfn.XLOOKUP(C1093, [1]Estado_Equipos!A$2:A$500, [1]Estado_Equipos!J$2:J$500, "")</f>
        <v>75</v>
      </c>
      <c r="S1093" s="5" t="n">
        <f aca="false">IF(H1093&lt;=16,1.45,
IF(H1093&gt;=41,0.3,
CHOOSE(ROUNDDOWN((H1093-16)/2,0)+1,
1.45,1.38,1.3,1.23,1.17,1.15,1.12,1.05,0.95,0.8,0.6,0.4,0.3)))</f>
        <v>1.17</v>
      </c>
      <c r="T1093" s="5" t="n">
        <f aca="false">CHOOSE(N1093+1,1.2,1,0.85,0.7)</f>
        <v>1.2</v>
      </c>
      <c r="U1093" s="5" t="n">
        <f aca="false">IF(F1093="PO",0.6,
IF(F1093="CT",0.75,
IF(F1093="LI",0.8,
IF(F1093="LD",0.8,
IF(F1093="MCD",0.85,
IF(F1093="MC",0.95,
IF(F1093="MO",1.05,
IF(F1093="EI",1.1,
IF(F1093="ED",1.1,
IF(F1093="SD",1.15,
IF(F1093="DC",1.2,0)))))))))))</f>
        <v>0.8</v>
      </c>
    </row>
    <row r="1094" customFormat="false" ht="16.4" hidden="false" customHeight="false" outlineLevel="0" collapsed="false">
      <c r="A1094" s="1" t="n">
        <v>1093</v>
      </c>
      <c r="B1094" s="5" t="str">
        <f aca="false">[1]Base_Jugadores!B1094</f>
        <v>Nadir Zortea</v>
      </c>
      <c r="C1094" s="5" t="str">
        <f aca="false">IFERROR(
   _xlfn.XLOOKUP(VALUE(A1094),[1]Fichajes_Realizados!A$2:A$50000,[1]Fichajes_Realizados!D$2:D$50000,,0,-1),
   _xlfn.XLOOKUP(VALUE(A1094),[1]Base_Jugadores!A$2:A$50000,[1]Base_Jugadores!C$2:C$50000)
)</f>
        <v>Bolonia</v>
      </c>
      <c r="D1094" s="5" t="str">
        <f aca="false">[1]Base_Jugadores!D1094</f>
        <v>Italia</v>
      </c>
      <c r="E1094" s="3"/>
      <c r="F1094" s="5" t="str">
        <f aca="false">[1]Base_Jugadores!E1094</f>
        <v>LD</v>
      </c>
      <c r="G1094" s="5" t="n">
        <f aca="false">[1]Base_Jugadores!F1094</f>
        <v>73</v>
      </c>
      <c r="H1094" s="5" t="n">
        <f aca="false">[1]Base_Jugadores!G1094</f>
        <v>26</v>
      </c>
      <c r="I1094" s="7" t="n">
        <f aca="false" t="array" ref="I1094:I1094">_xlfn.XLOOKUP(G1094,{55;56;57;58;59;60;61;62;63;64;65;66;67;68;69;70;71;72;73;74;75;76;77;78;79;80;81;82;83;84;85;86;87;88;89;90;91;92;93;94;95;96;97;98;99},{100000;130000;160000;190000;220000;250000;300000;350000;400000;450000;500000;600000;700000;800000;900000;1000000;1500000;2000000;3000000;4000000;5000000;6500000;8000000;10000000;12500000;15000000;20000000;25000000;30000000;35000000;40000000;55000000;70000000;80000000;90000000;110000000;130000000;160000000;190000000;220000000;250000000;280000000;310000000;340000000;400000000})</f>
        <v>3000000</v>
      </c>
      <c r="J1094" s="7" t="n">
        <f aca="false">I1094*S1094*T1094*U1094</f>
        <v>3312000</v>
      </c>
      <c r="K1094" s="3"/>
      <c r="L1094" s="3"/>
      <c r="M1094" s="3"/>
      <c r="N1094" s="9" t="n">
        <v>0</v>
      </c>
      <c r="O1094" s="4" t="n">
        <v>0</v>
      </c>
      <c r="P1094" s="5" t="n">
        <f aca="false">IF(COUNTIF([1]Base_Jugadores!J$2:J$500,B1094)&gt;0,1,0)</f>
        <v>0</v>
      </c>
      <c r="Q1094" s="10" t="b">
        <f aca="false">--(COUNTIFS(
   [1]Fichajes_Realizados!A$2:A$5000,A1094,
   [1]Fichajes_Realizados!G$2:G$5000,$X$3
)&gt;0)</f>
        <v>0</v>
      </c>
      <c r="R1094" s="5" t="n">
        <f aca="false">_xlfn.XLOOKUP(C1094, [1]Estado_Equipos!A$2:A$500, [1]Estado_Equipos!J$2:J$500, "")</f>
        <v>75</v>
      </c>
      <c r="S1094" s="5" t="n">
        <f aca="false">IF(H1094&lt;=16,1.45,
IF(H1094&gt;=41,0.3,
CHOOSE(ROUNDDOWN((H1094-16)/2,0)+1,
1.45,1.38,1.3,1.23,1.17,1.15,1.12,1.05,0.95,0.8,0.6,0.4,0.3)))</f>
        <v>1.15</v>
      </c>
      <c r="T1094" s="5" t="n">
        <f aca="false">CHOOSE(N1094+1,1.2,1,0.85,0.7)</f>
        <v>1.2</v>
      </c>
      <c r="U1094" s="5" t="n">
        <f aca="false">IF(F1094="PO",0.6,
IF(F1094="CT",0.75,
IF(F1094="LI",0.8,
IF(F1094="LD",0.8,
IF(F1094="MCD",0.85,
IF(F1094="MC",0.95,
IF(F1094="MO",1.05,
IF(F1094="EI",1.1,
IF(F1094="ED",1.1,
IF(F1094="SD",1.15,
IF(F1094="DC",1.2,0)))))))))))</f>
        <v>0.8</v>
      </c>
    </row>
    <row r="1095" customFormat="false" ht="16.4" hidden="false" customHeight="false" outlineLevel="0" collapsed="false">
      <c r="A1095" s="1" t="n">
        <v>1094</v>
      </c>
      <c r="B1095" s="5" t="str">
        <f aca="false">[1]Base_Jugadores!B1095</f>
        <v>Lorenzo De Silvestri</v>
      </c>
      <c r="C1095" s="5" t="str">
        <f aca="false">IFERROR(
   _xlfn.XLOOKUP(VALUE(A1095),[1]Fichajes_Realizados!A$2:A$50000,[1]Fichajes_Realizados!D$2:D$50000,,0,-1),
   _xlfn.XLOOKUP(VALUE(A1095),[1]Base_Jugadores!A$2:A$50000,[1]Base_Jugadores!C$2:C$50000)
)</f>
        <v>Bolonia</v>
      </c>
      <c r="D1095" s="5" t="str">
        <f aca="false">[1]Base_Jugadores!D1095</f>
        <v>Italia</v>
      </c>
      <c r="E1095" s="3"/>
      <c r="F1095" s="5" t="str">
        <f aca="false">[1]Base_Jugadores!E1095</f>
        <v>LD</v>
      </c>
      <c r="G1095" s="5" t="n">
        <f aca="false">[1]Base_Jugadores!F1095</f>
        <v>72</v>
      </c>
      <c r="H1095" s="5" t="n">
        <f aca="false">[1]Base_Jugadores!G1095</f>
        <v>37</v>
      </c>
      <c r="I1095" s="7" t="n">
        <f aca="false" t="array" ref="I1095:I1095">_xlfn.XLOOKUP(G1095,{55;56;57;58;59;60;61;62;63;64;65;66;67;68;69;70;71;72;73;74;75;76;77;78;79;80;81;82;83;84;85;86;87;88;89;90;91;92;93;94;95;96;97;98;99},{100000;130000;160000;190000;220000;250000;300000;350000;400000;450000;500000;600000;700000;800000;900000;1000000;1500000;2000000;3000000;4000000;5000000;6500000;8000000;10000000;12500000;15000000;20000000;25000000;30000000;35000000;40000000;55000000;70000000;80000000;90000000;110000000;130000000;160000000;190000000;220000000;250000000;280000000;310000000;340000000;400000000})</f>
        <v>2000000</v>
      </c>
      <c r="J1095" s="7" t="n">
        <f aca="false">I1095*S1095*T1095*U1095</f>
        <v>1152000</v>
      </c>
      <c r="K1095" s="3"/>
      <c r="L1095" s="3"/>
      <c r="M1095" s="3"/>
      <c r="N1095" s="9" t="n">
        <v>0</v>
      </c>
      <c r="O1095" s="4" t="n">
        <v>0</v>
      </c>
      <c r="P1095" s="5" t="n">
        <f aca="false">IF(COUNTIF([1]Base_Jugadores!J$2:J$500,B1095)&gt;0,1,0)</f>
        <v>0</v>
      </c>
      <c r="Q1095" s="10" t="b">
        <f aca="false">--(COUNTIFS(
   [1]Fichajes_Realizados!A$2:A$5000,A1095,
   [1]Fichajes_Realizados!G$2:G$5000,$X$3
)&gt;0)</f>
        <v>0</v>
      </c>
      <c r="R1095" s="5" t="n">
        <f aca="false">_xlfn.XLOOKUP(C1095, [1]Estado_Equipos!A$2:A$500, [1]Estado_Equipos!J$2:J$500, "")</f>
        <v>75</v>
      </c>
      <c r="S1095" s="5" t="n">
        <f aca="false">IF(H1095&lt;=16,1.45,
IF(H1095&gt;=41,0.3,
CHOOSE(ROUNDDOWN((H1095-16)/2,0)+1,
1.45,1.38,1.3,1.23,1.17,1.15,1.12,1.05,0.95,0.8,0.6,0.4,0.3)))</f>
        <v>0.6</v>
      </c>
      <c r="T1095" s="5" t="n">
        <f aca="false">CHOOSE(N1095+1,1.2,1,0.85,0.7)</f>
        <v>1.2</v>
      </c>
      <c r="U1095" s="5" t="n">
        <f aca="false">IF(F1095="PO",0.6,
IF(F1095="CT",0.75,
IF(F1095="LI",0.8,
IF(F1095="LD",0.8,
IF(F1095="MCD",0.85,
IF(F1095="MC",0.95,
IF(F1095="MO",1.05,
IF(F1095="EI",1.1,
IF(F1095="ED",1.1,
IF(F1095="SD",1.15,
IF(F1095="DC",1.2,0)))))))))))</f>
        <v>0.8</v>
      </c>
    </row>
    <row r="1096" customFormat="false" ht="16.4" hidden="false" customHeight="false" outlineLevel="0" collapsed="false">
      <c r="A1096" s="1" t="n">
        <v>1095</v>
      </c>
      <c r="B1096" s="5" t="str">
        <f aca="false">[1]Base_Jugadores!B1096</f>
        <v>Ibrahim Sulemana</v>
      </c>
      <c r="C1096" s="5" t="str">
        <f aca="false">IFERROR(
   _xlfn.XLOOKUP(VALUE(A1096),[1]Fichajes_Realizados!A$2:A$50000,[1]Fichajes_Realizados!D$2:D$50000,,0,-1),
   _xlfn.XLOOKUP(VALUE(A1096),[1]Base_Jugadores!A$2:A$50000,[1]Base_Jugadores!C$2:C$50000)
)</f>
        <v>Bolonia</v>
      </c>
      <c r="D1096" s="5" t="str">
        <f aca="false">[1]Base_Jugadores!D1096</f>
        <v>Ghana</v>
      </c>
      <c r="E1096" s="3"/>
      <c r="F1096" s="5" t="str">
        <f aca="false">[1]Base_Jugadores!E1096</f>
        <v>MCD</v>
      </c>
      <c r="G1096" s="5" t="n">
        <f aca="false">[1]Base_Jugadores!F1096</f>
        <v>72</v>
      </c>
      <c r="H1096" s="5" t="n">
        <f aca="false">[1]Base_Jugadores!G1096</f>
        <v>22</v>
      </c>
      <c r="I1096" s="7" t="n">
        <f aca="false" t="array" ref="I1096:I1096">_xlfn.XLOOKUP(G1096,{55;56;57;58;59;60;61;62;63;64;65;66;67;68;69;70;71;72;73;74;75;76;77;78;79;80;81;82;83;84;85;86;87;88;89;90;91;92;93;94;95;96;97;98;99},{100000;130000;160000;190000;220000;250000;300000;350000;400000;450000;500000;600000;700000;800000;900000;1000000;1500000;2000000;3000000;4000000;5000000;6500000;8000000;10000000;12500000;15000000;20000000;25000000;30000000;35000000;40000000;55000000;70000000;80000000;90000000;110000000;130000000;160000000;190000000;220000000;250000000;280000000;310000000;340000000;400000000})</f>
        <v>2000000</v>
      </c>
      <c r="J1096" s="7" t="n">
        <f aca="false">I1096*S1096*T1096*U1096</f>
        <v>2509200</v>
      </c>
      <c r="K1096" s="3"/>
      <c r="L1096" s="3"/>
      <c r="M1096" s="3"/>
      <c r="N1096" s="9" t="n">
        <v>0</v>
      </c>
      <c r="O1096" s="4" t="n">
        <v>0</v>
      </c>
      <c r="P1096" s="5" t="n">
        <f aca="false">IF(COUNTIF([1]Base_Jugadores!J$2:J$500,B1096)&gt;0,1,0)</f>
        <v>0</v>
      </c>
      <c r="Q1096" s="10" t="b">
        <f aca="false">--(COUNTIFS(
   [1]Fichajes_Realizados!A$2:A$5000,A1096,
   [1]Fichajes_Realizados!G$2:G$5000,$X$3
)&gt;0)</f>
        <v>0</v>
      </c>
      <c r="R1096" s="5" t="n">
        <f aca="false">_xlfn.XLOOKUP(C1096, [1]Estado_Equipos!A$2:A$500, [1]Estado_Equipos!J$2:J$500, "")</f>
        <v>75</v>
      </c>
      <c r="S1096" s="5" t="n">
        <f aca="false">IF(H1096&lt;=16,1.45,
IF(H1096&gt;=41,0.3,
CHOOSE(ROUNDDOWN((H1096-16)/2,0)+1,
1.45,1.38,1.3,1.23,1.17,1.15,1.12,1.05,0.95,0.8,0.6,0.4,0.3)))</f>
        <v>1.23</v>
      </c>
      <c r="T1096" s="5" t="n">
        <f aca="false">CHOOSE(N1096+1,1.2,1,0.85,0.7)</f>
        <v>1.2</v>
      </c>
      <c r="U1096" s="5" t="n">
        <f aca="false">IF(F1096="PO",0.6,
IF(F1096="CT",0.75,
IF(F1096="LI",0.8,
IF(F1096="LD",0.8,
IF(F1096="MCD",0.85,
IF(F1096="MC",0.95,
IF(F1096="MO",1.05,
IF(F1096="EI",1.1,
IF(F1096="ED",1.1,
IF(F1096="SD",1.15,
IF(F1096="DC",1.2,0)))))))))))</f>
        <v>0.85</v>
      </c>
    </row>
    <row r="1097" customFormat="false" ht="16.4" hidden="false" customHeight="false" outlineLevel="0" collapsed="false">
      <c r="A1097" s="1" t="n">
        <v>1096</v>
      </c>
      <c r="B1097" s="5" t="str">
        <f aca="false">[1]Base_Jugadores!B1097</f>
        <v>Nikola Moro</v>
      </c>
      <c r="C1097" s="5" t="str">
        <f aca="false">IFERROR(
   _xlfn.XLOOKUP(VALUE(A1097),[1]Fichajes_Realizados!A$2:A$50000,[1]Fichajes_Realizados!D$2:D$50000,,0,-1),
   _xlfn.XLOOKUP(VALUE(A1097),[1]Base_Jugadores!A$2:A$50000,[1]Base_Jugadores!C$2:C$50000)
)</f>
        <v>Bolonia</v>
      </c>
      <c r="D1097" s="5" t="str">
        <f aca="false">[1]Base_Jugadores!D1097</f>
        <v>Croacia</v>
      </c>
      <c r="E1097" s="3"/>
      <c r="F1097" s="5" t="str">
        <f aca="false">[1]Base_Jugadores!E1097</f>
        <v>MCD</v>
      </c>
      <c r="G1097" s="5" t="n">
        <f aca="false">[1]Base_Jugadores!F1097</f>
        <v>76</v>
      </c>
      <c r="H1097" s="5" t="n">
        <f aca="false">[1]Base_Jugadores!G1097</f>
        <v>27</v>
      </c>
      <c r="I1097" s="7" t="n">
        <f aca="false" t="array" ref="I1097:I1097">_xlfn.XLOOKUP(G1097,{55;56;57;58;59;60;61;62;63;64;65;66;67;68;69;70;71;72;73;74;75;76;77;78;79;80;81;82;83;84;85;86;87;88;89;90;91;92;93;94;95;96;97;98;99},{100000;130000;160000;190000;220000;250000;300000;350000;400000;450000;500000;600000;700000;800000;900000;1000000;1500000;2000000;3000000;4000000;5000000;6500000;8000000;10000000;12500000;15000000;20000000;25000000;30000000;35000000;40000000;55000000;70000000;80000000;90000000;110000000;130000000;160000000;190000000;220000000;250000000;280000000;310000000;340000000;400000000})</f>
        <v>6500000</v>
      </c>
      <c r="J1097" s="7" t="n">
        <f aca="false">I1097*S1097*T1097*U1097</f>
        <v>7624500</v>
      </c>
      <c r="K1097" s="3"/>
      <c r="L1097" s="3"/>
      <c r="M1097" s="3"/>
      <c r="N1097" s="9" t="n">
        <v>0</v>
      </c>
      <c r="O1097" s="4" t="n">
        <v>0</v>
      </c>
      <c r="P1097" s="5" t="n">
        <f aca="false">IF(COUNTIF([1]Base_Jugadores!J$2:J$500,B1097)&gt;0,1,0)</f>
        <v>0</v>
      </c>
      <c r="Q1097" s="10" t="b">
        <f aca="false">--(COUNTIFS(
   [1]Fichajes_Realizados!A$2:A$5000,A1097,
   [1]Fichajes_Realizados!G$2:G$5000,$X$3
)&gt;0)</f>
        <v>0</v>
      </c>
      <c r="R1097" s="5" t="n">
        <f aca="false">_xlfn.XLOOKUP(C1097, [1]Estado_Equipos!A$2:A$500, [1]Estado_Equipos!J$2:J$500, "")</f>
        <v>75</v>
      </c>
      <c r="S1097" s="5" t="n">
        <f aca="false">IF(H1097&lt;=16,1.45,
IF(H1097&gt;=41,0.3,
CHOOSE(ROUNDDOWN((H1097-16)/2,0)+1,
1.45,1.38,1.3,1.23,1.17,1.15,1.12,1.05,0.95,0.8,0.6,0.4,0.3)))</f>
        <v>1.15</v>
      </c>
      <c r="T1097" s="5" t="n">
        <f aca="false">CHOOSE(N1097+1,1.2,1,0.85,0.7)</f>
        <v>1.2</v>
      </c>
      <c r="U1097" s="5" t="n">
        <f aca="false">IF(F1097="PO",0.6,
IF(F1097="CT",0.75,
IF(F1097="LI",0.8,
IF(F1097="LD",0.8,
IF(F1097="MCD",0.85,
IF(F1097="MC",0.95,
IF(F1097="MO",1.05,
IF(F1097="EI",1.1,
IF(F1097="ED",1.1,
IF(F1097="SD",1.15,
IF(F1097="DC",1.2,0)))))))))))</f>
        <v>0.85</v>
      </c>
    </row>
    <row r="1098" customFormat="false" ht="16.4" hidden="false" customHeight="false" outlineLevel="0" collapsed="false">
      <c r="A1098" s="1" t="n">
        <v>1097</v>
      </c>
      <c r="B1098" s="5" t="str">
        <f aca="false">[1]Base_Jugadores!B1098</f>
        <v>Lewis Ferguson</v>
      </c>
      <c r="C1098" s="5" t="str">
        <f aca="false">IFERROR(
   _xlfn.XLOOKUP(VALUE(A1098),[1]Fichajes_Realizados!A$2:A$50000,[1]Fichajes_Realizados!D$2:D$50000,,0,-1),
   _xlfn.XLOOKUP(VALUE(A1098),[1]Base_Jugadores!A$2:A$50000,[1]Base_Jugadores!C$2:C$50000)
)</f>
        <v>Bolonia</v>
      </c>
      <c r="D1098" s="5" t="str">
        <f aca="false">[1]Base_Jugadores!D1098</f>
        <v>Escocia</v>
      </c>
      <c r="E1098" s="3"/>
      <c r="F1098" s="5" t="str">
        <f aca="false">[1]Base_Jugadores!E1098</f>
        <v>MC</v>
      </c>
      <c r="G1098" s="5" t="n">
        <f aca="false">[1]Base_Jugadores!F1098</f>
        <v>79</v>
      </c>
      <c r="H1098" s="5" t="n">
        <f aca="false">[1]Base_Jugadores!G1098</f>
        <v>26</v>
      </c>
      <c r="I1098" s="7" t="n">
        <f aca="false" t="array" ref="I1098:I1098">_xlfn.XLOOKUP(G1098,{55;56;57;58;59;60;61;62;63;64;65;66;67;68;69;70;71;72;73;74;75;76;77;78;79;80;81;82;83;84;85;86;87;88;89;90;91;92;93;94;95;96;97;98;99},{100000;130000;160000;190000;220000;250000;300000;350000;400000;450000;500000;600000;700000;800000;900000;1000000;1500000;2000000;3000000;4000000;5000000;6500000;8000000;10000000;12500000;15000000;20000000;25000000;30000000;35000000;40000000;55000000;70000000;80000000;90000000;110000000;130000000;160000000;190000000;220000000;250000000;280000000;310000000;340000000;400000000})</f>
        <v>12500000</v>
      </c>
      <c r="J1098" s="7" t="n">
        <f aca="false">I1098*S1098*T1098*U1098</f>
        <v>16387500</v>
      </c>
      <c r="K1098" s="3"/>
      <c r="L1098" s="3"/>
      <c r="M1098" s="3"/>
      <c r="N1098" s="9" t="n">
        <v>0</v>
      </c>
      <c r="O1098" s="4" t="n">
        <v>0</v>
      </c>
      <c r="P1098" s="5" t="n">
        <f aca="false">IF(COUNTIF([1]Base_Jugadores!J$2:J$500,B1098)&gt;0,1,0)</f>
        <v>0</v>
      </c>
      <c r="Q1098" s="10" t="b">
        <f aca="false">--(COUNTIFS(
   [1]Fichajes_Realizados!A$2:A$5000,A1098,
   [1]Fichajes_Realizados!G$2:G$5000,$X$3
)&gt;0)</f>
        <v>0</v>
      </c>
      <c r="R1098" s="5" t="n">
        <f aca="false">_xlfn.XLOOKUP(C1098, [1]Estado_Equipos!A$2:A$500, [1]Estado_Equipos!J$2:J$500, "")</f>
        <v>75</v>
      </c>
      <c r="S1098" s="5" t="n">
        <f aca="false">IF(H1098&lt;=16,1.45,
IF(H1098&gt;=41,0.3,
CHOOSE(ROUNDDOWN((H1098-16)/2,0)+1,
1.45,1.38,1.3,1.23,1.17,1.15,1.12,1.05,0.95,0.8,0.6,0.4,0.3)))</f>
        <v>1.15</v>
      </c>
      <c r="T1098" s="5" t="n">
        <f aca="false">CHOOSE(N1098+1,1.2,1,0.85,0.7)</f>
        <v>1.2</v>
      </c>
      <c r="U1098" s="5" t="n">
        <f aca="false">IF(F1098="PO",0.6,
IF(F1098="CT",0.75,
IF(F1098="LI",0.8,
IF(F1098="LD",0.8,
IF(F1098="MCD",0.85,
IF(F1098="MC",0.95,
IF(F1098="MO",1.05,
IF(F1098="EI",1.1,
IF(F1098="ED",1.1,
IF(F1098="SD",1.15,
IF(F1098="DC",1.2,0)))))))))))</f>
        <v>0.95</v>
      </c>
    </row>
    <row r="1099" customFormat="false" ht="16.4" hidden="false" customHeight="false" outlineLevel="0" collapsed="false">
      <c r="A1099" s="1" t="n">
        <v>1098</v>
      </c>
      <c r="B1099" s="5" t="str">
        <f aca="false">[1]Base_Jugadores!B1099</f>
        <v>Tommaso Pobega</v>
      </c>
      <c r="C1099" s="5" t="str">
        <f aca="false">IFERROR(
   _xlfn.XLOOKUP(VALUE(A1099),[1]Fichajes_Realizados!A$2:A$50000,[1]Fichajes_Realizados!D$2:D$50000,,0,-1),
   _xlfn.XLOOKUP(VALUE(A1099),[1]Base_Jugadores!A$2:A$50000,[1]Base_Jugadores!C$2:C$50000)
)</f>
        <v>Bolonia</v>
      </c>
      <c r="D1099" s="5" t="str">
        <f aca="false">[1]Base_Jugadores!D1099</f>
        <v>Italia</v>
      </c>
      <c r="E1099" s="3"/>
      <c r="F1099" s="5" t="str">
        <f aca="false">[1]Base_Jugadores!E1099</f>
        <v>MC</v>
      </c>
      <c r="G1099" s="5" t="n">
        <f aca="false">[1]Base_Jugadores!F1099</f>
        <v>75</v>
      </c>
      <c r="H1099" s="5" t="n">
        <f aca="false">[1]Base_Jugadores!G1099</f>
        <v>26</v>
      </c>
      <c r="I1099" s="7" t="n">
        <f aca="false" t="array" ref="I1099:I1099">_xlfn.XLOOKUP(G1099,{55;56;57;58;59;60;61;62;63;64;65;66;67;68;69;70;71;72;73;74;75;76;77;78;79;80;81;82;83;84;85;86;87;88;89;90;91;92;93;94;95;96;97;98;99},{100000;130000;160000;190000;220000;250000;300000;350000;400000;450000;500000;600000;700000;800000;900000;1000000;1500000;2000000;3000000;4000000;5000000;6500000;8000000;10000000;12500000;15000000;20000000;25000000;30000000;35000000;40000000;55000000;70000000;80000000;90000000;110000000;130000000;160000000;190000000;220000000;250000000;280000000;310000000;340000000;400000000})</f>
        <v>5000000</v>
      </c>
      <c r="J1099" s="7" t="n">
        <f aca="false">I1099*S1099*T1099*U1099</f>
        <v>6555000</v>
      </c>
      <c r="K1099" s="3"/>
      <c r="L1099" s="3"/>
      <c r="M1099" s="3"/>
      <c r="N1099" s="9" t="n">
        <v>0</v>
      </c>
      <c r="O1099" s="4" t="n">
        <v>0</v>
      </c>
      <c r="P1099" s="5" t="n">
        <f aca="false">IF(COUNTIF([1]Base_Jugadores!J$2:J$500,B1099)&gt;0,1,0)</f>
        <v>0</v>
      </c>
      <c r="Q1099" s="10" t="b">
        <f aca="false">--(COUNTIFS(
   [1]Fichajes_Realizados!A$2:A$5000,A1099,
   [1]Fichajes_Realizados!G$2:G$5000,$X$3
)&gt;0)</f>
        <v>0</v>
      </c>
      <c r="R1099" s="5" t="n">
        <f aca="false">_xlfn.XLOOKUP(C1099, [1]Estado_Equipos!A$2:A$500, [1]Estado_Equipos!J$2:J$500, "")</f>
        <v>75</v>
      </c>
      <c r="S1099" s="5" t="n">
        <f aca="false">IF(H1099&lt;=16,1.45,
IF(H1099&gt;=41,0.3,
CHOOSE(ROUNDDOWN((H1099-16)/2,0)+1,
1.45,1.38,1.3,1.23,1.17,1.15,1.12,1.05,0.95,0.8,0.6,0.4,0.3)))</f>
        <v>1.15</v>
      </c>
      <c r="T1099" s="5" t="n">
        <f aca="false">CHOOSE(N1099+1,1.2,1,0.85,0.7)</f>
        <v>1.2</v>
      </c>
      <c r="U1099" s="5" t="n">
        <f aca="false">IF(F1099="PO",0.6,
IF(F1099="CT",0.75,
IF(F1099="LI",0.8,
IF(F1099="LD",0.8,
IF(F1099="MCD",0.85,
IF(F1099="MC",0.95,
IF(F1099="MO",1.05,
IF(F1099="EI",1.1,
IF(F1099="ED",1.1,
IF(F1099="SD",1.15,
IF(F1099="DC",1.2,0)))))))))))</f>
        <v>0.95</v>
      </c>
    </row>
    <row r="1100" customFormat="false" ht="16.4" hidden="false" customHeight="false" outlineLevel="0" collapsed="false">
      <c r="A1100" s="1" t="n">
        <v>1099</v>
      </c>
      <c r="B1100" s="5" t="str">
        <f aca="false">[1]Base_Jugadores!B1100</f>
        <v>Remo Freuler</v>
      </c>
      <c r="C1100" s="5" t="str">
        <f aca="false">IFERROR(
   _xlfn.XLOOKUP(VALUE(A1100),[1]Fichajes_Realizados!A$2:A$50000,[1]Fichajes_Realizados!D$2:D$50000,,0,-1),
   _xlfn.XLOOKUP(VALUE(A1100),[1]Base_Jugadores!A$2:A$50000,[1]Base_Jugadores!C$2:C$50000)
)</f>
        <v>Bolonia</v>
      </c>
      <c r="D1100" s="5" t="str">
        <f aca="false">[1]Base_Jugadores!D1100</f>
        <v>Suiza</v>
      </c>
      <c r="E1100" s="3"/>
      <c r="F1100" s="5" t="str">
        <f aca="false">[1]Base_Jugadores!E1100</f>
        <v>MC</v>
      </c>
      <c r="G1100" s="5" t="n">
        <f aca="false">[1]Base_Jugadores!F1100</f>
        <v>79</v>
      </c>
      <c r="H1100" s="5" t="n">
        <f aca="false">[1]Base_Jugadores!G1100</f>
        <v>33</v>
      </c>
      <c r="I1100" s="7" t="n">
        <f aca="false" t="array" ref="I1100:I1100">_xlfn.XLOOKUP(G1100,{55;56;57;58;59;60;61;62;63;64;65;66;67;68;69;70;71;72;73;74;75;76;77;78;79;80;81;82;83;84;85;86;87;88;89;90;91;92;93;94;95;96;97;98;99},{100000;130000;160000;190000;220000;250000;300000;350000;400000;450000;500000;600000;700000;800000;900000;1000000;1500000;2000000;3000000;4000000;5000000;6500000;8000000;10000000;12500000;15000000;20000000;25000000;30000000;35000000;40000000;55000000;70000000;80000000;90000000;110000000;130000000;160000000;190000000;220000000;250000000;280000000;310000000;340000000;400000000})</f>
        <v>12500000</v>
      </c>
      <c r="J1100" s="7" t="n">
        <f aca="false">I1100*S1100*T1100*U1100</f>
        <v>13537500</v>
      </c>
      <c r="K1100" s="3"/>
      <c r="L1100" s="3"/>
      <c r="M1100" s="3"/>
      <c r="N1100" s="9" t="n">
        <v>0</v>
      </c>
      <c r="O1100" s="4" t="n">
        <v>0</v>
      </c>
      <c r="P1100" s="5" t="n">
        <f aca="false">IF(COUNTIF([1]Base_Jugadores!J$2:J$500,B1100)&gt;0,1,0)</f>
        <v>0</v>
      </c>
      <c r="Q1100" s="10" t="b">
        <f aca="false">--(COUNTIFS(
   [1]Fichajes_Realizados!A$2:A$5000,A1100,
   [1]Fichajes_Realizados!G$2:G$5000,$X$3
)&gt;0)</f>
        <v>0</v>
      </c>
      <c r="R1100" s="5" t="n">
        <f aca="false">_xlfn.XLOOKUP(C1100, [1]Estado_Equipos!A$2:A$500, [1]Estado_Equipos!J$2:J$500, "")</f>
        <v>75</v>
      </c>
      <c r="S1100" s="5" t="n">
        <f aca="false">IF(H1100&lt;=16,1.45,
IF(H1100&gt;=41,0.3,
CHOOSE(ROUNDDOWN((H1100-16)/2,0)+1,
1.45,1.38,1.3,1.23,1.17,1.15,1.12,1.05,0.95,0.8,0.6,0.4,0.3)))</f>
        <v>0.95</v>
      </c>
      <c r="T1100" s="5" t="n">
        <f aca="false">CHOOSE(N1100+1,1.2,1,0.85,0.7)</f>
        <v>1.2</v>
      </c>
      <c r="U1100" s="5" t="n">
        <f aca="false">IF(F1100="PO",0.6,
IF(F1100="CT",0.75,
IF(F1100="LI",0.8,
IF(F1100="LD",0.8,
IF(F1100="MCD",0.85,
IF(F1100="MC",0.95,
IF(F1100="MO",1.05,
IF(F1100="EI",1.1,
IF(F1100="ED",1.1,
IF(F1100="SD",1.15,
IF(F1100="DC",1.2,0)))))))))))</f>
        <v>0.95</v>
      </c>
    </row>
    <row r="1101" customFormat="false" ht="16.4" hidden="false" customHeight="false" outlineLevel="0" collapsed="false">
      <c r="A1101" s="1" t="n">
        <v>1100</v>
      </c>
      <c r="B1101" s="5" t="str">
        <f aca="false">[1]Base_Jugadores!B1101</f>
        <v>Jens Odgaard</v>
      </c>
      <c r="C1101" s="5" t="str">
        <f aca="false">IFERROR(
   _xlfn.XLOOKUP(VALUE(A1101),[1]Fichajes_Realizados!A$2:A$50000,[1]Fichajes_Realizados!D$2:D$50000,,0,-1),
   _xlfn.XLOOKUP(VALUE(A1101),[1]Base_Jugadores!A$2:A$50000,[1]Base_Jugadores!C$2:C$50000)
)</f>
        <v>Bolonia</v>
      </c>
      <c r="D1101" s="5" t="str">
        <f aca="false">[1]Base_Jugadores!D1101</f>
        <v>Dinamarca</v>
      </c>
      <c r="E1101" s="3"/>
      <c r="F1101" s="5" t="str">
        <f aca="false">[1]Base_Jugadores!E1101</f>
        <v>MO</v>
      </c>
      <c r="G1101" s="5" t="n">
        <f aca="false">[1]Base_Jugadores!F1101</f>
        <v>71</v>
      </c>
      <c r="H1101" s="5" t="n">
        <f aca="false">[1]Base_Jugadores!G1101</f>
        <v>26</v>
      </c>
      <c r="I1101" s="7" t="n">
        <f aca="false" t="array" ref="I1101:I1101">_xlfn.XLOOKUP(G1101,{55;56;57;58;59;60;61;62;63;64;65;66;67;68;69;70;71;72;73;74;75;76;77;78;79;80;81;82;83;84;85;86;87;88;89;90;91;92;93;94;95;96;97;98;99},{100000;130000;160000;190000;220000;250000;300000;350000;400000;450000;500000;600000;700000;800000;900000;1000000;1500000;2000000;3000000;4000000;5000000;6500000;8000000;10000000;12500000;15000000;20000000;25000000;30000000;35000000;40000000;55000000;70000000;80000000;90000000;110000000;130000000;160000000;190000000;220000000;250000000;280000000;310000000;340000000;400000000})</f>
        <v>1500000</v>
      </c>
      <c r="J1101" s="7" t="n">
        <f aca="false">I1101*S1101*T1101*U1101</f>
        <v>2173500</v>
      </c>
      <c r="K1101" s="3"/>
      <c r="L1101" s="3"/>
      <c r="M1101" s="3"/>
      <c r="N1101" s="9" t="n">
        <v>0</v>
      </c>
      <c r="O1101" s="4" t="n">
        <v>0</v>
      </c>
      <c r="P1101" s="5" t="n">
        <f aca="false">IF(COUNTIF([1]Base_Jugadores!J$2:J$500,B1101)&gt;0,1,0)</f>
        <v>0</v>
      </c>
      <c r="Q1101" s="10" t="b">
        <f aca="false">--(COUNTIFS(
   [1]Fichajes_Realizados!A$2:A$5000,A1101,
   [1]Fichajes_Realizados!G$2:G$5000,$X$3
)&gt;0)</f>
        <v>0</v>
      </c>
      <c r="R1101" s="5" t="n">
        <f aca="false">_xlfn.XLOOKUP(C1101, [1]Estado_Equipos!A$2:A$500, [1]Estado_Equipos!J$2:J$500, "")</f>
        <v>75</v>
      </c>
      <c r="S1101" s="5" t="n">
        <f aca="false">IF(H1101&lt;=16,1.45,
IF(H1101&gt;=41,0.3,
CHOOSE(ROUNDDOWN((H1101-16)/2,0)+1,
1.45,1.38,1.3,1.23,1.17,1.15,1.12,1.05,0.95,0.8,0.6,0.4,0.3)))</f>
        <v>1.15</v>
      </c>
      <c r="T1101" s="5" t="n">
        <f aca="false">CHOOSE(N1101+1,1.2,1,0.85,0.7)</f>
        <v>1.2</v>
      </c>
      <c r="U1101" s="5" t="n">
        <f aca="false">IF(F1101="PO",0.6,
IF(F1101="CT",0.75,
IF(F1101="LI",0.8,
IF(F1101="LD",0.8,
IF(F1101="MCD",0.85,
IF(F1101="MC",0.95,
IF(F1101="MO",1.05,
IF(F1101="EI",1.1,
IF(F1101="ED",1.1,
IF(F1101="SD",1.15,
IF(F1101="DC",1.2,0)))))))))))</f>
        <v>1.05</v>
      </c>
    </row>
    <row r="1102" customFormat="false" ht="16.4" hidden="false" customHeight="false" outlineLevel="0" collapsed="false">
      <c r="A1102" s="1" t="n">
        <v>1101</v>
      </c>
      <c r="B1102" s="5" t="str">
        <f aca="false">[1]Base_Jugadores!B1102</f>
        <v>Giovanni Fabbian</v>
      </c>
      <c r="C1102" s="5" t="str">
        <f aca="false">IFERROR(
   _xlfn.XLOOKUP(VALUE(A1102),[1]Fichajes_Realizados!A$2:A$50000,[1]Fichajes_Realizados!D$2:D$50000,,0,-1),
   _xlfn.XLOOKUP(VALUE(A1102),[1]Base_Jugadores!A$2:A$50000,[1]Base_Jugadores!C$2:C$50000)
)</f>
        <v>Bolonia</v>
      </c>
      <c r="D1102" s="5" t="str">
        <f aca="false">[1]Base_Jugadores!D1102</f>
        <v>Italia</v>
      </c>
      <c r="E1102" s="3"/>
      <c r="F1102" s="5" t="str">
        <f aca="false">[1]Base_Jugadores!E1102</f>
        <v>MO</v>
      </c>
      <c r="G1102" s="5" t="n">
        <f aca="false">[1]Base_Jugadores!F1102</f>
        <v>74</v>
      </c>
      <c r="H1102" s="5" t="n">
        <f aca="false">[1]Base_Jugadores!G1102</f>
        <v>22</v>
      </c>
      <c r="I1102" s="7" t="n">
        <f aca="false" t="array" ref="I1102:I1102">_xlfn.XLOOKUP(G1102,{55;56;57;58;59;60;61;62;63;64;65;66;67;68;69;70;71;72;73;74;75;76;77;78;79;80;81;82;83;84;85;86;87;88;89;90;91;92;93;94;95;96;97;98;99},{100000;130000;160000;190000;220000;250000;300000;350000;400000;450000;500000;600000;700000;800000;900000;1000000;1500000;2000000;3000000;4000000;5000000;6500000;8000000;10000000;12500000;15000000;20000000;25000000;30000000;35000000;40000000;55000000;70000000;80000000;90000000;110000000;130000000;160000000;190000000;220000000;250000000;280000000;310000000;340000000;400000000})</f>
        <v>4000000</v>
      </c>
      <c r="J1102" s="7" t="n">
        <f aca="false">I1102*S1102*T1102*U1102</f>
        <v>6199200</v>
      </c>
      <c r="K1102" s="3"/>
      <c r="L1102" s="3"/>
      <c r="M1102" s="3"/>
      <c r="N1102" s="9" t="n">
        <v>0</v>
      </c>
      <c r="O1102" s="4" t="n">
        <v>0</v>
      </c>
      <c r="P1102" s="5" t="n">
        <f aca="false">IF(COUNTIF([1]Base_Jugadores!J$2:J$500,B1102)&gt;0,1,0)</f>
        <v>0</v>
      </c>
      <c r="Q1102" s="10" t="b">
        <f aca="false">--(COUNTIFS(
   [1]Fichajes_Realizados!A$2:A$5000,A1102,
   [1]Fichajes_Realizados!G$2:G$5000,$X$3
)&gt;0)</f>
        <v>0</v>
      </c>
      <c r="R1102" s="5" t="n">
        <f aca="false">_xlfn.XLOOKUP(C1102, [1]Estado_Equipos!A$2:A$500, [1]Estado_Equipos!J$2:J$500, "")</f>
        <v>75</v>
      </c>
      <c r="S1102" s="5" t="n">
        <f aca="false">IF(H1102&lt;=16,1.45,
IF(H1102&gt;=41,0.3,
CHOOSE(ROUNDDOWN((H1102-16)/2,0)+1,
1.45,1.38,1.3,1.23,1.17,1.15,1.12,1.05,0.95,0.8,0.6,0.4,0.3)))</f>
        <v>1.23</v>
      </c>
      <c r="T1102" s="5" t="n">
        <f aca="false">CHOOSE(N1102+1,1.2,1,0.85,0.7)</f>
        <v>1.2</v>
      </c>
      <c r="U1102" s="5" t="n">
        <f aca="false">IF(F1102="PO",0.6,
IF(F1102="CT",0.75,
IF(F1102="LI",0.8,
IF(F1102="LD",0.8,
IF(F1102="MCD",0.85,
IF(F1102="MC",0.95,
IF(F1102="MO",1.05,
IF(F1102="EI",1.1,
IF(F1102="ED",1.1,
IF(F1102="SD",1.15,
IF(F1102="DC",1.2,0)))))))))))</f>
        <v>1.05</v>
      </c>
    </row>
    <row r="1103" customFormat="false" ht="16.4" hidden="false" customHeight="false" outlineLevel="0" collapsed="false">
      <c r="A1103" s="1" t="n">
        <v>1102</v>
      </c>
      <c r="B1103" s="5" t="str">
        <f aca="false">[1]Base_Jugadores!B1103</f>
        <v>Jonathan Rowe</v>
      </c>
      <c r="C1103" s="5" t="str">
        <f aca="false">IFERROR(
   _xlfn.XLOOKUP(VALUE(A1103),[1]Fichajes_Realizados!A$2:A$50000,[1]Fichajes_Realizados!D$2:D$50000,,0,-1),
   _xlfn.XLOOKUP(VALUE(A1103),[1]Base_Jugadores!A$2:A$50000,[1]Base_Jugadores!C$2:C$50000)
)</f>
        <v>Bolonia</v>
      </c>
      <c r="D1103" s="5" t="str">
        <f aca="false">[1]Base_Jugadores!D1103</f>
        <v>Inglaterra</v>
      </c>
      <c r="E1103" s="3"/>
      <c r="F1103" s="5" t="str">
        <f aca="false">[1]Base_Jugadores!E1103</f>
        <v>EI</v>
      </c>
      <c r="G1103" s="5" t="n">
        <f aca="false">[1]Base_Jugadores!F1103</f>
        <v>74</v>
      </c>
      <c r="H1103" s="5" t="n">
        <f aca="false">[1]Base_Jugadores!G1103</f>
        <v>22</v>
      </c>
      <c r="I1103" s="7" t="n">
        <f aca="false" t="array" ref="I1103:I1103">_xlfn.XLOOKUP(G1103,{55;56;57;58;59;60;61;62;63;64;65;66;67;68;69;70;71;72;73;74;75;76;77;78;79;80;81;82;83;84;85;86;87;88;89;90;91;92;93;94;95;96;97;98;99},{100000;130000;160000;190000;220000;250000;300000;350000;400000;450000;500000;600000;700000;800000;900000;1000000;1500000;2000000;3000000;4000000;5000000;6500000;8000000;10000000;12500000;15000000;20000000;25000000;30000000;35000000;40000000;55000000;70000000;80000000;90000000;110000000;130000000;160000000;190000000;220000000;250000000;280000000;310000000;340000000;400000000})</f>
        <v>4000000</v>
      </c>
      <c r="J1103" s="7" t="n">
        <f aca="false">I1103*S1103*T1103*U1103</f>
        <v>6494400</v>
      </c>
      <c r="K1103" s="3"/>
      <c r="L1103" s="3"/>
      <c r="M1103" s="3"/>
      <c r="N1103" s="9" t="n">
        <v>0</v>
      </c>
      <c r="O1103" s="4" t="n">
        <v>0</v>
      </c>
      <c r="P1103" s="5" t="n">
        <f aca="false">IF(COUNTIF([1]Base_Jugadores!J$2:J$500,B1103)&gt;0,1,0)</f>
        <v>0</v>
      </c>
      <c r="Q1103" s="10" t="b">
        <f aca="false">--(COUNTIFS(
   [1]Fichajes_Realizados!A$2:A$5000,A1103,
   [1]Fichajes_Realizados!G$2:G$5000,$X$3
)&gt;0)</f>
        <v>0</v>
      </c>
      <c r="R1103" s="5" t="n">
        <f aca="false">_xlfn.XLOOKUP(C1103, [1]Estado_Equipos!A$2:A$500, [1]Estado_Equipos!J$2:J$500, "")</f>
        <v>75</v>
      </c>
      <c r="S1103" s="5" t="n">
        <f aca="false">IF(H1103&lt;=16,1.45,
IF(H1103&gt;=41,0.3,
CHOOSE(ROUNDDOWN((H1103-16)/2,0)+1,
1.45,1.38,1.3,1.23,1.17,1.15,1.12,1.05,0.95,0.8,0.6,0.4,0.3)))</f>
        <v>1.23</v>
      </c>
      <c r="T1103" s="5" t="n">
        <f aca="false">CHOOSE(N1103+1,1.2,1,0.85,0.7)</f>
        <v>1.2</v>
      </c>
      <c r="U1103" s="5" t="n">
        <f aca="false">IF(F1103="PO",0.6,
IF(F1103="CT",0.75,
IF(F1103="LI",0.8,
IF(F1103="LD",0.8,
IF(F1103="MCD",0.85,
IF(F1103="MC",0.95,
IF(F1103="MO",1.05,
IF(F1103="EI",1.1,
IF(F1103="ED",1.1,
IF(F1103="SD",1.15,
IF(F1103="DC",1.2,0)))))))))))</f>
        <v>1.1</v>
      </c>
    </row>
    <row r="1104" customFormat="false" ht="16.4" hidden="false" customHeight="false" outlineLevel="0" collapsed="false">
      <c r="A1104" s="1" t="n">
        <v>1103</v>
      </c>
      <c r="B1104" s="5" t="str">
        <f aca="false">[1]Base_Jugadores!B1104</f>
        <v>Benja Domínguez</v>
      </c>
      <c r="C1104" s="5" t="str">
        <f aca="false">IFERROR(
   _xlfn.XLOOKUP(VALUE(A1104),[1]Fichajes_Realizados!A$2:A$50000,[1]Fichajes_Realizados!D$2:D$50000,,0,-1),
   _xlfn.XLOOKUP(VALUE(A1104),[1]Base_Jugadores!A$2:A$50000,[1]Base_Jugadores!C$2:C$50000)
)</f>
        <v>Bolonia</v>
      </c>
      <c r="D1104" s="5" t="str">
        <f aca="false">[1]Base_Jugadores!D1104</f>
        <v>Argentina</v>
      </c>
      <c r="E1104" s="3"/>
      <c r="F1104" s="5" t="str">
        <f aca="false">[1]Base_Jugadores!E1104</f>
        <v>EI</v>
      </c>
      <c r="G1104" s="5" t="n">
        <f aca="false">[1]Base_Jugadores!F1104</f>
        <v>74</v>
      </c>
      <c r="H1104" s="5" t="n">
        <f aca="false">[1]Base_Jugadores!G1104</f>
        <v>22</v>
      </c>
      <c r="I1104" s="7" t="n">
        <f aca="false" t="array" ref="I1104:I1104">_xlfn.XLOOKUP(G1104,{55;56;57;58;59;60;61;62;63;64;65;66;67;68;69;70;71;72;73;74;75;76;77;78;79;80;81;82;83;84;85;86;87;88;89;90;91;92;93;94;95;96;97;98;99},{100000;130000;160000;190000;220000;250000;300000;350000;400000;450000;500000;600000;700000;800000;900000;1000000;1500000;2000000;3000000;4000000;5000000;6500000;8000000;10000000;12500000;15000000;20000000;25000000;30000000;35000000;40000000;55000000;70000000;80000000;90000000;110000000;130000000;160000000;190000000;220000000;250000000;280000000;310000000;340000000;400000000})</f>
        <v>4000000</v>
      </c>
      <c r="J1104" s="7" t="n">
        <f aca="false">I1104*S1104*T1104*U1104</f>
        <v>6494400</v>
      </c>
      <c r="K1104" s="3"/>
      <c r="L1104" s="3"/>
      <c r="M1104" s="3"/>
      <c r="N1104" s="9" t="n">
        <v>0</v>
      </c>
      <c r="O1104" s="4" t="n">
        <v>0</v>
      </c>
      <c r="P1104" s="5" t="n">
        <f aca="false">IF(COUNTIF([1]Base_Jugadores!J$2:J$500,B1104)&gt;0,1,0)</f>
        <v>0</v>
      </c>
      <c r="Q1104" s="10" t="b">
        <f aca="false">--(COUNTIFS(
   [1]Fichajes_Realizados!A$2:A$5000,A1104,
   [1]Fichajes_Realizados!G$2:G$5000,$X$3
)&gt;0)</f>
        <v>0</v>
      </c>
      <c r="R1104" s="5" t="n">
        <f aca="false">_xlfn.XLOOKUP(C1104, [1]Estado_Equipos!A$2:A$500, [1]Estado_Equipos!J$2:J$500, "")</f>
        <v>75</v>
      </c>
      <c r="S1104" s="5" t="n">
        <f aca="false">IF(H1104&lt;=16,1.45,
IF(H1104&gt;=41,0.3,
CHOOSE(ROUNDDOWN((H1104-16)/2,0)+1,
1.45,1.38,1.3,1.23,1.17,1.15,1.12,1.05,0.95,0.8,0.6,0.4,0.3)))</f>
        <v>1.23</v>
      </c>
      <c r="T1104" s="5" t="n">
        <f aca="false">CHOOSE(N1104+1,1.2,1,0.85,0.7)</f>
        <v>1.2</v>
      </c>
      <c r="U1104" s="5" t="n">
        <f aca="false">IF(F1104="PO",0.6,
IF(F1104="CT",0.75,
IF(F1104="LI",0.8,
IF(F1104="LD",0.8,
IF(F1104="MCD",0.85,
IF(F1104="MC",0.95,
IF(F1104="MO",1.05,
IF(F1104="EI",1.1,
IF(F1104="ED",1.1,
IF(F1104="SD",1.15,
IF(F1104="DC",1.2,0)))))))))))</f>
        <v>1.1</v>
      </c>
    </row>
    <row r="1105" customFormat="false" ht="16.4" hidden="false" customHeight="false" outlineLevel="0" collapsed="false">
      <c r="A1105" s="1" t="n">
        <v>1104</v>
      </c>
      <c r="B1105" s="5" t="str">
        <f aca="false">[1]Base_Jugadores!B1105</f>
        <v>Nicolò Cambiaghi</v>
      </c>
      <c r="C1105" s="5" t="str">
        <f aca="false">IFERROR(
   _xlfn.XLOOKUP(VALUE(A1105),[1]Fichajes_Realizados!A$2:A$50000,[1]Fichajes_Realizados!D$2:D$50000,,0,-1),
   _xlfn.XLOOKUP(VALUE(A1105),[1]Base_Jugadores!A$2:A$50000,[1]Base_Jugadores!C$2:C$50000)
)</f>
        <v>Bolonia</v>
      </c>
      <c r="D1105" s="5" t="str">
        <f aca="false">[1]Base_Jugadores!D1105</f>
        <v>Italia</v>
      </c>
      <c r="E1105" s="3"/>
      <c r="F1105" s="5" t="str">
        <f aca="false">[1]Base_Jugadores!E1105</f>
        <v>EI</v>
      </c>
      <c r="G1105" s="5" t="n">
        <f aca="false">[1]Base_Jugadores!F1105</f>
        <v>74</v>
      </c>
      <c r="H1105" s="5" t="n">
        <f aca="false">[1]Base_Jugadores!G1105</f>
        <v>25</v>
      </c>
      <c r="I1105" s="7" t="n">
        <f aca="false" t="array" ref="I1105:I1105">_xlfn.XLOOKUP(G1105,{55;56;57;58;59;60;61;62;63;64;65;66;67;68;69;70;71;72;73;74;75;76;77;78;79;80;81;82;83;84;85;86;87;88;89;90;91;92;93;94;95;96;97;98;99},{100000;130000;160000;190000;220000;250000;300000;350000;400000;450000;500000;600000;700000;800000;900000;1000000;1500000;2000000;3000000;4000000;5000000;6500000;8000000;10000000;12500000;15000000;20000000;25000000;30000000;35000000;40000000;55000000;70000000;80000000;90000000;110000000;130000000;160000000;190000000;220000000;250000000;280000000;310000000;340000000;400000000})</f>
        <v>4000000</v>
      </c>
      <c r="J1105" s="7" t="n">
        <f aca="false">I1105*S1105*T1105*U1105</f>
        <v>6177600</v>
      </c>
      <c r="K1105" s="3"/>
      <c r="L1105" s="3"/>
      <c r="M1105" s="3"/>
      <c r="N1105" s="9" t="n">
        <v>0</v>
      </c>
      <c r="O1105" s="4" t="n">
        <v>0</v>
      </c>
      <c r="P1105" s="5" t="n">
        <f aca="false">IF(COUNTIF([1]Base_Jugadores!J$2:J$500,B1105)&gt;0,1,0)</f>
        <v>0</v>
      </c>
      <c r="Q1105" s="10" t="b">
        <f aca="false">--(COUNTIFS(
   [1]Fichajes_Realizados!A$2:A$5000,A1105,
   [1]Fichajes_Realizados!G$2:G$5000,$X$3
)&gt;0)</f>
        <v>0</v>
      </c>
      <c r="R1105" s="5" t="n">
        <f aca="false">_xlfn.XLOOKUP(C1105, [1]Estado_Equipos!A$2:A$500, [1]Estado_Equipos!J$2:J$500, "")</f>
        <v>75</v>
      </c>
      <c r="S1105" s="5" t="n">
        <f aca="false">IF(H1105&lt;=16,1.45,
IF(H1105&gt;=41,0.3,
CHOOSE(ROUNDDOWN((H1105-16)/2,0)+1,
1.45,1.38,1.3,1.23,1.17,1.15,1.12,1.05,0.95,0.8,0.6,0.4,0.3)))</f>
        <v>1.17</v>
      </c>
      <c r="T1105" s="5" t="n">
        <f aca="false">CHOOSE(N1105+1,1.2,1,0.85,0.7)</f>
        <v>1.2</v>
      </c>
      <c r="U1105" s="5" t="n">
        <f aca="false">IF(F1105="PO",0.6,
IF(F1105="CT",0.75,
IF(F1105="LI",0.8,
IF(F1105="LD",0.8,
IF(F1105="MCD",0.85,
IF(F1105="MC",0.95,
IF(F1105="MO",1.05,
IF(F1105="EI",1.1,
IF(F1105="ED",1.1,
IF(F1105="SD",1.15,
IF(F1105="DC",1.2,0)))))))))))</f>
        <v>1.1</v>
      </c>
    </row>
    <row r="1106" customFormat="false" ht="16.4" hidden="false" customHeight="false" outlineLevel="0" collapsed="false">
      <c r="A1106" s="1" t="n">
        <v>1105</v>
      </c>
      <c r="B1106" s="5" t="str">
        <f aca="false">[1]Base_Jugadores!B1106</f>
        <v>Riccardo Orsolini</v>
      </c>
      <c r="C1106" s="5" t="str">
        <f aca="false">IFERROR(
   _xlfn.XLOOKUP(VALUE(A1106),[1]Fichajes_Realizados!A$2:A$50000,[1]Fichajes_Realizados!D$2:D$50000,,0,-1),
   _xlfn.XLOOKUP(VALUE(A1106),[1]Base_Jugadores!A$2:A$50000,[1]Base_Jugadores!C$2:C$50000)
)</f>
        <v>Bolonia</v>
      </c>
      <c r="D1106" s="5" t="str">
        <f aca="false">[1]Base_Jugadores!D1106</f>
        <v>Italia</v>
      </c>
      <c r="E1106" s="3"/>
      <c r="F1106" s="5" t="str">
        <f aca="false">[1]Base_Jugadores!E1106</f>
        <v>ED</v>
      </c>
      <c r="G1106" s="5" t="n">
        <f aca="false">[1]Base_Jugadores!F1106</f>
        <v>81</v>
      </c>
      <c r="H1106" s="5" t="n">
        <f aca="false">[1]Base_Jugadores!G1106</f>
        <v>28</v>
      </c>
      <c r="I1106" s="7" t="n">
        <f aca="false" t="array" ref="I1106:I1106">_xlfn.XLOOKUP(G1106,{55;56;57;58;59;60;61;62;63;64;65;66;67;68;69;70;71;72;73;74;75;76;77;78;79;80;81;82;83;84;85;86;87;88;89;90;91;92;93;94;95;96;97;98;99},{100000;130000;160000;190000;220000;250000;300000;350000;400000;450000;500000;600000;700000;800000;900000;1000000;1500000;2000000;3000000;4000000;5000000;6500000;8000000;10000000;12500000;15000000;20000000;25000000;30000000;35000000;40000000;55000000;70000000;80000000;90000000;110000000;130000000;160000000;190000000;220000000;250000000;280000000;310000000;340000000;400000000})</f>
        <v>20000000</v>
      </c>
      <c r="J1106" s="7" t="n">
        <f aca="false">I1106*S1106*T1106*U1106</f>
        <v>29568000</v>
      </c>
      <c r="K1106" s="3"/>
      <c r="L1106" s="3"/>
      <c r="M1106" s="3"/>
      <c r="N1106" s="9" t="n">
        <v>0</v>
      </c>
      <c r="O1106" s="4" t="n">
        <v>0</v>
      </c>
      <c r="P1106" s="5" t="n">
        <f aca="false">IF(COUNTIF([1]Base_Jugadores!J$2:J$500,B1106)&gt;0,1,0)</f>
        <v>0</v>
      </c>
      <c r="Q1106" s="10" t="b">
        <f aca="false">--(COUNTIFS(
   [1]Fichajes_Realizados!A$2:A$5000,A1106,
   [1]Fichajes_Realizados!G$2:G$5000,$X$3
)&gt;0)</f>
        <v>0</v>
      </c>
      <c r="R1106" s="5" t="n">
        <f aca="false">_xlfn.XLOOKUP(C1106, [1]Estado_Equipos!A$2:A$500, [1]Estado_Equipos!J$2:J$500, "")</f>
        <v>75</v>
      </c>
      <c r="S1106" s="5" t="n">
        <f aca="false">IF(H1106&lt;=16,1.45,
IF(H1106&gt;=41,0.3,
CHOOSE(ROUNDDOWN((H1106-16)/2,0)+1,
1.45,1.38,1.3,1.23,1.17,1.15,1.12,1.05,0.95,0.8,0.6,0.4,0.3)))</f>
        <v>1.12</v>
      </c>
      <c r="T1106" s="5" t="n">
        <f aca="false">CHOOSE(N1106+1,1.2,1,0.85,0.7)</f>
        <v>1.2</v>
      </c>
      <c r="U1106" s="5" t="n">
        <f aca="false">IF(F1106="PO",0.6,
IF(F1106="CT",0.75,
IF(F1106="LI",0.8,
IF(F1106="LD",0.8,
IF(F1106="MCD",0.85,
IF(F1106="MC",0.95,
IF(F1106="MO",1.05,
IF(F1106="EI",1.1,
IF(F1106="ED",1.1,
IF(F1106="SD",1.15,
IF(F1106="DC",1.2,0)))))))))))</f>
        <v>1.1</v>
      </c>
    </row>
    <row r="1107" customFormat="false" ht="16.4" hidden="false" customHeight="false" outlineLevel="0" collapsed="false">
      <c r="A1107" s="1" t="n">
        <v>1106</v>
      </c>
      <c r="B1107" s="5" t="str">
        <f aca="false">[1]Base_Jugadores!B1107</f>
        <v>F. Bernardeschi</v>
      </c>
      <c r="C1107" s="5" t="str">
        <f aca="false">IFERROR(
   _xlfn.XLOOKUP(VALUE(A1107),[1]Fichajes_Realizados!A$2:A$50000,[1]Fichajes_Realizados!D$2:D$50000,,0,-1),
   _xlfn.XLOOKUP(VALUE(A1107),[1]Base_Jugadores!A$2:A$50000,[1]Base_Jugadores!C$2:C$50000)
)</f>
        <v>Bolonia</v>
      </c>
      <c r="D1107" s="5" t="str">
        <f aca="false">[1]Base_Jugadores!D1107</f>
        <v>Italia</v>
      </c>
      <c r="E1107" s="3"/>
      <c r="F1107" s="5" t="str">
        <f aca="false">[1]Base_Jugadores!E1107</f>
        <v>ED</v>
      </c>
      <c r="G1107" s="5" t="n">
        <f aca="false">[1]Base_Jugadores!F1107</f>
        <v>78</v>
      </c>
      <c r="H1107" s="5" t="n">
        <f aca="false">[1]Base_Jugadores!G1107</f>
        <v>31</v>
      </c>
      <c r="I1107" s="7" t="n">
        <f aca="false" t="array" ref="I1107:I1107">_xlfn.XLOOKUP(G1107,{55;56;57;58;59;60;61;62;63;64;65;66;67;68;69;70;71;72;73;74;75;76;77;78;79;80;81;82;83;84;85;86;87;88;89;90;91;92;93;94;95;96;97;98;99},{100000;130000;160000;190000;220000;250000;300000;350000;400000;450000;500000;600000;700000;800000;900000;1000000;1500000;2000000;3000000;4000000;5000000;6500000;8000000;10000000;12500000;15000000;20000000;25000000;30000000;35000000;40000000;55000000;70000000;80000000;90000000;110000000;130000000;160000000;190000000;220000000;250000000;280000000;310000000;340000000;400000000})</f>
        <v>10000000</v>
      </c>
      <c r="J1107" s="7" t="n">
        <f aca="false">I1107*S1107*T1107*U1107</f>
        <v>13860000</v>
      </c>
      <c r="K1107" s="3"/>
      <c r="L1107" s="3"/>
      <c r="M1107" s="3"/>
      <c r="N1107" s="9" t="n">
        <v>0</v>
      </c>
      <c r="O1107" s="4" t="n">
        <v>0</v>
      </c>
      <c r="P1107" s="5" t="n">
        <f aca="false">IF(COUNTIF([1]Base_Jugadores!J$2:J$500,B1107)&gt;0,1,0)</f>
        <v>0</v>
      </c>
      <c r="Q1107" s="10" t="b">
        <f aca="false">--(COUNTIFS(
   [1]Fichajes_Realizados!A$2:A$5000,A1107,
   [1]Fichajes_Realizados!G$2:G$5000,$X$3
)&gt;0)</f>
        <v>0</v>
      </c>
      <c r="R1107" s="5" t="n">
        <f aca="false">_xlfn.XLOOKUP(C1107, [1]Estado_Equipos!A$2:A$500, [1]Estado_Equipos!J$2:J$500, "")</f>
        <v>75</v>
      </c>
      <c r="S1107" s="5" t="n">
        <f aca="false">IF(H1107&lt;=16,1.45,
IF(H1107&gt;=41,0.3,
CHOOSE(ROUNDDOWN((H1107-16)/2,0)+1,
1.45,1.38,1.3,1.23,1.17,1.15,1.12,1.05,0.95,0.8,0.6,0.4,0.3)))</f>
        <v>1.05</v>
      </c>
      <c r="T1107" s="5" t="n">
        <f aca="false">CHOOSE(N1107+1,1.2,1,0.85,0.7)</f>
        <v>1.2</v>
      </c>
      <c r="U1107" s="5" t="n">
        <f aca="false">IF(F1107="PO",0.6,
IF(F1107="CT",0.75,
IF(F1107="LI",0.8,
IF(F1107="LD",0.8,
IF(F1107="MCD",0.85,
IF(F1107="MC",0.95,
IF(F1107="MO",1.05,
IF(F1107="EI",1.1,
IF(F1107="ED",1.1,
IF(F1107="SD",1.15,
IF(F1107="DC",1.2,0)))))))))))</f>
        <v>1.1</v>
      </c>
    </row>
    <row r="1108" customFormat="false" ht="16.4" hidden="false" customHeight="false" outlineLevel="0" collapsed="false">
      <c r="A1108" s="1" t="n">
        <v>1107</v>
      </c>
      <c r="B1108" s="5" t="str">
        <f aca="false">[1]Base_Jugadores!B1108</f>
        <v>Santiago Castro</v>
      </c>
      <c r="C1108" s="5" t="str">
        <f aca="false">IFERROR(
   _xlfn.XLOOKUP(VALUE(A1108),[1]Fichajes_Realizados!A$2:A$50000,[1]Fichajes_Realizados!D$2:D$50000,,0,-1),
   _xlfn.XLOOKUP(VALUE(A1108),[1]Base_Jugadores!A$2:A$50000,[1]Base_Jugadores!C$2:C$50000)
)</f>
        <v>Bolonia</v>
      </c>
      <c r="D1108" s="5" t="str">
        <f aca="false">[1]Base_Jugadores!D1108</f>
        <v>Argentina</v>
      </c>
      <c r="E1108" s="3"/>
      <c r="F1108" s="5" t="str">
        <f aca="false">[1]Base_Jugadores!E1108</f>
        <v>DC</v>
      </c>
      <c r="G1108" s="5" t="n">
        <f aca="false">[1]Base_Jugadores!F1108</f>
        <v>76</v>
      </c>
      <c r="H1108" s="5" t="n">
        <f aca="false">[1]Base_Jugadores!G1108</f>
        <v>21</v>
      </c>
      <c r="I1108" s="7" t="n">
        <f aca="false" t="array" ref="I1108:I1108">_xlfn.XLOOKUP(G1108,{55;56;57;58;59;60;61;62;63;64;65;66;67;68;69;70;71;72;73;74;75;76;77;78;79;80;81;82;83;84;85;86;87;88;89;90;91;92;93;94;95;96;97;98;99},{100000;130000;160000;190000;220000;250000;300000;350000;400000;450000;500000;600000;700000;800000;900000;1000000;1500000;2000000;3000000;4000000;5000000;6500000;8000000;10000000;12500000;15000000;20000000;25000000;30000000;35000000;40000000;55000000;70000000;80000000;90000000;110000000;130000000;160000000;190000000;220000000;250000000;280000000;310000000;340000000;400000000})</f>
        <v>6500000</v>
      </c>
      <c r="J1108" s="7" t="n">
        <f aca="false">I1108*S1108*T1108*U1108</f>
        <v>12168000</v>
      </c>
      <c r="K1108" s="3"/>
      <c r="L1108" s="3"/>
      <c r="M1108" s="3"/>
      <c r="N1108" s="9" t="n">
        <v>0</v>
      </c>
      <c r="O1108" s="4" t="n">
        <v>0</v>
      </c>
      <c r="P1108" s="5" t="n">
        <f aca="false">IF(COUNTIF([1]Base_Jugadores!J$2:J$500,B1108)&gt;0,1,0)</f>
        <v>0</v>
      </c>
      <c r="Q1108" s="10" t="b">
        <f aca="false">--(COUNTIFS(
   [1]Fichajes_Realizados!A$2:A$5000,A1108,
   [1]Fichajes_Realizados!G$2:G$5000,$X$3
)&gt;0)</f>
        <v>0</v>
      </c>
      <c r="R1108" s="5" t="n">
        <f aca="false">_xlfn.XLOOKUP(C1108, [1]Estado_Equipos!A$2:A$500, [1]Estado_Equipos!J$2:J$500, "")</f>
        <v>75</v>
      </c>
      <c r="S1108" s="5" t="n">
        <f aca="false">IF(H1108&lt;=16,1.45,
IF(H1108&gt;=41,0.3,
CHOOSE(ROUNDDOWN((H1108-16)/2,0)+1,
1.45,1.38,1.3,1.23,1.17,1.15,1.12,1.05,0.95,0.8,0.6,0.4,0.3)))</f>
        <v>1.3</v>
      </c>
      <c r="T1108" s="5" t="n">
        <f aca="false">CHOOSE(N1108+1,1.2,1,0.85,0.7)</f>
        <v>1.2</v>
      </c>
      <c r="U1108" s="5" t="n">
        <f aca="false">IF(F1108="PO",0.6,
IF(F1108="CT",0.75,
IF(F1108="LI",0.8,
IF(F1108="LD",0.8,
IF(F1108="MCD",0.85,
IF(F1108="MC",0.95,
IF(F1108="MO",1.05,
IF(F1108="EI",1.1,
IF(F1108="ED",1.1,
IF(F1108="SD",1.15,
IF(F1108="DC",1.2,0)))))))))))</f>
        <v>1.2</v>
      </c>
    </row>
    <row r="1109" customFormat="false" ht="16.4" hidden="false" customHeight="false" outlineLevel="0" collapsed="false">
      <c r="A1109" s="1" t="n">
        <v>1108</v>
      </c>
      <c r="B1109" s="5" t="str">
        <f aca="false">[1]Base_Jugadores!B1109</f>
        <v>Thijs Dallinga</v>
      </c>
      <c r="C1109" s="5" t="str">
        <f aca="false">IFERROR(
   _xlfn.XLOOKUP(VALUE(A1109),[1]Fichajes_Realizados!A$2:A$50000,[1]Fichajes_Realizados!D$2:D$50000,,0,-1),
   _xlfn.XLOOKUP(VALUE(A1109),[1]Base_Jugadores!A$2:A$50000,[1]Base_Jugadores!C$2:C$50000)
)</f>
        <v>Bolonia</v>
      </c>
      <c r="D1109" s="5" t="str">
        <f aca="false">[1]Base_Jugadores!D1109</f>
        <v>Países Bajos</v>
      </c>
      <c r="E1109" s="3"/>
      <c r="F1109" s="5" t="str">
        <f aca="false">[1]Base_Jugadores!E1109</f>
        <v>DC</v>
      </c>
      <c r="G1109" s="5" t="n">
        <f aca="false">[1]Base_Jugadores!F1109</f>
        <v>77</v>
      </c>
      <c r="H1109" s="5" t="n">
        <f aca="false">[1]Base_Jugadores!G1109</f>
        <v>25</v>
      </c>
      <c r="I1109" s="7" t="n">
        <f aca="false" t="array" ref="I1109:I1109">_xlfn.XLOOKUP(G1109,{55;56;57;58;59;60;61;62;63;64;65;66;67;68;69;70;71;72;73;74;75;76;77;78;79;80;81;82;83;84;85;86;87;88;89;90;91;92;93;94;95;96;97;98;99},{100000;130000;160000;190000;220000;250000;300000;350000;400000;450000;500000;600000;700000;800000;900000;1000000;1500000;2000000;3000000;4000000;5000000;6500000;8000000;10000000;12500000;15000000;20000000;25000000;30000000;35000000;40000000;55000000;70000000;80000000;90000000;110000000;130000000;160000000;190000000;220000000;250000000;280000000;310000000;340000000;400000000})</f>
        <v>8000000</v>
      </c>
      <c r="J1109" s="7" t="n">
        <f aca="false">I1109*S1109*T1109*U1109</f>
        <v>13478400</v>
      </c>
      <c r="K1109" s="3"/>
      <c r="L1109" s="3"/>
      <c r="M1109" s="3"/>
      <c r="N1109" s="9" t="n">
        <v>0</v>
      </c>
      <c r="O1109" s="4" t="n">
        <v>0</v>
      </c>
      <c r="P1109" s="5" t="n">
        <f aca="false">IF(COUNTIF([1]Base_Jugadores!J$2:J$500,B1109)&gt;0,1,0)</f>
        <v>0</v>
      </c>
      <c r="Q1109" s="10" t="b">
        <f aca="false">--(COUNTIFS(
   [1]Fichajes_Realizados!A$2:A$5000,A1109,
   [1]Fichajes_Realizados!G$2:G$5000,$X$3
)&gt;0)</f>
        <v>0</v>
      </c>
      <c r="R1109" s="5" t="n">
        <f aca="false">_xlfn.XLOOKUP(C1109, [1]Estado_Equipos!A$2:A$500, [1]Estado_Equipos!J$2:J$500, "")</f>
        <v>75</v>
      </c>
      <c r="S1109" s="5" t="n">
        <f aca="false">IF(H1109&lt;=16,1.45,
IF(H1109&gt;=41,0.3,
CHOOSE(ROUNDDOWN((H1109-16)/2,0)+1,
1.45,1.38,1.3,1.23,1.17,1.15,1.12,1.05,0.95,0.8,0.6,0.4,0.3)))</f>
        <v>1.17</v>
      </c>
      <c r="T1109" s="5" t="n">
        <f aca="false">CHOOSE(N1109+1,1.2,1,0.85,0.7)</f>
        <v>1.2</v>
      </c>
      <c r="U1109" s="5" t="n">
        <f aca="false">IF(F1109="PO",0.6,
IF(F1109="CT",0.75,
IF(F1109="LI",0.8,
IF(F1109="LD",0.8,
IF(F1109="MCD",0.85,
IF(F1109="MC",0.95,
IF(F1109="MO",1.05,
IF(F1109="EI",1.1,
IF(F1109="ED",1.1,
IF(F1109="SD",1.15,
IF(F1109="DC",1.2,0)))))))))))</f>
        <v>1.2</v>
      </c>
    </row>
    <row r="1110" customFormat="false" ht="16.4" hidden="false" customHeight="false" outlineLevel="0" collapsed="false">
      <c r="A1110" s="1" t="n">
        <v>1109</v>
      </c>
      <c r="B1110" s="5" t="str">
        <f aca="false">[1]Base_Jugadores!B1110</f>
        <v>Ciro Immobile</v>
      </c>
      <c r="C1110" s="5" t="str">
        <f aca="false">IFERROR(
   _xlfn.XLOOKUP(VALUE(A1110),[1]Fichajes_Realizados!A$2:A$50000,[1]Fichajes_Realizados!D$2:D$50000,,0,-1),
   _xlfn.XLOOKUP(VALUE(A1110),[1]Base_Jugadores!A$2:A$50000,[1]Base_Jugadores!C$2:C$50000)
)</f>
        <v>Bolonia</v>
      </c>
      <c r="D1110" s="5" t="str">
        <f aca="false">[1]Base_Jugadores!D1110</f>
        <v>Italia</v>
      </c>
      <c r="E1110" s="3"/>
      <c r="F1110" s="5" t="str">
        <f aca="false">[1]Base_Jugadores!E1110</f>
        <v>DC</v>
      </c>
      <c r="G1110" s="5" t="n">
        <f aca="false">[1]Base_Jugadores!F1110</f>
        <v>82</v>
      </c>
      <c r="H1110" s="5" t="n">
        <f aca="false">[1]Base_Jugadores!G1110</f>
        <v>35</v>
      </c>
      <c r="I1110" s="7" t="n">
        <f aca="false" t="array" ref="I1110:I1110">_xlfn.XLOOKUP(G1110,{55;56;57;58;59;60;61;62;63;64;65;66;67;68;69;70;71;72;73;74;75;76;77;78;79;80;81;82;83;84;85;86;87;88;89;90;91;92;93;94;95;96;97;98;99},{100000;130000;160000;190000;220000;250000;300000;350000;400000;450000;500000;600000;700000;800000;900000;1000000;1500000;2000000;3000000;4000000;5000000;6500000;8000000;10000000;12500000;15000000;20000000;25000000;30000000;35000000;40000000;55000000;70000000;80000000;90000000;110000000;130000000;160000000;190000000;220000000;250000000;280000000;310000000;340000000;400000000})</f>
        <v>25000000</v>
      </c>
      <c r="J1110" s="7" t="n">
        <f aca="false">I1110*S1110*T1110*U1110</f>
        <v>28800000</v>
      </c>
      <c r="K1110" s="3"/>
      <c r="L1110" s="3"/>
      <c r="M1110" s="3"/>
      <c r="N1110" s="9" t="n">
        <v>0</v>
      </c>
      <c r="O1110" s="4" t="n">
        <v>0</v>
      </c>
      <c r="P1110" s="5" t="n">
        <f aca="false">IF(COUNTIF([1]Base_Jugadores!J$2:J$500,B1110)&gt;0,1,0)</f>
        <v>0</v>
      </c>
      <c r="Q1110" s="10" t="b">
        <f aca="false">--(COUNTIFS(
   [1]Fichajes_Realizados!A$2:A$5000,A1110,
   [1]Fichajes_Realizados!G$2:G$5000,$X$3
)&gt;0)</f>
        <v>0</v>
      </c>
      <c r="R1110" s="5" t="n">
        <f aca="false">_xlfn.XLOOKUP(C1110, [1]Estado_Equipos!A$2:A$500, [1]Estado_Equipos!J$2:J$500, "")</f>
        <v>75</v>
      </c>
      <c r="S1110" s="5" t="n">
        <f aca="false">IF(H1110&lt;=16,1.45,
IF(H1110&gt;=41,0.3,
CHOOSE(ROUNDDOWN((H1110-16)/2,0)+1,
1.45,1.38,1.3,1.23,1.17,1.15,1.12,1.05,0.95,0.8,0.6,0.4,0.3)))</f>
        <v>0.8</v>
      </c>
      <c r="T1110" s="5" t="n">
        <f aca="false">CHOOSE(N1110+1,1.2,1,0.85,0.7)</f>
        <v>1.2</v>
      </c>
      <c r="U1110" s="5" t="n">
        <f aca="false">IF(F1110="PO",0.6,
IF(F1110="CT",0.75,
IF(F1110="LI",0.8,
IF(F1110="LD",0.8,
IF(F1110="MCD",0.85,
IF(F1110="MC",0.95,
IF(F1110="MO",1.05,
IF(F1110="EI",1.1,
IF(F1110="ED",1.1,
IF(F1110="SD",1.15,
IF(F1110="DC",1.2,0)))))))))))</f>
        <v>1.2</v>
      </c>
    </row>
    <row r="1111" customFormat="false" ht="16.4" hidden="false" customHeight="false" outlineLevel="0" collapsed="false">
      <c r="A1111" s="1" t="n">
        <v>1110</v>
      </c>
      <c r="B1111" s="5" t="str">
        <f aca="false">[1]Base_Jugadores!B1111</f>
        <v>Elia Caprile</v>
      </c>
      <c r="C1111" s="5" t="str">
        <f aca="false">IFERROR(
   _xlfn.XLOOKUP(VALUE(A1111),[1]Fichajes_Realizados!A$2:A$50000,[1]Fichajes_Realizados!D$2:D$50000,,0,-1),
   _xlfn.XLOOKUP(VALUE(A1111),[1]Base_Jugadores!A$2:A$50000,[1]Base_Jugadores!C$2:C$50000)
)</f>
        <v>Cagliari</v>
      </c>
      <c r="D1111" s="5" t="str">
        <f aca="false">[1]Base_Jugadores!D1111</f>
        <v>Italia</v>
      </c>
      <c r="E1111" s="3"/>
      <c r="F1111" s="5" t="str">
        <f aca="false">[1]Base_Jugadores!E1111</f>
        <v>PO</v>
      </c>
      <c r="G1111" s="5" t="n">
        <f aca="false">[1]Base_Jugadores!F1111</f>
        <v>75</v>
      </c>
      <c r="H1111" s="5" t="n">
        <f aca="false">[1]Base_Jugadores!G1111</f>
        <v>24</v>
      </c>
      <c r="I1111" s="7" t="n">
        <f aca="false" t="array" ref="I1111:I1111">_xlfn.XLOOKUP(G1111,{55;56;57;58;59;60;61;62;63;64;65;66;67;68;69;70;71;72;73;74;75;76;77;78;79;80;81;82;83;84;85;86;87;88;89;90;91;92;93;94;95;96;97;98;99},{100000;130000;160000;190000;220000;250000;300000;350000;400000;450000;500000;600000;700000;800000;900000;1000000;1500000;2000000;3000000;4000000;5000000;6500000;8000000;10000000;12500000;15000000;20000000;25000000;30000000;35000000;40000000;55000000;70000000;80000000;90000000;110000000;130000000;160000000;190000000;220000000;250000000;280000000;310000000;340000000;400000000})</f>
        <v>5000000</v>
      </c>
      <c r="J1111" s="7" t="n">
        <f aca="false">I1111*S1111*T1111*U1111</f>
        <v>4212000</v>
      </c>
      <c r="K1111" s="3"/>
      <c r="L1111" s="3"/>
      <c r="M1111" s="3"/>
      <c r="N1111" s="9" t="n">
        <v>0</v>
      </c>
      <c r="O1111" s="4" t="n">
        <v>0</v>
      </c>
      <c r="P1111" s="5" t="n">
        <f aca="false">IF(COUNTIF([1]Base_Jugadores!J$2:J$500,B1111)&gt;0,1,0)</f>
        <v>0</v>
      </c>
      <c r="Q1111" s="10" t="b">
        <f aca="false">--(COUNTIFS(
   [1]Fichajes_Realizados!A$2:A$5000,A1111,
   [1]Fichajes_Realizados!G$2:G$5000,$X$3
)&gt;0)</f>
        <v>0</v>
      </c>
      <c r="R1111" s="5" t="n">
        <f aca="false">_xlfn.XLOOKUP(C1111, [1]Estado_Equipos!A$2:A$500, [1]Estado_Equipos!J$2:J$500, "")</f>
        <v>71</v>
      </c>
      <c r="S1111" s="5" t="n">
        <f aca="false">IF(H1111&lt;=16,1.45,
IF(H1111&gt;=41,0.3,
CHOOSE(ROUNDDOWN((H1111-16)/2,0)+1,
1.45,1.38,1.3,1.23,1.17,1.15,1.12,1.05,0.95,0.8,0.6,0.4,0.3)))</f>
        <v>1.17</v>
      </c>
      <c r="T1111" s="5" t="n">
        <f aca="false">CHOOSE(N1111+1,1.2,1,0.85,0.7)</f>
        <v>1.2</v>
      </c>
      <c r="U1111" s="5" t="n">
        <f aca="false">IF(F1111="PO",0.6,
IF(F1111="CT",0.75,
IF(F1111="LI",0.8,
IF(F1111="LD",0.8,
IF(F1111="MCD",0.85,
IF(F1111="MC",0.95,
IF(F1111="MO",1.05,
IF(F1111="EI",1.1,
IF(F1111="ED",1.1,
IF(F1111="SD",1.15,
IF(F1111="DC",1.2,0)))))))))))</f>
        <v>0.6</v>
      </c>
    </row>
    <row r="1112" customFormat="false" ht="16.4" hidden="false" customHeight="false" outlineLevel="0" collapsed="false">
      <c r="A1112" s="1" t="n">
        <v>1111</v>
      </c>
      <c r="B1112" s="5" t="str">
        <f aca="false">[1]Base_Jugadores!B1112</f>
        <v>Boris Radunović</v>
      </c>
      <c r="C1112" s="5" t="str">
        <f aca="false">IFERROR(
   _xlfn.XLOOKUP(VALUE(A1112),[1]Fichajes_Realizados!A$2:A$50000,[1]Fichajes_Realizados!D$2:D$50000,,0,-1),
   _xlfn.XLOOKUP(VALUE(A1112),[1]Base_Jugadores!A$2:A$50000,[1]Base_Jugadores!C$2:C$50000)
)</f>
        <v>Cagliari</v>
      </c>
      <c r="D1112" s="5" t="str">
        <f aca="false">[1]Base_Jugadores!D1112</f>
        <v>Serbia</v>
      </c>
      <c r="E1112" s="3"/>
      <c r="F1112" s="5" t="str">
        <f aca="false">[1]Base_Jugadores!E1112</f>
        <v>PO</v>
      </c>
      <c r="G1112" s="5" t="n">
        <f aca="false">[1]Base_Jugadores!F1112</f>
        <v>71</v>
      </c>
      <c r="H1112" s="5" t="n">
        <f aca="false">[1]Base_Jugadores!G1112</f>
        <v>29</v>
      </c>
      <c r="I1112" s="7" t="n">
        <f aca="false" t="array" ref="I1112:I1112">_xlfn.XLOOKUP(G1112,{55;56;57;58;59;60;61;62;63;64;65;66;67;68;69;70;71;72;73;74;75;76;77;78;79;80;81;82;83;84;85;86;87;88;89;90;91;92;93;94;95;96;97;98;99},{100000;130000;160000;190000;220000;250000;300000;350000;400000;450000;500000;600000;700000;800000;900000;1000000;1500000;2000000;3000000;4000000;5000000;6500000;8000000;10000000;12500000;15000000;20000000;25000000;30000000;35000000;40000000;55000000;70000000;80000000;90000000;110000000;130000000;160000000;190000000;220000000;250000000;280000000;310000000;340000000;400000000})</f>
        <v>1500000</v>
      </c>
      <c r="J1112" s="7" t="n">
        <f aca="false">I1112*S1112*T1112*U1112</f>
        <v>1209600</v>
      </c>
      <c r="K1112" s="3"/>
      <c r="L1112" s="3"/>
      <c r="M1112" s="3"/>
      <c r="N1112" s="9" t="n">
        <v>0</v>
      </c>
      <c r="O1112" s="4" t="n">
        <v>0</v>
      </c>
      <c r="P1112" s="5" t="n">
        <f aca="false">IF(COUNTIF([1]Base_Jugadores!J$2:J$500,B1112)&gt;0,1,0)</f>
        <v>0</v>
      </c>
      <c r="Q1112" s="10" t="b">
        <f aca="false">--(COUNTIFS(
   [1]Fichajes_Realizados!A$2:A$5000,A1112,
   [1]Fichajes_Realizados!G$2:G$5000,$X$3
)&gt;0)</f>
        <v>0</v>
      </c>
      <c r="R1112" s="5" t="n">
        <f aca="false">_xlfn.XLOOKUP(C1112, [1]Estado_Equipos!A$2:A$500, [1]Estado_Equipos!J$2:J$500, "")</f>
        <v>71</v>
      </c>
      <c r="S1112" s="5" t="n">
        <f aca="false">IF(H1112&lt;=16,1.45,
IF(H1112&gt;=41,0.3,
CHOOSE(ROUNDDOWN((H1112-16)/2,0)+1,
1.45,1.38,1.3,1.23,1.17,1.15,1.12,1.05,0.95,0.8,0.6,0.4,0.3)))</f>
        <v>1.12</v>
      </c>
      <c r="T1112" s="5" t="n">
        <f aca="false">CHOOSE(N1112+1,1.2,1,0.85,0.7)</f>
        <v>1.2</v>
      </c>
      <c r="U1112" s="5" t="n">
        <f aca="false">IF(F1112="PO",0.6,
IF(F1112="CT",0.75,
IF(F1112="LI",0.8,
IF(F1112="LD",0.8,
IF(F1112="MCD",0.85,
IF(F1112="MC",0.95,
IF(F1112="MO",1.05,
IF(F1112="EI",1.1,
IF(F1112="ED",1.1,
IF(F1112="SD",1.15,
IF(F1112="DC",1.2,0)))))))))))</f>
        <v>0.6</v>
      </c>
    </row>
    <row r="1113" customFormat="false" ht="16.4" hidden="false" customHeight="false" outlineLevel="0" collapsed="false">
      <c r="A1113" s="1" t="n">
        <v>1112</v>
      </c>
      <c r="B1113" s="5" t="str">
        <f aca="false">[1]Base_Jugadores!B1113</f>
        <v>Giuseppe Ciocci</v>
      </c>
      <c r="C1113" s="5" t="str">
        <f aca="false">IFERROR(
   _xlfn.XLOOKUP(VALUE(A1113),[1]Fichajes_Realizados!A$2:A$50000,[1]Fichajes_Realizados!D$2:D$50000,,0,-1),
   _xlfn.XLOOKUP(VALUE(A1113),[1]Base_Jugadores!A$2:A$50000,[1]Base_Jugadores!C$2:C$50000)
)</f>
        <v>Cagliari</v>
      </c>
      <c r="D1113" s="5" t="str">
        <f aca="false">[1]Base_Jugadores!D1113</f>
        <v>Italia</v>
      </c>
      <c r="E1113" s="3"/>
      <c r="F1113" s="5" t="str">
        <f aca="false">[1]Base_Jugadores!E1113</f>
        <v>PO</v>
      </c>
      <c r="G1113" s="5" t="n">
        <f aca="false">[1]Base_Jugadores!F1113</f>
        <v>60</v>
      </c>
      <c r="H1113" s="5" t="n">
        <f aca="false">[1]Base_Jugadores!G1113</f>
        <v>23</v>
      </c>
      <c r="I1113" s="7" t="n">
        <f aca="false" t="array" ref="I1113:I1113">_xlfn.XLOOKUP(G1113,{55;56;57;58;59;60;61;62;63;64;65;66;67;68;69;70;71;72;73;74;75;76;77;78;79;80;81;82;83;84;85;86;87;88;89;90;91;92;93;94;95;96;97;98;99},{100000;130000;160000;190000;220000;250000;300000;350000;400000;450000;500000;600000;700000;800000;900000;1000000;1500000;2000000;3000000;4000000;5000000;6500000;8000000;10000000;12500000;15000000;20000000;25000000;30000000;35000000;40000000;55000000;70000000;80000000;90000000;110000000;130000000;160000000;190000000;220000000;250000000;280000000;310000000;340000000;400000000})</f>
        <v>250000</v>
      </c>
      <c r="J1113" s="7" t="n">
        <f aca="false">I1113*S1113*T1113*U1113</f>
        <v>221400</v>
      </c>
      <c r="K1113" s="3"/>
      <c r="L1113" s="3"/>
      <c r="M1113" s="3"/>
      <c r="N1113" s="9" t="n">
        <v>0</v>
      </c>
      <c r="O1113" s="4" t="n">
        <v>0</v>
      </c>
      <c r="P1113" s="5" t="n">
        <f aca="false">IF(COUNTIF([1]Base_Jugadores!J$2:J$500,B1113)&gt;0,1,0)</f>
        <v>0</v>
      </c>
      <c r="Q1113" s="10" t="b">
        <f aca="false">--(COUNTIFS(
   [1]Fichajes_Realizados!A$2:A$5000,A1113,
   [1]Fichajes_Realizados!G$2:G$5000,$X$3
)&gt;0)</f>
        <v>0</v>
      </c>
      <c r="R1113" s="5" t="n">
        <f aca="false">_xlfn.XLOOKUP(C1113, [1]Estado_Equipos!A$2:A$500, [1]Estado_Equipos!J$2:J$500, "")</f>
        <v>71</v>
      </c>
      <c r="S1113" s="5" t="n">
        <f aca="false">IF(H1113&lt;=16,1.45,
IF(H1113&gt;=41,0.3,
CHOOSE(ROUNDDOWN((H1113-16)/2,0)+1,
1.45,1.38,1.3,1.23,1.17,1.15,1.12,1.05,0.95,0.8,0.6,0.4,0.3)))</f>
        <v>1.23</v>
      </c>
      <c r="T1113" s="5" t="n">
        <f aca="false">CHOOSE(N1113+1,1.2,1,0.85,0.7)</f>
        <v>1.2</v>
      </c>
      <c r="U1113" s="5" t="n">
        <f aca="false">IF(F1113="PO",0.6,
IF(F1113="CT",0.75,
IF(F1113="LI",0.8,
IF(F1113="LD",0.8,
IF(F1113="MCD",0.85,
IF(F1113="MC",0.95,
IF(F1113="MO",1.05,
IF(F1113="EI",1.1,
IF(F1113="ED",1.1,
IF(F1113="SD",1.15,
IF(F1113="DC",1.2,0)))))))))))</f>
        <v>0.6</v>
      </c>
    </row>
    <row r="1114" customFormat="false" ht="16.4" hidden="false" customHeight="false" outlineLevel="0" collapsed="false">
      <c r="A1114" s="1" t="n">
        <v>1113</v>
      </c>
      <c r="B1114" s="5" t="str">
        <f aca="false">[1]Base_Jugadores!B1114</f>
        <v>Sebastiano Luperto</v>
      </c>
      <c r="C1114" s="5" t="str">
        <f aca="false">IFERROR(
   _xlfn.XLOOKUP(VALUE(A1114),[1]Fichajes_Realizados!A$2:A$50000,[1]Fichajes_Realizados!D$2:D$50000,,0,-1),
   _xlfn.XLOOKUP(VALUE(A1114),[1]Base_Jugadores!A$2:A$50000,[1]Base_Jugadores!C$2:C$50000)
)</f>
        <v>Cagliari</v>
      </c>
      <c r="D1114" s="5" t="str">
        <f aca="false">[1]Base_Jugadores!D1114</f>
        <v>Italia</v>
      </c>
      <c r="E1114" s="3"/>
      <c r="F1114" s="5" t="str">
        <f aca="false">[1]Base_Jugadores!E1114</f>
        <v>CT</v>
      </c>
      <c r="G1114" s="5" t="n">
        <f aca="false">[1]Base_Jugadores!F1114</f>
        <v>76</v>
      </c>
      <c r="H1114" s="5" t="n">
        <f aca="false">[1]Base_Jugadores!G1114</f>
        <v>29</v>
      </c>
      <c r="I1114" s="7" t="n">
        <f aca="false" t="array" ref="I1114:I1114">_xlfn.XLOOKUP(G1114,{55;56;57;58;59;60;61;62;63;64;65;66;67;68;69;70;71;72;73;74;75;76;77;78;79;80;81;82;83;84;85;86;87;88;89;90;91;92;93;94;95;96;97;98;99},{100000;130000;160000;190000;220000;250000;300000;350000;400000;450000;500000;600000;700000;800000;900000;1000000;1500000;2000000;3000000;4000000;5000000;6500000;8000000;10000000;12500000;15000000;20000000;25000000;30000000;35000000;40000000;55000000;70000000;80000000;90000000;110000000;130000000;160000000;190000000;220000000;250000000;280000000;310000000;340000000;400000000})</f>
        <v>6500000</v>
      </c>
      <c r="J1114" s="7" t="n">
        <f aca="false">I1114*S1114*T1114*U1114</f>
        <v>6552000</v>
      </c>
      <c r="K1114" s="3"/>
      <c r="L1114" s="3"/>
      <c r="M1114" s="3"/>
      <c r="N1114" s="9" t="n">
        <v>0</v>
      </c>
      <c r="O1114" s="4" t="n">
        <v>0</v>
      </c>
      <c r="P1114" s="5" t="n">
        <f aca="false">IF(COUNTIF([1]Base_Jugadores!J$2:J$500,B1114)&gt;0,1,0)</f>
        <v>0</v>
      </c>
      <c r="Q1114" s="10" t="b">
        <f aca="false">--(COUNTIFS(
   [1]Fichajes_Realizados!A$2:A$5000,A1114,
   [1]Fichajes_Realizados!G$2:G$5000,$X$3
)&gt;0)</f>
        <v>0</v>
      </c>
      <c r="R1114" s="5" t="n">
        <f aca="false">_xlfn.XLOOKUP(C1114, [1]Estado_Equipos!A$2:A$500, [1]Estado_Equipos!J$2:J$500, "")</f>
        <v>71</v>
      </c>
      <c r="S1114" s="5" t="n">
        <f aca="false">IF(H1114&lt;=16,1.45,
IF(H1114&gt;=41,0.3,
CHOOSE(ROUNDDOWN((H1114-16)/2,0)+1,
1.45,1.38,1.3,1.23,1.17,1.15,1.12,1.05,0.95,0.8,0.6,0.4,0.3)))</f>
        <v>1.12</v>
      </c>
      <c r="T1114" s="5" t="n">
        <f aca="false">CHOOSE(N1114+1,1.2,1,0.85,0.7)</f>
        <v>1.2</v>
      </c>
      <c r="U1114" s="5" t="n">
        <f aca="false">IF(F1114="PO",0.6,
IF(F1114="CT",0.75,
IF(F1114="LI",0.8,
IF(F1114="LD",0.8,
IF(F1114="MCD",0.85,
IF(F1114="MC",0.95,
IF(F1114="MO",1.05,
IF(F1114="EI",1.1,
IF(F1114="ED",1.1,
IF(F1114="SD",1.15,
IF(F1114="DC",1.2,0)))))))))))</f>
        <v>0.75</v>
      </c>
    </row>
    <row r="1115" customFormat="false" ht="16.4" hidden="false" customHeight="false" outlineLevel="0" collapsed="false">
      <c r="A1115" s="1" t="n">
        <v>1114</v>
      </c>
      <c r="B1115" s="5" t="str">
        <f aca="false">[1]Base_Jugadores!B1115</f>
        <v>Yerry Mina</v>
      </c>
      <c r="C1115" s="5" t="str">
        <f aca="false">IFERROR(
   _xlfn.XLOOKUP(VALUE(A1115),[1]Fichajes_Realizados!A$2:A$50000,[1]Fichajes_Realizados!D$2:D$50000,,0,-1),
   _xlfn.XLOOKUP(VALUE(A1115),[1]Base_Jugadores!A$2:A$50000,[1]Base_Jugadores!C$2:C$50000)
)</f>
        <v>Cagliari</v>
      </c>
      <c r="D1115" s="5" t="str">
        <f aca="false">[1]Base_Jugadores!D1115</f>
        <v>Colombia</v>
      </c>
      <c r="E1115" s="3"/>
      <c r="F1115" s="5" t="str">
        <f aca="false">[1]Base_Jugadores!E1115</f>
        <v>CT</v>
      </c>
      <c r="G1115" s="5" t="n">
        <f aca="false">[1]Base_Jugadores!F1115</f>
        <v>76</v>
      </c>
      <c r="H1115" s="5" t="n">
        <f aca="false">[1]Base_Jugadores!G1115</f>
        <v>31</v>
      </c>
      <c r="I1115" s="7" t="n">
        <f aca="false" t="array" ref="I1115:I1115">_xlfn.XLOOKUP(G1115,{55;56;57;58;59;60;61;62;63;64;65;66;67;68;69;70;71;72;73;74;75;76;77;78;79;80;81;82;83;84;85;86;87;88;89;90;91;92;93;94;95;96;97;98;99},{100000;130000;160000;190000;220000;250000;300000;350000;400000;450000;500000;600000;700000;800000;900000;1000000;1500000;2000000;3000000;4000000;5000000;6500000;8000000;10000000;12500000;15000000;20000000;25000000;30000000;35000000;40000000;55000000;70000000;80000000;90000000;110000000;130000000;160000000;190000000;220000000;250000000;280000000;310000000;340000000;400000000})</f>
        <v>6500000</v>
      </c>
      <c r="J1115" s="7" t="n">
        <f aca="false">I1115*S1115*T1115*U1115</f>
        <v>6142500</v>
      </c>
      <c r="K1115" s="3"/>
      <c r="L1115" s="3"/>
      <c r="M1115" s="3"/>
      <c r="N1115" s="9" t="n">
        <v>0</v>
      </c>
      <c r="O1115" s="4" t="n">
        <v>0</v>
      </c>
      <c r="P1115" s="5" t="n">
        <f aca="false">IF(COUNTIF([1]Base_Jugadores!J$2:J$500,B1115)&gt;0,1,0)</f>
        <v>0</v>
      </c>
      <c r="Q1115" s="10" t="b">
        <f aca="false">--(COUNTIFS(
   [1]Fichajes_Realizados!A$2:A$5000,A1115,
   [1]Fichajes_Realizados!G$2:G$5000,$X$3
)&gt;0)</f>
        <v>0</v>
      </c>
      <c r="R1115" s="5" t="n">
        <f aca="false">_xlfn.XLOOKUP(C1115, [1]Estado_Equipos!A$2:A$500, [1]Estado_Equipos!J$2:J$500, "")</f>
        <v>71</v>
      </c>
      <c r="S1115" s="5" t="n">
        <f aca="false">IF(H1115&lt;=16,1.45,
IF(H1115&gt;=41,0.3,
CHOOSE(ROUNDDOWN((H1115-16)/2,0)+1,
1.45,1.38,1.3,1.23,1.17,1.15,1.12,1.05,0.95,0.8,0.6,0.4,0.3)))</f>
        <v>1.05</v>
      </c>
      <c r="T1115" s="5" t="n">
        <f aca="false">CHOOSE(N1115+1,1.2,1,0.85,0.7)</f>
        <v>1.2</v>
      </c>
      <c r="U1115" s="5" t="n">
        <f aca="false">IF(F1115="PO",0.6,
IF(F1115="CT",0.75,
IF(F1115="LI",0.8,
IF(F1115="LD",0.8,
IF(F1115="MCD",0.85,
IF(F1115="MC",0.95,
IF(F1115="MO",1.05,
IF(F1115="EI",1.1,
IF(F1115="ED",1.1,
IF(F1115="SD",1.15,
IF(F1115="DC",1.2,0)))))))))))</f>
        <v>0.75</v>
      </c>
    </row>
    <row r="1116" customFormat="false" ht="16.4" hidden="false" customHeight="false" outlineLevel="0" collapsed="false">
      <c r="A1116" s="1" t="n">
        <v>1115</v>
      </c>
      <c r="B1116" s="5" t="str">
        <f aca="false">[1]Base_Jugadores!B1116</f>
        <v>Zé Pedro da Silva</v>
      </c>
      <c r="C1116" s="5" t="str">
        <f aca="false">IFERROR(
   _xlfn.XLOOKUP(VALUE(A1116),[1]Fichajes_Realizados!A$2:A$50000,[1]Fichajes_Realizados!D$2:D$50000,,0,-1),
   _xlfn.XLOOKUP(VALUE(A1116),[1]Base_Jugadores!A$2:A$50000,[1]Base_Jugadores!C$2:C$50000)
)</f>
        <v>Cagliari</v>
      </c>
      <c r="D1116" s="5" t="str">
        <f aca="false">[1]Base_Jugadores!D1116</f>
        <v>Portugal</v>
      </c>
      <c r="E1116" s="3"/>
      <c r="F1116" s="5" t="str">
        <f aca="false">[1]Base_Jugadores!E1116</f>
        <v>CT</v>
      </c>
      <c r="G1116" s="5" t="n">
        <f aca="false">[1]Base_Jugadores!F1116</f>
        <v>74</v>
      </c>
      <c r="H1116" s="5" t="n">
        <f aca="false">[1]Base_Jugadores!G1116</f>
        <v>28</v>
      </c>
      <c r="I1116" s="7" t="n">
        <f aca="false" t="array" ref="I1116:I1116">_xlfn.XLOOKUP(G1116,{55;56;57;58;59;60;61;62;63;64;65;66;67;68;69;70;71;72;73;74;75;76;77;78;79;80;81;82;83;84;85;86;87;88;89;90;91;92;93;94;95;96;97;98;99},{100000;130000;160000;190000;220000;250000;300000;350000;400000;450000;500000;600000;700000;800000;900000;1000000;1500000;2000000;3000000;4000000;5000000;6500000;8000000;10000000;12500000;15000000;20000000;25000000;30000000;35000000;40000000;55000000;70000000;80000000;90000000;110000000;130000000;160000000;190000000;220000000;250000000;280000000;310000000;340000000;400000000})</f>
        <v>4000000</v>
      </c>
      <c r="J1116" s="7" t="n">
        <f aca="false">I1116*S1116*T1116*U1116</f>
        <v>4032000</v>
      </c>
      <c r="K1116" s="3"/>
      <c r="L1116" s="3"/>
      <c r="M1116" s="3"/>
      <c r="N1116" s="9" t="n">
        <v>0</v>
      </c>
      <c r="O1116" s="4" t="n">
        <v>0</v>
      </c>
      <c r="P1116" s="5" t="n">
        <f aca="false">IF(COUNTIF([1]Base_Jugadores!J$2:J$500,B1116)&gt;0,1,0)</f>
        <v>0</v>
      </c>
      <c r="Q1116" s="10" t="b">
        <f aca="false">--(COUNTIFS(
   [1]Fichajes_Realizados!A$2:A$5000,A1116,
   [1]Fichajes_Realizados!G$2:G$5000,$X$3
)&gt;0)</f>
        <v>0</v>
      </c>
      <c r="R1116" s="5" t="n">
        <f aca="false">_xlfn.XLOOKUP(C1116, [1]Estado_Equipos!A$2:A$500, [1]Estado_Equipos!J$2:J$500, "")</f>
        <v>71</v>
      </c>
      <c r="S1116" s="5" t="n">
        <f aca="false">IF(H1116&lt;=16,1.45,
IF(H1116&gt;=41,0.3,
CHOOSE(ROUNDDOWN((H1116-16)/2,0)+1,
1.45,1.38,1.3,1.23,1.17,1.15,1.12,1.05,0.95,0.8,0.6,0.4,0.3)))</f>
        <v>1.12</v>
      </c>
      <c r="T1116" s="5" t="n">
        <f aca="false">CHOOSE(N1116+1,1.2,1,0.85,0.7)</f>
        <v>1.2</v>
      </c>
      <c r="U1116" s="5" t="n">
        <f aca="false">IF(F1116="PO",0.6,
IF(F1116="CT",0.75,
IF(F1116="LI",0.8,
IF(F1116="LD",0.8,
IF(F1116="MCD",0.85,
IF(F1116="MC",0.95,
IF(F1116="MO",1.05,
IF(F1116="EI",1.1,
IF(F1116="ED",1.1,
IF(F1116="SD",1.15,
IF(F1116="DC",1.2,0)))))))))))</f>
        <v>0.75</v>
      </c>
    </row>
    <row r="1117" customFormat="false" ht="16.4" hidden="false" customHeight="false" outlineLevel="0" collapsed="false">
      <c r="A1117" s="1" t="n">
        <v>1116</v>
      </c>
      <c r="B1117" s="5" t="str">
        <f aca="false">[1]Base_Jugadores!B1117</f>
        <v>Adam Obert</v>
      </c>
      <c r="C1117" s="5" t="str">
        <f aca="false">IFERROR(
   _xlfn.XLOOKUP(VALUE(A1117),[1]Fichajes_Realizados!A$2:A$50000,[1]Fichajes_Realizados!D$2:D$50000,,0,-1),
   _xlfn.XLOOKUP(VALUE(A1117),[1]Base_Jugadores!A$2:A$50000,[1]Base_Jugadores!C$2:C$50000)
)</f>
        <v>Cagliari</v>
      </c>
      <c r="D1117" s="5" t="str">
        <f aca="false">[1]Base_Jugadores!D1117</f>
        <v>Eslovaquia</v>
      </c>
      <c r="E1117" s="3"/>
      <c r="F1117" s="5" t="str">
        <f aca="false">[1]Base_Jugadores!E1117</f>
        <v>CT</v>
      </c>
      <c r="G1117" s="5" t="n">
        <f aca="false">[1]Base_Jugadores!F1117</f>
        <v>70</v>
      </c>
      <c r="H1117" s="5" t="n">
        <f aca="false">[1]Base_Jugadores!G1117</f>
        <v>23</v>
      </c>
      <c r="I1117" s="7" t="n">
        <f aca="false" t="array" ref="I1117:I1117">_xlfn.XLOOKUP(G1117,{55;56;57;58;59;60;61;62;63;64;65;66;67;68;69;70;71;72;73;74;75;76;77;78;79;80;81;82;83;84;85;86;87;88;89;90;91;92;93;94;95;96;97;98;99},{100000;130000;160000;190000;220000;250000;300000;350000;400000;450000;500000;600000;700000;800000;900000;1000000;1500000;2000000;3000000;4000000;5000000;6500000;8000000;10000000;12500000;15000000;20000000;25000000;30000000;35000000;40000000;55000000;70000000;80000000;90000000;110000000;130000000;160000000;190000000;220000000;250000000;280000000;310000000;340000000;400000000})</f>
        <v>1000000</v>
      </c>
      <c r="J1117" s="7" t="n">
        <f aca="false">I1117*S1117*T1117*U1117</f>
        <v>1107000</v>
      </c>
      <c r="K1117" s="3"/>
      <c r="L1117" s="3"/>
      <c r="M1117" s="3"/>
      <c r="N1117" s="9" t="n">
        <v>0</v>
      </c>
      <c r="O1117" s="4" t="n">
        <v>0</v>
      </c>
      <c r="P1117" s="5" t="n">
        <f aca="false">IF(COUNTIF([1]Base_Jugadores!J$2:J$500,B1117)&gt;0,1,0)</f>
        <v>0</v>
      </c>
      <c r="Q1117" s="10" t="b">
        <f aca="false">--(COUNTIFS(
   [1]Fichajes_Realizados!A$2:A$5000,A1117,
   [1]Fichajes_Realizados!G$2:G$5000,$X$3
)&gt;0)</f>
        <v>0</v>
      </c>
      <c r="R1117" s="5" t="n">
        <f aca="false">_xlfn.XLOOKUP(C1117, [1]Estado_Equipos!A$2:A$500, [1]Estado_Equipos!J$2:J$500, "")</f>
        <v>71</v>
      </c>
      <c r="S1117" s="5" t="n">
        <f aca="false">IF(H1117&lt;=16,1.45,
IF(H1117&gt;=41,0.3,
CHOOSE(ROUNDDOWN((H1117-16)/2,0)+1,
1.45,1.38,1.3,1.23,1.17,1.15,1.12,1.05,0.95,0.8,0.6,0.4,0.3)))</f>
        <v>1.23</v>
      </c>
      <c r="T1117" s="5" t="n">
        <f aca="false">CHOOSE(N1117+1,1.2,1,0.85,0.7)</f>
        <v>1.2</v>
      </c>
      <c r="U1117" s="5" t="n">
        <f aca="false">IF(F1117="PO",0.6,
IF(F1117="CT",0.75,
IF(F1117="LI",0.8,
IF(F1117="LD",0.8,
IF(F1117="MCD",0.85,
IF(F1117="MC",0.95,
IF(F1117="MO",1.05,
IF(F1117="EI",1.1,
IF(F1117="ED",1.1,
IF(F1117="SD",1.15,
IF(F1117="DC",1.2,0)))))))))))</f>
        <v>0.75</v>
      </c>
    </row>
    <row r="1118" customFormat="false" ht="16.4" hidden="false" customHeight="false" outlineLevel="0" collapsed="false">
      <c r="A1118" s="1" t="n">
        <v>1117</v>
      </c>
      <c r="B1118" s="5" t="str">
        <f aca="false">[1]Base_Jugadores!B1118</f>
        <v>Riyad Idrissi</v>
      </c>
      <c r="C1118" s="5" t="str">
        <f aca="false">IFERROR(
   _xlfn.XLOOKUP(VALUE(A1118),[1]Fichajes_Realizados!A$2:A$50000,[1]Fichajes_Realizados!D$2:D$50000,,0,-1),
   _xlfn.XLOOKUP(VALUE(A1118),[1]Base_Jugadores!A$2:A$50000,[1]Base_Jugadores!C$2:C$50000)
)</f>
        <v>Cagliari</v>
      </c>
      <c r="D1118" s="5" t="str">
        <f aca="false">[1]Base_Jugadores!D1118</f>
        <v>Italia</v>
      </c>
      <c r="E1118" s="3"/>
      <c r="F1118" s="5" t="str">
        <f aca="false">[1]Base_Jugadores!E1118</f>
        <v>LI</v>
      </c>
      <c r="G1118" s="5" t="n">
        <f aca="false">[1]Base_Jugadores!F1118</f>
        <v>63</v>
      </c>
      <c r="H1118" s="5" t="n">
        <f aca="false">[1]Base_Jugadores!G1118</f>
        <v>20</v>
      </c>
      <c r="I1118" s="7" t="n">
        <f aca="false" t="array" ref="I1118:I1118">_xlfn.XLOOKUP(G1118,{55;56;57;58;59;60;61;62;63;64;65;66;67;68;69;70;71;72;73;74;75;76;77;78;79;80;81;82;83;84;85;86;87;88;89;90;91;92;93;94;95;96;97;98;99},{100000;130000;160000;190000;220000;250000;300000;350000;400000;450000;500000;600000;700000;800000;900000;1000000;1500000;2000000;3000000;4000000;5000000;6500000;8000000;10000000;12500000;15000000;20000000;25000000;30000000;35000000;40000000;55000000;70000000;80000000;90000000;110000000;130000000;160000000;190000000;220000000;250000000;280000000;310000000;340000000;400000000})</f>
        <v>400000</v>
      </c>
      <c r="J1118" s="7" t="n">
        <f aca="false">I1118*S1118*T1118*U1118</f>
        <v>499200</v>
      </c>
      <c r="K1118" s="3"/>
      <c r="L1118" s="3"/>
      <c r="M1118" s="3"/>
      <c r="N1118" s="9" t="n">
        <v>0</v>
      </c>
      <c r="O1118" s="4" t="n">
        <v>0</v>
      </c>
      <c r="P1118" s="5" t="n">
        <f aca="false">IF(COUNTIF([1]Base_Jugadores!J$2:J$500,B1118)&gt;0,1,0)</f>
        <v>0</v>
      </c>
      <c r="Q1118" s="10" t="b">
        <f aca="false">--(COUNTIFS(
   [1]Fichajes_Realizados!A$2:A$5000,A1118,
   [1]Fichajes_Realizados!G$2:G$5000,$X$3
)&gt;0)</f>
        <v>0</v>
      </c>
      <c r="R1118" s="5" t="n">
        <f aca="false">_xlfn.XLOOKUP(C1118, [1]Estado_Equipos!A$2:A$500, [1]Estado_Equipos!J$2:J$500, "")</f>
        <v>71</v>
      </c>
      <c r="S1118" s="5" t="n">
        <f aca="false">IF(H1118&lt;=16,1.45,
IF(H1118&gt;=41,0.3,
CHOOSE(ROUNDDOWN((H1118-16)/2,0)+1,
1.45,1.38,1.3,1.23,1.17,1.15,1.12,1.05,0.95,0.8,0.6,0.4,0.3)))</f>
        <v>1.3</v>
      </c>
      <c r="T1118" s="5" t="n">
        <f aca="false">CHOOSE(N1118+1,1.2,1,0.85,0.7)</f>
        <v>1.2</v>
      </c>
      <c r="U1118" s="5" t="n">
        <f aca="false">IF(F1118="PO",0.6,
IF(F1118="CT",0.75,
IF(F1118="LI",0.8,
IF(F1118="LD",0.8,
IF(F1118="MCD",0.85,
IF(F1118="MC",0.95,
IF(F1118="MO",1.05,
IF(F1118="EI",1.1,
IF(F1118="ED",1.1,
IF(F1118="SD",1.15,
IF(F1118="DC",1.2,0)))))))))))</f>
        <v>0.8</v>
      </c>
    </row>
    <row r="1119" customFormat="false" ht="16.4" hidden="false" customHeight="false" outlineLevel="0" collapsed="false">
      <c r="A1119" s="1" t="n">
        <v>1118</v>
      </c>
      <c r="B1119" s="5" t="str">
        <f aca="false">[1]Base_Jugadores!B1119</f>
        <v>Marco Palestra</v>
      </c>
      <c r="C1119" s="5" t="str">
        <f aca="false">IFERROR(
   _xlfn.XLOOKUP(VALUE(A1119),[1]Fichajes_Realizados!A$2:A$50000,[1]Fichajes_Realizados!D$2:D$50000,,0,-1),
   _xlfn.XLOOKUP(VALUE(A1119),[1]Base_Jugadores!A$2:A$50000,[1]Base_Jugadores!C$2:C$50000)
)</f>
        <v>Cagliari</v>
      </c>
      <c r="D1119" s="5" t="str">
        <f aca="false">[1]Base_Jugadores!D1119</f>
        <v>Italia</v>
      </c>
      <c r="E1119" s="3"/>
      <c r="F1119" s="5" t="str">
        <f aca="false">[1]Base_Jugadores!E1119</f>
        <v>LD</v>
      </c>
      <c r="G1119" s="5" t="n">
        <f aca="false">[1]Base_Jugadores!F1119</f>
        <v>69</v>
      </c>
      <c r="H1119" s="5" t="n">
        <f aca="false">[1]Base_Jugadores!G1119</f>
        <v>20</v>
      </c>
      <c r="I1119" s="7" t="n">
        <f aca="false" t="array" ref="I1119:I1119">_xlfn.XLOOKUP(G1119,{55;56;57;58;59;60;61;62;63;64;65;66;67;68;69;70;71;72;73;74;75;76;77;78;79;80;81;82;83;84;85;86;87;88;89;90;91;92;93;94;95;96;97;98;99},{100000;130000;160000;190000;220000;250000;300000;350000;400000;450000;500000;600000;700000;800000;900000;1000000;1500000;2000000;3000000;4000000;5000000;6500000;8000000;10000000;12500000;15000000;20000000;25000000;30000000;35000000;40000000;55000000;70000000;80000000;90000000;110000000;130000000;160000000;190000000;220000000;250000000;280000000;310000000;340000000;400000000})</f>
        <v>900000</v>
      </c>
      <c r="J1119" s="7" t="n">
        <f aca="false">I1119*S1119*T1119*U1119</f>
        <v>1123200</v>
      </c>
      <c r="K1119" s="3"/>
      <c r="L1119" s="3"/>
      <c r="M1119" s="3"/>
      <c r="N1119" s="9" t="n">
        <v>0</v>
      </c>
      <c r="O1119" s="4" t="n">
        <v>0</v>
      </c>
      <c r="P1119" s="5" t="n">
        <f aca="false">IF(COUNTIF([1]Base_Jugadores!J$2:J$500,B1119)&gt;0,1,0)</f>
        <v>0</v>
      </c>
      <c r="Q1119" s="10" t="b">
        <f aca="false">--(COUNTIFS(
   [1]Fichajes_Realizados!A$2:A$5000,A1119,
   [1]Fichajes_Realizados!G$2:G$5000,$X$3
)&gt;0)</f>
        <v>0</v>
      </c>
      <c r="R1119" s="5" t="n">
        <f aca="false">_xlfn.XLOOKUP(C1119, [1]Estado_Equipos!A$2:A$500, [1]Estado_Equipos!J$2:J$500, "")</f>
        <v>71</v>
      </c>
      <c r="S1119" s="5" t="n">
        <f aca="false">IF(H1119&lt;=16,1.45,
IF(H1119&gt;=41,0.3,
CHOOSE(ROUNDDOWN((H1119-16)/2,0)+1,
1.45,1.38,1.3,1.23,1.17,1.15,1.12,1.05,0.95,0.8,0.6,0.4,0.3)))</f>
        <v>1.3</v>
      </c>
      <c r="T1119" s="5" t="n">
        <f aca="false">CHOOSE(N1119+1,1.2,1,0.85,0.7)</f>
        <v>1.2</v>
      </c>
      <c r="U1119" s="5" t="n">
        <f aca="false">IF(F1119="PO",0.6,
IF(F1119="CT",0.75,
IF(F1119="LI",0.8,
IF(F1119="LD",0.8,
IF(F1119="MCD",0.85,
IF(F1119="MC",0.95,
IF(F1119="MO",1.05,
IF(F1119="EI",1.1,
IF(F1119="ED",1.1,
IF(F1119="SD",1.15,
IF(F1119="DC",1.2,0)))))))))))</f>
        <v>0.8</v>
      </c>
    </row>
    <row r="1120" customFormat="false" ht="16.4" hidden="false" customHeight="false" outlineLevel="0" collapsed="false">
      <c r="A1120" s="1" t="n">
        <v>1119</v>
      </c>
      <c r="B1120" s="5" t="str">
        <f aca="false">[1]Base_Jugadores!B1120</f>
        <v>Gabriele Zappa</v>
      </c>
      <c r="C1120" s="5" t="str">
        <f aca="false">IFERROR(
   _xlfn.XLOOKUP(VALUE(A1120),[1]Fichajes_Realizados!A$2:A$50000,[1]Fichajes_Realizados!D$2:D$50000,,0,-1),
   _xlfn.XLOOKUP(VALUE(A1120),[1]Base_Jugadores!A$2:A$50000,[1]Base_Jugadores!C$2:C$50000)
)</f>
        <v>Cagliari</v>
      </c>
      <c r="D1120" s="5" t="str">
        <f aca="false">[1]Base_Jugadores!D1120</f>
        <v>Italia</v>
      </c>
      <c r="E1120" s="3"/>
      <c r="F1120" s="5" t="str">
        <f aca="false">[1]Base_Jugadores!E1120</f>
        <v>LD</v>
      </c>
      <c r="G1120" s="5" t="n">
        <f aca="false">[1]Base_Jugadores!F1120</f>
        <v>71</v>
      </c>
      <c r="H1120" s="5" t="n">
        <f aca="false">[1]Base_Jugadores!G1120</f>
        <v>26</v>
      </c>
      <c r="I1120" s="7" t="n">
        <f aca="false" t="array" ref="I1120:I1120">_xlfn.XLOOKUP(G1120,{55;56;57;58;59;60;61;62;63;64;65;66;67;68;69;70;71;72;73;74;75;76;77;78;79;80;81;82;83;84;85;86;87;88;89;90;91;92;93;94;95;96;97;98;99},{100000;130000;160000;190000;220000;250000;300000;350000;400000;450000;500000;600000;700000;800000;900000;1000000;1500000;2000000;3000000;4000000;5000000;6500000;8000000;10000000;12500000;15000000;20000000;25000000;30000000;35000000;40000000;55000000;70000000;80000000;90000000;110000000;130000000;160000000;190000000;220000000;250000000;280000000;310000000;340000000;400000000})</f>
        <v>1500000</v>
      </c>
      <c r="J1120" s="7" t="n">
        <f aca="false">I1120*S1120*T1120*U1120</f>
        <v>1656000</v>
      </c>
      <c r="K1120" s="3"/>
      <c r="L1120" s="3"/>
      <c r="M1120" s="3"/>
      <c r="N1120" s="9" t="n">
        <v>0</v>
      </c>
      <c r="O1120" s="4" t="n">
        <v>0</v>
      </c>
      <c r="P1120" s="5" t="n">
        <f aca="false">IF(COUNTIF([1]Base_Jugadores!J$2:J$500,B1120)&gt;0,1,0)</f>
        <v>0</v>
      </c>
      <c r="Q1120" s="10" t="b">
        <f aca="false">--(COUNTIFS(
   [1]Fichajes_Realizados!A$2:A$5000,A1120,
   [1]Fichajes_Realizados!G$2:G$5000,$X$3
)&gt;0)</f>
        <v>0</v>
      </c>
      <c r="R1120" s="5" t="n">
        <f aca="false">_xlfn.XLOOKUP(C1120, [1]Estado_Equipos!A$2:A$500, [1]Estado_Equipos!J$2:J$500, "")</f>
        <v>71</v>
      </c>
      <c r="S1120" s="5" t="n">
        <f aca="false">IF(H1120&lt;=16,1.45,
IF(H1120&gt;=41,0.3,
CHOOSE(ROUNDDOWN((H1120-16)/2,0)+1,
1.45,1.38,1.3,1.23,1.17,1.15,1.12,1.05,0.95,0.8,0.6,0.4,0.3)))</f>
        <v>1.15</v>
      </c>
      <c r="T1120" s="5" t="n">
        <f aca="false">CHOOSE(N1120+1,1.2,1,0.85,0.7)</f>
        <v>1.2</v>
      </c>
      <c r="U1120" s="5" t="n">
        <f aca="false">IF(F1120="PO",0.6,
IF(F1120="CT",0.75,
IF(F1120="LI",0.8,
IF(F1120="LD",0.8,
IF(F1120="MCD",0.85,
IF(F1120="MC",0.95,
IF(F1120="MO",1.05,
IF(F1120="EI",1.1,
IF(F1120="ED",1.1,
IF(F1120="SD",1.15,
IF(F1120="DC",1.2,0)))))))))))</f>
        <v>0.8</v>
      </c>
    </row>
    <row r="1121" customFormat="false" ht="16.4" hidden="false" customHeight="false" outlineLevel="0" collapsed="false">
      <c r="A1121" s="1" t="n">
        <v>1120</v>
      </c>
      <c r="B1121" s="5" t="str">
        <f aca="false">[1]Base_Jugadores!B1121</f>
        <v>Alessandro Di Pardo</v>
      </c>
      <c r="C1121" s="5" t="str">
        <f aca="false">IFERROR(
   _xlfn.XLOOKUP(VALUE(A1121),[1]Fichajes_Realizados!A$2:A$50000,[1]Fichajes_Realizados!D$2:D$50000,,0,-1),
   _xlfn.XLOOKUP(VALUE(A1121),[1]Base_Jugadores!A$2:A$50000,[1]Base_Jugadores!C$2:C$50000)
)</f>
        <v>Cagliari</v>
      </c>
      <c r="D1121" s="5" t="str">
        <f aca="false">[1]Base_Jugadores!D1121</f>
        <v>Italia</v>
      </c>
      <c r="E1121" s="3"/>
      <c r="F1121" s="5" t="str">
        <f aca="false">[1]Base_Jugadores!E1121</f>
        <v>LD</v>
      </c>
      <c r="G1121" s="5" t="n">
        <f aca="false">[1]Base_Jugadores!F1121</f>
        <v>67</v>
      </c>
      <c r="H1121" s="5" t="n">
        <f aca="false">[1]Base_Jugadores!G1121</f>
        <v>26</v>
      </c>
      <c r="I1121" s="7" t="n">
        <f aca="false" t="array" ref="I1121:I1121">_xlfn.XLOOKUP(G1121,{55;56;57;58;59;60;61;62;63;64;65;66;67;68;69;70;71;72;73;74;75;76;77;78;79;80;81;82;83;84;85;86;87;88;89;90;91;92;93;94;95;96;97;98;99},{100000;130000;160000;190000;220000;250000;300000;350000;400000;450000;500000;600000;700000;800000;900000;1000000;1500000;2000000;3000000;4000000;5000000;6500000;8000000;10000000;12500000;15000000;20000000;25000000;30000000;35000000;40000000;55000000;70000000;80000000;90000000;110000000;130000000;160000000;190000000;220000000;250000000;280000000;310000000;340000000;400000000})</f>
        <v>700000</v>
      </c>
      <c r="J1121" s="7" t="n">
        <f aca="false">I1121*S1121*T1121*U1121</f>
        <v>772800</v>
      </c>
      <c r="K1121" s="3"/>
      <c r="L1121" s="3"/>
      <c r="M1121" s="3"/>
      <c r="N1121" s="9" t="n">
        <v>0</v>
      </c>
      <c r="O1121" s="4" t="n">
        <v>0</v>
      </c>
      <c r="P1121" s="5" t="n">
        <f aca="false">IF(COUNTIF([1]Base_Jugadores!J$2:J$500,B1121)&gt;0,1,0)</f>
        <v>0</v>
      </c>
      <c r="Q1121" s="10" t="b">
        <f aca="false">--(COUNTIFS(
   [1]Fichajes_Realizados!A$2:A$5000,A1121,
   [1]Fichajes_Realizados!G$2:G$5000,$X$3
)&gt;0)</f>
        <v>0</v>
      </c>
      <c r="R1121" s="5" t="n">
        <f aca="false">_xlfn.XLOOKUP(C1121, [1]Estado_Equipos!A$2:A$500, [1]Estado_Equipos!J$2:J$500, "")</f>
        <v>71</v>
      </c>
      <c r="S1121" s="5" t="n">
        <f aca="false">IF(H1121&lt;=16,1.45,
IF(H1121&gt;=41,0.3,
CHOOSE(ROUNDDOWN((H1121-16)/2,0)+1,
1.45,1.38,1.3,1.23,1.17,1.15,1.12,1.05,0.95,0.8,0.6,0.4,0.3)))</f>
        <v>1.15</v>
      </c>
      <c r="T1121" s="5" t="n">
        <f aca="false">CHOOSE(N1121+1,1.2,1,0.85,0.7)</f>
        <v>1.2</v>
      </c>
      <c r="U1121" s="5" t="n">
        <f aca="false">IF(F1121="PO",0.6,
IF(F1121="CT",0.75,
IF(F1121="LI",0.8,
IF(F1121="LD",0.8,
IF(F1121="MCD",0.85,
IF(F1121="MC",0.95,
IF(F1121="MO",1.05,
IF(F1121="EI",1.1,
IF(F1121="ED",1.1,
IF(F1121="SD",1.15,
IF(F1121="DC",1.2,0)))))))))))</f>
        <v>0.8</v>
      </c>
    </row>
    <row r="1122" customFormat="false" ht="16.4" hidden="false" customHeight="false" outlineLevel="0" collapsed="false">
      <c r="A1122" s="1" t="n">
        <v>1121</v>
      </c>
      <c r="B1122" s="5" t="str">
        <f aca="false">[1]Base_Jugadores!B1122</f>
        <v>Matteo Prati</v>
      </c>
      <c r="C1122" s="5" t="str">
        <f aca="false">IFERROR(
   _xlfn.XLOOKUP(VALUE(A1122),[1]Fichajes_Realizados!A$2:A$50000,[1]Fichajes_Realizados!D$2:D$50000,,0,-1),
   _xlfn.XLOOKUP(VALUE(A1122),[1]Base_Jugadores!A$2:A$50000,[1]Base_Jugadores!C$2:C$50000)
)</f>
        <v>Cagliari</v>
      </c>
      <c r="D1122" s="5" t="str">
        <f aca="false">[1]Base_Jugadores!D1122</f>
        <v>Italia</v>
      </c>
      <c r="E1122" s="3"/>
      <c r="F1122" s="5" t="str">
        <f aca="false">[1]Base_Jugadores!E1122</f>
        <v>MCD</v>
      </c>
      <c r="G1122" s="5" t="n">
        <f aca="false">[1]Base_Jugadores!F1122</f>
        <v>74</v>
      </c>
      <c r="H1122" s="5" t="n">
        <f aca="false">[1]Base_Jugadores!G1122</f>
        <v>22</v>
      </c>
      <c r="I1122" s="7" t="n">
        <f aca="false" t="array" ref="I1122:I1122">_xlfn.XLOOKUP(G1122,{55;56;57;58;59;60;61;62;63;64;65;66;67;68;69;70;71;72;73;74;75;76;77;78;79;80;81;82;83;84;85;86;87;88;89;90;91;92;93;94;95;96;97;98;99},{100000;130000;160000;190000;220000;250000;300000;350000;400000;450000;500000;600000;700000;800000;900000;1000000;1500000;2000000;3000000;4000000;5000000;6500000;8000000;10000000;12500000;15000000;20000000;25000000;30000000;35000000;40000000;55000000;70000000;80000000;90000000;110000000;130000000;160000000;190000000;220000000;250000000;280000000;310000000;340000000;400000000})</f>
        <v>4000000</v>
      </c>
      <c r="J1122" s="7" t="n">
        <f aca="false">I1122*S1122*T1122*U1122</f>
        <v>5018400</v>
      </c>
      <c r="K1122" s="3"/>
      <c r="L1122" s="3"/>
      <c r="M1122" s="3"/>
      <c r="N1122" s="9" t="n">
        <v>0</v>
      </c>
      <c r="O1122" s="4" t="n">
        <v>0</v>
      </c>
      <c r="P1122" s="5" t="n">
        <f aca="false">IF(COUNTIF([1]Base_Jugadores!J$2:J$500,B1122)&gt;0,1,0)</f>
        <v>0</v>
      </c>
      <c r="Q1122" s="10" t="b">
        <f aca="false">--(COUNTIFS(
   [1]Fichajes_Realizados!A$2:A$5000,A1122,
   [1]Fichajes_Realizados!G$2:G$5000,$X$3
)&gt;0)</f>
        <v>0</v>
      </c>
      <c r="R1122" s="5" t="n">
        <f aca="false">_xlfn.XLOOKUP(C1122, [1]Estado_Equipos!A$2:A$500, [1]Estado_Equipos!J$2:J$500, "")</f>
        <v>71</v>
      </c>
      <c r="S1122" s="5" t="n">
        <f aca="false">IF(H1122&lt;=16,1.45,
IF(H1122&gt;=41,0.3,
CHOOSE(ROUNDDOWN((H1122-16)/2,0)+1,
1.45,1.38,1.3,1.23,1.17,1.15,1.12,1.05,0.95,0.8,0.6,0.4,0.3)))</f>
        <v>1.23</v>
      </c>
      <c r="T1122" s="5" t="n">
        <f aca="false">CHOOSE(N1122+1,1.2,1,0.85,0.7)</f>
        <v>1.2</v>
      </c>
      <c r="U1122" s="5" t="n">
        <f aca="false">IF(F1122="PO",0.6,
IF(F1122="CT",0.75,
IF(F1122="LI",0.8,
IF(F1122="LD",0.8,
IF(F1122="MCD",0.85,
IF(F1122="MC",0.95,
IF(F1122="MO",1.05,
IF(F1122="EI",1.1,
IF(F1122="ED",1.1,
IF(F1122="SD",1.15,
IF(F1122="DC",1.2,0)))))))))))</f>
        <v>0.85</v>
      </c>
    </row>
    <row r="1123" customFormat="false" ht="16.4" hidden="false" customHeight="false" outlineLevel="0" collapsed="false">
      <c r="A1123" s="1" t="n">
        <v>1122</v>
      </c>
      <c r="B1123" s="5" t="str">
        <f aca="false">[1]Base_Jugadores!B1123</f>
        <v>Michel Adopo</v>
      </c>
      <c r="C1123" s="5" t="str">
        <f aca="false">IFERROR(
   _xlfn.XLOOKUP(VALUE(A1123),[1]Fichajes_Realizados!A$2:A$50000,[1]Fichajes_Realizados!D$2:D$50000,,0,-1),
   _xlfn.XLOOKUP(VALUE(A1123),[1]Base_Jugadores!A$2:A$50000,[1]Base_Jugadores!C$2:C$50000)
)</f>
        <v>Cagliari</v>
      </c>
      <c r="D1123" s="5" t="str">
        <f aca="false">[1]Base_Jugadores!D1123</f>
        <v>Francia</v>
      </c>
      <c r="E1123" s="3"/>
      <c r="F1123" s="5" t="str">
        <f aca="false">[1]Base_Jugadores!E1123</f>
        <v>MC</v>
      </c>
      <c r="G1123" s="5" t="n">
        <f aca="false">[1]Base_Jugadores!F1123</f>
        <v>69</v>
      </c>
      <c r="H1123" s="5" t="n">
        <f aca="false">[1]Base_Jugadores!G1123</f>
        <v>25</v>
      </c>
      <c r="I1123" s="7" t="n">
        <f aca="false" t="array" ref="I1123:I1123">_xlfn.XLOOKUP(G1123,{55;56;57;58;59;60;61;62;63;64;65;66;67;68;69;70;71;72;73;74;75;76;77;78;79;80;81;82;83;84;85;86;87;88;89;90;91;92;93;94;95;96;97;98;99},{100000;130000;160000;190000;220000;250000;300000;350000;400000;450000;500000;600000;700000;800000;900000;1000000;1500000;2000000;3000000;4000000;5000000;6500000;8000000;10000000;12500000;15000000;20000000;25000000;30000000;35000000;40000000;55000000;70000000;80000000;90000000;110000000;130000000;160000000;190000000;220000000;250000000;280000000;310000000;340000000;400000000})</f>
        <v>900000</v>
      </c>
      <c r="J1123" s="7" t="n">
        <f aca="false">I1123*S1123*T1123*U1123</f>
        <v>1200420</v>
      </c>
      <c r="K1123" s="3"/>
      <c r="L1123" s="3"/>
      <c r="M1123" s="3"/>
      <c r="N1123" s="9" t="n">
        <v>0</v>
      </c>
      <c r="O1123" s="4" t="n">
        <v>0</v>
      </c>
      <c r="P1123" s="5" t="n">
        <f aca="false">IF(COUNTIF([1]Base_Jugadores!J$2:J$500,B1123)&gt;0,1,0)</f>
        <v>0</v>
      </c>
      <c r="Q1123" s="10" t="b">
        <f aca="false">--(COUNTIFS(
   [1]Fichajes_Realizados!A$2:A$5000,A1123,
   [1]Fichajes_Realizados!G$2:G$5000,$X$3
)&gt;0)</f>
        <v>0</v>
      </c>
      <c r="R1123" s="5" t="n">
        <f aca="false">_xlfn.XLOOKUP(C1123, [1]Estado_Equipos!A$2:A$500, [1]Estado_Equipos!J$2:J$500, "")</f>
        <v>71</v>
      </c>
      <c r="S1123" s="5" t="n">
        <f aca="false">IF(H1123&lt;=16,1.45,
IF(H1123&gt;=41,0.3,
CHOOSE(ROUNDDOWN((H1123-16)/2,0)+1,
1.45,1.38,1.3,1.23,1.17,1.15,1.12,1.05,0.95,0.8,0.6,0.4,0.3)))</f>
        <v>1.17</v>
      </c>
      <c r="T1123" s="5" t="n">
        <f aca="false">CHOOSE(N1123+1,1.2,1,0.85,0.7)</f>
        <v>1.2</v>
      </c>
      <c r="U1123" s="5" t="n">
        <f aca="false">IF(F1123="PO",0.6,
IF(F1123="CT",0.75,
IF(F1123="LI",0.8,
IF(F1123="LD",0.8,
IF(F1123="MCD",0.85,
IF(F1123="MC",0.95,
IF(F1123="MO",1.05,
IF(F1123="EI",1.1,
IF(F1123="ED",1.1,
IF(F1123="SD",1.15,
IF(F1123="DC",1.2,0)))))))))))</f>
        <v>0.95</v>
      </c>
    </row>
    <row r="1124" customFormat="false" ht="16.4" hidden="false" customHeight="false" outlineLevel="0" collapsed="false">
      <c r="A1124" s="1" t="n">
        <v>1123</v>
      </c>
      <c r="B1124" s="5" t="str">
        <f aca="false">[1]Base_Jugadores!B1124</f>
        <v>Michael Folorunsho</v>
      </c>
      <c r="C1124" s="5" t="str">
        <f aca="false">IFERROR(
   _xlfn.XLOOKUP(VALUE(A1124),[1]Fichajes_Realizados!A$2:A$50000,[1]Fichajes_Realizados!D$2:D$50000,,0,-1),
   _xlfn.XLOOKUP(VALUE(A1124),[1]Base_Jugadores!A$2:A$50000,[1]Base_Jugadores!C$2:C$50000)
)</f>
        <v>Cagliari</v>
      </c>
      <c r="D1124" s="5" t="str">
        <f aca="false">[1]Base_Jugadores!D1124</f>
        <v>Italia</v>
      </c>
      <c r="E1124" s="3"/>
      <c r="F1124" s="5" t="str">
        <f aca="false">[1]Base_Jugadores!E1124</f>
        <v>MC</v>
      </c>
      <c r="G1124" s="5" t="n">
        <f aca="false">[1]Base_Jugadores!F1124</f>
        <v>77</v>
      </c>
      <c r="H1124" s="5" t="n">
        <f aca="false">[1]Base_Jugadores!G1124</f>
        <v>27</v>
      </c>
      <c r="I1124" s="7" t="n">
        <f aca="false" t="array" ref="I1124:I1124">_xlfn.XLOOKUP(G1124,{55;56;57;58;59;60;61;62;63;64;65;66;67;68;69;70;71;72;73;74;75;76;77;78;79;80;81;82;83;84;85;86;87;88;89;90;91;92;93;94;95;96;97;98;99},{100000;130000;160000;190000;220000;250000;300000;350000;400000;450000;500000;600000;700000;800000;900000;1000000;1500000;2000000;3000000;4000000;5000000;6500000;8000000;10000000;12500000;15000000;20000000;25000000;30000000;35000000;40000000;55000000;70000000;80000000;90000000;110000000;130000000;160000000;190000000;220000000;250000000;280000000;310000000;340000000;400000000})</f>
        <v>8000000</v>
      </c>
      <c r="J1124" s="7" t="n">
        <f aca="false">I1124*S1124*T1124*U1124</f>
        <v>10488000</v>
      </c>
      <c r="K1124" s="3"/>
      <c r="L1124" s="3"/>
      <c r="M1124" s="3"/>
      <c r="N1124" s="9" t="n">
        <v>0</v>
      </c>
      <c r="O1124" s="4" t="n">
        <v>0</v>
      </c>
      <c r="P1124" s="5" t="n">
        <f aca="false">IF(COUNTIF([1]Base_Jugadores!J$2:J$500,B1124)&gt;0,1,0)</f>
        <v>0</v>
      </c>
      <c r="Q1124" s="10" t="b">
        <f aca="false">--(COUNTIFS(
   [1]Fichajes_Realizados!A$2:A$5000,A1124,
   [1]Fichajes_Realizados!G$2:G$5000,$X$3
)&gt;0)</f>
        <v>0</v>
      </c>
      <c r="R1124" s="5" t="n">
        <f aca="false">_xlfn.XLOOKUP(C1124, [1]Estado_Equipos!A$2:A$500, [1]Estado_Equipos!J$2:J$500, "")</f>
        <v>71</v>
      </c>
      <c r="S1124" s="5" t="n">
        <f aca="false">IF(H1124&lt;=16,1.45,
IF(H1124&gt;=41,0.3,
CHOOSE(ROUNDDOWN((H1124-16)/2,0)+1,
1.45,1.38,1.3,1.23,1.17,1.15,1.12,1.05,0.95,0.8,0.6,0.4,0.3)))</f>
        <v>1.15</v>
      </c>
      <c r="T1124" s="5" t="n">
        <f aca="false">CHOOSE(N1124+1,1.2,1,0.85,0.7)</f>
        <v>1.2</v>
      </c>
      <c r="U1124" s="5" t="n">
        <f aca="false">IF(F1124="PO",0.6,
IF(F1124="CT",0.75,
IF(F1124="LI",0.8,
IF(F1124="LD",0.8,
IF(F1124="MCD",0.85,
IF(F1124="MC",0.95,
IF(F1124="MO",1.05,
IF(F1124="EI",1.1,
IF(F1124="ED",1.1,
IF(F1124="SD",1.15,
IF(F1124="DC",1.2,0)))))))))))</f>
        <v>0.95</v>
      </c>
    </row>
    <row r="1125" customFormat="false" ht="16.4" hidden="false" customHeight="false" outlineLevel="0" collapsed="false">
      <c r="A1125" s="1" t="n">
        <v>1124</v>
      </c>
      <c r="B1125" s="5" t="str">
        <f aca="false">[1]Base_Jugadores!B1125</f>
        <v>Alessandro Deiola</v>
      </c>
      <c r="C1125" s="5" t="str">
        <f aca="false">IFERROR(
   _xlfn.XLOOKUP(VALUE(A1125),[1]Fichajes_Realizados!A$2:A$50000,[1]Fichajes_Realizados!D$2:D$50000,,0,-1),
   _xlfn.XLOOKUP(VALUE(A1125),[1]Base_Jugadores!A$2:A$50000,[1]Base_Jugadores!C$2:C$50000)
)</f>
        <v>Cagliari</v>
      </c>
      <c r="D1125" s="5" t="str">
        <f aca="false">[1]Base_Jugadores!D1125</f>
        <v>Italia</v>
      </c>
      <c r="E1125" s="3"/>
      <c r="F1125" s="5" t="str">
        <f aca="false">[1]Base_Jugadores!E1125</f>
        <v>MC</v>
      </c>
      <c r="G1125" s="5" t="n">
        <f aca="false">[1]Base_Jugadores!F1125</f>
        <v>69</v>
      </c>
      <c r="H1125" s="5" t="n">
        <f aca="false">[1]Base_Jugadores!G1125</f>
        <v>30</v>
      </c>
      <c r="I1125" s="7" t="n">
        <f aca="false" t="array" ref="I1125:I1125">_xlfn.XLOOKUP(G1125,{55;56;57;58;59;60;61;62;63;64;65;66;67;68;69;70;71;72;73;74;75;76;77;78;79;80;81;82;83;84;85;86;87;88;89;90;91;92;93;94;95;96;97;98;99},{100000;130000;160000;190000;220000;250000;300000;350000;400000;450000;500000;600000;700000;800000;900000;1000000;1500000;2000000;3000000;4000000;5000000;6500000;8000000;10000000;12500000;15000000;20000000;25000000;30000000;35000000;40000000;55000000;70000000;80000000;90000000;110000000;130000000;160000000;190000000;220000000;250000000;280000000;310000000;340000000;400000000})</f>
        <v>900000</v>
      </c>
      <c r="J1125" s="7" t="n">
        <f aca="false">I1125*S1125*T1125*U1125</f>
        <v>1077300</v>
      </c>
      <c r="K1125" s="3"/>
      <c r="L1125" s="3"/>
      <c r="M1125" s="3"/>
      <c r="N1125" s="9" t="n">
        <v>0</v>
      </c>
      <c r="O1125" s="4" t="n">
        <v>0</v>
      </c>
      <c r="P1125" s="5" t="n">
        <f aca="false">IF(COUNTIF([1]Base_Jugadores!J$2:J$500,B1125)&gt;0,1,0)</f>
        <v>0</v>
      </c>
      <c r="Q1125" s="10" t="b">
        <f aca="false">--(COUNTIFS(
   [1]Fichajes_Realizados!A$2:A$5000,A1125,
   [1]Fichajes_Realizados!G$2:G$5000,$X$3
)&gt;0)</f>
        <v>0</v>
      </c>
      <c r="R1125" s="5" t="n">
        <f aca="false">_xlfn.XLOOKUP(C1125, [1]Estado_Equipos!A$2:A$500, [1]Estado_Equipos!J$2:J$500, "")</f>
        <v>71</v>
      </c>
      <c r="S1125" s="5" t="n">
        <f aca="false">IF(H1125&lt;=16,1.45,
IF(H1125&gt;=41,0.3,
CHOOSE(ROUNDDOWN((H1125-16)/2,0)+1,
1.45,1.38,1.3,1.23,1.17,1.15,1.12,1.05,0.95,0.8,0.6,0.4,0.3)))</f>
        <v>1.05</v>
      </c>
      <c r="T1125" s="5" t="n">
        <f aca="false">CHOOSE(N1125+1,1.2,1,0.85,0.7)</f>
        <v>1.2</v>
      </c>
      <c r="U1125" s="5" t="n">
        <f aca="false">IF(F1125="PO",0.6,
IF(F1125="CT",0.75,
IF(F1125="LI",0.8,
IF(F1125="LD",0.8,
IF(F1125="MCD",0.85,
IF(F1125="MC",0.95,
IF(F1125="MO",1.05,
IF(F1125="EI",1.1,
IF(F1125="ED",1.1,
IF(F1125="SD",1.15,
IF(F1125="DC",1.2,0)))))))))))</f>
        <v>0.95</v>
      </c>
    </row>
    <row r="1126" customFormat="false" ht="16.4" hidden="false" customHeight="false" outlineLevel="0" collapsed="false">
      <c r="A1126" s="1" t="n">
        <v>1125</v>
      </c>
      <c r="B1126" s="5" t="str">
        <f aca="false">[1]Base_Jugadores!B1126</f>
        <v>Luca Mazzitelli</v>
      </c>
      <c r="C1126" s="5" t="str">
        <f aca="false">IFERROR(
   _xlfn.XLOOKUP(VALUE(A1126),[1]Fichajes_Realizados!A$2:A$50000,[1]Fichajes_Realizados!D$2:D$50000,,0,-1),
   _xlfn.XLOOKUP(VALUE(A1126),[1]Base_Jugadores!A$2:A$50000,[1]Base_Jugadores!C$2:C$50000)
)</f>
        <v>Cagliari</v>
      </c>
      <c r="D1126" s="5" t="str">
        <f aca="false">[1]Base_Jugadores!D1126</f>
        <v>Italia</v>
      </c>
      <c r="E1126" s="3"/>
      <c r="F1126" s="5" t="str">
        <f aca="false">[1]Base_Jugadores!E1126</f>
        <v>MC</v>
      </c>
      <c r="G1126" s="5" t="n">
        <f aca="false">[1]Base_Jugadores!F1126</f>
        <v>74</v>
      </c>
      <c r="H1126" s="5" t="n">
        <f aca="false">[1]Base_Jugadores!G1126</f>
        <v>30</v>
      </c>
      <c r="I1126" s="7" t="n">
        <f aca="false" t="array" ref="I1126:I1126">_xlfn.XLOOKUP(G1126,{55;56;57;58;59;60;61;62;63;64;65;66;67;68;69;70;71;72;73;74;75;76;77;78;79;80;81;82;83;84;85;86;87;88;89;90;91;92;93;94;95;96;97;98;99},{100000;130000;160000;190000;220000;250000;300000;350000;400000;450000;500000;600000;700000;800000;900000;1000000;1500000;2000000;3000000;4000000;5000000;6500000;8000000;10000000;12500000;15000000;20000000;25000000;30000000;35000000;40000000;55000000;70000000;80000000;90000000;110000000;130000000;160000000;190000000;220000000;250000000;280000000;310000000;340000000;400000000})</f>
        <v>4000000</v>
      </c>
      <c r="J1126" s="7" t="n">
        <f aca="false">I1126*S1126*T1126*U1126</f>
        <v>4788000</v>
      </c>
      <c r="K1126" s="3"/>
      <c r="L1126" s="3"/>
      <c r="M1126" s="3"/>
      <c r="N1126" s="9" t="n">
        <v>0</v>
      </c>
      <c r="O1126" s="4" t="n">
        <v>0</v>
      </c>
      <c r="P1126" s="5" t="n">
        <f aca="false">IF(COUNTIF([1]Base_Jugadores!J$2:J$500,B1126)&gt;0,1,0)</f>
        <v>0</v>
      </c>
      <c r="Q1126" s="10" t="b">
        <f aca="false">--(COUNTIFS(
   [1]Fichajes_Realizados!A$2:A$5000,A1126,
   [1]Fichajes_Realizados!G$2:G$5000,$X$3
)&gt;0)</f>
        <v>0</v>
      </c>
      <c r="R1126" s="5" t="n">
        <f aca="false">_xlfn.XLOOKUP(C1126, [1]Estado_Equipos!A$2:A$500, [1]Estado_Equipos!J$2:J$500, "")</f>
        <v>71</v>
      </c>
      <c r="S1126" s="5" t="n">
        <f aca="false">IF(H1126&lt;=16,1.45,
IF(H1126&gt;=41,0.3,
CHOOSE(ROUNDDOWN((H1126-16)/2,0)+1,
1.45,1.38,1.3,1.23,1.17,1.15,1.12,1.05,0.95,0.8,0.6,0.4,0.3)))</f>
        <v>1.05</v>
      </c>
      <c r="T1126" s="5" t="n">
        <f aca="false">CHOOSE(N1126+1,1.2,1,0.85,0.7)</f>
        <v>1.2</v>
      </c>
      <c r="U1126" s="5" t="n">
        <f aca="false">IF(F1126="PO",0.6,
IF(F1126="CT",0.75,
IF(F1126="LI",0.8,
IF(F1126="LD",0.8,
IF(F1126="MCD",0.85,
IF(F1126="MC",0.95,
IF(F1126="MO",1.05,
IF(F1126="EI",1.1,
IF(F1126="ED",1.1,
IF(F1126="SD",1.15,
IF(F1126="DC",1.2,0)))))))))))</f>
        <v>0.95</v>
      </c>
    </row>
    <row r="1127" customFormat="false" ht="16.4" hidden="false" customHeight="false" outlineLevel="0" collapsed="false">
      <c r="A1127" s="1" t="n">
        <v>1126</v>
      </c>
      <c r="B1127" s="5" t="str">
        <f aca="false">[1]Base_Jugadores!B1127</f>
        <v>Marko Rog</v>
      </c>
      <c r="C1127" s="5" t="str">
        <f aca="false">IFERROR(
   _xlfn.XLOOKUP(VALUE(A1127),[1]Fichajes_Realizados!A$2:A$50000,[1]Fichajes_Realizados!D$2:D$50000,,0,-1),
   _xlfn.XLOOKUP(VALUE(A1127),[1]Base_Jugadores!A$2:A$50000,[1]Base_Jugadores!C$2:C$50000)
)</f>
        <v>Cagliari</v>
      </c>
      <c r="D1127" s="5" t="str">
        <f aca="false">[1]Base_Jugadores!D1127</f>
        <v>Croacia</v>
      </c>
      <c r="E1127" s="3"/>
      <c r="F1127" s="5" t="str">
        <f aca="false">[1]Base_Jugadores!E1127</f>
        <v>MC</v>
      </c>
      <c r="G1127" s="5" t="n">
        <f aca="false">[1]Base_Jugadores!F1127</f>
        <v>69</v>
      </c>
      <c r="H1127" s="5" t="n">
        <f aca="false">[1]Base_Jugadores!G1127</f>
        <v>30</v>
      </c>
      <c r="I1127" s="7" t="n">
        <f aca="false" t="array" ref="I1127:I1127">_xlfn.XLOOKUP(G1127,{55;56;57;58;59;60;61;62;63;64;65;66;67;68;69;70;71;72;73;74;75;76;77;78;79;80;81;82;83;84;85;86;87;88;89;90;91;92;93;94;95;96;97;98;99},{100000;130000;160000;190000;220000;250000;300000;350000;400000;450000;500000;600000;700000;800000;900000;1000000;1500000;2000000;3000000;4000000;5000000;6500000;8000000;10000000;12500000;15000000;20000000;25000000;30000000;35000000;40000000;55000000;70000000;80000000;90000000;110000000;130000000;160000000;190000000;220000000;250000000;280000000;310000000;340000000;400000000})</f>
        <v>900000</v>
      </c>
      <c r="J1127" s="7" t="n">
        <f aca="false">I1127*S1127*T1127*U1127</f>
        <v>1077300</v>
      </c>
      <c r="K1127" s="3"/>
      <c r="L1127" s="3"/>
      <c r="M1127" s="3"/>
      <c r="N1127" s="9" t="n">
        <v>0</v>
      </c>
      <c r="O1127" s="4" t="n">
        <v>0</v>
      </c>
      <c r="P1127" s="5" t="n">
        <f aca="false">IF(COUNTIF([1]Base_Jugadores!J$2:J$500,B1127)&gt;0,1,0)</f>
        <v>0</v>
      </c>
      <c r="Q1127" s="10" t="b">
        <f aca="false">--(COUNTIFS(
   [1]Fichajes_Realizados!A$2:A$5000,A1127,
   [1]Fichajes_Realizados!G$2:G$5000,$X$3
)&gt;0)</f>
        <v>0</v>
      </c>
      <c r="R1127" s="5" t="n">
        <f aca="false">_xlfn.XLOOKUP(C1127, [1]Estado_Equipos!A$2:A$500, [1]Estado_Equipos!J$2:J$500, "")</f>
        <v>71</v>
      </c>
      <c r="S1127" s="5" t="n">
        <f aca="false">IF(H1127&lt;=16,1.45,
IF(H1127&gt;=41,0.3,
CHOOSE(ROUNDDOWN((H1127-16)/2,0)+1,
1.45,1.38,1.3,1.23,1.17,1.15,1.12,1.05,0.95,0.8,0.6,0.4,0.3)))</f>
        <v>1.05</v>
      </c>
      <c r="T1127" s="5" t="n">
        <f aca="false">CHOOSE(N1127+1,1.2,1,0.85,0.7)</f>
        <v>1.2</v>
      </c>
      <c r="U1127" s="5" t="n">
        <f aca="false">IF(F1127="PO",0.6,
IF(F1127="CT",0.75,
IF(F1127="LI",0.8,
IF(F1127="LD",0.8,
IF(F1127="MCD",0.85,
IF(F1127="MC",0.95,
IF(F1127="MO",1.05,
IF(F1127="EI",1.1,
IF(F1127="ED",1.1,
IF(F1127="SD",1.15,
IF(F1127="DC",1.2,0)))))))))))</f>
        <v>0.95</v>
      </c>
    </row>
    <row r="1128" customFormat="false" ht="16.4" hidden="false" customHeight="false" outlineLevel="0" collapsed="false">
      <c r="A1128" s="1" t="n">
        <v>1127</v>
      </c>
      <c r="B1128" s="5" t="str">
        <f aca="false">[1]Base_Jugadores!B1128</f>
        <v>Gianluca Gaetano</v>
      </c>
      <c r="C1128" s="5" t="str">
        <f aca="false">IFERROR(
   _xlfn.XLOOKUP(VALUE(A1128),[1]Fichajes_Realizados!A$2:A$50000,[1]Fichajes_Realizados!D$2:D$50000,,0,-1),
   _xlfn.XLOOKUP(VALUE(A1128),[1]Base_Jugadores!A$2:A$50000,[1]Base_Jugadores!C$2:C$50000)
)</f>
        <v>Cagliari</v>
      </c>
      <c r="D1128" s="5" t="str">
        <f aca="false">[1]Base_Jugadores!D1128</f>
        <v>Italia</v>
      </c>
      <c r="E1128" s="3"/>
      <c r="F1128" s="5" t="str">
        <f aca="false">[1]Base_Jugadores!E1128</f>
        <v>MO</v>
      </c>
      <c r="G1128" s="5" t="n">
        <f aca="false">[1]Base_Jugadores!F1128</f>
        <v>75</v>
      </c>
      <c r="H1128" s="5" t="n">
        <f aca="false">[1]Base_Jugadores!G1128</f>
        <v>25</v>
      </c>
      <c r="I1128" s="7" t="n">
        <f aca="false" t="array" ref="I1128:I1128">_xlfn.XLOOKUP(G1128,{55;56;57;58;59;60;61;62;63;64;65;66;67;68;69;70;71;72;73;74;75;76;77;78;79;80;81;82;83;84;85;86;87;88;89;90;91;92;93;94;95;96;97;98;99},{100000;130000;160000;190000;220000;250000;300000;350000;400000;450000;500000;600000;700000;800000;900000;1000000;1500000;2000000;3000000;4000000;5000000;6500000;8000000;10000000;12500000;15000000;20000000;25000000;30000000;35000000;40000000;55000000;70000000;80000000;90000000;110000000;130000000;160000000;190000000;220000000;250000000;280000000;310000000;340000000;400000000})</f>
        <v>5000000</v>
      </c>
      <c r="J1128" s="7" t="n">
        <f aca="false">I1128*S1128*T1128*U1128</f>
        <v>7371000</v>
      </c>
      <c r="K1128" s="3"/>
      <c r="L1128" s="3"/>
      <c r="M1128" s="3"/>
      <c r="N1128" s="9" t="n">
        <v>0</v>
      </c>
      <c r="O1128" s="4" t="n">
        <v>0</v>
      </c>
      <c r="P1128" s="5" t="n">
        <f aca="false">IF(COUNTIF([1]Base_Jugadores!J$2:J$500,B1128)&gt;0,1,0)</f>
        <v>0</v>
      </c>
      <c r="Q1128" s="10" t="b">
        <f aca="false">--(COUNTIFS(
   [1]Fichajes_Realizados!A$2:A$5000,A1128,
   [1]Fichajes_Realizados!G$2:G$5000,$X$3
)&gt;0)</f>
        <v>0</v>
      </c>
      <c r="R1128" s="5" t="n">
        <f aca="false">_xlfn.XLOOKUP(C1128, [1]Estado_Equipos!A$2:A$500, [1]Estado_Equipos!J$2:J$500, "")</f>
        <v>71</v>
      </c>
      <c r="S1128" s="5" t="n">
        <f aca="false">IF(H1128&lt;=16,1.45,
IF(H1128&gt;=41,0.3,
CHOOSE(ROUNDDOWN((H1128-16)/2,0)+1,
1.45,1.38,1.3,1.23,1.17,1.15,1.12,1.05,0.95,0.8,0.6,0.4,0.3)))</f>
        <v>1.17</v>
      </c>
      <c r="T1128" s="5" t="n">
        <f aca="false">CHOOSE(N1128+1,1.2,1,0.85,0.7)</f>
        <v>1.2</v>
      </c>
      <c r="U1128" s="5" t="n">
        <f aca="false">IF(F1128="PO",0.6,
IF(F1128="CT",0.75,
IF(F1128="LI",0.8,
IF(F1128="LD",0.8,
IF(F1128="MCD",0.85,
IF(F1128="MC",0.95,
IF(F1128="MO",1.05,
IF(F1128="EI",1.1,
IF(F1128="ED",1.1,
IF(F1128="SD",1.15,
IF(F1128="DC",1.2,0)))))))))))</f>
        <v>1.05</v>
      </c>
    </row>
    <row r="1129" customFormat="false" ht="16.4" hidden="false" customHeight="false" outlineLevel="0" collapsed="false">
      <c r="A1129" s="1" t="n">
        <v>1128</v>
      </c>
      <c r="B1129" s="5" t="str">
        <f aca="false">[1]Base_Jugadores!B1129</f>
        <v>Nicolò Cavuoti</v>
      </c>
      <c r="C1129" s="5" t="str">
        <f aca="false">IFERROR(
   _xlfn.XLOOKUP(VALUE(A1129),[1]Fichajes_Realizados!A$2:A$50000,[1]Fichajes_Realizados!D$2:D$50000,,0,-1),
   _xlfn.XLOOKUP(VALUE(A1129),[1]Base_Jugadores!A$2:A$50000,[1]Base_Jugadores!C$2:C$50000)
)</f>
        <v>Cagliari</v>
      </c>
      <c r="D1129" s="5" t="str">
        <f aca="false">[1]Base_Jugadores!D1129</f>
        <v>Italia</v>
      </c>
      <c r="E1129" s="3"/>
      <c r="F1129" s="5" t="str">
        <f aca="false">[1]Base_Jugadores!E1129</f>
        <v>MO</v>
      </c>
      <c r="G1129" s="5" t="n">
        <f aca="false">[1]Base_Jugadores!F1129</f>
        <v>62</v>
      </c>
      <c r="H1129" s="5" t="n">
        <f aca="false">[1]Base_Jugadores!G1129</f>
        <v>22</v>
      </c>
      <c r="I1129" s="7" t="n">
        <f aca="false" t="array" ref="I1129:I1129">_xlfn.XLOOKUP(G1129,{55;56;57;58;59;60;61;62;63;64;65;66;67;68;69;70;71;72;73;74;75;76;77;78;79;80;81;82;83;84;85;86;87;88;89;90;91;92;93;94;95;96;97;98;99},{100000;130000;160000;190000;220000;250000;300000;350000;400000;450000;500000;600000;700000;800000;900000;1000000;1500000;2000000;3000000;4000000;5000000;6500000;8000000;10000000;12500000;15000000;20000000;25000000;30000000;35000000;40000000;55000000;70000000;80000000;90000000;110000000;130000000;160000000;190000000;220000000;250000000;280000000;310000000;340000000;400000000})</f>
        <v>350000</v>
      </c>
      <c r="J1129" s="7" t="n">
        <f aca="false">I1129*S1129*T1129*U1129</f>
        <v>542430</v>
      </c>
      <c r="K1129" s="3"/>
      <c r="L1129" s="3"/>
      <c r="M1129" s="3"/>
      <c r="N1129" s="9" t="n">
        <v>0</v>
      </c>
      <c r="O1129" s="4" t="n">
        <v>0</v>
      </c>
      <c r="P1129" s="5" t="n">
        <f aca="false">IF(COUNTIF([1]Base_Jugadores!J$2:J$500,B1129)&gt;0,1,0)</f>
        <v>0</v>
      </c>
      <c r="Q1129" s="10" t="b">
        <f aca="false">--(COUNTIFS(
   [1]Fichajes_Realizados!A$2:A$5000,A1129,
   [1]Fichajes_Realizados!G$2:G$5000,$X$3
)&gt;0)</f>
        <v>0</v>
      </c>
      <c r="R1129" s="5" t="n">
        <f aca="false">_xlfn.XLOOKUP(C1129, [1]Estado_Equipos!A$2:A$500, [1]Estado_Equipos!J$2:J$500, "")</f>
        <v>71</v>
      </c>
      <c r="S1129" s="5" t="n">
        <f aca="false">IF(H1129&lt;=16,1.45,
IF(H1129&gt;=41,0.3,
CHOOSE(ROUNDDOWN((H1129-16)/2,0)+1,
1.45,1.38,1.3,1.23,1.17,1.15,1.12,1.05,0.95,0.8,0.6,0.4,0.3)))</f>
        <v>1.23</v>
      </c>
      <c r="T1129" s="5" t="n">
        <f aca="false">CHOOSE(N1129+1,1.2,1,0.85,0.7)</f>
        <v>1.2</v>
      </c>
      <c r="U1129" s="5" t="n">
        <f aca="false">IF(F1129="PO",0.6,
IF(F1129="CT",0.75,
IF(F1129="LI",0.8,
IF(F1129="LD",0.8,
IF(F1129="MCD",0.85,
IF(F1129="MC",0.95,
IF(F1129="MO",1.05,
IF(F1129="EI",1.1,
IF(F1129="ED",1.1,
IF(F1129="SD",1.15,
IF(F1129="DC",1.2,0)))))))))))</f>
        <v>1.05</v>
      </c>
    </row>
    <row r="1130" customFormat="false" ht="16.4" hidden="false" customHeight="false" outlineLevel="0" collapsed="false">
      <c r="A1130" s="1" t="n">
        <v>1129</v>
      </c>
      <c r="B1130" s="5" t="str">
        <f aca="false">[1]Base_Jugadores!B1130</f>
        <v>Mattia Felici</v>
      </c>
      <c r="C1130" s="5" t="str">
        <f aca="false">IFERROR(
   _xlfn.XLOOKUP(VALUE(A1130),[1]Fichajes_Realizados!A$2:A$50000,[1]Fichajes_Realizados!D$2:D$50000,,0,-1),
   _xlfn.XLOOKUP(VALUE(A1130),[1]Base_Jugadores!A$2:A$50000,[1]Base_Jugadores!C$2:C$50000)
)</f>
        <v>Cagliari</v>
      </c>
      <c r="D1130" s="5" t="str">
        <f aca="false">[1]Base_Jugadores!D1130</f>
        <v>Italia</v>
      </c>
      <c r="E1130" s="3"/>
      <c r="F1130" s="5" t="str">
        <f aca="false">[1]Base_Jugadores!E1130</f>
        <v>EI</v>
      </c>
      <c r="G1130" s="5" t="n">
        <f aca="false">[1]Base_Jugadores!F1130</f>
        <v>69</v>
      </c>
      <c r="H1130" s="5" t="n">
        <f aca="false">[1]Base_Jugadores!G1130</f>
        <v>24</v>
      </c>
      <c r="I1130" s="7" t="n">
        <f aca="false" t="array" ref="I1130:I1130">_xlfn.XLOOKUP(G1130,{55;56;57;58;59;60;61;62;63;64;65;66;67;68;69;70;71;72;73;74;75;76;77;78;79;80;81;82;83;84;85;86;87;88;89;90;91;92;93;94;95;96;97;98;99},{100000;130000;160000;190000;220000;250000;300000;350000;400000;450000;500000;600000;700000;800000;900000;1000000;1500000;2000000;3000000;4000000;5000000;6500000;8000000;10000000;12500000;15000000;20000000;25000000;30000000;35000000;40000000;55000000;70000000;80000000;90000000;110000000;130000000;160000000;190000000;220000000;250000000;280000000;310000000;340000000;400000000})</f>
        <v>900000</v>
      </c>
      <c r="J1130" s="7" t="n">
        <f aca="false">I1130*S1130*T1130*U1130</f>
        <v>1389960</v>
      </c>
      <c r="K1130" s="3"/>
      <c r="L1130" s="3"/>
      <c r="M1130" s="3"/>
      <c r="N1130" s="9" t="n">
        <v>0</v>
      </c>
      <c r="O1130" s="4" t="n">
        <v>0</v>
      </c>
      <c r="P1130" s="5" t="n">
        <f aca="false">IF(COUNTIF([1]Base_Jugadores!J$2:J$500,B1130)&gt;0,1,0)</f>
        <v>0</v>
      </c>
      <c r="Q1130" s="10" t="b">
        <f aca="false">--(COUNTIFS(
   [1]Fichajes_Realizados!A$2:A$5000,A1130,
   [1]Fichajes_Realizados!G$2:G$5000,$X$3
)&gt;0)</f>
        <v>0</v>
      </c>
      <c r="R1130" s="5" t="n">
        <f aca="false">_xlfn.XLOOKUP(C1130, [1]Estado_Equipos!A$2:A$500, [1]Estado_Equipos!J$2:J$500, "")</f>
        <v>71</v>
      </c>
      <c r="S1130" s="5" t="n">
        <f aca="false">IF(H1130&lt;=16,1.45,
IF(H1130&gt;=41,0.3,
CHOOSE(ROUNDDOWN((H1130-16)/2,0)+1,
1.45,1.38,1.3,1.23,1.17,1.15,1.12,1.05,0.95,0.8,0.6,0.4,0.3)))</f>
        <v>1.17</v>
      </c>
      <c r="T1130" s="5" t="n">
        <f aca="false">CHOOSE(N1130+1,1.2,1,0.85,0.7)</f>
        <v>1.2</v>
      </c>
      <c r="U1130" s="5" t="n">
        <f aca="false">IF(F1130="PO",0.6,
IF(F1130="CT",0.75,
IF(F1130="LI",0.8,
IF(F1130="LD",0.8,
IF(F1130="MCD",0.85,
IF(F1130="MC",0.95,
IF(F1130="MO",1.05,
IF(F1130="EI",1.1,
IF(F1130="ED",1.1,
IF(F1130="SD",1.15,
IF(F1130="DC",1.2,0)))))))))))</f>
        <v>1.1</v>
      </c>
    </row>
    <row r="1131" customFormat="false" ht="16.4" hidden="false" customHeight="false" outlineLevel="0" collapsed="false">
      <c r="A1131" s="1" t="n">
        <v>1130</v>
      </c>
      <c r="B1131" s="5" t="str">
        <f aca="false">[1]Base_Jugadores!B1131</f>
        <v>Sebastiano E.</v>
      </c>
      <c r="C1131" s="5" t="str">
        <f aca="false">IFERROR(
   _xlfn.XLOOKUP(VALUE(A1131),[1]Fichajes_Realizados!A$2:A$50000,[1]Fichajes_Realizados!D$2:D$50000,,0,-1),
   _xlfn.XLOOKUP(VALUE(A1131),[1]Base_Jugadores!A$2:A$50000,[1]Base_Jugadores!C$2:C$50000)
)</f>
        <v>Cagliari</v>
      </c>
      <c r="D1131" s="5" t="str">
        <f aca="false">[1]Base_Jugadores!D1131</f>
        <v>Italia</v>
      </c>
      <c r="E1131" s="3"/>
      <c r="F1131" s="5" t="str">
        <f aca="false">[1]Base_Jugadores!E1131</f>
        <v>SD</v>
      </c>
      <c r="G1131" s="5" t="n">
        <f aca="false">[1]Base_Jugadores!F1131</f>
        <v>73</v>
      </c>
      <c r="H1131" s="5" t="n">
        <f aca="false">[1]Base_Jugadores!G1131</f>
        <v>23</v>
      </c>
      <c r="I1131" s="7" t="n">
        <f aca="false" t="array" ref="I1131:I1131">_xlfn.XLOOKUP(G1131,{55;56;57;58;59;60;61;62;63;64;65;66;67;68;69;70;71;72;73;74;75;76;77;78;79;80;81;82;83;84;85;86;87;88;89;90;91;92;93;94;95;96;97;98;99},{100000;130000;160000;190000;220000;250000;300000;350000;400000;450000;500000;600000;700000;800000;900000;1000000;1500000;2000000;3000000;4000000;5000000;6500000;8000000;10000000;12500000;15000000;20000000;25000000;30000000;35000000;40000000;55000000;70000000;80000000;90000000;110000000;130000000;160000000;190000000;220000000;250000000;280000000;310000000;340000000;400000000})</f>
        <v>3000000</v>
      </c>
      <c r="J1131" s="7" t="n">
        <f aca="false">I1131*S1131*T1131*U1131</f>
        <v>5092200</v>
      </c>
      <c r="K1131" s="3"/>
      <c r="L1131" s="3"/>
      <c r="M1131" s="3"/>
      <c r="N1131" s="9" t="n">
        <v>0</v>
      </c>
      <c r="O1131" s="4" t="n">
        <v>0</v>
      </c>
      <c r="P1131" s="5" t="n">
        <f aca="false">IF(COUNTIF([1]Base_Jugadores!J$2:J$500,B1131)&gt;0,1,0)</f>
        <v>0</v>
      </c>
      <c r="Q1131" s="10" t="b">
        <f aca="false">--(COUNTIFS(
   [1]Fichajes_Realizados!A$2:A$5000,A1131,
   [1]Fichajes_Realizados!G$2:G$5000,$X$3
)&gt;0)</f>
        <v>0</v>
      </c>
      <c r="R1131" s="5" t="n">
        <f aca="false">_xlfn.XLOOKUP(C1131, [1]Estado_Equipos!A$2:A$500, [1]Estado_Equipos!J$2:J$500, "")</f>
        <v>71</v>
      </c>
      <c r="S1131" s="5" t="n">
        <f aca="false">IF(H1131&lt;=16,1.45,
IF(H1131&gt;=41,0.3,
CHOOSE(ROUNDDOWN((H1131-16)/2,0)+1,
1.45,1.38,1.3,1.23,1.17,1.15,1.12,1.05,0.95,0.8,0.6,0.4,0.3)))</f>
        <v>1.23</v>
      </c>
      <c r="T1131" s="5" t="n">
        <f aca="false">CHOOSE(N1131+1,1.2,1,0.85,0.7)</f>
        <v>1.2</v>
      </c>
      <c r="U1131" s="5" t="n">
        <f aca="false">IF(F1131="PO",0.6,
IF(F1131="CT",0.75,
IF(F1131="LI",0.8,
IF(F1131="LD",0.8,
IF(F1131="MCD",0.85,
IF(F1131="MC",0.95,
IF(F1131="MO",1.05,
IF(F1131="EI",1.1,
IF(F1131="ED",1.1,
IF(F1131="SD",1.15,
IF(F1131="DC",1.2,0)))))))))))</f>
        <v>1.15</v>
      </c>
    </row>
    <row r="1132" customFormat="false" ht="16.4" hidden="false" customHeight="false" outlineLevel="0" collapsed="false">
      <c r="A1132" s="1" t="n">
        <v>1131</v>
      </c>
      <c r="B1132" s="5" t="str">
        <f aca="false">[1]Base_Jugadores!B1132</f>
        <v>Semih Kılıçsoy</v>
      </c>
      <c r="C1132" s="5" t="str">
        <f aca="false">IFERROR(
   _xlfn.XLOOKUP(VALUE(A1132),[1]Fichajes_Realizados!A$2:A$50000,[1]Fichajes_Realizados!D$2:D$50000,,0,-1),
   _xlfn.XLOOKUP(VALUE(A1132),[1]Base_Jugadores!A$2:A$50000,[1]Base_Jugadores!C$2:C$50000)
)</f>
        <v>Cagliari</v>
      </c>
      <c r="D1132" s="5" t="str">
        <f aca="false">[1]Base_Jugadores!D1132</f>
        <v>Turquía</v>
      </c>
      <c r="E1132" s="3"/>
      <c r="F1132" s="5" t="str">
        <f aca="false">[1]Base_Jugadores!E1132</f>
        <v>DC</v>
      </c>
      <c r="G1132" s="5" t="n">
        <f aca="false">[1]Base_Jugadores!F1132</f>
        <v>73</v>
      </c>
      <c r="H1132" s="5" t="n">
        <f aca="false">[1]Base_Jugadores!G1132</f>
        <v>20</v>
      </c>
      <c r="I1132" s="7" t="n">
        <f aca="false" t="array" ref="I1132:I1132">_xlfn.XLOOKUP(G1132,{55;56;57;58;59;60;61;62;63;64;65;66;67;68;69;70;71;72;73;74;75;76;77;78;79;80;81;82;83;84;85;86;87;88;89;90;91;92;93;94;95;96;97;98;99},{100000;130000;160000;190000;220000;250000;300000;350000;400000;450000;500000;600000;700000;800000;900000;1000000;1500000;2000000;3000000;4000000;5000000;6500000;8000000;10000000;12500000;15000000;20000000;25000000;30000000;35000000;40000000;55000000;70000000;80000000;90000000;110000000;130000000;160000000;190000000;220000000;250000000;280000000;310000000;340000000;400000000})</f>
        <v>3000000</v>
      </c>
      <c r="J1132" s="7" t="n">
        <f aca="false">I1132*S1132*T1132*U1132</f>
        <v>5616000</v>
      </c>
      <c r="K1132" s="3"/>
      <c r="L1132" s="3"/>
      <c r="M1132" s="3"/>
      <c r="N1132" s="9" t="n">
        <v>0</v>
      </c>
      <c r="O1132" s="4" t="n">
        <v>0</v>
      </c>
      <c r="P1132" s="5" t="n">
        <f aca="false">IF(COUNTIF([1]Base_Jugadores!J$2:J$500,B1132)&gt;0,1,0)</f>
        <v>0</v>
      </c>
      <c r="Q1132" s="10" t="b">
        <f aca="false">--(COUNTIFS(
   [1]Fichajes_Realizados!A$2:A$5000,A1132,
   [1]Fichajes_Realizados!G$2:G$5000,$X$3
)&gt;0)</f>
        <v>0</v>
      </c>
      <c r="R1132" s="5" t="n">
        <f aca="false">_xlfn.XLOOKUP(C1132, [1]Estado_Equipos!A$2:A$500, [1]Estado_Equipos!J$2:J$500, "")</f>
        <v>71</v>
      </c>
      <c r="S1132" s="5" t="n">
        <f aca="false">IF(H1132&lt;=16,1.45,
IF(H1132&gt;=41,0.3,
CHOOSE(ROUNDDOWN((H1132-16)/2,0)+1,
1.45,1.38,1.3,1.23,1.17,1.15,1.12,1.05,0.95,0.8,0.6,0.4,0.3)))</f>
        <v>1.3</v>
      </c>
      <c r="T1132" s="5" t="n">
        <f aca="false">CHOOSE(N1132+1,1.2,1,0.85,0.7)</f>
        <v>1.2</v>
      </c>
      <c r="U1132" s="5" t="n">
        <f aca="false">IF(F1132="PO",0.6,
IF(F1132="CT",0.75,
IF(F1132="LI",0.8,
IF(F1132="LD",0.8,
IF(F1132="MCD",0.85,
IF(F1132="MC",0.95,
IF(F1132="MO",1.05,
IF(F1132="EI",1.1,
IF(F1132="ED",1.1,
IF(F1132="SD",1.15,
IF(F1132="DC",1.2,0)))))))))))</f>
        <v>1.2</v>
      </c>
    </row>
    <row r="1133" customFormat="false" ht="16.4" hidden="false" customHeight="false" outlineLevel="0" collapsed="false">
      <c r="A1133" s="1" t="n">
        <v>1132</v>
      </c>
      <c r="B1133" s="5" t="str">
        <f aca="false">[1]Base_Jugadores!B1133</f>
        <v>Zito Luvumbo</v>
      </c>
      <c r="C1133" s="5" t="str">
        <f aca="false">IFERROR(
   _xlfn.XLOOKUP(VALUE(A1133),[1]Fichajes_Realizados!A$2:A$50000,[1]Fichajes_Realizados!D$2:D$50000,,0,-1),
   _xlfn.XLOOKUP(VALUE(A1133),[1]Base_Jugadores!A$2:A$50000,[1]Base_Jugadores!C$2:C$50000)
)</f>
        <v>Cagliari</v>
      </c>
      <c r="D1133" s="5" t="str">
        <f aca="false">[1]Base_Jugadores!D1133</f>
        <v>Angola</v>
      </c>
      <c r="E1133" s="3"/>
      <c r="F1133" s="5" t="str">
        <f aca="false">[1]Base_Jugadores!E1133</f>
        <v>DC</v>
      </c>
      <c r="G1133" s="5" t="n">
        <f aca="false">[1]Base_Jugadores!F1133</f>
        <v>69</v>
      </c>
      <c r="H1133" s="5" t="n">
        <f aca="false">[1]Base_Jugadores!G1133</f>
        <v>23</v>
      </c>
      <c r="I1133" s="7" t="n">
        <f aca="false" t="array" ref="I1133:I1133">_xlfn.XLOOKUP(G1133,{55;56;57;58;59;60;61;62;63;64;65;66;67;68;69;70;71;72;73;74;75;76;77;78;79;80;81;82;83;84;85;86;87;88;89;90;91;92;93;94;95;96;97;98;99},{100000;130000;160000;190000;220000;250000;300000;350000;400000;450000;500000;600000;700000;800000;900000;1000000;1500000;2000000;3000000;4000000;5000000;6500000;8000000;10000000;12500000;15000000;20000000;25000000;30000000;35000000;40000000;55000000;70000000;80000000;90000000;110000000;130000000;160000000;190000000;220000000;250000000;280000000;310000000;340000000;400000000})</f>
        <v>900000</v>
      </c>
      <c r="J1133" s="7" t="n">
        <f aca="false">I1133*S1133*T1133*U1133</f>
        <v>1594080</v>
      </c>
      <c r="K1133" s="3"/>
      <c r="L1133" s="3"/>
      <c r="M1133" s="3"/>
      <c r="N1133" s="9" t="n">
        <v>0</v>
      </c>
      <c r="O1133" s="4" t="n">
        <v>0</v>
      </c>
      <c r="P1133" s="5" t="n">
        <f aca="false">IF(COUNTIF([1]Base_Jugadores!J$2:J$500,B1133)&gt;0,1,0)</f>
        <v>0</v>
      </c>
      <c r="Q1133" s="10" t="b">
        <f aca="false">--(COUNTIFS(
   [1]Fichajes_Realizados!A$2:A$5000,A1133,
   [1]Fichajes_Realizados!G$2:G$5000,$X$3
)&gt;0)</f>
        <v>0</v>
      </c>
      <c r="R1133" s="5" t="n">
        <f aca="false">_xlfn.XLOOKUP(C1133, [1]Estado_Equipos!A$2:A$500, [1]Estado_Equipos!J$2:J$500, "")</f>
        <v>71</v>
      </c>
      <c r="S1133" s="5" t="n">
        <f aca="false">IF(H1133&lt;=16,1.45,
IF(H1133&gt;=41,0.3,
CHOOSE(ROUNDDOWN((H1133-16)/2,0)+1,
1.45,1.38,1.3,1.23,1.17,1.15,1.12,1.05,0.95,0.8,0.6,0.4,0.3)))</f>
        <v>1.23</v>
      </c>
      <c r="T1133" s="5" t="n">
        <f aca="false">CHOOSE(N1133+1,1.2,1,0.85,0.7)</f>
        <v>1.2</v>
      </c>
      <c r="U1133" s="5" t="n">
        <f aca="false">IF(F1133="PO",0.6,
IF(F1133="CT",0.75,
IF(F1133="LI",0.8,
IF(F1133="LD",0.8,
IF(F1133="MCD",0.85,
IF(F1133="MC",0.95,
IF(F1133="MO",1.05,
IF(F1133="EI",1.1,
IF(F1133="ED",1.1,
IF(F1133="SD",1.15,
IF(F1133="DC",1.2,0)))))))))))</f>
        <v>1.2</v>
      </c>
    </row>
    <row r="1134" customFormat="false" ht="16.4" hidden="false" customHeight="false" outlineLevel="0" collapsed="false">
      <c r="A1134" s="1" t="n">
        <v>1133</v>
      </c>
      <c r="B1134" s="5" t="str">
        <f aca="false">[1]Base_Jugadores!B1134</f>
        <v>Andrea Belotti</v>
      </c>
      <c r="C1134" s="5" t="str">
        <f aca="false">IFERROR(
   _xlfn.XLOOKUP(VALUE(A1134),[1]Fichajes_Realizados!A$2:A$50000,[1]Fichajes_Realizados!D$2:D$50000,,0,-1),
   _xlfn.XLOOKUP(VALUE(A1134),[1]Base_Jugadores!A$2:A$50000,[1]Base_Jugadores!C$2:C$50000)
)</f>
        <v>Cagliari</v>
      </c>
      <c r="D1134" s="5" t="str">
        <f aca="false">[1]Base_Jugadores!D1134</f>
        <v>Italia</v>
      </c>
      <c r="E1134" s="3"/>
      <c r="F1134" s="5" t="str">
        <f aca="false">[1]Base_Jugadores!E1134</f>
        <v>DC</v>
      </c>
      <c r="G1134" s="5" t="n">
        <f aca="false">[1]Base_Jugadores!F1134</f>
        <v>77</v>
      </c>
      <c r="H1134" s="5" t="n">
        <f aca="false">[1]Base_Jugadores!G1134</f>
        <v>32</v>
      </c>
      <c r="I1134" s="7" t="n">
        <f aca="false" t="array" ref="I1134:I1134">_xlfn.XLOOKUP(G1134,{55;56;57;58;59;60;61;62;63;64;65;66;67;68;69;70;71;72;73;74;75;76;77;78;79;80;81;82;83;84;85;86;87;88;89;90;91;92;93;94;95;96;97;98;99},{100000;130000;160000;190000;220000;250000;300000;350000;400000;450000;500000;600000;700000;800000;900000;1000000;1500000;2000000;3000000;4000000;5000000;6500000;8000000;10000000;12500000;15000000;20000000;25000000;30000000;35000000;40000000;55000000;70000000;80000000;90000000;110000000;130000000;160000000;190000000;220000000;250000000;280000000;310000000;340000000;400000000})</f>
        <v>8000000</v>
      </c>
      <c r="J1134" s="7" t="n">
        <f aca="false">I1134*S1134*T1134*U1134</f>
        <v>10944000</v>
      </c>
      <c r="K1134" s="3"/>
      <c r="L1134" s="3"/>
      <c r="M1134" s="3"/>
      <c r="N1134" s="9" t="n">
        <v>0</v>
      </c>
      <c r="O1134" s="4" t="n">
        <v>0</v>
      </c>
      <c r="P1134" s="5" t="n">
        <f aca="false">IF(COUNTIF([1]Base_Jugadores!J$2:J$500,B1134)&gt;0,1,0)</f>
        <v>0</v>
      </c>
      <c r="Q1134" s="10" t="b">
        <f aca="false">--(COUNTIFS(
   [1]Fichajes_Realizados!A$2:A$5000,A1134,
   [1]Fichajes_Realizados!G$2:G$5000,$X$3
)&gt;0)</f>
        <v>0</v>
      </c>
      <c r="R1134" s="5" t="n">
        <f aca="false">_xlfn.XLOOKUP(C1134, [1]Estado_Equipos!A$2:A$500, [1]Estado_Equipos!J$2:J$500, "")</f>
        <v>71</v>
      </c>
      <c r="S1134" s="5" t="n">
        <f aca="false">IF(H1134&lt;=16,1.45,
IF(H1134&gt;=41,0.3,
CHOOSE(ROUNDDOWN((H1134-16)/2,0)+1,
1.45,1.38,1.3,1.23,1.17,1.15,1.12,1.05,0.95,0.8,0.6,0.4,0.3)))</f>
        <v>0.95</v>
      </c>
      <c r="T1134" s="5" t="n">
        <f aca="false">CHOOSE(N1134+1,1.2,1,0.85,0.7)</f>
        <v>1.2</v>
      </c>
      <c r="U1134" s="5" t="n">
        <f aca="false">IF(F1134="PO",0.6,
IF(F1134="CT",0.75,
IF(F1134="LI",0.8,
IF(F1134="LD",0.8,
IF(F1134="MCD",0.85,
IF(F1134="MC",0.95,
IF(F1134="MO",1.05,
IF(F1134="EI",1.1,
IF(F1134="ED",1.1,
IF(F1134="SD",1.15,
IF(F1134="DC",1.2,0)))))))))))</f>
        <v>1.2</v>
      </c>
    </row>
    <row r="1135" customFormat="false" ht="16.4" hidden="false" customHeight="false" outlineLevel="0" collapsed="false">
      <c r="A1135" s="1" t="n">
        <v>1134</v>
      </c>
      <c r="B1135" s="5" t="str">
        <f aca="false">[1]Base_Jugadores!B1135</f>
        <v>Leonardo Pavoletti</v>
      </c>
      <c r="C1135" s="5" t="str">
        <f aca="false">IFERROR(
   _xlfn.XLOOKUP(VALUE(A1135),[1]Fichajes_Realizados!A$2:A$50000,[1]Fichajes_Realizados!D$2:D$50000,,0,-1),
   _xlfn.XLOOKUP(VALUE(A1135),[1]Base_Jugadores!A$2:A$50000,[1]Base_Jugadores!C$2:C$50000)
)</f>
        <v>Cagliari</v>
      </c>
      <c r="D1135" s="5" t="str">
        <f aca="false">[1]Base_Jugadores!D1135</f>
        <v>Italia</v>
      </c>
      <c r="E1135" s="3"/>
      <c r="F1135" s="5" t="str">
        <f aca="false">[1]Base_Jugadores!E1135</f>
        <v>DC</v>
      </c>
      <c r="G1135" s="5" t="n">
        <f aca="false">[1]Base_Jugadores!F1135</f>
        <v>71</v>
      </c>
      <c r="H1135" s="5" t="n">
        <f aca="false">[1]Base_Jugadores!G1135</f>
        <v>37</v>
      </c>
      <c r="I1135" s="7" t="n">
        <f aca="false" t="array" ref="I1135:I1135">_xlfn.XLOOKUP(G1135,{55;56;57;58;59;60;61;62;63;64;65;66;67;68;69;70;71;72;73;74;75;76;77;78;79;80;81;82;83;84;85;86;87;88;89;90;91;92;93;94;95;96;97;98;99},{100000;130000;160000;190000;220000;250000;300000;350000;400000;450000;500000;600000;700000;800000;900000;1000000;1500000;2000000;3000000;4000000;5000000;6500000;8000000;10000000;12500000;15000000;20000000;25000000;30000000;35000000;40000000;55000000;70000000;80000000;90000000;110000000;130000000;160000000;190000000;220000000;250000000;280000000;310000000;340000000;400000000})</f>
        <v>1500000</v>
      </c>
      <c r="J1135" s="7" t="n">
        <f aca="false">I1135*S1135*T1135*U1135</f>
        <v>1296000</v>
      </c>
      <c r="K1135" s="3"/>
      <c r="L1135" s="3"/>
      <c r="M1135" s="3"/>
      <c r="N1135" s="9" t="n">
        <v>0</v>
      </c>
      <c r="O1135" s="4" t="n">
        <v>0</v>
      </c>
      <c r="P1135" s="5" t="n">
        <f aca="false">IF(COUNTIF([1]Base_Jugadores!J$2:J$500,B1135)&gt;0,1,0)</f>
        <v>0</v>
      </c>
      <c r="Q1135" s="10" t="b">
        <f aca="false">--(COUNTIFS(
   [1]Fichajes_Realizados!A$2:A$5000,A1135,
   [1]Fichajes_Realizados!G$2:G$5000,$X$3
)&gt;0)</f>
        <v>0</v>
      </c>
      <c r="R1135" s="5" t="n">
        <f aca="false">_xlfn.XLOOKUP(C1135, [1]Estado_Equipos!A$2:A$500, [1]Estado_Equipos!J$2:J$500, "")</f>
        <v>71</v>
      </c>
      <c r="S1135" s="5" t="n">
        <f aca="false">IF(H1135&lt;=16,1.45,
IF(H1135&gt;=41,0.3,
CHOOSE(ROUNDDOWN((H1135-16)/2,0)+1,
1.45,1.38,1.3,1.23,1.17,1.15,1.12,1.05,0.95,0.8,0.6,0.4,0.3)))</f>
        <v>0.6</v>
      </c>
      <c r="T1135" s="5" t="n">
        <f aca="false">CHOOSE(N1135+1,1.2,1,0.85,0.7)</f>
        <v>1.2</v>
      </c>
      <c r="U1135" s="5" t="n">
        <f aca="false">IF(F1135="PO",0.6,
IF(F1135="CT",0.75,
IF(F1135="LI",0.8,
IF(F1135="LD",0.8,
IF(F1135="MCD",0.85,
IF(F1135="MC",0.95,
IF(F1135="MO",1.05,
IF(F1135="EI",1.1,
IF(F1135="ED",1.1,
IF(F1135="SD",1.15,
IF(F1135="DC",1.2,0)))))))))))</f>
        <v>1.2</v>
      </c>
    </row>
    <row r="1136" customFormat="false" ht="16.4" hidden="false" customHeight="false" outlineLevel="0" collapsed="false">
      <c r="A1136" s="1" t="n">
        <v>1135</v>
      </c>
      <c r="B1136" s="5" t="str">
        <f aca="false">[1]Base_Jugadores!B1136</f>
        <v>Jean Butez</v>
      </c>
      <c r="C1136" s="5" t="str">
        <f aca="false">IFERROR(
   _xlfn.XLOOKUP(VALUE(A1136),[1]Fichajes_Realizados!A$2:A$50000,[1]Fichajes_Realizados!D$2:D$50000,,0,-1),
   _xlfn.XLOOKUP(VALUE(A1136),[1]Base_Jugadores!A$2:A$50000,[1]Base_Jugadores!C$2:C$50000)
)</f>
        <v>Como 1907</v>
      </c>
      <c r="D1136" s="5" t="str">
        <f aca="false">[1]Base_Jugadores!D1136</f>
        <v>Francia</v>
      </c>
      <c r="E1136" s="3"/>
      <c r="F1136" s="5" t="str">
        <f aca="false">[1]Base_Jugadores!E1136</f>
        <v>PO</v>
      </c>
      <c r="G1136" s="5" t="n">
        <f aca="false">[1]Base_Jugadores!F1136</f>
        <v>77</v>
      </c>
      <c r="H1136" s="5" t="n">
        <f aca="false">[1]Base_Jugadores!G1136</f>
        <v>30</v>
      </c>
      <c r="I1136" s="7" t="n">
        <f aca="false" t="array" ref="I1136:I1136">_xlfn.XLOOKUP(G1136,{55;56;57;58;59;60;61;62;63;64;65;66;67;68;69;70;71;72;73;74;75;76;77;78;79;80;81;82;83;84;85;86;87;88;89;90;91;92;93;94;95;96;97;98;99},{100000;130000;160000;190000;220000;250000;300000;350000;400000;450000;500000;600000;700000;800000;900000;1000000;1500000;2000000;3000000;4000000;5000000;6500000;8000000;10000000;12500000;15000000;20000000;25000000;30000000;35000000;40000000;55000000;70000000;80000000;90000000;110000000;130000000;160000000;190000000;220000000;250000000;280000000;310000000;340000000;400000000})</f>
        <v>8000000</v>
      </c>
      <c r="J1136" s="7" t="n">
        <f aca="false">I1136*S1136*T1136*U1136</f>
        <v>6048000</v>
      </c>
      <c r="K1136" s="3"/>
      <c r="L1136" s="3"/>
      <c r="M1136" s="3"/>
      <c r="N1136" s="9" t="n">
        <v>0</v>
      </c>
      <c r="O1136" s="4" t="n">
        <v>0</v>
      </c>
      <c r="P1136" s="5" t="n">
        <f aca="false">IF(COUNTIF([1]Base_Jugadores!J$2:J$500,B1136)&gt;0,1,0)</f>
        <v>0</v>
      </c>
      <c r="Q1136" s="10" t="b">
        <f aca="false">--(COUNTIFS(
   [1]Fichajes_Realizados!A$2:A$5000,A1136,
   [1]Fichajes_Realizados!G$2:G$5000,$X$3
)&gt;0)</f>
        <v>0</v>
      </c>
      <c r="R1136" s="5" t="n">
        <f aca="false">_xlfn.XLOOKUP(C1136, [1]Estado_Equipos!A$2:A$500, [1]Estado_Equipos!J$2:J$500, "")</f>
        <v>73</v>
      </c>
      <c r="S1136" s="5" t="n">
        <f aca="false">IF(H1136&lt;=16,1.45,
IF(H1136&gt;=41,0.3,
CHOOSE(ROUNDDOWN((H1136-16)/2,0)+1,
1.45,1.38,1.3,1.23,1.17,1.15,1.12,1.05,0.95,0.8,0.6,0.4,0.3)))</f>
        <v>1.05</v>
      </c>
      <c r="T1136" s="5" t="n">
        <f aca="false">CHOOSE(N1136+1,1.2,1,0.85,0.7)</f>
        <v>1.2</v>
      </c>
      <c r="U1136" s="5" t="n">
        <f aca="false">IF(F1136="PO",0.6,
IF(F1136="CT",0.75,
IF(F1136="LI",0.8,
IF(F1136="LD",0.8,
IF(F1136="MCD",0.85,
IF(F1136="MC",0.95,
IF(F1136="MO",1.05,
IF(F1136="EI",1.1,
IF(F1136="ED",1.1,
IF(F1136="SD",1.15,
IF(F1136="DC",1.2,0)))))))))))</f>
        <v>0.6</v>
      </c>
    </row>
    <row r="1137" customFormat="false" ht="16.4" hidden="false" customHeight="false" outlineLevel="0" collapsed="false">
      <c r="A1137" s="1" t="n">
        <v>1136</v>
      </c>
      <c r="B1137" s="5" t="str">
        <f aca="false">[1]Base_Jugadores!B1137</f>
        <v>Nikola Cavlina</v>
      </c>
      <c r="C1137" s="5" t="str">
        <f aca="false">IFERROR(
   _xlfn.XLOOKUP(VALUE(A1137),[1]Fichajes_Realizados!A$2:A$50000,[1]Fichajes_Realizados!D$2:D$50000,,0,-1),
   _xlfn.XLOOKUP(VALUE(A1137),[1]Base_Jugadores!A$2:A$50000,[1]Base_Jugadores!C$2:C$50000)
)</f>
        <v>Como 1907</v>
      </c>
      <c r="D1137" s="5" t="str">
        <f aca="false">[1]Base_Jugadores!D1137</f>
        <v>Croacia</v>
      </c>
      <c r="E1137" s="3"/>
      <c r="F1137" s="5" t="str">
        <f aca="false">[1]Base_Jugadores!E1137</f>
        <v>PO</v>
      </c>
      <c r="G1137" s="5" t="n">
        <f aca="false">[1]Base_Jugadores!F1137</f>
        <v>67</v>
      </c>
      <c r="H1137" s="5" t="n">
        <f aca="false">[1]Base_Jugadores!G1137</f>
        <v>23</v>
      </c>
      <c r="I1137" s="7" t="n">
        <f aca="false" t="array" ref="I1137:I1137">_xlfn.XLOOKUP(G1137,{55;56;57;58;59;60;61;62;63;64;65;66;67;68;69;70;71;72;73;74;75;76;77;78;79;80;81;82;83;84;85;86;87;88;89;90;91;92;93;94;95;96;97;98;99},{100000;130000;160000;190000;220000;250000;300000;350000;400000;450000;500000;600000;700000;800000;900000;1000000;1500000;2000000;3000000;4000000;5000000;6500000;8000000;10000000;12500000;15000000;20000000;25000000;30000000;35000000;40000000;55000000;70000000;80000000;90000000;110000000;130000000;160000000;190000000;220000000;250000000;280000000;310000000;340000000;400000000})</f>
        <v>700000</v>
      </c>
      <c r="J1137" s="7" t="n">
        <f aca="false">I1137*S1137*T1137*U1137</f>
        <v>619920</v>
      </c>
      <c r="K1137" s="3"/>
      <c r="L1137" s="3"/>
      <c r="M1137" s="3"/>
      <c r="N1137" s="9" t="n">
        <v>0</v>
      </c>
      <c r="O1137" s="4" t="n">
        <v>0</v>
      </c>
      <c r="P1137" s="5" t="n">
        <f aca="false">IF(COUNTIF([1]Base_Jugadores!J$2:J$500,B1137)&gt;0,1,0)</f>
        <v>0</v>
      </c>
      <c r="Q1137" s="10" t="b">
        <f aca="false">--(COUNTIFS(
   [1]Fichajes_Realizados!A$2:A$5000,A1137,
   [1]Fichajes_Realizados!G$2:G$5000,$X$3
)&gt;0)</f>
        <v>0</v>
      </c>
      <c r="R1137" s="5" t="n">
        <f aca="false">_xlfn.XLOOKUP(C1137, [1]Estado_Equipos!A$2:A$500, [1]Estado_Equipos!J$2:J$500, "")</f>
        <v>73</v>
      </c>
      <c r="S1137" s="5" t="n">
        <f aca="false">IF(H1137&lt;=16,1.45,
IF(H1137&gt;=41,0.3,
CHOOSE(ROUNDDOWN((H1137-16)/2,0)+1,
1.45,1.38,1.3,1.23,1.17,1.15,1.12,1.05,0.95,0.8,0.6,0.4,0.3)))</f>
        <v>1.23</v>
      </c>
      <c r="T1137" s="5" t="n">
        <f aca="false">CHOOSE(N1137+1,1.2,1,0.85,0.7)</f>
        <v>1.2</v>
      </c>
      <c r="U1137" s="5" t="n">
        <f aca="false">IF(F1137="PO",0.6,
IF(F1137="CT",0.75,
IF(F1137="LI",0.8,
IF(F1137="LD",0.8,
IF(F1137="MCD",0.85,
IF(F1137="MC",0.95,
IF(F1137="MO",1.05,
IF(F1137="EI",1.1,
IF(F1137="ED",1.1,
IF(F1137="SD",1.15,
IF(F1137="DC",1.2,0)))))))))))</f>
        <v>0.6</v>
      </c>
    </row>
    <row r="1138" customFormat="false" ht="16.4" hidden="false" customHeight="false" outlineLevel="0" collapsed="false">
      <c r="A1138" s="1" t="n">
        <v>1137</v>
      </c>
      <c r="B1138" s="5" t="str">
        <f aca="false">[1]Base_Jugadores!B1138</f>
        <v>Mauro Vigorito</v>
      </c>
      <c r="C1138" s="5" t="str">
        <f aca="false">IFERROR(
   _xlfn.XLOOKUP(VALUE(A1138),[1]Fichajes_Realizados!A$2:A$50000,[1]Fichajes_Realizados!D$2:D$50000,,0,-1),
   _xlfn.XLOOKUP(VALUE(A1138),[1]Base_Jugadores!A$2:A$50000,[1]Base_Jugadores!C$2:C$50000)
)</f>
        <v>Como 1907</v>
      </c>
      <c r="D1138" s="5" t="str">
        <f aca="false">[1]Base_Jugadores!D1138</f>
        <v>Italia</v>
      </c>
      <c r="E1138" s="3"/>
      <c r="F1138" s="5" t="str">
        <f aca="false">[1]Base_Jugadores!E1138</f>
        <v>PO</v>
      </c>
      <c r="G1138" s="5" t="n">
        <f aca="false">[1]Base_Jugadores!F1138</f>
        <v>64</v>
      </c>
      <c r="H1138" s="5" t="n">
        <f aca="false">[1]Base_Jugadores!G1138</f>
        <v>35</v>
      </c>
      <c r="I1138" s="7" t="n">
        <f aca="false" t="array" ref="I1138:I1138">_xlfn.XLOOKUP(G1138,{55;56;57;58;59;60;61;62;63;64;65;66;67;68;69;70;71;72;73;74;75;76;77;78;79;80;81;82;83;84;85;86;87;88;89;90;91;92;93;94;95;96;97;98;99},{100000;130000;160000;190000;220000;250000;300000;350000;400000;450000;500000;600000;700000;800000;900000;1000000;1500000;2000000;3000000;4000000;5000000;6500000;8000000;10000000;12500000;15000000;20000000;25000000;30000000;35000000;40000000;55000000;70000000;80000000;90000000;110000000;130000000;160000000;190000000;220000000;250000000;280000000;310000000;340000000;400000000})</f>
        <v>450000</v>
      </c>
      <c r="J1138" s="7" t="n">
        <f aca="false">I1138*S1138*T1138*U1138</f>
        <v>259200</v>
      </c>
      <c r="K1138" s="3"/>
      <c r="L1138" s="3"/>
      <c r="M1138" s="3"/>
      <c r="N1138" s="9" t="n">
        <v>0</v>
      </c>
      <c r="O1138" s="4" t="n">
        <v>0</v>
      </c>
      <c r="P1138" s="5" t="n">
        <f aca="false">IF(COUNTIF([1]Base_Jugadores!J$2:J$500,B1138)&gt;0,1,0)</f>
        <v>0</v>
      </c>
      <c r="Q1138" s="10" t="b">
        <f aca="false">--(COUNTIFS(
   [1]Fichajes_Realizados!A$2:A$5000,A1138,
   [1]Fichajes_Realizados!G$2:G$5000,$X$3
)&gt;0)</f>
        <v>0</v>
      </c>
      <c r="R1138" s="5" t="n">
        <f aca="false">_xlfn.XLOOKUP(C1138, [1]Estado_Equipos!A$2:A$500, [1]Estado_Equipos!J$2:J$500, "")</f>
        <v>73</v>
      </c>
      <c r="S1138" s="5" t="n">
        <f aca="false">IF(H1138&lt;=16,1.45,
IF(H1138&gt;=41,0.3,
CHOOSE(ROUNDDOWN((H1138-16)/2,0)+1,
1.45,1.38,1.3,1.23,1.17,1.15,1.12,1.05,0.95,0.8,0.6,0.4,0.3)))</f>
        <v>0.8</v>
      </c>
      <c r="T1138" s="5" t="n">
        <f aca="false">CHOOSE(N1138+1,1.2,1,0.85,0.7)</f>
        <v>1.2</v>
      </c>
      <c r="U1138" s="5" t="n">
        <f aca="false">IF(F1138="PO",0.6,
IF(F1138="CT",0.75,
IF(F1138="LI",0.8,
IF(F1138="LD",0.8,
IF(F1138="MCD",0.85,
IF(F1138="MC",0.95,
IF(F1138="MO",1.05,
IF(F1138="EI",1.1,
IF(F1138="ED",1.1,
IF(F1138="SD",1.15,
IF(F1138="DC",1.2,0)))))))))))</f>
        <v>0.6</v>
      </c>
    </row>
    <row r="1139" customFormat="false" ht="16.4" hidden="false" customHeight="false" outlineLevel="0" collapsed="false">
      <c r="A1139" s="1" t="n">
        <v>1138</v>
      </c>
      <c r="B1139" s="5" t="str">
        <f aca="false">[1]Base_Jugadores!B1139</f>
        <v>Diego Carlos</v>
      </c>
      <c r="C1139" s="5" t="str">
        <f aca="false">IFERROR(
   _xlfn.XLOOKUP(VALUE(A1139),[1]Fichajes_Realizados!A$2:A$50000,[1]Fichajes_Realizados!D$2:D$50000,,0,-1),
   _xlfn.XLOOKUP(VALUE(A1139),[1]Base_Jugadores!A$2:A$50000,[1]Base_Jugadores!C$2:C$50000)
)</f>
        <v>Como 1907</v>
      </c>
      <c r="D1139" s="5" t="str">
        <f aca="false">[1]Base_Jugadores!D1139</f>
        <v>Brasil</v>
      </c>
      <c r="E1139" s="3"/>
      <c r="F1139" s="5" t="str">
        <f aca="false">[1]Base_Jugadores!E1139</f>
        <v>CT</v>
      </c>
      <c r="G1139" s="5" t="n">
        <f aca="false">[1]Base_Jugadores!F1139</f>
        <v>79</v>
      </c>
      <c r="H1139" s="5" t="n">
        <f aca="false">[1]Base_Jugadores!G1139</f>
        <v>32</v>
      </c>
      <c r="I1139" s="7" t="n">
        <f aca="false" t="array" ref="I1139:I1139">_xlfn.XLOOKUP(G1139,{55;56;57;58;59;60;61;62;63;64;65;66;67;68;69;70;71;72;73;74;75;76;77;78;79;80;81;82;83;84;85;86;87;88;89;90;91;92;93;94;95;96;97;98;99},{100000;130000;160000;190000;220000;250000;300000;350000;400000;450000;500000;600000;700000;800000;900000;1000000;1500000;2000000;3000000;4000000;5000000;6500000;8000000;10000000;12500000;15000000;20000000;25000000;30000000;35000000;40000000;55000000;70000000;80000000;90000000;110000000;130000000;160000000;190000000;220000000;250000000;280000000;310000000;340000000;400000000})</f>
        <v>12500000</v>
      </c>
      <c r="J1139" s="7" t="n">
        <f aca="false">I1139*S1139*T1139*U1139</f>
        <v>10687500</v>
      </c>
      <c r="K1139" s="3"/>
      <c r="L1139" s="3"/>
      <c r="M1139" s="3"/>
      <c r="N1139" s="9" t="n">
        <v>0</v>
      </c>
      <c r="O1139" s="4" t="n">
        <v>0</v>
      </c>
      <c r="P1139" s="5" t="n">
        <f aca="false">IF(COUNTIF([1]Base_Jugadores!J$2:J$500,B1139)&gt;0,1,0)</f>
        <v>0</v>
      </c>
      <c r="Q1139" s="10" t="b">
        <f aca="false">--(COUNTIFS(
   [1]Fichajes_Realizados!A$2:A$5000,A1139,
   [1]Fichajes_Realizados!G$2:G$5000,$X$3
)&gt;0)</f>
        <v>0</v>
      </c>
      <c r="R1139" s="5" t="n">
        <f aca="false">_xlfn.XLOOKUP(C1139, [1]Estado_Equipos!A$2:A$500, [1]Estado_Equipos!J$2:J$500, "")</f>
        <v>73</v>
      </c>
      <c r="S1139" s="5" t="n">
        <f aca="false">IF(H1139&lt;=16,1.45,
IF(H1139&gt;=41,0.3,
CHOOSE(ROUNDDOWN((H1139-16)/2,0)+1,
1.45,1.38,1.3,1.23,1.17,1.15,1.12,1.05,0.95,0.8,0.6,0.4,0.3)))</f>
        <v>0.95</v>
      </c>
      <c r="T1139" s="5" t="n">
        <f aca="false">CHOOSE(N1139+1,1.2,1,0.85,0.7)</f>
        <v>1.2</v>
      </c>
      <c r="U1139" s="5" t="n">
        <f aca="false">IF(F1139="PO",0.6,
IF(F1139="CT",0.75,
IF(F1139="LI",0.8,
IF(F1139="LD",0.8,
IF(F1139="MCD",0.85,
IF(F1139="MC",0.95,
IF(F1139="MO",1.05,
IF(F1139="EI",1.1,
IF(F1139="ED",1.1,
IF(F1139="SD",1.15,
IF(F1139="DC",1.2,0)))))))))))</f>
        <v>0.75</v>
      </c>
    </row>
    <row r="1140" customFormat="false" ht="16.4" hidden="false" customHeight="false" outlineLevel="0" collapsed="false">
      <c r="A1140" s="1" t="n">
        <v>1139</v>
      </c>
      <c r="B1140" s="5" t="str">
        <f aca="false">[1]Base_Jugadores!B1140</f>
        <v>Alberto Dossena</v>
      </c>
      <c r="C1140" s="5" t="str">
        <f aca="false">IFERROR(
   _xlfn.XLOOKUP(VALUE(A1140),[1]Fichajes_Realizados!A$2:A$50000,[1]Fichajes_Realizados!D$2:D$50000,,0,-1),
   _xlfn.XLOOKUP(VALUE(A1140),[1]Base_Jugadores!A$2:A$50000,[1]Base_Jugadores!C$2:C$50000)
)</f>
        <v>Como 1907</v>
      </c>
      <c r="D1140" s="5" t="str">
        <f aca="false">[1]Base_Jugadores!D1140</f>
        <v>Italia</v>
      </c>
      <c r="E1140" s="3"/>
      <c r="F1140" s="5" t="str">
        <f aca="false">[1]Base_Jugadores!E1140</f>
        <v>CT</v>
      </c>
      <c r="G1140" s="5" t="n">
        <f aca="false">[1]Base_Jugadores!F1140</f>
        <v>75</v>
      </c>
      <c r="H1140" s="5" t="n">
        <f aca="false">[1]Base_Jugadores!G1140</f>
        <v>27</v>
      </c>
      <c r="I1140" s="7" t="n">
        <f aca="false" t="array" ref="I1140:I1140">_xlfn.XLOOKUP(G1140,{55;56;57;58;59;60;61;62;63;64;65;66;67;68;69;70;71;72;73;74;75;76;77;78;79;80;81;82;83;84;85;86;87;88;89;90;91;92;93;94;95;96;97;98;99},{100000;130000;160000;190000;220000;250000;300000;350000;400000;450000;500000;600000;700000;800000;900000;1000000;1500000;2000000;3000000;4000000;5000000;6500000;8000000;10000000;12500000;15000000;20000000;25000000;30000000;35000000;40000000;55000000;70000000;80000000;90000000;110000000;130000000;160000000;190000000;220000000;250000000;280000000;310000000;340000000;400000000})</f>
        <v>5000000</v>
      </c>
      <c r="J1140" s="7" t="n">
        <f aca="false">I1140*S1140*T1140*U1140</f>
        <v>5175000</v>
      </c>
      <c r="K1140" s="3"/>
      <c r="L1140" s="3"/>
      <c r="M1140" s="3"/>
      <c r="N1140" s="9" t="n">
        <v>0</v>
      </c>
      <c r="O1140" s="4" t="n">
        <v>0</v>
      </c>
      <c r="P1140" s="5" t="n">
        <f aca="false">IF(COUNTIF([1]Base_Jugadores!J$2:J$500,B1140)&gt;0,1,0)</f>
        <v>0</v>
      </c>
      <c r="Q1140" s="10" t="b">
        <f aca="false">--(COUNTIFS(
   [1]Fichajes_Realizados!A$2:A$5000,A1140,
   [1]Fichajes_Realizados!G$2:G$5000,$X$3
)&gt;0)</f>
        <v>0</v>
      </c>
      <c r="R1140" s="5" t="n">
        <f aca="false">_xlfn.XLOOKUP(C1140, [1]Estado_Equipos!A$2:A$500, [1]Estado_Equipos!J$2:J$500, "")</f>
        <v>73</v>
      </c>
      <c r="S1140" s="5" t="n">
        <f aca="false">IF(H1140&lt;=16,1.45,
IF(H1140&gt;=41,0.3,
CHOOSE(ROUNDDOWN((H1140-16)/2,0)+1,
1.45,1.38,1.3,1.23,1.17,1.15,1.12,1.05,0.95,0.8,0.6,0.4,0.3)))</f>
        <v>1.15</v>
      </c>
      <c r="T1140" s="5" t="n">
        <f aca="false">CHOOSE(N1140+1,1.2,1,0.85,0.7)</f>
        <v>1.2</v>
      </c>
      <c r="U1140" s="5" t="n">
        <f aca="false">IF(F1140="PO",0.6,
IF(F1140="CT",0.75,
IF(F1140="LI",0.8,
IF(F1140="LD",0.8,
IF(F1140="MCD",0.85,
IF(F1140="MC",0.95,
IF(F1140="MO",1.05,
IF(F1140="EI",1.1,
IF(F1140="ED",1.1,
IF(F1140="SD",1.15,
IF(F1140="DC",1.2,0)))))))))))</f>
        <v>0.75</v>
      </c>
    </row>
    <row r="1141" customFormat="false" ht="16.4" hidden="false" customHeight="false" outlineLevel="0" collapsed="false">
      <c r="A1141" s="1" t="n">
        <v>1140</v>
      </c>
      <c r="B1141" s="5" t="str">
        <f aca="false">[1]Base_Jugadores!B1141</f>
        <v>Stefan Posch</v>
      </c>
      <c r="C1141" s="5" t="str">
        <f aca="false">IFERROR(
   _xlfn.XLOOKUP(VALUE(A1141),[1]Fichajes_Realizados!A$2:A$50000,[1]Fichajes_Realizados!D$2:D$50000,,0,-1),
   _xlfn.XLOOKUP(VALUE(A1141),[1]Base_Jugadores!A$2:A$50000,[1]Base_Jugadores!C$2:C$50000)
)</f>
        <v>Como 1907</v>
      </c>
      <c r="D1141" s="5" t="str">
        <f aca="false">[1]Base_Jugadores!D1141</f>
        <v>Austria</v>
      </c>
      <c r="E1141" s="3"/>
      <c r="F1141" s="5" t="str">
        <f aca="false">[1]Base_Jugadores!E1141</f>
        <v>CT</v>
      </c>
      <c r="G1141" s="5" t="n">
        <f aca="false">[1]Base_Jugadores!F1141</f>
        <v>78</v>
      </c>
      <c r="H1141" s="5" t="n">
        <f aca="false">[1]Base_Jugadores!G1141</f>
        <v>28</v>
      </c>
      <c r="I1141" s="7" t="n">
        <f aca="false" t="array" ref="I1141:I1141">_xlfn.XLOOKUP(G1141,{55;56;57;58;59;60;61;62;63;64;65;66;67;68;69;70;71;72;73;74;75;76;77;78;79;80;81;82;83;84;85;86;87;88;89;90;91;92;93;94;95;96;97;98;99},{100000;130000;160000;190000;220000;250000;300000;350000;400000;450000;500000;600000;700000;800000;900000;1000000;1500000;2000000;3000000;4000000;5000000;6500000;8000000;10000000;12500000;15000000;20000000;25000000;30000000;35000000;40000000;55000000;70000000;80000000;90000000;110000000;130000000;160000000;190000000;220000000;250000000;280000000;310000000;340000000;400000000})</f>
        <v>10000000</v>
      </c>
      <c r="J1141" s="7" t="n">
        <f aca="false">I1141*S1141*T1141*U1141</f>
        <v>10080000</v>
      </c>
      <c r="K1141" s="3"/>
      <c r="L1141" s="3"/>
      <c r="M1141" s="3"/>
      <c r="N1141" s="9" t="n">
        <v>0</v>
      </c>
      <c r="O1141" s="4" t="n">
        <v>0</v>
      </c>
      <c r="P1141" s="5" t="n">
        <f aca="false">IF(COUNTIF([1]Base_Jugadores!J$2:J$500,B1141)&gt;0,1,0)</f>
        <v>0</v>
      </c>
      <c r="Q1141" s="10" t="b">
        <f aca="false">--(COUNTIFS(
   [1]Fichajes_Realizados!A$2:A$5000,A1141,
   [1]Fichajes_Realizados!G$2:G$5000,$X$3
)&gt;0)</f>
        <v>0</v>
      </c>
      <c r="R1141" s="5" t="n">
        <f aca="false">_xlfn.XLOOKUP(C1141, [1]Estado_Equipos!A$2:A$500, [1]Estado_Equipos!J$2:J$500, "")</f>
        <v>73</v>
      </c>
      <c r="S1141" s="5" t="n">
        <f aca="false">IF(H1141&lt;=16,1.45,
IF(H1141&gt;=41,0.3,
CHOOSE(ROUNDDOWN((H1141-16)/2,0)+1,
1.45,1.38,1.3,1.23,1.17,1.15,1.12,1.05,0.95,0.8,0.6,0.4,0.3)))</f>
        <v>1.12</v>
      </c>
      <c r="T1141" s="5" t="n">
        <f aca="false">CHOOSE(N1141+1,1.2,1,0.85,0.7)</f>
        <v>1.2</v>
      </c>
      <c r="U1141" s="5" t="n">
        <f aca="false">IF(F1141="PO",0.6,
IF(F1141="CT",0.75,
IF(F1141="LI",0.8,
IF(F1141="LD",0.8,
IF(F1141="MCD",0.85,
IF(F1141="MC",0.95,
IF(F1141="MO",1.05,
IF(F1141="EI",1.1,
IF(F1141="ED",1.1,
IF(F1141="SD",1.15,
IF(F1141="DC",1.2,0)))))))))))</f>
        <v>0.75</v>
      </c>
    </row>
    <row r="1142" customFormat="false" ht="16.4" hidden="false" customHeight="false" outlineLevel="0" collapsed="false">
      <c r="A1142" s="1" t="n">
        <v>1141</v>
      </c>
      <c r="B1142" s="5" t="str">
        <f aca="false">[1]Base_Jugadores!B1142</f>
        <v>Jacobo Ramón</v>
      </c>
      <c r="C1142" s="5" t="str">
        <f aca="false">IFERROR(
   _xlfn.XLOOKUP(VALUE(A1142),[1]Fichajes_Realizados!A$2:A$50000,[1]Fichajes_Realizados!D$2:D$50000,,0,-1),
   _xlfn.XLOOKUP(VALUE(A1142),[1]Base_Jugadores!A$2:A$50000,[1]Base_Jugadores!C$2:C$50000)
)</f>
        <v>Como 1907</v>
      </c>
      <c r="D1142" s="5" t="str">
        <f aca="false">[1]Base_Jugadores!D1142</f>
        <v>España</v>
      </c>
      <c r="E1142" s="3"/>
      <c r="F1142" s="5" t="str">
        <f aca="false">[1]Base_Jugadores!E1142</f>
        <v>CT</v>
      </c>
      <c r="G1142" s="5" t="n">
        <f aca="false">[1]Base_Jugadores!F1142</f>
        <v>64</v>
      </c>
      <c r="H1142" s="5" t="n">
        <f aca="false">[1]Base_Jugadores!G1142</f>
        <v>20</v>
      </c>
      <c r="I1142" s="7" t="n">
        <f aca="false" t="array" ref="I1142:I1142">_xlfn.XLOOKUP(G1142,{55;56;57;58;59;60;61;62;63;64;65;66;67;68;69;70;71;72;73;74;75;76;77;78;79;80;81;82;83;84;85;86;87;88;89;90;91;92;93;94;95;96;97;98;99},{100000;130000;160000;190000;220000;250000;300000;350000;400000;450000;500000;600000;700000;800000;900000;1000000;1500000;2000000;3000000;4000000;5000000;6500000;8000000;10000000;12500000;15000000;20000000;25000000;30000000;35000000;40000000;55000000;70000000;80000000;90000000;110000000;130000000;160000000;190000000;220000000;250000000;280000000;310000000;340000000;400000000})</f>
        <v>450000</v>
      </c>
      <c r="J1142" s="7" t="n">
        <f aca="false">I1142*S1142*T1142*U1142</f>
        <v>526500</v>
      </c>
      <c r="K1142" s="3"/>
      <c r="L1142" s="3"/>
      <c r="M1142" s="3"/>
      <c r="N1142" s="9" t="n">
        <v>0</v>
      </c>
      <c r="O1142" s="4" t="n">
        <v>0</v>
      </c>
      <c r="P1142" s="5" t="n">
        <f aca="false">IF(COUNTIF([1]Base_Jugadores!J$2:J$500,B1142)&gt;0,1,0)</f>
        <v>0</v>
      </c>
      <c r="Q1142" s="10" t="b">
        <f aca="false">--(COUNTIFS(
   [1]Fichajes_Realizados!A$2:A$5000,A1142,
   [1]Fichajes_Realizados!G$2:G$5000,$X$3
)&gt;0)</f>
        <v>0</v>
      </c>
      <c r="R1142" s="5" t="n">
        <f aca="false">_xlfn.XLOOKUP(C1142, [1]Estado_Equipos!A$2:A$500, [1]Estado_Equipos!J$2:J$500, "")</f>
        <v>73</v>
      </c>
      <c r="S1142" s="5" t="n">
        <f aca="false">IF(H1142&lt;=16,1.45,
IF(H1142&gt;=41,0.3,
CHOOSE(ROUNDDOWN((H1142-16)/2,0)+1,
1.45,1.38,1.3,1.23,1.17,1.15,1.12,1.05,0.95,0.8,0.6,0.4,0.3)))</f>
        <v>1.3</v>
      </c>
      <c r="T1142" s="5" t="n">
        <f aca="false">CHOOSE(N1142+1,1.2,1,0.85,0.7)</f>
        <v>1.2</v>
      </c>
      <c r="U1142" s="5" t="n">
        <f aca="false">IF(F1142="PO",0.6,
IF(F1142="CT",0.75,
IF(F1142="LI",0.8,
IF(F1142="LD",0.8,
IF(F1142="MCD",0.85,
IF(F1142="MC",0.95,
IF(F1142="MO",1.05,
IF(F1142="EI",1.1,
IF(F1142="ED",1.1,
IF(F1142="SD",1.15,
IF(F1142="DC",1.2,0)))))))))))</f>
        <v>0.75</v>
      </c>
    </row>
    <row r="1143" customFormat="false" ht="16.4" hidden="false" customHeight="false" outlineLevel="0" collapsed="false">
      <c r="A1143" s="1" t="n">
        <v>1142</v>
      </c>
      <c r="B1143" s="5" t="str">
        <f aca="false">[1]Base_Jugadores!B1143</f>
        <v>Oliver Kempf</v>
      </c>
      <c r="C1143" s="5" t="str">
        <f aca="false">IFERROR(
   _xlfn.XLOOKUP(VALUE(A1143),[1]Fichajes_Realizados!A$2:A$50000,[1]Fichajes_Realizados!D$2:D$50000,,0,-1),
   _xlfn.XLOOKUP(VALUE(A1143),[1]Base_Jugadores!A$2:A$50000,[1]Base_Jugadores!C$2:C$50000)
)</f>
        <v>Como 1907</v>
      </c>
      <c r="D1143" s="5" t="str">
        <f aca="false">[1]Base_Jugadores!D1143</f>
        <v>Alemania</v>
      </c>
      <c r="E1143" s="3"/>
      <c r="F1143" s="5" t="str">
        <f aca="false">[1]Base_Jugadores!E1143</f>
        <v>CT</v>
      </c>
      <c r="G1143" s="5" t="n">
        <f aca="false">[1]Base_Jugadores!F1143</f>
        <v>74</v>
      </c>
      <c r="H1143" s="5" t="n">
        <f aca="false">[1]Base_Jugadores!G1143</f>
        <v>30</v>
      </c>
      <c r="I1143" s="7" t="n">
        <f aca="false" t="array" ref="I1143:I1143">_xlfn.XLOOKUP(G1143,{55;56;57;58;59;60;61;62;63;64;65;66;67;68;69;70;71;72;73;74;75;76;77;78;79;80;81;82;83;84;85;86;87;88;89;90;91;92;93;94;95;96;97;98;99},{100000;130000;160000;190000;220000;250000;300000;350000;400000;450000;500000;600000;700000;800000;900000;1000000;1500000;2000000;3000000;4000000;5000000;6500000;8000000;10000000;12500000;15000000;20000000;25000000;30000000;35000000;40000000;55000000;70000000;80000000;90000000;110000000;130000000;160000000;190000000;220000000;250000000;280000000;310000000;340000000;400000000})</f>
        <v>4000000</v>
      </c>
      <c r="J1143" s="7" t="n">
        <f aca="false">I1143*S1143*T1143*U1143</f>
        <v>3780000</v>
      </c>
      <c r="K1143" s="3"/>
      <c r="L1143" s="3"/>
      <c r="M1143" s="3"/>
      <c r="N1143" s="9" t="n">
        <v>0</v>
      </c>
      <c r="O1143" s="4" t="n">
        <v>0</v>
      </c>
      <c r="P1143" s="5" t="n">
        <f aca="false">IF(COUNTIF([1]Base_Jugadores!J$2:J$500,B1143)&gt;0,1,0)</f>
        <v>0</v>
      </c>
      <c r="Q1143" s="10" t="b">
        <f aca="false">--(COUNTIFS(
   [1]Fichajes_Realizados!A$2:A$5000,A1143,
   [1]Fichajes_Realizados!G$2:G$5000,$X$3
)&gt;0)</f>
        <v>0</v>
      </c>
      <c r="R1143" s="5" t="n">
        <f aca="false">_xlfn.XLOOKUP(C1143, [1]Estado_Equipos!A$2:A$500, [1]Estado_Equipos!J$2:J$500, "")</f>
        <v>73</v>
      </c>
      <c r="S1143" s="5" t="n">
        <f aca="false">IF(H1143&lt;=16,1.45,
IF(H1143&gt;=41,0.3,
CHOOSE(ROUNDDOWN((H1143-16)/2,0)+1,
1.45,1.38,1.3,1.23,1.17,1.15,1.12,1.05,0.95,0.8,0.6,0.4,0.3)))</f>
        <v>1.05</v>
      </c>
      <c r="T1143" s="5" t="n">
        <f aca="false">CHOOSE(N1143+1,1.2,1,0.85,0.7)</f>
        <v>1.2</v>
      </c>
      <c r="U1143" s="5" t="n">
        <f aca="false">IF(F1143="PO",0.6,
IF(F1143="CT",0.75,
IF(F1143="LI",0.8,
IF(F1143="LD",0.8,
IF(F1143="MCD",0.85,
IF(F1143="MC",0.95,
IF(F1143="MO",1.05,
IF(F1143="EI",1.1,
IF(F1143="ED",1.1,
IF(F1143="SD",1.15,
IF(F1143="DC",1.2,0)))))))))))</f>
        <v>0.75</v>
      </c>
    </row>
    <row r="1144" customFormat="false" ht="16.4" hidden="false" customHeight="false" outlineLevel="0" collapsed="false">
      <c r="A1144" s="1" t="n">
        <v>1143</v>
      </c>
      <c r="B1144" s="5" t="str">
        <f aca="false">[1]Base_Jugadores!B1144</f>
        <v>Edoardo Goldaniga</v>
      </c>
      <c r="C1144" s="5" t="str">
        <f aca="false">IFERROR(
   _xlfn.XLOOKUP(VALUE(A1144),[1]Fichajes_Realizados!A$2:A$50000,[1]Fichajes_Realizados!D$2:D$50000,,0,-1),
   _xlfn.XLOOKUP(VALUE(A1144),[1]Base_Jugadores!A$2:A$50000,[1]Base_Jugadores!C$2:C$50000)
)</f>
        <v>Como 1907</v>
      </c>
      <c r="D1144" s="5" t="str">
        <f aca="false">[1]Base_Jugadores!D1144</f>
        <v>Italia</v>
      </c>
      <c r="E1144" s="3"/>
      <c r="F1144" s="5" t="str">
        <f aca="false">[1]Base_Jugadores!E1144</f>
        <v>CT</v>
      </c>
      <c r="G1144" s="5" t="n">
        <f aca="false">[1]Base_Jugadores!F1144</f>
        <v>73</v>
      </c>
      <c r="H1144" s="5" t="n">
        <f aca="false">[1]Base_Jugadores!G1144</f>
        <v>32</v>
      </c>
      <c r="I1144" s="7" t="n">
        <f aca="false" t="array" ref="I1144:I1144">_xlfn.XLOOKUP(G1144,{55;56;57;58;59;60;61;62;63;64;65;66;67;68;69;70;71;72;73;74;75;76;77;78;79;80;81;82;83;84;85;86;87;88;89;90;91;92;93;94;95;96;97;98;99},{100000;130000;160000;190000;220000;250000;300000;350000;400000;450000;500000;600000;700000;800000;900000;1000000;1500000;2000000;3000000;4000000;5000000;6500000;8000000;10000000;12500000;15000000;20000000;25000000;30000000;35000000;40000000;55000000;70000000;80000000;90000000;110000000;130000000;160000000;190000000;220000000;250000000;280000000;310000000;340000000;400000000})</f>
        <v>3000000</v>
      </c>
      <c r="J1144" s="7" t="n">
        <f aca="false">I1144*S1144*T1144*U1144</f>
        <v>2565000</v>
      </c>
      <c r="K1144" s="3"/>
      <c r="L1144" s="3"/>
      <c r="M1144" s="3"/>
      <c r="N1144" s="9" t="n">
        <v>0</v>
      </c>
      <c r="O1144" s="4" t="n">
        <v>0</v>
      </c>
      <c r="P1144" s="5" t="n">
        <f aca="false">IF(COUNTIF([1]Base_Jugadores!J$2:J$500,B1144)&gt;0,1,0)</f>
        <v>0</v>
      </c>
      <c r="Q1144" s="10" t="b">
        <f aca="false">--(COUNTIFS(
   [1]Fichajes_Realizados!A$2:A$5000,A1144,
   [1]Fichajes_Realizados!G$2:G$5000,$X$3
)&gt;0)</f>
        <v>0</v>
      </c>
      <c r="R1144" s="5" t="n">
        <f aca="false">_xlfn.XLOOKUP(C1144, [1]Estado_Equipos!A$2:A$500, [1]Estado_Equipos!J$2:J$500, "")</f>
        <v>73</v>
      </c>
      <c r="S1144" s="5" t="n">
        <f aca="false">IF(H1144&lt;=16,1.45,
IF(H1144&gt;=41,0.3,
CHOOSE(ROUNDDOWN((H1144-16)/2,0)+1,
1.45,1.38,1.3,1.23,1.17,1.15,1.12,1.05,0.95,0.8,0.6,0.4,0.3)))</f>
        <v>0.95</v>
      </c>
      <c r="T1144" s="5" t="n">
        <f aca="false">CHOOSE(N1144+1,1.2,1,0.85,0.7)</f>
        <v>1.2</v>
      </c>
      <c r="U1144" s="5" t="n">
        <f aca="false">IF(F1144="PO",0.6,
IF(F1144="CT",0.75,
IF(F1144="LI",0.8,
IF(F1144="LD",0.8,
IF(F1144="MCD",0.85,
IF(F1144="MC",0.95,
IF(F1144="MO",1.05,
IF(F1144="EI",1.1,
IF(F1144="ED",1.1,
IF(F1144="SD",1.15,
IF(F1144="DC",1.2,0)))))))))))</f>
        <v>0.75</v>
      </c>
    </row>
    <row r="1145" customFormat="false" ht="16.4" hidden="false" customHeight="false" outlineLevel="0" collapsed="false">
      <c r="A1145" s="1" t="n">
        <v>1144</v>
      </c>
      <c r="B1145" s="5" t="str">
        <f aca="false">[1]Base_Jugadores!B1145</f>
        <v>Álex Valle</v>
      </c>
      <c r="C1145" s="5" t="str">
        <f aca="false">IFERROR(
   _xlfn.XLOOKUP(VALUE(A1145),[1]Fichajes_Realizados!A$2:A$50000,[1]Fichajes_Realizados!D$2:D$50000,,0,-1),
   _xlfn.XLOOKUP(VALUE(A1145),[1]Base_Jugadores!A$2:A$50000,[1]Base_Jugadores!C$2:C$50000)
)</f>
        <v>Como 1907</v>
      </c>
      <c r="D1145" s="5" t="str">
        <f aca="false">[1]Base_Jugadores!D1145</f>
        <v>España</v>
      </c>
      <c r="E1145" s="3"/>
      <c r="F1145" s="5" t="str">
        <f aca="false">[1]Base_Jugadores!E1145</f>
        <v>LI</v>
      </c>
      <c r="G1145" s="5" t="n">
        <f aca="false">[1]Base_Jugadores!F1145</f>
        <v>71</v>
      </c>
      <c r="H1145" s="5" t="n">
        <f aca="false">[1]Base_Jugadores!G1145</f>
        <v>21</v>
      </c>
      <c r="I1145" s="7" t="n">
        <f aca="false" t="array" ref="I1145:I1145">_xlfn.XLOOKUP(G1145,{55;56;57;58;59;60;61;62;63;64;65;66;67;68;69;70;71;72;73;74;75;76;77;78;79;80;81;82;83;84;85;86;87;88;89;90;91;92;93;94;95;96;97;98;99},{100000;130000;160000;190000;220000;250000;300000;350000;400000;450000;500000;600000;700000;800000;900000;1000000;1500000;2000000;3000000;4000000;5000000;6500000;8000000;10000000;12500000;15000000;20000000;25000000;30000000;35000000;40000000;55000000;70000000;80000000;90000000;110000000;130000000;160000000;190000000;220000000;250000000;280000000;310000000;340000000;400000000})</f>
        <v>1500000</v>
      </c>
      <c r="J1145" s="7" t="n">
        <f aca="false">I1145*S1145*T1145*U1145</f>
        <v>1872000</v>
      </c>
      <c r="K1145" s="3"/>
      <c r="L1145" s="3"/>
      <c r="M1145" s="3"/>
      <c r="N1145" s="9" t="n">
        <v>0</v>
      </c>
      <c r="O1145" s="4" t="n">
        <v>0</v>
      </c>
      <c r="P1145" s="5" t="n">
        <f aca="false">IF(COUNTIF([1]Base_Jugadores!J$2:J$500,B1145)&gt;0,1,0)</f>
        <v>0</v>
      </c>
      <c r="Q1145" s="10" t="b">
        <f aca="false">--(COUNTIFS(
   [1]Fichajes_Realizados!A$2:A$5000,A1145,
   [1]Fichajes_Realizados!G$2:G$5000,$X$3
)&gt;0)</f>
        <v>0</v>
      </c>
      <c r="R1145" s="5" t="n">
        <f aca="false">_xlfn.XLOOKUP(C1145, [1]Estado_Equipos!A$2:A$500, [1]Estado_Equipos!J$2:J$500, "")</f>
        <v>73</v>
      </c>
      <c r="S1145" s="5" t="n">
        <f aca="false">IF(H1145&lt;=16,1.45,
IF(H1145&gt;=41,0.3,
CHOOSE(ROUNDDOWN((H1145-16)/2,0)+1,
1.45,1.38,1.3,1.23,1.17,1.15,1.12,1.05,0.95,0.8,0.6,0.4,0.3)))</f>
        <v>1.3</v>
      </c>
      <c r="T1145" s="5" t="n">
        <f aca="false">CHOOSE(N1145+1,1.2,1,0.85,0.7)</f>
        <v>1.2</v>
      </c>
      <c r="U1145" s="5" t="n">
        <f aca="false">IF(F1145="PO",0.6,
IF(F1145="CT",0.75,
IF(F1145="LI",0.8,
IF(F1145="LD",0.8,
IF(F1145="MCD",0.85,
IF(F1145="MC",0.95,
IF(F1145="MO",1.05,
IF(F1145="EI",1.1,
IF(F1145="ED",1.1,
IF(F1145="SD",1.15,
IF(F1145="DC",1.2,0)))))))))))</f>
        <v>0.8</v>
      </c>
    </row>
    <row r="1146" customFormat="false" ht="16.4" hidden="false" customHeight="false" outlineLevel="0" collapsed="false">
      <c r="A1146" s="1" t="n">
        <v>1145</v>
      </c>
      <c r="B1146" s="5" t="str">
        <f aca="false">[1]Base_Jugadores!B1146</f>
        <v>Alberto Moreno</v>
      </c>
      <c r="C1146" s="5" t="str">
        <f aca="false">IFERROR(
   _xlfn.XLOOKUP(VALUE(A1146),[1]Fichajes_Realizados!A$2:A$50000,[1]Fichajes_Realizados!D$2:D$50000,,0,-1),
   _xlfn.XLOOKUP(VALUE(A1146),[1]Base_Jugadores!A$2:A$50000,[1]Base_Jugadores!C$2:C$50000)
)</f>
        <v>Como 1907</v>
      </c>
      <c r="D1146" s="5" t="str">
        <f aca="false">[1]Base_Jugadores!D1146</f>
        <v>España</v>
      </c>
      <c r="E1146" s="3"/>
      <c r="F1146" s="5" t="str">
        <f aca="false">[1]Base_Jugadores!E1146</f>
        <v>LI</v>
      </c>
      <c r="G1146" s="5" t="n">
        <f aca="false">[1]Base_Jugadores!F1146</f>
        <v>76</v>
      </c>
      <c r="H1146" s="5" t="n">
        <f aca="false">[1]Base_Jugadores!G1146</f>
        <v>33</v>
      </c>
      <c r="I1146" s="7" t="n">
        <f aca="false" t="array" ref="I1146:I1146">_xlfn.XLOOKUP(G1146,{55;56;57;58;59;60;61;62;63;64;65;66;67;68;69;70;71;72;73;74;75;76;77;78;79;80;81;82;83;84;85;86;87;88;89;90;91;92;93;94;95;96;97;98;99},{100000;130000;160000;190000;220000;250000;300000;350000;400000;450000;500000;600000;700000;800000;900000;1000000;1500000;2000000;3000000;4000000;5000000;6500000;8000000;10000000;12500000;15000000;20000000;25000000;30000000;35000000;40000000;55000000;70000000;80000000;90000000;110000000;130000000;160000000;190000000;220000000;250000000;280000000;310000000;340000000;400000000})</f>
        <v>6500000</v>
      </c>
      <c r="J1146" s="7" t="n">
        <f aca="false">I1146*S1146*T1146*U1146</f>
        <v>5928000</v>
      </c>
      <c r="K1146" s="3"/>
      <c r="L1146" s="3"/>
      <c r="M1146" s="3"/>
      <c r="N1146" s="9" t="n">
        <v>0</v>
      </c>
      <c r="O1146" s="4" t="n">
        <v>0</v>
      </c>
      <c r="P1146" s="5" t="n">
        <f aca="false">IF(COUNTIF([1]Base_Jugadores!J$2:J$500,B1146)&gt;0,1,0)</f>
        <v>0</v>
      </c>
      <c r="Q1146" s="10" t="b">
        <f aca="false">--(COUNTIFS(
   [1]Fichajes_Realizados!A$2:A$5000,A1146,
   [1]Fichajes_Realizados!G$2:G$5000,$X$3
)&gt;0)</f>
        <v>0</v>
      </c>
      <c r="R1146" s="5" t="n">
        <f aca="false">_xlfn.XLOOKUP(C1146, [1]Estado_Equipos!A$2:A$500, [1]Estado_Equipos!J$2:J$500, "")</f>
        <v>73</v>
      </c>
      <c r="S1146" s="5" t="n">
        <f aca="false">IF(H1146&lt;=16,1.45,
IF(H1146&gt;=41,0.3,
CHOOSE(ROUNDDOWN((H1146-16)/2,0)+1,
1.45,1.38,1.3,1.23,1.17,1.15,1.12,1.05,0.95,0.8,0.6,0.4,0.3)))</f>
        <v>0.95</v>
      </c>
      <c r="T1146" s="5" t="n">
        <f aca="false">CHOOSE(N1146+1,1.2,1,0.85,0.7)</f>
        <v>1.2</v>
      </c>
      <c r="U1146" s="5" t="n">
        <f aca="false">IF(F1146="PO",0.6,
IF(F1146="CT",0.75,
IF(F1146="LI",0.8,
IF(F1146="LD",0.8,
IF(F1146="MCD",0.85,
IF(F1146="MC",0.95,
IF(F1146="MO",1.05,
IF(F1146="EI",1.1,
IF(F1146="ED",1.1,
IF(F1146="SD",1.15,
IF(F1146="DC",1.2,0)))))))))))</f>
        <v>0.8</v>
      </c>
    </row>
    <row r="1147" customFormat="false" ht="16.4" hidden="false" customHeight="false" outlineLevel="0" collapsed="false">
      <c r="A1147" s="1" t="n">
        <v>1146</v>
      </c>
      <c r="B1147" s="5" t="str">
        <f aca="false">[1]Base_Jugadores!B1147</f>
        <v>Marco Sala</v>
      </c>
      <c r="C1147" s="5" t="str">
        <f aca="false">IFERROR(
   _xlfn.XLOOKUP(VALUE(A1147),[1]Fichajes_Realizados!A$2:A$50000,[1]Fichajes_Realizados!D$2:D$50000,,0,-1),
   _xlfn.XLOOKUP(VALUE(A1147),[1]Base_Jugadores!A$2:A$50000,[1]Base_Jugadores!C$2:C$50000)
)</f>
        <v>Como 1907</v>
      </c>
      <c r="D1147" s="5" t="str">
        <f aca="false">[1]Base_Jugadores!D1147</f>
        <v>Italia</v>
      </c>
      <c r="E1147" s="3"/>
      <c r="F1147" s="5" t="str">
        <f aca="false">[1]Base_Jugadores!E1147</f>
        <v>LI</v>
      </c>
      <c r="G1147" s="5" t="n">
        <f aca="false">[1]Base_Jugadores!F1147</f>
        <v>71</v>
      </c>
      <c r="H1147" s="5" t="n">
        <f aca="false">[1]Base_Jugadores!G1147</f>
        <v>26</v>
      </c>
      <c r="I1147" s="7" t="n">
        <f aca="false" t="array" ref="I1147:I1147">_xlfn.XLOOKUP(G1147,{55;56;57;58;59;60;61;62;63;64;65;66;67;68;69;70;71;72;73;74;75;76;77;78;79;80;81;82;83;84;85;86;87;88;89;90;91;92;93;94;95;96;97;98;99},{100000;130000;160000;190000;220000;250000;300000;350000;400000;450000;500000;600000;700000;800000;900000;1000000;1500000;2000000;3000000;4000000;5000000;6500000;8000000;10000000;12500000;15000000;20000000;25000000;30000000;35000000;40000000;55000000;70000000;80000000;90000000;110000000;130000000;160000000;190000000;220000000;250000000;280000000;310000000;340000000;400000000})</f>
        <v>1500000</v>
      </c>
      <c r="J1147" s="7" t="n">
        <f aca="false">I1147*S1147*T1147*U1147</f>
        <v>1656000</v>
      </c>
      <c r="K1147" s="3"/>
      <c r="L1147" s="3"/>
      <c r="M1147" s="3"/>
      <c r="N1147" s="9" t="n">
        <v>0</v>
      </c>
      <c r="O1147" s="4" t="n">
        <v>0</v>
      </c>
      <c r="P1147" s="5" t="n">
        <f aca="false">IF(COUNTIF([1]Base_Jugadores!J$2:J$500,B1147)&gt;0,1,0)</f>
        <v>0</v>
      </c>
      <c r="Q1147" s="10" t="b">
        <f aca="false">--(COUNTIFS(
   [1]Fichajes_Realizados!A$2:A$5000,A1147,
   [1]Fichajes_Realizados!G$2:G$5000,$X$3
)&gt;0)</f>
        <v>0</v>
      </c>
      <c r="R1147" s="5" t="n">
        <f aca="false">_xlfn.XLOOKUP(C1147, [1]Estado_Equipos!A$2:A$500, [1]Estado_Equipos!J$2:J$500, "")</f>
        <v>73</v>
      </c>
      <c r="S1147" s="5" t="n">
        <f aca="false">IF(H1147&lt;=16,1.45,
IF(H1147&gt;=41,0.3,
CHOOSE(ROUNDDOWN((H1147-16)/2,0)+1,
1.45,1.38,1.3,1.23,1.17,1.15,1.12,1.05,0.95,0.8,0.6,0.4,0.3)))</f>
        <v>1.15</v>
      </c>
      <c r="T1147" s="5" t="n">
        <f aca="false">CHOOSE(N1147+1,1.2,1,0.85,0.7)</f>
        <v>1.2</v>
      </c>
      <c r="U1147" s="5" t="n">
        <f aca="false">IF(F1147="PO",0.6,
IF(F1147="CT",0.75,
IF(F1147="LI",0.8,
IF(F1147="LD",0.8,
IF(F1147="MCD",0.85,
IF(F1147="MC",0.95,
IF(F1147="MO",1.05,
IF(F1147="EI",1.1,
IF(F1147="ED",1.1,
IF(F1147="SD",1.15,
IF(F1147="DC",1.2,0)))))))))))</f>
        <v>0.8</v>
      </c>
    </row>
    <row r="1148" customFormat="false" ht="16.4" hidden="false" customHeight="false" outlineLevel="0" collapsed="false">
      <c r="A1148" s="1" t="n">
        <v>1147</v>
      </c>
      <c r="B1148" s="5" t="str">
        <f aca="false">[1]Base_Jugadores!B1148</f>
        <v>I. Van der Brempt</v>
      </c>
      <c r="C1148" s="5" t="str">
        <f aca="false">IFERROR(
   _xlfn.XLOOKUP(VALUE(A1148),[1]Fichajes_Realizados!A$2:A$50000,[1]Fichajes_Realizados!D$2:D$50000,,0,-1),
   _xlfn.XLOOKUP(VALUE(A1148),[1]Base_Jugadores!A$2:A$50000,[1]Base_Jugadores!C$2:C$50000)
)</f>
        <v>Como 1907</v>
      </c>
      <c r="D1148" s="5" t="str">
        <f aca="false">[1]Base_Jugadores!D1148</f>
        <v>Bélgica</v>
      </c>
      <c r="E1148" s="3"/>
      <c r="F1148" s="5" t="str">
        <f aca="false">[1]Base_Jugadores!E1148</f>
        <v>LD</v>
      </c>
      <c r="G1148" s="5" t="n">
        <f aca="false">[1]Base_Jugadores!F1148</f>
        <v>70</v>
      </c>
      <c r="H1148" s="5" t="n">
        <f aca="false">[1]Base_Jugadores!G1148</f>
        <v>23</v>
      </c>
      <c r="I1148" s="7" t="n">
        <f aca="false" t="array" ref="I1148:I1148">_xlfn.XLOOKUP(G1148,{55;56;57;58;59;60;61;62;63;64;65;66;67;68;69;70;71;72;73;74;75;76;77;78;79;80;81;82;83;84;85;86;87;88;89;90;91;92;93;94;95;96;97;98;99},{100000;130000;160000;190000;220000;250000;300000;350000;400000;450000;500000;600000;700000;800000;900000;1000000;1500000;2000000;3000000;4000000;5000000;6500000;8000000;10000000;12500000;15000000;20000000;25000000;30000000;35000000;40000000;55000000;70000000;80000000;90000000;110000000;130000000;160000000;190000000;220000000;250000000;280000000;310000000;340000000;400000000})</f>
        <v>1000000</v>
      </c>
      <c r="J1148" s="7" t="n">
        <f aca="false">I1148*S1148*T1148*U1148</f>
        <v>1180800</v>
      </c>
      <c r="K1148" s="3"/>
      <c r="L1148" s="3"/>
      <c r="M1148" s="3"/>
      <c r="N1148" s="9" t="n">
        <v>0</v>
      </c>
      <c r="O1148" s="4" t="n">
        <v>0</v>
      </c>
      <c r="P1148" s="5" t="n">
        <f aca="false">IF(COUNTIF([1]Base_Jugadores!J$2:J$500,B1148)&gt;0,1,0)</f>
        <v>0</v>
      </c>
      <c r="Q1148" s="10" t="b">
        <f aca="false">--(COUNTIFS(
   [1]Fichajes_Realizados!A$2:A$5000,A1148,
   [1]Fichajes_Realizados!G$2:G$5000,$X$3
)&gt;0)</f>
        <v>0</v>
      </c>
      <c r="R1148" s="5" t="n">
        <f aca="false">_xlfn.XLOOKUP(C1148, [1]Estado_Equipos!A$2:A$500, [1]Estado_Equipos!J$2:J$500, "")</f>
        <v>73</v>
      </c>
      <c r="S1148" s="5" t="n">
        <f aca="false">IF(H1148&lt;=16,1.45,
IF(H1148&gt;=41,0.3,
CHOOSE(ROUNDDOWN((H1148-16)/2,0)+1,
1.45,1.38,1.3,1.23,1.17,1.15,1.12,1.05,0.95,0.8,0.6,0.4,0.3)))</f>
        <v>1.23</v>
      </c>
      <c r="T1148" s="5" t="n">
        <f aca="false">CHOOSE(N1148+1,1.2,1,0.85,0.7)</f>
        <v>1.2</v>
      </c>
      <c r="U1148" s="5" t="n">
        <f aca="false">IF(F1148="PO",0.6,
IF(F1148="CT",0.75,
IF(F1148="LI",0.8,
IF(F1148="LD",0.8,
IF(F1148="MCD",0.85,
IF(F1148="MC",0.95,
IF(F1148="MO",1.05,
IF(F1148="EI",1.1,
IF(F1148="ED",1.1,
IF(F1148="SD",1.15,
IF(F1148="DC",1.2,0)))))))))))</f>
        <v>0.8</v>
      </c>
    </row>
    <row r="1149" customFormat="false" ht="16.4" hidden="false" customHeight="false" outlineLevel="0" collapsed="false">
      <c r="A1149" s="1" t="n">
        <v>1148</v>
      </c>
      <c r="B1149" s="5" t="str">
        <f aca="false">[1]Base_Jugadores!B1149</f>
        <v>Mërgim Vojvoda</v>
      </c>
      <c r="C1149" s="5" t="str">
        <f aca="false">IFERROR(
   _xlfn.XLOOKUP(VALUE(A1149),[1]Fichajes_Realizados!A$2:A$50000,[1]Fichajes_Realizados!D$2:D$50000,,0,-1),
   _xlfn.XLOOKUP(VALUE(A1149),[1]Base_Jugadores!A$2:A$50000,[1]Base_Jugadores!C$2:C$50000)
)</f>
        <v>Como 1907</v>
      </c>
      <c r="D1149" s="5" t="str">
        <f aca="false">[1]Base_Jugadores!D1149</f>
        <v>Kosovo</v>
      </c>
      <c r="E1149" s="3"/>
      <c r="F1149" s="5" t="str">
        <f aca="false">[1]Base_Jugadores!E1149</f>
        <v>LD</v>
      </c>
      <c r="G1149" s="5" t="n">
        <f aca="false">[1]Base_Jugadores!F1149</f>
        <v>74</v>
      </c>
      <c r="H1149" s="5" t="n">
        <f aca="false">[1]Base_Jugadores!G1149</f>
        <v>30</v>
      </c>
      <c r="I1149" s="7" t="n">
        <f aca="false" t="array" ref="I1149:I1149">_xlfn.XLOOKUP(G1149,{55;56;57;58;59;60;61;62;63;64;65;66;67;68;69;70;71;72;73;74;75;76;77;78;79;80;81;82;83;84;85;86;87;88;89;90;91;92;93;94;95;96;97;98;99},{100000;130000;160000;190000;220000;250000;300000;350000;400000;450000;500000;600000;700000;800000;900000;1000000;1500000;2000000;3000000;4000000;5000000;6500000;8000000;10000000;12500000;15000000;20000000;25000000;30000000;35000000;40000000;55000000;70000000;80000000;90000000;110000000;130000000;160000000;190000000;220000000;250000000;280000000;310000000;340000000;400000000})</f>
        <v>4000000</v>
      </c>
      <c r="J1149" s="7" t="n">
        <f aca="false">I1149*S1149*T1149*U1149</f>
        <v>4032000</v>
      </c>
      <c r="K1149" s="3"/>
      <c r="L1149" s="3"/>
      <c r="M1149" s="3"/>
      <c r="N1149" s="9" t="n">
        <v>0</v>
      </c>
      <c r="O1149" s="4" t="n">
        <v>0</v>
      </c>
      <c r="P1149" s="5" t="n">
        <f aca="false">IF(COUNTIF([1]Base_Jugadores!J$2:J$500,B1149)&gt;0,1,0)</f>
        <v>0</v>
      </c>
      <c r="Q1149" s="10" t="b">
        <f aca="false">--(COUNTIFS(
   [1]Fichajes_Realizados!A$2:A$5000,A1149,
   [1]Fichajes_Realizados!G$2:G$5000,$X$3
)&gt;0)</f>
        <v>0</v>
      </c>
      <c r="R1149" s="5" t="n">
        <f aca="false">_xlfn.XLOOKUP(C1149, [1]Estado_Equipos!A$2:A$500, [1]Estado_Equipos!J$2:J$500, "")</f>
        <v>73</v>
      </c>
      <c r="S1149" s="5" t="n">
        <f aca="false">IF(H1149&lt;=16,1.45,
IF(H1149&gt;=41,0.3,
CHOOSE(ROUNDDOWN((H1149-16)/2,0)+1,
1.45,1.38,1.3,1.23,1.17,1.15,1.12,1.05,0.95,0.8,0.6,0.4,0.3)))</f>
        <v>1.05</v>
      </c>
      <c r="T1149" s="5" t="n">
        <f aca="false">CHOOSE(N1149+1,1.2,1,0.85,0.7)</f>
        <v>1.2</v>
      </c>
      <c r="U1149" s="5" t="n">
        <f aca="false">IF(F1149="PO",0.6,
IF(F1149="CT",0.75,
IF(F1149="LI",0.8,
IF(F1149="LD",0.8,
IF(F1149="MCD",0.85,
IF(F1149="MC",0.95,
IF(F1149="MO",1.05,
IF(F1149="EI",1.1,
IF(F1149="ED",1.1,
IF(F1149="SD",1.15,
IF(F1149="DC",1.2,0)))))))))))</f>
        <v>0.8</v>
      </c>
    </row>
    <row r="1150" customFormat="false" ht="16.4" hidden="false" customHeight="false" outlineLevel="0" collapsed="false">
      <c r="A1150" s="1" t="n">
        <v>1149</v>
      </c>
      <c r="B1150" s="5" t="str">
        <f aca="false">[1]Base_Jugadores!B1150</f>
        <v>Ivan Smolcic</v>
      </c>
      <c r="C1150" s="5" t="str">
        <f aca="false">IFERROR(
   _xlfn.XLOOKUP(VALUE(A1150),[1]Fichajes_Realizados!A$2:A$50000,[1]Fichajes_Realizados!D$2:D$50000,,0,-1),
   _xlfn.XLOOKUP(VALUE(A1150),[1]Base_Jugadores!A$2:A$50000,[1]Base_Jugadores!C$2:C$50000)
)</f>
        <v>Como 1907</v>
      </c>
      <c r="D1150" s="5" t="str">
        <f aca="false">[1]Base_Jugadores!D1150</f>
        <v>Croacia</v>
      </c>
      <c r="E1150" s="3"/>
      <c r="F1150" s="5" t="str">
        <f aca="false">[1]Base_Jugadores!E1150</f>
        <v>LD</v>
      </c>
      <c r="G1150" s="5" t="n">
        <f aca="false">[1]Base_Jugadores!F1150</f>
        <v>73</v>
      </c>
      <c r="H1150" s="5" t="n">
        <f aca="false">[1]Base_Jugadores!G1150</f>
        <v>25</v>
      </c>
      <c r="I1150" s="7" t="n">
        <f aca="false" t="array" ref="I1150:I1150">_xlfn.XLOOKUP(G1150,{55;56;57;58;59;60;61;62;63;64;65;66;67;68;69;70;71;72;73;74;75;76;77;78;79;80;81;82;83;84;85;86;87;88;89;90;91;92;93;94;95;96;97;98;99},{100000;130000;160000;190000;220000;250000;300000;350000;400000;450000;500000;600000;700000;800000;900000;1000000;1500000;2000000;3000000;4000000;5000000;6500000;8000000;10000000;12500000;15000000;20000000;25000000;30000000;35000000;40000000;55000000;70000000;80000000;90000000;110000000;130000000;160000000;190000000;220000000;250000000;280000000;310000000;340000000;400000000})</f>
        <v>3000000</v>
      </c>
      <c r="J1150" s="7" t="n">
        <f aca="false">I1150*S1150*T1150*U1150</f>
        <v>3369600</v>
      </c>
      <c r="K1150" s="3"/>
      <c r="L1150" s="3"/>
      <c r="M1150" s="3"/>
      <c r="N1150" s="9" t="n">
        <v>0</v>
      </c>
      <c r="O1150" s="4" t="n">
        <v>0</v>
      </c>
      <c r="P1150" s="5" t="n">
        <f aca="false">IF(COUNTIF([1]Base_Jugadores!J$2:J$500,B1150)&gt;0,1,0)</f>
        <v>0</v>
      </c>
      <c r="Q1150" s="10" t="b">
        <f aca="false">--(COUNTIFS(
   [1]Fichajes_Realizados!A$2:A$5000,A1150,
   [1]Fichajes_Realizados!G$2:G$5000,$X$3
)&gt;0)</f>
        <v>0</v>
      </c>
      <c r="R1150" s="5" t="n">
        <f aca="false">_xlfn.XLOOKUP(C1150, [1]Estado_Equipos!A$2:A$500, [1]Estado_Equipos!J$2:J$500, "")</f>
        <v>73</v>
      </c>
      <c r="S1150" s="5" t="n">
        <f aca="false">IF(H1150&lt;=16,1.45,
IF(H1150&gt;=41,0.3,
CHOOSE(ROUNDDOWN((H1150-16)/2,0)+1,
1.45,1.38,1.3,1.23,1.17,1.15,1.12,1.05,0.95,0.8,0.6,0.4,0.3)))</f>
        <v>1.17</v>
      </c>
      <c r="T1150" s="5" t="n">
        <f aca="false">CHOOSE(N1150+1,1.2,1,0.85,0.7)</f>
        <v>1.2</v>
      </c>
      <c r="U1150" s="5" t="n">
        <f aca="false">IF(F1150="PO",0.6,
IF(F1150="CT",0.75,
IF(F1150="LI",0.8,
IF(F1150="LD",0.8,
IF(F1150="MCD",0.85,
IF(F1150="MC",0.95,
IF(F1150="MO",1.05,
IF(F1150="EI",1.1,
IF(F1150="ED",1.1,
IF(F1150="SD",1.15,
IF(F1150="DC",1.2,0)))))))))))</f>
        <v>0.8</v>
      </c>
    </row>
    <row r="1151" customFormat="false" ht="16.4" hidden="false" customHeight="false" outlineLevel="0" collapsed="false">
      <c r="A1151" s="1" t="n">
        <v>1150</v>
      </c>
      <c r="B1151" s="5" t="str">
        <f aca="false">[1]Base_Jugadores!B1151</f>
        <v>Máximo Perrone</v>
      </c>
      <c r="C1151" s="5" t="str">
        <f aca="false">IFERROR(
   _xlfn.XLOOKUP(VALUE(A1151),[1]Fichajes_Realizados!A$2:A$50000,[1]Fichajes_Realizados!D$2:D$50000,,0,-1),
   _xlfn.XLOOKUP(VALUE(A1151),[1]Base_Jugadores!A$2:A$50000,[1]Base_Jugadores!C$2:C$50000)
)</f>
        <v>Como 1907</v>
      </c>
      <c r="D1151" s="5" t="str">
        <f aca="false">[1]Base_Jugadores!D1151</f>
        <v>Argentina</v>
      </c>
      <c r="E1151" s="3"/>
      <c r="F1151" s="5" t="str">
        <f aca="false">[1]Base_Jugadores!E1151</f>
        <v>MCD</v>
      </c>
      <c r="G1151" s="5" t="n">
        <f aca="false">[1]Base_Jugadores!F1151</f>
        <v>72</v>
      </c>
      <c r="H1151" s="5" t="n">
        <f aca="false">[1]Base_Jugadores!G1151</f>
        <v>22</v>
      </c>
      <c r="I1151" s="7" t="n">
        <f aca="false" t="array" ref="I1151:I1151">_xlfn.XLOOKUP(G1151,{55;56;57;58;59;60;61;62;63;64;65;66;67;68;69;70;71;72;73;74;75;76;77;78;79;80;81;82;83;84;85;86;87;88;89;90;91;92;93;94;95;96;97;98;99},{100000;130000;160000;190000;220000;250000;300000;350000;400000;450000;500000;600000;700000;800000;900000;1000000;1500000;2000000;3000000;4000000;5000000;6500000;8000000;10000000;12500000;15000000;20000000;25000000;30000000;35000000;40000000;55000000;70000000;80000000;90000000;110000000;130000000;160000000;190000000;220000000;250000000;280000000;310000000;340000000;400000000})</f>
        <v>2000000</v>
      </c>
      <c r="J1151" s="7" t="n">
        <f aca="false">I1151*S1151*T1151*U1151</f>
        <v>2509200</v>
      </c>
      <c r="K1151" s="3"/>
      <c r="L1151" s="3"/>
      <c r="M1151" s="3"/>
      <c r="N1151" s="9" t="n">
        <v>0</v>
      </c>
      <c r="O1151" s="4" t="n">
        <v>0</v>
      </c>
      <c r="P1151" s="5" t="n">
        <f aca="false">IF(COUNTIF([1]Base_Jugadores!J$2:J$500,B1151)&gt;0,1,0)</f>
        <v>0</v>
      </c>
      <c r="Q1151" s="10" t="b">
        <f aca="false">--(COUNTIFS(
   [1]Fichajes_Realizados!A$2:A$5000,A1151,
   [1]Fichajes_Realizados!G$2:G$5000,$X$3
)&gt;0)</f>
        <v>0</v>
      </c>
      <c r="R1151" s="5" t="n">
        <f aca="false">_xlfn.XLOOKUP(C1151, [1]Estado_Equipos!A$2:A$500, [1]Estado_Equipos!J$2:J$500, "")</f>
        <v>73</v>
      </c>
      <c r="S1151" s="5" t="n">
        <f aca="false">IF(H1151&lt;=16,1.45,
IF(H1151&gt;=41,0.3,
CHOOSE(ROUNDDOWN((H1151-16)/2,0)+1,
1.45,1.38,1.3,1.23,1.17,1.15,1.12,1.05,0.95,0.8,0.6,0.4,0.3)))</f>
        <v>1.23</v>
      </c>
      <c r="T1151" s="5" t="n">
        <f aca="false">CHOOSE(N1151+1,1.2,1,0.85,0.7)</f>
        <v>1.2</v>
      </c>
      <c r="U1151" s="5" t="n">
        <f aca="false">IF(F1151="PO",0.6,
IF(F1151="CT",0.75,
IF(F1151="LI",0.8,
IF(F1151="LD",0.8,
IF(F1151="MCD",0.85,
IF(F1151="MC",0.95,
IF(F1151="MO",1.05,
IF(F1151="EI",1.1,
IF(F1151="ED",1.1,
IF(F1151="SD",1.15,
IF(F1151="DC",1.2,0)))))))))))</f>
        <v>0.85</v>
      </c>
    </row>
    <row r="1152" customFormat="false" ht="16.4" hidden="false" customHeight="false" outlineLevel="0" collapsed="false">
      <c r="A1152" s="1" t="n">
        <v>1151</v>
      </c>
      <c r="B1152" s="5" t="str">
        <f aca="false">[1]Base_Jugadores!B1152</f>
        <v>Maxence Caqueret</v>
      </c>
      <c r="C1152" s="5" t="str">
        <f aca="false">IFERROR(
   _xlfn.XLOOKUP(VALUE(A1152),[1]Fichajes_Realizados!A$2:A$50000,[1]Fichajes_Realizados!D$2:D$50000,,0,-1),
   _xlfn.XLOOKUP(VALUE(A1152),[1]Base_Jugadores!A$2:A$50000,[1]Base_Jugadores!C$2:C$50000)
)</f>
        <v>Como 1907</v>
      </c>
      <c r="D1152" s="5" t="str">
        <f aca="false">[1]Base_Jugadores!D1152</f>
        <v>Francia</v>
      </c>
      <c r="E1152" s="3"/>
      <c r="F1152" s="5" t="str">
        <f aca="false">[1]Base_Jugadores!E1152</f>
        <v>MC</v>
      </c>
      <c r="G1152" s="5" t="n">
        <f aca="false">[1]Base_Jugadores!F1152</f>
        <v>77</v>
      </c>
      <c r="H1152" s="5" t="n">
        <f aca="false">[1]Base_Jugadores!G1152</f>
        <v>25</v>
      </c>
      <c r="I1152" s="7" t="n">
        <f aca="false" t="array" ref="I1152:I1152">_xlfn.XLOOKUP(G1152,{55;56;57;58;59;60;61;62;63;64;65;66;67;68;69;70;71;72;73;74;75;76;77;78;79;80;81;82;83;84;85;86;87;88;89;90;91;92;93;94;95;96;97;98;99},{100000;130000;160000;190000;220000;250000;300000;350000;400000;450000;500000;600000;700000;800000;900000;1000000;1500000;2000000;3000000;4000000;5000000;6500000;8000000;10000000;12500000;15000000;20000000;25000000;30000000;35000000;40000000;55000000;70000000;80000000;90000000;110000000;130000000;160000000;190000000;220000000;250000000;280000000;310000000;340000000;400000000})</f>
        <v>8000000</v>
      </c>
      <c r="J1152" s="7" t="n">
        <f aca="false">I1152*S1152*T1152*U1152</f>
        <v>10670400</v>
      </c>
      <c r="K1152" s="3"/>
      <c r="L1152" s="3"/>
      <c r="M1152" s="3"/>
      <c r="N1152" s="9" t="n">
        <v>0</v>
      </c>
      <c r="O1152" s="4" t="n">
        <v>0</v>
      </c>
      <c r="P1152" s="5" t="n">
        <f aca="false">IF(COUNTIF([1]Base_Jugadores!J$2:J$500,B1152)&gt;0,1,0)</f>
        <v>0</v>
      </c>
      <c r="Q1152" s="10" t="b">
        <f aca="false">--(COUNTIFS(
   [1]Fichajes_Realizados!A$2:A$5000,A1152,
   [1]Fichajes_Realizados!G$2:G$5000,$X$3
)&gt;0)</f>
        <v>0</v>
      </c>
      <c r="R1152" s="5" t="n">
        <f aca="false">_xlfn.XLOOKUP(C1152, [1]Estado_Equipos!A$2:A$500, [1]Estado_Equipos!J$2:J$500, "")</f>
        <v>73</v>
      </c>
      <c r="S1152" s="5" t="n">
        <f aca="false">IF(H1152&lt;=16,1.45,
IF(H1152&gt;=41,0.3,
CHOOSE(ROUNDDOWN((H1152-16)/2,0)+1,
1.45,1.38,1.3,1.23,1.17,1.15,1.12,1.05,0.95,0.8,0.6,0.4,0.3)))</f>
        <v>1.17</v>
      </c>
      <c r="T1152" s="5" t="n">
        <f aca="false">CHOOSE(N1152+1,1.2,1,0.85,0.7)</f>
        <v>1.2</v>
      </c>
      <c r="U1152" s="5" t="n">
        <f aca="false">IF(F1152="PO",0.6,
IF(F1152="CT",0.75,
IF(F1152="LI",0.8,
IF(F1152="LD",0.8,
IF(F1152="MCD",0.85,
IF(F1152="MC",0.95,
IF(F1152="MO",1.05,
IF(F1152="EI",1.1,
IF(F1152="ED",1.1,
IF(F1152="SD",1.15,
IF(F1152="DC",1.2,0)))))))))))</f>
        <v>0.95</v>
      </c>
    </row>
    <row r="1153" customFormat="false" ht="16.4" hidden="false" customHeight="false" outlineLevel="0" collapsed="false">
      <c r="A1153" s="1" t="n">
        <v>1152</v>
      </c>
      <c r="B1153" s="5" t="str">
        <f aca="false">[1]Base_Jugadores!B1153</f>
        <v>Lucas Da Cunha</v>
      </c>
      <c r="C1153" s="5" t="str">
        <f aca="false">IFERROR(
   _xlfn.XLOOKUP(VALUE(A1153),[1]Fichajes_Realizados!A$2:A$50000,[1]Fichajes_Realizados!D$2:D$50000,,0,-1),
   _xlfn.XLOOKUP(VALUE(A1153),[1]Base_Jugadores!A$2:A$50000,[1]Base_Jugadores!C$2:C$50000)
)</f>
        <v>Como 1907</v>
      </c>
      <c r="D1153" s="5" t="str">
        <f aca="false">[1]Base_Jugadores!D1153</f>
        <v>Francia</v>
      </c>
      <c r="E1153" s="3"/>
      <c r="F1153" s="5" t="str">
        <f aca="false">[1]Base_Jugadores!E1153</f>
        <v>MC</v>
      </c>
      <c r="G1153" s="5" t="n">
        <f aca="false">[1]Base_Jugadores!F1153</f>
        <v>72</v>
      </c>
      <c r="H1153" s="5" t="n">
        <f aca="false">[1]Base_Jugadores!G1153</f>
        <v>24</v>
      </c>
      <c r="I1153" s="7" t="n">
        <f aca="false" t="array" ref="I1153:I1153">_xlfn.XLOOKUP(G1153,{55;56;57;58;59;60;61;62;63;64;65;66;67;68;69;70;71;72;73;74;75;76;77;78;79;80;81;82;83;84;85;86;87;88;89;90;91;92;93;94;95;96;97;98;99},{100000;130000;160000;190000;220000;250000;300000;350000;400000;450000;500000;600000;700000;800000;900000;1000000;1500000;2000000;3000000;4000000;5000000;6500000;8000000;10000000;12500000;15000000;20000000;25000000;30000000;35000000;40000000;55000000;70000000;80000000;90000000;110000000;130000000;160000000;190000000;220000000;250000000;280000000;310000000;340000000;400000000})</f>
        <v>2000000</v>
      </c>
      <c r="J1153" s="7" t="n">
        <f aca="false">I1153*S1153*T1153*U1153</f>
        <v>2667600</v>
      </c>
      <c r="K1153" s="3"/>
      <c r="L1153" s="3"/>
      <c r="M1153" s="3"/>
      <c r="N1153" s="9" t="n">
        <v>0</v>
      </c>
      <c r="O1153" s="4" t="n">
        <v>0</v>
      </c>
      <c r="P1153" s="5" t="n">
        <f aca="false">IF(COUNTIF([1]Base_Jugadores!J$2:J$500,B1153)&gt;0,1,0)</f>
        <v>0</v>
      </c>
      <c r="Q1153" s="10" t="b">
        <f aca="false">--(COUNTIFS(
   [1]Fichajes_Realizados!A$2:A$5000,A1153,
   [1]Fichajes_Realizados!G$2:G$5000,$X$3
)&gt;0)</f>
        <v>0</v>
      </c>
      <c r="R1153" s="5" t="n">
        <f aca="false">_xlfn.XLOOKUP(C1153, [1]Estado_Equipos!A$2:A$500, [1]Estado_Equipos!J$2:J$500, "")</f>
        <v>73</v>
      </c>
      <c r="S1153" s="5" t="n">
        <f aca="false">IF(H1153&lt;=16,1.45,
IF(H1153&gt;=41,0.3,
CHOOSE(ROUNDDOWN((H1153-16)/2,0)+1,
1.45,1.38,1.3,1.23,1.17,1.15,1.12,1.05,0.95,0.8,0.6,0.4,0.3)))</f>
        <v>1.17</v>
      </c>
      <c r="T1153" s="5" t="n">
        <f aca="false">CHOOSE(N1153+1,1.2,1,0.85,0.7)</f>
        <v>1.2</v>
      </c>
      <c r="U1153" s="5" t="n">
        <f aca="false">IF(F1153="PO",0.6,
IF(F1153="CT",0.75,
IF(F1153="LI",0.8,
IF(F1153="LD",0.8,
IF(F1153="MCD",0.85,
IF(F1153="MC",0.95,
IF(F1153="MO",1.05,
IF(F1153="EI",1.1,
IF(F1153="ED",1.1,
IF(F1153="SD",1.15,
IF(F1153="DC",1.2,0)))))))))))</f>
        <v>0.95</v>
      </c>
    </row>
    <row r="1154" customFormat="false" ht="16.4" hidden="false" customHeight="false" outlineLevel="0" collapsed="false">
      <c r="A1154" s="1" t="n">
        <v>1153</v>
      </c>
      <c r="B1154" s="5" t="str">
        <f aca="false">[1]Base_Jugadores!B1154</f>
        <v>Sergi Roberto</v>
      </c>
      <c r="C1154" s="5" t="str">
        <f aca="false">IFERROR(
   _xlfn.XLOOKUP(VALUE(A1154),[1]Fichajes_Realizados!A$2:A$50000,[1]Fichajes_Realizados!D$2:D$50000,,0,-1),
   _xlfn.XLOOKUP(VALUE(A1154),[1]Base_Jugadores!A$2:A$50000,[1]Base_Jugadores!C$2:C$50000)
)</f>
        <v>Como 1907</v>
      </c>
      <c r="D1154" s="5" t="str">
        <f aca="false">[1]Base_Jugadores!D1154</f>
        <v>España</v>
      </c>
      <c r="E1154" s="3"/>
      <c r="F1154" s="5" t="str">
        <f aca="false">[1]Base_Jugadores!E1154</f>
        <v>MC</v>
      </c>
      <c r="G1154" s="5" t="n">
        <f aca="false">[1]Base_Jugadores!F1154</f>
        <v>78</v>
      </c>
      <c r="H1154" s="5" t="n">
        <f aca="false">[1]Base_Jugadores!G1154</f>
        <v>33</v>
      </c>
      <c r="I1154" s="7" t="n">
        <f aca="false" t="array" ref="I1154:I1154">_xlfn.XLOOKUP(G1154,{55;56;57;58;59;60;61;62;63;64;65;66;67;68;69;70;71;72;73;74;75;76;77;78;79;80;81;82;83;84;85;86;87;88;89;90;91;92;93;94;95;96;97;98;99},{100000;130000;160000;190000;220000;250000;300000;350000;400000;450000;500000;600000;700000;800000;900000;1000000;1500000;2000000;3000000;4000000;5000000;6500000;8000000;10000000;12500000;15000000;20000000;25000000;30000000;35000000;40000000;55000000;70000000;80000000;90000000;110000000;130000000;160000000;190000000;220000000;250000000;280000000;310000000;340000000;400000000})</f>
        <v>10000000</v>
      </c>
      <c r="J1154" s="7" t="n">
        <f aca="false">I1154*S1154*T1154*U1154</f>
        <v>10830000</v>
      </c>
      <c r="K1154" s="3"/>
      <c r="L1154" s="3"/>
      <c r="M1154" s="3"/>
      <c r="N1154" s="9" t="n">
        <v>0</v>
      </c>
      <c r="O1154" s="4" t="n">
        <v>0</v>
      </c>
      <c r="P1154" s="5" t="n">
        <f aca="false">IF(COUNTIF([1]Base_Jugadores!J$2:J$500,B1154)&gt;0,1,0)</f>
        <v>0</v>
      </c>
      <c r="Q1154" s="10" t="b">
        <f aca="false">--(COUNTIFS(
   [1]Fichajes_Realizados!A$2:A$5000,A1154,
   [1]Fichajes_Realizados!G$2:G$5000,$X$3
)&gt;0)</f>
        <v>0</v>
      </c>
      <c r="R1154" s="5" t="n">
        <f aca="false">_xlfn.XLOOKUP(C1154, [1]Estado_Equipos!A$2:A$500, [1]Estado_Equipos!J$2:J$500, "")</f>
        <v>73</v>
      </c>
      <c r="S1154" s="5" t="n">
        <f aca="false">IF(H1154&lt;=16,1.45,
IF(H1154&gt;=41,0.3,
CHOOSE(ROUNDDOWN((H1154-16)/2,0)+1,
1.45,1.38,1.3,1.23,1.17,1.15,1.12,1.05,0.95,0.8,0.6,0.4,0.3)))</f>
        <v>0.95</v>
      </c>
      <c r="T1154" s="5" t="n">
        <f aca="false">CHOOSE(N1154+1,1.2,1,0.85,0.7)</f>
        <v>1.2</v>
      </c>
      <c r="U1154" s="5" t="n">
        <f aca="false">IF(F1154="PO",0.6,
IF(F1154="CT",0.75,
IF(F1154="LI",0.8,
IF(F1154="LD",0.8,
IF(F1154="MCD",0.85,
IF(F1154="MC",0.95,
IF(F1154="MO",1.05,
IF(F1154="EI",1.1,
IF(F1154="ED",1.1,
IF(F1154="SD",1.15,
IF(F1154="DC",1.2,0)))))))))))</f>
        <v>0.95</v>
      </c>
    </row>
    <row r="1155" customFormat="false" ht="16.4" hidden="false" customHeight="false" outlineLevel="0" collapsed="false">
      <c r="A1155" s="1" t="n">
        <v>1154</v>
      </c>
      <c r="B1155" s="5" t="str">
        <f aca="false">[1]Base_Jugadores!B1155</f>
        <v>Nico Paz</v>
      </c>
      <c r="C1155" s="5" t="str">
        <f aca="false">IFERROR(
   _xlfn.XLOOKUP(VALUE(A1155),[1]Fichajes_Realizados!A$2:A$50000,[1]Fichajes_Realizados!D$2:D$50000,,0,-1),
   _xlfn.XLOOKUP(VALUE(A1155),[1]Base_Jugadores!A$2:A$50000,[1]Base_Jugadores!C$2:C$50000)
)</f>
        <v>Como 1907</v>
      </c>
      <c r="D1155" s="5" t="str">
        <f aca="false">[1]Base_Jugadores!D1155</f>
        <v>Argentina</v>
      </c>
      <c r="E1155" s="3"/>
      <c r="F1155" s="5" t="str">
        <f aca="false">[1]Base_Jugadores!E1155</f>
        <v>MO</v>
      </c>
      <c r="G1155" s="5" t="n">
        <f aca="false">[1]Base_Jugadores!F1155</f>
        <v>78</v>
      </c>
      <c r="H1155" s="5" t="n">
        <f aca="false">[1]Base_Jugadores!G1155</f>
        <v>21</v>
      </c>
      <c r="I1155" s="7" t="n">
        <f aca="false" t="array" ref="I1155:I1155">_xlfn.XLOOKUP(G1155,{55;56;57;58;59;60;61;62;63;64;65;66;67;68;69;70;71;72;73;74;75;76;77;78;79;80;81;82;83;84;85;86;87;88;89;90;91;92;93;94;95;96;97;98;99},{100000;130000;160000;190000;220000;250000;300000;350000;400000;450000;500000;600000;700000;800000;900000;1000000;1500000;2000000;3000000;4000000;5000000;6500000;8000000;10000000;12500000;15000000;20000000;25000000;30000000;35000000;40000000;55000000;70000000;80000000;90000000;110000000;130000000;160000000;190000000;220000000;250000000;280000000;310000000;340000000;400000000})</f>
        <v>10000000</v>
      </c>
      <c r="J1155" s="7" t="n">
        <f aca="false">I1155*S1155*T1155*U1155</f>
        <v>16380000</v>
      </c>
      <c r="K1155" s="3"/>
      <c r="L1155" s="3"/>
      <c r="M1155" s="3"/>
      <c r="N1155" s="9" t="n">
        <v>0</v>
      </c>
      <c r="O1155" s="4" t="n">
        <v>0</v>
      </c>
      <c r="P1155" s="5" t="n">
        <f aca="false">IF(COUNTIF([1]Base_Jugadores!J$2:J$500,B1155)&gt;0,1,0)</f>
        <v>0</v>
      </c>
      <c r="Q1155" s="10" t="b">
        <f aca="false">--(COUNTIFS(
   [1]Fichajes_Realizados!A$2:A$5000,A1155,
   [1]Fichajes_Realizados!G$2:G$5000,$X$3
)&gt;0)</f>
        <v>0</v>
      </c>
      <c r="R1155" s="5" t="n">
        <f aca="false">_xlfn.XLOOKUP(C1155, [1]Estado_Equipos!A$2:A$500, [1]Estado_Equipos!J$2:J$500, "")</f>
        <v>73</v>
      </c>
      <c r="S1155" s="5" t="n">
        <f aca="false">IF(H1155&lt;=16,1.45,
IF(H1155&gt;=41,0.3,
CHOOSE(ROUNDDOWN((H1155-16)/2,0)+1,
1.45,1.38,1.3,1.23,1.17,1.15,1.12,1.05,0.95,0.8,0.6,0.4,0.3)))</f>
        <v>1.3</v>
      </c>
      <c r="T1155" s="5" t="n">
        <f aca="false">CHOOSE(N1155+1,1.2,1,0.85,0.7)</f>
        <v>1.2</v>
      </c>
      <c r="U1155" s="5" t="n">
        <f aca="false">IF(F1155="PO",0.6,
IF(F1155="CT",0.75,
IF(F1155="LI",0.8,
IF(F1155="LD",0.8,
IF(F1155="MCD",0.85,
IF(F1155="MC",0.95,
IF(F1155="MO",1.05,
IF(F1155="EI",1.1,
IF(F1155="ED",1.1,
IF(F1155="SD",1.15,
IF(F1155="DC",1.2,0)))))))))))</f>
        <v>1.05</v>
      </c>
    </row>
    <row r="1156" customFormat="false" ht="16.4" hidden="false" customHeight="false" outlineLevel="0" collapsed="false">
      <c r="A1156" s="1" t="n">
        <v>1155</v>
      </c>
      <c r="B1156" s="5" t="str">
        <f aca="false">[1]Base_Jugadores!B1156</f>
        <v>Martin Baturina</v>
      </c>
      <c r="C1156" s="5" t="str">
        <f aca="false">IFERROR(
   _xlfn.XLOOKUP(VALUE(A1156),[1]Fichajes_Realizados!A$2:A$50000,[1]Fichajes_Realizados!D$2:D$50000,,0,-1),
   _xlfn.XLOOKUP(VALUE(A1156),[1]Base_Jugadores!A$2:A$50000,[1]Base_Jugadores!C$2:C$50000)
)</f>
        <v>Como 1907</v>
      </c>
      <c r="D1156" s="5" t="str">
        <f aca="false">[1]Base_Jugadores!D1156</f>
        <v>Croacia</v>
      </c>
      <c r="E1156" s="3"/>
      <c r="F1156" s="5" t="str">
        <f aca="false">[1]Base_Jugadores!E1156</f>
        <v>MO</v>
      </c>
      <c r="G1156" s="5" t="n">
        <f aca="false">[1]Base_Jugadores!F1156</f>
        <v>78</v>
      </c>
      <c r="H1156" s="5" t="n">
        <f aca="false">[1]Base_Jugadores!G1156</f>
        <v>22</v>
      </c>
      <c r="I1156" s="7" t="n">
        <f aca="false" t="array" ref="I1156:I1156">_xlfn.XLOOKUP(G1156,{55;56;57;58;59;60;61;62;63;64;65;66;67;68;69;70;71;72;73;74;75;76;77;78;79;80;81;82;83;84;85;86;87;88;89;90;91;92;93;94;95;96;97;98;99},{100000;130000;160000;190000;220000;250000;300000;350000;400000;450000;500000;600000;700000;800000;900000;1000000;1500000;2000000;3000000;4000000;5000000;6500000;8000000;10000000;12500000;15000000;20000000;25000000;30000000;35000000;40000000;55000000;70000000;80000000;90000000;110000000;130000000;160000000;190000000;220000000;250000000;280000000;310000000;340000000;400000000})</f>
        <v>10000000</v>
      </c>
      <c r="J1156" s="7" t="n">
        <f aca="false">I1156*S1156*T1156*U1156</f>
        <v>15498000</v>
      </c>
      <c r="K1156" s="3"/>
      <c r="L1156" s="3"/>
      <c r="M1156" s="3"/>
      <c r="N1156" s="9" t="n">
        <v>0</v>
      </c>
      <c r="O1156" s="4" t="n">
        <v>0</v>
      </c>
      <c r="P1156" s="5" t="n">
        <f aca="false">IF(COUNTIF([1]Base_Jugadores!J$2:J$500,B1156)&gt;0,1,0)</f>
        <v>0</v>
      </c>
      <c r="Q1156" s="10" t="b">
        <f aca="false">--(COUNTIFS(
   [1]Fichajes_Realizados!A$2:A$5000,A1156,
   [1]Fichajes_Realizados!G$2:G$5000,$X$3
)&gt;0)</f>
        <v>0</v>
      </c>
      <c r="R1156" s="5" t="n">
        <f aca="false">_xlfn.XLOOKUP(C1156, [1]Estado_Equipos!A$2:A$500, [1]Estado_Equipos!J$2:J$500, "")</f>
        <v>73</v>
      </c>
      <c r="S1156" s="5" t="n">
        <f aca="false">IF(H1156&lt;=16,1.45,
IF(H1156&gt;=41,0.3,
CHOOSE(ROUNDDOWN((H1156-16)/2,0)+1,
1.45,1.38,1.3,1.23,1.17,1.15,1.12,1.05,0.95,0.8,0.6,0.4,0.3)))</f>
        <v>1.23</v>
      </c>
      <c r="T1156" s="5" t="n">
        <f aca="false">CHOOSE(N1156+1,1.2,1,0.85,0.7)</f>
        <v>1.2</v>
      </c>
      <c r="U1156" s="5" t="n">
        <f aca="false">IF(F1156="PO",0.6,
IF(F1156="CT",0.75,
IF(F1156="LI",0.8,
IF(F1156="LD",0.8,
IF(F1156="MCD",0.85,
IF(F1156="MC",0.95,
IF(F1156="MO",1.05,
IF(F1156="EI",1.1,
IF(F1156="ED",1.1,
IF(F1156="SD",1.15,
IF(F1156="DC",1.2,0)))))))))))</f>
        <v>1.05</v>
      </c>
    </row>
    <row r="1157" customFormat="false" ht="16.4" hidden="false" customHeight="false" outlineLevel="0" collapsed="false">
      <c r="A1157" s="1" t="n">
        <v>1156</v>
      </c>
      <c r="B1157" s="5" t="str">
        <f aca="false">[1]Base_Jugadores!B1157</f>
        <v>Simone Verdi</v>
      </c>
      <c r="C1157" s="5" t="str">
        <f aca="false">IFERROR(
   _xlfn.XLOOKUP(VALUE(A1157),[1]Fichajes_Realizados!A$2:A$50000,[1]Fichajes_Realizados!D$2:D$50000,,0,-1),
   _xlfn.XLOOKUP(VALUE(A1157),[1]Base_Jugadores!A$2:A$50000,[1]Base_Jugadores!C$2:C$50000)
)</f>
        <v>Como 1907</v>
      </c>
      <c r="D1157" s="5" t="str">
        <f aca="false">[1]Base_Jugadores!D1157</f>
        <v>Italia</v>
      </c>
      <c r="E1157" s="3"/>
      <c r="F1157" s="5" t="str">
        <f aca="false">[1]Base_Jugadores!E1157</f>
        <v>MO</v>
      </c>
      <c r="G1157" s="5" t="n">
        <f aca="false">[1]Base_Jugadores!F1157</f>
        <v>74</v>
      </c>
      <c r="H1157" s="5" t="n">
        <f aca="false">[1]Base_Jugadores!G1157</f>
        <v>33</v>
      </c>
      <c r="I1157" s="7" t="n">
        <f aca="false" t="array" ref="I1157:I1157">_xlfn.XLOOKUP(G1157,{55;56;57;58;59;60;61;62;63;64;65;66;67;68;69;70;71;72;73;74;75;76;77;78;79;80;81;82;83;84;85;86;87;88;89;90;91;92;93;94;95;96;97;98;99},{100000;130000;160000;190000;220000;250000;300000;350000;400000;450000;500000;600000;700000;800000;900000;1000000;1500000;2000000;3000000;4000000;5000000;6500000;8000000;10000000;12500000;15000000;20000000;25000000;30000000;35000000;40000000;55000000;70000000;80000000;90000000;110000000;130000000;160000000;190000000;220000000;250000000;280000000;310000000;340000000;400000000})</f>
        <v>4000000</v>
      </c>
      <c r="J1157" s="7" t="n">
        <f aca="false">I1157*S1157*T1157*U1157</f>
        <v>4788000</v>
      </c>
      <c r="K1157" s="3"/>
      <c r="L1157" s="3"/>
      <c r="M1157" s="3"/>
      <c r="N1157" s="9" t="n">
        <v>0</v>
      </c>
      <c r="O1157" s="4" t="n">
        <v>0</v>
      </c>
      <c r="P1157" s="5" t="n">
        <f aca="false">IF(COUNTIF([1]Base_Jugadores!J$2:J$500,B1157)&gt;0,1,0)</f>
        <v>0</v>
      </c>
      <c r="Q1157" s="10" t="b">
        <f aca="false">--(COUNTIFS(
   [1]Fichajes_Realizados!A$2:A$5000,A1157,
   [1]Fichajes_Realizados!G$2:G$5000,$X$3
)&gt;0)</f>
        <v>0</v>
      </c>
      <c r="R1157" s="5" t="n">
        <f aca="false">_xlfn.XLOOKUP(C1157, [1]Estado_Equipos!A$2:A$500, [1]Estado_Equipos!J$2:J$500, "")</f>
        <v>73</v>
      </c>
      <c r="S1157" s="5" t="n">
        <f aca="false">IF(H1157&lt;=16,1.45,
IF(H1157&gt;=41,0.3,
CHOOSE(ROUNDDOWN((H1157-16)/2,0)+1,
1.45,1.38,1.3,1.23,1.17,1.15,1.12,1.05,0.95,0.8,0.6,0.4,0.3)))</f>
        <v>0.95</v>
      </c>
      <c r="T1157" s="5" t="n">
        <f aca="false">CHOOSE(N1157+1,1.2,1,0.85,0.7)</f>
        <v>1.2</v>
      </c>
      <c r="U1157" s="5" t="n">
        <f aca="false">IF(F1157="PO",0.6,
IF(F1157="CT",0.75,
IF(F1157="LI",0.8,
IF(F1157="LD",0.8,
IF(F1157="MCD",0.85,
IF(F1157="MC",0.95,
IF(F1157="MO",1.05,
IF(F1157="EI",1.1,
IF(F1157="ED",1.1,
IF(F1157="SD",1.15,
IF(F1157="DC",1.2,0)))))))))))</f>
        <v>1.05</v>
      </c>
    </row>
    <row r="1158" customFormat="false" ht="16.4" hidden="false" customHeight="false" outlineLevel="0" collapsed="false">
      <c r="A1158" s="1" t="n">
        <v>1157</v>
      </c>
      <c r="B1158" s="5" t="str">
        <f aca="false">[1]Base_Jugadores!B1158</f>
        <v>Jesús Rodríguez C.</v>
      </c>
      <c r="C1158" s="5" t="str">
        <f aca="false">IFERROR(
   _xlfn.XLOOKUP(VALUE(A1158),[1]Fichajes_Realizados!A$2:A$50000,[1]Fichajes_Realizados!D$2:D$50000,,0,-1),
   _xlfn.XLOOKUP(VALUE(A1158),[1]Base_Jugadores!A$2:A$50000,[1]Base_Jugadores!C$2:C$50000)
)</f>
        <v>Como 1907</v>
      </c>
      <c r="D1158" s="5" t="str">
        <f aca="false">[1]Base_Jugadores!D1158</f>
        <v>España</v>
      </c>
      <c r="E1158" s="3"/>
      <c r="F1158" s="5" t="str">
        <f aca="false">[1]Base_Jugadores!E1158</f>
        <v>EI</v>
      </c>
      <c r="G1158" s="5" t="n">
        <f aca="false">[1]Base_Jugadores!F1158</f>
        <v>72</v>
      </c>
      <c r="H1158" s="5" t="n">
        <f aca="false">[1]Base_Jugadores!G1158</f>
        <v>20</v>
      </c>
      <c r="I1158" s="7" t="n">
        <f aca="false" t="array" ref="I1158:I1158">_xlfn.XLOOKUP(G1158,{55;56;57;58;59;60;61;62;63;64;65;66;67;68;69;70;71;72;73;74;75;76;77;78;79;80;81;82;83;84;85;86;87;88;89;90;91;92;93;94;95;96;97;98;99},{100000;130000;160000;190000;220000;250000;300000;350000;400000;450000;500000;600000;700000;800000;900000;1000000;1500000;2000000;3000000;4000000;5000000;6500000;8000000;10000000;12500000;15000000;20000000;25000000;30000000;35000000;40000000;55000000;70000000;80000000;90000000;110000000;130000000;160000000;190000000;220000000;250000000;280000000;310000000;340000000;400000000})</f>
        <v>2000000</v>
      </c>
      <c r="J1158" s="7" t="n">
        <f aca="false">I1158*S1158*T1158*U1158</f>
        <v>3432000</v>
      </c>
      <c r="K1158" s="3"/>
      <c r="L1158" s="3"/>
      <c r="M1158" s="3"/>
      <c r="N1158" s="9" t="n">
        <v>0</v>
      </c>
      <c r="O1158" s="4" t="n">
        <v>0</v>
      </c>
      <c r="P1158" s="5" t="n">
        <f aca="false">IF(COUNTIF([1]Base_Jugadores!J$2:J$500,B1158)&gt;0,1,0)</f>
        <v>0</v>
      </c>
      <c r="Q1158" s="10" t="b">
        <f aca="false">--(COUNTIFS(
   [1]Fichajes_Realizados!A$2:A$5000,A1158,
   [1]Fichajes_Realizados!G$2:G$5000,$X$3
)&gt;0)</f>
        <v>0</v>
      </c>
      <c r="R1158" s="5" t="n">
        <f aca="false">_xlfn.XLOOKUP(C1158, [1]Estado_Equipos!A$2:A$500, [1]Estado_Equipos!J$2:J$500, "")</f>
        <v>73</v>
      </c>
      <c r="S1158" s="5" t="n">
        <f aca="false">IF(H1158&lt;=16,1.45,
IF(H1158&gt;=41,0.3,
CHOOSE(ROUNDDOWN((H1158-16)/2,0)+1,
1.45,1.38,1.3,1.23,1.17,1.15,1.12,1.05,0.95,0.8,0.6,0.4,0.3)))</f>
        <v>1.3</v>
      </c>
      <c r="T1158" s="5" t="n">
        <f aca="false">CHOOSE(N1158+1,1.2,1,0.85,0.7)</f>
        <v>1.2</v>
      </c>
      <c r="U1158" s="5" t="n">
        <f aca="false">IF(F1158="PO",0.6,
IF(F1158="CT",0.75,
IF(F1158="LI",0.8,
IF(F1158="LD",0.8,
IF(F1158="MCD",0.85,
IF(F1158="MC",0.95,
IF(F1158="MO",1.05,
IF(F1158="EI",1.1,
IF(F1158="ED",1.1,
IF(F1158="SD",1.15,
IF(F1158="DC",1.2,0)))))))))))</f>
        <v>1.1</v>
      </c>
    </row>
    <row r="1159" customFormat="false" ht="16.4" hidden="false" customHeight="false" outlineLevel="0" collapsed="false">
      <c r="A1159" s="1" t="n">
        <v>1158</v>
      </c>
      <c r="B1159" s="5" t="str">
        <f aca="false">[1]Base_Jugadores!B1159</f>
        <v>Assane Diao</v>
      </c>
      <c r="C1159" s="5" t="str">
        <f aca="false">IFERROR(
   _xlfn.XLOOKUP(VALUE(A1159),[1]Fichajes_Realizados!A$2:A$50000,[1]Fichajes_Realizados!D$2:D$50000,,0,-1),
   _xlfn.XLOOKUP(VALUE(A1159),[1]Base_Jugadores!A$2:A$50000,[1]Base_Jugadores!C$2:C$50000)
)</f>
        <v>Como 1907</v>
      </c>
      <c r="D1159" s="5" t="str">
        <f aca="false">[1]Base_Jugadores!D1159</f>
        <v>Senegal</v>
      </c>
      <c r="E1159" s="3"/>
      <c r="F1159" s="5" t="str">
        <f aca="false">[1]Base_Jugadores!E1159</f>
        <v>EI</v>
      </c>
      <c r="G1159" s="5" t="n">
        <f aca="false">[1]Base_Jugadores!F1159</f>
        <v>73</v>
      </c>
      <c r="H1159" s="5" t="n">
        <f aca="false">[1]Base_Jugadores!G1159</f>
        <v>20</v>
      </c>
      <c r="I1159" s="7" t="n">
        <f aca="false" t="array" ref="I1159:I1159">_xlfn.XLOOKUP(G1159,{55;56;57;58;59;60;61;62;63;64;65;66;67;68;69;70;71;72;73;74;75;76;77;78;79;80;81;82;83;84;85;86;87;88;89;90;91;92;93;94;95;96;97;98;99},{100000;130000;160000;190000;220000;250000;300000;350000;400000;450000;500000;600000;700000;800000;900000;1000000;1500000;2000000;3000000;4000000;5000000;6500000;8000000;10000000;12500000;15000000;20000000;25000000;30000000;35000000;40000000;55000000;70000000;80000000;90000000;110000000;130000000;160000000;190000000;220000000;250000000;280000000;310000000;340000000;400000000})</f>
        <v>3000000</v>
      </c>
      <c r="J1159" s="7" t="n">
        <f aca="false">I1159*S1159*T1159*U1159</f>
        <v>5148000</v>
      </c>
      <c r="K1159" s="3"/>
      <c r="L1159" s="3"/>
      <c r="M1159" s="3"/>
      <c r="N1159" s="9" t="n">
        <v>0</v>
      </c>
      <c r="O1159" s="4" t="n">
        <v>0</v>
      </c>
      <c r="P1159" s="5" t="n">
        <f aca="false">IF(COUNTIF([1]Base_Jugadores!J$2:J$500,B1159)&gt;0,1,0)</f>
        <v>0</v>
      </c>
      <c r="Q1159" s="10" t="b">
        <f aca="false">--(COUNTIFS(
   [1]Fichajes_Realizados!A$2:A$5000,A1159,
   [1]Fichajes_Realizados!G$2:G$5000,$X$3
)&gt;0)</f>
        <v>0</v>
      </c>
      <c r="R1159" s="5" t="n">
        <f aca="false">_xlfn.XLOOKUP(C1159, [1]Estado_Equipos!A$2:A$500, [1]Estado_Equipos!J$2:J$500, "")</f>
        <v>73</v>
      </c>
      <c r="S1159" s="5" t="n">
        <f aca="false">IF(H1159&lt;=16,1.45,
IF(H1159&gt;=41,0.3,
CHOOSE(ROUNDDOWN((H1159-16)/2,0)+1,
1.45,1.38,1.3,1.23,1.17,1.15,1.12,1.05,0.95,0.8,0.6,0.4,0.3)))</f>
        <v>1.3</v>
      </c>
      <c r="T1159" s="5" t="n">
        <f aca="false">CHOOSE(N1159+1,1.2,1,0.85,0.7)</f>
        <v>1.2</v>
      </c>
      <c r="U1159" s="5" t="n">
        <f aca="false">IF(F1159="PO",0.6,
IF(F1159="CT",0.75,
IF(F1159="LI",0.8,
IF(F1159="LD",0.8,
IF(F1159="MCD",0.85,
IF(F1159="MC",0.95,
IF(F1159="MO",1.05,
IF(F1159="EI",1.1,
IF(F1159="ED",1.1,
IF(F1159="SD",1.15,
IF(F1159="DC",1.2,0)))))))))))</f>
        <v>1.1</v>
      </c>
    </row>
    <row r="1160" customFormat="false" ht="16.4" hidden="false" customHeight="false" outlineLevel="0" collapsed="false">
      <c r="A1160" s="1" t="n">
        <v>1159</v>
      </c>
      <c r="B1160" s="5" t="str">
        <f aca="false">[1]Base_Jugadores!B1160</f>
        <v>Nicolas Kühn</v>
      </c>
      <c r="C1160" s="5" t="str">
        <f aca="false">IFERROR(
   _xlfn.XLOOKUP(VALUE(A1160),[1]Fichajes_Realizados!A$2:A$50000,[1]Fichajes_Realizados!D$2:D$50000,,0,-1),
   _xlfn.XLOOKUP(VALUE(A1160),[1]Base_Jugadores!A$2:A$50000,[1]Base_Jugadores!C$2:C$50000)
)</f>
        <v>Como 1907</v>
      </c>
      <c r="D1160" s="5" t="str">
        <f aca="false">[1]Base_Jugadores!D1160</f>
        <v>Alemania</v>
      </c>
      <c r="E1160" s="3"/>
      <c r="F1160" s="5" t="str">
        <f aca="false">[1]Base_Jugadores!E1160</f>
        <v>ED</v>
      </c>
      <c r="G1160" s="5" t="n">
        <f aca="false">[1]Base_Jugadores!F1160</f>
        <v>79</v>
      </c>
      <c r="H1160" s="5" t="n">
        <f aca="false">[1]Base_Jugadores!G1160</f>
        <v>25</v>
      </c>
      <c r="I1160" s="7" t="n">
        <f aca="false" t="array" ref="I1160:I1160">_xlfn.XLOOKUP(G1160,{55;56;57;58;59;60;61;62;63;64;65;66;67;68;69;70;71;72;73;74;75;76;77;78;79;80;81;82;83;84;85;86;87;88;89;90;91;92;93;94;95;96;97;98;99},{100000;130000;160000;190000;220000;250000;300000;350000;400000;450000;500000;600000;700000;800000;900000;1000000;1500000;2000000;3000000;4000000;5000000;6500000;8000000;10000000;12500000;15000000;20000000;25000000;30000000;35000000;40000000;55000000;70000000;80000000;90000000;110000000;130000000;160000000;190000000;220000000;250000000;280000000;310000000;340000000;400000000})</f>
        <v>12500000</v>
      </c>
      <c r="J1160" s="7" t="n">
        <f aca="false">I1160*S1160*T1160*U1160</f>
        <v>19305000</v>
      </c>
      <c r="K1160" s="3"/>
      <c r="L1160" s="3"/>
      <c r="M1160" s="3"/>
      <c r="N1160" s="9" t="n">
        <v>0</v>
      </c>
      <c r="O1160" s="4" t="n">
        <v>0</v>
      </c>
      <c r="P1160" s="5" t="n">
        <f aca="false">IF(COUNTIF([1]Base_Jugadores!J$2:J$500,B1160)&gt;0,1,0)</f>
        <v>0</v>
      </c>
      <c r="Q1160" s="10" t="b">
        <f aca="false">--(COUNTIFS(
   [1]Fichajes_Realizados!A$2:A$5000,A1160,
   [1]Fichajes_Realizados!G$2:G$5000,$X$3
)&gt;0)</f>
        <v>0</v>
      </c>
      <c r="R1160" s="5" t="n">
        <f aca="false">_xlfn.XLOOKUP(C1160, [1]Estado_Equipos!A$2:A$500, [1]Estado_Equipos!J$2:J$500, "")</f>
        <v>73</v>
      </c>
      <c r="S1160" s="5" t="n">
        <f aca="false">IF(H1160&lt;=16,1.45,
IF(H1160&gt;=41,0.3,
CHOOSE(ROUNDDOWN((H1160-16)/2,0)+1,
1.45,1.38,1.3,1.23,1.17,1.15,1.12,1.05,0.95,0.8,0.6,0.4,0.3)))</f>
        <v>1.17</v>
      </c>
      <c r="T1160" s="5" t="n">
        <f aca="false">CHOOSE(N1160+1,1.2,1,0.85,0.7)</f>
        <v>1.2</v>
      </c>
      <c r="U1160" s="5" t="n">
        <f aca="false">IF(F1160="PO",0.6,
IF(F1160="CT",0.75,
IF(F1160="LI",0.8,
IF(F1160="LD",0.8,
IF(F1160="MCD",0.85,
IF(F1160="MC",0.95,
IF(F1160="MO",1.05,
IF(F1160="EI",1.1,
IF(F1160="ED",1.1,
IF(F1160="SD",1.15,
IF(F1160="DC",1.2,0)))))))))))</f>
        <v>1.1</v>
      </c>
    </row>
    <row r="1161" customFormat="false" ht="16.4" hidden="false" customHeight="false" outlineLevel="0" collapsed="false">
      <c r="A1161" s="1" t="n">
        <v>1160</v>
      </c>
      <c r="B1161" s="5" t="str">
        <f aca="false">[1]Base_Jugadores!B1161</f>
        <v>Jayden Addai</v>
      </c>
      <c r="C1161" s="5" t="str">
        <f aca="false">IFERROR(
   _xlfn.XLOOKUP(VALUE(A1161),[1]Fichajes_Realizados!A$2:A$50000,[1]Fichajes_Realizados!D$2:D$50000,,0,-1),
   _xlfn.XLOOKUP(VALUE(A1161),[1]Base_Jugadores!A$2:A$50000,[1]Base_Jugadores!C$2:C$50000)
)</f>
        <v>Como 1907</v>
      </c>
      <c r="D1161" s="5" t="str">
        <f aca="false">[1]Base_Jugadores!D1161</f>
        <v>Países Bajos</v>
      </c>
      <c r="E1161" s="3"/>
      <c r="F1161" s="5" t="str">
        <f aca="false">[1]Base_Jugadores!E1161</f>
        <v>ED</v>
      </c>
      <c r="G1161" s="5" t="n">
        <f aca="false">[1]Base_Jugadores!F1161</f>
        <v>66</v>
      </c>
      <c r="H1161" s="5" t="n">
        <f aca="false">[1]Base_Jugadores!G1161</f>
        <v>20</v>
      </c>
      <c r="I1161" s="7" t="n">
        <f aca="false" t="array" ref="I1161:I1161">_xlfn.XLOOKUP(G1161,{55;56;57;58;59;60;61;62;63;64;65;66;67;68;69;70;71;72;73;74;75;76;77;78;79;80;81;82;83;84;85;86;87;88;89;90;91;92;93;94;95;96;97;98;99},{100000;130000;160000;190000;220000;250000;300000;350000;400000;450000;500000;600000;700000;800000;900000;1000000;1500000;2000000;3000000;4000000;5000000;6500000;8000000;10000000;12500000;15000000;20000000;25000000;30000000;35000000;40000000;55000000;70000000;80000000;90000000;110000000;130000000;160000000;190000000;220000000;250000000;280000000;310000000;340000000;400000000})</f>
        <v>600000</v>
      </c>
      <c r="J1161" s="7" t="n">
        <f aca="false">I1161*S1161*T1161*U1161</f>
        <v>1029600</v>
      </c>
      <c r="K1161" s="3"/>
      <c r="L1161" s="3"/>
      <c r="M1161" s="3"/>
      <c r="N1161" s="9" t="n">
        <v>0</v>
      </c>
      <c r="O1161" s="4" t="n">
        <v>0</v>
      </c>
      <c r="P1161" s="5" t="n">
        <f aca="false">IF(COUNTIF([1]Base_Jugadores!J$2:J$500,B1161)&gt;0,1,0)</f>
        <v>0</v>
      </c>
      <c r="Q1161" s="10" t="b">
        <f aca="false">--(COUNTIFS(
   [1]Fichajes_Realizados!A$2:A$5000,A1161,
   [1]Fichajes_Realizados!G$2:G$5000,$X$3
)&gt;0)</f>
        <v>0</v>
      </c>
      <c r="R1161" s="5" t="n">
        <f aca="false">_xlfn.XLOOKUP(C1161, [1]Estado_Equipos!A$2:A$500, [1]Estado_Equipos!J$2:J$500, "")</f>
        <v>73</v>
      </c>
      <c r="S1161" s="5" t="n">
        <f aca="false">IF(H1161&lt;=16,1.45,
IF(H1161&gt;=41,0.3,
CHOOSE(ROUNDDOWN((H1161-16)/2,0)+1,
1.45,1.38,1.3,1.23,1.17,1.15,1.12,1.05,0.95,0.8,0.6,0.4,0.3)))</f>
        <v>1.3</v>
      </c>
      <c r="T1161" s="5" t="n">
        <f aca="false">CHOOSE(N1161+1,1.2,1,0.85,0.7)</f>
        <v>1.2</v>
      </c>
      <c r="U1161" s="5" t="n">
        <f aca="false">IF(F1161="PO",0.6,
IF(F1161="CT",0.75,
IF(F1161="LI",0.8,
IF(F1161="LD",0.8,
IF(F1161="MCD",0.85,
IF(F1161="MC",0.95,
IF(F1161="MO",1.05,
IF(F1161="EI",1.1,
IF(F1161="ED",1.1,
IF(F1161="SD",1.15,
IF(F1161="DC",1.2,0)))))))))))</f>
        <v>1.1</v>
      </c>
    </row>
    <row r="1162" customFormat="false" ht="16.4" hidden="false" customHeight="false" outlineLevel="0" collapsed="false">
      <c r="A1162" s="1" t="n">
        <v>1161</v>
      </c>
      <c r="B1162" s="5" t="str">
        <f aca="false">[1]Base_Jugadores!B1162</f>
        <v>Álvaro Morata</v>
      </c>
      <c r="C1162" s="5" t="str">
        <f aca="false">IFERROR(
   _xlfn.XLOOKUP(VALUE(A1162),[1]Fichajes_Realizados!A$2:A$50000,[1]Fichajes_Realizados!D$2:D$50000,,0,-1),
   _xlfn.XLOOKUP(VALUE(A1162),[1]Base_Jugadores!A$2:A$50000,[1]Base_Jugadores!C$2:C$50000)
)</f>
        <v>Como 1907</v>
      </c>
      <c r="D1162" s="5" t="str">
        <f aca="false">[1]Base_Jugadores!D1162</f>
        <v>España</v>
      </c>
      <c r="E1162" s="3"/>
      <c r="F1162" s="5" t="str">
        <f aca="false">[1]Base_Jugadores!E1162</f>
        <v>DC</v>
      </c>
      <c r="G1162" s="5" t="n">
        <f aca="false">[1]Base_Jugadores!F1162</f>
        <v>83</v>
      </c>
      <c r="H1162" s="5" t="n">
        <f aca="false">[1]Base_Jugadores!G1162</f>
        <v>33</v>
      </c>
      <c r="I1162" s="7" t="n">
        <f aca="false" t="array" ref="I1162:I1162">_xlfn.XLOOKUP(G1162,{55;56;57;58;59;60;61;62;63;64;65;66;67;68;69;70;71;72;73;74;75;76;77;78;79;80;81;82;83;84;85;86;87;88;89;90;91;92;93;94;95;96;97;98;99},{100000;130000;160000;190000;220000;250000;300000;350000;400000;450000;500000;600000;700000;800000;900000;1000000;1500000;2000000;3000000;4000000;5000000;6500000;8000000;10000000;12500000;15000000;20000000;25000000;30000000;35000000;40000000;55000000;70000000;80000000;90000000;110000000;130000000;160000000;190000000;220000000;250000000;280000000;310000000;340000000;400000000})</f>
        <v>30000000</v>
      </c>
      <c r="J1162" s="7" t="n">
        <f aca="false">I1162*S1162*T1162*U1162</f>
        <v>41040000</v>
      </c>
      <c r="K1162" s="3"/>
      <c r="L1162" s="3"/>
      <c r="M1162" s="3"/>
      <c r="N1162" s="9" t="n">
        <v>0</v>
      </c>
      <c r="O1162" s="4" t="n">
        <v>0</v>
      </c>
      <c r="P1162" s="5" t="n">
        <f aca="false">IF(COUNTIF([1]Base_Jugadores!J$2:J$500,B1162)&gt;0,1,0)</f>
        <v>0</v>
      </c>
      <c r="Q1162" s="10" t="b">
        <f aca="false">--(COUNTIFS(
   [1]Fichajes_Realizados!A$2:A$5000,A1162,
   [1]Fichajes_Realizados!G$2:G$5000,$X$3
)&gt;0)</f>
        <v>0</v>
      </c>
      <c r="R1162" s="5" t="n">
        <f aca="false">_xlfn.XLOOKUP(C1162, [1]Estado_Equipos!A$2:A$500, [1]Estado_Equipos!J$2:J$500, "")</f>
        <v>73</v>
      </c>
      <c r="S1162" s="5" t="n">
        <f aca="false">IF(H1162&lt;=16,1.45,
IF(H1162&gt;=41,0.3,
CHOOSE(ROUNDDOWN((H1162-16)/2,0)+1,
1.45,1.38,1.3,1.23,1.17,1.15,1.12,1.05,0.95,0.8,0.6,0.4,0.3)))</f>
        <v>0.95</v>
      </c>
      <c r="T1162" s="5" t="n">
        <f aca="false">CHOOSE(N1162+1,1.2,1,0.85,0.7)</f>
        <v>1.2</v>
      </c>
      <c r="U1162" s="5" t="n">
        <f aca="false">IF(F1162="PO",0.6,
IF(F1162="CT",0.75,
IF(F1162="LI",0.8,
IF(F1162="LD",0.8,
IF(F1162="MCD",0.85,
IF(F1162="MC",0.95,
IF(F1162="MO",1.05,
IF(F1162="EI",1.1,
IF(F1162="ED",1.1,
IF(F1162="SD",1.15,
IF(F1162="DC",1.2,0)))))))))))</f>
        <v>1.2</v>
      </c>
    </row>
    <row r="1163" customFormat="false" ht="16.4" hidden="false" customHeight="false" outlineLevel="0" collapsed="false">
      <c r="A1163" s="1" t="n">
        <v>1162</v>
      </c>
      <c r="B1163" s="5" t="str">
        <f aca="false">[1]Base_Jugadores!B1163</f>
        <v>A. Douvikas</v>
      </c>
      <c r="C1163" s="5" t="str">
        <f aca="false">IFERROR(
   _xlfn.XLOOKUP(VALUE(A1163),[1]Fichajes_Realizados!A$2:A$50000,[1]Fichajes_Realizados!D$2:D$50000,,0,-1),
   _xlfn.XLOOKUP(VALUE(A1163),[1]Base_Jugadores!A$2:A$50000,[1]Base_Jugadores!C$2:C$50000)
)</f>
        <v>Como 1907</v>
      </c>
      <c r="D1163" s="5" t="str">
        <f aca="false">[1]Base_Jugadores!D1163</f>
        <v>Grecia</v>
      </c>
      <c r="E1163" s="3"/>
      <c r="F1163" s="5" t="str">
        <f aca="false">[1]Base_Jugadores!E1163</f>
        <v>DC</v>
      </c>
      <c r="G1163" s="5" t="n">
        <f aca="false">[1]Base_Jugadores!F1163</f>
        <v>75</v>
      </c>
      <c r="H1163" s="5" t="n">
        <f aca="false">[1]Base_Jugadores!G1163</f>
        <v>26</v>
      </c>
      <c r="I1163" s="7" t="n">
        <f aca="false" t="array" ref="I1163:I1163">_xlfn.XLOOKUP(G1163,{55;56;57;58;59;60;61;62;63;64;65;66;67;68;69;70;71;72;73;74;75;76;77;78;79;80;81;82;83;84;85;86;87;88;89;90;91;92;93;94;95;96;97;98;99},{100000;130000;160000;190000;220000;250000;300000;350000;400000;450000;500000;600000;700000;800000;900000;1000000;1500000;2000000;3000000;4000000;5000000;6500000;8000000;10000000;12500000;15000000;20000000;25000000;30000000;35000000;40000000;55000000;70000000;80000000;90000000;110000000;130000000;160000000;190000000;220000000;250000000;280000000;310000000;340000000;400000000})</f>
        <v>5000000</v>
      </c>
      <c r="J1163" s="7" t="n">
        <f aca="false">I1163*S1163*T1163*U1163</f>
        <v>8280000</v>
      </c>
      <c r="K1163" s="3"/>
      <c r="L1163" s="3"/>
      <c r="M1163" s="3"/>
      <c r="N1163" s="9" t="n">
        <v>0</v>
      </c>
      <c r="O1163" s="4" t="n">
        <v>0</v>
      </c>
      <c r="P1163" s="5" t="n">
        <f aca="false">IF(COUNTIF([1]Base_Jugadores!J$2:J$500,B1163)&gt;0,1,0)</f>
        <v>0</v>
      </c>
      <c r="Q1163" s="10" t="b">
        <f aca="false">--(COUNTIFS(
   [1]Fichajes_Realizados!A$2:A$5000,A1163,
   [1]Fichajes_Realizados!G$2:G$5000,$X$3
)&gt;0)</f>
        <v>0</v>
      </c>
      <c r="R1163" s="5" t="n">
        <f aca="false">_xlfn.XLOOKUP(C1163, [1]Estado_Equipos!A$2:A$500, [1]Estado_Equipos!J$2:J$500, "")</f>
        <v>73</v>
      </c>
      <c r="S1163" s="5" t="n">
        <f aca="false">IF(H1163&lt;=16,1.45,
IF(H1163&gt;=41,0.3,
CHOOSE(ROUNDDOWN((H1163-16)/2,0)+1,
1.45,1.38,1.3,1.23,1.17,1.15,1.12,1.05,0.95,0.8,0.6,0.4,0.3)))</f>
        <v>1.15</v>
      </c>
      <c r="T1163" s="5" t="n">
        <f aca="false">CHOOSE(N1163+1,1.2,1,0.85,0.7)</f>
        <v>1.2</v>
      </c>
      <c r="U1163" s="5" t="n">
        <f aca="false">IF(F1163="PO",0.6,
IF(F1163="CT",0.75,
IF(F1163="LI",0.8,
IF(F1163="LD",0.8,
IF(F1163="MCD",0.85,
IF(F1163="MC",0.95,
IF(F1163="MO",1.05,
IF(F1163="EI",1.1,
IF(F1163="ED",1.1,
IF(F1163="SD",1.15,
IF(F1163="DC",1.2,0)))))))))))</f>
        <v>1.2</v>
      </c>
    </row>
    <row r="1164" customFormat="false" ht="16.4" hidden="false" customHeight="false" outlineLevel="0" collapsed="false">
      <c r="A1164" s="1" t="n">
        <v>1163</v>
      </c>
      <c r="B1164" s="5" t="str">
        <f aca="false">[1]Base_Jugadores!B1164</f>
        <v>Alberto Cerri</v>
      </c>
      <c r="C1164" s="5" t="str">
        <f aca="false">IFERROR(
   _xlfn.XLOOKUP(VALUE(A1164),[1]Fichajes_Realizados!A$2:A$50000,[1]Fichajes_Realizados!D$2:D$50000,,0,-1),
   _xlfn.XLOOKUP(VALUE(A1164),[1]Base_Jugadores!A$2:A$50000,[1]Base_Jugadores!C$2:C$50000)
)</f>
        <v>Como 1907</v>
      </c>
      <c r="D1164" s="5" t="str">
        <f aca="false">[1]Base_Jugadores!D1164</f>
        <v>Italia</v>
      </c>
      <c r="E1164" s="3"/>
      <c r="F1164" s="5" t="str">
        <f aca="false">[1]Base_Jugadores!E1164</f>
        <v>DC</v>
      </c>
      <c r="G1164" s="5" t="n">
        <f aca="false">[1]Base_Jugadores!F1164</f>
        <v>67</v>
      </c>
      <c r="H1164" s="5" t="n">
        <f aca="false">[1]Base_Jugadores!G1164</f>
        <v>29</v>
      </c>
      <c r="I1164" s="7" t="n">
        <f aca="false" t="array" ref="I1164:I1164">_xlfn.XLOOKUP(G1164,{55;56;57;58;59;60;61;62;63;64;65;66;67;68;69;70;71;72;73;74;75;76;77;78;79;80;81;82;83;84;85;86;87;88;89;90;91;92;93;94;95;96;97;98;99},{100000;130000;160000;190000;220000;250000;300000;350000;400000;450000;500000;600000;700000;800000;900000;1000000;1500000;2000000;3000000;4000000;5000000;6500000;8000000;10000000;12500000;15000000;20000000;25000000;30000000;35000000;40000000;55000000;70000000;80000000;90000000;110000000;130000000;160000000;190000000;220000000;250000000;280000000;310000000;340000000;400000000})</f>
        <v>700000</v>
      </c>
      <c r="J1164" s="7" t="n">
        <f aca="false">I1164*S1164*T1164*U1164</f>
        <v>1128960</v>
      </c>
      <c r="K1164" s="3"/>
      <c r="L1164" s="3"/>
      <c r="M1164" s="3"/>
      <c r="N1164" s="9" t="n">
        <v>0</v>
      </c>
      <c r="O1164" s="4" t="n">
        <v>0</v>
      </c>
      <c r="P1164" s="5" t="n">
        <f aca="false">IF(COUNTIF([1]Base_Jugadores!J$2:J$500,B1164)&gt;0,1,0)</f>
        <v>0</v>
      </c>
      <c r="Q1164" s="10" t="b">
        <f aca="false">--(COUNTIFS(
   [1]Fichajes_Realizados!A$2:A$5000,A1164,
   [1]Fichajes_Realizados!G$2:G$5000,$X$3
)&gt;0)</f>
        <v>0</v>
      </c>
      <c r="R1164" s="5" t="n">
        <f aca="false">_xlfn.XLOOKUP(C1164, [1]Estado_Equipos!A$2:A$500, [1]Estado_Equipos!J$2:J$500, "")</f>
        <v>73</v>
      </c>
      <c r="S1164" s="5" t="n">
        <f aca="false">IF(H1164&lt;=16,1.45,
IF(H1164&gt;=41,0.3,
CHOOSE(ROUNDDOWN((H1164-16)/2,0)+1,
1.45,1.38,1.3,1.23,1.17,1.15,1.12,1.05,0.95,0.8,0.6,0.4,0.3)))</f>
        <v>1.12</v>
      </c>
      <c r="T1164" s="5" t="n">
        <f aca="false">CHOOSE(N1164+1,1.2,1,0.85,0.7)</f>
        <v>1.2</v>
      </c>
      <c r="U1164" s="5" t="n">
        <f aca="false">IF(F1164="PO",0.6,
IF(F1164="CT",0.75,
IF(F1164="LI",0.8,
IF(F1164="LD",0.8,
IF(F1164="MCD",0.85,
IF(F1164="MC",0.95,
IF(F1164="MO",1.05,
IF(F1164="EI",1.1,
IF(F1164="ED",1.1,
IF(F1164="SD",1.15,
IF(F1164="DC",1.2,0)))))))))))</f>
        <v>1.2</v>
      </c>
    </row>
    <row r="1165" customFormat="false" ht="16.4" hidden="false" customHeight="false" outlineLevel="0" collapsed="false">
      <c r="A1165" s="1" t="n">
        <v>1164</v>
      </c>
      <c r="B1165" s="5" t="str">
        <f aca="false">[1]Base_Jugadores!B1165</f>
        <v>Emil Audero</v>
      </c>
      <c r="C1165" s="5" t="str">
        <f aca="false">IFERROR(
   _xlfn.XLOOKUP(VALUE(A1165),[1]Fichajes_Realizados!A$2:A$50000,[1]Fichajes_Realizados!D$2:D$50000,,0,-1),
   _xlfn.XLOOKUP(VALUE(A1165),[1]Base_Jugadores!A$2:A$50000,[1]Base_Jugadores!C$2:C$50000)
)</f>
        <v>US Cremonese</v>
      </c>
      <c r="D1165" s="5" t="str">
        <f aca="false">[1]Base_Jugadores!D1165</f>
        <v>Indonesia</v>
      </c>
      <c r="E1165" s="3"/>
      <c r="F1165" s="5" t="str">
        <f aca="false">[1]Base_Jugadores!E1165</f>
        <v>PO</v>
      </c>
      <c r="G1165" s="5" t="n">
        <f aca="false">[1]Base_Jugadores!F1165</f>
        <v>78</v>
      </c>
      <c r="H1165" s="5" t="n">
        <f aca="false">[1]Base_Jugadores!G1165</f>
        <v>28</v>
      </c>
      <c r="I1165" s="7" t="n">
        <f aca="false" t="array" ref="I1165:I1165">_xlfn.XLOOKUP(G1165,{55;56;57;58;59;60;61;62;63;64;65;66;67;68;69;70;71;72;73;74;75;76;77;78;79;80;81;82;83;84;85;86;87;88;89;90;91;92;93;94;95;96;97;98;99},{100000;130000;160000;190000;220000;250000;300000;350000;400000;450000;500000;600000;700000;800000;900000;1000000;1500000;2000000;3000000;4000000;5000000;6500000;8000000;10000000;12500000;15000000;20000000;25000000;30000000;35000000;40000000;55000000;70000000;80000000;90000000;110000000;130000000;160000000;190000000;220000000;250000000;280000000;310000000;340000000;400000000})</f>
        <v>10000000</v>
      </c>
      <c r="J1165" s="7" t="n">
        <f aca="false">I1165*S1165*T1165*U1165</f>
        <v>8064000</v>
      </c>
      <c r="K1165" s="3"/>
      <c r="L1165" s="3"/>
      <c r="M1165" s="3"/>
      <c r="N1165" s="9" t="n">
        <v>0</v>
      </c>
      <c r="O1165" s="4" t="n">
        <v>0</v>
      </c>
      <c r="P1165" s="5" t="n">
        <f aca="false">IF(COUNTIF([1]Base_Jugadores!J$2:J$500,B1165)&gt;0,1,0)</f>
        <v>0</v>
      </c>
      <c r="Q1165" s="10" t="b">
        <f aca="false">--(COUNTIFS(
   [1]Fichajes_Realizados!A$2:A$5000,A1165,
   [1]Fichajes_Realizados!G$2:G$5000,$X$3
)&gt;0)</f>
        <v>0</v>
      </c>
      <c r="R1165" s="5" t="n">
        <f aca="false">_xlfn.XLOOKUP(C1165, [1]Estado_Equipos!A$2:A$500, [1]Estado_Equipos!J$2:J$500, "")</f>
        <v>71</v>
      </c>
      <c r="S1165" s="5" t="n">
        <f aca="false">IF(H1165&lt;=16,1.45,
IF(H1165&gt;=41,0.3,
CHOOSE(ROUNDDOWN((H1165-16)/2,0)+1,
1.45,1.38,1.3,1.23,1.17,1.15,1.12,1.05,0.95,0.8,0.6,0.4,0.3)))</f>
        <v>1.12</v>
      </c>
      <c r="T1165" s="5" t="n">
        <f aca="false">CHOOSE(N1165+1,1.2,1,0.85,0.7)</f>
        <v>1.2</v>
      </c>
      <c r="U1165" s="5" t="n">
        <f aca="false">IF(F1165="PO",0.6,
IF(F1165="CT",0.75,
IF(F1165="LI",0.8,
IF(F1165="LD",0.8,
IF(F1165="MCD",0.85,
IF(F1165="MC",0.95,
IF(F1165="MO",1.05,
IF(F1165="EI",1.1,
IF(F1165="ED",1.1,
IF(F1165="SD",1.15,
IF(F1165="DC",1.2,0)))))))))))</f>
        <v>0.6</v>
      </c>
    </row>
    <row r="1166" customFormat="false" ht="16.4" hidden="false" customHeight="false" outlineLevel="0" collapsed="false">
      <c r="A1166" s="1" t="n">
        <v>1165</v>
      </c>
      <c r="B1166" s="5" t="str">
        <f aca="false">[1]Base_Jugadores!B1166</f>
        <v>Marco Silvestri</v>
      </c>
      <c r="C1166" s="5" t="str">
        <f aca="false">IFERROR(
   _xlfn.XLOOKUP(VALUE(A1166),[1]Fichajes_Realizados!A$2:A$50000,[1]Fichajes_Realizados!D$2:D$50000,,0,-1),
   _xlfn.XLOOKUP(VALUE(A1166),[1]Base_Jugadores!A$2:A$50000,[1]Base_Jugadores!C$2:C$50000)
)</f>
        <v>US Cremonese</v>
      </c>
      <c r="D1166" s="5" t="str">
        <f aca="false">[1]Base_Jugadores!D1166</f>
        <v>Italia</v>
      </c>
      <c r="E1166" s="3"/>
      <c r="F1166" s="5" t="str">
        <f aca="false">[1]Base_Jugadores!E1166</f>
        <v>PO</v>
      </c>
      <c r="G1166" s="5" t="n">
        <f aca="false">[1]Base_Jugadores!F1166</f>
        <v>75</v>
      </c>
      <c r="H1166" s="5" t="n">
        <f aca="false">[1]Base_Jugadores!G1166</f>
        <v>34</v>
      </c>
      <c r="I1166" s="7" t="n">
        <f aca="false" t="array" ref="I1166:I1166">_xlfn.XLOOKUP(G1166,{55;56;57;58;59;60;61;62;63;64;65;66;67;68;69;70;71;72;73;74;75;76;77;78;79;80;81;82;83;84;85;86;87;88;89;90;91;92;93;94;95;96;97;98;99},{100000;130000;160000;190000;220000;250000;300000;350000;400000;450000;500000;600000;700000;800000;900000;1000000;1500000;2000000;3000000;4000000;5000000;6500000;8000000;10000000;12500000;15000000;20000000;25000000;30000000;35000000;40000000;55000000;70000000;80000000;90000000;110000000;130000000;160000000;190000000;220000000;250000000;280000000;310000000;340000000;400000000})</f>
        <v>5000000</v>
      </c>
      <c r="J1166" s="7" t="n">
        <f aca="false">I1166*S1166*T1166*U1166</f>
        <v>2880000</v>
      </c>
      <c r="K1166" s="3"/>
      <c r="L1166" s="3"/>
      <c r="M1166" s="3"/>
      <c r="N1166" s="9" t="n">
        <v>0</v>
      </c>
      <c r="O1166" s="4" t="n">
        <v>0</v>
      </c>
      <c r="P1166" s="5" t="n">
        <f aca="false">IF(COUNTIF([1]Base_Jugadores!J$2:J$500,B1166)&gt;0,1,0)</f>
        <v>0</v>
      </c>
      <c r="Q1166" s="10" t="b">
        <f aca="false">--(COUNTIFS(
   [1]Fichajes_Realizados!A$2:A$5000,A1166,
   [1]Fichajes_Realizados!G$2:G$5000,$X$3
)&gt;0)</f>
        <v>0</v>
      </c>
      <c r="R1166" s="5" t="n">
        <f aca="false">_xlfn.XLOOKUP(C1166, [1]Estado_Equipos!A$2:A$500, [1]Estado_Equipos!J$2:J$500, "")</f>
        <v>71</v>
      </c>
      <c r="S1166" s="5" t="n">
        <f aca="false">IF(H1166&lt;=16,1.45,
IF(H1166&gt;=41,0.3,
CHOOSE(ROUNDDOWN((H1166-16)/2,0)+1,
1.45,1.38,1.3,1.23,1.17,1.15,1.12,1.05,0.95,0.8,0.6,0.4,0.3)))</f>
        <v>0.8</v>
      </c>
      <c r="T1166" s="5" t="n">
        <f aca="false">CHOOSE(N1166+1,1.2,1,0.85,0.7)</f>
        <v>1.2</v>
      </c>
      <c r="U1166" s="5" t="n">
        <f aca="false">IF(F1166="PO",0.6,
IF(F1166="CT",0.75,
IF(F1166="LI",0.8,
IF(F1166="LD",0.8,
IF(F1166="MCD",0.85,
IF(F1166="MC",0.95,
IF(F1166="MO",1.05,
IF(F1166="EI",1.1,
IF(F1166="ED",1.1,
IF(F1166="SD",1.15,
IF(F1166="DC",1.2,0)))))))))))</f>
        <v>0.6</v>
      </c>
    </row>
    <row r="1167" customFormat="false" ht="16.4" hidden="false" customHeight="false" outlineLevel="0" collapsed="false">
      <c r="A1167" s="1" t="n">
        <v>1166</v>
      </c>
      <c r="B1167" s="5" t="str">
        <f aca="false">[1]Base_Jugadores!B1167</f>
        <v>Lapo Nava</v>
      </c>
      <c r="C1167" s="5" t="str">
        <f aca="false">IFERROR(
   _xlfn.XLOOKUP(VALUE(A1167),[1]Fichajes_Realizados!A$2:A$50000,[1]Fichajes_Realizados!D$2:D$50000,,0,-1),
   _xlfn.XLOOKUP(VALUE(A1167),[1]Base_Jugadores!A$2:A$50000,[1]Base_Jugadores!C$2:C$50000)
)</f>
        <v>US Cremonese</v>
      </c>
      <c r="D1167" s="5" t="str">
        <f aca="false">[1]Base_Jugadores!D1167</f>
        <v>Italia</v>
      </c>
      <c r="E1167" s="3"/>
      <c r="F1167" s="5" t="str">
        <f aca="false">[1]Base_Jugadores!E1167</f>
        <v>PO</v>
      </c>
      <c r="G1167" s="5" t="n">
        <f aca="false">[1]Base_Jugadores!F1167</f>
        <v>66</v>
      </c>
      <c r="H1167" s="5" t="n">
        <f aca="false">[1]Base_Jugadores!G1167</f>
        <v>21</v>
      </c>
      <c r="I1167" s="7" t="n">
        <f aca="false" t="array" ref="I1167:I1167">_xlfn.XLOOKUP(G1167,{55;56;57;58;59;60;61;62;63;64;65;66;67;68;69;70;71;72;73;74;75;76;77;78;79;80;81;82;83;84;85;86;87;88;89;90;91;92;93;94;95;96;97;98;99},{100000;130000;160000;190000;220000;250000;300000;350000;400000;450000;500000;600000;700000;800000;900000;1000000;1500000;2000000;3000000;4000000;5000000;6500000;8000000;10000000;12500000;15000000;20000000;25000000;30000000;35000000;40000000;55000000;70000000;80000000;90000000;110000000;130000000;160000000;190000000;220000000;250000000;280000000;310000000;340000000;400000000})</f>
        <v>600000</v>
      </c>
      <c r="J1167" s="7" t="n">
        <f aca="false">I1167*S1167*T1167*U1167</f>
        <v>561600</v>
      </c>
      <c r="K1167" s="3"/>
      <c r="L1167" s="3"/>
      <c r="M1167" s="3"/>
      <c r="N1167" s="9" t="n">
        <v>0</v>
      </c>
      <c r="O1167" s="4" t="n">
        <v>0</v>
      </c>
      <c r="P1167" s="5" t="n">
        <f aca="false">IF(COUNTIF([1]Base_Jugadores!J$2:J$500,B1167)&gt;0,1,0)</f>
        <v>0</v>
      </c>
      <c r="Q1167" s="10" t="b">
        <f aca="false">--(COUNTIFS(
   [1]Fichajes_Realizados!A$2:A$5000,A1167,
   [1]Fichajes_Realizados!G$2:G$5000,$X$3
)&gt;0)</f>
        <v>0</v>
      </c>
      <c r="R1167" s="5" t="n">
        <f aca="false">_xlfn.XLOOKUP(C1167, [1]Estado_Equipos!A$2:A$500, [1]Estado_Equipos!J$2:J$500, "")</f>
        <v>71</v>
      </c>
      <c r="S1167" s="5" t="n">
        <f aca="false">IF(H1167&lt;=16,1.45,
IF(H1167&gt;=41,0.3,
CHOOSE(ROUNDDOWN((H1167-16)/2,0)+1,
1.45,1.38,1.3,1.23,1.17,1.15,1.12,1.05,0.95,0.8,0.6,0.4,0.3)))</f>
        <v>1.3</v>
      </c>
      <c r="T1167" s="5" t="n">
        <f aca="false">CHOOSE(N1167+1,1.2,1,0.85,0.7)</f>
        <v>1.2</v>
      </c>
      <c r="U1167" s="5" t="n">
        <f aca="false">IF(F1167="PO",0.6,
IF(F1167="CT",0.75,
IF(F1167="LI",0.8,
IF(F1167="LD",0.8,
IF(F1167="MCD",0.85,
IF(F1167="MC",0.95,
IF(F1167="MO",1.05,
IF(F1167="EI",1.1,
IF(F1167="ED",1.1,
IF(F1167="SD",1.15,
IF(F1167="DC",1.2,0)))))))))))</f>
        <v>0.6</v>
      </c>
    </row>
    <row r="1168" customFormat="false" ht="16.4" hidden="false" customHeight="false" outlineLevel="0" collapsed="false">
      <c r="A1168" s="1" t="n">
        <v>1167</v>
      </c>
      <c r="B1168" s="5" t="str">
        <f aca="false">[1]Base_Jugadores!B1168</f>
        <v>Mikayil Faye</v>
      </c>
      <c r="C1168" s="5" t="str">
        <f aca="false">IFERROR(
   _xlfn.XLOOKUP(VALUE(A1168),[1]Fichajes_Realizados!A$2:A$50000,[1]Fichajes_Realizados!D$2:D$50000,,0,-1),
   _xlfn.XLOOKUP(VALUE(A1168),[1]Base_Jugadores!A$2:A$50000,[1]Base_Jugadores!C$2:C$50000)
)</f>
        <v>US Cremonese</v>
      </c>
      <c r="D1168" s="5" t="str">
        <f aca="false">[1]Base_Jugadores!D1168</f>
        <v>Senegal</v>
      </c>
      <c r="E1168" s="3"/>
      <c r="F1168" s="5" t="str">
        <f aca="false">[1]Base_Jugadores!E1168</f>
        <v>CT</v>
      </c>
      <c r="G1168" s="5" t="n">
        <f aca="false">[1]Base_Jugadores!F1168</f>
        <v>69</v>
      </c>
      <c r="H1168" s="5" t="n">
        <f aca="false">[1]Base_Jugadores!G1168</f>
        <v>21</v>
      </c>
      <c r="I1168" s="7" t="n">
        <f aca="false" t="array" ref="I1168:I1168">_xlfn.XLOOKUP(G1168,{55;56;57;58;59;60;61;62;63;64;65;66;67;68;69;70;71;72;73;74;75;76;77;78;79;80;81;82;83;84;85;86;87;88;89;90;91;92;93;94;95;96;97;98;99},{100000;130000;160000;190000;220000;250000;300000;350000;400000;450000;500000;600000;700000;800000;900000;1000000;1500000;2000000;3000000;4000000;5000000;6500000;8000000;10000000;12500000;15000000;20000000;25000000;30000000;35000000;40000000;55000000;70000000;80000000;90000000;110000000;130000000;160000000;190000000;220000000;250000000;280000000;310000000;340000000;400000000})</f>
        <v>900000</v>
      </c>
      <c r="J1168" s="7" t="n">
        <f aca="false">I1168*S1168*T1168*U1168</f>
        <v>1053000</v>
      </c>
      <c r="K1168" s="3"/>
      <c r="L1168" s="3"/>
      <c r="M1168" s="3"/>
      <c r="N1168" s="9" t="n">
        <v>0</v>
      </c>
      <c r="O1168" s="4" t="n">
        <v>0</v>
      </c>
      <c r="P1168" s="5" t="n">
        <f aca="false">IF(COUNTIF([1]Base_Jugadores!J$2:J$500,B1168)&gt;0,1,0)</f>
        <v>0</v>
      </c>
      <c r="Q1168" s="10" t="b">
        <f aca="false">--(COUNTIFS(
   [1]Fichajes_Realizados!A$2:A$5000,A1168,
   [1]Fichajes_Realizados!G$2:G$5000,$X$3
)&gt;0)</f>
        <v>0</v>
      </c>
      <c r="R1168" s="5" t="n">
        <f aca="false">_xlfn.XLOOKUP(C1168, [1]Estado_Equipos!A$2:A$500, [1]Estado_Equipos!J$2:J$500, "")</f>
        <v>71</v>
      </c>
      <c r="S1168" s="5" t="n">
        <f aca="false">IF(H1168&lt;=16,1.45,
IF(H1168&gt;=41,0.3,
CHOOSE(ROUNDDOWN((H1168-16)/2,0)+1,
1.45,1.38,1.3,1.23,1.17,1.15,1.12,1.05,0.95,0.8,0.6,0.4,0.3)))</f>
        <v>1.3</v>
      </c>
      <c r="T1168" s="5" t="n">
        <f aca="false">CHOOSE(N1168+1,1.2,1,0.85,0.7)</f>
        <v>1.2</v>
      </c>
      <c r="U1168" s="5" t="n">
        <f aca="false">IF(F1168="PO",0.6,
IF(F1168="CT",0.75,
IF(F1168="LI",0.8,
IF(F1168="LD",0.8,
IF(F1168="MCD",0.85,
IF(F1168="MC",0.95,
IF(F1168="MO",1.05,
IF(F1168="EI",1.1,
IF(F1168="ED",1.1,
IF(F1168="SD",1.15,
IF(F1168="DC",1.2,0)))))))))))</f>
        <v>0.75</v>
      </c>
    </row>
    <row r="1169" customFormat="false" ht="16.4" hidden="false" customHeight="false" outlineLevel="0" collapsed="false">
      <c r="A1169" s="1" t="n">
        <v>1168</v>
      </c>
      <c r="B1169" s="5" t="str">
        <f aca="false">[1]Base_Jugadores!B1169</f>
        <v>Federico Baschirotto</v>
      </c>
      <c r="C1169" s="5" t="str">
        <f aca="false">IFERROR(
   _xlfn.XLOOKUP(VALUE(A1169),[1]Fichajes_Realizados!A$2:A$50000,[1]Fichajes_Realizados!D$2:D$50000,,0,-1),
   _xlfn.XLOOKUP(VALUE(A1169),[1]Base_Jugadores!A$2:A$50000,[1]Base_Jugadores!C$2:C$50000)
)</f>
        <v>US Cremonese</v>
      </c>
      <c r="D1169" s="5" t="str">
        <f aca="false">[1]Base_Jugadores!D1169</f>
        <v>Italia</v>
      </c>
      <c r="E1169" s="3"/>
      <c r="F1169" s="5" t="str">
        <f aca="false">[1]Base_Jugadores!E1169</f>
        <v>CT</v>
      </c>
      <c r="G1169" s="5" t="n">
        <f aca="false">[1]Base_Jugadores!F1169</f>
        <v>76</v>
      </c>
      <c r="H1169" s="5" t="n">
        <f aca="false">[1]Base_Jugadores!G1169</f>
        <v>29</v>
      </c>
      <c r="I1169" s="7" t="n">
        <f aca="false" t="array" ref="I1169:I1169">_xlfn.XLOOKUP(G1169,{55;56;57;58;59;60;61;62;63;64;65;66;67;68;69;70;71;72;73;74;75;76;77;78;79;80;81;82;83;84;85;86;87;88;89;90;91;92;93;94;95;96;97;98;99},{100000;130000;160000;190000;220000;250000;300000;350000;400000;450000;500000;600000;700000;800000;900000;1000000;1500000;2000000;3000000;4000000;5000000;6500000;8000000;10000000;12500000;15000000;20000000;25000000;30000000;35000000;40000000;55000000;70000000;80000000;90000000;110000000;130000000;160000000;190000000;220000000;250000000;280000000;310000000;340000000;400000000})</f>
        <v>6500000</v>
      </c>
      <c r="J1169" s="7" t="n">
        <f aca="false">I1169*S1169*T1169*U1169</f>
        <v>6552000</v>
      </c>
      <c r="K1169" s="3"/>
      <c r="L1169" s="3"/>
      <c r="M1169" s="3"/>
      <c r="N1169" s="9" t="n">
        <v>0</v>
      </c>
      <c r="O1169" s="4" t="n">
        <v>0</v>
      </c>
      <c r="P1169" s="5" t="n">
        <f aca="false">IF(COUNTIF([1]Base_Jugadores!J$2:J$500,B1169)&gt;0,1,0)</f>
        <v>0</v>
      </c>
      <c r="Q1169" s="10" t="b">
        <f aca="false">--(COUNTIFS(
   [1]Fichajes_Realizados!A$2:A$5000,A1169,
   [1]Fichajes_Realizados!G$2:G$5000,$X$3
)&gt;0)</f>
        <v>0</v>
      </c>
      <c r="R1169" s="5" t="n">
        <f aca="false">_xlfn.XLOOKUP(C1169, [1]Estado_Equipos!A$2:A$500, [1]Estado_Equipos!J$2:J$500, "")</f>
        <v>71</v>
      </c>
      <c r="S1169" s="5" t="n">
        <f aca="false">IF(H1169&lt;=16,1.45,
IF(H1169&gt;=41,0.3,
CHOOSE(ROUNDDOWN((H1169-16)/2,0)+1,
1.45,1.38,1.3,1.23,1.17,1.15,1.12,1.05,0.95,0.8,0.6,0.4,0.3)))</f>
        <v>1.12</v>
      </c>
      <c r="T1169" s="5" t="n">
        <f aca="false">CHOOSE(N1169+1,1.2,1,0.85,0.7)</f>
        <v>1.2</v>
      </c>
      <c r="U1169" s="5" t="n">
        <f aca="false">IF(F1169="PO",0.6,
IF(F1169="CT",0.75,
IF(F1169="LI",0.8,
IF(F1169="LD",0.8,
IF(F1169="MCD",0.85,
IF(F1169="MC",0.95,
IF(F1169="MO",1.05,
IF(F1169="EI",1.1,
IF(F1169="ED",1.1,
IF(F1169="SD",1.15,
IF(F1169="DC",1.2,0)))))))))))</f>
        <v>0.75</v>
      </c>
    </row>
    <row r="1170" customFormat="false" ht="16.4" hidden="false" customHeight="false" outlineLevel="0" collapsed="false">
      <c r="A1170" s="1" t="n">
        <v>1169</v>
      </c>
      <c r="B1170" s="5" t="str">
        <f aca="false">[1]Base_Jugadores!B1170</f>
        <v>Matteo Bianchetti</v>
      </c>
      <c r="C1170" s="5" t="str">
        <f aca="false">IFERROR(
   _xlfn.XLOOKUP(VALUE(A1170),[1]Fichajes_Realizados!A$2:A$50000,[1]Fichajes_Realizados!D$2:D$50000,,0,-1),
   _xlfn.XLOOKUP(VALUE(A1170),[1]Base_Jugadores!A$2:A$50000,[1]Base_Jugadores!C$2:C$50000)
)</f>
        <v>US Cremonese</v>
      </c>
      <c r="D1170" s="5" t="str">
        <f aca="false">[1]Base_Jugadores!D1170</f>
        <v>Italia</v>
      </c>
      <c r="E1170" s="3"/>
      <c r="F1170" s="5" t="str">
        <f aca="false">[1]Base_Jugadores!E1170</f>
        <v>CT</v>
      </c>
      <c r="G1170" s="5" t="n">
        <f aca="false">[1]Base_Jugadores!F1170</f>
        <v>71</v>
      </c>
      <c r="H1170" s="5" t="n">
        <f aca="false">[1]Base_Jugadores!G1170</f>
        <v>32</v>
      </c>
      <c r="I1170" s="7" t="n">
        <f aca="false" t="array" ref="I1170:I1170">_xlfn.XLOOKUP(G1170,{55;56;57;58;59;60;61;62;63;64;65;66;67;68;69;70;71;72;73;74;75;76;77;78;79;80;81;82;83;84;85;86;87;88;89;90;91;92;93;94;95;96;97;98;99},{100000;130000;160000;190000;220000;250000;300000;350000;400000;450000;500000;600000;700000;800000;900000;1000000;1500000;2000000;3000000;4000000;5000000;6500000;8000000;10000000;12500000;15000000;20000000;25000000;30000000;35000000;40000000;55000000;70000000;80000000;90000000;110000000;130000000;160000000;190000000;220000000;250000000;280000000;310000000;340000000;400000000})</f>
        <v>1500000</v>
      </c>
      <c r="J1170" s="7" t="n">
        <f aca="false">I1170*S1170*T1170*U1170</f>
        <v>1282500</v>
      </c>
      <c r="K1170" s="3"/>
      <c r="L1170" s="3"/>
      <c r="M1170" s="3"/>
      <c r="N1170" s="9" t="n">
        <v>0</v>
      </c>
      <c r="O1170" s="4" t="n">
        <v>0</v>
      </c>
      <c r="P1170" s="5" t="n">
        <f aca="false">IF(COUNTIF([1]Base_Jugadores!J$2:J$500,B1170)&gt;0,1,0)</f>
        <v>0</v>
      </c>
      <c r="Q1170" s="10" t="b">
        <f aca="false">--(COUNTIFS(
   [1]Fichajes_Realizados!A$2:A$5000,A1170,
   [1]Fichajes_Realizados!G$2:G$5000,$X$3
)&gt;0)</f>
        <v>0</v>
      </c>
      <c r="R1170" s="5" t="n">
        <f aca="false">_xlfn.XLOOKUP(C1170, [1]Estado_Equipos!A$2:A$500, [1]Estado_Equipos!J$2:J$500, "")</f>
        <v>71</v>
      </c>
      <c r="S1170" s="5" t="n">
        <f aca="false">IF(H1170&lt;=16,1.45,
IF(H1170&gt;=41,0.3,
CHOOSE(ROUNDDOWN((H1170-16)/2,0)+1,
1.45,1.38,1.3,1.23,1.17,1.15,1.12,1.05,0.95,0.8,0.6,0.4,0.3)))</f>
        <v>0.95</v>
      </c>
      <c r="T1170" s="5" t="n">
        <f aca="false">CHOOSE(N1170+1,1.2,1,0.85,0.7)</f>
        <v>1.2</v>
      </c>
      <c r="U1170" s="5" t="n">
        <f aca="false">IF(F1170="PO",0.6,
IF(F1170="CT",0.75,
IF(F1170="LI",0.8,
IF(F1170="LD",0.8,
IF(F1170="MCD",0.85,
IF(F1170="MC",0.95,
IF(F1170="MO",1.05,
IF(F1170="EI",1.1,
IF(F1170="ED",1.1,
IF(F1170="SD",1.15,
IF(F1170="DC",1.2,0)))))))))))</f>
        <v>0.75</v>
      </c>
    </row>
    <row r="1171" customFormat="false" ht="16.4" hidden="false" customHeight="false" outlineLevel="0" collapsed="false">
      <c r="A1171" s="1" t="n">
        <v>1170</v>
      </c>
      <c r="B1171" s="5" t="str">
        <f aca="false">[1]Base_Jugadores!B1171</f>
        <v>Francesco Folino</v>
      </c>
      <c r="C1171" s="5" t="str">
        <f aca="false">IFERROR(
   _xlfn.XLOOKUP(VALUE(A1171),[1]Fichajes_Realizados!A$2:A$50000,[1]Fichajes_Realizados!D$2:D$50000,,0,-1),
   _xlfn.XLOOKUP(VALUE(A1171),[1]Base_Jugadores!A$2:A$50000,[1]Base_Jugadores!C$2:C$50000)
)</f>
        <v>US Cremonese</v>
      </c>
      <c r="D1171" s="5" t="str">
        <f aca="false">[1]Base_Jugadores!D1171</f>
        <v>Italia</v>
      </c>
      <c r="E1171" s="3"/>
      <c r="F1171" s="5" t="str">
        <f aca="false">[1]Base_Jugadores!E1171</f>
        <v>CT</v>
      </c>
      <c r="G1171" s="5" t="n">
        <f aca="false">[1]Base_Jugadores!F1171</f>
        <v>63</v>
      </c>
      <c r="H1171" s="5" t="n">
        <f aca="false">[1]Base_Jugadores!G1171</f>
        <v>23</v>
      </c>
      <c r="I1171" s="7" t="n">
        <f aca="false" t="array" ref="I1171:I1171">_xlfn.XLOOKUP(G1171,{55;56;57;58;59;60;61;62;63;64;65;66;67;68;69;70;71;72;73;74;75;76;77;78;79;80;81;82;83;84;85;86;87;88;89;90;91;92;93;94;95;96;97;98;99},{100000;130000;160000;190000;220000;250000;300000;350000;400000;450000;500000;600000;700000;800000;900000;1000000;1500000;2000000;3000000;4000000;5000000;6500000;8000000;10000000;12500000;15000000;20000000;25000000;30000000;35000000;40000000;55000000;70000000;80000000;90000000;110000000;130000000;160000000;190000000;220000000;250000000;280000000;310000000;340000000;400000000})</f>
        <v>400000</v>
      </c>
      <c r="J1171" s="7" t="n">
        <f aca="false">I1171*S1171*T1171*U1171</f>
        <v>442800</v>
      </c>
      <c r="K1171" s="3"/>
      <c r="L1171" s="3"/>
      <c r="M1171" s="3"/>
      <c r="N1171" s="9" t="n">
        <v>0</v>
      </c>
      <c r="O1171" s="4" t="n">
        <v>0</v>
      </c>
      <c r="P1171" s="5" t="n">
        <f aca="false">IF(COUNTIF([1]Base_Jugadores!J$2:J$500,B1171)&gt;0,1,0)</f>
        <v>0</v>
      </c>
      <c r="Q1171" s="10" t="b">
        <f aca="false">--(COUNTIFS(
   [1]Fichajes_Realizados!A$2:A$5000,A1171,
   [1]Fichajes_Realizados!G$2:G$5000,$X$3
)&gt;0)</f>
        <v>0</v>
      </c>
      <c r="R1171" s="5" t="n">
        <f aca="false">_xlfn.XLOOKUP(C1171, [1]Estado_Equipos!A$2:A$500, [1]Estado_Equipos!J$2:J$500, "")</f>
        <v>71</v>
      </c>
      <c r="S1171" s="5" t="n">
        <f aca="false">IF(H1171&lt;=16,1.45,
IF(H1171&gt;=41,0.3,
CHOOSE(ROUNDDOWN((H1171-16)/2,0)+1,
1.45,1.38,1.3,1.23,1.17,1.15,1.12,1.05,0.95,0.8,0.6,0.4,0.3)))</f>
        <v>1.23</v>
      </c>
      <c r="T1171" s="5" t="n">
        <f aca="false">CHOOSE(N1171+1,1.2,1,0.85,0.7)</f>
        <v>1.2</v>
      </c>
      <c r="U1171" s="5" t="n">
        <f aca="false">IF(F1171="PO",0.6,
IF(F1171="CT",0.75,
IF(F1171="LI",0.8,
IF(F1171="LD",0.8,
IF(F1171="MCD",0.85,
IF(F1171="MC",0.95,
IF(F1171="MO",1.05,
IF(F1171="EI",1.1,
IF(F1171="ED",1.1,
IF(F1171="SD",1.15,
IF(F1171="DC",1.2,0)))))))))))</f>
        <v>0.75</v>
      </c>
    </row>
    <row r="1172" customFormat="false" ht="16.4" hidden="false" customHeight="false" outlineLevel="0" collapsed="false">
      <c r="A1172" s="1" t="n">
        <v>1171</v>
      </c>
      <c r="B1172" s="5" t="str">
        <f aca="false">[1]Base_Jugadores!B1172</f>
        <v>Federico Ceccherini</v>
      </c>
      <c r="C1172" s="5" t="str">
        <f aca="false">IFERROR(
   _xlfn.XLOOKUP(VALUE(A1172),[1]Fichajes_Realizados!A$2:A$50000,[1]Fichajes_Realizados!D$2:D$50000,,0,-1),
   _xlfn.XLOOKUP(VALUE(A1172),[1]Base_Jugadores!A$2:A$50000,[1]Base_Jugadores!C$2:C$50000)
)</f>
        <v>US Cremonese</v>
      </c>
      <c r="D1172" s="5" t="str">
        <f aca="false">[1]Base_Jugadores!D1172</f>
        <v>Italia</v>
      </c>
      <c r="E1172" s="3"/>
      <c r="F1172" s="5" t="str">
        <f aca="false">[1]Base_Jugadores!E1172</f>
        <v>CT</v>
      </c>
      <c r="G1172" s="5" t="n">
        <f aca="false">[1]Base_Jugadores!F1172</f>
        <v>73</v>
      </c>
      <c r="H1172" s="5" t="n">
        <f aca="false">[1]Base_Jugadores!G1172</f>
        <v>33</v>
      </c>
      <c r="I1172" s="7" t="n">
        <f aca="false" t="array" ref="I1172:I1172">_xlfn.XLOOKUP(G1172,{55;56;57;58;59;60;61;62;63;64;65;66;67;68;69;70;71;72;73;74;75;76;77;78;79;80;81;82;83;84;85;86;87;88;89;90;91;92;93;94;95;96;97;98;99},{100000;130000;160000;190000;220000;250000;300000;350000;400000;450000;500000;600000;700000;800000;900000;1000000;1500000;2000000;3000000;4000000;5000000;6500000;8000000;10000000;12500000;15000000;20000000;25000000;30000000;35000000;40000000;55000000;70000000;80000000;90000000;110000000;130000000;160000000;190000000;220000000;250000000;280000000;310000000;340000000;400000000})</f>
        <v>3000000</v>
      </c>
      <c r="J1172" s="7" t="n">
        <f aca="false">I1172*S1172*T1172*U1172</f>
        <v>2565000</v>
      </c>
      <c r="K1172" s="3"/>
      <c r="L1172" s="3"/>
      <c r="M1172" s="3"/>
      <c r="N1172" s="9" t="n">
        <v>0</v>
      </c>
      <c r="O1172" s="4" t="n">
        <v>0</v>
      </c>
      <c r="P1172" s="5" t="n">
        <f aca="false">IF(COUNTIF([1]Base_Jugadores!J$2:J$500,B1172)&gt;0,1,0)</f>
        <v>0</v>
      </c>
      <c r="Q1172" s="10" t="b">
        <f aca="false">--(COUNTIFS(
   [1]Fichajes_Realizados!A$2:A$5000,A1172,
   [1]Fichajes_Realizados!G$2:G$5000,$X$3
)&gt;0)</f>
        <v>0</v>
      </c>
      <c r="R1172" s="5" t="n">
        <f aca="false">_xlfn.XLOOKUP(C1172, [1]Estado_Equipos!A$2:A$500, [1]Estado_Equipos!J$2:J$500, "")</f>
        <v>71</v>
      </c>
      <c r="S1172" s="5" t="n">
        <f aca="false">IF(H1172&lt;=16,1.45,
IF(H1172&gt;=41,0.3,
CHOOSE(ROUNDDOWN((H1172-16)/2,0)+1,
1.45,1.38,1.3,1.23,1.17,1.15,1.12,1.05,0.95,0.8,0.6,0.4,0.3)))</f>
        <v>0.95</v>
      </c>
      <c r="T1172" s="5" t="n">
        <f aca="false">CHOOSE(N1172+1,1.2,1,0.85,0.7)</f>
        <v>1.2</v>
      </c>
      <c r="U1172" s="5" t="n">
        <f aca="false">IF(F1172="PO",0.6,
IF(F1172="CT",0.75,
IF(F1172="LI",0.8,
IF(F1172="LD",0.8,
IF(F1172="MCD",0.85,
IF(F1172="MC",0.95,
IF(F1172="MO",1.05,
IF(F1172="EI",1.1,
IF(F1172="ED",1.1,
IF(F1172="SD",1.15,
IF(F1172="DC",1.2,0)))))))))))</f>
        <v>0.75</v>
      </c>
    </row>
    <row r="1173" customFormat="false" ht="16.4" hidden="false" customHeight="false" outlineLevel="0" collapsed="false">
      <c r="A1173" s="1" t="n">
        <v>1172</v>
      </c>
      <c r="B1173" s="5" t="str">
        <f aca="false">[1]Base_Jugadores!B1173</f>
        <v>Giuseppe Pezzella</v>
      </c>
      <c r="C1173" s="5" t="str">
        <f aca="false">IFERROR(
   _xlfn.XLOOKUP(VALUE(A1173),[1]Fichajes_Realizados!A$2:A$50000,[1]Fichajes_Realizados!D$2:D$50000,,0,-1),
   _xlfn.XLOOKUP(VALUE(A1173),[1]Base_Jugadores!A$2:A$50000,[1]Base_Jugadores!C$2:C$50000)
)</f>
        <v>US Cremonese</v>
      </c>
      <c r="D1173" s="5" t="str">
        <f aca="false">[1]Base_Jugadores!D1173</f>
        <v>Italia</v>
      </c>
      <c r="E1173" s="3"/>
      <c r="F1173" s="5" t="str">
        <f aca="false">[1]Base_Jugadores!E1173</f>
        <v>LI</v>
      </c>
      <c r="G1173" s="5" t="n">
        <f aca="false">[1]Base_Jugadores!F1173</f>
        <v>72</v>
      </c>
      <c r="H1173" s="5" t="n">
        <f aca="false">[1]Base_Jugadores!G1173</f>
        <v>28</v>
      </c>
      <c r="I1173" s="7" t="n">
        <f aca="false" t="array" ref="I1173:I1173">_xlfn.XLOOKUP(G1173,{55;56;57;58;59;60;61;62;63;64;65;66;67;68;69;70;71;72;73;74;75;76;77;78;79;80;81;82;83;84;85;86;87;88;89;90;91;92;93;94;95;96;97;98;99},{100000;130000;160000;190000;220000;250000;300000;350000;400000;450000;500000;600000;700000;800000;900000;1000000;1500000;2000000;3000000;4000000;5000000;6500000;8000000;10000000;12500000;15000000;20000000;25000000;30000000;35000000;40000000;55000000;70000000;80000000;90000000;110000000;130000000;160000000;190000000;220000000;250000000;280000000;310000000;340000000;400000000})</f>
        <v>2000000</v>
      </c>
      <c r="J1173" s="7" t="n">
        <f aca="false">I1173*S1173*T1173*U1173</f>
        <v>2150400</v>
      </c>
      <c r="K1173" s="3"/>
      <c r="L1173" s="3"/>
      <c r="M1173" s="3"/>
      <c r="N1173" s="9" t="n">
        <v>0</v>
      </c>
      <c r="O1173" s="4" t="n">
        <v>0</v>
      </c>
      <c r="P1173" s="5" t="n">
        <f aca="false">IF(COUNTIF([1]Base_Jugadores!J$2:J$500,B1173)&gt;0,1,0)</f>
        <v>0</v>
      </c>
      <c r="Q1173" s="10" t="b">
        <f aca="false">--(COUNTIFS(
   [1]Fichajes_Realizados!A$2:A$5000,A1173,
   [1]Fichajes_Realizados!G$2:G$5000,$X$3
)&gt;0)</f>
        <v>0</v>
      </c>
      <c r="R1173" s="5" t="n">
        <f aca="false">_xlfn.XLOOKUP(C1173, [1]Estado_Equipos!A$2:A$500, [1]Estado_Equipos!J$2:J$500, "")</f>
        <v>71</v>
      </c>
      <c r="S1173" s="5" t="n">
        <f aca="false">IF(H1173&lt;=16,1.45,
IF(H1173&gt;=41,0.3,
CHOOSE(ROUNDDOWN((H1173-16)/2,0)+1,
1.45,1.38,1.3,1.23,1.17,1.15,1.12,1.05,0.95,0.8,0.6,0.4,0.3)))</f>
        <v>1.12</v>
      </c>
      <c r="T1173" s="5" t="n">
        <f aca="false">CHOOSE(N1173+1,1.2,1,0.85,0.7)</f>
        <v>1.2</v>
      </c>
      <c r="U1173" s="5" t="n">
        <f aca="false">IF(F1173="PO",0.6,
IF(F1173="CT",0.75,
IF(F1173="LI",0.8,
IF(F1173="LD",0.8,
IF(F1173="MCD",0.85,
IF(F1173="MC",0.95,
IF(F1173="MO",1.05,
IF(F1173="EI",1.1,
IF(F1173="ED",1.1,
IF(F1173="SD",1.15,
IF(F1173="DC",1.2,0)))))))))))</f>
        <v>0.8</v>
      </c>
    </row>
    <row r="1174" customFormat="false" ht="16.4" hidden="false" customHeight="false" outlineLevel="0" collapsed="false">
      <c r="A1174" s="1" t="n">
        <v>1173</v>
      </c>
      <c r="B1174" s="5" t="str">
        <f aca="false">[1]Base_Jugadores!B1174</f>
        <v>Leonardo Sernicola</v>
      </c>
      <c r="C1174" s="5" t="str">
        <f aca="false">IFERROR(
   _xlfn.XLOOKUP(VALUE(A1174),[1]Fichajes_Realizados!A$2:A$50000,[1]Fichajes_Realizados!D$2:D$50000,,0,-1),
   _xlfn.XLOOKUP(VALUE(A1174),[1]Base_Jugadores!A$2:A$50000,[1]Base_Jugadores!C$2:C$50000)
)</f>
        <v>US Cremonese</v>
      </c>
      <c r="D1174" s="5" t="str">
        <f aca="false">[1]Base_Jugadores!D1174</f>
        <v>Italia</v>
      </c>
      <c r="E1174" s="3"/>
      <c r="F1174" s="5" t="str">
        <f aca="false">[1]Base_Jugadores!E1174</f>
        <v>LI</v>
      </c>
      <c r="G1174" s="5" t="n">
        <f aca="false">[1]Base_Jugadores!F1174</f>
        <v>73</v>
      </c>
      <c r="H1174" s="5" t="n">
        <f aca="false">[1]Base_Jugadores!G1174</f>
        <v>28</v>
      </c>
      <c r="I1174" s="7" t="n">
        <f aca="false" t="array" ref="I1174:I1174">_xlfn.XLOOKUP(G1174,{55;56;57;58;59;60;61;62;63;64;65;66;67;68;69;70;71;72;73;74;75;76;77;78;79;80;81;82;83;84;85;86;87;88;89;90;91;92;93;94;95;96;97;98;99},{100000;130000;160000;190000;220000;250000;300000;350000;400000;450000;500000;600000;700000;800000;900000;1000000;1500000;2000000;3000000;4000000;5000000;6500000;8000000;10000000;12500000;15000000;20000000;25000000;30000000;35000000;40000000;55000000;70000000;80000000;90000000;110000000;130000000;160000000;190000000;220000000;250000000;280000000;310000000;340000000;400000000})</f>
        <v>3000000</v>
      </c>
      <c r="J1174" s="7" t="n">
        <f aca="false">I1174*S1174*T1174*U1174</f>
        <v>3225600</v>
      </c>
      <c r="K1174" s="3"/>
      <c r="L1174" s="3"/>
      <c r="M1174" s="3"/>
      <c r="N1174" s="9" t="n">
        <v>0</v>
      </c>
      <c r="O1174" s="4" t="n">
        <v>0</v>
      </c>
      <c r="P1174" s="5" t="n">
        <f aca="false">IF(COUNTIF([1]Base_Jugadores!J$2:J$500,B1174)&gt;0,1,0)</f>
        <v>0</v>
      </c>
      <c r="Q1174" s="10" t="b">
        <f aca="false">--(COUNTIFS(
   [1]Fichajes_Realizados!A$2:A$5000,A1174,
   [1]Fichajes_Realizados!G$2:G$5000,$X$3
)&gt;0)</f>
        <v>0</v>
      </c>
      <c r="R1174" s="5" t="n">
        <f aca="false">_xlfn.XLOOKUP(C1174, [1]Estado_Equipos!A$2:A$500, [1]Estado_Equipos!J$2:J$500, "")</f>
        <v>71</v>
      </c>
      <c r="S1174" s="5" t="n">
        <f aca="false">IF(H1174&lt;=16,1.45,
IF(H1174&gt;=41,0.3,
CHOOSE(ROUNDDOWN((H1174-16)/2,0)+1,
1.45,1.38,1.3,1.23,1.17,1.15,1.12,1.05,0.95,0.8,0.6,0.4,0.3)))</f>
        <v>1.12</v>
      </c>
      <c r="T1174" s="5" t="n">
        <f aca="false">CHOOSE(N1174+1,1.2,1,0.85,0.7)</f>
        <v>1.2</v>
      </c>
      <c r="U1174" s="5" t="n">
        <f aca="false">IF(F1174="PO",0.6,
IF(F1174="CT",0.75,
IF(F1174="LI",0.8,
IF(F1174="LD",0.8,
IF(F1174="MCD",0.85,
IF(F1174="MC",0.95,
IF(F1174="MO",1.05,
IF(F1174="EI",1.1,
IF(F1174="ED",1.1,
IF(F1174="SD",1.15,
IF(F1174="DC",1.2,0)))))))))))</f>
        <v>0.8</v>
      </c>
    </row>
    <row r="1175" customFormat="false" ht="16.4" hidden="false" customHeight="false" outlineLevel="0" collapsed="false">
      <c r="A1175" s="1" t="n">
        <v>1174</v>
      </c>
      <c r="B1175" s="5" t="str">
        <f aca="false">[1]Base_Jugadores!B1175</f>
        <v>Filippo Terracciano</v>
      </c>
      <c r="C1175" s="5" t="str">
        <f aca="false">IFERROR(
   _xlfn.XLOOKUP(VALUE(A1175),[1]Fichajes_Realizados!A$2:A$50000,[1]Fichajes_Realizados!D$2:D$50000,,0,-1),
   _xlfn.XLOOKUP(VALUE(A1175),[1]Base_Jugadores!A$2:A$50000,[1]Base_Jugadores!C$2:C$50000)
)</f>
        <v>US Cremonese</v>
      </c>
      <c r="D1175" s="5" t="str">
        <f aca="false">[1]Base_Jugadores!D1175</f>
        <v>Italia</v>
      </c>
      <c r="E1175" s="3"/>
      <c r="F1175" s="5" t="str">
        <f aca="false">[1]Base_Jugadores!E1175</f>
        <v>CT</v>
      </c>
      <c r="G1175" s="5" t="n">
        <f aca="false">[1]Base_Jugadores!F1175</f>
        <v>70</v>
      </c>
      <c r="H1175" s="5" t="n">
        <f aca="false">[1]Base_Jugadores!G1175</f>
        <v>22</v>
      </c>
      <c r="I1175" s="7" t="n">
        <f aca="false" t="array" ref="I1175:I1175">_xlfn.XLOOKUP(G1175,{55;56;57;58;59;60;61;62;63;64;65;66;67;68;69;70;71;72;73;74;75;76;77;78;79;80;81;82;83;84;85;86;87;88;89;90;91;92;93;94;95;96;97;98;99},{100000;130000;160000;190000;220000;250000;300000;350000;400000;450000;500000;600000;700000;800000;900000;1000000;1500000;2000000;3000000;4000000;5000000;6500000;8000000;10000000;12500000;15000000;20000000;25000000;30000000;35000000;40000000;55000000;70000000;80000000;90000000;110000000;130000000;160000000;190000000;220000000;250000000;280000000;310000000;340000000;400000000})</f>
        <v>1000000</v>
      </c>
      <c r="J1175" s="7" t="n">
        <f aca="false">I1175*S1175*T1175*U1175</f>
        <v>1107000</v>
      </c>
      <c r="K1175" s="3"/>
      <c r="L1175" s="3"/>
      <c r="M1175" s="3"/>
      <c r="N1175" s="9" t="n">
        <v>0</v>
      </c>
      <c r="O1175" s="4" t="n">
        <v>0</v>
      </c>
      <c r="P1175" s="5" t="n">
        <f aca="false">IF(COUNTIF([1]Base_Jugadores!J$2:J$500,B1175)&gt;0,1,0)</f>
        <v>0</v>
      </c>
      <c r="Q1175" s="10" t="b">
        <f aca="false">--(COUNTIFS(
   [1]Fichajes_Realizados!A$2:A$5000,A1175,
   [1]Fichajes_Realizados!G$2:G$5000,$X$3
)&gt;0)</f>
        <v>0</v>
      </c>
      <c r="R1175" s="5" t="n">
        <f aca="false">_xlfn.XLOOKUP(C1175, [1]Estado_Equipos!A$2:A$500, [1]Estado_Equipos!J$2:J$500, "")</f>
        <v>71</v>
      </c>
      <c r="S1175" s="5" t="n">
        <f aca="false">IF(H1175&lt;=16,1.45,
IF(H1175&gt;=41,0.3,
CHOOSE(ROUNDDOWN((H1175-16)/2,0)+1,
1.45,1.38,1.3,1.23,1.17,1.15,1.12,1.05,0.95,0.8,0.6,0.4,0.3)))</f>
        <v>1.23</v>
      </c>
      <c r="T1175" s="5" t="n">
        <f aca="false">CHOOSE(N1175+1,1.2,1,0.85,0.7)</f>
        <v>1.2</v>
      </c>
      <c r="U1175" s="5" t="n">
        <f aca="false">IF(F1175="PO",0.6,
IF(F1175="CT",0.75,
IF(F1175="LI",0.8,
IF(F1175="LD",0.8,
IF(F1175="MCD",0.85,
IF(F1175="MC",0.95,
IF(F1175="MO",1.05,
IF(F1175="EI",1.1,
IF(F1175="ED",1.1,
IF(F1175="SD",1.15,
IF(F1175="DC",1.2,0)))))))))))</f>
        <v>0.75</v>
      </c>
    </row>
    <row r="1176" customFormat="false" ht="16.4" hidden="false" customHeight="false" outlineLevel="0" collapsed="false">
      <c r="A1176" s="1" t="n">
        <v>1175</v>
      </c>
      <c r="B1176" s="5" t="str">
        <f aca="false">[1]Base_Jugadores!B1176</f>
        <v>Tommaso Barbieri</v>
      </c>
      <c r="C1176" s="5" t="str">
        <f aca="false">IFERROR(
   _xlfn.XLOOKUP(VALUE(A1176),[1]Fichajes_Realizados!A$2:A$50000,[1]Fichajes_Realizados!D$2:D$50000,,0,-1),
   _xlfn.XLOOKUP(VALUE(A1176),[1]Base_Jugadores!A$2:A$50000,[1]Base_Jugadores!C$2:C$50000)
)</f>
        <v>US Cremonese</v>
      </c>
      <c r="D1176" s="5" t="str">
        <f aca="false">[1]Base_Jugadores!D1176</f>
        <v>Italia</v>
      </c>
      <c r="E1176" s="3"/>
      <c r="F1176" s="5" t="str">
        <f aca="false">[1]Base_Jugadores!E1176</f>
        <v>LD</v>
      </c>
      <c r="G1176" s="5" t="n">
        <f aca="false">[1]Base_Jugadores!F1176</f>
        <v>66</v>
      </c>
      <c r="H1176" s="5" t="n">
        <f aca="false">[1]Base_Jugadores!G1176</f>
        <v>23</v>
      </c>
      <c r="I1176" s="7" t="n">
        <f aca="false" t="array" ref="I1176:I1176">_xlfn.XLOOKUP(G1176,{55;56;57;58;59;60;61;62;63;64;65;66;67;68;69;70;71;72;73;74;75;76;77;78;79;80;81;82;83;84;85;86;87;88;89;90;91;92;93;94;95;96;97;98;99},{100000;130000;160000;190000;220000;250000;300000;350000;400000;450000;500000;600000;700000;800000;900000;1000000;1500000;2000000;3000000;4000000;5000000;6500000;8000000;10000000;12500000;15000000;20000000;25000000;30000000;35000000;40000000;55000000;70000000;80000000;90000000;110000000;130000000;160000000;190000000;220000000;250000000;280000000;310000000;340000000;400000000})</f>
        <v>600000</v>
      </c>
      <c r="J1176" s="7" t="n">
        <f aca="false">I1176*S1176*T1176*U1176</f>
        <v>708480</v>
      </c>
      <c r="K1176" s="3"/>
      <c r="L1176" s="3"/>
      <c r="M1176" s="3"/>
      <c r="N1176" s="9" t="n">
        <v>0</v>
      </c>
      <c r="O1176" s="4" t="n">
        <v>0</v>
      </c>
      <c r="P1176" s="5" t="n">
        <f aca="false">IF(COUNTIF([1]Base_Jugadores!J$2:J$500,B1176)&gt;0,1,0)</f>
        <v>0</v>
      </c>
      <c r="Q1176" s="10" t="b">
        <f aca="false">--(COUNTIFS(
   [1]Fichajes_Realizados!A$2:A$5000,A1176,
   [1]Fichajes_Realizados!G$2:G$5000,$X$3
)&gt;0)</f>
        <v>0</v>
      </c>
      <c r="R1176" s="5" t="n">
        <f aca="false">_xlfn.XLOOKUP(C1176, [1]Estado_Equipos!A$2:A$500, [1]Estado_Equipos!J$2:J$500, "")</f>
        <v>71</v>
      </c>
      <c r="S1176" s="5" t="n">
        <f aca="false">IF(H1176&lt;=16,1.45,
IF(H1176&gt;=41,0.3,
CHOOSE(ROUNDDOWN((H1176-16)/2,0)+1,
1.45,1.38,1.3,1.23,1.17,1.15,1.12,1.05,0.95,0.8,0.6,0.4,0.3)))</f>
        <v>1.23</v>
      </c>
      <c r="T1176" s="5" t="n">
        <f aca="false">CHOOSE(N1176+1,1.2,1,0.85,0.7)</f>
        <v>1.2</v>
      </c>
      <c r="U1176" s="5" t="n">
        <f aca="false">IF(F1176="PO",0.6,
IF(F1176="CT",0.75,
IF(F1176="LI",0.8,
IF(F1176="LD",0.8,
IF(F1176="MCD",0.85,
IF(F1176="MC",0.95,
IF(F1176="MO",1.05,
IF(F1176="EI",1.1,
IF(F1176="ED",1.1,
IF(F1176="SD",1.15,
IF(F1176="DC",1.2,0)))))))))))</f>
        <v>0.8</v>
      </c>
    </row>
    <row r="1177" customFormat="false" ht="16.4" hidden="false" customHeight="false" outlineLevel="0" collapsed="false">
      <c r="A1177" s="1" t="n">
        <v>1176</v>
      </c>
      <c r="B1177" s="5" t="str">
        <f aca="false">[1]Base_Jugadores!B1177</f>
        <v>Romano Floriani</v>
      </c>
      <c r="C1177" s="5" t="str">
        <f aca="false">IFERROR(
   _xlfn.XLOOKUP(VALUE(A1177),[1]Fichajes_Realizados!A$2:A$50000,[1]Fichajes_Realizados!D$2:D$50000,,0,-1),
   _xlfn.XLOOKUP(VALUE(A1177),[1]Base_Jugadores!A$2:A$50000,[1]Base_Jugadores!C$2:C$50000)
)</f>
        <v>US Cremonese</v>
      </c>
      <c r="D1177" s="5" t="str">
        <f aca="false">[1]Base_Jugadores!D1177</f>
        <v>Italia</v>
      </c>
      <c r="E1177" s="3"/>
      <c r="F1177" s="5" t="str">
        <f aca="false">[1]Base_Jugadores!E1177</f>
        <v>LD</v>
      </c>
      <c r="G1177" s="5" t="n">
        <f aca="false">[1]Base_Jugadores!F1177</f>
        <v>66</v>
      </c>
      <c r="H1177" s="5" t="n">
        <f aca="false">[1]Base_Jugadores!G1177</f>
        <v>22</v>
      </c>
      <c r="I1177" s="7" t="n">
        <f aca="false" t="array" ref="I1177:I1177">_xlfn.XLOOKUP(G1177,{55;56;57;58;59;60;61;62;63;64;65;66;67;68;69;70;71;72;73;74;75;76;77;78;79;80;81;82;83;84;85;86;87;88;89;90;91;92;93;94;95;96;97;98;99},{100000;130000;160000;190000;220000;250000;300000;350000;400000;450000;500000;600000;700000;800000;900000;1000000;1500000;2000000;3000000;4000000;5000000;6500000;8000000;10000000;12500000;15000000;20000000;25000000;30000000;35000000;40000000;55000000;70000000;80000000;90000000;110000000;130000000;160000000;190000000;220000000;250000000;280000000;310000000;340000000;400000000})</f>
        <v>600000</v>
      </c>
      <c r="J1177" s="7" t="n">
        <f aca="false">I1177*S1177*T1177*U1177</f>
        <v>708480</v>
      </c>
      <c r="K1177" s="3"/>
      <c r="L1177" s="3"/>
      <c r="M1177" s="3"/>
      <c r="N1177" s="9" t="n">
        <v>0</v>
      </c>
      <c r="O1177" s="4" t="n">
        <v>0</v>
      </c>
      <c r="P1177" s="5" t="n">
        <f aca="false">IF(COUNTIF([1]Base_Jugadores!J$2:J$500,B1177)&gt;0,1,0)</f>
        <v>0</v>
      </c>
      <c r="Q1177" s="10" t="b">
        <f aca="false">--(COUNTIFS(
   [1]Fichajes_Realizados!A$2:A$5000,A1177,
   [1]Fichajes_Realizados!G$2:G$5000,$X$3
)&gt;0)</f>
        <v>0</v>
      </c>
      <c r="R1177" s="5" t="n">
        <f aca="false">_xlfn.XLOOKUP(C1177, [1]Estado_Equipos!A$2:A$500, [1]Estado_Equipos!J$2:J$500, "")</f>
        <v>71</v>
      </c>
      <c r="S1177" s="5" t="n">
        <f aca="false">IF(H1177&lt;=16,1.45,
IF(H1177&gt;=41,0.3,
CHOOSE(ROUNDDOWN((H1177-16)/2,0)+1,
1.45,1.38,1.3,1.23,1.17,1.15,1.12,1.05,0.95,0.8,0.6,0.4,0.3)))</f>
        <v>1.23</v>
      </c>
      <c r="T1177" s="5" t="n">
        <f aca="false">CHOOSE(N1177+1,1.2,1,0.85,0.7)</f>
        <v>1.2</v>
      </c>
      <c r="U1177" s="5" t="n">
        <f aca="false">IF(F1177="PO",0.6,
IF(F1177="CT",0.75,
IF(F1177="LI",0.8,
IF(F1177="LD",0.8,
IF(F1177="MCD",0.85,
IF(F1177="MC",0.95,
IF(F1177="MO",1.05,
IF(F1177="EI",1.1,
IF(F1177="ED",1.1,
IF(F1177="SD",1.15,
IF(F1177="DC",1.2,0)))))))))))</f>
        <v>0.8</v>
      </c>
    </row>
    <row r="1178" customFormat="false" ht="16.4" hidden="false" customHeight="false" outlineLevel="0" collapsed="false">
      <c r="A1178" s="1" t="n">
        <v>1177</v>
      </c>
      <c r="B1178" s="5" t="str">
        <f aca="false">[1]Base_Jugadores!B1178</f>
        <v>Alberto Grassi</v>
      </c>
      <c r="C1178" s="5" t="str">
        <f aca="false">IFERROR(
   _xlfn.XLOOKUP(VALUE(A1178),[1]Fichajes_Realizados!A$2:A$50000,[1]Fichajes_Realizados!D$2:D$50000,,0,-1),
   _xlfn.XLOOKUP(VALUE(A1178),[1]Base_Jugadores!A$2:A$50000,[1]Base_Jugadores!C$2:C$50000)
)</f>
        <v>US Cremonese</v>
      </c>
      <c r="D1178" s="5" t="str">
        <f aca="false">[1]Base_Jugadores!D1178</f>
        <v>Italia</v>
      </c>
      <c r="E1178" s="3"/>
      <c r="F1178" s="5" t="str">
        <f aca="false">[1]Base_Jugadores!E1178</f>
        <v>MCD</v>
      </c>
      <c r="G1178" s="5" t="n">
        <f aca="false">[1]Base_Jugadores!F1178</f>
        <v>72</v>
      </c>
      <c r="H1178" s="5" t="n">
        <f aca="false">[1]Base_Jugadores!G1178</f>
        <v>30</v>
      </c>
      <c r="I1178" s="7" t="n">
        <f aca="false" t="array" ref="I1178:I1178">_xlfn.XLOOKUP(G1178,{55;56;57;58;59;60;61;62;63;64;65;66;67;68;69;70;71;72;73;74;75;76;77;78;79;80;81;82;83;84;85;86;87;88;89;90;91;92;93;94;95;96;97;98;99},{100000;130000;160000;190000;220000;250000;300000;350000;400000;450000;500000;600000;700000;800000;900000;1000000;1500000;2000000;3000000;4000000;5000000;6500000;8000000;10000000;12500000;15000000;20000000;25000000;30000000;35000000;40000000;55000000;70000000;80000000;90000000;110000000;130000000;160000000;190000000;220000000;250000000;280000000;310000000;340000000;400000000})</f>
        <v>2000000</v>
      </c>
      <c r="J1178" s="7" t="n">
        <f aca="false">I1178*S1178*T1178*U1178</f>
        <v>2142000</v>
      </c>
      <c r="K1178" s="3"/>
      <c r="L1178" s="3"/>
      <c r="M1178" s="3"/>
      <c r="N1178" s="9" t="n">
        <v>0</v>
      </c>
      <c r="O1178" s="4" t="n">
        <v>0</v>
      </c>
      <c r="P1178" s="5" t="n">
        <f aca="false">IF(COUNTIF([1]Base_Jugadores!J$2:J$500,B1178)&gt;0,1,0)</f>
        <v>0</v>
      </c>
      <c r="Q1178" s="10" t="b">
        <f aca="false">--(COUNTIFS(
   [1]Fichajes_Realizados!A$2:A$5000,A1178,
   [1]Fichajes_Realizados!G$2:G$5000,$X$3
)&gt;0)</f>
        <v>0</v>
      </c>
      <c r="R1178" s="5" t="n">
        <f aca="false">_xlfn.XLOOKUP(C1178, [1]Estado_Equipos!A$2:A$500, [1]Estado_Equipos!J$2:J$500, "")</f>
        <v>71</v>
      </c>
      <c r="S1178" s="5" t="n">
        <f aca="false">IF(H1178&lt;=16,1.45,
IF(H1178&gt;=41,0.3,
CHOOSE(ROUNDDOWN((H1178-16)/2,0)+1,
1.45,1.38,1.3,1.23,1.17,1.15,1.12,1.05,0.95,0.8,0.6,0.4,0.3)))</f>
        <v>1.05</v>
      </c>
      <c r="T1178" s="5" t="n">
        <f aca="false">CHOOSE(N1178+1,1.2,1,0.85,0.7)</f>
        <v>1.2</v>
      </c>
      <c r="U1178" s="5" t="n">
        <f aca="false">IF(F1178="PO",0.6,
IF(F1178="CT",0.75,
IF(F1178="LI",0.8,
IF(F1178="LD",0.8,
IF(F1178="MCD",0.85,
IF(F1178="MC",0.95,
IF(F1178="MO",1.05,
IF(F1178="EI",1.1,
IF(F1178="ED",1.1,
IF(F1178="SD",1.15,
IF(F1178="DC",1.2,0)))))))))))</f>
        <v>0.85</v>
      </c>
    </row>
    <row r="1179" customFormat="false" ht="16.4" hidden="false" customHeight="false" outlineLevel="0" collapsed="false">
      <c r="A1179" s="1" t="n">
        <v>1178</v>
      </c>
      <c r="B1179" s="5" t="str">
        <f aca="false">[1]Base_Jugadores!B1179</f>
        <v>Warren Bondo</v>
      </c>
      <c r="C1179" s="5" t="str">
        <f aca="false">IFERROR(
   _xlfn.XLOOKUP(VALUE(A1179),[1]Fichajes_Realizados!A$2:A$50000,[1]Fichajes_Realizados!D$2:D$50000,,0,-1),
   _xlfn.XLOOKUP(VALUE(A1179),[1]Base_Jugadores!A$2:A$50000,[1]Base_Jugadores!C$2:C$50000)
)</f>
        <v>US Cremonese</v>
      </c>
      <c r="D1179" s="5" t="str">
        <f aca="false">[1]Base_Jugadores!D1179</f>
        <v>Francia</v>
      </c>
      <c r="E1179" s="3"/>
      <c r="F1179" s="5" t="str">
        <f aca="false">[1]Base_Jugadores!E1179</f>
        <v>MC</v>
      </c>
      <c r="G1179" s="5" t="n">
        <f aca="false">[1]Base_Jugadores!F1179</f>
        <v>72</v>
      </c>
      <c r="H1179" s="5" t="n">
        <f aca="false">[1]Base_Jugadores!G1179</f>
        <v>22</v>
      </c>
      <c r="I1179" s="7" t="n">
        <f aca="false" t="array" ref="I1179:I1179">_xlfn.XLOOKUP(G1179,{55;56;57;58;59;60;61;62;63;64;65;66;67;68;69;70;71;72;73;74;75;76;77;78;79;80;81;82;83;84;85;86;87;88;89;90;91;92;93;94;95;96;97;98;99},{100000;130000;160000;190000;220000;250000;300000;350000;400000;450000;500000;600000;700000;800000;900000;1000000;1500000;2000000;3000000;4000000;5000000;6500000;8000000;10000000;12500000;15000000;20000000;25000000;30000000;35000000;40000000;55000000;70000000;80000000;90000000;110000000;130000000;160000000;190000000;220000000;250000000;280000000;310000000;340000000;400000000})</f>
        <v>2000000</v>
      </c>
      <c r="J1179" s="7" t="n">
        <f aca="false">I1179*S1179*T1179*U1179</f>
        <v>2804400</v>
      </c>
      <c r="K1179" s="3"/>
      <c r="L1179" s="3"/>
      <c r="M1179" s="3"/>
      <c r="N1179" s="9" t="n">
        <v>0</v>
      </c>
      <c r="O1179" s="4" t="n">
        <v>0</v>
      </c>
      <c r="P1179" s="5" t="n">
        <f aca="false">IF(COUNTIF([1]Base_Jugadores!J$2:J$500,B1179)&gt;0,1,0)</f>
        <v>0</v>
      </c>
      <c r="Q1179" s="10" t="b">
        <f aca="false">--(COUNTIFS(
   [1]Fichajes_Realizados!A$2:A$5000,A1179,
   [1]Fichajes_Realizados!G$2:G$5000,$X$3
)&gt;0)</f>
        <v>0</v>
      </c>
      <c r="R1179" s="5" t="n">
        <f aca="false">_xlfn.XLOOKUP(C1179, [1]Estado_Equipos!A$2:A$500, [1]Estado_Equipos!J$2:J$500, "")</f>
        <v>71</v>
      </c>
      <c r="S1179" s="5" t="n">
        <f aca="false">IF(H1179&lt;=16,1.45,
IF(H1179&gt;=41,0.3,
CHOOSE(ROUNDDOWN((H1179-16)/2,0)+1,
1.45,1.38,1.3,1.23,1.17,1.15,1.12,1.05,0.95,0.8,0.6,0.4,0.3)))</f>
        <v>1.23</v>
      </c>
      <c r="T1179" s="5" t="n">
        <f aca="false">CHOOSE(N1179+1,1.2,1,0.85,0.7)</f>
        <v>1.2</v>
      </c>
      <c r="U1179" s="5" t="n">
        <f aca="false">IF(F1179="PO",0.6,
IF(F1179="CT",0.75,
IF(F1179="LI",0.8,
IF(F1179="LD",0.8,
IF(F1179="MCD",0.85,
IF(F1179="MC",0.95,
IF(F1179="MO",1.05,
IF(F1179="EI",1.1,
IF(F1179="ED",1.1,
IF(F1179="SD",1.15,
IF(F1179="DC",1.2,0)))))))))))</f>
        <v>0.95</v>
      </c>
    </row>
    <row r="1180" customFormat="false" ht="16.4" hidden="false" customHeight="false" outlineLevel="0" collapsed="false">
      <c r="A1180" s="1" t="n">
        <v>1179</v>
      </c>
      <c r="B1180" s="5" t="str">
        <f aca="false">[1]Base_Jugadores!B1180</f>
        <v>Martín Payero</v>
      </c>
      <c r="C1180" s="5" t="str">
        <f aca="false">IFERROR(
   _xlfn.XLOOKUP(VALUE(A1180),[1]Fichajes_Realizados!A$2:A$50000,[1]Fichajes_Realizados!D$2:D$50000,,0,-1),
   _xlfn.XLOOKUP(VALUE(A1180),[1]Base_Jugadores!A$2:A$50000,[1]Base_Jugadores!C$2:C$50000)
)</f>
        <v>US Cremonese</v>
      </c>
      <c r="D1180" s="5" t="str">
        <f aca="false">[1]Base_Jugadores!D1180</f>
        <v>Argentina</v>
      </c>
      <c r="E1180" s="3"/>
      <c r="F1180" s="5" t="str">
        <f aca="false">[1]Base_Jugadores!E1180</f>
        <v>MC</v>
      </c>
      <c r="G1180" s="5" t="n">
        <f aca="false">[1]Base_Jugadores!F1180</f>
        <v>73</v>
      </c>
      <c r="H1180" s="5" t="n">
        <f aca="false">[1]Base_Jugadores!G1180</f>
        <v>27</v>
      </c>
      <c r="I1180" s="7" t="n">
        <f aca="false" t="array" ref="I1180:I1180">_xlfn.XLOOKUP(G1180,{55;56;57;58;59;60;61;62;63;64;65;66;67;68;69;70;71;72;73;74;75;76;77;78;79;80;81;82;83;84;85;86;87;88;89;90;91;92;93;94;95;96;97;98;99},{100000;130000;160000;190000;220000;250000;300000;350000;400000;450000;500000;600000;700000;800000;900000;1000000;1500000;2000000;3000000;4000000;5000000;6500000;8000000;10000000;12500000;15000000;20000000;25000000;30000000;35000000;40000000;55000000;70000000;80000000;90000000;110000000;130000000;160000000;190000000;220000000;250000000;280000000;310000000;340000000;400000000})</f>
        <v>3000000</v>
      </c>
      <c r="J1180" s="7" t="n">
        <f aca="false">I1180*S1180*T1180*U1180</f>
        <v>3933000</v>
      </c>
      <c r="K1180" s="3"/>
      <c r="L1180" s="3"/>
      <c r="M1180" s="3"/>
      <c r="N1180" s="9" t="n">
        <v>0</v>
      </c>
      <c r="O1180" s="4" t="n">
        <v>0</v>
      </c>
      <c r="P1180" s="5" t="n">
        <f aca="false">IF(COUNTIF([1]Base_Jugadores!J$2:J$500,B1180)&gt;0,1,0)</f>
        <v>0</v>
      </c>
      <c r="Q1180" s="10" t="b">
        <f aca="false">--(COUNTIFS(
   [1]Fichajes_Realizados!A$2:A$5000,A1180,
   [1]Fichajes_Realizados!G$2:G$5000,$X$3
)&gt;0)</f>
        <v>0</v>
      </c>
      <c r="R1180" s="5" t="n">
        <f aca="false">_xlfn.XLOOKUP(C1180, [1]Estado_Equipos!A$2:A$500, [1]Estado_Equipos!J$2:J$500, "")</f>
        <v>71</v>
      </c>
      <c r="S1180" s="5" t="n">
        <f aca="false">IF(H1180&lt;=16,1.45,
IF(H1180&gt;=41,0.3,
CHOOSE(ROUNDDOWN((H1180-16)/2,0)+1,
1.45,1.38,1.3,1.23,1.17,1.15,1.12,1.05,0.95,0.8,0.6,0.4,0.3)))</f>
        <v>1.15</v>
      </c>
      <c r="T1180" s="5" t="n">
        <f aca="false">CHOOSE(N1180+1,1.2,1,0.85,0.7)</f>
        <v>1.2</v>
      </c>
      <c r="U1180" s="5" t="n">
        <f aca="false">IF(F1180="PO",0.6,
IF(F1180="CT",0.75,
IF(F1180="LI",0.8,
IF(F1180="LD",0.8,
IF(F1180="MCD",0.85,
IF(F1180="MC",0.95,
IF(F1180="MO",1.05,
IF(F1180="EI",1.1,
IF(F1180="ED",1.1,
IF(F1180="SD",1.15,
IF(F1180="DC",1.2,0)))))))))))</f>
        <v>0.95</v>
      </c>
    </row>
    <row r="1181" customFormat="false" ht="16.4" hidden="false" customHeight="false" outlineLevel="0" collapsed="false">
      <c r="A1181" s="1" t="n">
        <v>1180</v>
      </c>
      <c r="B1181" s="5" t="str">
        <f aca="false">[1]Base_Jugadores!B1181</f>
        <v>Jari Vandeputte</v>
      </c>
      <c r="C1181" s="5" t="str">
        <f aca="false">IFERROR(
   _xlfn.XLOOKUP(VALUE(A1181),[1]Fichajes_Realizados!A$2:A$50000,[1]Fichajes_Realizados!D$2:D$50000,,0,-1),
   _xlfn.XLOOKUP(VALUE(A1181),[1]Base_Jugadores!A$2:A$50000,[1]Base_Jugadores!C$2:C$50000)
)</f>
        <v>US Cremonese</v>
      </c>
      <c r="D1181" s="5" t="str">
        <f aca="false">[1]Base_Jugadores!D1181</f>
        <v>Bélgica</v>
      </c>
      <c r="E1181" s="3"/>
      <c r="F1181" s="5" t="str">
        <f aca="false">[1]Base_Jugadores!E1181</f>
        <v>MC</v>
      </c>
      <c r="G1181" s="5" t="n">
        <f aca="false">[1]Base_Jugadores!F1181</f>
        <v>69</v>
      </c>
      <c r="H1181" s="5" t="n">
        <f aca="false">[1]Base_Jugadores!G1181</f>
        <v>29</v>
      </c>
      <c r="I1181" s="7" t="n">
        <f aca="false" t="array" ref="I1181:I1181">_xlfn.XLOOKUP(G1181,{55;56;57;58;59;60;61;62;63;64;65;66;67;68;69;70;71;72;73;74;75;76;77;78;79;80;81;82;83;84;85;86;87;88;89;90;91;92;93;94;95;96;97;98;99},{100000;130000;160000;190000;220000;250000;300000;350000;400000;450000;500000;600000;700000;800000;900000;1000000;1500000;2000000;3000000;4000000;5000000;6500000;8000000;10000000;12500000;15000000;20000000;25000000;30000000;35000000;40000000;55000000;70000000;80000000;90000000;110000000;130000000;160000000;190000000;220000000;250000000;280000000;310000000;340000000;400000000})</f>
        <v>900000</v>
      </c>
      <c r="J1181" s="7" t="n">
        <f aca="false">I1181*S1181*T1181*U1181</f>
        <v>1149120</v>
      </c>
      <c r="K1181" s="3"/>
      <c r="L1181" s="3"/>
      <c r="M1181" s="3"/>
      <c r="N1181" s="9" t="n">
        <v>0</v>
      </c>
      <c r="O1181" s="4" t="n">
        <v>0</v>
      </c>
      <c r="P1181" s="5" t="n">
        <f aca="false">IF(COUNTIF([1]Base_Jugadores!J$2:J$500,B1181)&gt;0,1,0)</f>
        <v>0</v>
      </c>
      <c r="Q1181" s="10" t="b">
        <f aca="false">--(COUNTIFS(
   [1]Fichajes_Realizados!A$2:A$5000,A1181,
   [1]Fichajes_Realizados!G$2:G$5000,$X$3
)&gt;0)</f>
        <v>0</v>
      </c>
      <c r="R1181" s="5" t="n">
        <f aca="false">_xlfn.XLOOKUP(C1181, [1]Estado_Equipos!A$2:A$500, [1]Estado_Equipos!J$2:J$500, "")</f>
        <v>71</v>
      </c>
      <c r="S1181" s="5" t="n">
        <f aca="false">IF(H1181&lt;=16,1.45,
IF(H1181&gt;=41,0.3,
CHOOSE(ROUNDDOWN((H1181-16)/2,0)+1,
1.45,1.38,1.3,1.23,1.17,1.15,1.12,1.05,0.95,0.8,0.6,0.4,0.3)))</f>
        <v>1.12</v>
      </c>
      <c r="T1181" s="5" t="n">
        <f aca="false">CHOOSE(N1181+1,1.2,1,0.85,0.7)</f>
        <v>1.2</v>
      </c>
      <c r="U1181" s="5" t="n">
        <f aca="false">IF(F1181="PO",0.6,
IF(F1181="CT",0.75,
IF(F1181="LI",0.8,
IF(F1181="LD",0.8,
IF(F1181="MCD",0.85,
IF(F1181="MC",0.95,
IF(F1181="MO",1.05,
IF(F1181="EI",1.1,
IF(F1181="ED",1.1,
IF(F1181="SD",1.15,
IF(F1181="DC",1.2,0)))))))))))</f>
        <v>0.95</v>
      </c>
    </row>
    <row r="1182" customFormat="false" ht="16.4" hidden="false" customHeight="false" outlineLevel="0" collapsed="false">
      <c r="A1182" s="1" t="n">
        <v>1181</v>
      </c>
      <c r="B1182" s="5" t="str">
        <f aca="false">[1]Base_Jugadores!B1182</f>
        <v>Michele Collocolo</v>
      </c>
      <c r="C1182" s="5" t="str">
        <f aca="false">IFERROR(
   _xlfn.XLOOKUP(VALUE(A1182),[1]Fichajes_Realizados!A$2:A$50000,[1]Fichajes_Realizados!D$2:D$50000,,0,-1),
   _xlfn.XLOOKUP(VALUE(A1182),[1]Base_Jugadores!A$2:A$50000,[1]Base_Jugadores!C$2:C$50000)
)</f>
        <v>US Cremonese</v>
      </c>
      <c r="D1182" s="5" t="str">
        <f aca="false">[1]Base_Jugadores!D1182</f>
        <v>Italia</v>
      </c>
      <c r="E1182" s="3"/>
      <c r="F1182" s="5" t="str">
        <f aca="false">[1]Base_Jugadores!E1182</f>
        <v>MC</v>
      </c>
      <c r="G1182" s="5" t="n">
        <f aca="false">[1]Base_Jugadores!F1182</f>
        <v>69</v>
      </c>
      <c r="H1182" s="5" t="n">
        <f aca="false">[1]Base_Jugadores!G1182</f>
        <v>26</v>
      </c>
      <c r="I1182" s="7" t="n">
        <f aca="false" t="array" ref="I1182:I1182">_xlfn.XLOOKUP(G1182,{55;56;57;58;59;60;61;62;63;64;65;66;67;68;69;70;71;72;73;74;75;76;77;78;79;80;81;82;83;84;85;86;87;88;89;90;91;92;93;94;95;96;97;98;99},{100000;130000;160000;190000;220000;250000;300000;350000;400000;450000;500000;600000;700000;800000;900000;1000000;1500000;2000000;3000000;4000000;5000000;6500000;8000000;10000000;12500000;15000000;20000000;25000000;30000000;35000000;40000000;55000000;70000000;80000000;90000000;110000000;130000000;160000000;190000000;220000000;250000000;280000000;310000000;340000000;400000000})</f>
        <v>900000</v>
      </c>
      <c r="J1182" s="7" t="n">
        <f aca="false">I1182*S1182*T1182*U1182</f>
        <v>1179900</v>
      </c>
      <c r="K1182" s="3"/>
      <c r="L1182" s="3"/>
      <c r="M1182" s="3"/>
      <c r="N1182" s="9" t="n">
        <v>0</v>
      </c>
      <c r="O1182" s="4" t="n">
        <v>0</v>
      </c>
      <c r="P1182" s="5" t="n">
        <f aca="false">IF(COUNTIF([1]Base_Jugadores!J$2:J$500,B1182)&gt;0,1,0)</f>
        <v>0</v>
      </c>
      <c r="Q1182" s="10" t="b">
        <f aca="false">--(COUNTIFS(
   [1]Fichajes_Realizados!A$2:A$5000,A1182,
   [1]Fichajes_Realizados!G$2:G$5000,$X$3
)&gt;0)</f>
        <v>0</v>
      </c>
      <c r="R1182" s="5" t="n">
        <f aca="false">_xlfn.XLOOKUP(C1182, [1]Estado_Equipos!A$2:A$500, [1]Estado_Equipos!J$2:J$500, "")</f>
        <v>71</v>
      </c>
      <c r="S1182" s="5" t="n">
        <f aca="false">IF(H1182&lt;=16,1.45,
IF(H1182&gt;=41,0.3,
CHOOSE(ROUNDDOWN((H1182-16)/2,0)+1,
1.45,1.38,1.3,1.23,1.17,1.15,1.12,1.05,0.95,0.8,0.6,0.4,0.3)))</f>
        <v>1.15</v>
      </c>
      <c r="T1182" s="5" t="n">
        <f aca="false">CHOOSE(N1182+1,1.2,1,0.85,0.7)</f>
        <v>1.2</v>
      </c>
      <c r="U1182" s="5" t="n">
        <f aca="false">IF(F1182="PO",0.6,
IF(F1182="CT",0.75,
IF(F1182="LI",0.8,
IF(F1182="LD",0.8,
IF(F1182="MCD",0.85,
IF(F1182="MC",0.95,
IF(F1182="MO",1.05,
IF(F1182="EI",1.1,
IF(F1182="ED",1.1,
IF(F1182="SD",1.15,
IF(F1182="DC",1.2,0)))))))))))</f>
        <v>0.95</v>
      </c>
    </row>
    <row r="1183" customFormat="false" ht="16.4" hidden="false" customHeight="false" outlineLevel="0" collapsed="false">
      <c r="A1183" s="1" t="n">
        <v>1182</v>
      </c>
      <c r="B1183" s="5" t="str">
        <f aca="false">[1]Base_Jugadores!B1183</f>
        <v>Mattia Valoti</v>
      </c>
      <c r="C1183" s="5" t="str">
        <f aca="false">IFERROR(
   _xlfn.XLOOKUP(VALUE(A1183),[1]Fichajes_Realizados!A$2:A$50000,[1]Fichajes_Realizados!D$2:D$50000,,0,-1),
   _xlfn.XLOOKUP(VALUE(A1183),[1]Base_Jugadores!A$2:A$50000,[1]Base_Jugadores!C$2:C$50000)
)</f>
        <v>US Cremonese</v>
      </c>
      <c r="D1183" s="5" t="str">
        <f aca="false">[1]Base_Jugadores!D1183</f>
        <v>Italia</v>
      </c>
      <c r="E1183" s="3"/>
      <c r="F1183" s="5" t="str">
        <f aca="false">[1]Base_Jugadores!E1183</f>
        <v>MC</v>
      </c>
      <c r="G1183" s="5" t="n">
        <f aca="false">[1]Base_Jugadores!F1183</f>
        <v>71</v>
      </c>
      <c r="H1183" s="5" t="n">
        <f aca="false">[1]Base_Jugadores!G1183</f>
        <v>32</v>
      </c>
      <c r="I1183" s="7" t="n">
        <f aca="false" t="array" ref="I1183:I1183">_xlfn.XLOOKUP(G1183,{55;56;57;58;59;60;61;62;63;64;65;66;67;68;69;70;71;72;73;74;75;76;77;78;79;80;81;82;83;84;85;86;87;88;89;90;91;92;93;94;95;96;97;98;99},{100000;130000;160000;190000;220000;250000;300000;350000;400000;450000;500000;600000;700000;800000;900000;1000000;1500000;2000000;3000000;4000000;5000000;6500000;8000000;10000000;12500000;15000000;20000000;25000000;30000000;35000000;40000000;55000000;70000000;80000000;90000000;110000000;130000000;160000000;190000000;220000000;250000000;280000000;310000000;340000000;400000000})</f>
        <v>1500000</v>
      </c>
      <c r="J1183" s="7" t="n">
        <f aca="false">I1183*S1183*T1183*U1183</f>
        <v>1624500</v>
      </c>
      <c r="K1183" s="3"/>
      <c r="L1183" s="3"/>
      <c r="M1183" s="3"/>
      <c r="N1183" s="9" t="n">
        <v>0</v>
      </c>
      <c r="O1183" s="4" t="n">
        <v>0</v>
      </c>
      <c r="P1183" s="5" t="n">
        <f aca="false">IF(COUNTIF([1]Base_Jugadores!J$2:J$500,B1183)&gt;0,1,0)</f>
        <v>0</v>
      </c>
      <c r="Q1183" s="10" t="b">
        <f aca="false">--(COUNTIFS(
   [1]Fichajes_Realizados!A$2:A$5000,A1183,
   [1]Fichajes_Realizados!G$2:G$5000,$X$3
)&gt;0)</f>
        <v>0</v>
      </c>
      <c r="R1183" s="5" t="n">
        <f aca="false">_xlfn.XLOOKUP(C1183, [1]Estado_Equipos!A$2:A$500, [1]Estado_Equipos!J$2:J$500, "")</f>
        <v>71</v>
      </c>
      <c r="S1183" s="5" t="n">
        <f aca="false">IF(H1183&lt;=16,1.45,
IF(H1183&gt;=41,0.3,
CHOOSE(ROUNDDOWN((H1183-16)/2,0)+1,
1.45,1.38,1.3,1.23,1.17,1.15,1.12,1.05,0.95,0.8,0.6,0.4,0.3)))</f>
        <v>0.95</v>
      </c>
      <c r="T1183" s="5" t="n">
        <f aca="false">CHOOSE(N1183+1,1.2,1,0.85,0.7)</f>
        <v>1.2</v>
      </c>
      <c r="U1183" s="5" t="n">
        <f aca="false">IF(F1183="PO",0.6,
IF(F1183="CT",0.75,
IF(F1183="LI",0.8,
IF(F1183="LD",0.8,
IF(F1183="MCD",0.85,
IF(F1183="MC",0.95,
IF(F1183="MO",1.05,
IF(F1183="EI",1.1,
IF(F1183="ED",1.1,
IF(F1183="SD",1.15,
IF(F1183="DC",1.2,0)))))))))))</f>
        <v>0.95</v>
      </c>
    </row>
    <row r="1184" customFormat="false" ht="16.4" hidden="false" customHeight="false" outlineLevel="0" collapsed="false">
      <c r="A1184" s="1" t="n">
        <v>1183</v>
      </c>
      <c r="B1184" s="5" t="str">
        <f aca="false">[1]Base_Jugadores!B1184</f>
        <v>D. Lordkipanidze</v>
      </c>
      <c r="C1184" s="5" t="str">
        <f aca="false">IFERROR(
   _xlfn.XLOOKUP(VALUE(A1184),[1]Fichajes_Realizados!A$2:A$50000,[1]Fichajes_Realizados!D$2:D$50000,,0,-1),
   _xlfn.XLOOKUP(VALUE(A1184),[1]Base_Jugadores!A$2:A$50000,[1]Base_Jugadores!C$2:C$50000)
)</f>
        <v>US Cremonese</v>
      </c>
      <c r="D1184" s="5" t="str">
        <f aca="false">[1]Base_Jugadores!D1184</f>
        <v>Georgia</v>
      </c>
      <c r="E1184" s="3"/>
      <c r="F1184" s="5" t="str">
        <f aca="false">[1]Base_Jugadores!E1184</f>
        <v>MC</v>
      </c>
      <c r="G1184" s="5" t="n">
        <f aca="false">[1]Base_Jugadores!F1184</f>
        <v>56</v>
      </c>
      <c r="H1184" s="5" t="n">
        <f aca="false">[1]Base_Jugadores!G1184</f>
        <v>20</v>
      </c>
      <c r="I1184" s="7" t="n">
        <f aca="false" t="array" ref="I1184:I1184">_xlfn.XLOOKUP(G1184,{55;56;57;58;59;60;61;62;63;64;65;66;67;68;69;70;71;72;73;74;75;76;77;78;79;80;81;82;83;84;85;86;87;88;89;90;91;92;93;94;95;96;97;98;99},{100000;130000;160000;190000;220000;250000;300000;350000;400000;450000;500000;600000;700000;800000;900000;1000000;1500000;2000000;3000000;4000000;5000000;6500000;8000000;10000000;12500000;15000000;20000000;25000000;30000000;35000000;40000000;55000000;70000000;80000000;90000000;110000000;130000000;160000000;190000000;220000000;250000000;280000000;310000000;340000000;400000000})</f>
        <v>130000</v>
      </c>
      <c r="J1184" s="7" t="n">
        <f aca="false">I1184*S1184*T1184*U1184</f>
        <v>192660</v>
      </c>
      <c r="K1184" s="3"/>
      <c r="L1184" s="3"/>
      <c r="M1184" s="3"/>
      <c r="N1184" s="9" t="n">
        <v>0</v>
      </c>
      <c r="O1184" s="4" t="n">
        <v>0</v>
      </c>
      <c r="P1184" s="5" t="n">
        <f aca="false">IF(COUNTIF([1]Base_Jugadores!J$2:J$500,B1184)&gt;0,1,0)</f>
        <v>0</v>
      </c>
      <c r="Q1184" s="10" t="b">
        <f aca="false">--(COUNTIFS(
   [1]Fichajes_Realizados!A$2:A$5000,A1184,
   [1]Fichajes_Realizados!G$2:G$5000,$X$3
)&gt;0)</f>
        <v>0</v>
      </c>
      <c r="R1184" s="5" t="n">
        <f aca="false">_xlfn.XLOOKUP(C1184, [1]Estado_Equipos!A$2:A$500, [1]Estado_Equipos!J$2:J$500, "")</f>
        <v>71</v>
      </c>
      <c r="S1184" s="5" t="n">
        <f aca="false">IF(H1184&lt;=16,1.45,
IF(H1184&gt;=41,0.3,
CHOOSE(ROUNDDOWN((H1184-16)/2,0)+1,
1.45,1.38,1.3,1.23,1.17,1.15,1.12,1.05,0.95,0.8,0.6,0.4,0.3)))</f>
        <v>1.3</v>
      </c>
      <c r="T1184" s="5" t="n">
        <f aca="false">CHOOSE(N1184+1,1.2,1,0.85,0.7)</f>
        <v>1.2</v>
      </c>
      <c r="U1184" s="5" t="n">
        <f aca="false">IF(F1184="PO",0.6,
IF(F1184="CT",0.75,
IF(F1184="LI",0.8,
IF(F1184="LD",0.8,
IF(F1184="MCD",0.85,
IF(F1184="MC",0.95,
IF(F1184="MO",1.05,
IF(F1184="EI",1.1,
IF(F1184="ED",1.1,
IF(F1184="SD",1.15,
IF(F1184="DC",1.2,0)))))))))))</f>
        <v>0.95</v>
      </c>
    </row>
    <row r="1185" customFormat="false" ht="16.4" hidden="false" customHeight="false" outlineLevel="0" collapsed="false">
      <c r="A1185" s="1" t="n">
        <v>1184</v>
      </c>
      <c r="B1185" s="5" t="str">
        <f aca="false">[1]Base_Jugadores!B1185</f>
        <v>Alessio Zerbin</v>
      </c>
      <c r="C1185" s="5" t="str">
        <f aca="false">IFERROR(
   _xlfn.XLOOKUP(VALUE(A1185),[1]Fichajes_Realizados!A$2:A$50000,[1]Fichajes_Realizados!D$2:D$50000,,0,-1),
   _xlfn.XLOOKUP(VALUE(A1185),[1]Base_Jugadores!A$2:A$50000,[1]Base_Jugadores!C$2:C$50000)
)</f>
        <v>US Cremonese</v>
      </c>
      <c r="D1185" s="5" t="str">
        <f aca="false">[1]Base_Jugadores!D1185</f>
        <v>Italia</v>
      </c>
      <c r="E1185" s="3"/>
      <c r="F1185" s="5" t="str">
        <f aca="false">[1]Base_Jugadores!E1185</f>
        <v>ED</v>
      </c>
      <c r="G1185" s="5" t="n">
        <f aca="false">[1]Base_Jugadores!F1185</f>
        <v>72</v>
      </c>
      <c r="H1185" s="5" t="n">
        <f aca="false">[1]Base_Jugadores!G1185</f>
        <v>26</v>
      </c>
      <c r="I1185" s="7" t="n">
        <f aca="false" t="array" ref="I1185:I1185">_xlfn.XLOOKUP(G1185,{55;56;57;58;59;60;61;62;63;64;65;66;67;68;69;70;71;72;73;74;75;76;77;78;79;80;81;82;83;84;85;86;87;88;89;90;91;92;93;94;95;96;97;98;99},{100000;130000;160000;190000;220000;250000;300000;350000;400000;450000;500000;600000;700000;800000;900000;1000000;1500000;2000000;3000000;4000000;5000000;6500000;8000000;10000000;12500000;15000000;20000000;25000000;30000000;35000000;40000000;55000000;70000000;80000000;90000000;110000000;130000000;160000000;190000000;220000000;250000000;280000000;310000000;340000000;400000000})</f>
        <v>2000000</v>
      </c>
      <c r="J1185" s="7" t="n">
        <f aca="false">I1185*S1185*T1185*U1185</f>
        <v>3036000</v>
      </c>
      <c r="K1185" s="3"/>
      <c r="L1185" s="3"/>
      <c r="M1185" s="3"/>
      <c r="N1185" s="9" t="n">
        <v>0</v>
      </c>
      <c r="O1185" s="4" t="n">
        <v>0</v>
      </c>
      <c r="P1185" s="5" t="n">
        <f aca="false">IF(COUNTIF([1]Base_Jugadores!J$2:J$500,B1185)&gt;0,1,0)</f>
        <v>0</v>
      </c>
      <c r="Q1185" s="10" t="b">
        <f aca="false">--(COUNTIFS(
   [1]Fichajes_Realizados!A$2:A$5000,A1185,
   [1]Fichajes_Realizados!G$2:G$5000,$X$3
)&gt;0)</f>
        <v>0</v>
      </c>
      <c r="R1185" s="5" t="n">
        <f aca="false">_xlfn.XLOOKUP(C1185, [1]Estado_Equipos!A$2:A$500, [1]Estado_Equipos!J$2:J$500, "")</f>
        <v>71</v>
      </c>
      <c r="S1185" s="5" t="n">
        <f aca="false">IF(H1185&lt;=16,1.45,
IF(H1185&gt;=41,0.3,
CHOOSE(ROUNDDOWN((H1185-16)/2,0)+1,
1.45,1.38,1.3,1.23,1.17,1.15,1.12,1.05,0.95,0.8,0.6,0.4,0.3)))</f>
        <v>1.15</v>
      </c>
      <c r="T1185" s="5" t="n">
        <f aca="false">CHOOSE(N1185+1,1.2,1,0.85,0.7)</f>
        <v>1.2</v>
      </c>
      <c r="U1185" s="5" t="n">
        <f aca="false">IF(F1185="PO",0.6,
IF(F1185="CT",0.75,
IF(F1185="LI",0.8,
IF(F1185="LD",0.8,
IF(F1185="MCD",0.85,
IF(F1185="MC",0.95,
IF(F1185="MO",1.05,
IF(F1185="EI",1.1,
IF(F1185="ED",1.1,
IF(F1185="SD",1.15,
IF(F1185="DC",1.2,0)))))))))))</f>
        <v>1.1</v>
      </c>
    </row>
    <row r="1186" customFormat="false" ht="16.4" hidden="false" customHeight="false" outlineLevel="0" collapsed="false">
      <c r="A1186" s="1" t="n">
        <v>1185</v>
      </c>
      <c r="B1186" s="5" t="str">
        <f aca="false">[1]Base_Jugadores!B1186</f>
        <v>Franco Vázquez</v>
      </c>
      <c r="C1186" s="5" t="str">
        <f aca="false">IFERROR(
   _xlfn.XLOOKUP(VALUE(A1186),[1]Fichajes_Realizados!A$2:A$50000,[1]Fichajes_Realizados!D$2:D$50000,,0,-1),
   _xlfn.XLOOKUP(VALUE(A1186),[1]Base_Jugadores!A$2:A$50000,[1]Base_Jugadores!C$2:C$50000)
)</f>
        <v>US Cremonese</v>
      </c>
      <c r="D1186" s="5" t="str">
        <f aca="false">[1]Base_Jugadores!D1186</f>
        <v>Argentina</v>
      </c>
      <c r="E1186" s="3"/>
      <c r="F1186" s="5" t="str">
        <f aca="false">[1]Base_Jugadores!E1186</f>
        <v>MO</v>
      </c>
      <c r="G1186" s="5" t="n">
        <f aca="false">[1]Base_Jugadores!F1186</f>
        <v>76</v>
      </c>
      <c r="H1186" s="5" t="n">
        <f aca="false">[1]Base_Jugadores!G1186</f>
        <v>36</v>
      </c>
      <c r="I1186" s="7" t="n">
        <f aca="false" t="array" ref="I1186:I1186">_xlfn.XLOOKUP(G1186,{55;56;57;58;59;60;61;62;63;64;65;66;67;68;69;70;71;72;73;74;75;76;77;78;79;80;81;82;83;84;85;86;87;88;89;90;91;92;93;94;95;96;97;98;99},{100000;130000;160000;190000;220000;250000;300000;350000;400000;450000;500000;600000;700000;800000;900000;1000000;1500000;2000000;3000000;4000000;5000000;6500000;8000000;10000000;12500000;15000000;20000000;25000000;30000000;35000000;40000000;55000000;70000000;80000000;90000000;110000000;130000000;160000000;190000000;220000000;250000000;280000000;310000000;340000000;400000000})</f>
        <v>6500000</v>
      </c>
      <c r="J1186" s="7" t="n">
        <f aca="false">I1186*S1186*T1186*U1186</f>
        <v>4914000</v>
      </c>
      <c r="K1186" s="3"/>
      <c r="L1186" s="3"/>
      <c r="M1186" s="3"/>
      <c r="N1186" s="9" t="n">
        <v>0</v>
      </c>
      <c r="O1186" s="4" t="n">
        <v>0</v>
      </c>
      <c r="P1186" s="5" t="n">
        <f aca="false">IF(COUNTIF([1]Base_Jugadores!J$2:J$500,B1186)&gt;0,1,0)</f>
        <v>0</v>
      </c>
      <c r="Q1186" s="10" t="b">
        <f aca="false">--(COUNTIFS(
   [1]Fichajes_Realizados!A$2:A$5000,A1186,
   [1]Fichajes_Realizados!G$2:G$5000,$X$3
)&gt;0)</f>
        <v>0</v>
      </c>
      <c r="R1186" s="5" t="n">
        <f aca="false">_xlfn.XLOOKUP(C1186, [1]Estado_Equipos!A$2:A$500, [1]Estado_Equipos!J$2:J$500, "")</f>
        <v>71</v>
      </c>
      <c r="S1186" s="5" t="n">
        <f aca="false">IF(H1186&lt;=16,1.45,
IF(H1186&gt;=41,0.3,
CHOOSE(ROUNDDOWN((H1186-16)/2,0)+1,
1.45,1.38,1.3,1.23,1.17,1.15,1.12,1.05,0.95,0.8,0.6,0.4,0.3)))</f>
        <v>0.6</v>
      </c>
      <c r="T1186" s="5" t="n">
        <f aca="false">CHOOSE(N1186+1,1.2,1,0.85,0.7)</f>
        <v>1.2</v>
      </c>
      <c r="U1186" s="5" t="n">
        <f aca="false">IF(F1186="PO",0.6,
IF(F1186="CT",0.75,
IF(F1186="LI",0.8,
IF(F1186="LD",0.8,
IF(F1186="MCD",0.85,
IF(F1186="MC",0.95,
IF(F1186="MO",1.05,
IF(F1186="EI",1.1,
IF(F1186="ED",1.1,
IF(F1186="SD",1.15,
IF(F1186="DC",1.2,0)))))))))))</f>
        <v>1.05</v>
      </c>
    </row>
    <row r="1187" customFormat="false" ht="16.4" hidden="false" customHeight="false" outlineLevel="0" collapsed="false">
      <c r="A1187" s="1" t="n">
        <v>1186</v>
      </c>
      <c r="B1187" s="5" t="str">
        <f aca="false">[1]Base_Jugadores!B1187</f>
        <v>Jeremy Sarmiento</v>
      </c>
      <c r="C1187" s="5" t="str">
        <f aca="false">IFERROR(
   _xlfn.XLOOKUP(VALUE(A1187),[1]Fichajes_Realizados!A$2:A$50000,[1]Fichajes_Realizados!D$2:D$50000,,0,-1),
   _xlfn.XLOOKUP(VALUE(A1187),[1]Base_Jugadores!A$2:A$50000,[1]Base_Jugadores!C$2:C$50000)
)</f>
        <v>US Cremonese</v>
      </c>
      <c r="D1187" s="5" t="str">
        <f aca="false">[1]Base_Jugadores!D1187</f>
        <v>Ecuador</v>
      </c>
      <c r="E1187" s="3"/>
      <c r="F1187" s="5" t="str">
        <f aca="false">[1]Base_Jugadores!E1187</f>
        <v>EI</v>
      </c>
      <c r="G1187" s="5" t="n">
        <f aca="false">[1]Base_Jugadores!F1187</f>
        <v>72</v>
      </c>
      <c r="H1187" s="5" t="n">
        <f aca="false">[1]Base_Jugadores!G1187</f>
        <v>23</v>
      </c>
      <c r="I1187" s="7" t="n">
        <f aca="false" t="array" ref="I1187:I1187">_xlfn.XLOOKUP(G1187,{55;56;57;58;59;60;61;62;63;64;65;66;67;68;69;70;71;72;73;74;75;76;77;78;79;80;81;82;83;84;85;86;87;88;89;90;91;92;93;94;95;96;97;98;99},{100000;130000;160000;190000;220000;250000;300000;350000;400000;450000;500000;600000;700000;800000;900000;1000000;1500000;2000000;3000000;4000000;5000000;6500000;8000000;10000000;12500000;15000000;20000000;25000000;30000000;35000000;40000000;55000000;70000000;80000000;90000000;110000000;130000000;160000000;190000000;220000000;250000000;280000000;310000000;340000000;400000000})</f>
        <v>2000000</v>
      </c>
      <c r="J1187" s="7" t="n">
        <f aca="false">I1187*S1187*T1187*U1187</f>
        <v>3247200</v>
      </c>
      <c r="K1187" s="3"/>
      <c r="L1187" s="3"/>
      <c r="M1187" s="3"/>
      <c r="N1187" s="9" t="n">
        <v>0</v>
      </c>
      <c r="O1187" s="4" t="n">
        <v>0</v>
      </c>
      <c r="P1187" s="5" t="n">
        <f aca="false">IF(COUNTIF([1]Base_Jugadores!J$2:J$500,B1187)&gt;0,1,0)</f>
        <v>0</v>
      </c>
      <c r="Q1187" s="10" t="b">
        <f aca="false">--(COUNTIFS(
   [1]Fichajes_Realizados!A$2:A$5000,A1187,
   [1]Fichajes_Realizados!G$2:G$5000,$X$3
)&gt;0)</f>
        <v>0</v>
      </c>
      <c r="R1187" s="5" t="n">
        <f aca="false">_xlfn.XLOOKUP(C1187, [1]Estado_Equipos!A$2:A$500, [1]Estado_Equipos!J$2:J$500, "")</f>
        <v>71</v>
      </c>
      <c r="S1187" s="5" t="n">
        <f aca="false">IF(H1187&lt;=16,1.45,
IF(H1187&gt;=41,0.3,
CHOOSE(ROUNDDOWN((H1187-16)/2,0)+1,
1.45,1.38,1.3,1.23,1.17,1.15,1.12,1.05,0.95,0.8,0.6,0.4,0.3)))</f>
        <v>1.23</v>
      </c>
      <c r="T1187" s="5" t="n">
        <f aca="false">CHOOSE(N1187+1,1.2,1,0.85,0.7)</f>
        <v>1.2</v>
      </c>
      <c r="U1187" s="5" t="n">
        <f aca="false">IF(F1187="PO",0.6,
IF(F1187="CT",0.75,
IF(F1187="LI",0.8,
IF(F1187="LD",0.8,
IF(F1187="MCD",0.85,
IF(F1187="MC",0.95,
IF(F1187="MO",1.05,
IF(F1187="EI",1.1,
IF(F1187="ED",1.1,
IF(F1187="SD",1.15,
IF(F1187="DC",1.2,0)))))))))))</f>
        <v>1.1</v>
      </c>
    </row>
    <row r="1188" customFormat="false" ht="16.4" hidden="false" customHeight="false" outlineLevel="0" collapsed="false">
      <c r="A1188" s="1" t="n">
        <v>1187</v>
      </c>
      <c r="B1188" s="5" t="str">
        <f aca="false">[1]Base_Jugadores!B1188</f>
        <v>Dennis Johnsen</v>
      </c>
      <c r="C1188" s="5" t="str">
        <f aca="false">IFERROR(
   _xlfn.XLOOKUP(VALUE(A1188),[1]Fichajes_Realizados!A$2:A$50000,[1]Fichajes_Realizados!D$2:D$50000,,0,-1),
   _xlfn.XLOOKUP(VALUE(A1188),[1]Base_Jugadores!A$2:A$50000,[1]Base_Jugadores!C$2:C$50000)
)</f>
        <v>US Cremonese</v>
      </c>
      <c r="D1188" s="5" t="str">
        <f aca="false">[1]Base_Jugadores!D1188</f>
        <v>Noruega</v>
      </c>
      <c r="E1188" s="3"/>
      <c r="F1188" s="5" t="str">
        <f aca="false">[1]Base_Jugadores!E1188</f>
        <v>EI</v>
      </c>
      <c r="G1188" s="5" t="n">
        <f aca="false">[1]Base_Jugadores!F1188</f>
        <v>72</v>
      </c>
      <c r="H1188" s="5" t="n">
        <f aca="false">[1]Base_Jugadores!G1188</f>
        <v>27</v>
      </c>
      <c r="I1188" s="7" t="n">
        <f aca="false" t="array" ref="I1188:I1188">_xlfn.XLOOKUP(G1188,{55;56;57;58;59;60;61;62;63;64;65;66;67;68;69;70;71;72;73;74;75;76;77;78;79;80;81;82;83;84;85;86;87;88;89;90;91;92;93;94;95;96;97;98;99},{100000;130000;160000;190000;220000;250000;300000;350000;400000;450000;500000;600000;700000;800000;900000;1000000;1500000;2000000;3000000;4000000;5000000;6500000;8000000;10000000;12500000;15000000;20000000;25000000;30000000;35000000;40000000;55000000;70000000;80000000;90000000;110000000;130000000;160000000;190000000;220000000;250000000;280000000;310000000;340000000;400000000})</f>
        <v>2000000</v>
      </c>
      <c r="J1188" s="7" t="n">
        <f aca="false">I1188*S1188*T1188*U1188</f>
        <v>3036000</v>
      </c>
      <c r="K1188" s="3"/>
      <c r="L1188" s="3"/>
      <c r="M1188" s="3"/>
      <c r="N1188" s="9" t="n">
        <v>0</v>
      </c>
      <c r="O1188" s="4" t="n">
        <v>0</v>
      </c>
      <c r="P1188" s="5" t="n">
        <f aca="false">IF(COUNTIF([1]Base_Jugadores!J$2:J$500,B1188)&gt;0,1,0)</f>
        <v>0</v>
      </c>
      <c r="Q1188" s="10" t="b">
        <f aca="false">--(COUNTIFS(
   [1]Fichajes_Realizados!A$2:A$5000,A1188,
   [1]Fichajes_Realizados!G$2:G$5000,$X$3
)&gt;0)</f>
        <v>0</v>
      </c>
      <c r="R1188" s="5" t="n">
        <f aca="false">_xlfn.XLOOKUP(C1188, [1]Estado_Equipos!A$2:A$500, [1]Estado_Equipos!J$2:J$500, "")</f>
        <v>71</v>
      </c>
      <c r="S1188" s="5" t="n">
        <f aca="false">IF(H1188&lt;=16,1.45,
IF(H1188&gt;=41,0.3,
CHOOSE(ROUNDDOWN((H1188-16)/2,0)+1,
1.45,1.38,1.3,1.23,1.17,1.15,1.12,1.05,0.95,0.8,0.6,0.4,0.3)))</f>
        <v>1.15</v>
      </c>
      <c r="T1188" s="5" t="n">
        <f aca="false">CHOOSE(N1188+1,1.2,1,0.85,0.7)</f>
        <v>1.2</v>
      </c>
      <c r="U1188" s="5" t="n">
        <f aca="false">IF(F1188="PO",0.6,
IF(F1188="CT",0.75,
IF(F1188="LI",0.8,
IF(F1188="LD",0.8,
IF(F1188="MCD",0.85,
IF(F1188="MC",0.95,
IF(F1188="MO",1.05,
IF(F1188="EI",1.1,
IF(F1188="ED",1.1,
IF(F1188="SD",1.15,
IF(F1188="DC",1.2,0)))))))))))</f>
        <v>1.1</v>
      </c>
    </row>
    <row r="1189" customFormat="false" ht="16.4" hidden="false" customHeight="false" outlineLevel="0" collapsed="false">
      <c r="A1189" s="1" t="n">
        <v>1188</v>
      </c>
      <c r="B1189" s="5" t="str">
        <f aca="false">[1]Base_Jugadores!B1189</f>
        <v>Faris Moumbagna</v>
      </c>
      <c r="C1189" s="5" t="str">
        <f aca="false">IFERROR(
   _xlfn.XLOOKUP(VALUE(A1189),[1]Fichajes_Realizados!A$2:A$50000,[1]Fichajes_Realizados!D$2:D$50000,,0,-1),
   _xlfn.XLOOKUP(VALUE(A1189),[1]Base_Jugadores!A$2:A$50000,[1]Base_Jugadores!C$2:C$50000)
)</f>
        <v>US Cremonese</v>
      </c>
      <c r="D1189" s="5" t="str">
        <f aca="false">[1]Base_Jugadores!D1189</f>
        <v>Camerún</v>
      </c>
      <c r="E1189" s="3"/>
      <c r="F1189" s="5" t="str">
        <f aca="false">[1]Base_Jugadores!E1189</f>
        <v>DC</v>
      </c>
      <c r="G1189" s="5" t="n">
        <f aca="false">[1]Base_Jugadores!F1189</f>
        <v>74</v>
      </c>
      <c r="H1189" s="5" t="n">
        <f aca="false">[1]Base_Jugadores!G1189</f>
        <v>25</v>
      </c>
      <c r="I1189" s="7" t="n">
        <f aca="false" t="array" ref="I1189:I1189">_xlfn.XLOOKUP(G1189,{55;56;57;58;59;60;61;62;63;64;65;66;67;68;69;70;71;72;73;74;75;76;77;78;79;80;81;82;83;84;85;86;87;88;89;90;91;92;93;94;95;96;97;98;99},{100000;130000;160000;190000;220000;250000;300000;350000;400000;450000;500000;600000;700000;800000;900000;1000000;1500000;2000000;3000000;4000000;5000000;6500000;8000000;10000000;12500000;15000000;20000000;25000000;30000000;35000000;40000000;55000000;70000000;80000000;90000000;110000000;130000000;160000000;190000000;220000000;250000000;280000000;310000000;340000000;400000000})</f>
        <v>4000000</v>
      </c>
      <c r="J1189" s="7" t="n">
        <f aca="false">I1189*S1189*T1189*U1189</f>
        <v>6739200</v>
      </c>
      <c r="K1189" s="3"/>
      <c r="L1189" s="3"/>
      <c r="M1189" s="3"/>
      <c r="N1189" s="9" t="n">
        <v>0</v>
      </c>
      <c r="O1189" s="4" t="n">
        <v>0</v>
      </c>
      <c r="P1189" s="5" t="n">
        <f aca="false">IF(COUNTIF([1]Base_Jugadores!J$2:J$500,B1189)&gt;0,1,0)</f>
        <v>0</v>
      </c>
      <c r="Q1189" s="10" t="b">
        <f aca="false">--(COUNTIFS(
   [1]Fichajes_Realizados!A$2:A$5000,A1189,
   [1]Fichajes_Realizados!G$2:G$5000,$X$3
)&gt;0)</f>
        <v>0</v>
      </c>
      <c r="R1189" s="5" t="n">
        <f aca="false">_xlfn.XLOOKUP(C1189, [1]Estado_Equipos!A$2:A$500, [1]Estado_Equipos!J$2:J$500, "")</f>
        <v>71</v>
      </c>
      <c r="S1189" s="5" t="n">
        <f aca="false">IF(H1189&lt;=16,1.45,
IF(H1189&gt;=41,0.3,
CHOOSE(ROUNDDOWN((H1189-16)/2,0)+1,
1.45,1.38,1.3,1.23,1.17,1.15,1.12,1.05,0.95,0.8,0.6,0.4,0.3)))</f>
        <v>1.17</v>
      </c>
      <c r="T1189" s="5" t="n">
        <f aca="false">CHOOSE(N1189+1,1.2,1,0.85,0.7)</f>
        <v>1.2</v>
      </c>
      <c r="U1189" s="5" t="n">
        <f aca="false">IF(F1189="PO",0.6,
IF(F1189="CT",0.75,
IF(F1189="LI",0.8,
IF(F1189="LD",0.8,
IF(F1189="MCD",0.85,
IF(F1189="MC",0.95,
IF(F1189="MO",1.05,
IF(F1189="EI",1.1,
IF(F1189="ED",1.1,
IF(F1189="SD",1.15,
IF(F1189="DC",1.2,0)))))))))))</f>
        <v>1.2</v>
      </c>
    </row>
    <row r="1190" customFormat="false" ht="16.4" hidden="false" customHeight="false" outlineLevel="0" collapsed="false">
      <c r="A1190" s="1" t="n">
        <v>1189</v>
      </c>
      <c r="B1190" s="5" t="str">
        <f aca="false">[1]Base_Jugadores!B1190</f>
        <v>Antonio Sanabria</v>
      </c>
      <c r="C1190" s="5" t="str">
        <f aca="false">IFERROR(
   _xlfn.XLOOKUP(VALUE(A1190),[1]Fichajes_Realizados!A$2:A$50000,[1]Fichajes_Realizados!D$2:D$50000,,0,-1),
   _xlfn.XLOOKUP(VALUE(A1190),[1]Base_Jugadores!A$2:A$50000,[1]Base_Jugadores!C$2:C$50000)
)</f>
        <v>US Cremonese</v>
      </c>
      <c r="D1190" s="5" t="str">
        <f aca="false">[1]Base_Jugadores!D1190</f>
        <v>Paraguay</v>
      </c>
      <c r="E1190" s="3"/>
      <c r="F1190" s="5" t="str">
        <f aca="false">[1]Base_Jugadores!E1190</f>
        <v>DC</v>
      </c>
      <c r="G1190" s="5" t="n">
        <f aca="false">[1]Base_Jugadores!F1190</f>
        <v>77</v>
      </c>
      <c r="H1190" s="5" t="n">
        <f aca="false">[1]Base_Jugadores!G1190</f>
        <v>29</v>
      </c>
      <c r="I1190" s="7" t="n">
        <f aca="false" t="array" ref="I1190:I1190">_xlfn.XLOOKUP(G1190,{55;56;57;58;59;60;61;62;63;64;65;66;67;68;69;70;71;72;73;74;75;76;77;78;79;80;81;82;83;84;85;86;87;88;89;90;91;92;93;94;95;96;97;98;99},{100000;130000;160000;190000;220000;250000;300000;350000;400000;450000;500000;600000;700000;800000;900000;1000000;1500000;2000000;3000000;4000000;5000000;6500000;8000000;10000000;12500000;15000000;20000000;25000000;30000000;35000000;40000000;55000000;70000000;80000000;90000000;110000000;130000000;160000000;190000000;220000000;250000000;280000000;310000000;340000000;400000000})</f>
        <v>8000000</v>
      </c>
      <c r="J1190" s="7" t="n">
        <f aca="false">I1190*S1190*T1190*U1190</f>
        <v>12902400</v>
      </c>
      <c r="K1190" s="3"/>
      <c r="L1190" s="3"/>
      <c r="M1190" s="3"/>
      <c r="N1190" s="9" t="n">
        <v>0</v>
      </c>
      <c r="O1190" s="4" t="n">
        <v>0</v>
      </c>
      <c r="P1190" s="5" t="n">
        <f aca="false">IF(COUNTIF([1]Base_Jugadores!J$2:J$500,B1190)&gt;0,1,0)</f>
        <v>0</v>
      </c>
      <c r="Q1190" s="10" t="b">
        <f aca="false">--(COUNTIFS(
   [1]Fichajes_Realizados!A$2:A$5000,A1190,
   [1]Fichajes_Realizados!G$2:G$5000,$X$3
)&gt;0)</f>
        <v>0</v>
      </c>
      <c r="R1190" s="5" t="n">
        <f aca="false">_xlfn.XLOOKUP(C1190, [1]Estado_Equipos!A$2:A$500, [1]Estado_Equipos!J$2:J$500, "")</f>
        <v>71</v>
      </c>
      <c r="S1190" s="5" t="n">
        <f aca="false">IF(H1190&lt;=16,1.45,
IF(H1190&gt;=41,0.3,
CHOOSE(ROUNDDOWN((H1190-16)/2,0)+1,
1.45,1.38,1.3,1.23,1.17,1.15,1.12,1.05,0.95,0.8,0.6,0.4,0.3)))</f>
        <v>1.12</v>
      </c>
      <c r="T1190" s="5" t="n">
        <f aca="false">CHOOSE(N1190+1,1.2,1,0.85,0.7)</f>
        <v>1.2</v>
      </c>
      <c r="U1190" s="5" t="n">
        <f aca="false">IF(F1190="PO",0.6,
IF(F1190="CT",0.75,
IF(F1190="LI",0.8,
IF(F1190="LD",0.8,
IF(F1190="MCD",0.85,
IF(F1190="MC",0.95,
IF(F1190="MO",1.05,
IF(F1190="EI",1.1,
IF(F1190="ED",1.1,
IF(F1190="SD",1.15,
IF(F1190="DC",1.2,0)))))))))))</f>
        <v>1.2</v>
      </c>
    </row>
    <row r="1191" customFormat="false" ht="16.4" hidden="false" customHeight="false" outlineLevel="0" collapsed="false">
      <c r="A1191" s="1" t="n">
        <v>1190</v>
      </c>
      <c r="B1191" s="5" t="str">
        <f aca="false">[1]Base_Jugadores!B1191</f>
        <v>Manuel De Luca</v>
      </c>
      <c r="C1191" s="5" t="str">
        <f aca="false">IFERROR(
   _xlfn.XLOOKUP(VALUE(A1191),[1]Fichajes_Realizados!A$2:A$50000,[1]Fichajes_Realizados!D$2:D$50000,,0,-1),
   _xlfn.XLOOKUP(VALUE(A1191),[1]Base_Jugadores!A$2:A$50000,[1]Base_Jugadores!C$2:C$50000)
)</f>
        <v>US Cremonese</v>
      </c>
      <c r="D1191" s="5" t="str">
        <f aca="false">[1]Base_Jugadores!D1191</f>
        <v>Italia</v>
      </c>
      <c r="E1191" s="3"/>
      <c r="F1191" s="5" t="str">
        <f aca="false">[1]Base_Jugadores!E1191</f>
        <v>DC</v>
      </c>
      <c r="G1191" s="5" t="n">
        <f aca="false">[1]Base_Jugadores!F1191</f>
        <v>70</v>
      </c>
      <c r="H1191" s="5" t="n">
        <f aca="false">[1]Base_Jugadores!G1191</f>
        <v>27</v>
      </c>
      <c r="I1191" s="7" t="n">
        <f aca="false" t="array" ref="I1191:I1191">_xlfn.XLOOKUP(G1191,{55;56;57;58;59;60;61;62;63;64;65;66;67;68;69;70;71;72;73;74;75;76;77;78;79;80;81;82;83;84;85;86;87;88;89;90;91;92;93;94;95;96;97;98;99},{100000;130000;160000;190000;220000;250000;300000;350000;400000;450000;500000;600000;700000;800000;900000;1000000;1500000;2000000;3000000;4000000;5000000;6500000;8000000;10000000;12500000;15000000;20000000;25000000;30000000;35000000;40000000;55000000;70000000;80000000;90000000;110000000;130000000;160000000;190000000;220000000;250000000;280000000;310000000;340000000;400000000})</f>
        <v>1000000</v>
      </c>
      <c r="J1191" s="7" t="n">
        <f aca="false">I1191*S1191*T1191*U1191</f>
        <v>1656000</v>
      </c>
      <c r="K1191" s="3"/>
      <c r="L1191" s="3"/>
      <c r="M1191" s="3"/>
      <c r="N1191" s="9" t="n">
        <v>0</v>
      </c>
      <c r="O1191" s="4" t="n">
        <v>0</v>
      </c>
      <c r="P1191" s="5" t="n">
        <f aca="false">IF(COUNTIF([1]Base_Jugadores!J$2:J$500,B1191)&gt;0,1,0)</f>
        <v>0</v>
      </c>
      <c r="Q1191" s="10" t="b">
        <f aca="false">--(COUNTIFS(
   [1]Fichajes_Realizados!A$2:A$5000,A1191,
   [1]Fichajes_Realizados!G$2:G$5000,$X$3
)&gt;0)</f>
        <v>0</v>
      </c>
      <c r="R1191" s="5" t="n">
        <f aca="false">_xlfn.XLOOKUP(C1191, [1]Estado_Equipos!A$2:A$500, [1]Estado_Equipos!J$2:J$500, "")</f>
        <v>71</v>
      </c>
      <c r="S1191" s="5" t="n">
        <f aca="false">IF(H1191&lt;=16,1.45,
IF(H1191&gt;=41,0.3,
CHOOSE(ROUNDDOWN((H1191-16)/2,0)+1,
1.45,1.38,1.3,1.23,1.17,1.15,1.12,1.05,0.95,0.8,0.6,0.4,0.3)))</f>
        <v>1.15</v>
      </c>
      <c r="T1191" s="5" t="n">
        <f aca="false">CHOOSE(N1191+1,1.2,1,0.85,0.7)</f>
        <v>1.2</v>
      </c>
      <c r="U1191" s="5" t="n">
        <f aca="false">IF(F1191="PO",0.6,
IF(F1191="CT",0.75,
IF(F1191="LI",0.8,
IF(F1191="LD",0.8,
IF(F1191="MCD",0.85,
IF(F1191="MC",0.95,
IF(F1191="MO",1.05,
IF(F1191="EI",1.1,
IF(F1191="ED",1.1,
IF(F1191="SD",1.15,
IF(F1191="DC",1.2,0)))))))))))</f>
        <v>1.2</v>
      </c>
    </row>
    <row r="1192" customFormat="false" ht="16.4" hidden="false" customHeight="false" outlineLevel="0" collapsed="false">
      <c r="A1192" s="1" t="n">
        <v>1191</v>
      </c>
      <c r="B1192" s="5" t="str">
        <f aca="false">[1]Base_Jugadores!B1192</f>
        <v>David Okereke</v>
      </c>
      <c r="C1192" s="5" t="str">
        <f aca="false">IFERROR(
   _xlfn.XLOOKUP(VALUE(A1192),[1]Fichajes_Realizados!A$2:A$50000,[1]Fichajes_Realizados!D$2:D$50000,,0,-1),
   _xlfn.XLOOKUP(VALUE(A1192),[1]Base_Jugadores!A$2:A$50000,[1]Base_Jugadores!C$2:C$50000)
)</f>
        <v>US Cremonese</v>
      </c>
      <c r="D1192" s="5" t="str">
        <f aca="false">[1]Base_Jugadores!D1192</f>
        <v>Nigeria</v>
      </c>
      <c r="E1192" s="3"/>
      <c r="F1192" s="5" t="str">
        <f aca="false">[1]Base_Jugadores!E1192</f>
        <v>DC</v>
      </c>
      <c r="G1192" s="5" t="n">
        <f aca="false">[1]Base_Jugadores!F1192</f>
        <v>74</v>
      </c>
      <c r="H1192" s="5" t="n">
        <f aca="false">[1]Base_Jugadores!G1192</f>
        <v>28</v>
      </c>
      <c r="I1192" s="7" t="n">
        <f aca="false" t="array" ref="I1192:I1192">_xlfn.XLOOKUP(G1192,{55;56;57;58;59;60;61;62;63;64;65;66;67;68;69;70;71;72;73;74;75;76;77;78;79;80;81;82;83;84;85;86;87;88;89;90;91;92;93;94;95;96;97;98;99},{100000;130000;160000;190000;220000;250000;300000;350000;400000;450000;500000;600000;700000;800000;900000;1000000;1500000;2000000;3000000;4000000;5000000;6500000;8000000;10000000;12500000;15000000;20000000;25000000;30000000;35000000;40000000;55000000;70000000;80000000;90000000;110000000;130000000;160000000;190000000;220000000;250000000;280000000;310000000;340000000;400000000})</f>
        <v>4000000</v>
      </c>
      <c r="J1192" s="7" t="n">
        <f aca="false">I1192*S1192*T1192*U1192</f>
        <v>6451200</v>
      </c>
      <c r="K1192" s="3"/>
      <c r="L1192" s="3"/>
      <c r="M1192" s="3"/>
      <c r="N1192" s="9" t="n">
        <v>0</v>
      </c>
      <c r="O1192" s="4" t="n">
        <v>0</v>
      </c>
      <c r="P1192" s="5" t="n">
        <f aca="false">IF(COUNTIF([1]Base_Jugadores!J$2:J$500,B1192)&gt;0,1,0)</f>
        <v>0</v>
      </c>
      <c r="Q1192" s="10" t="b">
        <f aca="false">--(COUNTIFS(
   [1]Fichajes_Realizados!A$2:A$5000,A1192,
   [1]Fichajes_Realizados!G$2:G$5000,$X$3
)&gt;0)</f>
        <v>0</v>
      </c>
      <c r="R1192" s="5" t="n">
        <f aca="false">_xlfn.XLOOKUP(C1192, [1]Estado_Equipos!A$2:A$500, [1]Estado_Equipos!J$2:J$500, "")</f>
        <v>71</v>
      </c>
      <c r="S1192" s="5" t="n">
        <f aca="false">IF(H1192&lt;=16,1.45,
IF(H1192&gt;=41,0.3,
CHOOSE(ROUNDDOWN((H1192-16)/2,0)+1,
1.45,1.38,1.3,1.23,1.17,1.15,1.12,1.05,0.95,0.8,0.6,0.4,0.3)))</f>
        <v>1.12</v>
      </c>
      <c r="T1192" s="5" t="n">
        <f aca="false">CHOOSE(N1192+1,1.2,1,0.85,0.7)</f>
        <v>1.2</v>
      </c>
      <c r="U1192" s="5" t="n">
        <f aca="false">IF(F1192="PO",0.6,
IF(F1192="CT",0.75,
IF(F1192="LI",0.8,
IF(F1192="LD",0.8,
IF(F1192="MCD",0.85,
IF(F1192="MC",0.95,
IF(F1192="MO",1.05,
IF(F1192="EI",1.1,
IF(F1192="ED",1.1,
IF(F1192="SD",1.15,
IF(F1192="DC",1.2,0)))))))))))</f>
        <v>1.2</v>
      </c>
    </row>
    <row r="1193" customFormat="false" ht="16.4" hidden="false" customHeight="false" outlineLevel="0" collapsed="false">
      <c r="A1193" s="1" t="n">
        <v>1192</v>
      </c>
      <c r="B1193" s="5" t="str">
        <f aca="false">[1]Base_Jugadores!B1193</f>
        <v>Jamie Vardy</v>
      </c>
      <c r="C1193" s="5" t="str">
        <f aca="false">IFERROR(
   _xlfn.XLOOKUP(VALUE(A1193),[1]Fichajes_Realizados!A$2:A$50000,[1]Fichajes_Realizados!D$2:D$50000,,0,-1),
   _xlfn.XLOOKUP(VALUE(A1193),[1]Base_Jugadores!A$2:A$50000,[1]Base_Jugadores!C$2:C$50000)
)</f>
        <v>US Cremonese</v>
      </c>
      <c r="D1193" s="5" t="str">
        <f aca="false">[1]Base_Jugadores!D1193</f>
        <v>Inglaterra</v>
      </c>
      <c r="E1193" s="3"/>
      <c r="F1193" s="5" t="str">
        <f aca="false">[1]Base_Jugadores!E1193</f>
        <v>DC</v>
      </c>
      <c r="G1193" s="5" t="n">
        <f aca="false">[1]Base_Jugadores!F1193</f>
        <v>77</v>
      </c>
      <c r="H1193" s="5" t="n">
        <f aca="false">[1]Base_Jugadores!G1193</f>
        <v>38</v>
      </c>
      <c r="I1193" s="7" t="n">
        <f aca="false" t="array" ref="I1193:I1193">_xlfn.XLOOKUP(G1193,{55;56;57;58;59;60;61;62;63;64;65;66;67;68;69;70;71;72;73;74;75;76;77;78;79;80;81;82;83;84;85;86;87;88;89;90;91;92;93;94;95;96;97;98;99},{100000;130000;160000;190000;220000;250000;300000;350000;400000;450000;500000;600000;700000;800000;900000;1000000;1500000;2000000;3000000;4000000;5000000;6500000;8000000;10000000;12500000;15000000;20000000;25000000;30000000;35000000;40000000;55000000;70000000;80000000;90000000;110000000;130000000;160000000;190000000;220000000;250000000;280000000;310000000;340000000;400000000})</f>
        <v>8000000</v>
      </c>
      <c r="J1193" s="7" t="n">
        <f aca="false">I1193*S1193*T1193*U1193</f>
        <v>4608000</v>
      </c>
      <c r="K1193" s="3"/>
      <c r="L1193" s="3"/>
      <c r="M1193" s="3"/>
      <c r="N1193" s="9" t="n">
        <v>0</v>
      </c>
      <c r="O1193" s="4" t="n">
        <v>0</v>
      </c>
      <c r="P1193" s="5" t="n">
        <f aca="false">IF(COUNTIF([1]Base_Jugadores!J$2:J$500,B1193)&gt;0,1,0)</f>
        <v>0</v>
      </c>
      <c r="Q1193" s="10" t="b">
        <f aca="false">--(COUNTIFS(
   [1]Fichajes_Realizados!A$2:A$5000,A1193,
   [1]Fichajes_Realizados!G$2:G$5000,$X$3
)&gt;0)</f>
        <v>0</v>
      </c>
      <c r="R1193" s="5" t="n">
        <f aca="false">_xlfn.XLOOKUP(C1193, [1]Estado_Equipos!A$2:A$500, [1]Estado_Equipos!J$2:J$500, "")</f>
        <v>71</v>
      </c>
      <c r="S1193" s="5" t="n">
        <f aca="false">IF(H1193&lt;=16,1.45,
IF(H1193&gt;=41,0.3,
CHOOSE(ROUNDDOWN((H1193-16)/2,0)+1,
1.45,1.38,1.3,1.23,1.17,1.15,1.12,1.05,0.95,0.8,0.6,0.4,0.3)))</f>
        <v>0.4</v>
      </c>
      <c r="T1193" s="5" t="n">
        <f aca="false">CHOOSE(N1193+1,1.2,1,0.85,0.7)</f>
        <v>1.2</v>
      </c>
      <c r="U1193" s="5" t="n">
        <f aca="false">IF(F1193="PO",0.6,
IF(F1193="CT",0.75,
IF(F1193="LI",0.8,
IF(F1193="LD",0.8,
IF(F1193="MCD",0.85,
IF(F1193="MC",0.95,
IF(F1193="MO",1.05,
IF(F1193="EI",1.1,
IF(F1193="ED",1.1,
IF(F1193="SD",1.15,
IF(F1193="DC",1.2,0)))))))))))</f>
        <v>1.2</v>
      </c>
    </row>
    <row r="1194" customFormat="false" ht="16.4" hidden="false" customHeight="false" outlineLevel="0" collapsed="false">
      <c r="A1194" s="1" t="n">
        <v>1193</v>
      </c>
      <c r="B1194" s="5" t="str">
        <f aca="false">[1]Base_Jugadores!B1194</f>
        <v>Federico Bonazzoli</v>
      </c>
      <c r="C1194" s="5" t="str">
        <f aca="false">IFERROR(
   _xlfn.XLOOKUP(VALUE(A1194),[1]Fichajes_Realizados!A$2:A$50000,[1]Fichajes_Realizados!D$2:D$50000,,0,-1),
   _xlfn.XLOOKUP(VALUE(A1194),[1]Base_Jugadores!A$2:A$50000,[1]Base_Jugadores!C$2:C$50000)
)</f>
        <v>US Cremonese</v>
      </c>
      <c r="D1194" s="5" t="str">
        <f aca="false">[1]Base_Jugadores!D1194</f>
        <v>Italia</v>
      </c>
      <c r="E1194" s="3"/>
      <c r="F1194" s="5" t="str">
        <f aca="false">[1]Base_Jugadores!E1194</f>
        <v>DC</v>
      </c>
      <c r="G1194" s="5" t="n">
        <f aca="false">[1]Base_Jugadores!F1194</f>
        <v>71</v>
      </c>
      <c r="H1194" s="5" t="n">
        <f aca="false">[1]Base_Jugadores!G1194</f>
        <v>28</v>
      </c>
      <c r="I1194" s="7" t="n">
        <f aca="false" t="array" ref="I1194:I1194">_xlfn.XLOOKUP(G1194,{55;56;57;58;59;60;61;62;63;64;65;66;67;68;69;70;71;72;73;74;75;76;77;78;79;80;81;82;83;84;85;86;87;88;89;90;91;92;93;94;95;96;97;98;99},{100000;130000;160000;190000;220000;250000;300000;350000;400000;450000;500000;600000;700000;800000;900000;1000000;1500000;2000000;3000000;4000000;5000000;6500000;8000000;10000000;12500000;15000000;20000000;25000000;30000000;35000000;40000000;55000000;70000000;80000000;90000000;110000000;130000000;160000000;190000000;220000000;250000000;280000000;310000000;340000000;400000000})</f>
        <v>1500000</v>
      </c>
      <c r="J1194" s="7" t="n">
        <f aca="false">I1194*S1194*T1194*U1194</f>
        <v>2419200</v>
      </c>
      <c r="K1194" s="3"/>
      <c r="L1194" s="3"/>
      <c r="M1194" s="3"/>
      <c r="N1194" s="9" t="n">
        <v>0</v>
      </c>
      <c r="O1194" s="4" t="n">
        <v>0</v>
      </c>
      <c r="P1194" s="5" t="n">
        <f aca="false">IF(COUNTIF([1]Base_Jugadores!J$2:J$500,B1194)&gt;0,1,0)</f>
        <v>0</v>
      </c>
      <c r="Q1194" s="10" t="b">
        <f aca="false">--(COUNTIFS(
   [1]Fichajes_Realizados!A$2:A$5000,A1194,
   [1]Fichajes_Realizados!G$2:G$5000,$X$3
)&gt;0)</f>
        <v>0</v>
      </c>
      <c r="R1194" s="5" t="n">
        <f aca="false">_xlfn.XLOOKUP(C1194, [1]Estado_Equipos!A$2:A$500, [1]Estado_Equipos!J$2:J$500, "")</f>
        <v>71</v>
      </c>
      <c r="S1194" s="5" t="n">
        <f aca="false">IF(H1194&lt;=16,1.45,
IF(H1194&gt;=41,0.3,
CHOOSE(ROUNDDOWN((H1194-16)/2,0)+1,
1.45,1.38,1.3,1.23,1.17,1.15,1.12,1.05,0.95,0.8,0.6,0.4,0.3)))</f>
        <v>1.12</v>
      </c>
      <c r="T1194" s="5" t="n">
        <f aca="false">CHOOSE(N1194+1,1.2,1,0.85,0.7)</f>
        <v>1.2</v>
      </c>
      <c r="U1194" s="5" t="n">
        <f aca="false">IF(F1194="PO",0.6,
IF(F1194="CT",0.75,
IF(F1194="LI",0.8,
IF(F1194="LD",0.8,
IF(F1194="MCD",0.85,
IF(F1194="MC",0.95,
IF(F1194="MO",1.05,
IF(F1194="EI",1.1,
IF(F1194="ED",1.1,
IF(F1194="SD",1.15,
IF(F1194="DC",1.2,0)))))))))))</f>
        <v>1.2</v>
      </c>
    </row>
    <row r="1195" customFormat="false" ht="16.4" hidden="false" customHeight="false" outlineLevel="0" collapsed="false">
      <c r="A1195" s="1" t="n">
        <v>1194</v>
      </c>
      <c r="B1195" s="5" t="str">
        <f aca="false">[1]Base_Jugadores!B1195</f>
        <v>David de Gea</v>
      </c>
      <c r="C1195" s="5" t="str">
        <f aca="false">IFERROR(
   _xlfn.XLOOKUP(VALUE(A1195),[1]Fichajes_Realizados!A$2:A$50000,[1]Fichajes_Realizados!D$2:D$50000,,0,-1),
   _xlfn.XLOOKUP(VALUE(A1195),[1]Base_Jugadores!A$2:A$50000,[1]Base_Jugadores!C$2:C$50000)
)</f>
        <v>Fiorentina</v>
      </c>
      <c r="D1195" s="5" t="str">
        <f aca="false">[1]Base_Jugadores!D1195</f>
        <v>España</v>
      </c>
      <c r="E1195" s="3"/>
      <c r="F1195" s="5" t="str">
        <f aca="false">[1]Base_Jugadores!E1195</f>
        <v>PO</v>
      </c>
      <c r="G1195" s="5" t="n">
        <f aca="false">[1]Base_Jugadores!F1195</f>
        <v>83</v>
      </c>
      <c r="H1195" s="5" t="n">
        <f aca="false">[1]Base_Jugadores!G1195</f>
        <v>35</v>
      </c>
      <c r="I1195" s="7" t="n">
        <f aca="false" t="array" ref="I1195:I1195">_xlfn.XLOOKUP(G1195,{55;56;57;58;59;60;61;62;63;64;65;66;67;68;69;70;71;72;73;74;75;76;77;78;79;80;81;82;83;84;85;86;87;88;89;90;91;92;93;94;95;96;97;98;99},{100000;130000;160000;190000;220000;250000;300000;350000;400000;450000;500000;600000;700000;800000;900000;1000000;1500000;2000000;3000000;4000000;5000000;6500000;8000000;10000000;12500000;15000000;20000000;25000000;30000000;35000000;40000000;55000000;70000000;80000000;90000000;110000000;130000000;160000000;190000000;220000000;250000000;280000000;310000000;340000000;400000000})</f>
        <v>30000000</v>
      </c>
      <c r="J1195" s="7" t="n">
        <f aca="false">I1195*S1195*T1195*U1195</f>
        <v>17280000</v>
      </c>
      <c r="K1195" s="3"/>
      <c r="L1195" s="3"/>
      <c r="M1195" s="3"/>
      <c r="N1195" s="9" t="n">
        <v>0</v>
      </c>
      <c r="O1195" s="4" t="n">
        <v>0</v>
      </c>
      <c r="P1195" s="5" t="n">
        <f aca="false">IF(COUNTIF([1]Base_Jugadores!J$2:J$500,B1195)&gt;0,1,0)</f>
        <v>0</v>
      </c>
      <c r="Q1195" s="10" t="b">
        <f aca="false">--(COUNTIFS(
   [1]Fichajes_Realizados!A$2:A$5000,A1195,
   [1]Fichajes_Realizados!G$2:G$5000,$X$3
)&gt;0)</f>
        <v>0</v>
      </c>
      <c r="R1195" s="5" t="n">
        <f aca="false">_xlfn.XLOOKUP(C1195, [1]Estado_Equipos!A$2:A$500, [1]Estado_Equipos!J$2:J$500, "")</f>
        <v>74</v>
      </c>
      <c r="S1195" s="5" t="n">
        <f aca="false">IF(H1195&lt;=16,1.45,
IF(H1195&gt;=41,0.3,
CHOOSE(ROUNDDOWN((H1195-16)/2,0)+1,
1.45,1.38,1.3,1.23,1.17,1.15,1.12,1.05,0.95,0.8,0.6,0.4,0.3)))</f>
        <v>0.8</v>
      </c>
      <c r="T1195" s="5" t="n">
        <f aca="false">CHOOSE(N1195+1,1.2,1,0.85,0.7)</f>
        <v>1.2</v>
      </c>
      <c r="U1195" s="5" t="n">
        <f aca="false">IF(F1195="PO",0.6,
IF(F1195="CT",0.75,
IF(F1195="LI",0.8,
IF(F1195="LD",0.8,
IF(F1195="MCD",0.85,
IF(F1195="MC",0.95,
IF(F1195="MO",1.05,
IF(F1195="EI",1.1,
IF(F1195="ED",1.1,
IF(F1195="SD",1.15,
IF(F1195="DC",1.2,0)))))))))))</f>
        <v>0.6</v>
      </c>
    </row>
    <row r="1196" customFormat="false" ht="16.4" hidden="false" customHeight="false" outlineLevel="0" collapsed="false">
      <c r="A1196" s="1" t="n">
        <v>1195</v>
      </c>
      <c r="B1196" s="5" t="str">
        <f aca="false">[1]Base_Jugadores!B1196</f>
        <v>T. Martinelli</v>
      </c>
      <c r="C1196" s="5" t="str">
        <f aca="false">IFERROR(
   _xlfn.XLOOKUP(VALUE(A1196),[1]Fichajes_Realizados!A$2:A$50000,[1]Fichajes_Realizados!D$2:D$50000,,0,-1),
   _xlfn.XLOOKUP(VALUE(A1196),[1]Base_Jugadores!A$2:A$50000,[1]Base_Jugadores!C$2:C$50000)
)</f>
        <v>Fiorentina</v>
      </c>
      <c r="D1196" s="5" t="str">
        <f aca="false">[1]Base_Jugadores!D1196</f>
        <v>Italia</v>
      </c>
      <c r="E1196" s="3"/>
      <c r="F1196" s="5" t="str">
        <f aca="false">[1]Base_Jugadores!E1196</f>
        <v>PO</v>
      </c>
      <c r="G1196" s="5" t="n">
        <f aca="false">[1]Base_Jugadores!F1196</f>
        <v>63</v>
      </c>
      <c r="H1196" s="5" t="n">
        <f aca="false">[1]Base_Jugadores!G1196</f>
        <v>19</v>
      </c>
      <c r="I1196" s="7" t="n">
        <f aca="false" t="array" ref="I1196:I1196">_xlfn.XLOOKUP(G1196,{55;56;57;58;59;60;61;62;63;64;65;66;67;68;69;70;71;72;73;74;75;76;77;78;79;80;81;82;83;84;85;86;87;88;89;90;91;92;93;94;95;96;97;98;99},{100000;130000;160000;190000;220000;250000;300000;350000;400000;450000;500000;600000;700000;800000;900000;1000000;1500000;2000000;3000000;4000000;5000000;6500000;8000000;10000000;12500000;15000000;20000000;25000000;30000000;35000000;40000000;55000000;70000000;80000000;90000000;110000000;130000000;160000000;190000000;220000000;250000000;280000000;310000000;340000000;400000000})</f>
        <v>400000</v>
      </c>
      <c r="J1196" s="7" t="n">
        <f aca="false">I1196*S1196*T1196*U1196</f>
        <v>397440</v>
      </c>
      <c r="K1196" s="3"/>
      <c r="L1196" s="3"/>
      <c r="M1196" s="3"/>
      <c r="N1196" s="9" t="n">
        <v>0</v>
      </c>
      <c r="O1196" s="4" t="n">
        <v>0</v>
      </c>
      <c r="P1196" s="5" t="n">
        <f aca="false">IF(COUNTIF([1]Base_Jugadores!J$2:J$500,B1196)&gt;0,1,0)</f>
        <v>0</v>
      </c>
      <c r="Q1196" s="10" t="b">
        <f aca="false">--(COUNTIFS(
   [1]Fichajes_Realizados!A$2:A$5000,A1196,
   [1]Fichajes_Realizados!G$2:G$5000,$X$3
)&gt;0)</f>
        <v>0</v>
      </c>
      <c r="R1196" s="5" t="n">
        <f aca="false">_xlfn.XLOOKUP(C1196, [1]Estado_Equipos!A$2:A$500, [1]Estado_Equipos!J$2:J$500, "")</f>
        <v>74</v>
      </c>
      <c r="S1196" s="5" t="n">
        <f aca="false">IF(H1196&lt;=16,1.45,
IF(H1196&gt;=41,0.3,
CHOOSE(ROUNDDOWN((H1196-16)/2,0)+1,
1.45,1.38,1.3,1.23,1.17,1.15,1.12,1.05,0.95,0.8,0.6,0.4,0.3)))</f>
        <v>1.38</v>
      </c>
      <c r="T1196" s="5" t="n">
        <f aca="false">CHOOSE(N1196+1,1.2,1,0.85,0.7)</f>
        <v>1.2</v>
      </c>
      <c r="U1196" s="5" t="n">
        <f aca="false">IF(F1196="PO",0.6,
IF(F1196="CT",0.75,
IF(F1196="LI",0.8,
IF(F1196="LD",0.8,
IF(F1196="MCD",0.85,
IF(F1196="MC",0.95,
IF(F1196="MO",1.05,
IF(F1196="EI",1.1,
IF(F1196="ED",1.1,
IF(F1196="SD",1.15,
IF(F1196="DC",1.2,0)))))))))))</f>
        <v>0.6</v>
      </c>
    </row>
    <row r="1197" customFormat="false" ht="16.4" hidden="false" customHeight="false" outlineLevel="0" collapsed="false">
      <c r="A1197" s="1" t="n">
        <v>1196</v>
      </c>
      <c r="B1197" s="5" t="str">
        <f aca="false">[1]Base_Jugadores!B1197</f>
        <v>Luca Lezzerini</v>
      </c>
      <c r="C1197" s="5" t="str">
        <f aca="false">IFERROR(
   _xlfn.XLOOKUP(VALUE(A1197),[1]Fichajes_Realizados!A$2:A$50000,[1]Fichajes_Realizados!D$2:D$50000,,0,-1),
   _xlfn.XLOOKUP(VALUE(A1197),[1]Base_Jugadores!A$2:A$50000,[1]Base_Jugadores!C$2:C$50000)
)</f>
        <v>Fiorentina</v>
      </c>
      <c r="D1197" s="5" t="str">
        <f aca="false">[1]Base_Jugadores!D1197</f>
        <v>Italia</v>
      </c>
      <c r="E1197" s="3"/>
      <c r="F1197" s="5" t="str">
        <f aca="false">[1]Base_Jugadores!E1197</f>
        <v>PO</v>
      </c>
      <c r="G1197" s="5" t="n">
        <f aca="false">[1]Base_Jugadores!F1197</f>
        <v>69</v>
      </c>
      <c r="H1197" s="5" t="n">
        <f aca="false">[1]Base_Jugadores!G1197</f>
        <v>30</v>
      </c>
      <c r="I1197" s="7" t="n">
        <f aca="false" t="array" ref="I1197:I1197">_xlfn.XLOOKUP(G1197,{55;56;57;58;59;60;61;62;63;64;65;66;67;68;69;70;71;72;73;74;75;76;77;78;79;80;81;82;83;84;85;86;87;88;89;90;91;92;93;94;95;96;97;98;99},{100000;130000;160000;190000;220000;250000;300000;350000;400000;450000;500000;600000;700000;800000;900000;1000000;1500000;2000000;3000000;4000000;5000000;6500000;8000000;10000000;12500000;15000000;20000000;25000000;30000000;35000000;40000000;55000000;70000000;80000000;90000000;110000000;130000000;160000000;190000000;220000000;250000000;280000000;310000000;340000000;400000000})</f>
        <v>900000</v>
      </c>
      <c r="J1197" s="7" t="n">
        <f aca="false">I1197*S1197*T1197*U1197</f>
        <v>680400</v>
      </c>
      <c r="K1197" s="3"/>
      <c r="L1197" s="3"/>
      <c r="M1197" s="3"/>
      <c r="N1197" s="9" t="n">
        <v>0</v>
      </c>
      <c r="O1197" s="4" t="n">
        <v>0</v>
      </c>
      <c r="P1197" s="5" t="n">
        <f aca="false">IF(COUNTIF([1]Base_Jugadores!J$2:J$500,B1197)&gt;0,1,0)</f>
        <v>0</v>
      </c>
      <c r="Q1197" s="10" t="b">
        <f aca="false">--(COUNTIFS(
   [1]Fichajes_Realizados!A$2:A$5000,A1197,
   [1]Fichajes_Realizados!G$2:G$5000,$X$3
)&gt;0)</f>
        <v>0</v>
      </c>
      <c r="R1197" s="5" t="n">
        <f aca="false">_xlfn.XLOOKUP(C1197, [1]Estado_Equipos!A$2:A$500, [1]Estado_Equipos!J$2:J$500, "")</f>
        <v>74</v>
      </c>
      <c r="S1197" s="5" t="n">
        <f aca="false">IF(H1197&lt;=16,1.45,
IF(H1197&gt;=41,0.3,
CHOOSE(ROUNDDOWN((H1197-16)/2,0)+1,
1.45,1.38,1.3,1.23,1.17,1.15,1.12,1.05,0.95,0.8,0.6,0.4,0.3)))</f>
        <v>1.05</v>
      </c>
      <c r="T1197" s="5" t="n">
        <f aca="false">CHOOSE(N1197+1,1.2,1,0.85,0.7)</f>
        <v>1.2</v>
      </c>
      <c r="U1197" s="5" t="n">
        <f aca="false">IF(F1197="PO",0.6,
IF(F1197="CT",0.75,
IF(F1197="LI",0.8,
IF(F1197="LD",0.8,
IF(F1197="MCD",0.85,
IF(F1197="MC",0.95,
IF(F1197="MO",1.05,
IF(F1197="EI",1.1,
IF(F1197="ED",1.1,
IF(F1197="SD",1.15,
IF(F1197="DC",1.2,0)))))))))))</f>
        <v>0.6</v>
      </c>
    </row>
    <row r="1198" customFormat="false" ht="16.4" hidden="false" customHeight="false" outlineLevel="0" collapsed="false">
      <c r="A1198" s="1" t="n">
        <v>1197</v>
      </c>
      <c r="B1198" s="5" t="str">
        <f aca="false">[1]Base_Jugadores!B1198</f>
        <v>Pietro Comuzzo</v>
      </c>
      <c r="C1198" s="5" t="str">
        <f aca="false">IFERROR(
   _xlfn.XLOOKUP(VALUE(A1198),[1]Fichajes_Realizados!A$2:A$50000,[1]Fichajes_Realizados!D$2:D$50000,,0,-1),
   _xlfn.XLOOKUP(VALUE(A1198),[1]Base_Jugadores!A$2:A$50000,[1]Base_Jugadores!C$2:C$50000)
)</f>
        <v>Fiorentina</v>
      </c>
      <c r="D1198" s="5" t="str">
        <f aca="false">[1]Base_Jugadores!D1198</f>
        <v>Italia</v>
      </c>
      <c r="E1198" s="3"/>
      <c r="F1198" s="5" t="str">
        <f aca="false">[1]Base_Jugadores!E1198</f>
        <v>CT</v>
      </c>
      <c r="G1198" s="5" t="n">
        <f aca="false">[1]Base_Jugadores!F1198</f>
        <v>71</v>
      </c>
      <c r="H1198" s="5" t="n">
        <f aca="false">[1]Base_Jugadores!G1198</f>
        <v>20</v>
      </c>
      <c r="I1198" s="7" t="n">
        <f aca="false" t="array" ref="I1198:I1198">_xlfn.XLOOKUP(G1198,{55;56;57;58;59;60;61;62;63;64;65;66;67;68;69;70;71;72;73;74;75;76;77;78;79;80;81;82;83;84;85;86;87;88;89;90;91;92;93;94;95;96;97;98;99},{100000;130000;160000;190000;220000;250000;300000;350000;400000;450000;500000;600000;700000;800000;900000;1000000;1500000;2000000;3000000;4000000;5000000;6500000;8000000;10000000;12500000;15000000;20000000;25000000;30000000;35000000;40000000;55000000;70000000;80000000;90000000;110000000;130000000;160000000;190000000;220000000;250000000;280000000;310000000;340000000;400000000})</f>
        <v>1500000</v>
      </c>
      <c r="J1198" s="7" t="n">
        <f aca="false">I1198*S1198*T1198*U1198</f>
        <v>1755000</v>
      </c>
      <c r="K1198" s="3"/>
      <c r="L1198" s="3"/>
      <c r="M1198" s="3"/>
      <c r="N1198" s="9" t="n">
        <v>0</v>
      </c>
      <c r="O1198" s="4" t="n">
        <v>0</v>
      </c>
      <c r="P1198" s="5" t="n">
        <f aca="false">IF(COUNTIF([1]Base_Jugadores!J$2:J$500,B1198)&gt;0,1,0)</f>
        <v>0</v>
      </c>
      <c r="Q1198" s="10" t="b">
        <f aca="false">--(COUNTIFS(
   [1]Fichajes_Realizados!A$2:A$5000,A1198,
   [1]Fichajes_Realizados!G$2:G$5000,$X$3
)&gt;0)</f>
        <v>0</v>
      </c>
      <c r="R1198" s="5" t="n">
        <f aca="false">_xlfn.XLOOKUP(C1198, [1]Estado_Equipos!A$2:A$500, [1]Estado_Equipos!J$2:J$500, "")</f>
        <v>74</v>
      </c>
      <c r="S1198" s="5" t="n">
        <f aca="false">IF(H1198&lt;=16,1.45,
IF(H1198&gt;=41,0.3,
CHOOSE(ROUNDDOWN((H1198-16)/2,0)+1,
1.45,1.38,1.3,1.23,1.17,1.15,1.12,1.05,0.95,0.8,0.6,0.4,0.3)))</f>
        <v>1.3</v>
      </c>
      <c r="T1198" s="5" t="n">
        <f aca="false">CHOOSE(N1198+1,1.2,1,0.85,0.7)</f>
        <v>1.2</v>
      </c>
      <c r="U1198" s="5" t="n">
        <f aca="false">IF(F1198="PO",0.6,
IF(F1198="CT",0.75,
IF(F1198="LI",0.8,
IF(F1198="LD",0.8,
IF(F1198="MCD",0.85,
IF(F1198="MC",0.95,
IF(F1198="MO",1.05,
IF(F1198="EI",1.1,
IF(F1198="ED",1.1,
IF(F1198="SD",1.15,
IF(F1198="DC",1.2,0)))))))))))</f>
        <v>0.75</v>
      </c>
    </row>
    <row r="1199" customFormat="false" ht="16.4" hidden="false" customHeight="false" outlineLevel="0" collapsed="false">
      <c r="A1199" s="1" t="n">
        <v>1198</v>
      </c>
      <c r="B1199" s="5" t="str">
        <f aca="false">[1]Base_Jugadores!B1199</f>
        <v>Luca Ranieri</v>
      </c>
      <c r="C1199" s="5" t="str">
        <f aca="false">IFERROR(
   _xlfn.XLOOKUP(VALUE(A1199),[1]Fichajes_Realizados!A$2:A$50000,[1]Fichajes_Realizados!D$2:D$50000,,0,-1),
   _xlfn.XLOOKUP(VALUE(A1199),[1]Base_Jugadores!A$2:A$50000,[1]Base_Jugadores!C$2:C$50000)
)</f>
        <v>Fiorentina</v>
      </c>
      <c r="D1199" s="5" t="str">
        <f aca="false">[1]Base_Jugadores!D1199</f>
        <v>Italia</v>
      </c>
      <c r="E1199" s="3"/>
      <c r="F1199" s="5" t="str">
        <f aca="false">[1]Base_Jugadores!E1199</f>
        <v>CT</v>
      </c>
      <c r="G1199" s="5" t="n">
        <f aca="false">[1]Base_Jugadores!F1199</f>
        <v>74</v>
      </c>
      <c r="H1199" s="5" t="n">
        <f aca="false">[1]Base_Jugadores!G1199</f>
        <v>26</v>
      </c>
      <c r="I1199" s="7" t="n">
        <f aca="false" t="array" ref="I1199:I1199">_xlfn.XLOOKUP(G1199,{55;56;57;58;59;60;61;62;63;64;65;66;67;68;69;70;71;72;73;74;75;76;77;78;79;80;81;82;83;84;85;86;87;88;89;90;91;92;93;94;95;96;97;98;99},{100000;130000;160000;190000;220000;250000;300000;350000;400000;450000;500000;600000;700000;800000;900000;1000000;1500000;2000000;3000000;4000000;5000000;6500000;8000000;10000000;12500000;15000000;20000000;25000000;30000000;35000000;40000000;55000000;70000000;80000000;90000000;110000000;130000000;160000000;190000000;220000000;250000000;280000000;310000000;340000000;400000000})</f>
        <v>4000000</v>
      </c>
      <c r="J1199" s="7" t="n">
        <f aca="false">I1199*S1199*T1199*U1199</f>
        <v>4140000</v>
      </c>
      <c r="K1199" s="3"/>
      <c r="L1199" s="3"/>
      <c r="M1199" s="3"/>
      <c r="N1199" s="9" t="n">
        <v>0</v>
      </c>
      <c r="O1199" s="4" t="n">
        <v>0</v>
      </c>
      <c r="P1199" s="5" t="n">
        <f aca="false">IF(COUNTIF([1]Base_Jugadores!J$2:J$500,B1199)&gt;0,1,0)</f>
        <v>0</v>
      </c>
      <c r="Q1199" s="10" t="b">
        <f aca="false">--(COUNTIFS(
   [1]Fichajes_Realizados!A$2:A$5000,A1199,
   [1]Fichajes_Realizados!G$2:G$5000,$X$3
)&gt;0)</f>
        <v>0</v>
      </c>
      <c r="R1199" s="5" t="n">
        <f aca="false">_xlfn.XLOOKUP(C1199, [1]Estado_Equipos!A$2:A$500, [1]Estado_Equipos!J$2:J$500, "")</f>
        <v>74</v>
      </c>
      <c r="S1199" s="5" t="n">
        <f aca="false">IF(H1199&lt;=16,1.45,
IF(H1199&gt;=41,0.3,
CHOOSE(ROUNDDOWN((H1199-16)/2,0)+1,
1.45,1.38,1.3,1.23,1.17,1.15,1.12,1.05,0.95,0.8,0.6,0.4,0.3)))</f>
        <v>1.15</v>
      </c>
      <c r="T1199" s="5" t="n">
        <f aca="false">CHOOSE(N1199+1,1.2,1,0.85,0.7)</f>
        <v>1.2</v>
      </c>
      <c r="U1199" s="5" t="n">
        <f aca="false">IF(F1199="PO",0.6,
IF(F1199="CT",0.75,
IF(F1199="LI",0.8,
IF(F1199="LD",0.8,
IF(F1199="MCD",0.85,
IF(F1199="MC",0.95,
IF(F1199="MO",1.05,
IF(F1199="EI",1.1,
IF(F1199="ED",1.1,
IF(F1199="SD",1.15,
IF(F1199="DC",1.2,0)))))))))))</f>
        <v>0.75</v>
      </c>
    </row>
    <row r="1200" customFormat="false" ht="16.4" hidden="false" customHeight="false" outlineLevel="0" collapsed="false">
      <c r="A1200" s="1" t="n">
        <v>1199</v>
      </c>
      <c r="B1200" s="5" t="str">
        <f aca="false">[1]Base_Jugadores!B1200</f>
        <v>Marin Pongracic</v>
      </c>
      <c r="C1200" s="5" t="str">
        <f aca="false">IFERROR(
   _xlfn.XLOOKUP(VALUE(A1200),[1]Fichajes_Realizados!A$2:A$50000,[1]Fichajes_Realizados!D$2:D$50000,,0,-1),
   _xlfn.XLOOKUP(VALUE(A1200),[1]Base_Jugadores!A$2:A$50000,[1]Base_Jugadores!C$2:C$50000)
)</f>
        <v>Fiorentina</v>
      </c>
      <c r="D1200" s="5" t="str">
        <f aca="false">[1]Base_Jugadores!D1200</f>
        <v>Croacia</v>
      </c>
      <c r="E1200" s="3"/>
      <c r="F1200" s="5" t="str">
        <f aca="false">[1]Base_Jugadores!E1200</f>
        <v>CT</v>
      </c>
      <c r="G1200" s="5" t="n">
        <f aca="false">[1]Base_Jugadores!F1200</f>
        <v>75</v>
      </c>
      <c r="H1200" s="5" t="n">
        <f aca="false">[1]Base_Jugadores!G1200</f>
        <v>28</v>
      </c>
      <c r="I1200" s="7" t="n">
        <f aca="false" t="array" ref="I1200:I1200">_xlfn.XLOOKUP(G1200,{55;56;57;58;59;60;61;62;63;64;65;66;67;68;69;70;71;72;73;74;75;76;77;78;79;80;81;82;83;84;85;86;87;88;89;90;91;92;93;94;95;96;97;98;99},{100000;130000;160000;190000;220000;250000;300000;350000;400000;450000;500000;600000;700000;800000;900000;1000000;1500000;2000000;3000000;4000000;5000000;6500000;8000000;10000000;12500000;15000000;20000000;25000000;30000000;35000000;40000000;55000000;70000000;80000000;90000000;110000000;130000000;160000000;190000000;220000000;250000000;280000000;310000000;340000000;400000000})</f>
        <v>5000000</v>
      </c>
      <c r="J1200" s="7" t="n">
        <f aca="false">I1200*S1200*T1200*U1200</f>
        <v>5040000</v>
      </c>
      <c r="K1200" s="3"/>
      <c r="L1200" s="3"/>
      <c r="M1200" s="3"/>
      <c r="N1200" s="9" t="n">
        <v>0</v>
      </c>
      <c r="O1200" s="4" t="n">
        <v>0</v>
      </c>
      <c r="P1200" s="5" t="n">
        <f aca="false">IF(COUNTIF([1]Base_Jugadores!J$2:J$500,B1200)&gt;0,1,0)</f>
        <v>0</v>
      </c>
      <c r="Q1200" s="10" t="b">
        <f aca="false">--(COUNTIFS(
   [1]Fichajes_Realizados!A$2:A$5000,A1200,
   [1]Fichajes_Realizados!G$2:G$5000,$X$3
)&gt;0)</f>
        <v>0</v>
      </c>
      <c r="R1200" s="5" t="n">
        <f aca="false">_xlfn.XLOOKUP(C1200, [1]Estado_Equipos!A$2:A$500, [1]Estado_Equipos!J$2:J$500, "")</f>
        <v>74</v>
      </c>
      <c r="S1200" s="5" t="n">
        <f aca="false">IF(H1200&lt;=16,1.45,
IF(H1200&gt;=41,0.3,
CHOOSE(ROUNDDOWN((H1200-16)/2,0)+1,
1.45,1.38,1.3,1.23,1.17,1.15,1.12,1.05,0.95,0.8,0.6,0.4,0.3)))</f>
        <v>1.12</v>
      </c>
      <c r="T1200" s="5" t="n">
        <f aca="false">CHOOSE(N1200+1,1.2,1,0.85,0.7)</f>
        <v>1.2</v>
      </c>
      <c r="U1200" s="5" t="n">
        <f aca="false">IF(F1200="PO",0.6,
IF(F1200="CT",0.75,
IF(F1200="LI",0.8,
IF(F1200="LD",0.8,
IF(F1200="MCD",0.85,
IF(F1200="MC",0.95,
IF(F1200="MO",1.05,
IF(F1200="EI",1.1,
IF(F1200="ED",1.1,
IF(F1200="SD",1.15,
IF(F1200="DC",1.2,0)))))))))))</f>
        <v>0.75</v>
      </c>
    </row>
    <row r="1201" customFormat="false" ht="16.4" hidden="false" customHeight="false" outlineLevel="0" collapsed="false">
      <c r="A1201" s="1" t="n">
        <v>1200</v>
      </c>
      <c r="B1201" s="5" t="str">
        <f aca="false">[1]Base_Jugadores!B1201</f>
        <v>Mattia Viti</v>
      </c>
      <c r="C1201" s="5" t="str">
        <f aca="false">IFERROR(
   _xlfn.XLOOKUP(VALUE(A1201),[1]Fichajes_Realizados!A$2:A$50000,[1]Fichajes_Realizados!D$2:D$50000,,0,-1),
   _xlfn.XLOOKUP(VALUE(A1201),[1]Base_Jugadores!A$2:A$50000,[1]Base_Jugadores!C$2:C$50000)
)</f>
        <v>Fiorentina</v>
      </c>
      <c r="D1201" s="5" t="str">
        <f aca="false">[1]Base_Jugadores!D1201</f>
        <v>Italia</v>
      </c>
      <c r="E1201" s="3"/>
      <c r="F1201" s="5" t="str">
        <f aca="false">[1]Base_Jugadores!E1201</f>
        <v>CT</v>
      </c>
      <c r="G1201" s="5" t="n">
        <f aca="false">[1]Base_Jugadores!F1201</f>
        <v>72</v>
      </c>
      <c r="H1201" s="5" t="n">
        <f aca="false">[1]Base_Jugadores!G1201</f>
        <v>23</v>
      </c>
      <c r="I1201" s="7" t="n">
        <f aca="false" t="array" ref="I1201:I1201">_xlfn.XLOOKUP(G1201,{55;56;57;58;59;60;61;62;63;64;65;66;67;68;69;70;71;72;73;74;75;76;77;78;79;80;81;82;83;84;85;86;87;88;89;90;91;92;93;94;95;96;97;98;99},{100000;130000;160000;190000;220000;250000;300000;350000;400000;450000;500000;600000;700000;800000;900000;1000000;1500000;2000000;3000000;4000000;5000000;6500000;8000000;10000000;12500000;15000000;20000000;25000000;30000000;35000000;40000000;55000000;70000000;80000000;90000000;110000000;130000000;160000000;190000000;220000000;250000000;280000000;310000000;340000000;400000000})</f>
        <v>2000000</v>
      </c>
      <c r="J1201" s="7" t="n">
        <f aca="false">I1201*S1201*T1201*U1201</f>
        <v>2214000</v>
      </c>
      <c r="K1201" s="3"/>
      <c r="L1201" s="3"/>
      <c r="M1201" s="3"/>
      <c r="N1201" s="9" t="n">
        <v>0</v>
      </c>
      <c r="O1201" s="4" t="n">
        <v>0</v>
      </c>
      <c r="P1201" s="5" t="n">
        <f aca="false">IF(COUNTIF([1]Base_Jugadores!J$2:J$500,B1201)&gt;0,1,0)</f>
        <v>0</v>
      </c>
      <c r="Q1201" s="10" t="b">
        <f aca="false">--(COUNTIFS(
   [1]Fichajes_Realizados!A$2:A$5000,A1201,
   [1]Fichajes_Realizados!G$2:G$5000,$X$3
)&gt;0)</f>
        <v>0</v>
      </c>
      <c r="R1201" s="5" t="n">
        <f aca="false">_xlfn.XLOOKUP(C1201, [1]Estado_Equipos!A$2:A$500, [1]Estado_Equipos!J$2:J$500, "")</f>
        <v>74</v>
      </c>
      <c r="S1201" s="5" t="n">
        <f aca="false">IF(H1201&lt;=16,1.45,
IF(H1201&gt;=41,0.3,
CHOOSE(ROUNDDOWN((H1201-16)/2,0)+1,
1.45,1.38,1.3,1.23,1.17,1.15,1.12,1.05,0.95,0.8,0.6,0.4,0.3)))</f>
        <v>1.23</v>
      </c>
      <c r="T1201" s="5" t="n">
        <f aca="false">CHOOSE(N1201+1,1.2,1,0.85,0.7)</f>
        <v>1.2</v>
      </c>
      <c r="U1201" s="5" t="n">
        <f aca="false">IF(F1201="PO",0.6,
IF(F1201="CT",0.75,
IF(F1201="LI",0.8,
IF(F1201="LD",0.8,
IF(F1201="MCD",0.85,
IF(F1201="MC",0.95,
IF(F1201="MO",1.05,
IF(F1201="EI",1.1,
IF(F1201="ED",1.1,
IF(F1201="SD",1.15,
IF(F1201="DC",1.2,0)))))))))))</f>
        <v>0.75</v>
      </c>
    </row>
    <row r="1202" customFormat="false" ht="16.4" hidden="false" customHeight="false" outlineLevel="0" collapsed="false">
      <c r="A1202" s="1" t="n">
        <v>1201</v>
      </c>
      <c r="B1202" s="5" t="str">
        <f aca="false">[1]Base_Jugadores!B1202</f>
        <v>Pablo Marí</v>
      </c>
      <c r="C1202" s="5" t="str">
        <f aca="false">IFERROR(
   _xlfn.XLOOKUP(VALUE(A1202),[1]Fichajes_Realizados!A$2:A$50000,[1]Fichajes_Realizados!D$2:D$50000,,0,-1),
   _xlfn.XLOOKUP(VALUE(A1202),[1]Base_Jugadores!A$2:A$50000,[1]Base_Jugadores!C$2:C$50000)
)</f>
        <v>Fiorentina</v>
      </c>
      <c r="D1202" s="5" t="str">
        <f aca="false">[1]Base_Jugadores!D1202</f>
        <v>España</v>
      </c>
      <c r="E1202" s="3"/>
      <c r="F1202" s="5" t="str">
        <f aca="false">[1]Base_Jugadores!E1202</f>
        <v>CT</v>
      </c>
      <c r="G1202" s="5" t="n">
        <f aca="false">[1]Base_Jugadores!F1202</f>
        <v>75</v>
      </c>
      <c r="H1202" s="5" t="n">
        <f aca="false">[1]Base_Jugadores!G1202</f>
        <v>32</v>
      </c>
      <c r="I1202" s="7" t="n">
        <f aca="false" t="array" ref="I1202:I1202">_xlfn.XLOOKUP(G1202,{55;56;57;58;59;60;61;62;63;64;65;66;67;68;69;70;71;72;73;74;75;76;77;78;79;80;81;82;83;84;85;86;87;88;89;90;91;92;93;94;95;96;97;98;99},{100000;130000;160000;190000;220000;250000;300000;350000;400000;450000;500000;600000;700000;800000;900000;1000000;1500000;2000000;3000000;4000000;5000000;6500000;8000000;10000000;12500000;15000000;20000000;25000000;30000000;35000000;40000000;55000000;70000000;80000000;90000000;110000000;130000000;160000000;190000000;220000000;250000000;280000000;310000000;340000000;400000000})</f>
        <v>5000000</v>
      </c>
      <c r="J1202" s="7" t="n">
        <f aca="false">I1202*S1202*T1202*U1202</f>
        <v>4275000</v>
      </c>
      <c r="K1202" s="3"/>
      <c r="L1202" s="3"/>
      <c r="M1202" s="3"/>
      <c r="N1202" s="9" t="n">
        <v>0</v>
      </c>
      <c r="O1202" s="4" t="n">
        <v>0</v>
      </c>
      <c r="P1202" s="5" t="n">
        <f aca="false">IF(COUNTIF([1]Base_Jugadores!J$2:J$500,B1202)&gt;0,1,0)</f>
        <v>0</v>
      </c>
      <c r="Q1202" s="10" t="b">
        <f aca="false">--(COUNTIFS(
   [1]Fichajes_Realizados!A$2:A$5000,A1202,
   [1]Fichajes_Realizados!G$2:G$5000,$X$3
)&gt;0)</f>
        <v>0</v>
      </c>
      <c r="R1202" s="5" t="n">
        <f aca="false">_xlfn.XLOOKUP(C1202, [1]Estado_Equipos!A$2:A$500, [1]Estado_Equipos!J$2:J$500, "")</f>
        <v>74</v>
      </c>
      <c r="S1202" s="5" t="n">
        <f aca="false">IF(H1202&lt;=16,1.45,
IF(H1202&gt;=41,0.3,
CHOOSE(ROUNDDOWN((H1202-16)/2,0)+1,
1.45,1.38,1.3,1.23,1.17,1.15,1.12,1.05,0.95,0.8,0.6,0.4,0.3)))</f>
        <v>0.95</v>
      </c>
      <c r="T1202" s="5" t="n">
        <f aca="false">CHOOSE(N1202+1,1.2,1,0.85,0.7)</f>
        <v>1.2</v>
      </c>
      <c r="U1202" s="5" t="n">
        <f aca="false">IF(F1202="PO",0.6,
IF(F1202="CT",0.75,
IF(F1202="LI",0.8,
IF(F1202="LD",0.8,
IF(F1202="MCD",0.85,
IF(F1202="MC",0.95,
IF(F1202="MO",1.05,
IF(F1202="EI",1.1,
IF(F1202="ED",1.1,
IF(F1202="SD",1.15,
IF(F1202="DC",1.2,0)))))))))))</f>
        <v>0.75</v>
      </c>
    </row>
    <row r="1203" customFormat="false" ht="16.4" hidden="false" customHeight="false" outlineLevel="0" collapsed="false">
      <c r="A1203" s="1" t="n">
        <v>1202</v>
      </c>
      <c r="B1203" s="5" t="str">
        <f aca="false">[1]Base_Jugadores!B1203</f>
        <v>Niccolò Fortini</v>
      </c>
      <c r="C1203" s="5" t="str">
        <f aca="false">IFERROR(
   _xlfn.XLOOKUP(VALUE(A1203),[1]Fichajes_Realizados!A$2:A$50000,[1]Fichajes_Realizados!D$2:D$50000,,0,-1),
   _xlfn.XLOOKUP(VALUE(A1203),[1]Base_Jugadores!A$2:A$50000,[1]Base_Jugadores!C$2:C$50000)
)</f>
        <v>Fiorentina</v>
      </c>
      <c r="D1203" s="5" t="str">
        <f aca="false">[1]Base_Jugadores!D1203</f>
        <v>Italia</v>
      </c>
      <c r="E1203" s="3"/>
      <c r="F1203" s="5" t="str">
        <f aca="false">[1]Base_Jugadores!E1203</f>
        <v>LI</v>
      </c>
      <c r="G1203" s="5" t="n">
        <f aca="false">[1]Base_Jugadores!F1203</f>
        <v>63</v>
      </c>
      <c r="H1203" s="5" t="n">
        <f aca="false">[1]Base_Jugadores!G1203</f>
        <v>19</v>
      </c>
      <c r="I1203" s="7" t="n">
        <f aca="false" t="array" ref="I1203:I1203">_xlfn.XLOOKUP(G1203,{55;56;57;58;59;60;61;62;63;64;65;66;67;68;69;70;71;72;73;74;75;76;77;78;79;80;81;82;83;84;85;86;87;88;89;90;91;92;93;94;95;96;97;98;99},{100000;130000;160000;190000;220000;250000;300000;350000;400000;450000;500000;600000;700000;800000;900000;1000000;1500000;2000000;3000000;4000000;5000000;6500000;8000000;10000000;12500000;15000000;20000000;25000000;30000000;35000000;40000000;55000000;70000000;80000000;90000000;110000000;130000000;160000000;190000000;220000000;250000000;280000000;310000000;340000000;400000000})</f>
        <v>400000</v>
      </c>
      <c r="J1203" s="7" t="n">
        <f aca="false">I1203*S1203*T1203*U1203</f>
        <v>529920</v>
      </c>
      <c r="K1203" s="3"/>
      <c r="L1203" s="3"/>
      <c r="M1203" s="3"/>
      <c r="N1203" s="9" t="n">
        <v>0</v>
      </c>
      <c r="O1203" s="4" t="n">
        <v>0</v>
      </c>
      <c r="P1203" s="5" t="n">
        <f aca="false">IF(COUNTIF([1]Base_Jugadores!J$2:J$500,B1203)&gt;0,1,0)</f>
        <v>0</v>
      </c>
      <c r="Q1203" s="10" t="b">
        <f aca="false">--(COUNTIFS(
   [1]Fichajes_Realizados!A$2:A$5000,A1203,
   [1]Fichajes_Realizados!G$2:G$5000,$X$3
)&gt;0)</f>
        <v>0</v>
      </c>
      <c r="R1203" s="5" t="n">
        <f aca="false">_xlfn.XLOOKUP(C1203, [1]Estado_Equipos!A$2:A$500, [1]Estado_Equipos!J$2:J$500, "")</f>
        <v>74</v>
      </c>
      <c r="S1203" s="5" t="n">
        <f aca="false">IF(H1203&lt;=16,1.45,
IF(H1203&gt;=41,0.3,
CHOOSE(ROUNDDOWN((H1203-16)/2,0)+1,
1.45,1.38,1.3,1.23,1.17,1.15,1.12,1.05,0.95,0.8,0.6,0.4,0.3)))</f>
        <v>1.38</v>
      </c>
      <c r="T1203" s="5" t="n">
        <f aca="false">CHOOSE(N1203+1,1.2,1,0.85,0.7)</f>
        <v>1.2</v>
      </c>
      <c r="U1203" s="5" t="n">
        <f aca="false">IF(F1203="PO",0.6,
IF(F1203="CT",0.75,
IF(F1203="LI",0.8,
IF(F1203="LD",0.8,
IF(F1203="MCD",0.85,
IF(F1203="MC",0.95,
IF(F1203="MO",1.05,
IF(F1203="EI",1.1,
IF(F1203="ED",1.1,
IF(F1203="SD",1.15,
IF(F1203="DC",1.2,0)))))))))))</f>
        <v>0.8</v>
      </c>
    </row>
    <row r="1204" customFormat="false" ht="16.4" hidden="false" customHeight="false" outlineLevel="0" collapsed="false">
      <c r="A1204" s="1" t="n">
        <v>1203</v>
      </c>
      <c r="B1204" s="5" t="str">
        <f aca="false">[1]Base_Jugadores!B1204</f>
        <v>Robin Gosens</v>
      </c>
      <c r="C1204" s="5" t="str">
        <f aca="false">IFERROR(
   _xlfn.XLOOKUP(VALUE(A1204),[1]Fichajes_Realizados!A$2:A$50000,[1]Fichajes_Realizados!D$2:D$50000,,0,-1),
   _xlfn.XLOOKUP(VALUE(A1204),[1]Base_Jugadores!A$2:A$50000,[1]Base_Jugadores!C$2:C$50000)
)</f>
        <v>Fiorentina</v>
      </c>
      <c r="D1204" s="5" t="str">
        <f aca="false">[1]Base_Jugadores!D1204</f>
        <v>Alemania</v>
      </c>
      <c r="E1204" s="3"/>
      <c r="F1204" s="5" t="str">
        <f aca="false">[1]Base_Jugadores!E1204</f>
        <v>LI</v>
      </c>
      <c r="G1204" s="5" t="n">
        <f aca="false">[1]Base_Jugadores!F1204</f>
        <v>82</v>
      </c>
      <c r="H1204" s="5" t="n">
        <f aca="false">[1]Base_Jugadores!G1204</f>
        <v>31</v>
      </c>
      <c r="I1204" s="7" t="n">
        <f aca="false" t="array" ref="I1204:I1204">_xlfn.XLOOKUP(G1204,{55;56;57;58;59;60;61;62;63;64;65;66;67;68;69;70;71;72;73;74;75;76;77;78;79;80;81;82;83;84;85;86;87;88;89;90;91;92;93;94;95;96;97;98;99},{100000;130000;160000;190000;220000;250000;300000;350000;400000;450000;500000;600000;700000;800000;900000;1000000;1500000;2000000;3000000;4000000;5000000;6500000;8000000;10000000;12500000;15000000;20000000;25000000;30000000;35000000;40000000;55000000;70000000;80000000;90000000;110000000;130000000;160000000;190000000;220000000;250000000;280000000;310000000;340000000;400000000})</f>
        <v>25000000</v>
      </c>
      <c r="J1204" s="7" t="n">
        <f aca="false">I1204*S1204*T1204*U1204</f>
        <v>25200000</v>
      </c>
      <c r="K1204" s="3"/>
      <c r="L1204" s="3"/>
      <c r="M1204" s="3"/>
      <c r="N1204" s="9" t="n">
        <v>0</v>
      </c>
      <c r="O1204" s="4" t="n">
        <v>0</v>
      </c>
      <c r="P1204" s="5" t="n">
        <f aca="false">IF(COUNTIF([1]Base_Jugadores!J$2:J$500,B1204)&gt;0,1,0)</f>
        <v>0</v>
      </c>
      <c r="Q1204" s="10" t="b">
        <f aca="false">--(COUNTIFS(
   [1]Fichajes_Realizados!A$2:A$5000,A1204,
   [1]Fichajes_Realizados!G$2:G$5000,$X$3
)&gt;0)</f>
        <v>0</v>
      </c>
      <c r="R1204" s="5" t="n">
        <f aca="false">_xlfn.XLOOKUP(C1204, [1]Estado_Equipos!A$2:A$500, [1]Estado_Equipos!J$2:J$500, "")</f>
        <v>74</v>
      </c>
      <c r="S1204" s="5" t="n">
        <f aca="false">IF(H1204&lt;=16,1.45,
IF(H1204&gt;=41,0.3,
CHOOSE(ROUNDDOWN((H1204-16)/2,0)+1,
1.45,1.38,1.3,1.23,1.17,1.15,1.12,1.05,0.95,0.8,0.6,0.4,0.3)))</f>
        <v>1.05</v>
      </c>
      <c r="T1204" s="5" t="n">
        <f aca="false">CHOOSE(N1204+1,1.2,1,0.85,0.7)</f>
        <v>1.2</v>
      </c>
      <c r="U1204" s="5" t="n">
        <f aca="false">IF(F1204="PO",0.6,
IF(F1204="CT",0.75,
IF(F1204="LI",0.8,
IF(F1204="LD",0.8,
IF(F1204="MCD",0.85,
IF(F1204="MC",0.95,
IF(F1204="MO",1.05,
IF(F1204="EI",1.1,
IF(F1204="ED",1.1,
IF(F1204="SD",1.15,
IF(F1204="DC",1.2,0)))))))))))</f>
        <v>0.8</v>
      </c>
    </row>
    <row r="1205" customFormat="false" ht="16.4" hidden="false" customHeight="false" outlineLevel="0" collapsed="false">
      <c r="A1205" s="1" t="n">
        <v>1204</v>
      </c>
      <c r="B1205" s="5" t="str">
        <f aca="false">[1]Base_Jugadores!B1205</f>
        <v>Fabiano Parisi</v>
      </c>
      <c r="C1205" s="5" t="str">
        <f aca="false">IFERROR(
   _xlfn.XLOOKUP(VALUE(A1205),[1]Fichajes_Realizados!A$2:A$50000,[1]Fichajes_Realizados!D$2:D$50000,,0,-1),
   _xlfn.XLOOKUP(VALUE(A1205),[1]Base_Jugadores!A$2:A$50000,[1]Base_Jugadores!C$2:C$50000)
)</f>
        <v>Fiorentina</v>
      </c>
      <c r="D1205" s="5" t="str">
        <f aca="false">[1]Base_Jugadores!D1205</f>
        <v>Italia</v>
      </c>
      <c r="E1205" s="3"/>
      <c r="F1205" s="5" t="str">
        <f aca="false">[1]Base_Jugadores!E1205</f>
        <v>LI</v>
      </c>
      <c r="G1205" s="5" t="n">
        <f aca="false">[1]Base_Jugadores!F1205</f>
        <v>77</v>
      </c>
      <c r="H1205" s="5" t="n">
        <f aca="false">[1]Base_Jugadores!G1205</f>
        <v>25</v>
      </c>
      <c r="I1205" s="7" t="n">
        <f aca="false" t="array" ref="I1205:I1205">_xlfn.XLOOKUP(G1205,{55;56;57;58;59;60;61;62;63;64;65;66;67;68;69;70;71;72;73;74;75;76;77;78;79;80;81;82;83;84;85;86;87;88;89;90;91;92;93;94;95;96;97;98;99},{100000;130000;160000;190000;220000;250000;300000;350000;400000;450000;500000;600000;700000;800000;900000;1000000;1500000;2000000;3000000;4000000;5000000;6500000;8000000;10000000;12500000;15000000;20000000;25000000;30000000;35000000;40000000;55000000;70000000;80000000;90000000;110000000;130000000;160000000;190000000;220000000;250000000;280000000;310000000;340000000;400000000})</f>
        <v>8000000</v>
      </c>
      <c r="J1205" s="7" t="n">
        <f aca="false">I1205*S1205*T1205*U1205</f>
        <v>8985600</v>
      </c>
      <c r="K1205" s="3"/>
      <c r="L1205" s="3"/>
      <c r="M1205" s="3"/>
      <c r="N1205" s="9" t="n">
        <v>0</v>
      </c>
      <c r="O1205" s="4" t="n">
        <v>0</v>
      </c>
      <c r="P1205" s="5" t="n">
        <f aca="false">IF(COUNTIF([1]Base_Jugadores!J$2:J$500,B1205)&gt;0,1,0)</f>
        <v>0</v>
      </c>
      <c r="Q1205" s="10" t="b">
        <f aca="false">--(COUNTIFS(
   [1]Fichajes_Realizados!A$2:A$5000,A1205,
   [1]Fichajes_Realizados!G$2:G$5000,$X$3
)&gt;0)</f>
        <v>0</v>
      </c>
      <c r="R1205" s="5" t="n">
        <f aca="false">_xlfn.XLOOKUP(C1205, [1]Estado_Equipos!A$2:A$500, [1]Estado_Equipos!J$2:J$500, "")</f>
        <v>74</v>
      </c>
      <c r="S1205" s="5" t="n">
        <f aca="false">IF(H1205&lt;=16,1.45,
IF(H1205&gt;=41,0.3,
CHOOSE(ROUNDDOWN((H1205-16)/2,0)+1,
1.45,1.38,1.3,1.23,1.17,1.15,1.12,1.05,0.95,0.8,0.6,0.4,0.3)))</f>
        <v>1.17</v>
      </c>
      <c r="T1205" s="5" t="n">
        <f aca="false">CHOOSE(N1205+1,1.2,1,0.85,0.7)</f>
        <v>1.2</v>
      </c>
      <c r="U1205" s="5" t="n">
        <f aca="false">IF(F1205="PO",0.6,
IF(F1205="CT",0.75,
IF(F1205="LI",0.8,
IF(F1205="LD",0.8,
IF(F1205="MCD",0.85,
IF(F1205="MC",0.95,
IF(F1205="MO",1.05,
IF(F1205="EI",1.1,
IF(F1205="ED",1.1,
IF(F1205="SD",1.15,
IF(F1205="DC",1.2,0)))))))))))</f>
        <v>0.8</v>
      </c>
    </row>
    <row r="1206" customFormat="false" ht="16.4" hidden="false" customHeight="false" outlineLevel="0" collapsed="false">
      <c r="A1206" s="1" t="n">
        <v>1205</v>
      </c>
      <c r="B1206" s="5" t="str">
        <f aca="false">[1]Base_Jugadores!B1206</f>
        <v>Dodô Cordeiro</v>
      </c>
      <c r="C1206" s="5" t="str">
        <f aca="false">IFERROR(
   _xlfn.XLOOKUP(VALUE(A1206),[1]Fichajes_Realizados!A$2:A$50000,[1]Fichajes_Realizados!D$2:D$50000,,0,-1),
   _xlfn.XLOOKUP(VALUE(A1206),[1]Base_Jugadores!A$2:A$50000,[1]Base_Jugadores!C$2:C$50000)
)</f>
        <v>Fiorentina</v>
      </c>
      <c r="D1206" s="5" t="str">
        <f aca="false">[1]Base_Jugadores!D1206</f>
        <v>Brasil</v>
      </c>
      <c r="E1206" s="3"/>
      <c r="F1206" s="5" t="str">
        <f aca="false">[1]Base_Jugadores!E1206</f>
        <v>LD</v>
      </c>
      <c r="G1206" s="5" t="n">
        <f aca="false">[1]Base_Jugadores!F1206</f>
        <v>77</v>
      </c>
      <c r="H1206" s="5" t="n">
        <f aca="false">[1]Base_Jugadores!G1206</f>
        <v>27</v>
      </c>
      <c r="I1206" s="7" t="n">
        <f aca="false" t="array" ref="I1206:I1206">_xlfn.XLOOKUP(G1206,{55;56;57;58;59;60;61;62;63;64;65;66;67;68;69;70;71;72;73;74;75;76;77;78;79;80;81;82;83;84;85;86;87;88;89;90;91;92;93;94;95;96;97;98;99},{100000;130000;160000;190000;220000;250000;300000;350000;400000;450000;500000;600000;700000;800000;900000;1000000;1500000;2000000;3000000;4000000;5000000;6500000;8000000;10000000;12500000;15000000;20000000;25000000;30000000;35000000;40000000;55000000;70000000;80000000;90000000;110000000;130000000;160000000;190000000;220000000;250000000;280000000;310000000;340000000;400000000})</f>
        <v>8000000</v>
      </c>
      <c r="J1206" s="7" t="n">
        <f aca="false">I1206*S1206*T1206*U1206</f>
        <v>8832000</v>
      </c>
      <c r="K1206" s="3"/>
      <c r="L1206" s="3"/>
      <c r="M1206" s="3"/>
      <c r="N1206" s="9" t="n">
        <v>0</v>
      </c>
      <c r="O1206" s="4" t="n">
        <v>0</v>
      </c>
      <c r="P1206" s="5" t="n">
        <f aca="false">IF(COUNTIF([1]Base_Jugadores!J$2:J$500,B1206)&gt;0,1,0)</f>
        <v>0</v>
      </c>
      <c r="Q1206" s="10" t="b">
        <f aca="false">--(COUNTIFS(
   [1]Fichajes_Realizados!A$2:A$5000,A1206,
   [1]Fichajes_Realizados!G$2:G$5000,$X$3
)&gt;0)</f>
        <v>0</v>
      </c>
      <c r="R1206" s="5" t="n">
        <f aca="false">_xlfn.XLOOKUP(C1206, [1]Estado_Equipos!A$2:A$500, [1]Estado_Equipos!J$2:J$500, "")</f>
        <v>74</v>
      </c>
      <c r="S1206" s="5" t="n">
        <f aca="false">IF(H1206&lt;=16,1.45,
IF(H1206&gt;=41,0.3,
CHOOSE(ROUNDDOWN((H1206-16)/2,0)+1,
1.45,1.38,1.3,1.23,1.17,1.15,1.12,1.05,0.95,0.8,0.6,0.4,0.3)))</f>
        <v>1.15</v>
      </c>
      <c r="T1206" s="5" t="n">
        <f aca="false">CHOOSE(N1206+1,1.2,1,0.85,0.7)</f>
        <v>1.2</v>
      </c>
      <c r="U1206" s="5" t="n">
        <f aca="false">IF(F1206="PO",0.6,
IF(F1206="CT",0.75,
IF(F1206="LI",0.8,
IF(F1206="LD",0.8,
IF(F1206="MCD",0.85,
IF(F1206="MC",0.95,
IF(F1206="MO",1.05,
IF(F1206="EI",1.1,
IF(F1206="ED",1.1,
IF(F1206="SD",1.15,
IF(F1206="DC",1.2,0)))))))))))</f>
        <v>0.8</v>
      </c>
    </row>
    <row r="1207" customFormat="false" ht="16.4" hidden="false" customHeight="false" outlineLevel="0" collapsed="false">
      <c r="A1207" s="1" t="n">
        <v>1206</v>
      </c>
      <c r="B1207" s="5" t="str">
        <f aca="false">[1]Base_Jugadores!B1207</f>
        <v>Tariq Lamptey</v>
      </c>
      <c r="C1207" s="5" t="str">
        <f aca="false">IFERROR(
   _xlfn.XLOOKUP(VALUE(A1207),[1]Fichajes_Realizados!A$2:A$50000,[1]Fichajes_Realizados!D$2:D$50000,,0,-1),
   _xlfn.XLOOKUP(VALUE(A1207),[1]Base_Jugadores!A$2:A$50000,[1]Base_Jugadores!C$2:C$50000)
)</f>
        <v>Fiorentina</v>
      </c>
      <c r="D1207" s="5" t="str">
        <f aca="false">[1]Base_Jugadores!D1207</f>
        <v>Ghana</v>
      </c>
      <c r="E1207" s="3"/>
      <c r="F1207" s="5" t="str">
        <f aca="false">[1]Base_Jugadores!E1207</f>
        <v>LD</v>
      </c>
      <c r="G1207" s="5" t="n">
        <f aca="false">[1]Base_Jugadores!F1207</f>
        <v>74</v>
      </c>
      <c r="H1207" s="5" t="n">
        <f aca="false">[1]Base_Jugadores!G1207</f>
        <v>25</v>
      </c>
      <c r="I1207" s="7" t="n">
        <f aca="false" t="array" ref="I1207:I1207">_xlfn.XLOOKUP(G1207,{55;56;57;58;59;60;61;62;63;64;65;66;67;68;69;70;71;72;73;74;75;76;77;78;79;80;81;82;83;84;85;86;87;88;89;90;91;92;93;94;95;96;97;98;99},{100000;130000;160000;190000;220000;250000;300000;350000;400000;450000;500000;600000;700000;800000;900000;1000000;1500000;2000000;3000000;4000000;5000000;6500000;8000000;10000000;12500000;15000000;20000000;25000000;30000000;35000000;40000000;55000000;70000000;80000000;90000000;110000000;130000000;160000000;190000000;220000000;250000000;280000000;310000000;340000000;400000000})</f>
        <v>4000000</v>
      </c>
      <c r="J1207" s="7" t="n">
        <f aca="false">I1207*S1207*T1207*U1207</f>
        <v>4492800</v>
      </c>
      <c r="K1207" s="3"/>
      <c r="L1207" s="3"/>
      <c r="M1207" s="3"/>
      <c r="N1207" s="9" t="n">
        <v>0</v>
      </c>
      <c r="O1207" s="4" t="n">
        <v>0</v>
      </c>
      <c r="P1207" s="5" t="n">
        <f aca="false">IF(COUNTIF([1]Base_Jugadores!J$2:J$500,B1207)&gt;0,1,0)</f>
        <v>0</v>
      </c>
      <c r="Q1207" s="10" t="b">
        <f aca="false">--(COUNTIFS(
   [1]Fichajes_Realizados!A$2:A$5000,A1207,
   [1]Fichajes_Realizados!G$2:G$5000,$X$3
)&gt;0)</f>
        <v>0</v>
      </c>
      <c r="R1207" s="5" t="n">
        <f aca="false">_xlfn.XLOOKUP(C1207, [1]Estado_Equipos!A$2:A$500, [1]Estado_Equipos!J$2:J$500, "")</f>
        <v>74</v>
      </c>
      <c r="S1207" s="5" t="n">
        <f aca="false">IF(H1207&lt;=16,1.45,
IF(H1207&gt;=41,0.3,
CHOOSE(ROUNDDOWN((H1207-16)/2,0)+1,
1.45,1.38,1.3,1.23,1.17,1.15,1.12,1.05,0.95,0.8,0.6,0.4,0.3)))</f>
        <v>1.17</v>
      </c>
      <c r="T1207" s="5" t="n">
        <f aca="false">CHOOSE(N1207+1,1.2,1,0.85,0.7)</f>
        <v>1.2</v>
      </c>
      <c r="U1207" s="5" t="n">
        <f aca="false">IF(F1207="PO",0.6,
IF(F1207="CT",0.75,
IF(F1207="LI",0.8,
IF(F1207="LD",0.8,
IF(F1207="MCD",0.85,
IF(F1207="MC",0.95,
IF(F1207="MO",1.05,
IF(F1207="EI",1.1,
IF(F1207="ED",1.1,
IF(F1207="SD",1.15,
IF(F1207="DC",1.2,0)))))))))))</f>
        <v>0.8</v>
      </c>
    </row>
    <row r="1208" customFormat="false" ht="16.4" hidden="false" customHeight="false" outlineLevel="0" collapsed="false">
      <c r="A1208" s="1" t="n">
        <v>1207</v>
      </c>
      <c r="B1208" s="5" t="str">
        <f aca="false">[1]Base_Jugadores!B1208</f>
        <v>R. Mandragora</v>
      </c>
      <c r="C1208" s="5" t="str">
        <f aca="false">IFERROR(
   _xlfn.XLOOKUP(VALUE(A1208),[1]Fichajes_Realizados!A$2:A$50000,[1]Fichajes_Realizados!D$2:D$50000,,0,-1),
   _xlfn.XLOOKUP(VALUE(A1208),[1]Base_Jugadores!A$2:A$50000,[1]Base_Jugadores!C$2:C$50000)
)</f>
        <v>Fiorentina</v>
      </c>
      <c r="D1208" s="5" t="str">
        <f aca="false">[1]Base_Jugadores!D1208</f>
        <v>Italia</v>
      </c>
      <c r="E1208" s="3"/>
      <c r="F1208" s="5" t="str">
        <f aca="false">[1]Base_Jugadores!E1208</f>
        <v>MCD</v>
      </c>
      <c r="G1208" s="5" t="n">
        <f aca="false">[1]Base_Jugadores!F1208</f>
        <v>78</v>
      </c>
      <c r="H1208" s="5" t="n">
        <f aca="false">[1]Base_Jugadores!G1208</f>
        <v>28</v>
      </c>
      <c r="I1208" s="7" t="n">
        <f aca="false" t="array" ref="I1208:I1208">_xlfn.XLOOKUP(G1208,{55;56;57;58;59;60;61;62;63;64;65;66;67;68;69;70;71;72;73;74;75;76;77;78;79;80;81;82;83;84;85;86;87;88;89;90;91;92;93;94;95;96;97;98;99},{100000;130000;160000;190000;220000;250000;300000;350000;400000;450000;500000;600000;700000;800000;900000;1000000;1500000;2000000;3000000;4000000;5000000;6500000;8000000;10000000;12500000;15000000;20000000;25000000;30000000;35000000;40000000;55000000;70000000;80000000;90000000;110000000;130000000;160000000;190000000;220000000;250000000;280000000;310000000;340000000;400000000})</f>
        <v>10000000</v>
      </c>
      <c r="J1208" s="7" t="n">
        <f aca="false">I1208*S1208*T1208*U1208</f>
        <v>11424000</v>
      </c>
      <c r="K1208" s="3"/>
      <c r="L1208" s="3"/>
      <c r="M1208" s="3"/>
      <c r="N1208" s="9" t="n">
        <v>0</v>
      </c>
      <c r="O1208" s="4" t="n">
        <v>0</v>
      </c>
      <c r="P1208" s="5" t="n">
        <f aca="false">IF(COUNTIF([1]Base_Jugadores!J$2:J$500,B1208)&gt;0,1,0)</f>
        <v>0</v>
      </c>
      <c r="Q1208" s="10" t="b">
        <f aca="false">--(COUNTIFS(
   [1]Fichajes_Realizados!A$2:A$5000,A1208,
   [1]Fichajes_Realizados!G$2:G$5000,$X$3
)&gt;0)</f>
        <v>0</v>
      </c>
      <c r="R1208" s="5" t="n">
        <f aca="false">_xlfn.XLOOKUP(C1208, [1]Estado_Equipos!A$2:A$500, [1]Estado_Equipos!J$2:J$500, "")</f>
        <v>74</v>
      </c>
      <c r="S1208" s="5" t="n">
        <f aca="false">IF(H1208&lt;=16,1.45,
IF(H1208&gt;=41,0.3,
CHOOSE(ROUNDDOWN((H1208-16)/2,0)+1,
1.45,1.38,1.3,1.23,1.17,1.15,1.12,1.05,0.95,0.8,0.6,0.4,0.3)))</f>
        <v>1.12</v>
      </c>
      <c r="T1208" s="5" t="n">
        <f aca="false">CHOOSE(N1208+1,1.2,1,0.85,0.7)</f>
        <v>1.2</v>
      </c>
      <c r="U1208" s="5" t="n">
        <f aca="false">IF(F1208="PO",0.6,
IF(F1208="CT",0.75,
IF(F1208="LI",0.8,
IF(F1208="LD",0.8,
IF(F1208="MCD",0.85,
IF(F1208="MC",0.95,
IF(F1208="MO",1.05,
IF(F1208="EI",1.1,
IF(F1208="ED",1.1,
IF(F1208="SD",1.15,
IF(F1208="DC",1.2,0)))))))))))</f>
        <v>0.85</v>
      </c>
    </row>
    <row r="1209" customFormat="false" ht="16.4" hidden="false" customHeight="false" outlineLevel="0" collapsed="false">
      <c r="A1209" s="1" t="n">
        <v>1208</v>
      </c>
      <c r="B1209" s="5" t="str">
        <f aca="false">[1]Base_Jugadores!B1209</f>
        <v>Nicolò Fagioli</v>
      </c>
      <c r="C1209" s="5" t="str">
        <f aca="false">IFERROR(
   _xlfn.XLOOKUP(VALUE(A1209),[1]Fichajes_Realizados!A$2:A$50000,[1]Fichajes_Realizados!D$2:D$50000,,0,-1),
   _xlfn.XLOOKUP(VALUE(A1209),[1]Base_Jugadores!A$2:A$50000,[1]Base_Jugadores!C$2:C$50000)
)</f>
        <v>Fiorentina</v>
      </c>
      <c r="D1209" s="5" t="str">
        <f aca="false">[1]Base_Jugadores!D1209</f>
        <v>Italia</v>
      </c>
      <c r="E1209" s="3"/>
      <c r="F1209" s="5" t="str">
        <f aca="false">[1]Base_Jugadores!E1209</f>
        <v>MC</v>
      </c>
      <c r="G1209" s="5" t="n">
        <f aca="false">[1]Base_Jugadores!F1209</f>
        <v>77</v>
      </c>
      <c r="H1209" s="5" t="n">
        <f aca="false">[1]Base_Jugadores!G1209</f>
        <v>24</v>
      </c>
      <c r="I1209" s="7" t="n">
        <f aca="false" t="array" ref="I1209:I1209">_xlfn.XLOOKUP(G1209,{55;56;57;58;59;60;61;62;63;64;65;66;67;68;69;70;71;72;73;74;75;76;77;78;79;80;81;82;83;84;85;86;87;88;89;90;91;92;93;94;95;96;97;98;99},{100000;130000;160000;190000;220000;250000;300000;350000;400000;450000;500000;600000;700000;800000;900000;1000000;1500000;2000000;3000000;4000000;5000000;6500000;8000000;10000000;12500000;15000000;20000000;25000000;30000000;35000000;40000000;55000000;70000000;80000000;90000000;110000000;130000000;160000000;190000000;220000000;250000000;280000000;310000000;340000000;400000000})</f>
        <v>8000000</v>
      </c>
      <c r="J1209" s="7" t="n">
        <f aca="false">I1209*S1209*T1209*U1209</f>
        <v>10670400</v>
      </c>
      <c r="K1209" s="3"/>
      <c r="L1209" s="3"/>
      <c r="M1209" s="3"/>
      <c r="N1209" s="9" t="n">
        <v>0</v>
      </c>
      <c r="O1209" s="4" t="n">
        <v>0</v>
      </c>
      <c r="P1209" s="5" t="n">
        <f aca="false">IF(COUNTIF([1]Base_Jugadores!J$2:J$500,B1209)&gt;0,1,0)</f>
        <v>0</v>
      </c>
      <c r="Q1209" s="10" t="b">
        <f aca="false">--(COUNTIFS(
   [1]Fichajes_Realizados!A$2:A$5000,A1209,
   [1]Fichajes_Realizados!G$2:G$5000,$X$3
)&gt;0)</f>
        <v>0</v>
      </c>
      <c r="R1209" s="5" t="n">
        <f aca="false">_xlfn.XLOOKUP(C1209, [1]Estado_Equipos!A$2:A$500, [1]Estado_Equipos!J$2:J$500, "")</f>
        <v>74</v>
      </c>
      <c r="S1209" s="5" t="n">
        <f aca="false">IF(H1209&lt;=16,1.45,
IF(H1209&gt;=41,0.3,
CHOOSE(ROUNDDOWN((H1209-16)/2,0)+1,
1.45,1.38,1.3,1.23,1.17,1.15,1.12,1.05,0.95,0.8,0.6,0.4,0.3)))</f>
        <v>1.17</v>
      </c>
      <c r="T1209" s="5" t="n">
        <f aca="false">CHOOSE(N1209+1,1.2,1,0.85,0.7)</f>
        <v>1.2</v>
      </c>
      <c r="U1209" s="5" t="n">
        <f aca="false">IF(F1209="PO",0.6,
IF(F1209="CT",0.75,
IF(F1209="LI",0.8,
IF(F1209="LD",0.8,
IF(F1209="MCD",0.85,
IF(F1209="MC",0.95,
IF(F1209="MO",1.05,
IF(F1209="EI",1.1,
IF(F1209="ED",1.1,
IF(F1209="SD",1.15,
IF(F1209="DC",1.2,0)))))))))))</f>
        <v>0.95</v>
      </c>
    </row>
    <row r="1210" customFormat="false" ht="16.4" hidden="false" customHeight="false" outlineLevel="0" collapsed="false">
      <c r="A1210" s="1" t="n">
        <v>1209</v>
      </c>
      <c r="B1210" s="5" t="str">
        <f aca="false">[1]Base_Jugadores!B1210</f>
        <v>Simon Sohm</v>
      </c>
      <c r="C1210" s="5" t="str">
        <f aca="false">IFERROR(
   _xlfn.XLOOKUP(VALUE(A1210),[1]Fichajes_Realizados!A$2:A$50000,[1]Fichajes_Realizados!D$2:D$50000,,0,-1),
   _xlfn.XLOOKUP(VALUE(A1210),[1]Base_Jugadores!A$2:A$50000,[1]Base_Jugadores!C$2:C$50000)
)</f>
        <v>Fiorentina</v>
      </c>
      <c r="D1210" s="5" t="str">
        <f aca="false">[1]Base_Jugadores!D1210</f>
        <v>Suiza</v>
      </c>
      <c r="E1210" s="3"/>
      <c r="F1210" s="5" t="str">
        <f aca="false">[1]Base_Jugadores!E1210</f>
        <v>MC</v>
      </c>
      <c r="G1210" s="5" t="n">
        <f aca="false">[1]Base_Jugadores!F1210</f>
        <v>69</v>
      </c>
      <c r="H1210" s="5" t="n">
        <f aca="false">[1]Base_Jugadores!G1210</f>
        <v>24</v>
      </c>
      <c r="I1210" s="7" t="n">
        <f aca="false" t="array" ref="I1210:I1210">_xlfn.XLOOKUP(G1210,{55;56;57;58;59;60;61;62;63;64;65;66;67;68;69;70;71;72;73;74;75;76;77;78;79;80;81;82;83;84;85;86;87;88;89;90;91;92;93;94;95;96;97;98;99},{100000;130000;160000;190000;220000;250000;300000;350000;400000;450000;500000;600000;700000;800000;900000;1000000;1500000;2000000;3000000;4000000;5000000;6500000;8000000;10000000;12500000;15000000;20000000;25000000;30000000;35000000;40000000;55000000;70000000;80000000;90000000;110000000;130000000;160000000;190000000;220000000;250000000;280000000;310000000;340000000;400000000})</f>
        <v>900000</v>
      </c>
      <c r="J1210" s="7" t="n">
        <f aca="false">I1210*S1210*T1210*U1210</f>
        <v>1200420</v>
      </c>
      <c r="K1210" s="3"/>
      <c r="L1210" s="3"/>
      <c r="M1210" s="3"/>
      <c r="N1210" s="9" t="n">
        <v>0</v>
      </c>
      <c r="O1210" s="4" t="n">
        <v>0</v>
      </c>
      <c r="P1210" s="5" t="n">
        <f aca="false">IF(COUNTIF([1]Base_Jugadores!J$2:J$500,B1210)&gt;0,1,0)</f>
        <v>0</v>
      </c>
      <c r="Q1210" s="10" t="b">
        <f aca="false">--(COUNTIFS(
   [1]Fichajes_Realizados!A$2:A$5000,A1210,
   [1]Fichajes_Realizados!G$2:G$5000,$X$3
)&gt;0)</f>
        <v>0</v>
      </c>
      <c r="R1210" s="5" t="n">
        <f aca="false">_xlfn.XLOOKUP(C1210, [1]Estado_Equipos!A$2:A$500, [1]Estado_Equipos!J$2:J$500, "")</f>
        <v>74</v>
      </c>
      <c r="S1210" s="5" t="n">
        <f aca="false">IF(H1210&lt;=16,1.45,
IF(H1210&gt;=41,0.3,
CHOOSE(ROUNDDOWN((H1210-16)/2,0)+1,
1.45,1.38,1.3,1.23,1.17,1.15,1.12,1.05,0.95,0.8,0.6,0.4,0.3)))</f>
        <v>1.17</v>
      </c>
      <c r="T1210" s="5" t="n">
        <f aca="false">CHOOSE(N1210+1,1.2,1,0.85,0.7)</f>
        <v>1.2</v>
      </c>
      <c r="U1210" s="5" t="n">
        <f aca="false">IF(F1210="PO",0.6,
IF(F1210="CT",0.75,
IF(F1210="LI",0.8,
IF(F1210="LD",0.8,
IF(F1210="MCD",0.85,
IF(F1210="MC",0.95,
IF(F1210="MO",1.05,
IF(F1210="EI",1.1,
IF(F1210="ED",1.1,
IF(F1210="SD",1.15,
IF(F1210="DC",1.2,0)))))))))))</f>
        <v>0.95</v>
      </c>
    </row>
    <row r="1211" customFormat="false" ht="16.4" hidden="false" customHeight="false" outlineLevel="0" collapsed="false">
      <c r="A1211" s="1" t="n">
        <v>1210</v>
      </c>
      <c r="B1211" s="5" t="str">
        <f aca="false">[1]Base_Jugadores!B1211</f>
        <v>Jacopo Fazzini</v>
      </c>
      <c r="C1211" s="5" t="str">
        <f aca="false">IFERROR(
   _xlfn.XLOOKUP(VALUE(A1211),[1]Fichajes_Realizados!A$2:A$50000,[1]Fichajes_Realizados!D$2:D$50000,,0,-1),
   _xlfn.XLOOKUP(VALUE(A1211),[1]Base_Jugadores!A$2:A$50000,[1]Base_Jugadores!C$2:C$50000)
)</f>
        <v>Fiorentina</v>
      </c>
      <c r="D1211" s="5" t="str">
        <f aca="false">[1]Base_Jugadores!D1211</f>
        <v>Italia</v>
      </c>
      <c r="E1211" s="3"/>
      <c r="F1211" s="5" t="str">
        <f aca="false">[1]Base_Jugadores!E1211</f>
        <v>MC</v>
      </c>
      <c r="G1211" s="5" t="n">
        <f aca="false">[1]Base_Jugadores!F1211</f>
        <v>70</v>
      </c>
      <c r="H1211" s="5" t="n">
        <f aca="false">[1]Base_Jugadores!G1211</f>
        <v>22</v>
      </c>
      <c r="I1211" s="7" t="n">
        <f aca="false" t="array" ref="I1211:I1211">_xlfn.XLOOKUP(G1211,{55;56;57;58;59;60;61;62;63;64;65;66;67;68;69;70;71;72;73;74;75;76;77;78;79;80;81;82;83;84;85;86;87;88;89;90;91;92;93;94;95;96;97;98;99},{100000;130000;160000;190000;220000;250000;300000;350000;400000;450000;500000;600000;700000;800000;900000;1000000;1500000;2000000;3000000;4000000;5000000;6500000;8000000;10000000;12500000;15000000;20000000;25000000;30000000;35000000;40000000;55000000;70000000;80000000;90000000;110000000;130000000;160000000;190000000;220000000;250000000;280000000;310000000;340000000;400000000})</f>
        <v>1000000</v>
      </c>
      <c r="J1211" s="7" t="n">
        <f aca="false">I1211*S1211*T1211*U1211</f>
        <v>1402200</v>
      </c>
      <c r="K1211" s="3"/>
      <c r="L1211" s="3"/>
      <c r="M1211" s="3"/>
      <c r="N1211" s="9" t="n">
        <v>0</v>
      </c>
      <c r="O1211" s="4" t="n">
        <v>0</v>
      </c>
      <c r="P1211" s="5" t="n">
        <f aca="false">IF(COUNTIF([1]Base_Jugadores!J$2:J$500,B1211)&gt;0,1,0)</f>
        <v>0</v>
      </c>
      <c r="Q1211" s="10" t="b">
        <f aca="false">--(COUNTIFS(
   [1]Fichajes_Realizados!A$2:A$5000,A1211,
   [1]Fichajes_Realizados!G$2:G$5000,$X$3
)&gt;0)</f>
        <v>0</v>
      </c>
      <c r="R1211" s="5" t="n">
        <f aca="false">_xlfn.XLOOKUP(C1211, [1]Estado_Equipos!A$2:A$500, [1]Estado_Equipos!J$2:J$500, "")</f>
        <v>74</v>
      </c>
      <c r="S1211" s="5" t="n">
        <f aca="false">IF(H1211&lt;=16,1.45,
IF(H1211&gt;=41,0.3,
CHOOSE(ROUNDDOWN((H1211-16)/2,0)+1,
1.45,1.38,1.3,1.23,1.17,1.15,1.12,1.05,0.95,0.8,0.6,0.4,0.3)))</f>
        <v>1.23</v>
      </c>
      <c r="T1211" s="5" t="n">
        <f aca="false">CHOOSE(N1211+1,1.2,1,0.85,0.7)</f>
        <v>1.2</v>
      </c>
      <c r="U1211" s="5" t="n">
        <f aca="false">IF(F1211="PO",0.6,
IF(F1211="CT",0.75,
IF(F1211="LI",0.8,
IF(F1211="LD",0.8,
IF(F1211="MCD",0.85,
IF(F1211="MC",0.95,
IF(F1211="MO",1.05,
IF(F1211="EI",1.1,
IF(F1211="ED",1.1,
IF(F1211="SD",1.15,
IF(F1211="DC",1.2,0)))))))))))</f>
        <v>0.95</v>
      </c>
    </row>
    <row r="1212" customFormat="false" ht="16.4" hidden="false" customHeight="false" outlineLevel="0" collapsed="false">
      <c r="A1212" s="1" t="n">
        <v>1211</v>
      </c>
      <c r="B1212" s="5" t="str">
        <f aca="false">[1]Base_Jugadores!B1212</f>
        <v>Hans Nicolussi</v>
      </c>
      <c r="C1212" s="5" t="str">
        <f aca="false">IFERROR(
   _xlfn.XLOOKUP(VALUE(A1212),[1]Fichajes_Realizados!A$2:A$50000,[1]Fichajes_Realizados!D$2:D$50000,,0,-1),
   _xlfn.XLOOKUP(VALUE(A1212),[1]Base_Jugadores!A$2:A$50000,[1]Base_Jugadores!C$2:C$50000)
)</f>
        <v>Fiorentina</v>
      </c>
      <c r="D1212" s="5" t="str">
        <f aca="false">[1]Base_Jugadores!D1212</f>
        <v>Italia</v>
      </c>
      <c r="E1212" s="3"/>
      <c r="F1212" s="5" t="str">
        <f aca="false">[1]Base_Jugadores!E1212</f>
        <v>MC</v>
      </c>
      <c r="G1212" s="5" t="n">
        <f aca="false">[1]Base_Jugadores!F1212</f>
        <v>68</v>
      </c>
      <c r="H1212" s="5" t="n">
        <f aca="false">[1]Base_Jugadores!G1212</f>
        <v>25</v>
      </c>
      <c r="I1212" s="7" t="n">
        <f aca="false" t="array" ref="I1212:I1212">_xlfn.XLOOKUP(G1212,{55;56;57;58;59;60;61;62;63;64;65;66;67;68;69;70;71;72;73;74;75;76;77;78;79;80;81;82;83;84;85;86;87;88;89;90;91;92;93;94;95;96;97;98;99},{100000;130000;160000;190000;220000;250000;300000;350000;400000;450000;500000;600000;700000;800000;900000;1000000;1500000;2000000;3000000;4000000;5000000;6500000;8000000;10000000;12500000;15000000;20000000;25000000;30000000;35000000;40000000;55000000;70000000;80000000;90000000;110000000;130000000;160000000;190000000;220000000;250000000;280000000;310000000;340000000;400000000})</f>
        <v>800000</v>
      </c>
      <c r="J1212" s="7" t="n">
        <f aca="false">I1212*S1212*T1212*U1212</f>
        <v>1067040</v>
      </c>
      <c r="K1212" s="3"/>
      <c r="L1212" s="3"/>
      <c r="M1212" s="3"/>
      <c r="N1212" s="9" t="n">
        <v>0</v>
      </c>
      <c r="O1212" s="4" t="n">
        <v>0</v>
      </c>
      <c r="P1212" s="5" t="n">
        <f aca="false">IF(COUNTIF([1]Base_Jugadores!J$2:J$500,B1212)&gt;0,1,0)</f>
        <v>0</v>
      </c>
      <c r="Q1212" s="10" t="b">
        <f aca="false">--(COUNTIFS(
   [1]Fichajes_Realizados!A$2:A$5000,A1212,
   [1]Fichajes_Realizados!G$2:G$5000,$X$3
)&gt;0)</f>
        <v>0</v>
      </c>
      <c r="R1212" s="5" t="n">
        <f aca="false">_xlfn.XLOOKUP(C1212, [1]Estado_Equipos!A$2:A$500, [1]Estado_Equipos!J$2:J$500, "")</f>
        <v>74</v>
      </c>
      <c r="S1212" s="5" t="n">
        <f aca="false">IF(H1212&lt;=16,1.45,
IF(H1212&gt;=41,0.3,
CHOOSE(ROUNDDOWN((H1212-16)/2,0)+1,
1.45,1.38,1.3,1.23,1.17,1.15,1.12,1.05,0.95,0.8,0.6,0.4,0.3)))</f>
        <v>1.17</v>
      </c>
      <c r="T1212" s="5" t="n">
        <f aca="false">CHOOSE(N1212+1,1.2,1,0.85,0.7)</f>
        <v>1.2</v>
      </c>
      <c r="U1212" s="5" t="n">
        <f aca="false">IF(F1212="PO",0.6,
IF(F1212="CT",0.75,
IF(F1212="LI",0.8,
IF(F1212="LD",0.8,
IF(F1212="MCD",0.85,
IF(F1212="MC",0.95,
IF(F1212="MO",1.05,
IF(F1212="EI",1.1,
IF(F1212="ED",1.1,
IF(F1212="SD",1.15,
IF(F1212="DC",1.2,0)))))))))))</f>
        <v>0.95</v>
      </c>
    </row>
    <row r="1213" customFormat="false" ht="16.4" hidden="false" customHeight="false" outlineLevel="0" collapsed="false">
      <c r="A1213" s="1" t="n">
        <v>1212</v>
      </c>
      <c r="B1213" s="5" t="str">
        <f aca="false">[1]Base_Jugadores!B1213</f>
        <v>Amir Richardson</v>
      </c>
      <c r="C1213" s="5" t="str">
        <f aca="false">IFERROR(
   _xlfn.XLOOKUP(VALUE(A1213),[1]Fichajes_Realizados!A$2:A$50000,[1]Fichajes_Realizados!D$2:D$50000,,0,-1),
   _xlfn.XLOOKUP(VALUE(A1213),[1]Base_Jugadores!A$2:A$50000,[1]Base_Jugadores!C$2:C$50000)
)</f>
        <v>Fiorentina</v>
      </c>
      <c r="D1213" s="5" t="str">
        <f aca="false">[1]Base_Jugadores!D1213</f>
        <v>Marruecos</v>
      </c>
      <c r="E1213" s="3"/>
      <c r="F1213" s="5" t="str">
        <f aca="false">[1]Base_Jugadores!E1213</f>
        <v>MC</v>
      </c>
      <c r="G1213" s="5" t="n">
        <f aca="false">[1]Base_Jugadores!F1213</f>
        <v>71</v>
      </c>
      <c r="H1213" s="5" t="n">
        <f aca="false">[1]Base_Jugadores!G1213</f>
        <v>23</v>
      </c>
      <c r="I1213" s="7" t="n">
        <f aca="false" t="array" ref="I1213:I1213">_xlfn.XLOOKUP(G1213,{55;56;57;58;59;60;61;62;63;64;65;66;67;68;69;70;71;72;73;74;75;76;77;78;79;80;81;82;83;84;85;86;87;88;89;90;91;92;93;94;95;96;97;98;99},{100000;130000;160000;190000;220000;250000;300000;350000;400000;450000;500000;600000;700000;800000;900000;1000000;1500000;2000000;3000000;4000000;5000000;6500000;8000000;10000000;12500000;15000000;20000000;25000000;30000000;35000000;40000000;55000000;70000000;80000000;90000000;110000000;130000000;160000000;190000000;220000000;250000000;280000000;310000000;340000000;400000000})</f>
        <v>1500000</v>
      </c>
      <c r="J1213" s="7" t="n">
        <f aca="false">I1213*S1213*T1213*U1213</f>
        <v>2103300</v>
      </c>
      <c r="K1213" s="3"/>
      <c r="L1213" s="3"/>
      <c r="M1213" s="3"/>
      <c r="N1213" s="9" t="n">
        <v>0</v>
      </c>
      <c r="O1213" s="4" t="n">
        <v>0</v>
      </c>
      <c r="P1213" s="5" t="n">
        <f aca="false">IF(COUNTIF([1]Base_Jugadores!J$2:J$500,B1213)&gt;0,1,0)</f>
        <v>0</v>
      </c>
      <c r="Q1213" s="10" t="b">
        <f aca="false">--(COUNTIFS(
   [1]Fichajes_Realizados!A$2:A$5000,A1213,
   [1]Fichajes_Realizados!G$2:G$5000,$X$3
)&gt;0)</f>
        <v>0</v>
      </c>
      <c r="R1213" s="5" t="n">
        <f aca="false">_xlfn.XLOOKUP(C1213, [1]Estado_Equipos!A$2:A$500, [1]Estado_Equipos!J$2:J$500, "")</f>
        <v>74</v>
      </c>
      <c r="S1213" s="5" t="n">
        <f aca="false">IF(H1213&lt;=16,1.45,
IF(H1213&gt;=41,0.3,
CHOOSE(ROUNDDOWN((H1213-16)/2,0)+1,
1.45,1.38,1.3,1.23,1.17,1.15,1.12,1.05,0.95,0.8,0.6,0.4,0.3)))</f>
        <v>1.23</v>
      </c>
      <c r="T1213" s="5" t="n">
        <f aca="false">CHOOSE(N1213+1,1.2,1,0.85,0.7)</f>
        <v>1.2</v>
      </c>
      <c r="U1213" s="5" t="n">
        <f aca="false">IF(F1213="PO",0.6,
IF(F1213="CT",0.75,
IF(F1213="LI",0.8,
IF(F1213="LD",0.8,
IF(F1213="MCD",0.85,
IF(F1213="MC",0.95,
IF(F1213="MO",1.05,
IF(F1213="EI",1.1,
IF(F1213="ED",1.1,
IF(F1213="SD",1.15,
IF(F1213="DC",1.2,0)))))))))))</f>
        <v>0.95</v>
      </c>
    </row>
    <row r="1214" customFormat="false" ht="16.4" hidden="false" customHeight="false" outlineLevel="0" collapsed="false">
      <c r="A1214" s="1" t="n">
        <v>1213</v>
      </c>
      <c r="B1214" s="5" t="str">
        <f aca="false">[1]Base_Jugadores!B1214</f>
        <v>Cher Ndour</v>
      </c>
      <c r="C1214" s="5" t="str">
        <f aca="false">IFERROR(
   _xlfn.XLOOKUP(VALUE(A1214),[1]Fichajes_Realizados!A$2:A$50000,[1]Fichajes_Realizados!D$2:D$50000,,0,-1),
   _xlfn.XLOOKUP(VALUE(A1214),[1]Base_Jugadores!A$2:A$50000,[1]Base_Jugadores!C$2:C$50000)
)</f>
        <v>Fiorentina</v>
      </c>
      <c r="D1214" s="5" t="str">
        <f aca="false">[1]Base_Jugadores!D1214</f>
        <v>Italia</v>
      </c>
      <c r="E1214" s="3"/>
      <c r="F1214" s="5" t="str">
        <f aca="false">[1]Base_Jugadores!E1214</f>
        <v>MC</v>
      </c>
      <c r="G1214" s="5" t="n">
        <f aca="false">[1]Base_Jugadores!F1214</f>
        <v>71</v>
      </c>
      <c r="H1214" s="5" t="n">
        <f aca="false">[1]Base_Jugadores!G1214</f>
        <v>21</v>
      </c>
      <c r="I1214" s="7" t="n">
        <f aca="false" t="array" ref="I1214:I1214">_xlfn.XLOOKUP(G1214,{55;56;57;58;59;60;61;62;63;64;65;66;67;68;69;70;71;72;73;74;75;76;77;78;79;80;81;82;83;84;85;86;87;88;89;90;91;92;93;94;95;96;97;98;99},{100000;130000;160000;190000;220000;250000;300000;350000;400000;450000;500000;600000;700000;800000;900000;1000000;1500000;2000000;3000000;4000000;5000000;6500000;8000000;10000000;12500000;15000000;20000000;25000000;30000000;35000000;40000000;55000000;70000000;80000000;90000000;110000000;130000000;160000000;190000000;220000000;250000000;280000000;310000000;340000000;400000000})</f>
        <v>1500000</v>
      </c>
      <c r="J1214" s="7" t="n">
        <f aca="false">I1214*S1214*T1214*U1214</f>
        <v>2223000</v>
      </c>
      <c r="K1214" s="3"/>
      <c r="L1214" s="3"/>
      <c r="M1214" s="3"/>
      <c r="N1214" s="9" t="n">
        <v>0</v>
      </c>
      <c r="O1214" s="4" t="n">
        <v>0</v>
      </c>
      <c r="P1214" s="5" t="n">
        <f aca="false">IF(COUNTIF([1]Base_Jugadores!J$2:J$500,B1214)&gt;0,1,0)</f>
        <v>0</v>
      </c>
      <c r="Q1214" s="10" t="b">
        <f aca="false">--(COUNTIFS(
   [1]Fichajes_Realizados!A$2:A$5000,A1214,
   [1]Fichajes_Realizados!G$2:G$5000,$X$3
)&gt;0)</f>
        <v>0</v>
      </c>
      <c r="R1214" s="5" t="n">
        <f aca="false">_xlfn.XLOOKUP(C1214, [1]Estado_Equipos!A$2:A$500, [1]Estado_Equipos!J$2:J$500, "")</f>
        <v>74</v>
      </c>
      <c r="S1214" s="5" t="n">
        <f aca="false">IF(H1214&lt;=16,1.45,
IF(H1214&gt;=41,0.3,
CHOOSE(ROUNDDOWN((H1214-16)/2,0)+1,
1.45,1.38,1.3,1.23,1.17,1.15,1.12,1.05,0.95,0.8,0.6,0.4,0.3)))</f>
        <v>1.3</v>
      </c>
      <c r="T1214" s="5" t="n">
        <f aca="false">CHOOSE(N1214+1,1.2,1,0.85,0.7)</f>
        <v>1.2</v>
      </c>
      <c r="U1214" s="5" t="n">
        <f aca="false">IF(F1214="PO",0.6,
IF(F1214="CT",0.75,
IF(F1214="LI",0.8,
IF(F1214="LD",0.8,
IF(F1214="MCD",0.85,
IF(F1214="MC",0.95,
IF(F1214="MO",1.05,
IF(F1214="EI",1.1,
IF(F1214="ED",1.1,
IF(F1214="SD",1.15,
IF(F1214="DC",1.2,0)))))))))))</f>
        <v>0.95</v>
      </c>
    </row>
    <row r="1215" customFormat="false" ht="16.4" hidden="false" customHeight="false" outlineLevel="0" collapsed="false">
      <c r="A1215" s="1" t="n">
        <v>1214</v>
      </c>
      <c r="B1215" s="5" t="str">
        <f aca="false">[1]Base_Jugadores!B1215</f>
        <v>Gino Infantino</v>
      </c>
      <c r="C1215" s="5" t="str">
        <f aca="false">IFERROR(
   _xlfn.XLOOKUP(VALUE(A1215),[1]Fichajes_Realizados!A$2:A$50000,[1]Fichajes_Realizados!D$2:D$50000,,0,-1),
   _xlfn.XLOOKUP(VALUE(A1215),[1]Base_Jugadores!A$2:A$50000,[1]Base_Jugadores!C$2:C$50000)
)</f>
        <v>Fiorentina</v>
      </c>
      <c r="D1215" s="5" t="str">
        <f aca="false">[1]Base_Jugadores!D1215</f>
        <v>Argentina</v>
      </c>
      <c r="E1215" s="3"/>
      <c r="F1215" s="5" t="str">
        <f aca="false">[1]Base_Jugadores!E1215</f>
        <v>MC</v>
      </c>
      <c r="G1215" s="5" t="n">
        <f aca="false">[1]Base_Jugadores!F1215</f>
        <v>74</v>
      </c>
      <c r="H1215" s="5" t="n">
        <f aca="false">[1]Base_Jugadores!G1215</f>
        <v>22</v>
      </c>
      <c r="I1215" s="7" t="n">
        <f aca="false" t="array" ref="I1215:I1215">_xlfn.XLOOKUP(G1215,{55;56;57;58;59;60;61;62;63;64;65;66;67;68;69;70;71;72;73;74;75;76;77;78;79;80;81;82;83;84;85;86;87;88;89;90;91;92;93;94;95;96;97;98;99},{100000;130000;160000;190000;220000;250000;300000;350000;400000;450000;500000;600000;700000;800000;900000;1000000;1500000;2000000;3000000;4000000;5000000;6500000;8000000;10000000;12500000;15000000;20000000;25000000;30000000;35000000;40000000;55000000;70000000;80000000;90000000;110000000;130000000;160000000;190000000;220000000;250000000;280000000;310000000;340000000;400000000})</f>
        <v>4000000</v>
      </c>
      <c r="J1215" s="7" t="n">
        <f aca="false">I1215*S1215*T1215*U1215</f>
        <v>5608800</v>
      </c>
      <c r="K1215" s="3"/>
      <c r="L1215" s="3"/>
      <c r="M1215" s="3"/>
      <c r="N1215" s="9" t="n">
        <v>0</v>
      </c>
      <c r="O1215" s="4" t="n">
        <v>0</v>
      </c>
      <c r="P1215" s="5" t="n">
        <f aca="false">IF(COUNTIF([1]Base_Jugadores!J$2:J$500,B1215)&gt;0,1,0)</f>
        <v>0</v>
      </c>
      <c r="Q1215" s="10" t="b">
        <f aca="false">--(COUNTIFS(
   [1]Fichajes_Realizados!A$2:A$5000,A1215,
   [1]Fichajes_Realizados!G$2:G$5000,$X$3
)&gt;0)</f>
        <v>0</v>
      </c>
      <c r="R1215" s="5" t="n">
        <f aca="false">_xlfn.XLOOKUP(C1215, [1]Estado_Equipos!A$2:A$500, [1]Estado_Equipos!J$2:J$500, "")</f>
        <v>74</v>
      </c>
      <c r="S1215" s="5" t="n">
        <f aca="false">IF(H1215&lt;=16,1.45,
IF(H1215&gt;=41,0.3,
CHOOSE(ROUNDDOWN((H1215-16)/2,0)+1,
1.45,1.38,1.3,1.23,1.17,1.15,1.12,1.05,0.95,0.8,0.6,0.4,0.3)))</f>
        <v>1.23</v>
      </c>
      <c r="T1215" s="5" t="n">
        <f aca="false">CHOOSE(N1215+1,1.2,1,0.85,0.7)</f>
        <v>1.2</v>
      </c>
      <c r="U1215" s="5" t="n">
        <f aca="false">IF(F1215="PO",0.6,
IF(F1215="CT",0.75,
IF(F1215="LI",0.8,
IF(F1215="LD",0.8,
IF(F1215="MCD",0.85,
IF(F1215="MC",0.95,
IF(F1215="MO",1.05,
IF(F1215="EI",1.1,
IF(F1215="ED",1.1,
IF(F1215="SD",1.15,
IF(F1215="DC",1.2,0)))))))))))</f>
        <v>0.95</v>
      </c>
    </row>
    <row r="1216" customFormat="false" ht="16.4" hidden="false" customHeight="false" outlineLevel="0" collapsed="false">
      <c r="A1216" s="1" t="n">
        <v>1215</v>
      </c>
      <c r="B1216" s="5" t="str">
        <f aca="false">[1]Base_Jugadores!B1216</f>
        <v>Abdelhamid Sabiri</v>
      </c>
      <c r="C1216" s="5" t="str">
        <f aca="false">IFERROR(
   _xlfn.XLOOKUP(VALUE(A1216),[1]Fichajes_Realizados!A$2:A$50000,[1]Fichajes_Realizados!D$2:D$50000,,0,-1),
   _xlfn.XLOOKUP(VALUE(A1216),[1]Base_Jugadores!A$2:A$50000,[1]Base_Jugadores!C$2:C$50000)
)</f>
        <v>Fiorentina</v>
      </c>
      <c r="D1216" s="5" t="str">
        <f aca="false">[1]Base_Jugadores!D1216</f>
        <v>Marruecos</v>
      </c>
      <c r="E1216" s="3"/>
      <c r="F1216" s="5" t="str">
        <f aca="false">[1]Base_Jugadores!E1216</f>
        <v>MO</v>
      </c>
      <c r="G1216" s="5" t="n">
        <f aca="false">[1]Base_Jugadores!F1216</f>
        <v>73</v>
      </c>
      <c r="H1216" s="5" t="n">
        <f aca="false">[1]Base_Jugadores!G1216</f>
        <v>29</v>
      </c>
      <c r="I1216" s="7" t="n">
        <f aca="false" t="array" ref="I1216:I1216">_xlfn.XLOOKUP(G1216,{55;56;57;58;59;60;61;62;63;64;65;66;67;68;69;70;71;72;73;74;75;76;77;78;79;80;81;82;83;84;85;86;87;88;89;90;91;92;93;94;95;96;97;98;99},{100000;130000;160000;190000;220000;250000;300000;350000;400000;450000;500000;600000;700000;800000;900000;1000000;1500000;2000000;3000000;4000000;5000000;6500000;8000000;10000000;12500000;15000000;20000000;25000000;30000000;35000000;40000000;55000000;70000000;80000000;90000000;110000000;130000000;160000000;190000000;220000000;250000000;280000000;310000000;340000000;400000000})</f>
        <v>3000000</v>
      </c>
      <c r="J1216" s="7" t="n">
        <f aca="false">I1216*S1216*T1216*U1216</f>
        <v>4233600</v>
      </c>
      <c r="K1216" s="3"/>
      <c r="L1216" s="3"/>
      <c r="M1216" s="3"/>
      <c r="N1216" s="9" t="n">
        <v>0</v>
      </c>
      <c r="O1216" s="4" t="n">
        <v>0</v>
      </c>
      <c r="P1216" s="5" t="n">
        <f aca="false">IF(COUNTIF([1]Base_Jugadores!J$2:J$500,B1216)&gt;0,1,0)</f>
        <v>0</v>
      </c>
      <c r="Q1216" s="10" t="b">
        <f aca="false">--(COUNTIFS(
   [1]Fichajes_Realizados!A$2:A$5000,A1216,
   [1]Fichajes_Realizados!G$2:G$5000,$X$3
)&gt;0)</f>
        <v>0</v>
      </c>
      <c r="R1216" s="5" t="n">
        <f aca="false">_xlfn.XLOOKUP(C1216, [1]Estado_Equipos!A$2:A$500, [1]Estado_Equipos!J$2:J$500, "")</f>
        <v>74</v>
      </c>
      <c r="S1216" s="5" t="n">
        <f aca="false">IF(H1216&lt;=16,1.45,
IF(H1216&gt;=41,0.3,
CHOOSE(ROUNDDOWN((H1216-16)/2,0)+1,
1.45,1.38,1.3,1.23,1.17,1.15,1.12,1.05,0.95,0.8,0.6,0.4,0.3)))</f>
        <v>1.12</v>
      </c>
      <c r="T1216" s="5" t="n">
        <f aca="false">CHOOSE(N1216+1,1.2,1,0.85,0.7)</f>
        <v>1.2</v>
      </c>
      <c r="U1216" s="5" t="n">
        <f aca="false">IF(F1216="PO",0.6,
IF(F1216="CT",0.75,
IF(F1216="LI",0.8,
IF(F1216="LD",0.8,
IF(F1216="MCD",0.85,
IF(F1216="MC",0.95,
IF(F1216="MO",1.05,
IF(F1216="EI",1.1,
IF(F1216="ED",1.1,
IF(F1216="SD",1.15,
IF(F1216="DC",1.2,0)))))))))))</f>
        <v>1.05</v>
      </c>
    </row>
    <row r="1217" customFormat="false" ht="16.4" hidden="false" customHeight="false" outlineLevel="0" collapsed="false">
      <c r="A1217" s="1" t="n">
        <v>1216</v>
      </c>
      <c r="B1217" s="5" t="str">
        <f aca="false">[1]Base_Jugadores!B1217</f>
        <v>A. Gudmundsson</v>
      </c>
      <c r="C1217" s="5" t="str">
        <f aca="false">IFERROR(
   _xlfn.XLOOKUP(VALUE(A1217),[1]Fichajes_Realizados!A$2:A$50000,[1]Fichajes_Realizados!D$2:D$50000,,0,-1),
   _xlfn.XLOOKUP(VALUE(A1217),[1]Base_Jugadores!A$2:A$50000,[1]Base_Jugadores!C$2:C$50000)
)</f>
        <v>Fiorentina</v>
      </c>
      <c r="D1217" s="5" t="str">
        <f aca="false">[1]Base_Jugadores!D1217</f>
        <v>Islandia</v>
      </c>
      <c r="E1217" s="3"/>
      <c r="F1217" s="5" t="str">
        <f aca="false">[1]Base_Jugadores!E1217</f>
        <v>SD</v>
      </c>
      <c r="G1217" s="5" t="n">
        <f aca="false">[1]Base_Jugadores!F1217</f>
        <v>80</v>
      </c>
      <c r="H1217" s="5" t="n">
        <f aca="false">[1]Base_Jugadores!G1217</f>
        <v>28</v>
      </c>
      <c r="I1217" s="7" t="n">
        <f aca="false" t="array" ref="I1217:I1217">_xlfn.XLOOKUP(G1217,{55;56;57;58;59;60;61;62;63;64;65;66;67;68;69;70;71;72;73;74;75;76;77;78;79;80;81;82;83;84;85;86;87;88;89;90;91;92;93;94;95;96;97;98;99},{100000;130000;160000;190000;220000;250000;300000;350000;400000;450000;500000;600000;700000;800000;900000;1000000;1500000;2000000;3000000;4000000;5000000;6500000;8000000;10000000;12500000;15000000;20000000;25000000;30000000;35000000;40000000;55000000;70000000;80000000;90000000;110000000;130000000;160000000;190000000;220000000;250000000;280000000;310000000;340000000;400000000})</f>
        <v>15000000</v>
      </c>
      <c r="J1217" s="7" t="n">
        <f aca="false">I1217*S1217*T1217*U1217</f>
        <v>23184000</v>
      </c>
      <c r="K1217" s="3"/>
      <c r="L1217" s="3"/>
      <c r="M1217" s="3"/>
      <c r="N1217" s="9" t="n">
        <v>0</v>
      </c>
      <c r="O1217" s="4" t="n">
        <v>0</v>
      </c>
      <c r="P1217" s="5" t="n">
        <f aca="false">IF(COUNTIF([1]Base_Jugadores!J$2:J$500,B1217)&gt;0,1,0)</f>
        <v>0</v>
      </c>
      <c r="Q1217" s="10" t="b">
        <f aca="false">--(COUNTIFS(
   [1]Fichajes_Realizados!A$2:A$5000,A1217,
   [1]Fichajes_Realizados!G$2:G$5000,$X$3
)&gt;0)</f>
        <v>0</v>
      </c>
      <c r="R1217" s="5" t="n">
        <f aca="false">_xlfn.XLOOKUP(C1217, [1]Estado_Equipos!A$2:A$500, [1]Estado_Equipos!J$2:J$500, "")</f>
        <v>74</v>
      </c>
      <c r="S1217" s="5" t="n">
        <f aca="false">IF(H1217&lt;=16,1.45,
IF(H1217&gt;=41,0.3,
CHOOSE(ROUNDDOWN((H1217-16)/2,0)+1,
1.45,1.38,1.3,1.23,1.17,1.15,1.12,1.05,0.95,0.8,0.6,0.4,0.3)))</f>
        <v>1.12</v>
      </c>
      <c r="T1217" s="5" t="n">
        <f aca="false">CHOOSE(N1217+1,1.2,1,0.85,0.7)</f>
        <v>1.2</v>
      </c>
      <c r="U1217" s="5" t="n">
        <f aca="false">IF(F1217="PO",0.6,
IF(F1217="CT",0.75,
IF(F1217="LI",0.8,
IF(F1217="LD",0.8,
IF(F1217="MCD",0.85,
IF(F1217="MC",0.95,
IF(F1217="MO",1.05,
IF(F1217="EI",1.1,
IF(F1217="ED",1.1,
IF(F1217="SD",1.15,
IF(F1217="DC",1.2,0)))))))))))</f>
        <v>1.15</v>
      </c>
    </row>
    <row r="1218" customFormat="false" ht="16.4" hidden="false" customHeight="false" outlineLevel="0" collapsed="false">
      <c r="A1218" s="1" t="n">
        <v>1217</v>
      </c>
      <c r="B1218" s="5" t="str">
        <f aca="false">[1]Base_Jugadores!B1218</f>
        <v>Moise Kean</v>
      </c>
      <c r="C1218" s="5" t="str">
        <f aca="false">IFERROR(
   _xlfn.XLOOKUP(VALUE(A1218),[1]Fichajes_Realizados!A$2:A$50000,[1]Fichajes_Realizados!D$2:D$50000,,0,-1),
   _xlfn.XLOOKUP(VALUE(A1218),[1]Base_Jugadores!A$2:A$50000,[1]Base_Jugadores!C$2:C$50000)
)</f>
        <v>Fiorentina</v>
      </c>
      <c r="D1218" s="5" t="str">
        <f aca="false">[1]Base_Jugadores!D1218</f>
        <v>Italia</v>
      </c>
      <c r="E1218" s="3"/>
      <c r="F1218" s="5" t="str">
        <f aca="false">[1]Base_Jugadores!E1218</f>
        <v>DC</v>
      </c>
      <c r="G1218" s="5" t="n">
        <f aca="false">[1]Base_Jugadores!F1218</f>
        <v>80</v>
      </c>
      <c r="H1218" s="5" t="n">
        <f aca="false">[1]Base_Jugadores!G1218</f>
        <v>25</v>
      </c>
      <c r="I1218" s="7" t="n">
        <f aca="false" t="array" ref="I1218:I1218">_xlfn.XLOOKUP(G1218,{55;56;57;58;59;60;61;62;63;64;65;66;67;68;69;70;71;72;73;74;75;76;77;78;79;80;81;82;83;84;85;86;87;88;89;90;91;92;93;94;95;96;97;98;99},{100000;130000;160000;190000;220000;250000;300000;350000;400000;450000;500000;600000;700000;800000;900000;1000000;1500000;2000000;3000000;4000000;5000000;6500000;8000000;10000000;12500000;15000000;20000000;25000000;30000000;35000000;40000000;55000000;70000000;80000000;90000000;110000000;130000000;160000000;190000000;220000000;250000000;280000000;310000000;340000000;400000000})</f>
        <v>15000000</v>
      </c>
      <c r="J1218" s="7" t="n">
        <f aca="false">I1218*S1218*T1218*U1218</f>
        <v>25272000</v>
      </c>
      <c r="K1218" s="3"/>
      <c r="L1218" s="3"/>
      <c r="M1218" s="3"/>
      <c r="N1218" s="9" t="n">
        <v>0</v>
      </c>
      <c r="O1218" s="4" t="n">
        <v>0</v>
      </c>
      <c r="P1218" s="5" t="n">
        <f aca="false">IF(COUNTIF([1]Base_Jugadores!J$2:J$500,B1218)&gt;0,1,0)</f>
        <v>0</v>
      </c>
      <c r="Q1218" s="10" t="b">
        <f aca="false">--(COUNTIFS(
   [1]Fichajes_Realizados!A$2:A$5000,A1218,
   [1]Fichajes_Realizados!G$2:G$5000,$X$3
)&gt;0)</f>
        <v>0</v>
      </c>
      <c r="R1218" s="5" t="n">
        <f aca="false">_xlfn.XLOOKUP(C1218, [1]Estado_Equipos!A$2:A$500, [1]Estado_Equipos!J$2:J$500, "")</f>
        <v>74</v>
      </c>
      <c r="S1218" s="5" t="n">
        <f aca="false">IF(H1218&lt;=16,1.45,
IF(H1218&gt;=41,0.3,
CHOOSE(ROUNDDOWN((H1218-16)/2,0)+1,
1.45,1.38,1.3,1.23,1.17,1.15,1.12,1.05,0.95,0.8,0.6,0.4,0.3)))</f>
        <v>1.17</v>
      </c>
      <c r="T1218" s="5" t="n">
        <f aca="false">CHOOSE(N1218+1,1.2,1,0.85,0.7)</f>
        <v>1.2</v>
      </c>
      <c r="U1218" s="5" t="n">
        <f aca="false">IF(F1218="PO",0.6,
IF(F1218="CT",0.75,
IF(F1218="LI",0.8,
IF(F1218="LD",0.8,
IF(F1218="MCD",0.85,
IF(F1218="MC",0.95,
IF(F1218="MO",1.05,
IF(F1218="EI",1.1,
IF(F1218="ED",1.1,
IF(F1218="SD",1.15,
IF(F1218="DC",1.2,0)))))))))))</f>
        <v>1.2</v>
      </c>
    </row>
    <row r="1219" customFormat="false" ht="16.4" hidden="false" customHeight="false" outlineLevel="0" collapsed="false">
      <c r="A1219" s="1" t="n">
        <v>1218</v>
      </c>
      <c r="B1219" s="5" t="str">
        <f aca="false">[1]Base_Jugadores!B1219</f>
        <v>Roberto Piccoli</v>
      </c>
      <c r="C1219" s="5" t="str">
        <f aca="false">IFERROR(
   _xlfn.XLOOKUP(VALUE(A1219),[1]Fichajes_Realizados!A$2:A$50000,[1]Fichajes_Realizados!D$2:D$50000,,0,-1),
   _xlfn.XLOOKUP(VALUE(A1219),[1]Base_Jugadores!A$2:A$50000,[1]Base_Jugadores!C$2:C$50000)
)</f>
        <v>Fiorentina</v>
      </c>
      <c r="D1219" s="5" t="str">
        <f aca="false">[1]Base_Jugadores!D1219</f>
        <v>Italia</v>
      </c>
      <c r="E1219" s="3"/>
      <c r="F1219" s="5" t="str">
        <f aca="false">[1]Base_Jugadores!E1219</f>
        <v>DC</v>
      </c>
      <c r="G1219" s="5" t="n">
        <f aca="false">[1]Base_Jugadores!F1219</f>
        <v>72</v>
      </c>
      <c r="H1219" s="5" t="n">
        <f aca="false">[1]Base_Jugadores!G1219</f>
        <v>24</v>
      </c>
      <c r="I1219" s="7" t="n">
        <f aca="false" t="array" ref="I1219:I1219">_xlfn.XLOOKUP(G1219,{55;56;57;58;59;60;61;62;63;64;65;66;67;68;69;70;71;72;73;74;75;76;77;78;79;80;81;82;83;84;85;86;87;88;89;90;91;92;93;94;95;96;97;98;99},{100000;130000;160000;190000;220000;250000;300000;350000;400000;450000;500000;600000;700000;800000;900000;1000000;1500000;2000000;3000000;4000000;5000000;6500000;8000000;10000000;12500000;15000000;20000000;25000000;30000000;35000000;40000000;55000000;70000000;80000000;90000000;110000000;130000000;160000000;190000000;220000000;250000000;280000000;310000000;340000000;400000000})</f>
        <v>2000000</v>
      </c>
      <c r="J1219" s="7" t="n">
        <f aca="false">I1219*S1219*T1219*U1219</f>
        <v>3369600</v>
      </c>
      <c r="K1219" s="3"/>
      <c r="L1219" s="3"/>
      <c r="M1219" s="3"/>
      <c r="N1219" s="9" t="n">
        <v>0</v>
      </c>
      <c r="O1219" s="4" t="n">
        <v>0</v>
      </c>
      <c r="P1219" s="5" t="n">
        <f aca="false">IF(COUNTIF([1]Base_Jugadores!J$2:J$500,B1219)&gt;0,1,0)</f>
        <v>0</v>
      </c>
      <c r="Q1219" s="10" t="b">
        <f aca="false">--(COUNTIFS(
   [1]Fichajes_Realizados!A$2:A$5000,A1219,
   [1]Fichajes_Realizados!G$2:G$5000,$X$3
)&gt;0)</f>
        <v>0</v>
      </c>
      <c r="R1219" s="5" t="n">
        <f aca="false">_xlfn.XLOOKUP(C1219, [1]Estado_Equipos!A$2:A$500, [1]Estado_Equipos!J$2:J$500, "")</f>
        <v>74</v>
      </c>
      <c r="S1219" s="5" t="n">
        <f aca="false">IF(H1219&lt;=16,1.45,
IF(H1219&gt;=41,0.3,
CHOOSE(ROUNDDOWN((H1219-16)/2,0)+1,
1.45,1.38,1.3,1.23,1.17,1.15,1.12,1.05,0.95,0.8,0.6,0.4,0.3)))</f>
        <v>1.17</v>
      </c>
      <c r="T1219" s="5" t="n">
        <f aca="false">CHOOSE(N1219+1,1.2,1,0.85,0.7)</f>
        <v>1.2</v>
      </c>
      <c r="U1219" s="5" t="n">
        <f aca="false">IF(F1219="PO",0.6,
IF(F1219="CT",0.75,
IF(F1219="LI",0.8,
IF(F1219="LD",0.8,
IF(F1219="MCD",0.85,
IF(F1219="MC",0.95,
IF(F1219="MO",1.05,
IF(F1219="EI",1.1,
IF(F1219="ED",1.1,
IF(F1219="SD",1.15,
IF(F1219="DC",1.2,0)))))))))))</f>
        <v>1.2</v>
      </c>
    </row>
    <row r="1220" customFormat="false" ht="16.4" hidden="false" customHeight="false" outlineLevel="0" collapsed="false">
      <c r="A1220" s="1" t="n">
        <v>1219</v>
      </c>
      <c r="B1220" s="5" t="str">
        <f aca="false">[1]Base_Jugadores!B1220</f>
        <v>Christian Kouamé</v>
      </c>
      <c r="C1220" s="5" t="str">
        <f aca="false">IFERROR(
   _xlfn.XLOOKUP(VALUE(A1220),[1]Fichajes_Realizados!A$2:A$50000,[1]Fichajes_Realizados!D$2:D$50000,,0,-1),
   _xlfn.XLOOKUP(VALUE(A1220),[1]Base_Jugadores!A$2:A$50000,[1]Base_Jugadores!C$2:C$50000)
)</f>
        <v>Fiorentina</v>
      </c>
      <c r="D1220" s="5" t="str">
        <f aca="false">[1]Base_Jugadores!D1220</f>
        <v>Costa de Marfil</v>
      </c>
      <c r="E1220" s="3"/>
      <c r="F1220" s="5" t="str">
        <f aca="false">[1]Base_Jugadores!E1220</f>
        <v>DC</v>
      </c>
      <c r="G1220" s="5" t="n">
        <f aca="false">[1]Base_Jugadores!F1220</f>
        <v>76</v>
      </c>
      <c r="H1220" s="5" t="n">
        <f aca="false">[1]Base_Jugadores!G1220</f>
        <v>28</v>
      </c>
      <c r="I1220" s="7" t="n">
        <f aca="false" t="array" ref="I1220:I1220">_xlfn.XLOOKUP(G1220,{55;56;57;58;59;60;61;62;63;64;65;66;67;68;69;70;71;72;73;74;75;76;77;78;79;80;81;82;83;84;85;86;87;88;89;90;91;92;93;94;95;96;97;98;99},{100000;130000;160000;190000;220000;250000;300000;350000;400000;450000;500000;600000;700000;800000;900000;1000000;1500000;2000000;3000000;4000000;5000000;6500000;8000000;10000000;12500000;15000000;20000000;25000000;30000000;35000000;40000000;55000000;70000000;80000000;90000000;110000000;130000000;160000000;190000000;220000000;250000000;280000000;310000000;340000000;400000000})</f>
        <v>6500000</v>
      </c>
      <c r="J1220" s="7" t="n">
        <f aca="false">I1220*S1220*T1220*U1220</f>
        <v>10483200</v>
      </c>
      <c r="K1220" s="3"/>
      <c r="L1220" s="3"/>
      <c r="M1220" s="3"/>
      <c r="N1220" s="9" t="n">
        <v>0</v>
      </c>
      <c r="O1220" s="4" t="n">
        <v>0</v>
      </c>
      <c r="P1220" s="5" t="n">
        <f aca="false">IF(COUNTIF([1]Base_Jugadores!J$2:J$500,B1220)&gt;0,1,0)</f>
        <v>0</v>
      </c>
      <c r="Q1220" s="10" t="b">
        <f aca="false">--(COUNTIFS(
   [1]Fichajes_Realizados!A$2:A$5000,A1220,
   [1]Fichajes_Realizados!G$2:G$5000,$X$3
)&gt;0)</f>
        <v>0</v>
      </c>
      <c r="R1220" s="5" t="n">
        <f aca="false">_xlfn.XLOOKUP(C1220, [1]Estado_Equipos!A$2:A$500, [1]Estado_Equipos!J$2:J$500, "")</f>
        <v>74</v>
      </c>
      <c r="S1220" s="5" t="n">
        <f aca="false">IF(H1220&lt;=16,1.45,
IF(H1220&gt;=41,0.3,
CHOOSE(ROUNDDOWN((H1220-16)/2,0)+1,
1.45,1.38,1.3,1.23,1.17,1.15,1.12,1.05,0.95,0.8,0.6,0.4,0.3)))</f>
        <v>1.12</v>
      </c>
      <c r="T1220" s="5" t="n">
        <f aca="false">CHOOSE(N1220+1,1.2,1,0.85,0.7)</f>
        <v>1.2</v>
      </c>
      <c r="U1220" s="5" t="n">
        <f aca="false">IF(F1220="PO",0.6,
IF(F1220="CT",0.75,
IF(F1220="LI",0.8,
IF(F1220="LD",0.8,
IF(F1220="MCD",0.85,
IF(F1220="MC",0.95,
IF(F1220="MO",1.05,
IF(F1220="EI",1.1,
IF(F1220="ED",1.1,
IF(F1220="SD",1.15,
IF(F1220="DC",1.2,0)))))))))))</f>
        <v>1.2</v>
      </c>
    </row>
    <row r="1221" customFormat="false" ht="16.4" hidden="false" customHeight="false" outlineLevel="0" collapsed="false">
      <c r="A1221" s="1" t="n">
        <v>1220</v>
      </c>
      <c r="B1221" s="5" t="str">
        <f aca="false">[1]Base_Jugadores!B1221</f>
        <v>Edin Džeko</v>
      </c>
      <c r="C1221" s="5" t="str">
        <f aca="false">IFERROR(
   _xlfn.XLOOKUP(VALUE(A1221),[1]Fichajes_Realizados!A$2:A$50000,[1]Fichajes_Realizados!D$2:D$50000,,0,-1),
   _xlfn.XLOOKUP(VALUE(A1221),[1]Base_Jugadores!A$2:A$50000,[1]Base_Jugadores!C$2:C$50000)
)</f>
        <v>Fiorentina</v>
      </c>
      <c r="D1221" s="5" t="str">
        <f aca="false">[1]Base_Jugadores!D1221</f>
        <v>Bosnia y Herzegovina</v>
      </c>
      <c r="E1221" s="3"/>
      <c r="F1221" s="5" t="str">
        <f aca="false">[1]Base_Jugadores!E1221</f>
        <v>DC</v>
      </c>
      <c r="G1221" s="5" t="n">
        <f aca="false">[1]Base_Jugadores!F1221</f>
        <v>82</v>
      </c>
      <c r="H1221" s="5" t="n">
        <f aca="false">[1]Base_Jugadores!G1221</f>
        <v>39</v>
      </c>
      <c r="I1221" s="7" t="n">
        <f aca="false" t="array" ref="I1221:I1221">_xlfn.XLOOKUP(G1221,{55;56;57;58;59;60;61;62;63;64;65;66;67;68;69;70;71;72;73;74;75;76;77;78;79;80;81;82;83;84;85;86;87;88;89;90;91;92;93;94;95;96;97;98;99},{100000;130000;160000;190000;220000;250000;300000;350000;400000;450000;500000;600000;700000;800000;900000;1000000;1500000;2000000;3000000;4000000;5000000;6500000;8000000;10000000;12500000;15000000;20000000;25000000;30000000;35000000;40000000;55000000;70000000;80000000;90000000;110000000;130000000;160000000;190000000;220000000;250000000;280000000;310000000;340000000;400000000})</f>
        <v>25000000</v>
      </c>
      <c r="J1221" s="7" t="n">
        <f aca="false">I1221*S1221*T1221*U1221</f>
        <v>14400000</v>
      </c>
      <c r="K1221" s="3"/>
      <c r="L1221" s="3"/>
      <c r="M1221" s="3"/>
      <c r="N1221" s="9" t="n">
        <v>0</v>
      </c>
      <c r="O1221" s="4" t="n">
        <v>0</v>
      </c>
      <c r="P1221" s="5" t="n">
        <f aca="false">IF(COUNTIF([1]Base_Jugadores!J$2:J$500,B1221)&gt;0,1,0)</f>
        <v>0</v>
      </c>
      <c r="Q1221" s="10" t="b">
        <f aca="false">--(COUNTIFS(
   [1]Fichajes_Realizados!A$2:A$5000,A1221,
   [1]Fichajes_Realizados!G$2:G$5000,$X$3
)&gt;0)</f>
        <v>0</v>
      </c>
      <c r="R1221" s="5" t="n">
        <f aca="false">_xlfn.XLOOKUP(C1221, [1]Estado_Equipos!A$2:A$500, [1]Estado_Equipos!J$2:J$500, "")</f>
        <v>74</v>
      </c>
      <c r="S1221" s="5" t="n">
        <f aca="false">IF(H1221&lt;=16,1.45,
IF(H1221&gt;=41,0.3,
CHOOSE(ROUNDDOWN((H1221-16)/2,0)+1,
1.45,1.38,1.3,1.23,1.17,1.15,1.12,1.05,0.95,0.8,0.6,0.4,0.3)))</f>
        <v>0.4</v>
      </c>
      <c r="T1221" s="5" t="n">
        <f aca="false">CHOOSE(N1221+1,1.2,1,0.85,0.7)</f>
        <v>1.2</v>
      </c>
      <c r="U1221" s="5" t="n">
        <f aca="false">IF(F1221="PO",0.6,
IF(F1221="CT",0.75,
IF(F1221="LI",0.8,
IF(F1221="LD",0.8,
IF(F1221="MCD",0.85,
IF(F1221="MC",0.95,
IF(F1221="MO",1.05,
IF(F1221="EI",1.1,
IF(F1221="ED",1.1,
IF(F1221="SD",1.15,
IF(F1221="DC",1.2,0)))))))))))</f>
        <v>1.2</v>
      </c>
    </row>
    <row r="1222" customFormat="false" ht="16.4" hidden="false" customHeight="false" outlineLevel="0" collapsed="false">
      <c r="A1222" s="1" t="n">
        <v>1221</v>
      </c>
      <c r="B1222" s="5" t="str">
        <f aca="false">[1]Base_Jugadores!B1222</f>
        <v>Nicola Leali</v>
      </c>
      <c r="C1222" s="5" t="str">
        <f aca="false">IFERROR(
   _xlfn.XLOOKUP(VALUE(A1222),[1]Fichajes_Realizados!A$2:A$50000,[1]Fichajes_Realizados!D$2:D$50000,,0,-1),
   _xlfn.XLOOKUP(VALUE(A1222),[1]Base_Jugadores!A$2:A$50000,[1]Base_Jugadores!C$2:C$50000)
)</f>
        <v>Génova</v>
      </c>
      <c r="D1222" s="5" t="str">
        <f aca="false">[1]Base_Jugadores!D1222</f>
        <v>Italia</v>
      </c>
      <c r="E1222" s="3"/>
      <c r="F1222" s="5" t="str">
        <f aca="false">[1]Base_Jugadores!E1222</f>
        <v>PO</v>
      </c>
      <c r="G1222" s="5" t="n">
        <f aca="false">[1]Base_Jugadores!F1222</f>
        <v>70</v>
      </c>
      <c r="H1222" s="5" t="n">
        <f aca="false">[1]Base_Jugadores!G1222</f>
        <v>32</v>
      </c>
      <c r="I1222" s="7" t="n">
        <f aca="false" t="array" ref="I1222:I1222">_xlfn.XLOOKUP(G1222,{55;56;57;58;59;60;61;62;63;64;65;66;67;68;69;70;71;72;73;74;75;76;77;78;79;80;81;82;83;84;85;86;87;88;89;90;91;92;93;94;95;96;97;98;99},{100000;130000;160000;190000;220000;250000;300000;350000;400000;450000;500000;600000;700000;800000;900000;1000000;1500000;2000000;3000000;4000000;5000000;6500000;8000000;10000000;12500000;15000000;20000000;25000000;30000000;35000000;40000000;55000000;70000000;80000000;90000000;110000000;130000000;160000000;190000000;220000000;250000000;280000000;310000000;340000000;400000000})</f>
        <v>1000000</v>
      </c>
      <c r="J1222" s="7" t="n">
        <f aca="false">I1222*S1222*T1222*U1222</f>
        <v>684000</v>
      </c>
      <c r="K1222" s="3"/>
      <c r="L1222" s="3"/>
      <c r="M1222" s="3"/>
      <c r="N1222" s="9" t="n">
        <v>0</v>
      </c>
      <c r="O1222" s="4" t="n">
        <v>0</v>
      </c>
      <c r="P1222" s="5" t="n">
        <f aca="false">IF(COUNTIF([1]Base_Jugadores!J$2:J$500,B1222)&gt;0,1,0)</f>
        <v>0</v>
      </c>
      <c r="Q1222" s="10" t="b">
        <f aca="false">--(COUNTIFS(
   [1]Fichajes_Realizados!A$2:A$5000,A1222,
   [1]Fichajes_Realizados!G$2:G$5000,$X$3
)&gt;0)</f>
        <v>0</v>
      </c>
      <c r="R1222" s="5" t="n">
        <f aca="false">_xlfn.XLOOKUP(C1222, [1]Estado_Equipos!A$2:A$500, [1]Estado_Equipos!J$2:J$500, "")</f>
        <v>70</v>
      </c>
      <c r="S1222" s="5" t="n">
        <f aca="false">IF(H1222&lt;=16,1.45,
IF(H1222&gt;=41,0.3,
CHOOSE(ROUNDDOWN((H1222-16)/2,0)+1,
1.45,1.38,1.3,1.23,1.17,1.15,1.12,1.05,0.95,0.8,0.6,0.4,0.3)))</f>
        <v>0.95</v>
      </c>
      <c r="T1222" s="5" t="n">
        <f aca="false">CHOOSE(N1222+1,1.2,1,0.85,0.7)</f>
        <v>1.2</v>
      </c>
      <c r="U1222" s="5" t="n">
        <f aca="false">IF(F1222="PO",0.6,
IF(F1222="CT",0.75,
IF(F1222="LI",0.8,
IF(F1222="LD",0.8,
IF(F1222="MCD",0.85,
IF(F1222="MC",0.95,
IF(F1222="MO",1.05,
IF(F1222="EI",1.1,
IF(F1222="ED",1.1,
IF(F1222="SD",1.15,
IF(F1222="DC",1.2,0)))))))))))</f>
        <v>0.6</v>
      </c>
    </row>
    <row r="1223" customFormat="false" ht="16.4" hidden="false" customHeight="false" outlineLevel="0" collapsed="false">
      <c r="A1223" s="1" t="n">
        <v>1222</v>
      </c>
      <c r="B1223" s="5" t="str">
        <f aca="false">[1]Base_Jugadores!B1223</f>
        <v>Benjamin Siegrist</v>
      </c>
      <c r="C1223" s="5" t="str">
        <f aca="false">IFERROR(
   _xlfn.XLOOKUP(VALUE(A1223),[1]Fichajes_Realizados!A$2:A$50000,[1]Fichajes_Realizados!D$2:D$50000,,0,-1),
   _xlfn.XLOOKUP(VALUE(A1223),[1]Base_Jugadores!A$2:A$50000,[1]Base_Jugadores!C$2:C$50000)
)</f>
        <v>Génova</v>
      </c>
      <c r="D1223" s="5" t="str">
        <f aca="false">[1]Base_Jugadores!D1223</f>
        <v>Suiza</v>
      </c>
      <c r="E1223" s="3"/>
      <c r="F1223" s="5" t="str">
        <f aca="false">[1]Base_Jugadores!E1223</f>
        <v>PO</v>
      </c>
      <c r="G1223" s="5" t="n">
        <f aca="false">[1]Base_Jugadores!F1223</f>
        <v>70</v>
      </c>
      <c r="H1223" s="5" t="n">
        <f aca="false">[1]Base_Jugadores!G1223</f>
        <v>33</v>
      </c>
      <c r="I1223" s="7" t="n">
        <f aca="false" t="array" ref="I1223:I1223">_xlfn.XLOOKUP(G1223,{55;56;57;58;59;60;61;62;63;64;65;66;67;68;69;70;71;72;73;74;75;76;77;78;79;80;81;82;83;84;85;86;87;88;89;90;91;92;93;94;95;96;97;98;99},{100000;130000;160000;190000;220000;250000;300000;350000;400000;450000;500000;600000;700000;800000;900000;1000000;1500000;2000000;3000000;4000000;5000000;6500000;8000000;10000000;12500000;15000000;20000000;25000000;30000000;35000000;40000000;55000000;70000000;80000000;90000000;110000000;130000000;160000000;190000000;220000000;250000000;280000000;310000000;340000000;400000000})</f>
        <v>1000000</v>
      </c>
      <c r="J1223" s="7" t="n">
        <f aca="false">I1223*S1223*T1223*U1223</f>
        <v>684000</v>
      </c>
      <c r="K1223" s="3"/>
      <c r="L1223" s="3"/>
      <c r="M1223" s="3"/>
      <c r="N1223" s="9" t="n">
        <v>0</v>
      </c>
      <c r="O1223" s="4" t="n">
        <v>0</v>
      </c>
      <c r="P1223" s="5" t="n">
        <f aca="false">IF(COUNTIF([1]Base_Jugadores!J$2:J$500,B1223)&gt;0,1,0)</f>
        <v>0</v>
      </c>
      <c r="Q1223" s="10" t="b">
        <f aca="false">--(COUNTIFS(
   [1]Fichajes_Realizados!A$2:A$5000,A1223,
   [1]Fichajes_Realizados!G$2:G$5000,$X$3
)&gt;0)</f>
        <v>0</v>
      </c>
      <c r="R1223" s="5" t="n">
        <f aca="false">_xlfn.XLOOKUP(C1223, [1]Estado_Equipos!A$2:A$500, [1]Estado_Equipos!J$2:J$500, "")</f>
        <v>70</v>
      </c>
      <c r="S1223" s="5" t="n">
        <f aca="false">IF(H1223&lt;=16,1.45,
IF(H1223&gt;=41,0.3,
CHOOSE(ROUNDDOWN((H1223-16)/2,0)+1,
1.45,1.38,1.3,1.23,1.17,1.15,1.12,1.05,0.95,0.8,0.6,0.4,0.3)))</f>
        <v>0.95</v>
      </c>
      <c r="T1223" s="5" t="n">
        <f aca="false">CHOOSE(N1223+1,1.2,1,0.85,0.7)</f>
        <v>1.2</v>
      </c>
      <c r="U1223" s="5" t="n">
        <f aca="false">IF(F1223="PO",0.6,
IF(F1223="CT",0.75,
IF(F1223="LI",0.8,
IF(F1223="LD",0.8,
IF(F1223="MCD",0.85,
IF(F1223="MC",0.95,
IF(F1223="MO",1.05,
IF(F1223="EI",1.1,
IF(F1223="ED",1.1,
IF(F1223="SD",1.15,
IF(F1223="DC",1.2,0)))))))))))</f>
        <v>0.6</v>
      </c>
    </row>
    <row r="1224" customFormat="false" ht="16.4" hidden="false" customHeight="false" outlineLevel="0" collapsed="false">
      <c r="A1224" s="1" t="n">
        <v>1223</v>
      </c>
      <c r="B1224" s="5" t="str">
        <f aca="false">[1]Base_Jugadores!B1224</f>
        <v>Daniele Sommariva</v>
      </c>
      <c r="C1224" s="5" t="str">
        <f aca="false">IFERROR(
   _xlfn.XLOOKUP(VALUE(A1224),[1]Fichajes_Realizados!A$2:A$50000,[1]Fichajes_Realizados!D$2:D$50000,,0,-1),
   _xlfn.XLOOKUP(VALUE(A1224),[1]Base_Jugadores!A$2:A$50000,[1]Base_Jugadores!C$2:C$50000)
)</f>
        <v>Génova</v>
      </c>
      <c r="D1224" s="5" t="str">
        <f aca="false">[1]Base_Jugadores!D1224</f>
        <v>Italia</v>
      </c>
      <c r="E1224" s="3"/>
      <c r="F1224" s="5" t="str">
        <f aca="false">[1]Base_Jugadores!E1224</f>
        <v>PO</v>
      </c>
      <c r="G1224" s="5" t="n">
        <f aca="false">[1]Base_Jugadores!F1224</f>
        <v>65</v>
      </c>
      <c r="H1224" s="5" t="n">
        <f aca="false">[1]Base_Jugadores!G1224</f>
        <v>28</v>
      </c>
      <c r="I1224" s="7" t="n">
        <f aca="false" t="array" ref="I1224:I1224">_xlfn.XLOOKUP(G1224,{55;56;57;58;59;60;61;62;63;64;65;66;67;68;69;70;71;72;73;74;75;76;77;78;79;80;81;82;83;84;85;86;87;88;89;90;91;92;93;94;95;96;97;98;99},{100000;130000;160000;190000;220000;250000;300000;350000;400000;450000;500000;600000;700000;800000;900000;1000000;1500000;2000000;3000000;4000000;5000000;6500000;8000000;10000000;12500000;15000000;20000000;25000000;30000000;35000000;40000000;55000000;70000000;80000000;90000000;110000000;130000000;160000000;190000000;220000000;250000000;280000000;310000000;340000000;400000000})</f>
        <v>500000</v>
      </c>
      <c r="J1224" s="7" t="n">
        <f aca="false">I1224*S1224*T1224*U1224</f>
        <v>403200</v>
      </c>
      <c r="K1224" s="3"/>
      <c r="L1224" s="3"/>
      <c r="M1224" s="3"/>
      <c r="N1224" s="9" t="n">
        <v>0</v>
      </c>
      <c r="O1224" s="4" t="n">
        <v>0</v>
      </c>
      <c r="P1224" s="5" t="n">
        <f aca="false">IF(COUNTIF([1]Base_Jugadores!J$2:J$500,B1224)&gt;0,1,0)</f>
        <v>0</v>
      </c>
      <c r="Q1224" s="10" t="b">
        <f aca="false">--(COUNTIFS(
   [1]Fichajes_Realizados!A$2:A$5000,A1224,
   [1]Fichajes_Realizados!G$2:G$5000,$X$3
)&gt;0)</f>
        <v>0</v>
      </c>
      <c r="R1224" s="5" t="n">
        <f aca="false">_xlfn.XLOOKUP(C1224, [1]Estado_Equipos!A$2:A$500, [1]Estado_Equipos!J$2:J$500, "")</f>
        <v>70</v>
      </c>
      <c r="S1224" s="5" t="n">
        <f aca="false">IF(H1224&lt;=16,1.45,
IF(H1224&gt;=41,0.3,
CHOOSE(ROUNDDOWN((H1224-16)/2,0)+1,
1.45,1.38,1.3,1.23,1.17,1.15,1.12,1.05,0.95,0.8,0.6,0.4,0.3)))</f>
        <v>1.12</v>
      </c>
      <c r="T1224" s="5" t="n">
        <f aca="false">CHOOSE(N1224+1,1.2,1,0.85,0.7)</f>
        <v>1.2</v>
      </c>
      <c r="U1224" s="5" t="n">
        <f aca="false">IF(F1224="PO",0.6,
IF(F1224="CT",0.75,
IF(F1224="LI",0.8,
IF(F1224="LD",0.8,
IF(F1224="MCD",0.85,
IF(F1224="MC",0.95,
IF(F1224="MO",1.05,
IF(F1224="EI",1.1,
IF(F1224="ED",1.1,
IF(F1224="SD",1.15,
IF(F1224="DC",1.2,0)))))))))))</f>
        <v>0.6</v>
      </c>
    </row>
    <row r="1225" customFormat="false" ht="16.4" hidden="false" customHeight="false" outlineLevel="0" collapsed="false">
      <c r="A1225" s="1" t="n">
        <v>1224</v>
      </c>
      <c r="B1225" s="5" t="str">
        <f aca="false">[1]Base_Jugadores!B1225</f>
        <v>Johan Vásquez</v>
      </c>
      <c r="C1225" s="5" t="str">
        <f aca="false">IFERROR(
   _xlfn.XLOOKUP(VALUE(A1225),[1]Fichajes_Realizados!A$2:A$50000,[1]Fichajes_Realizados!D$2:D$50000,,0,-1),
   _xlfn.XLOOKUP(VALUE(A1225),[1]Base_Jugadores!A$2:A$50000,[1]Base_Jugadores!C$2:C$50000)
)</f>
        <v>Génova</v>
      </c>
      <c r="D1225" s="5" t="str">
        <f aca="false">[1]Base_Jugadores!D1225</f>
        <v>México</v>
      </c>
      <c r="E1225" s="3"/>
      <c r="F1225" s="5" t="str">
        <f aca="false">[1]Base_Jugadores!E1225</f>
        <v>CT</v>
      </c>
      <c r="G1225" s="5" t="n">
        <f aca="false">[1]Base_Jugadores!F1225</f>
        <v>75</v>
      </c>
      <c r="H1225" s="5" t="n">
        <f aca="false">[1]Base_Jugadores!G1225</f>
        <v>27</v>
      </c>
      <c r="I1225" s="7" t="n">
        <f aca="false" t="array" ref="I1225:I1225">_xlfn.XLOOKUP(G1225,{55;56;57;58;59;60;61;62;63;64;65;66;67;68;69;70;71;72;73;74;75;76;77;78;79;80;81;82;83;84;85;86;87;88;89;90;91;92;93;94;95;96;97;98;99},{100000;130000;160000;190000;220000;250000;300000;350000;400000;450000;500000;600000;700000;800000;900000;1000000;1500000;2000000;3000000;4000000;5000000;6500000;8000000;10000000;12500000;15000000;20000000;25000000;30000000;35000000;40000000;55000000;70000000;80000000;90000000;110000000;130000000;160000000;190000000;220000000;250000000;280000000;310000000;340000000;400000000})</f>
        <v>5000000</v>
      </c>
      <c r="J1225" s="7" t="n">
        <f aca="false">I1225*S1225*T1225*U1225</f>
        <v>5175000</v>
      </c>
      <c r="K1225" s="3"/>
      <c r="L1225" s="3"/>
      <c r="M1225" s="3"/>
      <c r="N1225" s="9" t="n">
        <v>0</v>
      </c>
      <c r="O1225" s="4" t="n">
        <v>0</v>
      </c>
      <c r="P1225" s="5" t="n">
        <f aca="false">IF(COUNTIF([1]Base_Jugadores!J$2:J$500,B1225)&gt;0,1,0)</f>
        <v>0</v>
      </c>
      <c r="Q1225" s="10" t="b">
        <f aca="false">--(COUNTIFS(
   [1]Fichajes_Realizados!A$2:A$5000,A1225,
   [1]Fichajes_Realizados!G$2:G$5000,$X$3
)&gt;0)</f>
        <v>0</v>
      </c>
      <c r="R1225" s="5" t="n">
        <f aca="false">_xlfn.XLOOKUP(C1225, [1]Estado_Equipos!A$2:A$500, [1]Estado_Equipos!J$2:J$500, "")</f>
        <v>70</v>
      </c>
      <c r="S1225" s="5" t="n">
        <f aca="false">IF(H1225&lt;=16,1.45,
IF(H1225&gt;=41,0.3,
CHOOSE(ROUNDDOWN((H1225-16)/2,0)+1,
1.45,1.38,1.3,1.23,1.17,1.15,1.12,1.05,0.95,0.8,0.6,0.4,0.3)))</f>
        <v>1.15</v>
      </c>
      <c r="T1225" s="5" t="n">
        <f aca="false">CHOOSE(N1225+1,1.2,1,0.85,0.7)</f>
        <v>1.2</v>
      </c>
      <c r="U1225" s="5" t="n">
        <f aca="false">IF(F1225="PO",0.6,
IF(F1225="CT",0.75,
IF(F1225="LI",0.8,
IF(F1225="LD",0.8,
IF(F1225="MCD",0.85,
IF(F1225="MC",0.95,
IF(F1225="MO",1.05,
IF(F1225="EI",1.1,
IF(F1225="ED",1.1,
IF(F1225="SD",1.15,
IF(F1225="DC",1.2,0)))))))))))</f>
        <v>0.75</v>
      </c>
    </row>
    <row r="1226" customFormat="false" ht="16.4" hidden="false" customHeight="false" outlineLevel="0" collapsed="false">
      <c r="A1226" s="1" t="n">
        <v>1225</v>
      </c>
      <c r="B1226" s="5" t="str">
        <f aca="false">[1]Base_Jugadores!B1226</f>
        <v>Leo Ostigard</v>
      </c>
      <c r="C1226" s="5" t="str">
        <f aca="false">IFERROR(
   _xlfn.XLOOKUP(VALUE(A1226),[1]Fichajes_Realizados!A$2:A$50000,[1]Fichajes_Realizados!D$2:D$50000,,0,-1),
   _xlfn.XLOOKUP(VALUE(A1226),[1]Base_Jugadores!A$2:A$50000,[1]Base_Jugadores!C$2:C$50000)
)</f>
        <v>Génova</v>
      </c>
      <c r="D1226" s="5" t="str">
        <f aca="false">[1]Base_Jugadores!D1226</f>
        <v>Noruega</v>
      </c>
      <c r="E1226" s="3"/>
      <c r="F1226" s="5" t="str">
        <f aca="false">[1]Base_Jugadores!E1226</f>
        <v>CT</v>
      </c>
      <c r="G1226" s="5" t="n">
        <f aca="false">[1]Base_Jugadores!F1226</f>
        <v>74</v>
      </c>
      <c r="H1226" s="5" t="n">
        <f aca="false">[1]Base_Jugadores!G1226</f>
        <v>26</v>
      </c>
      <c r="I1226" s="7" t="n">
        <f aca="false" t="array" ref="I1226:I1226">_xlfn.XLOOKUP(G1226,{55;56;57;58;59;60;61;62;63;64;65;66;67;68;69;70;71;72;73;74;75;76;77;78;79;80;81;82;83;84;85;86;87;88;89;90;91;92;93;94;95;96;97;98;99},{100000;130000;160000;190000;220000;250000;300000;350000;400000;450000;500000;600000;700000;800000;900000;1000000;1500000;2000000;3000000;4000000;5000000;6500000;8000000;10000000;12500000;15000000;20000000;25000000;30000000;35000000;40000000;55000000;70000000;80000000;90000000;110000000;130000000;160000000;190000000;220000000;250000000;280000000;310000000;340000000;400000000})</f>
        <v>4000000</v>
      </c>
      <c r="J1226" s="7" t="n">
        <f aca="false">I1226*S1226*T1226*U1226</f>
        <v>4140000</v>
      </c>
      <c r="K1226" s="3"/>
      <c r="L1226" s="3"/>
      <c r="M1226" s="3"/>
      <c r="N1226" s="9" t="n">
        <v>0</v>
      </c>
      <c r="O1226" s="4" t="n">
        <v>0</v>
      </c>
      <c r="P1226" s="5" t="n">
        <f aca="false">IF(COUNTIF([1]Base_Jugadores!J$2:J$500,B1226)&gt;0,1,0)</f>
        <v>0</v>
      </c>
      <c r="Q1226" s="10" t="b">
        <f aca="false">--(COUNTIFS(
   [1]Fichajes_Realizados!A$2:A$5000,A1226,
   [1]Fichajes_Realizados!G$2:G$5000,$X$3
)&gt;0)</f>
        <v>0</v>
      </c>
      <c r="R1226" s="5" t="n">
        <f aca="false">_xlfn.XLOOKUP(C1226, [1]Estado_Equipos!A$2:A$500, [1]Estado_Equipos!J$2:J$500, "")</f>
        <v>70</v>
      </c>
      <c r="S1226" s="5" t="n">
        <f aca="false">IF(H1226&lt;=16,1.45,
IF(H1226&gt;=41,0.3,
CHOOSE(ROUNDDOWN((H1226-16)/2,0)+1,
1.45,1.38,1.3,1.23,1.17,1.15,1.12,1.05,0.95,0.8,0.6,0.4,0.3)))</f>
        <v>1.15</v>
      </c>
      <c r="T1226" s="5" t="n">
        <f aca="false">CHOOSE(N1226+1,1.2,1,0.85,0.7)</f>
        <v>1.2</v>
      </c>
      <c r="U1226" s="5" t="n">
        <f aca="false">IF(F1226="PO",0.6,
IF(F1226="CT",0.75,
IF(F1226="LI",0.8,
IF(F1226="LD",0.8,
IF(F1226="MCD",0.85,
IF(F1226="MC",0.95,
IF(F1226="MO",1.05,
IF(F1226="EI",1.1,
IF(F1226="ED",1.1,
IF(F1226="SD",1.15,
IF(F1226="DC",1.2,0)))))))))))</f>
        <v>0.75</v>
      </c>
    </row>
    <row r="1227" customFormat="false" ht="16.4" hidden="false" customHeight="false" outlineLevel="0" collapsed="false">
      <c r="A1227" s="1" t="n">
        <v>1226</v>
      </c>
      <c r="B1227" s="5" t="str">
        <f aca="false">[1]Base_Jugadores!B1227</f>
        <v>A. Marcandalli</v>
      </c>
      <c r="C1227" s="5" t="str">
        <f aca="false">IFERROR(
   _xlfn.XLOOKUP(VALUE(A1227),[1]Fichajes_Realizados!A$2:A$50000,[1]Fichajes_Realizados!D$2:D$50000,,0,-1),
   _xlfn.XLOOKUP(VALUE(A1227),[1]Base_Jugadores!A$2:A$50000,[1]Base_Jugadores!C$2:C$50000)
)</f>
        <v>Génova</v>
      </c>
      <c r="D1227" s="5" t="str">
        <f aca="false">[1]Base_Jugadores!D1227</f>
        <v>Italia</v>
      </c>
      <c r="E1227" s="3"/>
      <c r="F1227" s="5" t="str">
        <f aca="false">[1]Base_Jugadores!E1227</f>
        <v>CT</v>
      </c>
      <c r="G1227" s="5" t="n">
        <f aca="false">[1]Base_Jugadores!F1227</f>
        <v>66</v>
      </c>
      <c r="H1227" s="5" t="n">
        <f aca="false">[1]Base_Jugadores!G1227</f>
        <v>23</v>
      </c>
      <c r="I1227" s="7" t="n">
        <f aca="false" t="array" ref="I1227:I1227">_xlfn.XLOOKUP(G1227,{55;56;57;58;59;60;61;62;63;64;65;66;67;68;69;70;71;72;73;74;75;76;77;78;79;80;81;82;83;84;85;86;87;88;89;90;91;92;93;94;95;96;97;98;99},{100000;130000;160000;190000;220000;250000;300000;350000;400000;450000;500000;600000;700000;800000;900000;1000000;1500000;2000000;3000000;4000000;5000000;6500000;8000000;10000000;12500000;15000000;20000000;25000000;30000000;35000000;40000000;55000000;70000000;80000000;90000000;110000000;130000000;160000000;190000000;220000000;250000000;280000000;310000000;340000000;400000000})</f>
        <v>600000</v>
      </c>
      <c r="J1227" s="7" t="n">
        <f aca="false">I1227*S1227*T1227*U1227</f>
        <v>664200</v>
      </c>
      <c r="K1227" s="3"/>
      <c r="L1227" s="3"/>
      <c r="M1227" s="3"/>
      <c r="N1227" s="9" t="n">
        <v>0</v>
      </c>
      <c r="O1227" s="4" t="n">
        <v>0</v>
      </c>
      <c r="P1227" s="5" t="n">
        <f aca="false">IF(COUNTIF([1]Base_Jugadores!J$2:J$500,B1227)&gt;0,1,0)</f>
        <v>0</v>
      </c>
      <c r="Q1227" s="10" t="b">
        <f aca="false">--(COUNTIFS(
   [1]Fichajes_Realizados!A$2:A$5000,A1227,
   [1]Fichajes_Realizados!G$2:G$5000,$X$3
)&gt;0)</f>
        <v>0</v>
      </c>
      <c r="R1227" s="5" t="n">
        <f aca="false">_xlfn.XLOOKUP(C1227, [1]Estado_Equipos!A$2:A$500, [1]Estado_Equipos!J$2:J$500, "")</f>
        <v>70</v>
      </c>
      <c r="S1227" s="5" t="n">
        <f aca="false">IF(H1227&lt;=16,1.45,
IF(H1227&gt;=41,0.3,
CHOOSE(ROUNDDOWN((H1227-16)/2,0)+1,
1.45,1.38,1.3,1.23,1.17,1.15,1.12,1.05,0.95,0.8,0.6,0.4,0.3)))</f>
        <v>1.23</v>
      </c>
      <c r="T1227" s="5" t="n">
        <f aca="false">CHOOSE(N1227+1,1.2,1,0.85,0.7)</f>
        <v>1.2</v>
      </c>
      <c r="U1227" s="5" t="n">
        <f aca="false">IF(F1227="PO",0.6,
IF(F1227="CT",0.75,
IF(F1227="LI",0.8,
IF(F1227="LD",0.8,
IF(F1227="MCD",0.85,
IF(F1227="MC",0.95,
IF(F1227="MO",1.05,
IF(F1227="EI",1.1,
IF(F1227="ED",1.1,
IF(F1227="SD",1.15,
IF(F1227="DC",1.2,0)))))))))))</f>
        <v>0.75</v>
      </c>
    </row>
    <row r="1228" customFormat="false" ht="16.4" hidden="false" customHeight="false" outlineLevel="0" collapsed="false">
      <c r="A1228" s="1" t="n">
        <v>1227</v>
      </c>
      <c r="B1228" s="5" t="str">
        <f aca="false">[1]Base_Jugadores!B1228</f>
        <v>Sebastian Otoa</v>
      </c>
      <c r="C1228" s="5" t="str">
        <f aca="false">IFERROR(
   _xlfn.XLOOKUP(VALUE(A1228),[1]Fichajes_Realizados!A$2:A$50000,[1]Fichajes_Realizados!D$2:D$50000,,0,-1),
   _xlfn.XLOOKUP(VALUE(A1228),[1]Base_Jugadores!A$2:A$50000,[1]Base_Jugadores!C$2:C$50000)
)</f>
        <v>Génova</v>
      </c>
      <c r="D1228" s="5" t="str">
        <f aca="false">[1]Base_Jugadores!D1228</f>
        <v>Dinamarca</v>
      </c>
      <c r="E1228" s="3"/>
      <c r="F1228" s="5" t="str">
        <f aca="false">[1]Base_Jugadores!E1228</f>
        <v>CT</v>
      </c>
      <c r="G1228" s="5" t="n">
        <f aca="false">[1]Base_Jugadores!F1228</f>
        <v>63</v>
      </c>
      <c r="H1228" s="5" t="n">
        <f aca="false">[1]Base_Jugadores!G1228</f>
        <v>21</v>
      </c>
      <c r="I1228" s="7" t="n">
        <f aca="false" t="array" ref="I1228:I1228">_xlfn.XLOOKUP(G1228,{55;56;57;58;59;60;61;62;63;64;65;66;67;68;69;70;71;72;73;74;75;76;77;78;79;80;81;82;83;84;85;86;87;88;89;90;91;92;93;94;95;96;97;98;99},{100000;130000;160000;190000;220000;250000;300000;350000;400000;450000;500000;600000;700000;800000;900000;1000000;1500000;2000000;3000000;4000000;5000000;6500000;8000000;10000000;12500000;15000000;20000000;25000000;30000000;35000000;40000000;55000000;70000000;80000000;90000000;110000000;130000000;160000000;190000000;220000000;250000000;280000000;310000000;340000000;400000000})</f>
        <v>400000</v>
      </c>
      <c r="J1228" s="7" t="n">
        <f aca="false">I1228*S1228*T1228*U1228</f>
        <v>468000</v>
      </c>
      <c r="K1228" s="3"/>
      <c r="L1228" s="3"/>
      <c r="M1228" s="3"/>
      <c r="N1228" s="9" t="n">
        <v>0</v>
      </c>
      <c r="O1228" s="4" t="n">
        <v>0</v>
      </c>
      <c r="P1228" s="5" t="n">
        <f aca="false">IF(COUNTIF([1]Base_Jugadores!J$2:J$500,B1228)&gt;0,1,0)</f>
        <v>0</v>
      </c>
      <c r="Q1228" s="10" t="b">
        <f aca="false">--(COUNTIFS(
   [1]Fichajes_Realizados!A$2:A$5000,A1228,
   [1]Fichajes_Realizados!G$2:G$5000,$X$3
)&gt;0)</f>
        <v>0</v>
      </c>
      <c r="R1228" s="5" t="n">
        <f aca="false">_xlfn.XLOOKUP(C1228, [1]Estado_Equipos!A$2:A$500, [1]Estado_Equipos!J$2:J$500, "")</f>
        <v>70</v>
      </c>
      <c r="S1228" s="5" t="n">
        <f aca="false">IF(H1228&lt;=16,1.45,
IF(H1228&gt;=41,0.3,
CHOOSE(ROUNDDOWN((H1228-16)/2,0)+1,
1.45,1.38,1.3,1.23,1.17,1.15,1.12,1.05,0.95,0.8,0.6,0.4,0.3)))</f>
        <v>1.3</v>
      </c>
      <c r="T1228" s="5" t="n">
        <f aca="false">CHOOSE(N1228+1,1.2,1,0.85,0.7)</f>
        <v>1.2</v>
      </c>
      <c r="U1228" s="5" t="n">
        <f aca="false">IF(F1228="PO",0.6,
IF(F1228="CT",0.75,
IF(F1228="LI",0.8,
IF(F1228="LD",0.8,
IF(F1228="MCD",0.85,
IF(F1228="MC",0.95,
IF(F1228="MO",1.05,
IF(F1228="EI",1.1,
IF(F1228="ED",1.1,
IF(F1228="SD",1.15,
IF(F1228="DC",1.2,0)))))))))))</f>
        <v>0.75</v>
      </c>
    </row>
    <row r="1229" customFormat="false" ht="16.4" hidden="false" customHeight="false" outlineLevel="0" collapsed="false">
      <c r="A1229" s="1" t="n">
        <v>1228</v>
      </c>
      <c r="B1229" s="5" t="str">
        <f aca="false">[1]Base_Jugadores!B1229</f>
        <v>Aarón Martín</v>
      </c>
      <c r="C1229" s="5" t="str">
        <f aca="false">IFERROR(
   _xlfn.XLOOKUP(VALUE(A1229),[1]Fichajes_Realizados!A$2:A$50000,[1]Fichajes_Realizados!D$2:D$50000,,0,-1),
   _xlfn.XLOOKUP(VALUE(A1229),[1]Base_Jugadores!A$2:A$50000,[1]Base_Jugadores!C$2:C$50000)
)</f>
        <v>Génova</v>
      </c>
      <c r="D1229" s="5" t="str">
        <f aca="false">[1]Base_Jugadores!D1229</f>
        <v>España</v>
      </c>
      <c r="E1229" s="3"/>
      <c r="F1229" s="5" t="str">
        <f aca="false">[1]Base_Jugadores!E1229</f>
        <v>LI</v>
      </c>
      <c r="G1229" s="5" t="n">
        <f aca="false">[1]Base_Jugadores!F1229</f>
        <v>72</v>
      </c>
      <c r="H1229" s="5" t="n">
        <f aca="false">[1]Base_Jugadores!G1229</f>
        <v>28</v>
      </c>
      <c r="I1229" s="7" t="n">
        <f aca="false" t="array" ref="I1229:I1229">_xlfn.XLOOKUP(G1229,{55;56;57;58;59;60;61;62;63;64;65;66;67;68;69;70;71;72;73;74;75;76;77;78;79;80;81;82;83;84;85;86;87;88;89;90;91;92;93;94;95;96;97;98;99},{100000;130000;160000;190000;220000;250000;300000;350000;400000;450000;500000;600000;700000;800000;900000;1000000;1500000;2000000;3000000;4000000;5000000;6500000;8000000;10000000;12500000;15000000;20000000;25000000;30000000;35000000;40000000;55000000;70000000;80000000;90000000;110000000;130000000;160000000;190000000;220000000;250000000;280000000;310000000;340000000;400000000})</f>
        <v>2000000</v>
      </c>
      <c r="J1229" s="7" t="n">
        <f aca="false">I1229*S1229*T1229*U1229</f>
        <v>2150400</v>
      </c>
      <c r="K1229" s="3"/>
      <c r="L1229" s="3"/>
      <c r="M1229" s="3"/>
      <c r="N1229" s="9" t="n">
        <v>0</v>
      </c>
      <c r="O1229" s="4" t="n">
        <v>0</v>
      </c>
      <c r="P1229" s="5" t="n">
        <f aca="false">IF(COUNTIF([1]Base_Jugadores!J$2:J$500,B1229)&gt;0,1,0)</f>
        <v>0</v>
      </c>
      <c r="Q1229" s="10" t="b">
        <f aca="false">--(COUNTIFS(
   [1]Fichajes_Realizados!A$2:A$5000,A1229,
   [1]Fichajes_Realizados!G$2:G$5000,$X$3
)&gt;0)</f>
        <v>0</v>
      </c>
      <c r="R1229" s="5" t="n">
        <f aca="false">_xlfn.XLOOKUP(C1229, [1]Estado_Equipos!A$2:A$500, [1]Estado_Equipos!J$2:J$500, "")</f>
        <v>70</v>
      </c>
      <c r="S1229" s="5" t="n">
        <f aca="false">IF(H1229&lt;=16,1.45,
IF(H1229&gt;=41,0.3,
CHOOSE(ROUNDDOWN((H1229-16)/2,0)+1,
1.45,1.38,1.3,1.23,1.17,1.15,1.12,1.05,0.95,0.8,0.6,0.4,0.3)))</f>
        <v>1.12</v>
      </c>
      <c r="T1229" s="5" t="n">
        <f aca="false">CHOOSE(N1229+1,1.2,1,0.85,0.7)</f>
        <v>1.2</v>
      </c>
      <c r="U1229" s="5" t="n">
        <f aca="false">IF(F1229="PO",0.6,
IF(F1229="CT",0.75,
IF(F1229="LI",0.8,
IF(F1229="LD",0.8,
IF(F1229="MCD",0.85,
IF(F1229="MC",0.95,
IF(F1229="MO",1.05,
IF(F1229="EI",1.1,
IF(F1229="ED",1.1,
IF(F1229="SD",1.15,
IF(F1229="DC",1.2,0)))))))))))</f>
        <v>0.8</v>
      </c>
    </row>
    <row r="1230" customFormat="false" ht="16.4" hidden="false" customHeight="false" outlineLevel="0" collapsed="false">
      <c r="A1230" s="1" t="n">
        <v>1229</v>
      </c>
      <c r="B1230" s="5" t="str">
        <f aca="false">[1]Base_Jugadores!B1230</f>
        <v>Brooke Norton-Cuffy</v>
      </c>
      <c r="C1230" s="5" t="str">
        <f aca="false">IFERROR(
   _xlfn.XLOOKUP(VALUE(A1230),[1]Fichajes_Realizados!A$2:A$50000,[1]Fichajes_Realizados!D$2:D$50000,,0,-1),
   _xlfn.XLOOKUP(VALUE(A1230),[1]Base_Jugadores!A$2:A$50000,[1]Base_Jugadores!C$2:C$50000)
)</f>
        <v>Génova</v>
      </c>
      <c r="D1230" s="5" t="str">
        <f aca="false">[1]Base_Jugadores!D1230</f>
        <v>Inglaterra</v>
      </c>
      <c r="E1230" s="3"/>
      <c r="F1230" s="5" t="str">
        <f aca="false">[1]Base_Jugadores!E1230</f>
        <v>LD</v>
      </c>
      <c r="G1230" s="5" t="n">
        <f aca="false">[1]Base_Jugadores!F1230</f>
        <v>67</v>
      </c>
      <c r="H1230" s="5" t="n">
        <f aca="false">[1]Base_Jugadores!G1230</f>
        <v>21</v>
      </c>
      <c r="I1230" s="7" t="n">
        <f aca="false" t="array" ref="I1230:I1230">_xlfn.XLOOKUP(G1230,{55;56;57;58;59;60;61;62;63;64;65;66;67;68;69;70;71;72;73;74;75;76;77;78;79;80;81;82;83;84;85;86;87;88;89;90;91;92;93;94;95;96;97;98;99},{100000;130000;160000;190000;220000;250000;300000;350000;400000;450000;500000;600000;700000;800000;900000;1000000;1500000;2000000;3000000;4000000;5000000;6500000;8000000;10000000;12500000;15000000;20000000;25000000;30000000;35000000;40000000;55000000;70000000;80000000;90000000;110000000;130000000;160000000;190000000;220000000;250000000;280000000;310000000;340000000;400000000})</f>
        <v>700000</v>
      </c>
      <c r="J1230" s="7" t="n">
        <f aca="false">I1230*S1230*T1230*U1230</f>
        <v>873600</v>
      </c>
      <c r="K1230" s="3"/>
      <c r="L1230" s="3"/>
      <c r="M1230" s="3"/>
      <c r="N1230" s="9" t="n">
        <v>0</v>
      </c>
      <c r="O1230" s="4" t="n">
        <v>0</v>
      </c>
      <c r="P1230" s="5" t="n">
        <f aca="false">IF(COUNTIF([1]Base_Jugadores!J$2:J$500,B1230)&gt;0,1,0)</f>
        <v>0</v>
      </c>
      <c r="Q1230" s="10" t="b">
        <f aca="false">--(COUNTIFS(
   [1]Fichajes_Realizados!A$2:A$5000,A1230,
   [1]Fichajes_Realizados!G$2:G$5000,$X$3
)&gt;0)</f>
        <v>0</v>
      </c>
      <c r="R1230" s="5" t="n">
        <f aca="false">_xlfn.XLOOKUP(C1230, [1]Estado_Equipos!A$2:A$500, [1]Estado_Equipos!J$2:J$500, "")</f>
        <v>70</v>
      </c>
      <c r="S1230" s="5" t="n">
        <f aca="false">IF(H1230&lt;=16,1.45,
IF(H1230&gt;=41,0.3,
CHOOSE(ROUNDDOWN((H1230-16)/2,0)+1,
1.45,1.38,1.3,1.23,1.17,1.15,1.12,1.05,0.95,0.8,0.6,0.4,0.3)))</f>
        <v>1.3</v>
      </c>
      <c r="T1230" s="5" t="n">
        <f aca="false">CHOOSE(N1230+1,1.2,1,0.85,0.7)</f>
        <v>1.2</v>
      </c>
      <c r="U1230" s="5" t="n">
        <f aca="false">IF(F1230="PO",0.6,
IF(F1230="CT",0.75,
IF(F1230="LI",0.8,
IF(F1230="LD",0.8,
IF(F1230="MCD",0.85,
IF(F1230="MC",0.95,
IF(F1230="MO",1.05,
IF(F1230="EI",1.1,
IF(F1230="ED",1.1,
IF(F1230="SD",1.15,
IF(F1230="DC",1.2,0)))))))))))</f>
        <v>0.8</v>
      </c>
    </row>
    <row r="1231" customFormat="false" ht="16.4" hidden="false" customHeight="false" outlineLevel="0" collapsed="false">
      <c r="A1231" s="1" t="n">
        <v>1230</v>
      </c>
      <c r="B1231" s="5" t="str">
        <f aca="false">[1]Base_Jugadores!B1231</f>
        <v>Stefano Sabelli</v>
      </c>
      <c r="C1231" s="5" t="str">
        <f aca="false">IFERROR(
   _xlfn.XLOOKUP(VALUE(A1231),[1]Fichajes_Realizados!A$2:A$50000,[1]Fichajes_Realizados!D$2:D$50000,,0,-1),
   _xlfn.XLOOKUP(VALUE(A1231),[1]Base_Jugadores!A$2:A$50000,[1]Base_Jugadores!C$2:C$50000)
)</f>
        <v>Génova</v>
      </c>
      <c r="D1231" s="5" t="str">
        <f aca="false">[1]Base_Jugadores!D1231</f>
        <v>Italia</v>
      </c>
      <c r="E1231" s="3"/>
      <c r="F1231" s="5" t="str">
        <f aca="false">[1]Base_Jugadores!E1231</f>
        <v>LD</v>
      </c>
      <c r="G1231" s="5" t="n">
        <f aca="false">[1]Base_Jugadores!F1231</f>
        <v>70</v>
      </c>
      <c r="H1231" s="5" t="n">
        <f aca="false">[1]Base_Jugadores!G1231</f>
        <v>32</v>
      </c>
      <c r="I1231" s="7" t="n">
        <f aca="false" t="array" ref="I1231:I1231">_xlfn.XLOOKUP(G1231,{55;56;57;58;59;60;61;62;63;64;65;66;67;68;69;70;71;72;73;74;75;76;77;78;79;80;81;82;83;84;85;86;87;88;89;90;91;92;93;94;95;96;97;98;99},{100000;130000;160000;190000;220000;250000;300000;350000;400000;450000;500000;600000;700000;800000;900000;1000000;1500000;2000000;3000000;4000000;5000000;6500000;8000000;10000000;12500000;15000000;20000000;25000000;30000000;35000000;40000000;55000000;70000000;80000000;90000000;110000000;130000000;160000000;190000000;220000000;250000000;280000000;310000000;340000000;400000000})</f>
        <v>1000000</v>
      </c>
      <c r="J1231" s="7" t="n">
        <f aca="false">I1231*S1231*T1231*U1231</f>
        <v>912000</v>
      </c>
      <c r="K1231" s="3"/>
      <c r="L1231" s="3"/>
      <c r="M1231" s="3"/>
      <c r="N1231" s="9" t="n">
        <v>0</v>
      </c>
      <c r="O1231" s="4" t="n">
        <v>0</v>
      </c>
      <c r="P1231" s="5" t="n">
        <f aca="false">IF(COUNTIF([1]Base_Jugadores!J$2:J$500,B1231)&gt;0,1,0)</f>
        <v>0</v>
      </c>
      <c r="Q1231" s="10" t="b">
        <f aca="false">--(COUNTIFS(
   [1]Fichajes_Realizados!A$2:A$5000,A1231,
   [1]Fichajes_Realizados!G$2:G$5000,$X$3
)&gt;0)</f>
        <v>0</v>
      </c>
      <c r="R1231" s="5" t="n">
        <f aca="false">_xlfn.XLOOKUP(C1231, [1]Estado_Equipos!A$2:A$500, [1]Estado_Equipos!J$2:J$500, "")</f>
        <v>70</v>
      </c>
      <c r="S1231" s="5" t="n">
        <f aca="false">IF(H1231&lt;=16,1.45,
IF(H1231&gt;=41,0.3,
CHOOSE(ROUNDDOWN((H1231-16)/2,0)+1,
1.45,1.38,1.3,1.23,1.17,1.15,1.12,1.05,0.95,0.8,0.6,0.4,0.3)))</f>
        <v>0.95</v>
      </c>
      <c r="T1231" s="5" t="n">
        <f aca="false">CHOOSE(N1231+1,1.2,1,0.85,0.7)</f>
        <v>1.2</v>
      </c>
      <c r="U1231" s="5" t="n">
        <f aca="false">IF(F1231="PO",0.6,
IF(F1231="CT",0.75,
IF(F1231="LI",0.8,
IF(F1231="LD",0.8,
IF(F1231="MCD",0.85,
IF(F1231="MC",0.95,
IF(F1231="MO",1.05,
IF(F1231="EI",1.1,
IF(F1231="ED",1.1,
IF(F1231="SD",1.15,
IF(F1231="DC",1.2,0)))))))))))</f>
        <v>0.8</v>
      </c>
    </row>
    <row r="1232" customFormat="false" ht="16.4" hidden="false" customHeight="false" outlineLevel="0" collapsed="false">
      <c r="A1232" s="1" t="n">
        <v>1231</v>
      </c>
      <c r="B1232" s="5" t="str">
        <f aca="false">[1]Base_Jugadores!B1232</f>
        <v>Jean Onana</v>
      </c>
      <c r="C1232" s="5" t="str">
        <f aca="false">IFERROR(
   _xlfn.XLOOKUP(VALUE(A1232),[1]Fichajes_Realizados!A$2:A$50000,[1]Fichajes_Realizados!D$2:D$50000,,0,-1),
   _xlfn.XLOOKUP(VALUE(A1232),[1]Base_Jugadores!A$2:A$50000,[1]Base_Jugadores!C$2:C$50000)
)</f>
        <v>Génova</v>
      </c>
      <c r="D1232" s="5" t="str">
        <f aca="false">[1]Base_Jugadores!D1232</f>
        <v>Camerún</v>
      </c>
      <c r="E1232" s="3"/>
      <c r="F1232" s="5" t="str">
        <f aca="false">[1]Base_Jugadores!E1232</f>
        <v>MCD</v>
      </c>
      <c r="G1232" s="5" t="n">
        <f aca="false">[1]Base_Jugadores!F1232</f>
        <v>73</v>
      </c>
      <c r="H1232" s="5" t="n">
        <f aca="false">[1]Base_Jugadores!G1232</f>
        <v>25</v>
      </c>
      <c r="I1232" s="7" t="n">
        <f aca="false" t="array" ref="I1232:I1232">_xlfn.XLOOKUP(G1232,{55;56;57;58;59;60;61;62;63;64;65;66;67;68;69;70;71;72;73;74;75;76;77;78;79;80;81;82;83;84;85;86;87;88;89;90;91;92;93;94;95;96;97;98;99},{100000;130000;160000;190000;220000;250000;300000;350000;400000;450000;500000;600000;700000;800000;900000;1000000;1500000;2000000;3000000;4000000;5000000;6500000;8000000;10000000;12500000;15000000;20000000;25000000;30000000;35000000;40000000;55000000;70000000;80000000;90000000;110000000;130000000;160000000;190000000;220000000;250000000;280000000;310000000;340000000;400000000})</f>
        <v>3000000</v>
      </c>
      <c r="J1232" s="7" t="n">
        <f aca="false">I1232*S1232*T1232*U1232</f>
        <v>3580200</v>
      </c>
      <c r="K1232" s="3"/>
      <c r="L1232" s="3"/>
      <c r="M1232" s="3"/>
      <c r="N1232" s="9" t="n">
        <v>0</v>
      </c>
      <c r="O1232" s="4" t="n">
        <v>0</v>
      </c>
      <c r="P1232" s="5" t="n">
        <f aca="false">IF(COUNTIF([1]Base_Jugadores!J$2:J$500,B1232)&gt;0,1,0)</f>
        <v>0</v>
      </c>
      <c r="Q1232" s="10" t="b">
        <f aca="false">--(COUNTIFS(
   [1]Fichajes_Realizados!A$2:A$5000,A1232,
   [1]Fichajes_Realizados!G$2:G$5000,$X$3
)&gt;0)</f>
        <v>0</v>
      </c>
      <c r="R1232" s="5" t="n">
        <f aca="false">_xlfn.XLOOKUP(C1232, [1]Estado_Equipos!A$2:A$500, [1]Estado_Equipos!J$2:J$500, "")</f>
        <v>70</v>
      </c>
      <c r="S1232" s="5" t="n">
        <f aca="false">IF(H1232&lt;=16,1.45,
IF(H1232&gt;=41,0.3,
CHOOSE(ROUNDDOWN((H1232-16)/2,0)+1,
1.45,1.38,1.3,1.23,1.17,1.15,1.12,1.05,0.95,0.8,0.6,0.4,0.3)))</f>
        <v>1.17</v>
      </c>
      <c r="T1232" s="5" t="n">
        <f aca="false">CHOOSE(N1232+1,1.2,1,0.85,0.7)</f>
        <v>1.2</v>
      </c>
      <c r="U1232" s="5" t="n">
        <f aca="false">IF(F1232="PO",0.6,
IF(F1232="CT",0.75,
IF(F1232="LI",0.8,
IF(F1232="LD",0.8,
IF(F1232="MCD",0.85,
IF(F1232="MC",0.95,
IF(F1232="MO",1.05,
IF(F1232="EI",1.1,
IF(F1232="ED",1.1,
IF(F1232="SD",1.15,
IF(F1232="DC",1.2,0)))))))))))</f>
        <v>0.85</v>
      </c>
    </row>
    <row r="1233" customFormat="false" ht="16.4" hidden="false" customHeight="false" outlineLevel="0" collapsed="false">
      <c r="A1233" s="1" t="n">
        <v>1232</v>
      </c>
      <c r="B1233" s="5" t="str">
        <f aca="false">[1]Base_Jugadores!B1233</f>
        <v>Morten Frendrup</v>
      </c>
      <c r="C1233" s="5" t="str">
        <f aca="false">IFERROR(
   _xlfn.XLOOKUP(VALUE(A1233),[1]Fichajes_Realizados!A$2:A$50000,[1]Fichajes_Realizados!D$2:D$50000,,0,-1),
   _xlfn.XLOOKUP(VALUE(A1233),[1]Base_Jugadores!A$2:A$50000,[1]Base_Jugadores!C$2:C$50000)
)</f>
        <v>Génova</v>
      </c>
      <c r="D1233" s="5" t="str">
        <f aca="false">[1]Base_Jugadores!D1233</f>
        <v>Dinamarca</v>
      </c>
      <c r="E1233" s="3"/>
      <c r="F1233" s="5" t="str">
        <f aca="false">[1]Base_Jugadores!E1233</f>
        <v>MCD</v>
      </c>
      <c r="G1233" s="5" t="n">
        <f aca="false">[1]Base_Jugadores!F1233</f>
        <v>76</v>
      </c>
      <c r="H1233" s="5" t="n">
        <f aca="false">[1]Base_Jugadores!G1233</f>
        <v>24</v>
      </c>
      <c r="I1233" s="7" t="n">
        <f aca="false" t="array" ref="I1233:I1233">_xlfn.XLOOKUP(G1233,{55;56;57;58;59;60;61;62;63;64;65;66;67;68;69;70;71;72;73;74;75;76;77;78;79;80;81;82;83;84;85;86;87;88;89;90;91;92;93;94;95;96;97;98;99},{100000;130000;160000;190000;220000;250000;300000;350000;400000;450000;500000;600000;700000;800000;900000;1000000;1500000;2000000;3000000;4000000;5000000;6500000;8000000;10000000;12500000;15000000;20000000;25000000;30000000;35000000;40000000;55000000;70000000;80000000;90000000;110000000;130000000;160000000;190000000;220000000;250000000;280000000;310000000;340000000;400000000})</f>
        <v>6500000</v>
      </c>
      <c r="J1233" s="7" t="n">
        <f aca="false">I1233*S1233*T1233*U1233</f>
        <v>7757100</v>
      </c>
      <c r="K1233" s="3"/>
      <c r="L1233" s="3"/>
      <c r="M1233" s="3"/>
      <c r="N1233" s="9" t="n">
        <v>0</v>
      </c>
      <c r="O1233" s="4" t="n">
        <v>0</v>
      </c>
      <c r="P1233" s="5" t="n">
        <f aca="false">IF(COUNTIF([1]Base_Jugadores!J$2:J$500,B1233)&gt;0,1,0)</f>
        <v>0</v>
      </c>
      <c r="Q1233" s="10" t="b">
        <f aca="false">--(COUNTIFS(
   [1]Fichajes_Realizados!A$2:A$5000,A1233,
   [1]Fichajes_Realizados!G$2:G$5000,$X$3
)&gt;0)</f>
        <v>0</v>
      </c>
      <c r="R1233" s="5" t="n">
        <f aca="false">_xlfn.XLOOKUP(C1233, [1]Estado_Equipos!A$2:A$500, [1]Estado_Equipos!J$2:J$500, "")</f>
        <v>70</v>
      </c>
      <c r="S1233" s="5" t="n">
        <f aca="false">IF(H1233&lt;=16,1.45,
IF(H1233&gt;=41,0.3,
CHOOSE(ROUNDDOWN((H1233-16)/2,0)+1,
1.45,1.38,1.3,1.23,1.17,1.15,1.12,1.05,0.95,0.8,0.6,0.4,0.3)))</f>
        <v>1.17</v>
      </c>
      <c r="T1233" s="5" t="n">
        <f aca="false">CHOOSE(N1233+1,1.2,1,0.85,0.7)</f>
        <v>1.2</v>
      </c>
      <c r="U1233" s="5" t="n">
        <f aca="false">IF(F1233="PO",0.6,
IF(F1233="CT",0.75,
IF(F1233="LI",0.8,
IF(F1233="LD",0.8,
IF(F1233="MCD",0.85,
IF(F1233="MC",0.95,
IF(F1233="MO",1.05,
IF(F1233="EI",1.1,
IF(F1233="ED",1.1,
IF(F1233="SD",1.15,
IF(F1233="DC",1.2,0)))))))))))</f>
        <v>0.85</v>
      </c>
    </row>
    <row r="1234" customFormat="false" ht="16.4" hidden="false" customHeight="false" outlineLevel="0" collapsed="false">
      <c r="A1234" s="1" t="n">
        <v>1233</v>
      </c>
      <c r="B1234" s="5" t="str">
        <f aca="false">[1]Base_Jugadores!B1234</f>
        <v>Patrizio Masini</v>
      </c>
      <c r="C1234" s="5" t="str">
        <f aca="false">IFERROR(
   _xlfn.XLOOKUP(VALUE(A1234),[1]Fichajes_Realizados!A$2:A$50000,[1]Fichajes_Realizados!D$2:D$50000,,0,-1),
   _xlfn.XLOOKUP(VALUE(A1234),[1]Base_Jugadores!A$2:A$50000,[1]Base_Jugadores!C$2:C$50000)
)</f>
        <v>Génova</v>
      </c>
      <c r="D1234" s="5" t="str">
        <f aca="false">[1]Base_Jugadores!D1234</f>
        <v>Italia</v>
      </c>
      <c r="E1234" s="3"/>
      <c r="F1234" s="5" t="str">
        <f aca="false">[1]Base_Jugadores!E1234</f>
        <v>MC</v>
      </c>
      <c r="G1234" s="5" t="n">
        <f aca="false">[1]Base_Jugadores!F1234</f>
        <v>59</v>
      </c>
      <c r="H1234" s="5" t="n">
        <f aca="false">[1]Base_Jugadores!G1234</f>
        <v>24</v>
      </c>
      <c r="I1234" s="7" t="n">
        <f aca="false" t="array" ref="I1234:I1234">_xlfn.XLOOKUP(G1234,{55;56;57;58;59;60;61;62;63;64;65;66;67;68;69;70;71;72;73;74;75;76;77;78;79;80;81;82;83;84;85;86;87;88;89;90;91;92;93;94;95;96;97;98;99},{100000;130000;160000;190000;220000;250000;300000;350000;400000;450000;500000;600000;700000;800000;900000;1000000;1500000;2000000;3000000;4000000;5000000;6500000;8000000;10000000;12500000;15000000;20000000;25000000;30000000;35000000;40000000;55000000;70000000;80000000;90000000;110000000;130000000;160000000;190000000;220000000;250000000;280000000;310000000;340000000;400000000})</f>
        <v>220000</v>
      </c>
      <c r="J1234" s="7" t="n">
        <f aca="false">I1234*S1234*T1234*U1234</f>
        <v>293436</v>
      </c>
      <c r="K1234" s="3"/>
      <c r="L1234" s="3"/>
      <c r="M1234" s="3"/>
      <c r="N1234" s="9" t="n">
        <v>0</v>
      </c>
      <c r="O1234" s="4" t="n">
        <v>0</v>
      </c>
      <c r="P1234" s="5" t="n">
        <f aca="false">IF(COUNTIF([1]Base_Jugadores!J$2:J$500,B1234)&gt;0,1,0)</f>
        <v>0</v>
      </c>
      <c r="Q1234" s="10" t="b">
        <f aca="false">--(COUNTIFS(
   [1]Fichajes_Realizados!A$2:A$5000,A1234,
   [1]Fichajes_Realizados!G$2:G$5000,$X$3
)&gt;0)</f>
        <v>0</v>
      </c>
      <c r="R1234" s="5" t="n">
        <f aca="false">_xlfn.XLOOKUP(C1234, [1]Estado_Equipos!A$2:A$500, [1]Estado_Equipos!J$2:J$500, "")</f>
        <v>70</v>
      </c>
      <c r="S1234" s="5" t="n">
        <f aca="false">IF(H1234&lt;=16,1.45,
IF(H1234&gt;=41,0.3,
CHOOSE(ROUNDDOWN((H1234-16)/2,0)+1,
1.45,1.38,1.3,1.23,1.17,1.15,1.12,1.05,0.95,0.8,0.6,0.4,0.3)))</f>
        <v>1.17</v>
      </c>
      <c r="T1234" s="5" t="n">
        <f aca="false">CHOOSE(N1234+1,1.2,1,0.85,0.7)</f>
        <v>1.2</v>
      </c>
      <c r="U1234" s="5" t="n">
        <f aca="false">IF(F1234="PO",0.6,
IF(F1234="CT",0.75,
IF(F1234="LI",0.8,
IF(F1234="LD",0.8,
IF(F1234="MCD",0.85,
IF(F1234="MC",0.95,
IF(F1234="MO",1.05,
IF(F1234="EI",1.1,
IF(F1234="ED",1.1,
IF(F1234="SD",1.15,
IF(F1234="DC",1.2,0)))))))))))</f>
        <v>0.95</v>
      </c>
    </row>
    <row r="1235" customFormat="false" ht="16.4" hidden="false" customHeight="false" outlineLevel="0" collapsed="false">
      <c r="A1235" s="1" t="n">
        <v>1234</v>
      </c>
      <c r="B1235" s="5" t="str">
        <f aca="false">[1]Base_Jugadores!B1235</f>
        <v>Mikael Ellertsson</v>
      </c>
      <c r="C1235" s="5" t="str">
        <f aca="false">IFERROR(
   _xlfn.XLOOKUP(VALUE(A1235),[1]Fichajes_Realizados!A$2:A$50000,[1]Fichajes_Realizados!D$2:D$50000,,0,-1),
   _xlfn.XLOOKUP(VALUE(A1235),[1]Base_Jugadores!A$2:A$50000,[1]Base_Jugadores!C$2:C$50000)
)</f>
        <v>Génova</v>
      </c>
      <c r="D1235" s="5" t="str">
        <f aca="false">[1]Base_Jugadores!D1235</f>
        <v>Islandia</v>
      </c>
      <c r="E1235" s="3"/>
      <c r="F1235" s="5" t="str">
        <f aca="false">[1]Base_Jugadores!E1235</f>
        <v>MC</v>
      </c>
      <c r="G1235" s="5" t="n">
        <f aca="false">[1]Base_Jugadores!F1235</f>
        <v>66</v>
      </c>
      <c r="H1235" s="5" t="n">
        <f aca="false">[1]Base_Jugadores!G1235</f>
        <v>23</v>
      </c>
      <c r="I1235" s="7" t="n">
        <f aca="false" t="array" ref="I1235:I1235">_xlfn.XLOOKUP(G1235,{55;56;57;58;59;60;61;62;63;64;65;66;67;68;69;70;71;72;73;74;75;76;77;78;79;80;81;82;83;84;85;86;87;88;89;90;91;92;93;94;95;96;97;98;99},{100000;130000;160000;190000;220000;250000;300000;350000;400000;450000;500000;600000;700000;800000;900000;1000000;1500000;2000000;3000000;4000000;5000000;6500000;8000000;10000000;12500000;15000000;20000000;25000000;30000000;35000000;40000000;55000000;70000000;80000000;90000000;110000000;130000000;160000000;190000000;220000000;250000000;280000000;310000000;340000000;400000000})</f>
        <v>600000</v>
      </c>
      <c r="J1235" s="7" t="n">
        <f aca="false">I1235*S1235*T1235*U1235</f>
        <v>841320</v>
      </c>
      <c r="K1235" s="3"/>
      <c r="L1235" s="3"/>
      <c r="M1235" s="3"/>
      <c r="N1235" s="9" t="n">
        <v>0</v>
      </c>
      <c r="O1235" s="4" t="n">
        <v>0</v>
      </c>
      <c r="P1235" s="5" t="n">
        <f aca="false">IF(COUNTIF([1]Base_Jugadores!J$2:J$500,B1235)&gt;0,1,0)</f>
        <v>0</v>
      </c>
      <c r="Q1235" s="10" t="b">
        <f aca="false">--(COUNTIFS(
   [1]Fichajes_Realizados!A$2:A$5000,A1235,
   [1]Fichajes_Realizados!G$2:G$5000,$X$3
)&gt;0)</f>
        <v>0</v>
      </c>
      <c r="R1235" s="5" t="n">
        <f aca="false">_xlfn.XLOOKUP(C1235, [1]Estado_Equipos!A$2:A$500, [1]Estado_Equipos!J$2:J$500, "")</f>
        <v>70</v>
      </c>
      <c r="S1235" s="5" t="n">
        <f aca="false">IF(H1235&lt;=16,1.45,
IF(H1235&gt;=41,0.3,
CHOOSE(ROUNDDOWN((H1235-16)/2,0)+1,
1.45,1.38,1.3,1.23,1.17,1.15,1.12,1.05,0.95,0.8,0.6,0.4,0.3)))</f>
        <v>1.23</v>
      </c>
      <c r="T1235" s="5" t="n">
        <f aca="false">CHOOSE(N1235+1,1.2,1,0.85,0.7)</f>
        <v>1.2</v>
      </c>
      <c r="U1235" s="5" t="n">
        <f aca="false">IF(F1235="PO",0.6,
IF(F1235="CT",0.75,
IF(F1235="LI",0.8,
IF(F1235="LD",0.8,
IF(F1235="MCD",0.85,
IF(F1235="MC",0.95,
IF(F1235="MO",1.05,
IF(F1235="EI",1.1,
IF(F1235="ED",1.1,
IF(F1235="SD",1.15,
IF(F1235="DC",1.2,0)))))))))))</f>
        <v>0.95</v>
      </c>
    </row>
    <row r="1236" customFormat="false" ht="16.4" hidden="false" customHeight="false" outlineLevel="0" collapsed="false">
      <c r="A1236" s="1" t="n">
        <v>1235</v>
      </c>
      <c r="B1236" s="5" t="str">
        <f aca="false">[1]Base_Jugadores!B1236</f>
        <v>Morten Thorsby</v>
      </c>
      <c r="C1236" s="5" t="str">
        <f aca="false">IFERROR(
   _xlfn.XLOOKUP(VALUE(A1236),[1]Fichajes_Realizados!A$2:A$50000,[1]Fichajes_Realizados!D$2:D$50000,,0,-1),
   _xlfn.XLOOKUP(VALUE(A1236),[1]Base_Jugadores!A$2:A$50000,[1]Base_Jugadores!C$2:C$50000)
)</f>
        <v>Génova</v>
      </c>
      <c r="D1236" s="5" t="str">
        <f aca="false">[1]Base_Jugadores!D1236</f>
        <v>Noruega</v>
      </c>
      <c r="E1236" s="3"/>
      <c r="F1236" s="5" t="str">
        <f aca="false">[1]Base_Jugadores!E1236</f>
        <v>MC</v>
      </c>
      <c r="G1236" s="5" t="n">
        <f aca="false">[1]Base_Jugadores!F1236</f>
        <v>74</v>
      </c>
      <c r="H1236" s="5" t="n">
        <f aca="false">[1]Base_Jugadores!G1236</f>
        <v>29</v>
      </c>
      <c r="I1236" s="7" t="n">
        <f aca="false" t="array" ref="I1236:I1236">_xlfn.XLOOKUP(G1236,{55;56;57;58;59;60;61;62;63;64;65;66;67;68;69;70;71;72;73;74;75;76;77;78;79;80;81;82;83;84;85;86;87;88;89;90;91;92;93;94;95;96;97;98;99},{100000;130000;160000;190000;220000;250000;300000;350000;400000;450000;500000;600000;700000;800000;900000;1000000;1500000;2000000;3000000;4000000;5000000;6500000;8000000;10000000;12500000;15000000;20000000;25000000;30000000;35000000;40000000;55000000;70000000;80000000;90000000;110000000;130000000;160000000;190000000;220000000;250000000;280000000;310000000;340000000;400000000})</f>
        <v>4000000</v>
      </c>
      <c r="J1236" s="7" t="n">
        <f aca="false">I1236*S1236*T1236*U1236</f>
        <v>5107200</v>
      </c>
      <c r="K1236" s="3"/>
      <c r="L1236" s="3"/>
      <c r="M1236" s="3"/>
      <c r="N1236" s="9" t="n">
        <v>0</v>
      </c>
      <c r="O1236" s="4" t="n">
        <v>0</v>
      </c>
      <c r="P1236" s="5" t="n">
        <f aca="false">IF(COUNTIF([1]Base_Jugadores!J$2:J$500,B1236)&gt;0,1,0)</f>
        <v>0</v>
      </c>
      <c r="Q1236" s="10" t="b">
        <f aca="false">--(COUNTIFS(
   [1]Fichajes_Realizados!A$2:A$5000,A1236,
   [1]Fichajes_Realizados!G$2:G$5000,$X$3
)&gt;0)</f>
        <v>0</v>
      </c>
      <c r="R1236" s="5" t="n">
        <f aca="false">_xlfn.XLOOKUP(C1236, [1]Estado_Equipos!A$2:A$500, [1]Estado_Equipos!J$2:J$500, "")</f>
        <v>70</v>
      </c>
      <c r="S1236" s="5" t="n">
        <f aca="false">IF(H1236&lt;=16,1.45,
IF(H1236&gt;=41,0.3,
CHOOSE(ROUNDDOWN((H1236-16)/2,0)+1,
1.45,1.38,1.3,1.23,1.17,1.15,1.12,1.05,0.95,0.8,0.6,0.4,0.3)))</f>
        <v>1.12</v>
      </c>
      <c r="T1236" s="5" t="n">
        <f aca="false">CHOOSE(N1236+1,1.2,1,0.85,0.7)</f>
        <v>1.2</v>
      </c>
      <c r="U1236" s="5" t="n">
        <f aca="false">IF(F1236="PO",0.6,
IF(F1236="CT",0.75,
IF(F1236="LI",0.8,
IF(F1236="LD",0.8,
IF(F1236="MCD",0.85,
IF(F1236="MC",0.95,
IF(F1236="MO",1.05,
IF(F1236="EI",1.1,
IF(F1236="ED",1.1,
IF(F1236="SD",1.15,
IF(F1236="DC",1.2,0)))))))))))</f>
        <v>0.95</v>
      </c>
    </row>
    <row r="1237" customFormat="false" ht="16.4" hidden="false" customHeight="false" outlineLevel="0" collapsed="false">
      <c r="A1237" s="1" t="n">
        <v>1236</v>
      </c>
      <c r="B1237" s="5" t="str">
        <f aca="false">[1]Base_Jugadores!B1237</f>
        <v>Valentín Carboni</v>
      </c>
      <c r="C1237" s="5" t="str">
        <f aca="false">IFERROR(
   _xlfn.XLOOKUP(VALUE(A1237),[1]Fichajes_Realizados!A$2:A$50000,[1]Fichajes_Realizados!D$2:D$50000,,0,-1),
   _xlfn.XLOOKUP(VALUE(A1237),[1]Base_Jugadores!A$2:A$50000,[1]Base_Jugadores!C$2:C$50000)
)</f>
        <v>Génova</v>
      </c>
      <c r="D1237" s="5" t="str">
        <f aca="false">[1]Base_Jugadores!D1237</f>
        <v>Argentina</v>
      </c>
      <c r="E1237" s="3"/>
      <c r="F1237" s="5" t="str">
        <f aca="false">[1]Base_Jugadores!E1237</f>
        <v>MO</v>
      </c>
      <c r="G1237" s="5" t="n">
        <f aca="false">[1]Base_Jugadores!F1237</f>
        <v>73</v>
      </c>
      <c r="H1237" s="5" t="n">
        <f aca="false">[1]Base_Jugadores!G1237</f>
        <v>20</v>
      </c>
      <c r="I1237" s="7" t="n">
        <f aca="false" t="array" ref="I1237:I1237">_xlfn.XLOOKUP(G1237,{55;56;57;58;59;60;61;62;63;64;65;66;67;68;69;70;71;72;73;74;75;76;77;78;79;80;81;82;83;84;85;86;87;88;89;90;91;92;93;94;95;96;97;98;99},{100000;130000;160000;190000;220000;250000;300000;350000;400000;450000;500000;600000;700000;800000;900000;1000000;1500000;2000000;3000000;4000000;5000000;6500000;8000000;10000000;12500000;15000000;20000000;25000000;30000000;35000000;40000000;55000000;70000000;80000000;90000000;110000000;130000000;160000000;190000000;220000000;250000000;280000000;310000000;340000000;400000000})</f>
        <v>3000000</v>
      </c>
      <c r="J1237" s="7" t="n">
        <f aca="false">I1237*S1237*T1237*U1237</f>
        <v>4914000</v>
      </c>
      <c r="K1237" s="3"/>
      <c r="L1237" s="3"/>
      <c r="M1237" s="3"/>
      <c r="N1237" s="9" t="n">
        <v>0</v>
      </c>
      <c r="O1237" s="4" t="n">
        <v>0</v>
      </c>
      <c r="P1237" s="5" t="n">
        <f aca="false">IF(COUNTIF([1]Base_Jugadores!J$2:J$500,B1237)&gt;0,1,0)</f>
        <v>0</v>
      </c>
      <c r="Q1237" s="10" t="b">
        <f aca="false">--(COUNTIFS(
   [1]Fichajes_Realizados!A$2:A$5000,A1237,
   [1]Fichajes_Realizados!G$2:G$5000,$X$3
)&gt;0)</f>
        <v>0</v>
      </c>
      <c r="R1237" s="5" t="n">
        <f aca="false">_xlfn.XLOOKUP(C1237, [1]Estado_Equipos!A$2:A$500, [1]Estado_Equipos!J$2:J$500, "")</f>
        <v>70</v>
      </c>
      <c r="S1237" s="5" t="n">
        <f aca="false">IF(H1237&lt;=16,1.45,
IF(H1237&gt;=41,0.3,
CHOOSE(ROUNDDOWN((H1237-16)/2,0)+1,
1.45,1.38,1.3,1.23,1.17,1.15,1.12,1.05,0.95,0.8,0.6,0.4,0.3)))</f>
        <v>1.3</v>
      </c>
      <c r="T1237" s="5" t="n">
        <f aca="false">CHOOSE(N1237+1,1.2,1,0.85,0.7)</f>
        <v>1.2</v>
      </c>
      <c r="U1237" s="5" t="n">
        <f aca="false">IF(F1237="PO",0.6,
IF(F1237="CT",0.75,
IF(F1237="LI",0.8,
IF(F1237="LD",0.8,
IF(F1237="MCD",0.85,
IF(F1237="MC",0.95,
IF(F1237="MO",1.05,
IF(F1237="EI",1.1,
IF(F1237="ED",1.1,
IF(F1237="SD",1.15,
IF(F1237="DC",1.2,0)))))))))))</f>
        <v>1.05</v>
      </c>
    </row>
    <row r="1238" customFormat="false" ht="16.4" hidden="false" customHeight="false" outlineLevel="0" collapsed="false">
      <c r="A1238" s="1" t="n">
        <v>1237</v>
      </c>
      <c r="B1238" s="5" t="str">
        <f aca="false">[1]Base_Jugadores!B1238</f>
        <v>Albert Gronbaek</v>
      </c>
      <c r="C1238" s="5" t="str">
        <f aca="false">IFERROR(
   _xlfn.XLOOKUP(VALUE(A1238),[1]Fichajes_Realizados!A$2:A$50000,[1]Fichajes_Realizados!D$2:D$50000,,0,-1),
   _xlfn.XLOOKUP(VALUE(A1238),[1]Base_Jugadores!A$2:A$50000,[1]Base_Jugadores!C$2:C$50000)
)</f>
        <v>Génova</v>
      </c>
      <c r="D1238" s="5" t="str">
        <f aca="false">[1]Base_Jugadores!D1238</f>
        <v>Dinamarca</v>
      </c>
      <c r="E1238" s="3"/>
      <c r="F1238" s="5" t="str">
        <f aca="false">[1]Base_Jugadores!E1238</f>
        <v>MO</v>
      </c>
      <c r="G1238" s="5" t="n">
        <f aca="false">[1]Base_Jugadores!F1238</f>
        <v>75</v>
      </c>
      <c r="H1238" s="5" t="n">
        <f aca="false">[1]Base_Jugadores!G1238</f>
        <v>24</v>
      </c>
      <c r="I1238" s="7" t="n">
        <f aca="false" t="array" ref="I1238:I1238">_xlfn.XLOOKUP(G1238,{55;56;57;58;59;60;61;62;63;64;65;66;67;68;69;70;71;72;73;74;75;76;77;78;79;80;81;82;83;84;85;86;87;88;89;90;91;92;93;94;95;96;97;98;99},{100000;130000;160000;190000;220000;250000;300000;350000;400000;450000;500000;600000;700000;800000;900000;1000000;1500000;2000000;3000000;4000000;5000000;6500000;8000000;10000000;12500000;15000000;20000000;25000000;30000000;35000000;40000000;55000000;70000000;80000000;90000000;110000000;130000000;160000000;190000000;220000000;250000000;280000000;310000000;340000000;400000000})</f>
        <v>5000000</v>
      </c>
      <c r="J1238" s="7" t="n">
        <f aca="false">I1238*S1238*T1238*U1238</f>
        <v>7371000</v>
      </c>
      <c r="K1238" s="3"/>
      <c r="L1238" s="3"/>
      <c r="M1238" s="3"/>
      <c r="N1238" s="9" t="n">
        <v>0</v>
      </c>
      <c r="O1238" s="4" t="n">
        <v>0</v>
      </c>
      <c r="P1238" s="5" t="n">
        <f aca="false">IF(COUNTIF([1]Base_Jugadores!J$2:J$500,B1238)&gt;0,1,0)</f>
        <v>0</v>
      </c>
      <c r="Q1238" s="10" t="b">
        <f aca="false">--(COUNTIFS(
   [1]Fichajes_Realizados!A$2:A$5000,A1238,
   [1]Fichajes_Realizados!G$2:G$5000,$X$3
)&gt;0)</f>
        <v>0</v>
      </c>
      <c r="R1238" s="5" t="n">
        <f aca="false">_xlfn.XLOOKUP(C1238, [1]Estado_Equipos!A$2:A$500, [1]Estado_Equipos!J$2:J$500, "")</f>
        <v>70</v>
      </c>
      <c r="S1238" s="5" t="n">
        <f aca="false">IF(H1238&lt;=16,1.45,
IF(H1238&gt;=41,0.3,
CHOOSE(ROUNDDOWN((H1238-16)/2,0)+1,
1.45,1.38,1.3,1.23,1.17,1.15,1.12,1.05,0.95,0.8,0.6,0.4,0.3)))</f>
        <v>1.17</v>
      </c>
      <c r="T1238" s="5" t="n">
        <f aca="false">CHOOSE(N1238+1,1.2,1,0.85,0.7)</f>
        <v>1.2</v>
      </c>
      <c r="U1238" s="5" t="n">
        <f aca="false">IF(F1238="PO",0.6,
IF(F1238="CT",0.75,
IF(F1238="LI",0.8,
IF(F1238="LD",0.8,
IF(F1238="MCD",0.85,
IF(F1238="MC",0.95,
IF(F1238="MO",1.05,
IF(F1238="EI",1.1,
IF(F1238="ED",1.1,
IF(F1238="SD",1.15,
IF(F1238="DC",1.2,0)))))))))))</f>
        <v>1.05</v>
      </c>
    </row>
    <row r="1239" customFormat="false" ht="16.4" hidden="false" customHeight="false" outlineLevel="0" collapsed="false">
      <c r="A1239" s="1" t="n">
        <v>1238</v>
      </c>
      <c r="B1239" s="5" t="str">
        <f aca="false">[1]Base_Jugadores!B1239</f>
        <v>Nicolae Stanciu</v>
      </c>
      <c r="C1239" s="5" t="str">
        <f aca="false">IFERROR(
   _xlfn.XLOOKUP(VALUE(A1239),[1]Fichajes_Realizados!A$2:A$50000,[1]Fichajes_Realizados!D$2:D$50000,,0,-1),
   _xlfn.XLOOKUP(VALUE(A1239),[1]Base_Jugadores!A$2:A$50000,[1]Base_Jugadores!C$2:C$50000)
)</f>
        <v>Génova</v>
      </c>
      <c r="D1239" s="5" t="str">
        <f aca="false">[1]Base_Jugadores!D1239</f>
        <v>Rumania</v>
      </c>
      <c r="E1239" s="3"/>
      <c r="F1239" s="5" t="str">
        <f aca="false">[1]Base_Jugadores!E1239</f>
        <v>MO</v>
      </c>
      <c r="G1239" s="5" t="n">
        <f aca="false">[1]Base_Jugadores!F1239</f>
        <v>76</v>
      </c>
      <c r="H1239" s="5" t="n">
        <f aca="false">[1]Base_Jugadores!G1239</f>
        <v>32</v>
      </c>
      <c r="I1239" s="7" t="n">
        <f aca="false" t="array" ref="I1239:I1239">_xlfn.XLOOKUP(G1239,{55;56;57;58;59;60;61;62;63;64;65;66;67;68;69;70;71;72;73;74;75;76;77;78;79;80;81;82;83;84;85;86;87;88;89;90;91;92;93;94;95;96;97;98;99},{100000;130000;160000;190000;220000;250000;300000;350000;400000;450000;500000;600000;700000;800000;900000;1000000;1500000;2000000;3000000;4000000;5000000;6500000;8000000;10000000;12500000;15000000;20000000;25000000;30000000;35000000;40000000;55000000;70000000;80000000;90000000;110000000;130000000;160000000;190000000;220000000;250000000;280000000;310000000;340000000;400000000})</f>
        <v>6500000</v>
      </c>
      <c r="J1239" s="7" t="n">
        <f aca="false">I1239*S1239*T1239*U1239</f>
        <v>7780500</v>
      </c>
      <c r="K1239" s="3"/>
      <c r="L1239" s="3"/>
      <c r="M1239" s="3"/>
      <c r="N1239" s="9" t="n">
        <v>0</v>
      </c>
      <c r="O1239" s="4" t="n">
        <v>0</v>
      </c>
      <c r="P1239" s="5" t="n">
        <f aca="false">IF(COUNTIF([1]Base_Jugadores!J$2:J$500,B1239)&gt;0,1,0)</f>
        <v>0</v>
      </c>
      <c r="Q1239" s="10" t="b">
        <f aca="false">--(COUNTIFS(
   [1]Fichajes_Realizados!A$2:A$5000,A1239,
   [1]Fichajes_Realizados!G$2:G$5000,$X$3
)&gt;0)</f>
        <v>0</v>
      </c>
      <c r="R1239" s="5" t="n">
        <f aca="false">_xlfn.XLOOKUP(C1239, [1]Estado_Equipos!A$2:A$500, [1]Estado_Equipos!J$2:J$500, "")</f>
        <v>70</v>
      </c>
      <c r="S1239" s="5" t="n">
        <f aca="false">IF(H1239&lt;=16,1.45,
IF(H1239&gt;=41,0.3,
CHOOSE(ROUNDDOWN((H1239-16)/2,0)+1,
1.45,1.38,1.3,1.23,1.17,1.15,1.12,1.05,0.95,0.8,0.6,0.4,0.3)))</f>
        <v>0.95</v>
      </c>
      <c r="T1239" s="5" t="n">
        <f aca="false">CHOOSE(N1239+1,1.2,1,0.85,0.7)</f>
        <v>1.2</v>
      </c>
      <c r="U1239" s="5" t="n">
        <f aca="false">IF(F1239="PO",0.6,
IF(F1239="CT",0.75,
IF(F1239="LI",0.8,
IF(F1239="LD",0.8,
IF(F1239="MCD",0.85,
IF(F1239="MC",0.95,
IF(F1239="MO",1.05,
IF(F1239="EI",1.1,
IF(F1239="ED",1.1,
IF(F1239="SD",1.15,
IF(F1239="DC",1.2,0)))))))))))</f>
        <v>1.05</v>
      </c>
    </row>
    <row r="1240" customFormat="false" ht="16.4" hidden="false" customHeight="false" outlineLevel="0" collapsed="false">
      <c r="A1240" s="1" t="n">
        <v>1239</v>
      </c>
      <c r="B1240" s="5" t="str">
        <f aca="false">[1]Base_Jugadores!B1240</f>
        <v>Ruslan Malinovskyi</v>
      </c>
      <c r="C1240" s="5" t="str">
        <f aca="false">IFERROR(
   _xlfn.XLOOKUP(VALUE(A1240),[1]Fichajes_Realizados!A$2:A$50000,[1]Fichajes_Realizados!D$2:D$50000,,0,-1),
   _xlfn.XLOOKUP(VALUE(A1240),[1]Base_Jugadores!A$2:A$50000,[1]Base_Jugadores!C$2:C$50000)
)</f>
        <v>Génova</v>
      </c>
      <c r="D1240" s="5" t="str">
        <f aca="false">[1]Base_Jugadores!D1240</f>
        <v>Ucrania</v>
      </c>
      <c r="E1240" s="3"/>
      <c r="F1240" s="5" t="str">
        <f aca="false">[1]Base_Jugadores!E1240</f>
        <v>MC</v>
      </c>
      <c r="G1240" s="5" t="n">
        <f aca="false">[1]Base_Jugadores!F1240</f>
        <v>77</v>
      </c>
      <c r="H1240" s="5" t="n">
        <f aca="false">[1]Base_Jugadores!G1240</f>
        <v>32</v>
      </c>
      <c r="I1240" s="7" t="n">
        <f aca="false" t="array" ref="I1240:I1240">_xlfn.XLOOKUP(G1240,{55;56;57;58;59;60;61;62;63;64;65;66;67;68;69;70;71;72;73;74;75;76;77;78;79;80;81;82;83;84;85;86;87;88;89;90;91;92;93;94;95;96;97;98;99},{100000;130000;160000;190000;220000;250000;300000;350000;400000;450000;500000;600000;700000;800000;900000;1000000;1500000;2000000;3000000;4000000;5000000;6500000;8000000;10000000;12500000;15000000;20000000;25000000;30000000;35000000;40000000;55000000;70000000;80000000;90000000;110000000;130000000;160000000;190000000;220000000;250000000;280000000;310000000;340000000;400000000})</f>
        <v>8000000</v>
      </c>
      <c r="J1240" s="7" t="n">
        <f aca="false">I1240*S1240*T1240*U1240</f>
        <v>8664000</v>
      </c>
      <c r="K1240" s="3"/>
      <c r="L1240" s="3"/>
      <c r="M1240" s="3"/>
      <c r="N1240" s="9" t="n">
        <v>0</v>
      </c>
      <c r="O1240" s="4" t="n">
        <v>0</v>
      </c>
      <c r="P1240" s="5" t="n">
        <f aca="false">IF(COUNTIF([1]Base_Jugadores!J$2:J$500,B1240)&gt;0,1,0)</f>
        <v>0</v>
      </c>
      <c r="Q1240" s="10" t="b">
        <f aca="false">--(COUNTIFS(
   [1]Fichajes_Realizados!A$2:A$5000,A1240,
   [1]Fichajes_Realizados!G$2:G$5000,$X$3
)&gt;0)</f>
        <v>0</v>
      </c>
      <c r="R1240" s="5" t="n">
        <f aca="false">_xlfn.XLOOKUP(C1240, [1]Estado_Equipos!A$2:A$500, [1]Estado_Equipos!J$2:J$500, "")</f>
        <v>70</v>
      </c>
      <c r="S1240" s="5" t="n">
        <f aca="false">IF(H1240&lt;=16,1.45,
IF(H1240&gt;=41,0.3,
CHOOSE(ROUNDDOWN((H1240-16)/2,0)+1,
1.45,1.38,1.3,1.23,1.17,1.15,1.12,1.05,0.95,0.8,0.6,0.4,0.3)))</f>
        <v>0.95</v>
      </c>
      <c r="T1240" s="5" t="n">
        <f aca="false">CHOOSE(N1240+1,1.2,1,0.85,0.7)</f>
        <v>1.2</v>
      </c>
      <c r="U1240" s="5" t="n">
        <f aca="false">IF(F1240="PO",0.6,
IF(F1240="CT",0.75,
IF(F1240="LI",0.8,
IF(F1240="LD",0.8,
IF(F1240="MCD",0.85,
IF(F1240="MC",0.95,
IF(F1240="MO",1.05,
IF(F1240="EI",1.1,
IF(F1240="ED",1.1,
IF(F1240="SD",1.15,
IF(F1240="DC",1.2,0)))))))))))</f>
        <v>0.95</v>
      </c>
    </row>
    <row r="1241" customFormat="false" ht="16.4" hidden="false" customHeight="false" outlineLevel="0" collapsed="false">
      <c r="A1241" s="1" t="n">
        <v>1240</v>
      </c>
      <c r="B1241" s="5" t="str">
        <f aca="false">[1]Base_Jugadores!B1241</f>
        <v>Hugo Cuenca</v>
      </c>
      <c r="C1241" s="5" t="str">
        <f aca="false">IFERROR(
   _xlfn.XLOOKUP(VALUE(A1241),[1]Fichajes_Realizados!A$2:A$50000,[1]Fichajes_Realizados!D$2:D$50000,,0,-1),
   _xlfn.XLOOKUP(VALUE(A1241),[1]Base_Jugadores!A$2:A$50000,[1]Base_Jugadores!C$2:C$50000)
)</f>
        <v>Génova</v>
      </c>
      <c r="D1241" s="5" t="str">
        <f aca="false">[1]Base_Jugadores!D1241</f>
        <v>Paraguay</v>
      </c>
      <c r="E1241" s="3"/>
      <c r="F1241" s="5" t="str">
        <f aca="false">[1]Base_Jugadores!E1241</f>
        <v>MO</v>
      </c>
      <c r="G1241" s="5" t="n">
        <f aca="false">[1]Base_Jugadores!F1241</f>
        <v>62</v>
      </c>
      <c r="H1241" s="5" t="n">
        <f aca="false">[1]Base_Jugadores!G1241</f>
        <v>20</v>
      </c>
      <c r="I1241" s="7" t="n">
        <f aca="false" t="array" ref="I1241:I1241">_xlfn.XLOOKUP(G1241,{55;56;57;58;59;60;61;62;63;64;65;66;67;68;69;70;71;72;73;74;75;76;77;78;79;80;81;82;83;84;85;86;87;88;89;90;91;92;93;94;95;96;97;98;99},{100000;130000;160000;190000;220000;250000;300000;350000;400000;450000;500000;600000;700000;800000;900000;1000000;1500000;2000000;3000000;4000000;5000000;6500000;8000000;10000000;12500000;15000000;20000000;25000000;30000000;35000000;40000000;55000000;70000000;80000000;90000000;110000000;130000000;160000000;190000000;220000000;250000000;280000000;310000000;340000000;400000000})</f>
        <v>350000</v>
      </c>
      <c r="J1241" s="7" t="n">
        <f aca="false">I1241*S1241*T1241*U1241</f>
        <v>573300</v>
      </c>
      <c r="K1241" s="3"/>
      <c r="L1241" s="3"/>
      <c r="M1241" s="3"/>
      <c r="N1241" s="9" t="n">
        <v>0</v>
      </c>
      <c r="O1241" s="4" t="n">
        <v>0</v>
      </c>
      <c r="P1241" s="5" t="n">
        <f aca="false">IF(COUNTIF([1]Base_Jugadores!J$2:J$500,B1241)&gt;0,1,0)</f>
        <v>0</v>
      </c>
      <c r="Q1241" s="10" t="b">
        <f aca="false">--(COUNTIFS(
   [1]Fichajes_Realizados!A$2:A$5000,A1241,
   [1]Fichajes_Realizados!G$2:G$5000,$X$3
)&gt;0)</f>
        <v>0</v>
      </c>
      <c r="R1241" s="5" t="n">
        <f aca="false">_xlfn.XLOOKUP(C1241, [1]Estado_Equipos!A$2:A$500, [1]Estado_Equipos!J$2:J$500, "")</f>
        <v>70</v>
      </c>
      <c r="S1241" s="5" t="n">
        <f aca="false">IF(H1241&lt;=16,1.45,
IF(H1241&gt;=41,0.3,
CHOOSE(ROUNDDOWN((H1241-16)/2,0)+1,
1.45,1.38,1.3,1.23,1.17,1.15,1.12,1.05,0.95,0.8,0.6,0.4,0.3)))</f>
        <v>1.3</v>
      </c>
      <c r="T1241" s="5" t="n">
        <f aca="false">CHOOSE(N1241+1,1.2,1,0.85,0.7)</f>
        <v>1.2</v>
      </c>
      <c r="U1241" s="5" t="n">
        <f aca="false">IF(F1241="PO",0.6,
IF(F1241="CT",0.75,
IF(F1241="LI",0.8,
IF(F1241="LD",0.8,
IF(F1241="MCD",0.85,
IF(F1241="MC",0.95,
IF(F1241="MO",1.05,
IF(F1241="EI",1.1,
IF(F1241="ED",1.1,
IF(F1241="SD",1.15,
IF(F1241="DC",1.2,0)))))))))))</f>
        <v>1.05</v>
      </c>
    </row>
    <row r="1242" customFormat="false" ht="16.4" hidden="false" customHeight="false" outlineLevel="0" collapsed="false">
      <c r="A1242" s="1" t="n">
        <v>1241</v>
      </c>
      <c r="B1242" s="5" t="str">
        <f aca="false">[1]Base_Jugadores!B1242</f>
        <v>Maxwel Cornet</v>
      </c>
      <c r="C1242" s="5" t="str">
        <f aca="false">IFERROR(
   _xlfn.XLOOKUP(VALUE(A1242),[1]Fichajes_Realizados!A$2:A$50000,[1]Fichajes_Realizados!D$2:D$50000,,0,-1),
   _xlfn.XLOOKUP(VALUE(A1242),[1]Base_Jugadores!A$2:A$50000,[1]Base_Jugadores!C$2:C$50000)
)</f>
        <v>Génova</v>
      </c>
      <c r="D1242" s="5" t="str">
        <f aca="false">[1]Base_Jugadores!D1242</f>
        <v>Costa de Marfil</v>
      </c>
      <c r="E1242" s="3"/>
      <c r="F1242" s="5" t="str">
        <f aca="false">[1]Base_Jugadores!E1242</f>
        <v>EI</v>
      </c>
      <c r="G1242" s="5" t="n">
        <f aca="false">[1]Base_Jugadores!F1242</f>
        <v>75</v>
      </c>
      <c r="H1242" s="5" t="n">
        <f aca="false">[1]Base_Jugadores!G1242</f>
        <v>29</v>
      </c>
      <c r="I1242" s="7" t="n">
        <f aca="false" t="array" ref="I1242:I1242">_xlfn.XLOOKUP(G1242,{55;56;57;58;59;60;61;62;63;64;65;66;67;68;69;70;71;72;73;74;75;76;77;78;79;80;81;82;83;84;85;86;87;88;89;90;91;92;93;94;95;96;97;98;99},{100000;130000;160000;190000;220000;250000;300000;350000;400000;450000;500000;600000;700000;800000;900000;1000000;1500000;2000000;3000000;4000000;5000000;6500000;8000000;10000000;12500000;15000000;20000000;25000000;30000000;35000000;40000000;55000000;70000000;80000000;90000000;110000000;130000000;160000000;190000000;220000000;250000000;280000000;310000000;340000000;400000000})</f>
        <v>5000000</v>
      </c>
      <c r="J1242" s="7" t="n">
        <f aca="false">I1242*S1242*T1242*U1242</f>
        <v>7392000</v>
      </c>
      <c r="K1242" s="3"/>
      <c r="L1242" s="3"/>
      <c r="M1242" s="3"/>
      <c r="N1242" s="9" t="n">
        <v>0</v>
      </c>
      <c r="O1242" s="4" t="n">
        <v>0</v>
      </c>
      <c r="P1242" s="5" t="n">
        <f aca="false">IF(COUNTIF([1]Base_Jugadores!J$2:J$500,B1242)&gt;0,1,0)</f>
        <v>0</v>
      </c>
      <c r="Q1242" s="10" t="b">
        <f aca="false">--(COUNTIFS(
   [1]Fichajes_Realizados!A$2:A$5000,A1242,
   [1]Fichajes_Realizados!G$2:G$5000,$X$3
)&gt;0)</f>
        <v>0</v>
      </c>
      <c r="R1242" s="5" t="n">
        <f aca="false">_xlfn.XLOOKUP(C1242, [1]Estado_Equipos!A$2:A$500, [1]Estado_Equipos!J$2:J$500, "")</f>
        <v>70</v>
      </c>
      <c r="S1242" s="5" t="n">
        <f aca="false">IF(H1242&lt;=16,1.45,
IF(H1242&gt;=41,0.3,
CHOOSE(ROUNDDOWN((H1242-16)/2,0)+1,
1.45,1.38,1.3,1.23,1.17,1.15,1.12,1.05,0.95,0.8,0.6,0.4,0.3)))</f>
        <v>1.12</v>
      </c>
      <c r="T1242" s="5" t="n">
        <f aca="false">CHOOSE(N1242+1,1.2,1,0.85,0.7)</f>
        <v>1.2</v>
      </c>
      <c r="U1242" s="5" t="n">
        <f aca="false">IF(F1242="PO",0.6,
IF(F1242="CT",0.75,
IF(F1242="LI",0.8,
IF(F1242="LD",0.8,
IF(F1242="MCD",0.85,
IF(F1242="MC",0.95,
IF(F1242="MO",1.05,
IF(F1242="EI",1.1,
IF(F1242="ED",1.1,
IF(F1242="SD",1.15,
IF(F1242="DC",1.2,0)))))))))))</f>
        <v>1.1</v>
      </c>
    </row>
    <row r="1243" customFormat="false" ht="16.4" hidden="false" customHeight="false" outlineLevel="0" collapsed="false">
      <c r="A1243" s="1" t="n">
        <v>1242</v>
      </c>
      <c r="B1243" s="5" t="str">
        <f aca="false">[1]Base_Jugadores!B1243</f>
        <v>Junior Messias</v>
      </c>
      <c r="C1243" s="5" t="str">
        <f aca="false">IFERROR(
   _xlfn.XLOOKUP(VALUE(A1243),[1]Fichajes_Realizados!A$2:A$50000,[1]Fichajes_Realizados!D$2:D$50000,,0,-1),
   _xlfn.XLOOKUP(VALUE(A1243),[1]Base_Jugadores!A$2:A$50000,[1]Base_Jugadores!C$2:C$50000)
)</f>
        <v>Génova</v>
      </c>
      <c r="D1243" s="5" t="str">
        <f aca="false">[1]Base_Jugadores!D1243</f>
        <v>Brasil</v>
      </c>
      <c r="E1243" s="3"/>
      <c r="F1243" s="5" t="str">
        <f aca="false">[1]Base_Jugadores!E1243</f>
        <v>ED</v>
      </c>
      <c r="G1243" s="5" t="n">
        <f aca="false">[1]Base_Jugadores!F1243</f>
        <v>75</v>
      </c>
      <c r="H1243" s="5" t="n">
        <f aca="false">[1]Base_Jugadores!G1243</f>
        <v>34</v>
      </c>
      <c r="I1243" s="7" t="n">
        <f aca="false" t="array" ref="I1243:I1243">_xlfn.XLOOKUP(G1243,{55;56;57;58;59;60;61;62;63;64;65;66;67;68;69;70;71;72;73;74;75;76;77;78;79;80;81;82;83;84;85;86;87;88;89;90;91;92;93;94;95;96;97;98;99},{100000;130000;160000;190000;220000;250000;300000;350000;400000;450000;500000;600000;700000;800000;900000;1000000;1500000;2000000;3000000;4000000;5000000;6500000;8000000;10000000;12500000;15000000;20000000;25000000;30000000;35000000;40000000;55000000;70000000;80000000;90000000;110000000;130000000;160000000;190000000;220000000;250000000;280000000;310000000;340000000;400000000})</f>
        <v>5000000</v>
      </c>
      <c r="J1243" s="7" t="n">
        <f aca="false">I1243*S1243*T1243*U1243</f>
        <v>5280000</v>
      </c>
      <c r="K1243" s="3"/>
      <c r="L1243" s="3"/>
      <c r="M1243" s="3"/>
      <c r="N1243" s="9" t="n">
        <v>0</v>
      </c>
      <c r="O1243" s="4" t="n">
        <v>0</v>
      </c>
      <c r="P1243" s="5" t="n">
        <f aca="false">IF(COUNTIF([1]Base_Jugadores!J$2:J$500,B1243)&gt;0,1,0)</f>
        <v>0</v>
      </c>
      <c r="Q1243" s="10" t="b">
        <f aca="false">--(COUNTIFS(
   [1]Fichajes_Realizados!A$2:A$5000,A1243,
   [1]Fichajes_Realizados!G$2:G$5000,$X$3
)&gt;0)</f>
        <v>0</v>
      </c>
      <c r="R1243" s="5" t="n">
        <f aca="false">_xlfn.XLOOKUP(C1243, [1]Estado_Equipos!A$2:A$500, [1]Estado_Equipos!J$2:J$500, "")</f>
        <v>70</v>
      </c>
      <c r="S1243" s="5" t="n">
        <f aca="false">IF(H1243&lt;=16,1.45,
IF(H1243&gt;=41,0.3,
CHOOSE(ROUNDDOWN((H1243-16)/2,0)+1,
1.45,1.38,1.3,1.23,1.17,1.15,1.12,1.05,0.95,0.8,0.6,0.4,0.3)))</f>
        <v>0.8</v>
      </c>
      <c r="T1243" s="5" t="n">
        <f aca="false">CHOOSE(N1243+1,1.2,1,0.85,0.7)</f>
        <v>1.2</v>
      </c>
      <c r="U1243" s="5" t="n">
        <f aca="false">IF(F1243="PO",0.6,
IF(F1243="CT",0.75,
IF(F1243="LI",0.8,
IF(F1243="LD",0.8,
IF(F1243="MCD",0.85,
IF(F1243="MC",0.95,
IF(F1243="MO",1.05,
IF(F1243="EI",1.1,
IF(F1243="ED",1.1,
IF(F1243="SD",1.15,
IF(F1243="DC",1.2,0)))))))))))</f>
        <v>1.1</v>
      </c>
    </row>
    <row r="1244" customFormat="false" ht="16.4" hidden="false" customHeight="false" outlineLevel="0" collapsed="false">
      <c r="A1244" s="1" t="n">
        <v>1243</v>
      </c>
      <c r="B1244" s="5" t="str">
        <f aca="false">[1]Base_Jugadores!B1244</f>
        <v>Lorenzo Venturino</v>
      </c>
      <c r="C1244" s="5" t="str">
        <f aca="false">IFERROR(
   _xlfn.XLOOKUP(VALUE(A1244),[1]Fichajes_Realizados!A$2:A$50000,[1]Fichajes_Realizados!D$2:D$50000,,0,-1),
   _xlfn.XLOOKUP(VALUE(A1244),[1]Base_Jugadores!A$2:A$50000,[1]Base_Jugadores!C$2:C$50000)
)</f>
        <v>Génova</v>
      </c>
      <c r="D1244" s="5" t="str">
        <f aca="false">[1]Base_Jugadores!D1244</f>
        <v>Italia</v>
      </c>
      <c r="E1244" s="3"/>
      <c r="F1244" s="5" t="str">
        <f aca="false">[1]Base_Jugadores!E1244</f>
        <v>ED</v>
      </c>
      <c r="G1244" s="5" t="n">
        <f aca="false">[1]Base_Jugadores!F1244</f>
        <v>60</v>
      </c>
      <c r="H1244" s="5" t="n">
        <f aca="false">[1]Base_Jugadores!G1244</f>
        <v>19</v>
      </c>
      <c r="I1244" s="7" t="n">
        <f aca="false" t="array" ref="I1244:I1244">_xlfn.XLOOKUP(G1244,{55;56;57;58;59;60;61;62;63;64;65;66;67;68;69;70;71;72;73;74;75;76;77;78;79;80;81;82;83;84;85;86;87;88;89;90;91;92;93;94;95;96;97;98;99},{100000;130000;160000;190000;220000;250000;300000;350000;400000;450000;500000;600000;700000;800000;900000;1000000;1500000;2000000;3000000;4000000;5000000;6500000;8000000;10000000;12500000;15000000;20000000;25000000;30000000;35000000;40000000;55000000;70000000;80000000;90000000;110000000;130000000;160000000;190000000;220000000;250000000;280000000;310000000;340000000;400000000})</f>
        <v>250000</v>
      </c>
      <c r="J1244" s="7" t="n">
        <f aca="false">I1244*S1244*T1244*U1244</f>
        <v>455400</v>
      </c>
      <c r="K1244" s="3"/>
      <c r="L1244" s="3"/>
      <c r="M1244" s="3"/>
      <c r="N1244" s="9" t="n">
        <v>0</v>
      </c>
      <c r="O1244" s="4" t="n">
        <v>0</v>
      </c>
      <c r="P1244" s="5" t="n">
        <f aca="false">IF(COUNTIF([1]Base_Jugadores!J$2:J$500,B1244)&gt;0,1,0)</f>
        <v>0</v>
      </c>
      <c r="Q1244" s="10" t="b">
        <f aca="false">--(COUNTIFS(
   [1]Fichajes_Realizados!A$2:A$5000,A1244,
   [1]Fichajes_Realizados!G$2:G$5000,$X$3
)&gt;0)</f>
        <v>0</v>
      </c>
      <c r="R1244" s="5" t="n">
        <f aca="false">_xlfn.XLOOKUP(C1244, [1]Estado_Equipos!A$2:A$500, [1]Estado_Equipos!J$2:J$500, "")</f>
        <v>70</v>
      </c>
      <c r="S1244" s="5" t="n">
        <f aca="false">IF(H1244&lt;=16,1.45,
IF(H1244&gt;=41,0.3,
CHOOSE(ROUNDDOWN((H1244-16)/2,0)+1,
1.45,1.38,1.3,1.23,1.17,1.15,1.12,1.05,0.95,0.8,0.6,0.4,0.3)))</f>
        <v>1.38</v>
      </c>
      <c r="T1244" s="5" t="n">
        <f aca="false">CHOOSE(N1244+1,1.2,1,0.85,0.7)</f>
        <v>1.2</v>
      </c>
      <c r="U1244" s="5" t="n">
        <f aca="false">IF(F1244="PO",0.6,
IF(F1244="CT",0.75,
IF(F1244="LI",0.8,
IF(F1244="LD",0.8,
IF(F1244="MCD",0.85,
IF(F1244="MC",0.95,
IF(F1244="MO",1.05,
IF(F1244="EI",1.1,
IF(F1244="ED",1.1,
IF(F1244="SD",1.15,
IF(F1244="DC",1.2,0)))))))))))</f>
        <v>1.1</v>
      </c>
    </row>
    <row r="1245" customFormat="false" ht="16.4" hidden="false" customHeight="false" outlineLevel="0" collapsed="false">
      <c r="A1245" s="1" t="n">
        <v>1244</v>
      </c>
      <c r="B1245" s="5" t="str">
        <f aca="false">[1]Base_Jugadores!B1245</f>
        <v>Seydou Fini</v>
      </c>
      <c r="C1245" s="5" t="str">
        <f aca="false">IFERROR(
   _xlfn.XLOOKUP(VALUE(A1245),[1]Fichajes_Realizados!A$2:A$50000,[1]Fichajes_Realizados!D$2:D$50000,,0,-1),
   _xlfn.XLOOKUP(VALUE(A1245),[1]Base_Jugadores!A$2:A$50000,[1]Base_Jugadores!C$2:C$50000)
)</f>
        <v>Génova</v>
      </c>
      <c r="D1245" s="5" t="str">
        <f aca="false">[1]Base_Jugadores!D1245</f>
        <v>Italia</v>
      </c>
      <c r="E1245" s="3"/>
      <c r="F1245" s="5" t="str">
        <f aca="false">[1]Base_Jugadores!E1245</f>
        <v>ED</v>
      </c>
      <c r="G1245" s="5" t="n">
        <f aca="false">[1]Base_Jugadores!F1245</f>
        <v>65</v>
      </c>
      <c r="H1245" s="5" t="n">
        <f aca="false">[1]Base_Jugadores!G1245</f>
        <v>19</v>
      </c>
      <c r="I1245" s="7" t="n">
        <f aca="false" t="array" ref="I1245:I1245">_xlfn.XLOOKUP(G1245,{55;56;57;58;59;60;61;62;63;64;65;66;67;68;69;70;71;72;73;74;75;76;77;78;79;80;81;82;83;84;85;86;87;88;89;90;91;92;93;94;95;96;97;98;99},{100000;130000;160000;190000;220000;250000;300000;350000;400000;450000;500000;600000;700000;800000;900000;1000000;1500000;2000000;3000000;4000000;5000000;6500000;8000000;10000000;12500000;15000000;20000000;25000000;30000000;35000000;40000000;55000000;70000000;80000000;90000000;110000000;130000000;160000000;190000000;220000000;250000000;280000000;310000000;340000000;400000000})</f>
        <v>500000</v>
      </c>
      <c r="J1245" s="7" t="n">
        <f aca="false">I1245*S1245*T1245*U1245</f>
        <v>910800</v>
      </c>
      <c r="K1245" s="3"/>
      <c r="L1245" s="3"/>
      <c r="M1245" s="3"/>
      <c r="N1245" s="9" t="n">
        <v>0</v>
      </c>
      <c r="O1245" s="4" t="n">
        <v>0</v>
      </c>
      <c r="P1245" s="5" t="n">
        <f aca="false">IF(COUNTIF([1]Base_Jugadores!J$2:J$500,B1245)&gt;0,1,0)</f>
        <v>0</v>
      </c>
      <c r="Q1245" s="10" t="b">
        <f aca="false">--(COUNTIFS(
   [1]Fichajes_Realizados!A$2:A$5000,A1245,
   [1]Fichajes_Realizados!G$2:G$5000,$X$3
)&gt;0)</f>
        <v>0</v>
      </c>
      <c r="R1245" s="5" t="n">
        <f aca="false">_xlfn.XLOOKUP(C1245, [1]Estado_Equipos!A$2:A$500, [1]Estado_Equipos!J$2:J$500, "")</f>
        <v>70</v>
      </c>
      <c r="S1245" s="5" t="n">
        <f aca="false">IF(H1245&lt;=16,1.45,
IF(H1245&gt;=41,0.3,
CHOOSE(ROUNDDOWN((H1245-16)/2,0)+1,
1.45,1.38,1.3,1.23,1.17,1.15,1.12,1.05,0.95,0.8,0.6,0.4,0.3)))</f>
        <v>1.38</v>
      </c>
      <c r="T1245" s="5" t="n">
        <f aca="false">CHOOSE(N1245+1,1.2,1,0.85,0.7)</f>
        <v>1.2</v>
      </c>
      <c r="U1245" s="5" t="n">
        <f aca="false">IF(F1245="PO",0.6,
IF(F1245="CT",0.75,
IF(F1245="LI",0.8,
IF(F1245="LD",0.8,
IF(F1245="MCD",0.85,
IF(F1245="MC",0.95,
IF(F1245="MO",1.05,
IF(F1245="EI",1.1,
IF(F1245="ED",1.1,
IF(F1245="SD",1.15,
IF(F1245="DC",1.2,0)))))))))))</f>
        <v>1.1</v>
      </c>
    </row>
    <row r="1246" customFormat="false" ht="16.4" hidden="false" customHeight="false" outlineLevel="0" collapsed="false">
      <c r="A1246" s="1" t="n">
        <v>1245</v>
      </c>
      <c r="B1246" s="5" t="str">
        <f aca="false">[1]Base_Jugadores!B1246</f>
        <v>Vitinha Carvalho</v>
      </c>
      <c r="C1246" s="5" t="str">
        <f aca="false">IFERROR(
   _xlfn.XLOOKUP(VALUE(A1246),[1]Fichajes_Realizados!A$2:A$50000,[1]Fichajes_Realizados!D$2:D$50000,,0,-1),
   _xlfn.XLOOKUP(VALUE(A1246),[1]Base_Jugadores!A$2:A$50000,[1]Base_Jugadores!C$2:C$50000)
)</f>
        <v>Génova</v>
      </c>
      <c r="D1246" s="5" t="str">
        <f aca="false">[1]Base_Jugadores!D1246</f>
        <v>Portugal</v>
      </c>
      <c r="E1246" s="3"/>
      <c r="F1246" s="5" t="str">
        <f aca="false">[1]Base_Jugadores!E1246</f>
        <v>DC</v>
      </c>
      <c r="G1246" s="5" t="n">
        <f aca="false">[1]Base_Jugadores!F1246</f>
        <v>76</v>
      </c>
      <c r="H1246" s="5" t="n">
        <f aca="false">[1]Base_Jugadores!G1246</f>
        <v>25</v>
      </c>
      <c r="I1246" s="7" t="n">
        <f aca="false" t="array" ref="I1246:I1246">_xlfn.XLOOKUP(G1246,{55;56;57;58;59;60;61;62;63;64;65;66;67;68;69;70;71;72;73;74;75;76;77;78;79;80;81;82;83;84;85;86;87;88;89;90;91;92;93;94;95;96;97;98;99},{100000;130000;160000;190000;220000;250000;300000;350000;400000;450000;500000;600000;700000;800000;900000;1000000;1500000;2000000;3000000;4000000;5000000;6500000;8000000;10000000;12500000;15000000;20000000;25000000;30000000;35000000;40000000;55000000;70000000;80000000;90000000;110000000;130000000;160000000;190000000;220000000;250000000;280000000;310000000;340000000;400000000})</f>
        <v>6500000</v>
      </c>
      <c r="J1246" s="7" t="n">
        <f aca="false">I1246*S1246*T1246*U1246</f>
        <v>10951200</v>
      </c>
      <c r="K1246" s="3"/>
      <c r="L1246" s="3"/>
      <c r="M1246" s="3"/>
      <c r="N1246" s="9" t="n">
        <v>0</v>
      </c>
      <c r="O1246" s="4" t="n">
        <v>0</v>
      </c>
      <c r="P1246" s="5" t="n">
        <f aca="false">IF(COUNTIF([1]Base_Jugadores!J$2:J$500,B1246)&gt;0,1,0)</f>
        <v>0</v>
      </c>
      <c r="Q1246" s="10" t="b">
        <f aca="false">--(COUNTIFS(
   [1]Fichajes_Realizados!A$2:A$5000,A1246,
   [1]Fichajes_Realizados!G$2:G$5000,$X$3
)&gt;0)</f>
        <v>0</v>
      </c>
      <c r="R1246" s="5" t="n">
        <f aca="false">_xlfn.XLOOKUP(C1246, [1]Estado_Equipos!A$2:A$500, [1]Estado_Equipos!J$2:J$500, "")</f>
        <v>70</v>
      </c>
      <c r="S1246" s="5" t="n">
        <f aca="false">IF(H1246&lt;=16,1.45,
IF(H1246&gt;=41,0.3,
CHOOSE(ROUNDDOWN((H1246-16)/2,0)+1,
1.45,1.38,1.3,1.23,1.17,1.15,1.12,1.05,0.95,0.8,0.6,0.4,0.3)))</f>
        <v>1.17</v>
      </c>
      <c r="T1246" s="5" t="n">
        <f aca="false">CHOOSE(N1246+1,1.2,1,0.85,0.7)</f>
        <v>1.2</v>
      </c>
      <c r="U1246" s="5" t="n">
        <f aca="false">IF(F1246="PO",0.6,
IF(F1246="CT",0.75,
IF(F1246="LI",0.8,
IF(F1246="LD",0.8,
IF(F1246="MCD",0.85,
IF(F1246="MC",0.95,
IF(F1246="MO",1.05,
IF(F1246="EI",1.1,
IF(F1246="ED",1.1,
IF(F1246="SD",1.15,
IF(F1246="DC",1.2,0)))))))))))</f>
        <v>1.2</v>
      </c>
    </row>
    <row r="1247" customFormat="false" ht="16.4" hidden="false" customHeight="false" outlineLevel="0" collapsed="false">
      <c r="A1247" s="1" t="n">
        <v>1246</v>
      </c>
      <c r="B1247" s="5" t="str">
        <f aca="false">[1]Base_Jugadores!B1247</f>
        <v>Jeff Ekhator</v>
      </c>
      <c r="C1247" s="5" t="str">
        <f aca="false">IFERROR(
   _xlfn.XLOOKUP(VALUE(A1247),[1]Fichajes_Realizados!A$2:A$50000,[1]Fichajes_Realizados!D$2:D$50000,,0,-1),
   _xlfn.XLOOKUP(VALUE(A1247),[1]Base_Jugadores!A$2:A$50000,[1]Base_Jugadores!C$2:C$50000)
)</f>
        <v>Génova</v>
      </c>
      <c r="D1247" s="5" t="str">
        <f aca="false">[1]Base_Jugadores!D1247</f>
        <v>Italia</v>
      </c>
      <c r="E1247" s="3"/>
      <c r="F1247" s="5" t="str">
        <f aca="false">[1]Base_Jugadores!E1247</f>
        <v>DC</v>
      </c>
      <c r="G1247" s="5" t="n">
        <f aca="false">[1]Base_Jugadores!F1247</f>
        <v>58</v>
      </c>
      <c r="H1247" s="5" t="n">
        <f aca="false">[1]Base_Jugadores!G1247</f>
        <v>19</v>
      </c>
      <c r="I1247" s="7" t="n">
        <f aca="false" t="array" ref="I1247:I1247">_xlfn.XLOOKUP(G1247,{55;56;57;58;59;60;61;62;63;64;65;66;67;68;69;70;71;72;73;74;75;76;77;78;79;80;81;82;83;84;85;86;87;88;89;90;91;92;93;94;95;96;97;98;99},{100000;130000;160000;190000;220000;250000;300000;350000;400000;450000;500000;600000;700000;800000;900000;1000000;1500000;2000000;3000000;4000000;5000000;6500000;8000000;10000000;12500000;15000000;20000000;25000000;30000000;35000000;40000000;55000000;70000000;80000000;90000000;110000000;130000000;160000000;190000000;220000000;250000000;280000000;310000000;340000000;400000000})</f>
        <v>190000</v>
      </c>
      <c r="J1247" s="7" t="n">
        <f aca="false">I1247*S1247*T1247*U1247</f>
        <v>377568</v>
      </c>
      <c r="K1247" s="3"/>
      <c r="L1247" s="3"/>
      <c r="M1247" s="3"/>
      <c r="N1247" s="9" t="n">
        <v>0</v>
      </c>
      <c r="O1247" s="4" t="n">
        <v>0</v>
      </c>
      <c r="P1247" s="5" t="n">
        <f aca="false">IF(COUNTIF([1]Base_Jugadores!J$2:J$500,B1247)&gt;0,1,0)</f>
        <v>0</v>
      </c>
      <c r="Q1247" s="10" t="b">
        <f aca="false">--(COUNTIFS(
   [1]Fichajes_Realizados!A$2:A$5000,A1247,
   [1]Fichajes_Realizados!G$2:G$5000,$X$3
)&gt;0)</f>
        <v>0</v>
      </c>
      <c r="R1247" s="5" t="n">
        <f aca="false">_xlfn.XLOOKUP(C1247, [1]Estado_Equipos!A$2:A$500, [1]Estado_Equipos!J$2:J$500, "")</f>
        <v>70</v>
      </c>
      <c r="S1247" s="5" t="n">
        <f aca="false">IF(H1247&lt;=16,1.45,
IF(H1247&gt;=41,0.3,
CHOOSE(ROUNDDOWN((H1247-16)/2,0)+1,
1.45,1.38,1.3,1.23,1.17,1.15,1.12,1.05,0.95,0.8,0.6,0.4,0.3)))</f>
        <v>1.38</v>
      </c>
      <c r="T1247" s="5" t="n">
        <f aca="false">CHOOSE(N1247+1,1.2,1,0.85,0.7)</f>
        <v>1.2</v>
      </c>
      <c r="U1247" s="5" t="n">
        <f aca="false">IF(F1247="PO",0.6,
IF(F1247="CT",0.75,
IF(F1247="LI",0.8,
IF(F1247="LD",0.8,
IF(F1247="MCD",0.85,
IF(F1247="MC",0.95,
IF(F1247="MO",1.05,
IF(F1247="EI",1.1,
IF(F1247="ED",1.1,
IF(F1247="SD",1.15,
IF(F1247="DC",1.2,0)))))))))))</f>
        <v>1.2</v>
      </c>
    </row>
    <row r="1248" customFormat="false" ht="16.4" hidden="false" customHeight="false" outlineLevel="0" collapsed="false">
      <c r="A1248" s="1" t="n">
        <v>1247</v>
      </c>
      <c r="B1248" s="5" t="str">
        <f aca="false">[1]Base_Jugadores!B1248</f>
        <v>Caleb Ekuban</v>
      </c>
      <c r="C1248" s="5" t="str">
        <f aca="false">IFERROR(
   _xlfn.XLOOKUP(VALUE(A1248),[1]Fichajes_Realizados!A$2:A$50000,[1]Fichajes_Realizados!D$2:D$50000,,0,-1),
   _xlfn.XLOOKUP(VALUE(A1248),[1]Base_Jugadores!A$2:A$50000,[1]Base_Jugadores!C$2:C$50000)
)</f>
        <v>Génova</v>
      </c>
      <c r="D1248" s="5" t="str">
        <f aca="false">[1]Base_Jugadores!D1248</f>
        <v>Ghana</v>
      </c>
      <c r="E1248" s="3"/>
      <c r="F1248" s="5" t="str">
        <f aca="false">[1]Base_Jugadores!E1248</f>
        <v>DC</v>
      </c>
      <c r="G1248" s="5" t="n">
        <f aca="false">[1]Base_Jugadores!F1248</f>
        <v>71</v>
      </c>
      <c r="H1248" s="5" t="n">
        <f aca="false">[1]Base_Jugadores!G1248</f>
        <v>31</v>
      </c>
      <c r="I1248" s="7" t="n">
        <f aca="false" t="array" ref="I1248:I1248">_xlfn.XLOOKUP(G1248,{55;56;57;58;59;60;61;62;63;64;65;66;67;68;69;70;71;72;73;74;75;76;77;78;79;80;81;82;83;84;85;86;87;88;89;90;91;92;93;94;95;96;97;98;99},{100000;130000;160000;190000;220000;250000;300000;350000;400000;450000;500000;600000;700000;800000;900000;1000000;1500000;2000000;3000000;4000000;5000000;6500000;8000000;10000000;12500000;15000000;20000000;25000000;30000000;35000000;40000000;55000000;70000000;80000000;90000000;110000000;130000000;160000000;190000000;220000000;250000000;280000000;310000000;340000000;400000000})</f>
        <v>1500000</v>
      </c>
      <c r="J1248" s="7" t="n">
        <f aca="false">I1248*S1248*T1248*U1248</f>
        <v>2268000</v>
      </c>
      <c r="K1248" s="3"/>
      <c r="L1248" s="3"/>
      <c r="M1248" s="3"/>
      <c r="N1248" s="9" t="n">
        <v>0</v>
      </c>
      <c r="O1248" s="4" t="n">
        <v>0</v>
      </c>
      <c r="P1248" s="5" t="n">
        <f aca="false">IF(COUNTIF([1]Base_Jugadores!J$2:J$500,B1248)&gt;0,1,0)</f>
        <v>0</v>
      </c>
      <c r="Q1248" s="10" t="b">
        <f aca="false">--(COUNTIFS(
   [1]Fichajes_Realizados!A$2:A$5000,A1248,
   [1]Fichajes_Realizados!G$2:G$5000,$X$3
)&gt;0)</f>
        <v>0</v>
      </c>
      <c r="R1248" s="5" t="n">
        <f aca="false">_xlfn.XLOOKUP(C1248, [1]Estado_Equipos!A$2:A$500, [1]Estado_Equipos!J$2:J$500, "")</f>
        <v>70</v>
      </c>
      <c r="S1248" s="5" t="n">
        <f aca="false">IF(H1248&lt;=16,1.45,
IF(H1248&gt;=41,0.3,
CHOOSE(ROUNDDOWN((H1248-16)/2,0)+1,
1.45,1.38,1.3,1.23,1.17,1.15,1.12,1.05,0.95,0.8,0.6,0.4,0.3)))</f>
        <v>1.05</v>
      </c>
      <c r="T1248" s="5" t="n">
        <f aca="false">CHOOSE(N1248+1,1.2,1,0.85,0.7)</f>
        <v>1.2</v>
      </c>
      <c r="U1248" s="5" t="n">
        <f aca="false">IF(F1248="PO",0.6,
IF(F1248="CT",0.75,
IF(F1248="LI",0.8,
IF(F1248="LD",0.8,
IF(F1248="MCD",0.85,
IF(F1248="MC",0.95,
IF(F1248="MO",1.05,
IF(F1248="EI",1.1,
IF(F1248="ED",1.1,
IF(F1248="SD",1.15,
IF(F1248="DC",1.2,0)))))))))))</f>
        <v>1.2</v>
      </c>
    </row>
    <row r="1249" customFormat="false" ht="16.4" hidden="false" customHeight="false" outlineLevel="0" collapsed="false">
      <c r="A1249" s="1" t="n">
        <v>1248</v>
      </c>
      <c r="B1249" s="5" t="str">
        <f aca="false">[1]Base_Jugadores!B1249</f>
        <v>Lorenzo Montipò</v>
      </c>
      <c r="C1249" s="5" t="str">
        <f aca="false">IFERROR(
   _xlfn.XLOOKUP(VALUE(A1249),[1]Fichajes_Realizados!A$2:A$50000,[1]Fichajes_Realizados!D$2:D$50000,,0,-1),
   _xlfn.XLOOKUP(VALUE(A1249),[1]Base_Jugadores!A$2:A$50000,[1]Base_Jugadores!C$2:C$50000)
)</f>
        <v>Hellas Verona</v>
      </c>
      <c r="D1249" s="5" t="str">
        <f aca="false">[1]Base_Jugadores!D1249</f>
        <v>Italia</v>
      </c>
      <c r="E1249" s="3"/>
      <c r="F1249" s="5" t="str">
        <f aca="false">[1]Base_Jugadores!E1249</f>
        <v>PO</v>
      </c>
      <c r="G1249" s="5" t="n">
        <f aca="false">[1]Base_Jugadores!F1249</f>
        <v>77</v>
      </c>
      <c r="H1249" s="5" t="n">
        <f aca="false">[1]Base_Jugadores!G1249</f>
        <v>29</v>
      </c>
      <c r="I1249" s="7" t="n">
        <f aca="false" t="array" ref="I1249:I1249">_xlfn.XLOOKUP(G1249,{55;56;57;58;59;60;61;62;63;64;65;66;67;68;69;70;71;72;73;74;75;76;77;78;79;80;81;82;83;84;85;86;87;88;89;90;91;92;93;94;95;96;97;98;99},{100000;130000;160000;190000;220000;250000;300000;350000;400000;450000;500000;600000;700000;800000;900000;1000000;1500000;2000000;3000000;4000000;5000000;6500000;8000000;10000000;12500000;15000000;20000000;25000000;30000000;35000000;40000000;55000000;70000000;80000000;90000000;110000000;130000000;160000000;190000000;220000000;250000000;280000000;310000000;340000000;400000000})</f>
        <v>8000000</v>
      </c>
      <c r="J1249" s="7" t="n">
        <f aca="false">I1249*S1249*T1249*U1249</f>
        <v>6451200</v>
      </c>
      <c r="K1249" s="3"/>
      <c r="L1249" s="3"/>
      <c r="M1249" s="3"/>
      <c r="N1249" s="9" t="n">
        <v>0</v>
      </c>
      <c r="O1249" s="4" t="n">
        <v>0</v>
      </c>
      <c r="P1249" s="5" t="n">
        <f aca="false">IF(COUNTIF([1]Base_Jugadores!J$2:J$500,B1249)&gt;0,1,0)</f>
        <v>0</v>
      </c>
      <c r="Q1249" s="10" t="b">
        <f aca="false">--(COUNTIFS(
   [1]Fichajes_Realizados!A$2:A$5000,A1249,
   [1]Fichajes_Realizados!G$2:G$5000,$X$3
)&gt;0)</f>
        <v>0</v>
      </c>
      <c r="R1249" s="5" t="n">
        <f aca="false">_xlfn.XLOOKUP(C1249, [1]Estado_Equipos!A$2:A$500, [1]Estado_Equipos!J$2:J$500, "")</f>
        <v>71</v>
      </c>
      <c r="S1249" s="5" t="n">
        <f aca="false">IF(H1249&lt;=16,1.45,
IF(H1249&gt;=41,0.3,
CHOOSE(ROUNDDOWN((H1249-16)/2,0)+1,
1.45,1.38,1.3,1.23,1.17,1.15,1.12,1.05,0.95,0.8,0.6,0.4,0.3)))</f>
        <v>1.12</v>
      </c>
      <c r="T1249" s="5" t="n">
        <f aca="false">CHOOSE(N1249+1,1.2,1,0.85,0.7)</f>
        <v>1.2</v>
      </c>
      <c r="U1249" s="5" t="n">
        <f aca="false">IF(F1249="PO",0.6,
IF(F1249="CT",0.75,
IF(F1249="LI",0.8,
IF(F1249="LD",0.8,
IF(F1249="MCD",0.85,
IF(F1249="MC",0.95,
IF(F1249="MO",1.05,
IF(F1249="EI",1.1,
IF(F1249="ED",1.1,
IF(F1249="SD",1.15,
IF(F1249="DC",1.2,0)))))))))))</f>
        <v>0.6</v>
      </c>
    </row>
    <row r="1250" customFormat="false" ht="16.4" hidden="false" customHeight="false" outlineLevel="0" collapsed="false">
      <c r="A1250" s="1" t="n">
        <v>1249</v>
      </c>
      <c r="B1250" s="5" t="str">
        <f aca="false">[1]Base_Jugadores!B1250</f>
        <v>Simone Perilli</v>
      </c>
      <c r="C1250" s="5" t="str">
        <f aca="false">IFERROR(
   _xlfn.XLOOKUP(VALUE(A1250),[1]Fichajes_Realizados!A$2:A$50000,[1]Fichajes_Realizados!D$2:D$50000,,0,-1),
   _xlfn.XLOOKUP(VALUE(A1250),[1]Base_Jugadores!A$2:A$50000,[1]Base_Jugadores!C$2:C$50000)
)</f>
        <v>Hellas Verona</v>
      </c>
      <c r="D1250" s="5" t="str">
        <f aca="false">[1]Base_Jugadores!D1250</f>
        <v>Italia</v>
      </c>
      <c r="E1250" s="3"/>
      <c r="F1250" s="5" t="str">
        <f aca="false">[1]Base_Jugadores!E1250</f>
        <v>PO</v>
      </c>
      <c r="G1250" s="5" t="n">
        <f aca="false">[1]Base_Jugadores!F1250</f>
        <v>67</v>
      </c>
      <c r="H1250" s="5" t="n">
        <f aca="false">[1]Base_Jugadores!G1250</f>
        <v>30</v>
      </c>
      <c r="I1250" s="7" t="n">
        <f aca="false" t="array" ref="I1250:I1250">_xlfn.XLOOKUP(G1250,{55;56;57;58;59;60;61;62;63;64;65;66;67;68;69;70;71;72;73;74;75;76;77;78;79;80;81;82;83;84;85;86;87;88;89;90;91;92;93;94;95;96;97;98;99},{100000;130000;160000;190000;220000;250000;300000;350000;400000;450000;500000;600000;700000;800000;900000;1000000;1500000;2000000;3000000;4000000;5000000;6500000;8000000;10000000;12500000;15000000;20000000;25000000;30000000;35000000;40000000;55000000;70000000;80000000;90000000;110000000;130000000;160000000;190000000;220000000;250000000;280000000;310000000;340000000;400000000})</f>
        <v>700000</v>
      </c>
      <c r="J1250" s="7" t="n">
        <f aca="false">I1250*S1250*T1250*U1250</f>
        <v>529200</v>
      </c>
      <c r="K1250" s="3"/>
      <c r="L1250" s="3"/>
      <c r="M1250" s="3"/>
      <c r="N1250" s="9" t="n">
        <v>0</v>
      </c>
      <c r="O1250" s="4" t="n">
        <v>0</v>
      </c>
      <c r="P1250" s="5" t="n">
        <f aca="false">IF(COUNTIF([1]Base_Jugadores!J$2:J$500,B1250)&gt;0,1,0)</f>
        <v>0</v>
      </c>
      <c r="Q1250" s="10" t="b">
        <f aca="false">--(COUNTIFS(
   [1]Fichajes_Realizados!A$2:A$5000,A1250,
   [1]Fichajes_Realizados!G$2:G$5000,$X$3
)&gt;0)</f>
        <v>0</v>
      </c>
      <c r="R1250" s="5" t="n">
        <f aca="false">_xlfn.XLOOKUP(C1250, [1]Estado_Equipos!A$2:A$500, [1]Estado_Equipos!J$2:J$500, "")</f>
        <v>71</v>
      </c>
      <c r="S1250" s="5" t="n">
        <f aca="false">IF(H1250&lt;=16,1.45,
IF(H1250&gt;=41,0.3,
CHOOSE(ROUNDDOWN((H1250-16)/2,0)+1,
1.45,1.38,1.3,1.23,1.17,1.15,1.12,1.05,0.95,0.8,0.6,0.4,0.3)))</f>
        <v>1.05</v>
      </c>
      <c r="T1250" s="5" t="n">
        <f aca="false">CHOOSE(N1250+1,1.2,1,0.85,0.7)</f>
        <v>1.2</v>
      </c>
      <c r="U1250" s="5" t="n">
        <f aca="false">IF(F1250="PO",0.6,
IF(F1250="CT",0.75,
IF(F1250="LI",0.8,
IF(F1250="LD",0.8,
IF(F1250="MCD",0.85,
IF(F1250="MC",0.95,
IF(F1250="MO",1.05,
IF(F1250="EI",1.1,
IF(F1250="ED",1.1,
IF(F1250="SD",1.15,
IF(F1250="DC",1.2,0)))))))))))</f>
        <v>0.6</v>
      </c>
    </row>
    <row r="1251" customFormat="false" ht="16.4" hidden="false" customHeight="false" outlineLevel="0" collapsed="false">
      <c r="A1251" s="1" t="n">
        <v>1250</v>
      </c>
      <c r="B1251" s="5" t="str">
        <f aca="false">[1]Base_Jugadores!B1251</f>
        <v>Mattia Chiesa</v>
      </c>
      <c r="C1251" s="5" t="str">
        <f aca="false">IFERROR(
   _xlfn.XLOOKUP(VALUE(A1251),[1]Fichajes_Realizados!A$2:A$50000,[1]Fichajes_Realizados!D$2:D$50000,,0,-1),
   _xlfn.XLOOKUP(VALUE(A1251),[1]Base_Jugadores!A$2:A$50000,[1]Base_Jugadores!C$2:C$50000)
)</f>
        <v>Hellas Verona</v>
      </c>
      <c r="D1251" s="5" t="str">
        <f aca="false">[1]Base_Jugadores!D1251</f>
        <v>Italia</v>
      </c>
      <c r="E1251" s="3"/>
      <c r="F1251" s="5" t="str">
        <f aca="false">[1]Base_Jugadores!E1251</f>
        <v>PO</v>
      </c>
      <c r="G1251" s="5" t="n">
        <f aca="false">[1]Base_Jugadores!F1251</f>
        <v>66</v>
      </c>
      <c r="H1251" s="5" t="n">
        <f aca="false">[1]Base_Jugadores!G1251</f>
        <v>25</v>
      </c>
      <c r="I1251" s="7" t="n">
        <f aca="false" t="array" ref="I1251:I1251">_xlfn.XLOOKUP(G1251,{55;56;57;58;59;60;61;62;63;64;65;66;67;68;69;70;71;72;73;74;75;76;77;78;79;80;81;82;83;84;85;86;87;88;89;90;91;92;93;94;95;96;97;98;99},{100000;130000;160000;190000;220000;250000;300000;350000;400000;450000;500000;600000;700000;800000;900000;1000000;1500000;2000000;3000000;4000000;5000000;6500000;8000000;10000000;12500000;15000000;20000000;25000000;30000000;35000000;40000000;55000000;70000000;80000000;90000000;110000000;130000000;160000000;190000000;220000000;250000000;280000000;310000000;340000000;400000000})</f>
        <v>600000</v>
      </c>
      <c r="J1251" s="7" t="n">
        <f aca="false">I1251*S1251*T1251*U1251</f>
        <v>505440</v>
      </c>
      <c r="K1251" s="3"/>
      <c r="L1251" s="3"/>
      <c r="M1251" s="3"/>
      <c r="N1251" s="9" t="n">
        <v>0</v>
      </c>
      <c r="O1251" s="4" t="n">
        <v>0</v>
      </c>
      <c r="P1251" s="5" t="n">
        <f aca="false">IF(COUNTIF([1]Base_Jugadores!J$2:J$500,B1251)&gt;0,1,0)</f>
        <v>0</v>
      </c>
      <c r="Q1251" s="10" t="b">
        <f aca="false">--(COUNTIFS(
   [1]Fichajes_Realizados!A$2:A$5000,A1251,
   [1]Fichajes_Realizados!G$2:G$5000,$X$3
)&gt;0)</f>
        <v>0</v>
      </c>
      <c r="R1251" s="5" t="n">
        <f aca="false">_xlfn.XLOOKUP(C1251, [1]Estado_Equipos!A$2:A$500, [1]Estado_Equipos!J$2:J$500, "")</f>
        <v>71</v>
      </c>
      <c r="S1251" s="5" t="n">
        <f aca="false">IF(H1251&lt;=16,1.45,
IF(H1251&gt;=41,0.3,
CHOOSE(ROUNDDOWN((H1251-16)/2,0)+1,
1.45,1.38,1.3,1.23,1.17,1.15,1.12,1.05,0.95,0.8,0.6,0.4,0.3)))</f>
        <v>1.17</v>
      </c>
      <c r="T1251" s="5" t="n">
        <f aca="false">CHOOSE(N1251+1,1.2,1,0.85,0.7)</f>
        <v>1.2</v>
      </c>
      <c r="U1251" s="5" t="n">
        <f aca="false">IF(F1251="PO",0.6,
IF(F1251="CT",0.75,
IF(F1251="LI",0.8,
IF(F1251="LD",0.8,
IF(F1251="MCD",0.85,
IF(F1251="MC",0.95,
IF(F1251="MO",1.05,
IF(F1251="EI",1.1,
IF(F1251="ED",1.1,
IF(F1251="SD",1.15,
IF(F1251="DC",1.2,0)))))))))))</f>
        <v>0.6</v>
      </c>
    </row>
    <row r="1252" customFormat="false" ht="16.4" hidden="false" customHeight="false" outlineLevel="0" collapsed="false">
      <c r="A1252" s="1" t="n">
        <v>1251</v>
      </c>
      <c r="B1252" s="5" t="str">
        <f aca="false">[1]Base_Jugadores!B1252</f>
        <v>Victor Nelsson</v>
      </c>
      <c r="C1252" s="5" t="str">
        <f aca="false">IFERROR(
   _xlfn.XLOOKUP(VALUE(A1252),[1]Fichajes_Realizados!A$2:A$50000,[1]Fichajes_Realizados!D$2:D$50000,,0,-1),
   _xlfn.XLOOKUP(VALUE(A1252),[1]Base_Jugadores!A$2:A$50000,[1]Base_Jugadores!C$2:C$50000)
)</f>
        <v>Hellas Verona</v>
      </c>
      <c r="D1252" s="5" t="str">
        <f aca="false">[1]Base_Jugadores!D1252</f>
        <v>Dinamarca</v>
      </c>
      <c r="E1252" s="3"/>
      <c r="F1252" s="5" t="str">
        <f aca="false">[1]Base_Jugadores!E1252</f>
        <v>CT</v>
      </c>
      <c r="G1252" s="5" t="n">
        <f aca="false">[1]Base_Jugadores!F1252</f>
        <v>77</v>
      </c>
      <c r="H1252" s="5" t="n">
        <f aca="false">[1]Base_Jugadores!G1252</f>
        <v>27</v>
      </c>
      <c r="I1252" s="7" t="n">
        <f aca="false" t="array" ref="I1252:I1252">_xlfn.XLOOKUP(G1252,{55;56;57;58;59;60;61;62;63;64;65;66;67;68;69;70;71;72;73;74;75;76;77;78;79;80;81;82;83;84;85;86;87;88;89;90;91;92;93;94;95;96;97;98;99},{100000;130000;160000;190000;220000;250000;300000;350000;400000;450000;500000;600000;700000;800000;900000;1000000;1500000;2000000;3000000;4000000;5000000;6500000;8000000;10000000;12500000;15000000;20000000;25000000;30000000;35000000;40000000;55000000;70000000;80000000;90000000;110000000;130000000;160000000;190000000;220000000;250000000;280000000;310000000;340000000;400000000})</f>
        <v>8000000</v>
      </c>
      <c r="J1252" s="7" t="n">
        <f aca="false">I1252*S1252*T1252*U1252</f>
        <v>8280000</v>
      </c>
      <c r="K1252" s="3"/>
      <c r="L1252" s="3"/>
      <c r="M1252" s="3"/>
      <c r="N1252" s="9" t="n">
        <v>0</v>
      </c>
      <c r="O1252" s="4" t="n">
        <v>0</v>
      </c>
      <c r="P1252" s="5" t="n">
        <f aca="false">IF(COUNTIF([1]Base_Jugadores!J$2:J$500,B1252)&gt;0,1,0)</f>
        <v>0</v>
      </c>
      <c r="Q1252" s="10" t="b">
        <f aca="false">--(COUNTIFS(
   [1]Fichajes_Realizados!A$2:A$5000,A1252,
   [1]Fichajes_Realizados!G$2:G$5000,$X$3
)&gt;0)</f>
        <v>0</v>
      </c>
      <c r="R1252" s="5" t="n">
        <f aca="false">_xlfn.XLOOKUP(C1252, [1]Estado_Equipos!A$2:A$500, [1]Estado_Equipos!J$2:J$500, "")</f>
        <v>71</v>
      </c>
      <c r="S1252" s="5" t="n">
        <f aca="false">IF(H1252&lt;=16,1.45,
IF(H1252&gt;=41,0.3,
CHOOSE(ROUNDDOWN((H1252-16)/2,0)+1,
1.45,1.38,1.3,1.23,1.17,1.15,1.12,1.05,0.95,0.8,0.6,0.4,0.3)))</f>
        <v>1.15</v>
      </c>
      <c r="T1252" s="5" t="n">
        <f aca="false">CHOOSE(N1252+1,1.2,1,0.85,0.7)</f>
        <v>1.2</v>
      </c>
      <c r="U1252" s="5" t="n">
        <f aca="false">IF(F1252="PO",0.6,
IF(F1252="CT",0.75,
IF(F1252="LI",0.8,
IF(F1252="LD",0.8,
IF(F1252="MCD",0.85,
IF(F1252="MC",0.95,
IF(F1252="MO",1.05,
IF(F1252="EI",1.1,
IF(F1252="ED",1.1,
IF(F1252="SD",1.15,
IF(F1252="DC",1.2,0)))))))))))</f>
        <v>0.75</v>
      </c>
    </row>
    <row r="1253" customFormat="false" ht="16.4" hidden="false" customHeight="false" outlineLevel="0" collapsed="false">
      <c r="A1253" s="1" t="n">
        <v>1252</v>
      </c>
      <c r="B1253" s="5" t="str">
        <f aca="false">[1]Base_Jugadores!B1253</f>
        <v>Armel Bella-Kotchap</v>
      </c>
      <c r="C1253" s="5" t="str">
        <f aca="false">IFERROR(
   _xlfn.XLOOKUP(VALUE(A1253),[1]Fichajes_Realizados!A$2:A$50000,[1]Fichajes_Realizados!D$2:D$50000,,0,-1),
   _xlfn.XLOOKUP(VALUE(A1253),[1]Base_Jugadores!A$2:A$50000,[1]Base_Jugadores!C$2:C$50000)
)</f>
        <v>Hellas Verona</v>
      </c>
      <c r="D1253" s="5" t="str">
        <f aca="false">[1]Base_Jugadores!D1253</f>
        <v>Alemania</v>
      </c>
      <c r="E1253" s="3"/>
      <c r="F1253" s="5" t="str">
        <f aca="false">[1]Base_Jugadores!E1253</f>
        <v>CT</v>
      </c>
      <c r="G1253" s="5" t="n">
        <f aca="false">[1]Base_Jugadores!F1253</f>
        <v>74</v>
      </c>
      <c r="H1253" s="5" t="n">
        <f aca="false">[1]Base_Jugadores!G1253</f>
        <v>24</v>
      </c>
      <c r="I1253" s="7" t="n">
        <f aca="false" t="array" ref="I1253:I1253">_xlfn.XLOOKUP(G1253,{55;56;57;58;59;60;61;62;63;64;65;66;67;68;69;70;71;72;73;74;75;76;77;78;79;80;81;82;83;84;85;86;87;88;89;90;91;92;93;94;95;96;97;98;99},{100000;130000;160000;190000;220000;250000;300000;350000;400000;450000;500000;600000;700000;800000;900000;1000000;1500000;2000000;3000000;4000000;5000000;6500000;8000000;10000000;12500000;15000000;20000000;25000000;30000000;35000000;40000000;55000000;70000000;80000000;90000000;110000000;130000000;160000000;190000000;220000000;250000000;280000000;310000000;340000000;400000000})</f>
        <v>4000000</v>
      </c>
      <c r="J1253" s="7" t="n">
        <f aca="false">I1253*S1253*T1253*U1253</f>
        <v>4212000</v>
      </c>
      <c r="K1253" s="3"/>
      <c r="L1253" s="3"/>
      <c r="M1253" s="3"/>
      <c r="N1253" s="9" t="n">
        <v>0</v>
      </c>
      <c r="O1253" s="4" t="n">
        <v>0</v>
      </c>
      <c r="P1253" s="5" t="n">
        <f aca="false">IF(COUNTIF([1]Base_Jugadores!J$2:J$500,B1253)&gt;0,1,0)</f>
        <v>0</v>
      </c>
      <c r="Q1253" s="10" t="b">
        <f aca="false">--(COUNTIFS(
   [1]Fichajes_Realizados!A$2:A$5000,A1253,
   [1]Fichajes_Realizados!G$2:G$5000,$X$3
)&gt;0)</f>
        <v>0</v>
      </c>
      <c r="R1253" s="5" t="n">
        <f aca="false">_xlfn.XLOOKUP(C1253, [1]Estado_Equipos!A$2:A$500, [1]Estado_Equipos!J$2:J$500, "")</f>
        <v>71</v>
      </c>
      <c r="S1253" s="5" t="n">
        <f aca="false">IF(H1253&lt;=16,1.45,
IF(H1253&gt;=41,0.3,
CHOOSE(ROUNDDOWN((H1253-16)/2,0)+1,
1.45,1.38,1.3,1.23,1.17,1.15,1.12,1.05,0.95,0.8,0.6,0.4,0.3)))</f>
        <v>1.17</v>
      </c>
      <c r="T1253" s="5" t="n">
        <f aca="false">CHOOSE(N1253+1,1.2,1,0.85,0.7)</f>
        <v>1.2</v>
      </c>
      <c r="U1253" s="5" t="n">
        <f aca="false">IF(F1253="PO",0.6,
IF(F1253="CT",0.75,
IF(F1253="LI",0.8,
IF(F1253="LD",0.8,
IF(F1253="MCD",0.85,
IF(F1253="MC",0.95,
IF(F1253="MO",1.05,
IF(F1253="EI",1.1,
IF(F1253="ED",1.1,
IF(F1253="SD",1.15,
IF(F1253="DC",1.2,0)))))))))))</f>
        <v>0.75</v>
      </c>
    </row>
    <row r="1254" customFormat="false" ht="16.4" hidden="false" customHeight="false" outlineLevel="0" collapsed="false">
      <c r="A1254" s="1" t="n">
        <v>1253</v>
      </c>
      <c r="B1254" s="5" t="str">
        <f aca="false">[1]Base_Jugadores!B1254</f>
        <v>Nicolás Valentini</v>
      </c>
      <c r="C1254" s="5" t="str">
        <f aca="false">IFERROR(
   _xlfn.XLOOKUP(VALUE(A1254),[1]Fichajes_Realizados!A$2:A$50000,[1]Fichajes_Realizados!D$2:D$50000,,0,-1),
   _xlfn.XLOOKUP(VALUE(A1254),[1]Base_Jugadores!A$2:A$50000,[1]Base_Jugadores!C$2:C$50000)
)</f>
        <v>Hellas Verona</v>
      </c>
      <c r="D1254" s="5" t="str">
        <f aca="false">[1]Base_Jugadores!D1254</f>
        <v>Argentina</v>
      </c>
      <c r="E1254" s="3"/>
      <c r="F1254" s="5" t="str">
        <f aca="false">[1]Base_Jugadores!E1254</f>
        <v>CT</v>
      </c>
      <c r="G1254" s="5" t="n">
        <f aca="false">[1]Base_Jugadores!F1254</f>
        <v>72</v>
      </c>
      <c r="H1254" s="5" t="n">
        <f aca="false">[1]Base_Jugadores!G1254</f>
        <v>24</v>
      </c>
      <c r="I1254" s="7" t="n">
        <f aca="false" t="array" ref="I1254:I1254">_xlfn.XLOOKUP(G1254,{55;56;57;58;59;60;61;62;63;64;65;66;67;68;69;70;71;72;73;74;75;76;77;78;79;80;81;82;83;84;85;86;87;88;89;90;91;92;93;94;95;96;97;98;99},{100000;130000;160000;190000;220000;250000;300000;350000;400000;450000;500000;600000;700000;800000;900000;1000000;1500000;2000000;3000000;4000000;5000000;6500000;8000000;10000000;12500000;15000000;20000000;25000000;30000000;35000000;40000000;55000000;70000000;80000000;90000000;110000000;130000000;160000000;190000000;220000000;250000000;280000000;310000000;340000000;400000000})</f>
        <v>2000000</v>
      </c>
      <c r="J1254" s="7" t="n">
        <f aca="false">I1254*S1254*T1254*U1254</f>
        <v>2106000</v>
      </c>
      <c r="K1254" s="3"/>
      <c r="L1254" s="3"/>
      <c r="M1254" s="3"/>
      <c r="N1254" s="9" t="n">
        <v>0</v>
      </c>
      <c r="O1254" s="4" t="n">
        <v>0</v>
      </c>
      <c r="P1254" s="5" t="n">
        <f aca="false">IF(COUNTIF([1]Base_Jugadores!J$2:J$500,B1254)&gt;0,1,0)</f>
        <v>0</v>
      </c>
      <c r="Q1254" s="10" t="b">
        <f aca="false">--(COUNTIFS(
   [1]Fichajes_Realizados!A$2:A$5000,A1254,
   [1]Fichajes_Realizados!G$2:G$5000,$X$3
)&gt;0)</f>
        <v>0</v>
      </c>
      <c r="R1254" s="5" t="n">
        <f aca="false">_xlfn.XLOOKUP(C1254, [1]Estado_Equipos!A$2:A$500, [1]Estado_Equipos!J$2:J$500, "")</f>
        <v>71</v>
      </c>
      <c r="S1254" s="5" t="n">
        <f aca="false">IF(H1254&lt;=16,1.45,
IF(H1254&gt;=41,0.3,
CHOOSE(ROUNDDOWN((H1254-16)/2,0)+1,
1.45,1.38,1.3,1.23,1.17,1.15,1.12,1.05,0.95,0.8,0.6,0.4,0.3)))</f>
        <v>1.17</v>
      </c>
      <c r="T1254" s="5" t="n">
        <f aca="false">CHOOSE(N1254+1,1.2,1,0.85,0.7)</f>
        <v>1.2</v>
      </c>
      <c r="U1254" s="5" t="n">
        <f aca="false">IF(F1254="PO",0.6,
IF(F1254="CT",0.75,
IF(F1254="LI",0.8,
IF(F1254="LD",0.8,
IF(F1254="MCD",0.85,
IF(F1254="MC",0.95,
IF(F1254="MO",1.05,
IF(F1254="EI",1.1,
IF(F1254="ED",1.1,
IF(F1254="SD",1.15,
IF(F1254="DC",1.2,0)))))))))))</f>
        <v>0.75</v>
      </c>
    </row>
    <row r="1255" customFormat="false" ht="16.4" hidden="false" customHeight="false" outlineLevel="0" collapsed="false">
      <c r="A1255" s="1" t="n">
        <v>1254</v>
      </c>
      <c r="B1255" s="5" t="str">
        <f aca="false">[1]Base_Jugadores!B1255</f>
        <v>Unai Núñez</v>
      </c>
      <c r="C1255" s="5" t="str">
        <f aca="false">IFERROR(
   _xlfn.XLOOKUP(VALUE(A1255),[1]Fichajes_Realizados!A$2:A$50000,[1]Fichajes_Realizados!D$2:D$50000,,0,-1),
   _xlfn.XLOOKUP(VALUE(A1255),[1]Base_Jugadores!A$2:A$50000,[1]Base_Jugadores!C$2:C$50000)
)</f>
        <v>Hellas Verona</v>
      </c>
      <c r="D1255" s="5" t="str">
        <f aca="false">[1]Base_Jugadores!D1255</f>
        <v>España</v>
      </c>
      <c r="E1255" s="3"/>
      <c r="F1255" s="5" t="str">
        <f aca="false">[1]Base_Jugadores!E1255</f>
        <v>CT</v>
      </c>
      <c r="G1255" s="5" t="n">
        <f aca="false">[1]Base_Jugadores!F1255</f>
        <v>77</v>
      </c>
      <c r="H1255" s="5" t="n">
        <f aca="false">[1]Base_Jugadores!G1255</f>
        <v>28</v>
      </c>
      <c r="I1255" s="7" t="n">
        <f aca="false" t="array" ref="I1255:I1255">_xlfn.XLOOKUP(G1255,{55;56;57;58;59;60;61;62;63;64;65;66;67;68;69;70;71;72;73;74;75;76;77;78;79;80;81;82;83;84;85;86;87;88;89;90;91;92;93;94;95;96;97;98;99},{100000;130000;160000;190000;220000;250000;300000;350000;400000;450000;500000;600000;700000;800000;900000;1000000;1500000;2000000;3000000;4000000;5000000;6500000;8000000;10000000;12500000;15000000;20000000;25000000;30000000;35000000;40000000;55000000;70000000;80000000;90000000;110000000;130000000;160000000;190000000;220000000;250000000;280000000;310000000;340000000;400000000})</f>
        <v>8000000</v>
      </c>
      <c r="J1255" s="7" t="n">
        <f aca="false">I1255*S1255*T1255*U1255</f>
        <v>8064000</v>
      </c>
      <c r="K1255" s="3"/>
      <c r="L1255" s="3"/>
      <c r="M1255" s="3"/>
      <c r="N1255" s="9" t="n">
        <v>0</v>
      </c>
      <c r="O1255" s="4" t="n">
        <v>0</v>
      </c>
      <c r="P1255" s="5" t="n">
        <f aca="false">IF(COUNTIF([1]Base_Jugadores!J$2:J$500,B1255)&gt;0,1,0)</f>
        <v>1</v>
      </c>
      <c r="Q1255" s="10" t="b">
        <f aca="false">--(COUNTIFS(
   [1]Fichajes_Realizados!A$2:A$5000,A1255,
   [1]Fichajes_Realizados!G$2:G$5000,$X$3
)&gt;0)</f>
        <v>0</v>
      </c>
      <c r="R1255" s="5" t="n">
        <f aca="false">_xlfn.XLOOKUP(C1255, [1]Estado_Equipos!A$2:A$500, [1]Estado_Equipos!J$2:J$500, "")</f>
        <v>71</v>
      </c>
      <c r="S1255" s="5" t="n">
        <f aca="false">IF(H1255&lt;=16,1.45,
IF(H1255&gt;=41,0.3,
CHOOSE(ROUNDDOWN((H1255-16)/2,0)+1,
1.45,1.38,1.3,1.23,1.17,1.15,1.12,1.05,0.95,0.8,0.6,0.4,0.3)))</f>
        <v>1.12</v>
      </c>
      <c r="T1255" s="5" t="n">
        <f aca="false">CHOOSE(N1255+1,1.2,1,0.85,0.7)</f>
        <v>1.2</v>
      </c>
      <c r="U1255" s="5" t="n">
        <f aca="false">IF(F1255="PO",0.6,
IF(F1255="CT",0.75,
IF(F1255="LI",0.8,
IF(F1255="LD",0.8,
IF(F1255="MCD",0.85,
IF(F1255="MC",0.95,
IF(F1255="MO",1.05,
IF(F1255="EI",1.1,
IF(F1255="ED",1.1,
IF(F1255="SD",1.15,
IF(F1255="DC",1.2,0)))))))))))</f>
        <v>0.75</v>
      </c>
    </row>
    <row r="1256" customFormat="false" ht="16.4" hidden="false" customHeight="false" outlineLevel="0" collapsed="false">
      <c r="A1256" s="1" t="n">
        <v>1255</v>
      </c>
      <c r="B1256" s="5" t="str">
        <f aca="false">[1]Base_Jugadores!B1256</f>
        <v>Tobias Slotsager</v>
      </c>
      <c r="C1256" s="5" t="str">
        <f aca="false">IFERROR(
   _xlfn.XLOOKUP(VALUE(A1256),[1]Fichajes_Realizados!A$2:A$50000,[1]Fichajes_Realizados!D$2:D$50000,,0,-1),
   _xlfn.XLOOKUP(VALUE(A1256),[1]Base_Jugadores!A$2:A$50000,[1]Base_Jugadores!C$2:C$50000)
)</f>
        <v>Hellas Verona</v>
      </c>
      <c r="D1256" s="5" t="str">
        <f aca="false">[1]Base_Jugadores!D1256</f>
        <v>Dinamarca</v>
      </c>
      <c r="E1256" s="3"/>
      <c r="F1256" s="5" t="str">
        <f aca="false">[1]Base_Jugadores!E1256</f>
        <v>CT</v>
      </c>
      <c r="G1256" s="5" t="n">
        <f aca="false">[1]Base_Jugadores!F1256</f>
        <v>69</v>
      </c>
      <c r="H1256" s="5" t="n">
        <f aca="false">[1]Base_Jugadores!G1256</f>
        <v>19</v>
      </c>
      <c r="I1256" s="7" t="n">
        <f aca="false" t="array" ref="I1256:I1256">_xlfn.XLOOKUP(G1256,{55;56;57;58;59;60;61;62;63;64;65;66;67;68;69;70;71;72;73;74;75;76;77;78;79;80;81;82;83;84;85;86;87;88;89;90;91;92;93;94;95;96;97;98;99},{100000;130000;160000;190000;220000;250000;300000;350000;400000;450000;500000;600000;700000;800000;900000;1000000;1500000;2000000;3000000;4000000;5000000;6500000;8000000;10000000;12500000;15000000;20000000;25000000;30000000;35000000;40000000;55000000;70000000;80000000;90000000;110000000;130000000;160000000;190000000;220000000;250000000;280000000;310000000;340000000;400000000})</f>
        <v>900000</v>
      </c>
      <c r="J1256" s="7" t="n">
        <f aca="false">I1256*S1256*T1256*U1256</f>
        <v>1117800</v>
      </c>
      <c r="K1256" s="3"/>
      <c r="L1256" s="3"/>
      <c r="M1256" s="3"/>
      <c r="N1256" s="9" t="n">
        <v>0</v>
      </c>
      <c r="O1256" s="4" t="n">
        <v>0</v>
      </c>
      <c r="P1256" s="5" t="n">
        <f aca="false">IF(COUNTIF([1]Base_Jugadores!J$2:J$500,B1256)&gt;0,1,0)</f>
        <v>0</v>
      </c>
      <c r="Q1256" s="10" t="b">
        <f aca="false">--(COUNTIFS(
   [1]Fichajes_Realizados!A$2:A$5000,A1256,
   [1]Fichajes_Realizados!G$2:G$5000,$X$3
)&gt;0)</f>
        <v>0</v>
      </c>
      <c r="R1256" s="5" t="n">
        <f aca="false">_xlfn.XLOOKUP(C1256, [1]Estado_Equipos!A$2:A$500, [1]Estado_Equipos!J$2:J$500, "")</f>
        <v>71</v>
      </c>
      <c r="S1256" s="5" t="n">
        <f aca="false">IF(H1256&lt;=16,1.45,
IF(H1256&gt;=41,0.3,
CHOOSE(ROUNDDOWN((H1256-16)/2,0)+1,
1.45,1.38,1.3,1.23,1.17,1.15,1.12,1.05,0.95,0.8,0.6,0.4,0.3)))</f>
        <v>1.38</v>
      </c>
      <c r="T1256" s="5" t="n">
        <f aca="false">CHOOSE(N1256+1,1.2,1,0.85,0.7)</f>
        <v>1.2</v>
      </c>
      <c r="U1256" s="5" t="n">
        <f aca="false">IF(F1256="PO",0.6,
IF(F1256="CT",0.75,
IF(F1256="LI",0.8,
IF(F1256="LD",0.8,
IF(F1256="MCD",0.85,
IF(F1256="MC",0.95,
IF(F1256="MO",1.05,
IF(F1256="EI",1.1,
IF(F1256="ED",1.1,
IF(F1256="SD",1.15,
IF(F1256="DC",1.2,0)))))))))))</f>
        <v>0.75</v>
      </c>
    </row>
    <row r="1257" customFormat="false" ht="16.4" hidden="false" customHeight="false" outlineLevel="0" collapsed="false">
      <c r="A1257" s="1" t="n">
        <v>1256</v>
      </c>
      <c r="B1257" s="5" t="str">
        <f aca="false">[1]Base_Jugadores!B1257</f>
        <v>Enzo Ebosse</v>
      </c>
      <c r="C1257" s="5" t="str">
        <f aca="false">IFERROR(
   _xlfn.XLOOKUP(VALUE(A1257),[1]Fichajes_Realizados!A$2:A$50000,[1]Fichajes_Realizados!D$2:D$50000,,0,-1),
   _xlfn.XLOOKUP(VALUE(A1257),[1]Base_Jugadores!A$2:A$50000,[1]Base_Jugadores!C$2:C$50000)
)</f>
        <v>Hellas Verona</v>
      </c>
      <c r="D1257" s="5" t="str">
        <f aca="false">[1]Base_Jugadores!D1257</f>
        <v>Camerún</v>
      </c>
      <c r="E1257" s="3"/>
      <c r="F1257" s="5" t="str">
        <f aca="false">[1]Base_Jugadores!E1257</f>
        <v>CT</v>
      </c>
      <c r="G1257" s="5" t="n">
        <f aca="false">[1]Base_Jugadores!F1257</f>
        <v>71</v>
      </c>
      <c r="H1257" s="5" t="n">
        <f aca="false">[1]Base_Jugadores!G1257</f>
        <v>26</v>
      </c>
      <c r="I1257" s="7" t="n">
        <f aca="false" t="array" ref="I1257:I1257">_xlfn.XLOOKUP(G1257,{55;56;57;58;59;60;61;62;63;64;65;66;67;68;69;70;71;72;73;74;75;76;77;78;79;80;81;82;83;84;85;86;87;88;89;90;91;92;93;94;95;96;97;98;99},{100000;130000;160000;190000;220000;250000;300000;350000;400000;450000;500000;600000;700000;800000;900000;1000000;1500000;2000000;3000000;4000000;5000000;6500000;8000000;10000000;12500000;15000000;20000000;25000000;30000000;35000000;40000000;55000000;70000000;80000000;90000000;110000000;130000000;160000000;190000000;220000000;250000000;280000000;310000000;340000000;400000000})</f>
        <v>1500000</v>
      </c>
      <c r="J1257" s="7" t="n">
        <f aca="false">I1257*S1257*T1257*U1257</f>
        <v>1552500</v>
      </c>
      <c r="K1257" s="3"/>
      <c r="L1257" s="3"/>
      <c r="M1257" s="3"/>
      <c r="N1257" s="9" t="n">
        <v>0</v>
      </c>
      <c r="O1257" s="4" t="n">
        <v>0</v>
      </c>
      <c r="P1257" s="5" t="n">
        <f aca="false">IF(COUNTIF([1]Base_Jugadores!J$2:J$500,B1257)&gt;0,1,0)</f>
        <v>0</v>
      </c>
      <c r="Q1257" s="10" t="b">
        <f aca="false">--(COUNTIFS(
   [1]Fichajes_Realizados!A$2:A$5000,A1257,
   [1]Fichajes_Realizados!G$2:G$5000,$X$3
)&gt;0)</f>
        <v>0</v>
      </c>
      <c r="R1257" s="5" t="n">
        <f aca="false">_xlfn.XLOOKUP(C1257, [1]Estado_Equipos!A$2:A$500, [1]Estado_Equipos!J$2:J$500, "")</f>
        <v>71</v>
      </c>
      <c r="S1257" s="5" t="n">
        <f aca="false">IF(H1257&lt;=16,1.45,
IF(H1257&gt;=41,0.3,
CHOOSE(ROUNDDOWN((H1257-16)/2,0)+1,
1.45,1.38,1.3,1.23,1.17,1.15,1.12,1.05,0.95,0.8,0.6,0.4,0.3)))</f>
        <v>1.15</v>
      </c>
      <c r="T1257" s="5" t="n">
        <f aca="false">CHOOSE(N1257+1,1.2,1,0.85,0.7)</f>
        <v>1.2</v>
      </c>
      <c r="U1257" s="5" t="n">
        <f aca="false">IF(F1257="PO",0.6,
IF(F1257="CT",0.75,
IF(F1257="LI",0.8,
IF(F1257="LD",0.8,
IF(F1257="MCD",0.85,
IF(F1257="MC",0.95,
IF(F1257="MO",1.05,
IF(F1257="EI",1.1,
IF(F1257="ED",1.1,
IF(F1257="SD",1.15,
IF(F1257="DC",1.2,0)))))))))))</f>
        <v>0.75</v>
      </c>
    </row>
    <row r="1258" customFormat="false" ht="16.4" hidden="false" customHeight="false" outlineLevel="0" collapsed="false">
      <c r="A1258" s="1" t="n">
        <v>1257</v>
      </c>
      <c r="B1258" s="5" t="str">
        <f aca="false">[1]Base_Jugadores!B1258</f>
        <v>Domagoj Bradarić</v>
      </c>
      <c r="C1258" s="5" t="str">
        <f aca="false">IFERROR(
   _xlfn.XLOOKUP(VALUE(A1258),[1]Fichajes_Realizados!A$2:A$50000,[1]Fichajes_Realizados!D$2:D$50000,,0,-1),
   _xlfn.XLOOKUP(VALUE(A1258),[1]Base_Jugadores!A$2:A$50000,[1]Base_Jugadores!C$2:C$50000)
)</f>
        <v>Hellas Verona</v>
      </c>
      <c r="D1258" s="5" t="str">
        <f aca="false">[1]Base_Jugadores!D1258</f>
        <v>Croacia</v>
      </c>
      <c r="E1258" s="3"/>
      <c r="F1258" s="5" t="str">
        <f aca="false">[1]Base_Jugadores!E1258</f>
        <v>LI</v>
      </c>
      <c r="G1258" s="5" t="n">
        <f aca="false">[1]Base_Jugadores!F1258</f>
        <v>70</v>
      </c>
      <c r="H1258" s="5" t="n">
        <f aca="false">[1]Base_Jugadores!G1258</f>
        <v>26</v>
      </c>
      <c r="I1258" s="7" t="n">
        <f aca="false" t="array" ref="I1258:I1258">_xlfn.XLOOKUP(G1258,{55;56;57;58;59;60;61;62;63;64;65;66;67;68;69;70;71;72;73;74;75;76;77;78;79;80;81;82;83;84;85;86;87;88;89;90;91;92;93;94;95;96;97;98;99},{100000;130000;160000;190000;220000;250000;300000;350000;400000;450000;500000;600000;700000;800000;900000;1000000;1500000;2000000;3000000;4000000;5000000;6500000;8000000;10000000;12500000;15000000;20000000;25000000;30000000;35000000;40000000;55000000;70000000;80000000;90000000;110000000;130000000;160000000;190000000;220000000;250000000;280000000;310000000;340000000;400000000})</f>
        <v>1000000</v>
      </c>
      <c r="J1258" s="7" t="n">
        <f aca="false">I1258*S1258*T1258*U1258</f>
        <v>1104000</v>
      </c>
      <c r="K1258" s="3"/>
      <c r="L1258" s="3"/>
      <c r="M1258" s="3"/>
      <c r="N1258" s="9" t="n">
        <v>0</v>
      </c>
      <c r="O1258" s="4" t="n">
        <v>0</v>
      </c>
      <c r="P1258" s="5" t="n">
        <f aca="false">IF(COUNTIF([1]Base_Jugadores!J$2:J$500,B1258)&gt;0,1,0)</f>
        <v>0</v>
      </c>
      <c r="Q1258" s="10" t="b">
        <f aca="false">--(COUNTIFS(
   [1]Fichajes_Realizados!A$2:A$5000,A1258,
   [1]Fichajes_Realizados!G$2:G$5000,$X$3
)&gt;0)</f>
        <v>0</v>
      </c>
      <c r="R1258" s="5" t="n">
        <f aca="false">_xlfn.XLOOKUP(C1258, [1]Estado_Equipos!A$2:A$500, [1]Estado_Equipos!J$2:J$500, "")</f>
        <v>71</v>
      </c>
      <c r="S1258" s="5" t="n">
        <f aca="false">IF(H1258&lt;=16,1.45,
IF(H1258&gt;=41,0.3,
CHOOSE(ROUNDDOWN((H1258-16)/2,0)+1,
1.45,1.38,1.3,1.23,1.17,1.15,1.12,1.05,0.95,0.8,0.6,0.4,0.3)))</f>
        <v>1.15</v>
      </c>
      <c r="T1258" s="5" t="n">
        <f aca="false">CHOOSE(N1258+1,1.2,1,0.85,0.7)</f>
        <v>1.2</v>
      </c>
      <c r="U1258" s="5" t="n">
        <f aca="false">IF(F1258="PO",0.6,
IF(F1258="CT",0.75,
IF(F1258="LI",0.8,
IF(F1258="LD",0.8,
IF(F1258="MCD",0.85,
IF(F1258="MC",0.95,
IF(F1258="MO",1.05,
IF(F1258="EI",1.1,
IF(F1258="ED",1.1,
IF(F1258="SD",1.15,
IF(F1258="DC",1.2,0)))))))))))</f>
        <v>0.8</v>
      </c>
    </row>
    <row r="1259" customFormat="false" ht="16.4" hidden="false" customHeight="false" outlineLevel="0" collapsed="false">
      <c r="A1259" s="1" t="n">
        <v>1258</v>
      </c>
      <c r="B1259" s="5" t="str">
        <f aca="false">[1]Base_Jugadores!B1259</f>
        <v>Martin Frese</v>
      </c>
      <c r="C1259" s="5" t="str">
        <f aca="false">IFERROR(
   _xlfn.XLOOKUP(VALUE(A1259),[1]Fichajes_Realizados!A$2:A$50000,[1]Fichajes_Realizados!D$2:D$50000,,0,-1),
   _xlfn.XLOOKUP(VALUE(A1259),[1]Base_Jugadores!A$2:A$50000,[1]Base_Jugadores!C$2:C$50000)
)</f>
        <v>Hellas Verona</v>
      </c>
      <c r="D1259" s="5" t="str">
        <f aca="false">[1]Base_Jugadores!D1259</f>
        <v>Dinamarca</v>
      </c>
      <c r="E1259" s="3"/>
      <c r="F1259" s="5" t="str">
        <f aca="false">[1]Base_Jugadores!E1259</f>
        <v>LI</v>
      </c>
      <c r="G1259" s="5" t="n">
        <f aca="false">[1]Base_Jugadores!F1259</f>
        <v>72</v>
      </c>
      <c r="H1259" s="5" t="n">
        <f aca="false">[1]Base_Jugadores!G1259</f>
        <v>27</v>
      </c>
      <c r="I1259" s="7" t="n">
        <f aca="false" t="array" ref="I1259:I1259">_xlfn.XLOOKUP(G1259,{55;56;57;58;59;60;61;62;63;64;65;66;67;68;69;70;71;72;73;74;75;76;77;78;79;80;81;82;83;84;85;86;87;88;89;90;91;92;93;94;95;96;97;98;99},{100000;130000;160000;190000;220000;250000;300000;350000;400000;450000;500000;600000;700000;800000;900000;1000000;1500000;2000000;3000000;4000000;5000000;6500000;8000000;10000000;12500000;15000000;20000000;25000000;30000000;35000000;40000000;55000000;70000000;80000000;90000000;110000000;130000000;160000000;190000000;220000000;250000000;280000000;310000000;340000000;400000000})</f>
        <v>2000000</v>
      </c>
      <c r="J1259" s="7" t="n">
        <f aca="false">I1259*S1259*T1259*U1259</f>
        <v>2208000</v>
      </c>
      <c r="K1259" s="3"/>
      <c r="L1259" s="3"/>
      <c r="M1259" s="3"/>
      <c r="N1259" s="9" t="n">
        <v>0</v>
      </c>
      <c r="O1259" s="4" t="n">
        <v>0</v>
      </c>
      <c r="P1259" s="5" t="n">
        <f aca="false">IF(COUNTIF([1]Base_Jugadores!J$2:J$500,B1259)&gt;0,1,0)</f>
        <v>0</v>
      </c>
      <c r="Q1259" s="10" t="b">
        <f aca="false">--(COUNTIFS(
   [1]Fichajes_Realizados!A$2:A$5000,A1259,
   [1]Fichajes_Realizados!G$2:G$5000,$X$3
)&gt;0)</f>
        <v>0</v>
      </c>
      <c r="R1259" s="5" t="n">
        <f aca="false">_xlfn.XLOOKUP(C1259, [1]Estado_Equipos!A$2:A$500, [1]Estado_Equipos!J$2:J$500, "")</f>
        <v>71</v>
      </c>
      <c r="S1259" s="5" t="n">
        <f aca="false">IF(H1259&lt;=16,1.45,
IF(H1259&gt;=41,0.3,
CHOOSE(ROUNDDOWN((H1259-16)/2,0)+1,
1.45,1.38,1.3,1.23,1.17,1.15,1.12,1.05,0.95,0.8,0.6,0.4,0.3)))</f>
        <v>1.15</v>
      </c>
      <c r="T1259" s="5" t="n">
        <f aca="false">CHOOSE(N1259+1,1.2,1,0.85,0.7)</f>
        <v>1.2</v>
      </c>
      <c r="U1259" s="5" t="n">
        <f aca="false">IF(F1259="PO",0.6,
IF(F1259="CT",0.75,
IF(F1259="LI",0.8,
IF(F1259="LD",0.8,
IF(F1259="MCD",0.85,
IF(F1259="MC",0.95,
IF(F1259="MO",1.05,
IF(F1259="EI",1.1,
IF(F1259="ED",1.1,
IF(F1259="SD",1.15,
IF(F1259="DC",1.2,0)))))))))))</f>
        <v>0.8</v>
      </c>
    </row>
    <row r="1260" customFormat="false" ht="16.4" hidden="false" customHeight="false" outlineLevel="0" collapsed="false">
      <c r="A1260" s="1" t="n">
        <v>1259</v>
      </c>
      <c r="B1260" s="5" t="str">
        <f aca="false">[1]Base_Jugadores!B1260</f>
        <v>Rafik Belghali</v>
      </c>
      <c r="C1260" s="5" t="str">
        <f aca="false">IFERROR(
   _xlfn.XLOOKUP(VALUE(A1260),[1]Fichajes_Realizados!A$2:A$50000,[1]Fichajes_Realizados!D$2:D$50000,,0,-1),
   _xlfn.XLOOKUP(VALUE(A1260),[1]Base_Jugadores!A$2:A$50000,[1]Base_Jugadores!C$2:C$50000)
)</f>
        <v>Hellas Verona</v>
      </c>
      <c r="D1260" s="5" t="str">
        <f aca="false">[1]Base_Jugadores!D1260</f>
        <v>Argelia</v>
      </c>
      <c r="E1260" s="3"/>
      <c r="F1260" s="5" t="str">
        <f aca="false">[1]Base_Jugadores!E1260</f>
        <v>LD</v>
      </c>
      <c r="G1260" s="5" t="n">
        <f aca="false">[1]Base_Jugadores!F1260</f>
        <v>66</v>
      </c>
      <c r="H1260" s="5" t="n">
        <f aca="false">[1]Base_Jugadores!G1260</f>
        <v>23</v>
      </c>
      <c r="I1260" s="7" t="n">
        <f aca="false" t="array" ref="I1260:I1260">_xlfn.XLOOKUP(G1260,{55;56;57;58;59;60;61;62;63;64;65;66;67;68;69;70;71;72;73;74;75;76;77;78;79;80;81;82;83;84;85;86;87;88;89;90;91;92;93;94;95;96;97;98;99},{100000;130000;160000;190000;220000;250000;300000;350000;400000;450000;500000;600000;700000;800000;900000;1000000;1500000;2000000;3000000;4000000;5000000;6500000;8000000;10000000;12500000;15000000;20000000;25000000;30000000;35000000;40000000;55000000;70000000;80000000;90000000;110000000;130000000;160000000;190000000;220000000;250000000;280000000;310000000;340000000;400000000})</f>
        <v>600000</v>
      </c>
      <c r="J1260" s="7" t="n">
        <f aca="false">I1260*S1260*T1260*U1260</f>
        <v>708480</v>
      </c>
      <c r="K1260" s="3"/>
      <c r="L1260" s="3"/>
      <c r="M1260" s="3"/>
      <c r="N1260" s="9" t="n">
        <v>0</v>
      </c>
      <c r="O1260" s="4" t="n">
        <v>0</v>
      </c>
      <c r="P1260" s="5" t="n">
        <f aca="false">IF(COUNTIF([1]Base_Jugadores!J$2:J$500,B1260)&gt;0,1,0)</f>
        <v>0</v>
      </c>
      <c r="Q1260" s="10" t="b">
        <f aca="false">--(COUNTIFS(
   [1]Fichajes_Realizados!A$2:A$5000,A1260,
   [1]Fichajes_Realizados!G$2:G$5000,$X$3
)&gt;0)</f>
        <v>0</v>
      </c>
      <c r="R1260" s="5" t="n">
        <f aca="false">_xlfn.XLOOKUP(C1260, [1]Estado_Equipos!A$2:A$500, [1]Estado_Equipos!J$2:J$500, "")</f>
        <v>71</v>
      </c>
      <c r="S1260" s="5" t="n">
        <f aca="false">IF(H1260&lt;=16,1.45,
IF(H1260&gt;=41,0.3,
CHOOSE(ROUNDDOWN((H1260-16)/2,0)+1,
1.45,1.38,1.3,1.23,1.17,1.15,1.12,1.05,0.95,0.8,0.6,0.4,0.3)))</f>
        <v>1.23</v>
      </c>
      <c r="T1260" s="5" t="n">
        <f aca="false">CHOOSE(N1260+1,1.2,1,0.85,0.7)</f>
        <v>1.2</v>
      </c>
      <c r="U1260" s="5" t="n">
        <f aca="false">IF(F1260="PO",0.6,
IF(F1260="CT",0.75,
IF(F1260="LI",0.8,
IF(F1260="LD",0.8,
IF(F1260="MCD",0.85,
IF(F1260="MC",0.95,
IF(F1260="MO",1.05,
IF(F1260="EI",1.1,
IF(F1260="ED",1.1,
IF(F1260="SD",1.15,
IF(F1260="DC",1.2,0)))))))))))</f>
        <v>0.8</v>
      </c>
    </row>
    <row r="1261" customFormat="false" ht="16.4" hidden="false" customHeight="false" outlineLevel="0" collapsed="false">
      <c r="A1261" s="1" t="n">
        <v>1260</v>
      </c>
      <c r="B1261" s="5" t="str">
        <f aca="false">[1]Base_Jugadores!B1261</f>
        <v>Daniel Oyegoke</v>
      </c>
      <c r="C1261" s="5" t="str">
        <f aca="false">IFERROR(
   _xlfn.XLOOKUP(VALUE(A1261),[1]Fichajes_Realizados!A$2:A$50000,[1]Fichajes_Realizados!D$2:D$50000,,0,-1),
   _xlfn.XLOOKUP(VALUE(A1261),[1]Base_Jugadores!A$2:A$50000,[1]Base_Jugadores!C$2:C$50000)
)</f>
        <v>Hellas Verona</v>
      </c>
      <c r="D1261" s="5" t="str">
        <f aca="false">[1]Base_Jugadores!D1261</f>
        <v>Inglaterra</v>
      </c>
      <c r="E1261" s="3"/>
      <c r="F1261" s="5" t="str">
        <f aca="false">[1]Base_Jugadores!E1261</f>
        <v>LD</v>
      </c>
      <c r="G1261" s="5" t="n">
        <f aca="false">[1]Base_Jugadores!F1261</f>
        <v>64</v>
      </c>
      <c r="H1261" s="5" t="n">
        <f aca="false">[1]Base_Jugadores!G1261</f>
        <v>22</v>
      </c>
      <c r="I1261" s="7" t="n">
        <f aca="false" t="array" ref="I1261:I1261">_xlfn.XLOOKUP(G1261,{55;56;57;58;59;60;61;62;63;64;65;66;67;68;69;70;71;72;73;74;75;76;77;78;79;80;81;82;83;84;85;86;87;88;89;90;91;92;93;94;95;96;97;98;99},{100000;130000;160000;190000;220000;250000;300000;350000;400000;450000;500000;600000;700000;800000;900000;1000000;1500000;2000000;3000000;4000000;5000000;6500000;8000000;10000000;12500000;15000000;20000000;25000000;30000000;35000000;40000000;55000000;70000000;80000000;90000000;110000000;130000000;160000000;190000000;220000000;250000000;280000000;310000000;340000000;400000000})</f>
        <v>450000</v>
      </c>
      <c r="J1261" s="7" t="n">
        <f aca="false">I1261*S1261*T1261*U1261</f>
        <v>531360</v>
      </c>
      <c r="K1261" s="3"/>
      <c r="L1261" s="3"/>
      <c r="M1261" s="3"/>
      <c r="N1261" s="9" t="n">
        <v>0</v>
      </c>
      <c r="O1261" s="4" t="n">
        <v>0</v>
      </c>
      <c r="P1261" s="5" t="n">
        <f aca="false">IF(COUNTIF([1]Base_Jugadores!J$2:J$500,B1261)&gt;0,1,0)</f>
        <v>0</v>
      </c>
      <c r="Q1261" s="10" t="b">
        <f aca="false">--(COUNTIFS(
   [1]Fichajes_Realizados!A$2:A$5000,A1261,
   [1]Fichajes_Realizados!G$2:G$5000,$X$3
)&gt;0)</f>
        <v>0</v>
      </c>
      <c r="R1261" s="5" t="n">
        <f aca="false">_xlfn.XLOOKUP(C1261, [1]Estado_Equipos!A$2:A$500, [1]Estado_Equipos!J$2:J$500, "")</f>
        <v>71</v>
      </c>
      <c r="S1261" s="5" t="n">
        <f aca="false">IF(H1261&lt;=16,1.45,
IF(H1261&gt;=41,0.3,
CHOOSE(ROUNDDOWN((H1261-16)/2,0)+1,
1.45,1.38,1.3,1.23,1.17,1.15,1.12,1.05,0.95,0.8,0.6,0.4,0.3)))</f>
        <v>1.23</v>
      </c>
      <c r="T1261" s="5" t="n">
        <f aca="false">CHOOSE(N1261+1,1.2,1,0.85,0.7)</f>
        <v>1.2</v>
      </c>
      <c r="U1261" s="5" t="n">
        <f aca="false">IF(F1261="PO",0.6,
IF(F1261="CT",0.75,
IF(F1261="LI",0.8,
IF(F1261="LD",0.8,
IF(F1261="MCD",0.85,
IF(F1261="MC",0.95,
IF(F1261="MO",1.05,
IF(F1261="EI",1.1,
IF(F1261="ED",1.1,
IF(F1261="SD",1.15,
IF(F1261="DC",1.2,0)))))))))))</f>
        <v>0.8</v>
      </c>
    </row>
    <row r="1262" customFormat="false" ht="16.4" hidden="false" customHeight="false" outlineLevel="0" collapsed="false">
      <c r="A1262" s="1" t="n">
        <v>1261</v>
      </c>
      <c r="B1262" s="5" t="str">
        <f aca="false">[1]Base_Jugadores!B1262</f>
        <v>M. Al-Musrati</v>
      </c>
      <c r="C1262" s="5" t="str">
        <f aca="false">IFERROR(
   _xlfn.XLOOKUP(VALUE(A1262),[1]Fichajes_Realizados!A$2:A$50000,[1]Fichajes_Realizados!D$2:D$50000,,0,-1),
   _xlfn.XLOOKUP(VALUE(A1262),[1]Base_Jugadores!A$2:A$50000,[1]Base_Jugadores!C$2:C$50000)
)</f>
        <v>Hellas Verona</v>
      </c>
      <c r="D1262" s="5" t="str">
        <f aca="false">[1]Base_Jugadores!D1262</f>
        <v>Libia</v>
      </c>
      <c r="E1262" s="3"/>
      <c r="F1262" s="5" t="str">
        <f aca="false">[1]Base_Jugadores!E1262</f>
        <v>MCD</v>
      </c>
      <c r="G1262" s="5" t="n">
        <f aca="false">[1]Base_Jugadores!F1262</f>
        <v>81</v>
      </c>
      <c r="H1262" s="5" t="n">
        <f aca="false">[1]Base_Jugadores!G1262</f>
        <v>29</v>
      </c>
      <c r="I1262" s="7" t="n">
        <f aca="false" t="array" ref="I1262:I1262">_xlfn.XLOOKUP(G1262,{55;56;57;58;59;60;61;62;63;64;65;66;67;68;69;70;71;72;73;74;75;76;77;78;79;80;81;82;83;84;85;86;87;88;89;90;91;92;93;94;95;96;97;98;99},{100000;130000;160000;190000;220000;250000;300000;350000;400000;450000;500000;600000;700000;800000;900000;1000000;1500000;2000000;3000000;4000000;5000000;6500000;8000000;10000000;12500000;15000000;20000000;25000000;30000000;35000000;40000000;55000000;70000000;80000000;90000000;110000000;130000000;160000000;190000000;220000000;250000000;280000000;310000000;340000000;400000000})</f>
        <v>20000000</v>
      </c>
      <c r="J1262" s="7" t="n">
        <f aca="false">I1262*S1262*T1262*U1262</f>
        <v>22848000</v>
      </c>
      <c r="K1262" s="3"/>
      <c r="L1262" s="3"/>
      <c r="M1262" s="3"/>
      <c r="N1262" s="9" t="n">
        <v>0</v>
      </c>
      <c r="O1262" s="4" t="n">
        <v>0</v>
      </c>
      <c r="P1262" s="5" t="n">
        <f aca="false">IF(COUNTIF([1]Base_Jugadores!J$2:J$500,B1262)&gt;0,1,0)</f>
        <v>0</v>
      </c>
      <c r="Q1262" s="10" t="b">
        <f aca="false">--(COUNTIFS(
   [1]Fichajes_Realizados!A$2:A$5000,A1262,
   [1]Fichajes_Realizados!G$2:G$5000,$X$3
)&gt;0)</f>
        <v>0</v>
      </c>
      <c r="R1262" s="5" t="n">
        <f aca="false">_xlfn.XLOOKUP(C1262, [1]Estado_Equipos!A$2:A$500, [1]Estado_Equipos!J$2:J$500, "")</f>
        <v>71</v>
      </c>
      <c r="S1262" s="5" t="n">
        <f aca="false">IF(H1262&lt;=16,1.45,
IF(H1262&gt;=41,0.3,
CHOOSE(ROUNDDOWN((H1262-16)/2,0)+1,
1.45,1.38,1.3,1.23,1.17,1.15,1.12,1.05,0.95,0.8,0.6,0.4,0.3)))</f>
        <v>1.12</v>
      </c>
      <c r="T1262" s="5" t="n">
        <f aca="false">CHOOSE(N1262+1,1.2,1,0.85,0.7)</f>
        <v>1.2</v>
      </c>
      <c r="U1262" s="5" t="n">
        <f aca="false">IF(F1262="PO",0.6,
IF(F1262="CT",0.75,
IF(F1262="LI",0.8,
IF(F1262="LD",0.8,
IF(F1262="MCD",0.85,
IF(F1262="MC",0.95,
IF(F1262="MO",1.05,
IF(F1262="EI",1.1,
IF(F1262="ED",1.1,
IF(F1262="SD",1.15,
IF(F1262="DC",1.2,0)))))))))))</f>
        <v>0.85</v>
      </c>
    </row>
    <row r="1263" customFormat="false" ht="16.4" hidden="false" customHeight="false" outlineLevel="0" collapsed="false">
      <c r="A1263" s="1" t="n">
        <v>1262</v>
      </c>
      <c r="B1263" s="5" t="str">
        <f aca="false">[1]Base_Jugadores!B1263</f>
        <v>Cheikh Niasse</v>
      </c>
      <c r="C1263" s="5" t="str">
        <f aca="false">IFERROR(
   _xlfn.XLOOKUP(VALUE(A1263),[1]Fichajes_Realizados!A$2:A$50000,[1]Fichajes_Realizados!D$2:D$50000,,0,-1),
   _xlfn.XLOOKUP(VALUE(A1263),[1]Base_Jugadores!A$2:A$50000,[1]Base_Jugadores!C$2:C$50000)
)</f>
        <v>Hellas Verona</v>
      </c>
      <c r="D1263" s="5" t="str">
        <f aca="false">[1]Base_Jugadores!D1263</f>
        <v>Senegal</v>
      </c>
      <c r="E1263" s="3"/>
      <c r="F1263" s="5" t="str">
        <f aca="false">[1]Base_Jugadores!E1263</f>
        <v>MCD</v>
      </c>
      <c r="G1263" s="5" t="n">
        <f aca="false">[1]Base_Jugadores!F1263</f>
        <v>72</v>
      </c>
      <c r="H1263" s="5" t="n">
        <f aca="false">[1]Base_Jugadores!G1263</f>
        <v>25</v>
      </c>
      <c r="I1263" s="7" t="n">
        <f aca="false" t="array" ref="I1263:I1263">_xlfn.XLOOKUP(G1263,{55;56;57;58;59;60;61;62;63;64;65;66;67;68;69;70;71;72;73;74;75;76;77;78;79;80;81;82;83;84;85;86;87;88;89;90;91;92;93;94;95;96;97;98;99},{100000;130000;160000;190000;220000;250000;300000;350000;400000;450000;500000;600000;700000;800000;900000;1000000;1500000;2000000;3000000;4000000;5000000;6500000;8000000;10000000;12500000;15000000;20000000;25000000;30000000;35000000;40000000;55000000;70000000;80000000;90000000;110000000;130000000;160000000;190000000;220000000;250000000;280000000;310000000;340000000;400000000})</f>
        <v>2000000</v>
      </c>
      <c r="J1263" s="7" t="n">
        <f aca="false">I1263*S1263*T1263*U1263</f>
        <v>2386800</v>
      </c>
      <c r="K1263" s="3"/>
      <c r="L1263" s="3"/>
      <c r="M1263" s="3"/>
      <c r="N1263" s="9" t="n">
        <v>0</v>
      </c>
      <c r="O1263" s="4" t="n">
        <v>0</v>
      </c>
      <c r="P1263" s="5" t="n">
        <f aca="false">IF(COUNTIF([1]Base_Jugadores!J$2:J$500,B1263)&gt;0,1,0)</f>
        <v>0</v>
      </c>
      <c r="Q1263" s="10" t="b">
        <f aca="false">--(COUNTIFS(
   [1]Fichajes_Realizados!A$2:A$5000,A1263,
   [1]Fichajes_Realizados!G$2:G$5000,$X$3
)&gt;0)</f>
        <v>0</v>
      </c>
      <c r="R1263" s="5" t="n">
        <f aca="false">_xlfn.XLOOKUP(C1263, [1]Estado_Equipos!A$2:A$500, [1]Estado_Equipos!J$2:J$500, "")</f>
        <v>71</v>
      </c>
      <c r="S1263" s="5" t="n">
        <f aca="false">IF(H1263&lt;=16,1.45,
IF(H1263&gt;=41,0.3,
CHOOSE(ROUNDDOWN((H1263-16)/2,0)+1,
1.45,1.38,1.3,1.23,1.17,1.15,1.12,1.05,0.95,0.8,0.6,0.4,0.3)))</f>
        <v>1.17</v>
      </c>
      <c r="T1263" s="5" t="n">
        <f aca="false">CHOOSE(N1263+1,1.2,1,0.85,0.7)</f>
        <v>1.2</v>
      </c>
      <c r="U1263" s="5" t="n">
        <f aca="false">IF(F1263="PO",0.6,
IF(F1263="CT",0.75,
IF(F1263="LI",0.8,
IF(F1263="LD",0.8,
IF(F1263="MCD",0.85,
IF(F1263="MC",0.95,
IF(F1263="MO",1.05,
IF(F1263="EI",1.1,
IF(F1263="ED",1.1,
IF(F1263="SD",1.15,
IF(F1263="DC",1.2,0)))))))))))</f>
        <v>0.85</v>
      </c>
    </row>
    <row r="1264" customFormat="false" ht="16.4" hidden="false" customHeight="false" outlineLevel="0" collapsed="false">
      <c r="A1264" s="1" t="n">
        <v>1263</v>
      </c>
      <c r="B1264" s="5" t="str">
        <f aca="false">[1]Base_Jugadores!B1264</f>
        <v>Suat Serdar</v>
      </c>
      <c r="C1264" s="5" t="str">
        <f aca="false">IFERROR(
   _xlfn.XLOOKUP(VALUE(A1264),[1]Fichajes_Realizados!A$2:A$50000,[1]Fichajes_Realizados!D$2:D$50000,,0,-1),
   _xlfn.XLOOKUP(VALUE(A1264),[1]Base_Jugadores!A$2:A$50000,[1]Base_Jugadores!C$2:C$50000)
)</f>
        <v>Hellas Verona</v>
      </c>
      <c r="D1264" s="5" t="str">
        <f aca="false">[1]Base_Jugadores!D1264</f>
        <v>Alemania</v>
      </c>
      <c r="E1264" s="3"/>
      <c r="F1264" s="5" t="str">
        <f aca="false">[1]Base_Jugadores!E1264</f>
        <v>MC</v>
      </c>
      <c r="G1264" s="5" t="n">
        <f aca="false">[1]Base_Jugadores!F1264</f>
        <v>77</v>
      </c>
      <c r="H1264" s="5" t="n">
        <f aca="false">[1]Base_Jugadores!G1264</f>
        <v>28</v>
      </c>
      <c r="I1264" s="7" t="n">
        <f aca="false" t="array" ref="I1264:I1264">_xlfn.XLOOKUP(G1264,{55;56;57;58;59;60;61;62;63;64;65;66;67;68;69;70;71;72;73;74;75;76;77;78;79;80;81;82;83;84;85;86;87;88;89;90;91;92;93;94;95;96;97;98;99},{100000;130000;160000;190000;220000;250000;300000;350000;400000;450000;500000;600000;700000;800000;900000;1000000;1500000;2000000;3000000;4000000;5000000;6500000;8000000;10000000;12500000;15000000;20000000;25000000;30000000;35000000;40000000;55000000;70000000;80000000;90000000;110000000;130000000;160000000;190000000;220000000;250000000;280000000;310000000;340000000;400000000})</f>
        <v>8000000</v>
      </c>
      <c r="J1264" s="7" t="n">
        <f aca="false">I1264*S1264*T1264*U1264</f>
        <v>10214400</v>
      </c>
      <c r="K1264" s="3"/>
      <c r="L1264" s="3"/>
      <c r="M1264" s="3"/>
      <c r="N1264" s="9" t="n">
        <v>0</v>
      </c>
      <c r="O1264" s="4" t="n">
        <v>0</v>
      </c>
      <c r="P1264" s="5" t="n">
        <f aca="false">IF(COUNTIF([1]Base_Jugadores!J$2:J$500,B1264)&gt;0,1,0)</f>
        <v>0</v>
      </c>
      <c r="Q1264" s="10" t="b">
        <f aca="false">--(COUNTIFS(
   [1]Fichajes_Realizados!A$2:A$5000,A1264,
   [1]Fichajes_Realizados!G$2:G$5000,$X$3
)&gt;0)</f>
        <v>0</v>
      </c>
      <c r="R1264" s="5" t="n">
        <f aca="false">_xlfn.XLOOKUP(C1264, [1]Estado_Equipos!A$2:A$500, [1]Estado_Equipos!J$2:J$500, "")</f>
        <v>71</v>
      </c>
      <c r="S1264" s="5" t="n">
        <f aca="false">IF(H1264&lt;=16,1.45,
IF(H1264&gt;=41,0.3,
CHOOSE(ROUNDDOWN((H1264-16)/2,0)+1,
1.45,1.38,1.3,1.23,1.17,1.15,1.12,1.05,0.95,0.8,0.6,0.4,0.3)))</f>
        <v>1.12</v>
      </c>
      <c r="T1264" s="5" t="n">
        <f aca="false">CHOOSE(N1264+1,1.2,1,0.85,0.7)</f>
        <v>1.2</v>
      </c>
      <c r="U1264" s="5" t="n">
        <f aca="false">IF(F1264="PO",0.6,
IF(F1264="CT",0.75,
IF(F1264="LI",0.8,
IF(F1264="LD",0.8,
IF(F1264="MCD",0.85,
IF(F1264="MC",0.95,
IF(F1264="MO",1.05,
IF(F1264="EI",1.1,
IF(F1264="ED",1.1,
IF(F1264="SD",1.15,
IF(F1264="DC",1.2,0)))))))))))</f>
        <v>0.95</v>
      </c>
    </row>
    <row r="1265" customFormat="false" ht="16.4" hidden="false" customHeight="false" outlineLevel="0" collapsed="false">
      <c r="A1265" s="1" t="n">
        <v>1264</v>
      </c>
      <c r="B1265" s="5" t="str">
        <f aca="false">[1]Base_Jugadores!B1265</f>
        <v>Antoine Bernede</v>
      </c>
      <c r="C1265" s="5" t="str">
        <f aca="false">IFERROR(
   _xlfn.XLOOKUP(VALUE(A1265),[1]Fichajes_Realizados!A$2:A$50000,[1]Fichajes_Realizados!D$2:D$50000,,0,-1),
   _xlfn.XLOOKUP(VALUE(A1265),[1]Base_Jugadores!A$2:A$50000,[1]Base_Jugadores!C$2:C$50000)
)</f>
        <v>Hellas Verona</v>
      </c>
      <c r="D1265" s="5" t="str">
        <f aca="false">[1]Base_Jugadores!D1265</f>
        <v>Francia</v>
      </c>
      <c r="E1265" s="3"/>
      <c r="F1265" s="5" t="str">
        <f aca="false">[1]Base_Jugadores!E1265</f>
        <v>MC</v>
      </c>
      <c r="G1265" s="5" t="n">
        <f aca="false">[1]Base_Jugadores!F1265</f>
        <v>72</v>
      </c>
      <c r="H1265" s="5" t="n">
        <f aca="false">[1]Base_Jugadores!G1265</f>
        <v>26</v>
      </c>
      <c r="I1265" s="7" t="n">
        <f aca="false" t="array" ref="I1265:I1265">_xlfn.XLOOKUP(G1265,{55;56;57;58;59;60;61;62;63;64;65;66;67;68;69;70;71;72;73;74;75;76;77;78;79;80;81;82;83;84;85;86;87;88;89;90;91;92;93;94;95;96;97;98;99},{100000;130000;160000;190000;220000;250000;300000;350000;400000;450000;500000;600000;700000;800000;900000;1000000;1500000;2000000;3000000;4000000;5000000;6500000;8000000;10000000;12500000;15000000;20000000;25000000;30000000;35000000;40000000;55000000;70000000;80000000;90000000;110000000;130000000;160000000;190000000;220000000;250000000;280000000;310000000;340000000;400000000})</f>
        <v>2000000</v>
      </c>
      <c r="J1265" s="7" t="n">
        <f aca="false">I1265*S1265*T1265*U1265</f>
        <v>2622000</v>
      </c>
      <c r="K1265" s="3"/>
      <c r="L1265" s="3"/>
      <c r="M1265" s="3"/>
      <c r="N1265" s="9" t="n">
        <v>0</v>
      </c>
      <c r="O1265" s="4" t="n">
        <v>0</v>
      </c>
      <c r="P1265" s="5" t="n">
        <f aca="false">IF(COUNTIF([1]Base_Jugadores!J$2:J$500,B1265)&gt;0,1,0)</f>
        <v>0</v>
      </c>
      <c r="Q1265" s="10" t="b">
        <f aca="false">--(COUNTIFS(
   [1]Fichajes_Realizados!A$2:A$5000,A1265,
   [1]Fichajes_Realizados!G$2:G$5000,$X$3
)&gt;0)</f>
        <v>0</v>
      </c>
      <c r="R1265" s="5" t="n">
        <f aca="false">_xlfn.XLOOKUP(C1265, [1]Estado_Equipos!A$2:A$500, [1]Estado_Equipos!J$2:J$500, "")</f>
        <v>71</v>
      </c>
      <c r="S1265" s="5" t="n">
        <f aca="false">IF(H1265&lt;=16,1.45,
IF(H1265&gt;=41,0.3,
CHOOSE(ROUNDDOWN((H1265-16)/2,0)+1,
1.45,1.38,1.3,1.23,1.17,1.15,1.12,1.05,0.95,0.8,0.6,0.4,0.3)))</f>
        <v>1.15</v>
      </c>
      <c r="T1265" s="5" t="n">
        <f aca="false">CHOOSE(N1265+1,1.2,1,0.85,0.7)</f>
        <v>1.2</v>
      </c>
      <c r="U1265" s="5" t="n">
        <f aca="false">IF(F1265="PO",0.6,
IF(F1265="CT",0.75,
IF(F1265="LI",0.8,
IF(F1265="LD",0.8,
IF(F1265="MCD",0.85,
IF(F1265="MC",0.95,
IF(F1265="MO",1.05,
IF(F1265="EI",1.1,
IF(F1265="ED",1.1,
IF(F1265="SD",1.15,
IF(F1265="DC",1.2,0)))))))))))</f>
        <v>0.95</v>
      </c>
    </row>
    <row r="1266" customFormat="false" ht="16.4" hidden="false" customHeight="false" outlineLevel="0" collapsed="false">
      <c r="A1266" s="1" t="n">
        <v>1265</v>
      </c>
      <c r="B1266" s="5" t="str">
        <f aca="false">[1]Base_Jugadores!B1266</f>
        <v>Abdou Harroui</v>
      </c>
      <c r="C1266" s="5" t="str">
        <f aca="false">IFERROR(
   _xlfn.XLOOKUP(VALUE(A1266),[1]Fichajes_Realizados!A$2:A$50000,[1]Fichajes_Realizados!D$2:D$50000,,0,-1),
   _xlfn.XLOOKUP(VALUE(A1266),[1]Base_Jugadores!A$2:A$50000,[1]Base_Jugadores!C$2:C$50000)
)</f>
        <v>Hellas Verona</v>
      </c>
      <c r="D1266" s="5" t="str">
        <f aca="false">[1]Base_Jugadores!D1266</f>
        <v>Marruecos</v>
      </c>
      <c r="E1266" s="3"/>
      <c r="F1266" s="5" t="str">
        <f aca="false">[1]Base_Jugadores!E1266</f>
        <v>MC</v>
      </c>
      <c r="G1266" s="5" t="n">
        <f aca="false">[1]Base_Jugadores!F1266</f>
        <v>74</v>
      </c>
      <c r="H1266" s="5" t="n">
        <f aca="false">[1]Base_Jugadores!G1266</f>
        <v>27</v>
      </c>
      <c r="I1266" s="7" t="n">
        <f aca="false" t="array" ref="I1266:I1266">_xlfn.XLOOKUP(G1266,{55;56;57;58;59;60;61;62;63;64;65;66;67;68;69;70;71;72;73;74;75;76;77;78;79;80;81;82;83;84;85;86;87;88;89;90;91;92;93;94;95;96;97;98;99},{100000;130000;160000;190000;220000;250000;300000;350000;400000;450000;500000;600000;700000;800000;900000;1000000;1500000;2000000;3000000;4000000;5000000;6500000;8000000;10000000;12500000;15000000;20000000;25000000;30000000;35000000;40000000;55000000;70000000;80000000;90000000;110000000;130000000;160000000;190000000;220000000;250000000;280000000;310000000;340000000;400000000})</f>
        <v>4000000</v>
      </c>
      <c r="J1266" s="7" t="n">
        <f aca="false">I1266*S1266*T1266*U1266</f>
        <v>5244000</v>
      </c>
      <c r="K1266" s="3"/>
      <c r="L1266" s="3"/>
      <c r="M1266" s="3"/>
      <c r="N1266" s="9" t="n">
        <v>0</v>
      </c>
      <c r="O1266" s="4" t="n">
        <v>0</v>
      </c>
      <c r="P1266" s="5" t="n">
        <f aca="false">IF(COUNTIF([1]Base_Jugadores!J$2:J$500,B1266)&gt;0,1,0)</f>
        <v>0</v>
      </c>
      <c r="Q1266" s="10" t="b">
        <f aca="false">--(COUNTIFS(
   [1]Fichajes_Realizados!A$2:A$5000,A1266,
   [1]Fichajes_Realizados!G$2:G$5000,$X$3
)&gt;0)</f>
        <v>0</v>
      </c>
      <c r="R1266" s="5" t="n">
        <f aca="false">_xlfn.XLOOKUP(C1266, [1]Estado_Equipos!A$2:A$500, [1]Estado_Equipos!J$2:J$500, "")</f>
        <v>71</v>
      </c>
      <c r="S1266" s="5" t="n">
        <f aca="false">IF(H1266&lt;=16,1.45,
IF(H1266&gt;=41,0.3,
CHOOSE(ROUNDDOWN((H1266-16)/2,0)+1,
1.45,1.38,1.3,1.23,1.17,1.15,1.12,1.05,0.95,0.8,0.6,0.4,0.3)))</f>
        <v>1.15</v>
      </c>
      <c r="T1266" s="5" t="n">
        <f aca="false">CHOOSE(N1266+1,1.2,1,0.85,0.7)</f>
        <v>1.2</v>
      </c>
      <c r="U1266" s="5" t="n">
        <f aca="false">IF(F1266="PO",0.6,
IF(F1266="CT",0.75,
IF(F1266="LI",0.8,
IF(F1266="LD",0.8,
IF(F1266="MCD",0.85,
IF(F1266="MC",0.95,
IF(F1266="MO",1.05,
IF(F1266="EI",1.1,
IF(F1266="ED",1.1,
IF(F1266="SD",1.15,
IF(F1266="DC",1.2,0)))))))))))</f>
        <v>0.95</v>
      </c>
    </row>
    <row r="1267" customFormat="false" ht="16.4" hidden="false" customHeight="false" outlineLevel="0" collapsed="false">
      <c r="A1267" s="1" t="n">
        <v>1266</v>
      </c>
      <c r="B1267" s="5" t="str">
        <f aca="false">[1]Base_Jugadores!B1267</f>
        <v>Roberto Gagliardini</v>
      </c>
      <c r="C1267" s="5" t="str">
        <f aca="false">IFERROR(
   _xlfn.XLOOKUP(VALUE(A1267),[1]Fichajes_Realizados!A$2:A$50000,[1]Fichajes_Realizados!D$2:D$50000,,0,-1),
   _xlfn.XLOOKUP(VALUE(A1267),[1]Base_Jugadores!A$2:A$50000,[1]Base_Jugadores!C$2:C$50000)
)</f>
        <v>Hellas Verona</v>
      </c>
      <c r="D1267" s="5" t="str">
        <f aca="false">[1]Base_Jugadores!D1267</f>
        <v>Italia</v>
      </c>
      <c r="E1267" s="3"/>
      <c r="F1267" s="5" t="str">
        <f aca="false">[1]Base_Jugadores!E1267</f>
        <v>MC</v>
      </c>
      <c r="G1267" s="5" t="n">
        <f aca="false">[1]Base_Jugadores!F1267</f>
        <v>71</v>
      </c>
      <c r="H1267" s="5" t="n">
        <f aca="false">[1]Base_Jugadores!G1267</f>
        <v>31</v>
      </c>
      <c r="I1267" s="7" t="n">
        <f aca="false" t="array" ref="I1267:I1267">_xlfn.XLOOKUP(G1267,{55;56;57;58;59;60;61;62;63;64;65;66;67;68;69;70;71;72;73;74;75;76;77;78;79;80;81;82;83;84;85;86;87;88;89;90;91;92;93;94;95;96;97;98;99},{100000;130000;160000;190000;220000;250000;300000;350000;400000;450000;500000;600000;700000;800000;900000;1000000;1500000;2000000;3000000;4000000;5000000;6500000;8000000;10000000;12500000;15000000;20000000;25000000;30000000;35000000;40000000;55000000;70000000;80000000;90000000;110000000;130000000;160000000;190000000;220000000;250000000;280000000;310000000;340000000;400000000})</f>
        <v>1500000</v>
      </c>
      <c r="J1267" s="7" t="n">
        <f aca="false">I1267*S1267*T1267*U1267</f>
        <v>1795500</v>
      </c>
      <c r="K1267" s="3"/>
      <c r="L1267" s="3"/>
      <c r="M1267" s="3"/>
      <c r="N1267" s="9" t="n">
        <v>0</v>
      </c>
      <c r="O1267" s="4" t="n">
        <v>0</v>
      </c>
      <c r="P1267" s="5" t="n">
        <f aca="false">IF(COUNTIF([1]Base_Jugadores!J$2:J$500,B1267)&gt;0,1,0)</f>
        <v>0</v>
      </c>
      <c r="Q1267" s="10" t="b">
        <f aca="false">--(COUNTIFS(
   [1]Fichajes_Realizados!A$2:A$5000,A1267,
   [1]Fichajes_Realizados!G$2:G$5000,$X$3
)&gt;0)</f>
        <v>0</v>
      </c>
      <c r="R1267" s="5" t="n">
        <f aca="false">_xlfn.XLOOKUP(C1267, [1]Estado_Equipos!A$2:A$500, [1]Estado_Equipos!J$2:J$500, "")</f>
        <v>71</v>
      </c>
      <c r="S1267" s="5" t="n">
        <f aca="false">IF(H1267&lt;=16,1.45,
IF(H1267&gt;=41,0.3,
CHOOSE(ROUNDDOWN((H1267-16)/2,0)+1,
1.45,1.38,1.3,1.23,1.17,1.15,1.12,1.05,0.95,0.8,0.6,0.4,0.3)))</f>
        <v>1.05</v>
      </c>
      <c r="T1267" s="5" t="n">
        <f aca="false">CHOOSE(N1267+1,1.2,1,0.85,0.7)</f>
        <v>1.2</v>
      </c>
      <c r="U1267" s="5" t="n">
        <f aca="false">IF(F1267="PO",0.6,
IF(F1267="CT",0.75,
IF(F1267="LI",0.8,
IF(F1267="LD",0.8,
IF(F1267="MCD",0.85,
IF(F1267="MC",0.95,
IF(F1267="MO",1.05,
IF(F1267="EI",1.1,
IF(F1267="ED",1.1,
IF(F1267="SD",1.15,
IF(F1267="DC",1.2,0)))))))))))</f>
        <v>0.95</v>
      </c>
    </row>
    <row r="1268" customFormat="false" ht="16.4" hidden="false" customHeight="false" outlineLevel="0" collapsed="false">
      <c r="A1268" s="1" t="n">
        <v>1267</v>
      </c>
      <c r="B1268" s="5" t="str">
        <f aca="false">[1]Base_Jugadores!B1268</f>
        <v>Akpa Akpro</v>
      </c>
      <c r="C1268" s="5" t="str">
        <f aca="false">IFERROR(
   _xlfn.XLOOKUP(VALUE(A1268),[1]Fichajes_Realizados!A$2:A$50000,[1]Fichajes_Realizados!D$2:D$50000,,0,-1),
   _xlfn.XLOOKUP(VALUE(A1268),[1]Base_Jugadores!A$2:A$50000,[1]Base_Jugadores!C$2:C$50000)
)</f>
        <v>Hellas Verona</v>
      </c>
      <c r="D1268" s="5" t="str">
        <f aca="false">[1]Base_Jugadores!D1268</f>
        <v>Costa de Marfil</v>
      </c>
      <c r="E1268" s="3"/>
      <c r="F1268" s="5" t="str">
        <f aca="false">[1]Base_Jugadores!E1268</f>
        <v>MC</v>
      </c>
      <c r="G1268" s="5" t="n">
        <f aca="false">[1]Base_Jugadores!F1268</f>
        <v>73</v>
      </c>
      <c r="H1268" s="5" t="n">
        <f aca="false">[1]Base_Jugadores!G1268</f>
        <v>33</v>
      </c>
      <c r="I1268" s="7" t="n">
        <f aca="false" t="array" ref="I1268:I1268">_xlfn.XLOOKUP(G1268,{55;56;57;58;59;60;61;62;63;64;65;66;67;68;69;70;71;72;73;74;75;76;77;78;79;80;81;82;83;84;85;86;87;88;89;90;91;92;93;94;95;96;97;98;99},{100000;130000;160000;190000;220000;250000;300000;350000;400000;450000;500000;600000;700000;800000;900000;1000000;1500000;2000000;3000000;4000000;5000000;6500000;8000000;10000000;12500000;15000000;20000000;25000000;30000000;35000000;40000000;55000000;70000000;80000000;90000000;110000000;130000000;160000000;190000000;220000000;250000000;280000000;310000000;340000000;400000000})</f>
        <v>3000000</v>
      </c>
      <c r="J1268" s="7" t="n">
        <f aca="false">I1268*S1268*T1268*U1268</f>
        <v>3249000</v>
      </c>
      <c r="K1268" s="3"/>
      <c r="L1268" s="3"/>
      <c r="M1268" s="3"/>
      <c r="N1268" s="9" t="n">
        <v>0</v>
      </c>
      <c r="O1268" s="4" t="n">
        <v>0</v>
      </c>
      <c r="P1268" s="5" t="n">
        <f aca="false">IF(COUNTIF([1]Base_Jugadores!J$2:J$500,B1268)&gt;0,1,0)</f>
        <v>0</v>
      </c>
      <c r="Q1268" s="10" t="b">
        <f aca="false">--(COUNTIFS(
   [1]Fichajes_Realizados!A$2:A$5000,A1268,
   [1]Fichajes_Realizados!G$2:G$5000,$X$3
)&gt;0)</f>
        <v>0</v>
      </c>
      <c r="R1268" s="5" t="n">
        <f aca="false">_xlfn.XLOOKUP(C1268, [1]Estado_Equipos!A$2:A$500, [1]Estado_Equipos!J$2:J$500, "")</f>
        <v>71</v>
      </c>
      <c r="S1268" s="5" t="n">
        <f aca="false">IF(H1268&lt;=16,1.45,
IF(H1268&gt;=41,0.3,
CHOOSE(ROUNDDOWN((H1268-16)/2,0)+1,
1.45,1.38,1.3,1.23,1.17,1.15,1.12,1.05,0.95,0.8,0.6,0.4,0.3)))</f>
        <v>0.95</v>
      </c>
      <c r="T1268" s="5" t="n">
        <f aca="false">CHOOSE(N1268+1,1.2,1,0.85,0.7)</f>
        <v>1.2</v>
      </c>
      <c r="U1268" s="5" t="n">
        <f aca="false">IF(F1268="PO",0.6,
IF(F1268="CT",0.75,
IF(F1268="LI",0.8,
IF(F1268="LD",0.8,
IF(F1268="MCD",0.85,
IF(F1268="MC",0.95,
IF(F1268="MO",1.05,
IF(F1268="EI",1.1,
IF(F1268="ED",1.1,
IF(F1268="SD",1.15,
IF(F1268="DC",1.2,0)))))))))))</f>
        <v>0.95</v>
      </c>
    </row>
    <row r="1269" customFormat="false" ht="16.4" hidden="false" customHeight="false" outlineLevel="0" collapsed="false">
      <c r="A1269" s="1" t="n">
        <v>1268</v>
      </c>
      <c r="B1269" s="5" t="str">
        <f aca="false">[1]Base_Jugadores!B1269</f>
        <v>Tomas Suslov</v>
      </c>
      <c r="C1269" s="5" t="str">
        <f aca="false">IFERROR(
   _xlfn.XLOOKUP(VALUE(A1269),[1]Fichajes_Realizados!A$2:A$50000,[1]Fichajes_Realizados!D$2:D$50000,,0,-1),
   _xlfn.XLOOKUP(VALUE(A1269),[1]Base_Jugadores!A$2:A$50000,[1]Base_Jugadores!C$2:C$50000)
)</f>
        <v>Hellas Verona</v>
      </c>
      <c r="D1269" s="5" t="str">
        <f aca="false">[1]Base_Jugadores!D1269</f>
        <v>Eslovaquia</v>
      </c>
      <c r="E1269" s="3"/>
      <c r="F1269" s="5" t="str">
        <f aca="false">[1]Base_Jugadores!E1269</f>
        <v>MO</v>
      </c>
      <c r="G1269" s="5" t="n">
        <f aca="false">[1]Base_Jugadores!F1269</f>
        <v>73</v>
      </c>
      <c r="H1269" s="5" t="n">
        <f aca="false">[1]Base_Jugadores!G1269</f>
        <v>23</v>
      </c>
      <c r="I1269" s="7" t="n">
        <f aca="false" t="array" ref="I1269:I1269">_xlfn.XLOOKUP(G1269,{55;56;57;58;59;60;61;62;63;64;65;66;67;68;69;70;71;72;73;74;75;76;77;78;79;80;81;82;83;84;85;86;87;88;89;90;91;92;93;94;95;96;97;98;99},{100000;130000;160000;190000;220000;250000;300000;350000;400000;450000;500000;600000;700000;800000;900000;1000000;1500000;2000000;3000000;4000000;5000000;6500000;8000000;10000000;12500000;15000000;20000000;25000000;30000000;35000000;40000000;55000000;70000000;80000000;90000000;110000000;130000000;160000000;190000000;220000000;250000000;280000000;310000000;340000000;400000000})</f>
        <v>3000000</v>
      </c>
      <c r="J1269" s="7" t="n">
        <f aca="false">I1269*S1269*T1269*U1269</f>
        <v>4649400</v>
      </c>
      <c r="K1269" s="3"/>
      <c r="L1269" s="3"/>
      <c r="M1269" s="3"/>
      <c r="N1269" s="9" t="n">
        <v>0</v>
      </c>
      <c r="O1269" s="4" t="n">
        <v>0</v>
      </c>
      <c r="P1269" s="5" t="n">
        <f aca="false">IF(COUNTIF([1]Base_Jugadores!J$2:J$500,B1269)&gt;0,1,0)</f>
        <v>0</v>
      </c>
      <c r="Q1269" s="10" t="b">
        <f aca="false">--(COUNTIFS(
   [1]Fichajes_Realizados!A$2:A$5000,A1269,
   [1]Fichajes_Realizados!G$2:G$5000,$X$3
)&gt;0)</f>
        <v>0</v>
      </c>
      <c r="R1269" s="5" t="n">
        <f aca="false">_xlfn.XLOOKUP(C1269, [1]Estado_Equipos!A$2:A$500, [1]Estado_Equipos!J$2:J$500, "")</f>
        <v>71</v>
      </c>
      <c r="S1269" s="5" t="n">
        <f aca="false">IF(H1269&lt;=16,1.45,
IF(H1269&gt;=41,0.3,
CHOOSE(ROUNDDOWN((H1269-16)/2,0)+1,
1.45,1.38,1.3,1.23,1.17,1.15,1.12,1.05,0.95,0.8,0.6,0.4,0.3)))</f>
        <v>1.23</v>
      </c>
      <c r="T1269" s="5" t="n">
        <f aca="false">CHOOSE(N1269+1,1.2,1,0.85,0.7)</f>
        <v>1.2</v>
      </c>
      <c r="U1269" s="5" t="n">
        <f aca="false">IF(F1269="PO",0.6,
IF(F1269="CT",0.75,
IF(F1269="LI",0.8,
IF(F1269="LD",0.8,
IF(F1269="MCD",0.85,
IF(F1269="MC",0.95,
IF(F1269="MO",1.05,
IF(F1269="EI",1.1,
IF(F1269="ED",1.1,
IF(F1269="SD",1.15,
IF(F1269="DC",1.2,0)))))))))))</f>
        <v>1.05</v>
      </c>
    </row>
    <row r="1270" customFormat="false" ht="16.4" hidden="false" customHeight="false" outlineLevel="0" collapsed="false">
      <c r="A1270" s="1" t="n">
        <v>1269</v>
      </c>
      <c r="B1270" s="5" t="str">
        <f aca="false">[1]Base_Jugadores!B1270</f>
        <v>Grigoris Kastanos</v>
      </c>
      <c r="C1270" s="5" t="str">
        <f aca="false">IFERROR(
   _xlfn.XLOOKUP(VALUE(A1270),[1]Fichajes_Realizados!A$2:A$50000,[1]Fichajes_Realizados!D$2:D$50000,,0,-1),
   _xlfn.XLOOKUP(VALUE(A1270),[1]Base_Jugadores!A$2:A$50000,[1]Base_Jugadores!C$2:C$50000)
)</f>
        <v>Hellas Verona</v>
      </c>
      <c r="D1270" s="5" t="str">
        <f aca="false">[1]Base_Jugadores!D1270</f>
        <v>Chipre</v>
      </c>
      <c r="E1270" s="3"/>
      <c r="F1270" s="5" t="str">
        <f aca="false">[1]Base_Jugadores!E1270</f>
        <v>MC</v>
      </c>
      <c r="G1270" s="5" t="n">
        <f aca="false">[1]Base_Jugadores!F1270</f>
        <v>74</v>
      </c>
      <c r="H1270" s="5" t="n">
        <f aca="false">[1]Base_Jugadores!G1270</f>
        <v>27</v>
      </c>
      <c r="I1270" s="7" t="n">
        <f aca="false" t="array" ref="I1270:I1270">_xlfn.XLOOKUP(G1270,{55;56;57;58;59;60;61;62;63;64;65;66;67;68;69;70;71;72;73;74;75;76;77;78;79;80;81;82;83;84;85;86;87;88;89;90;91;92;93;94;95;96;97;98;99},{100000;130000;160000;190000;220000;250000;300000;350000;400000;450000;500000;600000;700000;800000;900000;1000000;1500000;2000000;3000000;4000000;5000000;6500000;8000000;10000000;12500000;15000000;20000000;25000000;30000000;35000000;40000000;55000000;70000000;80000000;90000000;110000000;130000000;160000000;190000000;220000000;250000000;280000000;310000000;340000000;400000000})</f>
        <v>4000000</v>
      </c>
      <c r="J1270" s="7" t="n">
        <f aca="false">I1270*S1270*T1270*U1270</f>
        <v>5244000</v>
      </c>
      <c r="K1270" s="3"/>
      <c r="L1270" s="3"/>
      <c r="M1270" s="3"/>
      <c r="N1270" s="9" t="n">
        <v>0</v>
      </c>
      <c r="O1270" s="4" t="n">
        <v>0</v>
      </c>
      <c r="P1270" s="5" t="n">
        <f aca="false">IF(COUNTIF([1]Base_Jugadores!J$2:J$500,B1270)&gt;0,1,0)</f>
        <v>0</v>
      </c>
      <c r="Q1270" s="10" t="b">
        <f aca="false">--(COUNTIFS(
   [1]Fichajes_Realizados!A$2:A$5000,A1270,
   [1]Fichajes_Realizados!G$2:G$5000,$X$3
)&gt;0)</f>
        <v>0</v>
      </c>
      <c r="R1270" s="5" t="n">
        <f aca="false">_xlfn.XLOOKUP(C1270, [1]Estado_Equipos!A$2:A$500, [1]Estado_Equipos!J$2:J$500, "")</f>
        <v>71</v>
      </c>
      <c r="S1270" s="5" t="n">
        <f aca="false">IF(H1270&lt;=16,1.45,
IF(H1270&gt;=41,0.3,
CHOOSE(ROUNDDOWN((H1270-16)/2,0)+1,
1.45,1.38,1.3,1.23,1.17,1.15,1.12,1.05,0.95,0.8,0.6,0.4,0.3)))</f>
        <v>1.15</v>
      </c>
      <c r="T1270" s="5" t="n">
        <f aca="false">CHOOSE(N1270+1,1.2,1,0.85,0.7)</f>
        <v>1.2</v>
      </c>
      <c r="U1270" s="5" t="n">
        <f aca="false">IF(F1270="PO",0.6,
IF(F1270="CT",0.75,
IF(F1270="LI",0.8,
IF(F1270="LD",0.8,
IF(F1270="MCD",0.85,
IF(F1270="MC",0.95,
IF(F1270="MO",1.05,
IF(F1270="EI",1.1,
IF(F1270="ED",1.1,
IF(F1270="SD",1.15,
IF(F1270="DC",1.2,0)))))))))))</f>
        <v>0.95</v>
      </c>
    </row>
    <row r="1271" customFormat="false" ht="16.4" hidden="false" customHeight="false" outlineLevel="0" collapsed="false">
      <c r="A1271" s="1" t="n">
        <v>1270</v>
      </c>
      <c r="B1271" s="5" t="str">
        <f aca="false">[1]Base_Jugadores!B1271</f>
        <v>Gift Orban</v>
      </c>
      <c r="C1271" s="5" t="str">
        <f aca="false">IFERROR(
   _xlfn.XLOOKUP(VALUE(A1271),[1]Fichajes_Realizados!A$2:A$50000,[1]Fichajes_Realizados!D$2:D$50000,,0,-1),
   _xlfn.XLOOKUP(VALUE(A1271),[1]Base_Jugadores!A$2:A$50000,[1]Base_Jugadores!C$2:C$50000)
)</f>
        <v>Hellas Verona</v>
      </c>
      <c r="D1271" s="5" t="str">
        <f aca="false">[1]Base_Jugadores!D1271</f>
        <v>Nigeria</v>
      </c>
      <c r="E1271" s="3"/>
      <c r="F1271" s="5" t="str">
        <f aca="false">[1]Base_Jugadores!E1271</f>
        <v>DC</v>
      </c>
      <c r="G1271" s="5" t="n">
        <f aca="false">[1]Base_Jugadores!F1271</f>
        <v>75</v>
      </c>
      <c r="H1271" s="5" t="n">
        <f aca="false">[1]Base_Jugadores!G1271</f>
        <v>23</v>
      </c>
      <c r="I1271" s="7" t="n">
        <f aca="false" t="array" ref="I1271:I1271">_xlfn.XLOOKUP(G1271,{55;56;57;58;59;60;61;62;63;64;65;66;67;68;69;70;71;72;73;74;75;76;77;78;79;80;81;82;83;84;85;86;87;88;89;90;91;92;93;94;95;96;97;98;99},{100000;130000;160000;190000;220000;250000;300000;350000;400000;450000;500000;600000;700000;800000;900000;1000000;1500000;2000000;3000000;4000000;5000000;6500000;8000000;10000000;12500000;15000000;20000000;25000000;30000000;35000000;40000000;55000000;70000000;80000000;90000000;110000000;130000000;160000000;190000000;220000000;250000000;280000000;310000000;340000000;400000000})</f>
        <v>5000000</v>
      </c>
      <c r="J1271" s="7" t="n">
        <f aca="false">I1271*S1271*T1271*U1271</f>
        <v>8856000</v>
      </c>
      <c r="K1271" s="3"/>
      <c r="L1271" s="3"/>
      <c r="M1271" s="3"/>
      <c r="N1271" s="9" t="n">
        <v>0</v>
      </c>
      <c r="O1271" s="4" t="n">
        <v>0</v>
      </c>
      <c r="P1271" s="5" t="n">
        <f aca="false">IF(COUNTIF([1]Base_Jugadores!J$2:J$500,B1271)&gt;0,1,0)</f>
        <v>0</v>
      </c>
      <c r="Q1271" s="10" t="b">
        <f aca="false">--(COUNTIFS(
   [1]Fichajes_Realizados!A$2:A$5000,A1271,
   [1]Fichajes_Realizados!G$2:G$5000,$X$3
)&gt;0)</f>
        <v>0</v>
      </c>
      <c r="R1271" s="5" t="n">
        <f aca="false">_xlfn.XLOOKUP(C1271, [1]Estado_Equipos!A$2:A$500, [1]Estado_Equipos!J$2:J$500, "")</f>
        <v>71</v>
      </c>
      <c r="S1271" s="5" t="n">
        <f aca="false">IF(H1271&lt;=16,1.45,
IF(H1271&gt;=41,0.3,
CHOOSE(ROUNDDOWN((H1271-16)/2,0)+1,
1.45,1.38,1.3,1.23,1.17,1.15,1.12,1.05,0.95,0.8,0.6,0.4,0.3)))</f>
        <v>1.23</v>
      </c>
      <c r="T1271" s="5" t="n">
        <f aca="false">CHOOSE(N1271+1,1.2,1,0.85,0.7)</f>
        <v>1.2</v>
      </c>
      <c r="U1271" s="5" t="n">
        <f aca="false">IF(F1271="PO",0.6,
IF(F1271="CT",0.75,
IF(F1271="LI",0.8,
IF(F1271="LD",0.8,
IF(F1271="MCD",0.85,
IF(F1271="MC",0.95,
IF(F1271="MO",1.05,
IF(F1271="EI",1.1,
IF(F1271="ED",1.1,
IF(F1271="SD",1.15,
IF(F1271="DC",1.2,0)))))))))))</f>
        <v>1.2</v>
      </c>
    </row>
    <row r="1272" customFormat="false" ht="16.4" hidden="false" customHeight="false" outlineLevel="0" collapsed="false">
      <c r="A1272" s="1" t="n">
        <v>1271</v>
      </c>
      <c r="B1272" s="5" t="str">
        <f aca="false">[1]Base_Jugadores!B1272</f>
        <v>Giovane Santana</v>
      </c>
      <c r="C1272" s="5" t="str">
        <f aca="false">IFERROR(
   _xlfn.XLOOKUP(VALUE(A1272),[1]Fichajes_Realizados!A$2:A$50000,[1]Fichajes_Realizados!D$2:D$50000,,0,-1),
   _xlfn.XLOOKUP(VALUE(A1272),[1]Base_Jugadores!A$2:A$50000,[1]Base_Jugadores!C$2:C$50000)
)</f>
        <v>Hellas Verona</v>
      </c>
      <c r="D1272" s="5" t="str">
        <f aca="false">[1]Base_Jugadores!D1272</f>
        <v>Brasil</v>
      </c>
      <c r="E1272" s="3"/>
      <c r="F1272" s="5" t="str">
        <f aca="false">[1]Base_Jugadores!E1272</f>
        <v>DC</v>
      </c>
      <c r="G1272" s="5" t="n">
        <f aca="false">[1]Base_Jugadores!F1272</f>
        <v>67</v>
      </c>
      <c r="H1272" s="5" t="n">
        <f aca="false">[1]Base_Jugadores!G1272</f>
        <v>22</v>
      </c>
      <c r="I1272" s="7" t="n">
        <f aca="false" t="array" ref="I1272:I1272">_xlfn.XLOOKUP(G1272,{55;56;57;58;59;60;61;62;63;64;65;66;67;68;69;70;71;72;73;74;75;76;77;78;79;80;81;82;83;84;85;86;87;88;89;90;91;92;93;94;95;96;97;98;99},{100000;130000;160000;190000;220000;250000;300000;350000;400000;450000;500000;600000;700000;800000;900000;1000000;1500000;2000000;3000000;4000000;5000000;6500000;8000000;10000000;12500000;15000000;20000000;25000000;30000000;35000000;40000000;55000000;70000000;80000000;90000000;110000000;130000000;160000000;190000000;220000000;250000000;280000000;310000000;340000000;400000000})</f>
        <v>700000</v>
      </c>
      <c r="J1272" s="7" t="n">
        <f aca="false">I1272*S1272*T1272*U1272</f>
        <v>1239840</v>
      </c>
      <c r="K1272" s="3"/>
      <c r="L1272" s="3"/>
      <c r="M1272" s="3"/>
      <c r="N1272" s="9" t="n">
        <v>0</v>
      </c>
      <c r="O1272" s="4" t="n">
        <v>0</v>
      </c>
      <c r="P1272" s="5" t="n">
        <f aca="false">IF(COUNTIF([1]Base_Jugadores!J$2:J$500,B1272)&gt;0,1,0)</f>
        <v>0</v>
      </c>
      <c r="Q1272" s="10" t="b">
        <f aca="false">--(COUNTIFS(
   [1]Fichajes_Realizados!A$2:A$5000,A1272,
   [1]Fichajes_Realizados!G$2:G$5000,$X$3
)&gt;0)</f>
        <v>0</v>
      </c>
      <c r="R1272" s="5" t="n">
        <f aca="false">_xlfn.XLOOKUP(C1272, [1]Estado_Equipos!A$2:A$500, [1]Estado_Equipos!J$2:J$500, "")</f>
        <v>71</v>
      </c>
      <c r="S1272" s="5" t="n">
        <f aca="false">IF(H1272&lt;=16,1.45,
IF(H1272&gt;=41,0.3,
CHOOSE(ROUNDDOWN((H1272-16)/2,0)+1,
1.45,1.38,1.3,1.23,1.17,1.15,1.12,1.05,0.95,0.8,0.6,0.4,0.3)))</f>
        <v>1.23</v>
      </c>
      <c r="T1272" s="5" t="n">
        <f aca="false">CHOOSE(N1272+1,1.2,1,0.85,0.7)</f>
        <v>1.2</v>
      </c>
      <c r="U1272" s="5" t="n">
        <f aca="false">IF(F1272="PO",0.6,
IF(F1272="CT",0.75,
IF(F1272="LI",0.8,
IF(F1272="LD",0.8,
IF(F1272="MCD",0.85,
IF(F1272="MC",0.95,
IF(F1272="MO",1.05,
IF(F1272="EI",1.1,
IF(F1272="ED",1.1,
IF(F1272="SD",1.15,
IF(F1272="DC",1.2,0)))))))))))</f>
        <v>1.2</v>
      </c>
    </row>
    <row r="1273" customFormat="false" ht="16.4" hidden="false" customHeight="false" outlineLevel="0" collapsed="false">
      <c r="A1273" s="1" t="n">
        <v>1272</v>
      </c>
      <c r="B1273" s="5" t="str">
        <f aca="false">[1]Base_Jugadores!B1273</f>
        <v>Amin Sarr</v>
      </c>
      <c r="C1273" s="5" t="str">
        <f aca="false">IFERROR(
   _xlfn.XLOOKUP(VALUE(A1273),[1]Fichajes_Realizados!A$2:A$50000,[1]Fichajes_Realizados!D$2:D$50000,,0,-1),
   _xlfn.XLOOKUP(VALUE(A1273),[1]Base_Jugadores!A$2:A$50000,[1]Base_Jugadores!C$2:C$50000)
)</f>
        <v>Hellas Verona</v>
      </c>
      <c r="D1273" s="5" t="str">
        <f aca="false">[1]Base_Jugadores!D1273</f>
        <v>Suecia</v>
      </c>
      <c r="E1273" s="3"/>
      <c r="F1273" s="5" t="str">
        <f aca="false">[1]Base_Jugadores!E1273</f>
        <v>DC</v>
      </c>
      <c r="G1273" s="5" t="n">
        <f aca="false">[1]Base_Jugadores!F1273</f>
        <v>67</v>
      </c>
      <c r="H1273" s="5" t="n">
        <f aca="false">[1]Base_Jugadores!G1273</f>
        <v>24</v>
      </c>
      <c r="I1273" s="7" t="n">
        <f aca="false" t="array" ref="I1273:I1273">_xlfn.XLOOKUP(G1273,{55;56;57;58;59;60;61;62;63;64;65;66;67;68;69;70;71;72;73;74;75;76;77;78;79;80;81;82;83;84;85;86;87;88;89;90;91;92;93;94;95;96;97;98;99},{100000;130000;160000;190000;220000;250000;300000;350000;400000;450000;500000;600000;700000;800000;900000;1000000;1500000;2000000;3000000;4000000;5000000;6500000;8000000;10000000;12500000;15000000;20000000;25000000;30000000;35000000;40000000;55000000;70000000;80000000;90000000;110000000;130000000;160000000;190000000;220000000;250000000;280000000;310000000;340000000;400000000})</f>
        <v>700000</v>
      </c>
      <c r="J1273" s="7" t="n">
        <f aca="false">I1273*S1273*T1273*U1273</f>
        <v>1179360</v>
      </c>
      <c r="K1273" s="3"/>
      <c r="L1273" s="3"/>
      <c r="M1273" s="3"/>
      <c r="N1273" s="9" t="n">
        <v>0</v>
      </c>
      <c r="O1273" s="4" t="n">
        <v>0</v>
      </c>
      <c r="P1273" s="5" t="n">
        <f aca="false">IF(COUNTIF([1]Base_Jugadores!J$2:J$500,B1273)&gt;0,1,0)</f>
        <v>0</v>
      </c>
      <c r="Q1273" s="10" t="b">
        <f aca="false">--(COUNTIFS(
   [1]Fichajes_Realizados!A$2:A$5000,A1273,
   [1]Fichajes_Realizados!G$2:G$5000,$X$3
)&gt;0)</f>
        <v>0</v>
      </c>
      <c r="R1273" s="5" t="n">
        <f aca="false">_xlfn.XLOOKUP(C1273, [1]Estado_Equipos!A$2:A$500, [1]Estado_Equipos!J$2:J$500, "")</f>
        <v>71</v>
      </c>
      <c r="S1273" s="5" t="n">
        <f aca="false">IF(H1273&lt;=16,1.45,
IF(H1273&gt;=41,0.3,
CHOOSE(ROUNDDOWN((H1273-16)/2,0)+1,
1.45,1.38,1.3,1.23,1.17,1.15,1.12,1.05,0.95,0.8,0.6,0.4,0.3)))</f>
        <v>1.17</v>
      </c>
      <c r="T1273" s="5" t="n">
        <f aca="false">CHOOSE(N1273+1,1.2,1,0.85,0.7)</f>
        <v>1.2</v>
      </c>
      <c r="U1273" s="5" t="n">
        <f aca="false">IF(F1273="PO",0.6,
IF(F1273="CT",0.75,
IF(F1273="LI",0.8,
IF(F1273="LD",0.8,
IF(F1273="MCD",0.85,
IF(F1273="MC",0.95,
IF(F1273="MO",1.05,
IF(F1273="EI",1.1,
IF(F1273="ED",1.1,
IF(F1273="SD",1.15,
IF(F1273="DC",1.2,0)))))))))))</f>
        <v>1.2</v>
      </c>
    </row>
    <row r="1274" customFormat="false" ht="16.4" hidden="false" customHeight="false" outlineLevel="0" collapsed="false">
      <c r="A1274" s="1" t="n">
        <v>1273</v>
      </c>
      <c r="B1274" s="5" t="str">
        <f aca="false">[1]Base_Jugadores!B1274</f>
        <v>Daniel Mosquera</v>
      </c>
      <c r="C1274" s="5" t="str">
        <f aca="false">IFERROR(
   _xlfn.XLOOKUP(VALUE(A1274),[1]Fichajes_Realizados!A$2:A$50000,[1]Fichajes_Realizados!D$2:D$50000,,0,-1),
   _xlfn.XLOOKUP(VALUE(A1274),[1]Base_Jugadores!A$2:A$50000,[1]Base_Jugadores!C$2:C$50000)
)</f>
        <v>Hellas Verona</v>
      </c>
      <c r="D1274" s="5" t="str">
        <f aca="false">[1]Base_Jugadores!D1274</f>
        <v>Colombia</v>
      </c>
      <c r="E1274" s="3"/>
      <c r="F1274" s="5" t="str">
        <f aca="false">[1]Base_Jugadores!E1274</f>
        <v>DC</v>
      </c>
      <c r="G1274" s="5" t="n">
        <f aca="false">[1]Base_Jugadores!F1274</f>
        <v>71</v>
      </c>
      <c r="H1274" s="5" t="n">
        <f aca="false">[1]Base_Jugadores!G1274</f>
        <v>26</v>
      </c>
      <c r="I1274" s="7" t="n">
        <f aca="false" t="array" ref="I1274:I1274">_xlfn.XLOOKUP(G1274,{55;56;57;58;59;60;61;62;63;64;65;66;67;68;69;70;71;72;73;74;75;76;77;78;79;80;81;82;83;84;85;86;87;88;89;90;91;92;93;94;95;96;97;98;99},{100000;130000;160000;190000;220000;250000;300000;350000;400000;450000;500000;600000;700000;800000;900000;1000000;1500000;2000000;3000000;4000000;5000000;6500000;8000000;10000000;12500000;15000000;20000000;25000000;30000000;35000000;40000000;55000000;70000000;80000000;90000000;110000000;130000000;160000000;190000000;220000000;250000000;280000000;310000000;340000000;400000000})</f>
        <v>1500000</v>
      </c>
      <c r="J1274" s="7" t="n">
        <f aca="false">I1274*S1274*T1274*U1274</f>
        <v>2484000</v>
      </c>
      <c r="K1274" s="3"/>
      <c r="L1274" s="3"/>
      <c r="M1274" s="3"/>
      <c r="N1274" s="9" t="n">
        <v>0</v>
      </c>
      <c r="O1274" s="4" t="n">
        <v>0</v>
      </c>
      <c r="P1274" s="5" t="n">
        <f aca="false">IF(COUNTIF([1]Base_Jugadores!J$2:J$500,B1274)&gt;0,1,0)</f>
        <v>0</v>
      </c>
      <c r="Q1274" s="10" t="b">
        <f aca="false">--(COUNTIFS(
   [1]Fichajes_Realizados!A$2:A$5000,A1274,
   [1]Fichajes_Realizados!G$2:G$5000,$X$3
)&gt;0)</f>
        <v>0</v>
      </c>
      <c r="R1274" s="5" t="n">
        <f aca="false">_xlfn.XLOOKUP(C1274, [1]Estado_Equipos!A$2:A$500, [1]Estado_Equipos!J$2:J$500, "")</f>
        <v>71</v>
      </c>
      <c r="S1274" s="5" t="n">
        <f aca="false">IF(H1274&lt;=16,1.45,
IF(H1274&gt;=41,0.3,
CHOOSE(ROUNDDOWN((H1274-16)/2,0)+1,
1.45,1.38,1.3,1.23,1.17,1.15,1.12,1.05,0.95,0.8,0.6,0.4,0.3)))</f>
        <v>1.15</v>
      </c>
      <c r="T1274" s="5" t="n">
        <f aca="false">CHOOSE(N1274+1,1.2,1,0.85,0.7)</f>
        <v>1.2</v>
      </c>
      <c r="U1274" s="5" t="n">
        <f aca="false">IF(F1274="PO",0.6,
IF(F1274="CT",0.75,
IF(F1274="LI",0.8,
IF(F1274="LD",0.8,
IF(F1274="MCD",0.85,
IF(F1274="MC",0.95,
IF(F1274="MO",1.05,
IF(F1274="EI",1.1,
IF(F1274="ED",1.1,
IF(F1274="SD",1.15,
IF(F1274="DC",1.2,0)))))))))))</f>
        <v>1.2</v>
      </c>
    </row>
    <row r="1275" customFormat="false" ht="16.4" hidden="false" customHeight="false" outlineLevel="0" collapsed="false">
      <c r="A1275" s="1" t="n">
        <v>1274</v>
      </c>
      <c r="B1275" s="5" t="str">
        <f aca="false">[1]Base_Jugadores!B1275</f>
        <v>Junior Ajayi</v>
      </c>
      <c r="C1275" s="5" t="str">
        <f aca="false">IFERROR(
   _xlfn.XLOOKUP(VALUE(A1275),[1]Fichajes_Realizados!A$2:A$50000,[1]Fichajes_Realizados!D$2:D$50000,,0,-1),
   _xlfn.XLOOKUP(VALUE(A1275),[1]Base_Jugadores!A$2:A$50000,[1]Base_Jugadores!C$2:C$50000)
)</f>
        <v>Hellas Verona</v>
      </c>
      <c r="D1275" s="5" t="str">
        <f aca="false">[1]Base_Jugadores!D1275</f>
        <v>Costa de Marfil</v>
      </c>
      <c r="E1275" s="3"/>
      <c r="F1275" s="5" t="str">
        <f aca="false">[1]Base_Jugadores!E1275</f>
        <v>DC</v>
      </c>
      <c r="G1275" s="5" t="n">
        <f aca="false">[1]Base_Jugadores!F1275</f>
        <v>59</v>
      </c>
      <c r="H1275" s="5" t="n">
        <f aca="false">[1]Base_Jugadores!G1275</f>
        <v>21</v>
      </c>
      <c r="I1275" s="7" t="n">
        <f aca="false" t="array" ref="I1275:I1275">_xlfn.XLOOKUP(G1275,{55;56;57;58;59;60;61;62;63;64;65;66;67;68;69;70;71;72;73;74;75;76;77;78;79;80;81;82;83;84;85;86;87;88;89;90;91;92;93;94;95;96;97;98;99},{100000;130000;160000;190000;220000;250000;300000;350000;400000;450000;500000;600000;700000;800000;900000;1000000;1500000;2000000;3000000;4000000;5000000;6500000;8000000;10000000;12500000;15000000;20000000;25000000;30000000;35000000;40000000;55000000;70000000;80000000;90000000;110000000;130000000;160000000;190000000;220000000;250000000;280000000;310000000;340000000;400000000})</f>
        <v>220000</v>
      </c>
      <c r="J1275" s="7" t="n">
        <f aca="false">I1275*S1275*T1275*U1275</f>
        <v>411840</v>
      </c>
      <c r="K1275" s="3"/>
      <c r="L1275" s="3"/>
      <c r="M1275" s="3"/>
      <c r="N1275" s="9" t="n">
        <v>0</v>
      </c>
      <c r="O1275" s="4" t="n">
        <v>0</v>
      </c>
      <c r="P1275" s="5" t="n">
        <f aca="false">IF(COUNTIF([1]Base_Jugadores!J$2:J$500,B1275)&gt;0,1,0)</f>
        <v>0</v>
      </c>
      <c r="Q1275" s="10" t="b">
        <f aca="false">--(COUNTIFS(
   [1]Fichajes_Realizados!A$2:A$5000,A1275,
   [1]Fichajes_Realizados!G$2:G$5000,$X$3
)&gt;0)</f>
        <v>0</v>
      </c>
      <c r="R1275" s="5" t="n">
        <f aca="false">_xlfn.XLOOKUP(C1275, [1]Estado_Equipos!A$2:A$500, [1]Estado_Equipos!J$2:J$500, "")</f>
        <v>71</v>
      </c>
      <c r="S1275" s="5" t="n">
        <f aca="false">IF(H1275&lt;=16,1.45,
IF(H1275&gt;=41,0.3,
CHOOSE(ROUNDDOWN((H1275-16)/2,0)+1,
1.45,1.38,1.3,1.23,1.17,1.15,1.12,1.05,0.95,0.8,0.6,0.4,0.3)))</f>
        <v>1.3</v>
      </c>
      <c r="T1275" s="5" t="n">
        <f aca="false">CHOOSE(N1275+1,1.2,1,0.85,0.7)</f>
        <v>1.2</v>
      </c>
      <c r="U1275" s="5" t="n">
        <f aca="false">IF(F1275="PO",0.6,
IF(F1275="CT",0.75,
IF(F1275="LI",0.8,
IF(F1275="LD",0.8,
IF(F1275="MCD",0.85,
IF(F1275="MC",0.95,
IF(F1275="MO",1.05,
IF(F1275="EI",1.1,
IF(F1275="ED",1.1,
IF(F1275="SD",1.15,
IF(F1275="DC",1.2,0)))))))))))</f>
        <v>1.2</v>
      </c>
    </row>
    <row r="1276" customFormat="false" ht="16.4" hidden="false" customHeight="false" outlineLevel="0" collapsed="false">
      <c r="A1276" s="1" t="n">
        <v>1275</v>
      </c>
      <c r="B1276" s="5" t="str">
        <f aca="false">[1]Base_Jugadores!B1276</f>
        <v>Luca Monticelli</v>
      </c>
      <c r="C1276" s="5" t="str">
        <f aca="false">IFERROR(
   _xlfn.XLOOKUP(VALUE(A1276),[1]Fichajes_Realizados!A$2:A$50000,[1]Fichajes_Realizados!D$2:D$50000,,0,-1),
   _xlfn.XLOOKUP(VALUE(A1276),[1]Base_Jugadores!A$2:A$50000,[1]Base_Jugadores!C$2:C$50000)
)</f>
        <v>Hellas Verona</v>
      </c>
      <c r="D1276" s="5" t="str">
        <f aca="false">[1]Base_Jugadores!D1276</f>
        <v>Bélgica</v>
      </c>
      <c r="E1276" s="3"/>
      <c r="F1276" s="5" t="str">
        <f aca="false">[1]Base_Jugadores!E1276</f>
        <v>MC</v>
      </c>
      <c r="G1276" s="5" t="n">
        <f aca="false">[1]Base_Jugadores!F1276</f>
        <v>53</v>
      </c>
      <c r="H1276" s="5" t="n">
        <f aca="false">[1]Base_Jugadores!G1276</f>
        <v>20</v>
      </c>
      <c r="I1276" s="7" t="e">
        <f aca="false" t="array" ref="I1276:I1276">_xlfn.XLOOKUP(G1276,{55;56;57;58;59;60;61;62;63;64;65;66;67;68;69;70;71;72;73;74;75;76;77;78;79;80;81;82;83;84;85;86;87;88;89;90;91;92;93;94;95;96;97;98;99},{100000;130000;160000;190000;220000;250000;300000;350000;400000;450000;500000;600000;700000;800000;900000;1000000;1500000;2000000;3000000;4000000;5000000;6500000;8000000;10000000;12500000;15000000;20000000;25000000;30000000;35000000;40000000;55000000;70000000;80000000;90000000;110000000;130000000;160000000;190000000;220000000;250000000;280000000;310000000;340000000;400000000})</f>
        <v>#N/A</v>
      </c>
      <c r="J1276" s="7" t="e">
        <f aca="false">I1276*S1276*T1276*U1276</f>
        <v>#N/A</v>
      </c>
      <c r="K1276" s="3"/>
      <c r="L1276" s="3"/>
      <c r="M1276" s="3"/>
      <c r="N1276" s="9" t="n">
        <v>0</v>
      </c>
      <c r="O1276" s="4" t="n">
        <v>0</v>
      </c>
      <c r="P1276" s="5" t="n">
        <f aca="false">IF(COUNTIF([1]Base_Jugadores!J$2:J$500,B1276)&gt;0,1,0)</f>
        <v>0</v>
      </c>
      <c r="Q1276" s="10" t="b">
        <f aca="false">--(COUNTIFS(
   [1]Fichajes_Realizados!A$2:A$5000,A1276,
   [1]Fichajes_Realizados!G$2:G$5000,$X$3
)&gt;0)</f>
        <v>0</v>
      </c>
      <c r="R1276" s="5" t="n">
        <f aca="false">_xlfn.XLOOKUP(C1276, [1]Estado_Equipos!A$2:A$500, [1]Estado_Equipos!J$2:J$500, "")</f>
        <v>71</v>
      </c>
      <c r="S1276" s="5" t="n">
        <f aca="false">IF(H1276&lt;=16,1.45,
IF(H1276&gt;=41,0.3,
CHOOSE(ROUNDDOWN((H1276-16)/2,0)+1,
1.45,1.38,1.3,1.23,1.17,1.15,1.12,1.05,0.95,0.8,0.6,0.4,0.3)))</f>
        <v>1.3</v>
      </c>
      <c r="T1276" s="5" t="n">
        <f aca="false">CHOOSE(N1276+1,1.2,1,0.85,0.7)</f>
        <v>1.2</v>
      </c>
      <c r="U1276" s="5" t="n">
        <f aca="false">IF(F1276="PO",0.6,
IF(F1276="CT",0.75,
IF(F1276="LI",0.8,
IF(F1276="LD",0.8,
IF(F1276="MCD",0.85,
IF(F1276="MC",0.95,
IF(F1276="MO",1.05,
IF(F1276="EI",1.1,
IF(F1276="ED",1.1,
IF(F1276="SD",1.15,
IF(F1276="DC",1.2,0)))))))))))</f>
        <v>0.95</v>
      </c>
    </row>
    <row r="1277" customFormat="false" ht="16.4" hidden="false" customHeight="false" outlineLevel="0" collapsed="false">
      <c r="A1277" s="1" t="n">
        <v>1276</v>
      </c>
      <c r="B1277" s="5" t="str">
        <f aca="false">[1]Base_Jugadores!B1277</f>
        <v>Josep Martínez</v>
      </c>
      <c r="C1277" s="5" t="str">
        <f aca="false">IFERROR(
   _xlfn.XLOOKUP(VALUE(A1277),[1]Fichajes_Realizados!A$2:A$50000,[1]Fichajes_Realizados!D$2:D$50000,,0,-1),
   _xlfn.XLOOKUP(VALUE(A1277),[1]Base_Jugadores!A$2:A$50000,[1]Base_Jugadores!C$2:C$50000)
)</f>
        <v>Inter de Milán</v>
      </c>
      <c r="D1277" s="5" t="str">
        <f aca="false">[1]Base_Jugadores!D1277</f>
        <v>España</v>
      </c>
      <c r="E1277" s="3"/>
      <c r="F1277" s="5" t="str">
        <f aca="false">[1]Base_Jugadores!E1277</f>
        <v>PO</v>
      </c>
      <c r="G1277" s="5" t="n">
        <f aca="false">[1]Base_Jugadores!F1277</f>
        <v>75</v>
      </c>
      <c r="H1277" s="5" t="n">
        <f aca="false">[1]Base_Jugadores!G1277</f>
        <v>27</v>
      </c>
      <c r="I1277" s="7" t="n">
        <f aca="false" t="array" ref="I1277:I1277">_xlfn.XLOOKUP(G1277,{55;56;57;58;59;60;61;62;63;64;65;66;67;68;69;70;71;72;73;74;75;76;77;78;79;80;81;82;83;84;85;86;87;88;89;90;91;92;93;94;95;96;97;98;99},{100000;130000;160000;190000;220000;250000;300000;350000;400000;450000;500000;600000;700000;800000;900000;1000000;1500000;2000000;3000000;4000000;5000000;6500000;8000000;10000000;12500000;15000000;20000000;25000000;30000000;35000000;40000000;55000000;70000000;80000000;90000000;110000000;130000000;160000000;190000000;220000000;250000000;280000000;310000000;340000000;400000000})</f>
        <v>5000000</v>
      </c>
      <c r="J1277" s="7" t="n">
        <f aca="false">I1277*S1277*T1277*U1277</f>
        <v>4140000</v>
      </c>
      <c r="K1277" s="3"/>
      <c r="L1277" s="3"/>
      <c r="M1277" s="3"/>
      <c r="N1277" s="9" t="n">
        <v>0</v>
      </c>
      <c r="O1277" s="4" t="n">
        <v>0</v>
      </c>
      <c r="P1277" s="5" t="n">
        <f aca="false">IF(COUNTIF([1]Base_Jugadores!J$2:J$500,B1277)&gt;0,1,0)</f>
        <v>0</v>
      </c>
      <c r="Q1277" s="10" t="b">
        <f aca="false">--(COUNTIFS(
   [1]Fichajes_Realizados!A$2:A$5000,A1277,
   [1]Fichajes_Realizados!G$2:G$5000,$X$3
)&gt;0)</f>
        <v>0</v>
      </c>
      <c r="R1277" s="5" t="n">
        <f aca="false">_xlfn.XLOOKUP(C1277, [1]Estado_Equipos!A$2:A$500, [1]Estado_Equipos!J$2:J$500, "")</f>
        <v>78</v>
      </c>
      <c r="S1277" s="5" t="n">
        <f aca="false">IF(H1277&lt;=16,1.45,
IF(H1277&gt;=41,0.3,
CHOOSE(ROUNDDOWN((H1277-16)/2,0)+1,
1.45,1.38,1.3,1.23,1.17,1.15,1.12,1.05,0.95,0.8,0.6,0.4,0.3)))</f>
        <v>1.15</v>
      </c>
      <c r="T1277" s="5" t="n">
        <f aca="false">CHOOSE(N1277+1,1.2,1,0.85,0.7)</f>
        <v>1.2</v>
      </c>
      <c r="U1277" s="5" t="n">
        <f aca="false">IF(F1277="PO",0.6,
IF(F1277="CT",0.75,
IF(F1277="LI",0.8,
IF(F1277="LD",0.8,
IF(F1277="MCD",0.85,
IF(F1277="MC",0.95,
IF(F1277="MO",1.05,
IF(F1277="EI",1.1,
IF(F1277="ED",1.1,
IF(F1277="SD",1.15,
IF(F1277="DC",1.2,0)))))))))))</f>
        <v>0.6</v>
      </c>
    </row>
    <row r="1278" customFormat="false" ht="16.4" hidden="false" customHeight="false" outlineLevel="0" collapsed="false">
      <c r="A1278" s="1" t="n">
        <v>1277</v>
      </c>
      <c r="B1278" s="5" t="str">
        <f aca="false">[1]Base_Jugadores!B1278</f>
        <v>Yann Sommer</v>
      </c>
      <c r="C1278" s="5" t="str">
        <f aca="false">IFERROR(
   _xlfn.XLOOKUP(VALUE(A1278),[1]Fichajes_Realizados!A$2:A$50000,[1]Fichajes_Realizados!D$2:D$50000,,0,-1),
   _xlfn.XLOOKUP(VALUE(A1278),[1]Base_Jugadores!A$2:A$50000,[1]Base_Jugadores!C$2:C$50000)
)</f>
        <v>Inter de Milán</v>
      </c>
      <c r="D1278" s="5" t="str">
        <f aca="false">[1]Base_Jugadores!D1278</f>
        <v>Suiza</v>
      </c>
      <c r="E1278" s="3"/>
      <c r="F1278" s="5" t="str">
        <f aca="false">[1]Base_Jugadores!E1278</f>
        <v>PO</v>
      </c>
      <c r="G1278" s="5" t="n">
        <f aca="false">[1]Base_Jugadores!F1278</f>
        <v>87</v>
      </c>
      <c r="H1278" s="5" t="n">
        <f aca="false">[1]Base_Jugadores!G1278</f>
        <v>37</v>
      </c>
      <c r="I1278" s="7" t="n">
        <f aca="false" t="array" ref="I1278:I1278">_xlfn.XLOOKUP(G1278,{55;56;57;58;59;60;61;62;63;64;65;66;67;68;69;70;71;72;73;74;75;76;77;78;79;80;81;82;83;84;85;86;87;88;89;90;91;92;93;94;95;96;97;98;99},{100000;130000;160000;190000;220000;250000;300000;350000;400000;450000;500000;600000;700000;800000;900000;1000000;1500000;2000000;3000000;4000000;5000000;6500000;8000000;10000000;12500000;15000000;20000000;25000000;30000000;35000000;40000000;55000000;70000000;80000000;90000000;110000000;130000000;160000000;190000000;220000000;250000000;280000000;310000000;340000000;400000000})</f>
        <v>70000000</v>
      </c>
      <c r="J1278" s="7" t="n">
        <f aca="false">I1278*S1278*T1278*U1278</f>
        <v>30240000</v>
      </c>
      <c r="K1278" s="3"/>
      <c r="L1278" s="3"/>
      <c r="M1278" s="3"/>
      <c r="N1278" s="9" t="n">
        <v>0</v>
      </c>
      <c r="O1278" s="4" t="n">
        <v>0</v>
      </c>
      <c r="P1278" s="5" t="n">
        <f aca="false">IF(COUNTIF([1]Base_Jugadores!J$2:J$500,B1278)&gt;0,1,0)</f>
        <v>0</v>
      </c>
      <c r="Q1278" s="10" t="b">
        <f aca="false">--(COUNTIFS(
   [1]Fichajes_Realizados!A$2:A$5000,A1278,
   [1]Fichajes_Realizados!G$2:G$5000,$X$3
)&gt;0)</f>
        <v>0</v>
      </c>
      <c r="R1278" s="5" t="n">
        <f aca="false">_xlfn.XLOOKUP(C1278, [1]Estado_Equipos!A$2:A$500, [1]Estado_Equipos!J$2:J$500, "")</f>
        <v>78</v>
      </c>
      <c r="S1278" s="5" t="n">
        <f aca="false">IF(H1278&lt;=16,1.45,
IF(H1278&gt;=41,0.3,
CHOOSE(ROUNDDOWN((H1278-16)/2,0)+1,
1.45,1.38,1.3,1.23,1.17,1.15,1.12,1.05,0.95,0.8,0.6,0.4,0.3)))</f>
        <v>0.6</v>
      </c>
      <c r="T1278" s="5" t="n">
        <f aca="false">CHOOSE(N1278+1,1.2,1,0.85,0.7)</f>
        <v>1.2</v>
      </c>
      <c r="U1278" s="5" t="n">
        <f aca="false">IF(F1278="PO",0.6,
IF(F1278="CT",0.75,
IF(F1278="LI",0.8,
IF(F1278="LD",0.8,
IF(F1278="MCD",0.85,
IF(F1278="MC",0.95,
IF(F1278="MO",1.05,
IF(F1278="EI",1.1,
IF(F1278="ED",1.1,
IF(F1278="SD",1.15,
IF(F1278="DC",1.2,0)))))))))))</f>
        <v>0.6</v>
      </c>
    </row>
    <row r="1279" customFormat="false" ht="16.4" hidden="false" customHeight="false" outlineLevel="0" collapsed="false">
      <c r="A1279" s="1" t="n">
        <v>1278</v>
      </c>
      <c r="B1279" s="5" t="str">
        <f aca="false">[1]Base_Jugadores!B1279</f>
        <v>R. Di Gennaro</v>
      </c>
      <c r="C1279" s="5" t="str">
        <f aca="false">IFERROR(
   _xlfn.XLOOKUP(VALUE(A1279),[1]Fichajes_Realizados!A$2:A$50000,[1]Fichajes_Realizados!D$2:D$50000,,0,-1),
   _xlfn.XLOOKUP(VALUE(A1279),[1]Base_Jugadores!A$2:A$50000,[1]Base_Jugadores!C$2:C$50000)
)</f>
        <v>Inter de Milán</v>
      </c>
      <c r="D1279" s="5" t="str">
        <f aca="false">[1]Base_Jugadores!D1279</f>
        <v>Italia</v>
      </c>
      <c r="E1279" s="3"/>
      <c r="F1279" s="5" t="str">
        <f aca="false">[1]Base_Jugadores!E1279</f>
        <v>PO</v>
      </c>
      <c r="G1279" s="5" t="n">
        <f aca="false">[1]Base_Jugadores!F1279</f>
        <v>70</v>
      </c>
      <c r="H1279" s="5" t="n">
        <f aca="false">[1]Base_Jugadores!G1279</f>
        <v>32</v>
      </c>
      <c r="I1279" s="7" t="n">
        <f aca="false" t="array" ref="I1279:I1279">_xlfn.XLOOKUP(G1279,{55;56;57;58;59;60;61;62;63;64;65;66;67;68;69;70;71;72;73;74;75;76;77;78;79;80;81;82;83;84;85;86;87;88;89;90;91;92;93;94;95;96;97;98;99},{100000;130000;160000;190000;220000;250000;300000;350000;400000;450000;500000;600000;700000;800000;900000;1000000;1500000;2000000;3000000;4000000;5000000;6500000;8000000;10000000;12500000;15000000;20000000;25000000;30000000;35000000;40000000;55000000;70000000;80000000;90000000;110000000;130000000;160000000;190000000;220000000;250000000;280000000;310000000;340000000;400000000})</f>
        <v>1000000</v>
      </c>
      <c r="J1279" s="7" t="n">
        <f aca="false">I1279*S1279*T1279*U1279</f>
        <v>684000</v>
      </c>
      <c r="K1279" s="3"/>
      <c r="L1279" s="3"/>
      <c r="M1279" s="3"/>
      <c r="N1279" s="9" t="n">
        <v>0</v>
      </c>
      <c r="O1279" s="4" t="n">
        <v>0</v>
      </c>
      <c r="P1279" s="5" t="n">
        <f aca="false">IF(COUNTIF([1]Base_Jugadores!J$2:J$500,B1279)&gt;0,1,0)</f>
        <v>0</v>
      </c>
      <c r="Q1279" s="10" t="b">
        <f aca="false">--(COUNTIFS(
   [1]Fichajes_Realizados!A$2:A$5000,A1279,
   [1]Fichajes_Realizados!G$2:G$5000,$X$3
)&gt;0)</f>
        <v>0</v>
      </c>
      <c r="R1279" s="5" t="n">
        <f aca="false">_xlfn.XLOOKUP(C1279, [1]Estado_Equipos!A$2:A$500, [1]Estado_Equipos!J$2:J$500, "")</f>
        <v>78</v>
      </c>
      <c r="S1279" s="5" t="n">
        <f aca="false">IF(H1279&lt;=16,1.45,
IF(H1279&gt;=41,0.3,
CHOOSE(ROUNDDOWN((H1279-16)/2,0)+1,
1.45,1.38,1.3,1.23,1.17,1.15,1.12,1.05,0.95,0.8,0.6,0.4,0.3)))</f>
        <v>0.95</v>
      </c>
      <c r="T1279" s="5" t="n">
        <f aca="false">CHOOSE(N1279+1,1.2,1,0.85,0.7)</f>
        <v>1.2</v>
      </c>
      <c r="U1279" s="5" t="n">
        <f aca="false">IF(F1279="PO",0.6,
IF(F1279="CT",0.75,
IF(F1279="LI",0.8,
IF(F1279="LD",0.8,
IF(F1279="MCD",0.85,
IF(F1279="MC",0.95,
IF(F1279="MO",1.05,
IF(F1279="EI",1.1,
IF(F1279="ED",1.1,
IF(F1279="SD",1.15,
IF(F1279="DC",1.2,0)))))))))))</f>
        <v>0.6</v>
      </c>
    </row>
    <row r="1280" customFormat="false" ht="16.4" hidden="false" customHeight="false" outlineLevel="0" collapsed="false">
      <c r="A1280" s="1" t="n">
        <v>1279</v>
      </c>
      <c r="B1280" s="5" t="str">
        <f aca="false">[1]Base_Jugadores!B1280</f>
        <v>Alessandro Bastoni</v>
      </c>
      <c r="C1280" s="5" t="str">
        <f aca="false">IFERROR(
   _xlfn.XLOOKUP(VALUE(A1280),[1]Fichajes_Realizados!A$2:A$50000,[1]Fichajes_Realizados!D$2:D$50000,,0,-1),
   _xlfn.XLOOKUP(VALUE(A1280),[1]Base_Jugadores!A$2:A$50000,[1]Base_Jugadores!C$2:C$50000)
)</f>
        <v>Inter de Milán</v>
      </c>
      <c r="D1280" s="5" t="str">
        <f aca="false">[1]Base_Jugadores!D1280</f>
        <v>Italia</v>
      </c>
      <c r="E1280" s="3"/>
      <c r="F1280" s="5" t="str">
        <f aca="false">[1]Base_Jugadores!E1280</f>
        <v>CT</v>
      </c>
      <c r="G1280" s="5" t="n">
        <f aca="false">[1]Base_Jugadores!F1280</f>
        <v>87</v>
      </c>
      <c r="H1280" s="5" t="n">
        <f aca="false">[1]Base_Jugadores!G1280</f>
        <v>26</v>
      </c>
      <c r="I1280" s="7" t="n">
        <f aca="false" t="array" ref="I1280:I1280">_xlfn.XLOOKUP(G1280,{55;56;57;58;59;60;61;62;63;64;65;66;67;68;69;70;71;72;73;74;75;76;77;78;79;80;81;82;83;84;85;86;87;88;89;90;91;92;93;94;95;96;97;98;99},{100000;130000;160000;190000;220000;250000;300000;350000;400000;450000;500000;600000;700000;800000;900000;1000000;1500000;2000000;3000000;4000000;5000000;6500000;8000000;10000000;12500000;15000000;20000000;25000000;30000000;35000000;40000000;55000000;70000000;80000000;90000000;110000000;130000000;160000000;190000000;220000000;250000000;280000000;310000000;340000000;400000000})</f>
        <v>70000000</v>
      </c>
      <c r="J1280" s="7" t="n">
        <f aca="false">I1280*S1280*T1280*U1280</f>
        <v>72450000</v>
      </c>
      <c r="K1280" s="3"/>
      <c r="L1280" s="3"/>
      <c r="M1280" s="3"/>
      <c r="N1280" s="9" t="n">
        <v>0</v>
      </c>
      <c r="O1280" s="4" t="n">
        <v>0</v>
      </c>
      <c r="P1280" s="5" t="n">
        <f aca="false">IF(COUNTIF([1]Base_Jugadores!J$2:J$500,B1280)&gt;0,1,0)</f>
        <v>0</v>
      </c>
      <c r="Q1280" s="10" t="b">
        <f aca="false">--(COUNTIFS(
   [1]Fichajes_Realizados!A$2:A$5000,A1280,
   [1]Fichajes_Realizados!G$2:G$5000,$X$3
)&gt;0)</f>
        <v>0</v>
      </c>
      <c r="R1280" s="5" t="n">
        <f aca="false">_xlfn.XLOOKUP(C1280, [1]Estado_Equipos!A$2:A$500, [1]Estado_Equipos!J$2:J$500, "")</f>
        <v>78</v>
      </c>
      <c r="S1280" s="5" t="n">
        <f aca="false">IF(H1280&lt;=16,1.45,
IF(H1280&gt;=41,0.3,
CHOOSE(ROUNDDOWN((H1280-16)/2,0)+1,
1.45,1.38,1.3,1.23,1.17,1.15,1.12,1.05,0.95,0.8,0.6,0.4,0.3)))</f>
        <v>1.15</v>
      </c>
      <c r="T1280" s="5" t="n">
        <f aca="false">CHOOSE(N1280+1,1.2,1,0.85,0.7)</f>
        <v>1.2</v>
      </c>
      <c r="U1280" s="5" t="n">
        <f aca="false">IF(F1280="PO",0.6,
IF(F1280="CT",0.75,
IF(F1280="LI",0.8,
IF(F1280="LD",0.8,
IF(F1280="MCD",0.85,
IF(F1280="MC",0.95,
IF(F1280="MO",1.05,
IF(F1280="EI",1.1,
IF(F1280="ED",1.1,
IF(F1280="SD",1.15,
IF(F1280="DC",1.2,0)))))))))))</f>
        <v>0.75</v>
      </c>
    </row>
    <row r="1281" customFormat="false" ht="16.4" hidden="false" customHeight="false" outlineLevel="0" collapsed="false">
      <c r="A1281" s="1" t="n">
        <v>1280</v>
      </c>
      <c r="B1281" s="5" t="str">
        <f aca="false">[1]Base_Jugadores!B1281</f>
        <v>Yann Bisseck</v>
      </c>
      <c r="C1281" s="5" t="str">
        <f aca="false">IFERROR(
   _xlfn.XLOOKUP(VALUE(A1281),[1]Fichajes_Realizados!A$2:A$50000,[1]Fichajes_Realizados!D$2:D$50000,,0,-1),
   _xlfn.XLOOKUP(VALUE(A1281),[1]Base_Jugadores!A$2:A$50000,[1]Base_Jugadores!C$2:C$50000)
)</f>
        <v>Inter de Milán</v>
      </c>
      <c r="D1281" s="5" t="str">
        <f aca="false">[1]Base_Jugadores!D1281</f>
        <v>Alemania</v>
      </c>
      <c r="E1281" s="3"/>
      <c r="F1281" s="5" t="str">
        <f aca="false">[1]Base_Jugadores!E1281</f>
        <v>CT</v>
      </c>
      <c r="G1281" s="5" t="n">
        <f aca="false">[1]Base_Jugadores!F1281</f>
        <v>77</v>
      </c>
      <c r="H1281" s="5" t="n">
        <f aca="false">[1]Base_Jugadores!G1281</f>
        <v>25</v>
      </c>
      <c r="I1281" s="7" t="n">
        <f aca="false" t="array" ref="I1281:I1281">_xlfn.XLOOKUP(G1281,{55;56;57;58;59;60;61;62;63;64;65;66;67;68;69;70;71;72;73;74;75;76;77;78;79;80;81;82;83;84;85;86;87;88;89;90;91;92;93;94;95;96;97;98;99},{100000;130000;160000;190000;220000;250000;300000;350000;400000;450000;500000;600000;700000;800000;900000;1000000;1500000;2000000;3000000;4000000;5000000;6500000;8000000;10000000;12500000;15000000;20000000;25000000;30000000;35000000;40000000;55000000;70000000;80000000;90000000;110000000;130000000;160000000;190000000;220000000;250000000;280000000;310000000;340000000;400000000})</f>
        <v>8000000</v>
      </c>
      <c r="J1281" s="7" t="n">
        <f aca="false">I1281*S1281*T1281*U1281</f>
        <v>8424000</v>
      </c>
      <c r="K1281" s="3"/>
      <c r="L1281" s="3"/>
      <c r="M1281" s="3"/>
      <c r="N1281" s="9" t="n">
        <v>0</v>
      </c>
      <c r="O1281" s="4" t="n">
        <v>0</v>
      </c>
      <c r="P1281" s="5" t="n">
        <f aca="false">IF(COUNTIF([1]Base_Jugadores!J$2:J$500,B1281)&gt;0,1,0)</f>
        <v>0</v>
      </c>
      <c r="Q1281" s="10" t="b">
        <f aca="false">--(COUNTIFS(
   [1]Fichajes_Realizados!A$2:A$5000,A1281,
   [1]Fichajes_Realizados!G$2:G$5000,$X$3
)&gt;0)</f>
        <v>0</v>
      </c>
      <c r="R1281" s="5" t="n">
        <f aca="false">_xlfn.XLOOKUP(C1281, [1]Estado_Equipos!A$2:A$500, [1]Estado_Equipos!J$2:J$500, "")</f>
        <v>78</v>
      </c>
      <c r="S1281" s="5" t="n">
        <f aca="false">IF(H1281&lt;=16,1.45,
IF(H1281&gt;=41,0.3,
CHOOSE(ROUNDDOWN((H1281-16)/2,0)+1,
1.45,1.38,1.3,1.23,1.17,1.15,1.12,1.05,0.95,0.8,0.6,0.4,0.3)))</f>
        <v>1.17</v>
      </c>
      <c r="T1281" s="5" t="n">
        <f aca="false">CHOOSE(N1281+1,1.2,1,0.85,0.7)</f>
        <v>1.2</v>
      </c>
      <c r="U1281" s="5" t="n">
        <f aca="false">IF(F1281="PO",0.6,
IF(F1281="CT",0.75,
IF(F1281="LI",0.8,
IF(F1281="LD",0.8,
IF(F1281="MCD",0.85,
IF(F1281="MC",0.95,
IF(F1281="MO",1.05,
IF(F1281="EI",1.1,
IF(F1281="ED",1.1,
IF(F1281="SD",1.15,
IF(F1281="DC",1.2,0)))))))))))</f>
        <v>0.75</v>
      </c>
    </row>
    <row r="1282" customFormat="false" ht="16.4" hidden="false" customHeight="false" outlineLevel="0" collapsed="false">
      <c r="A1282" s="1" t="n">
        <v>1281</v>
      </c>
      <c r="B1282" s="5" t="str">
        <f aca="false">[1]Base_Jugadores!B1282</f>
        <v>Manuel Akanji</v>
      </c>
      <c r="C1282" s="5" t="str">
        <f aca="false">IFERROR(
   _xlfn.XLOOKUP(VALUE(A1282),[1]Fichajes_Realizados!A$2:A$50000,[1]Fichajes_Realizados!D$2:D$50000,,0,-1),
   _xlfn.XLOOKUP(VALUE(A1282),[1]Base_Jugadores!A$2:A$50000,[1]Base_Jugadores!C$2:C$50000)
)</f>
        <v>Inter de Milán</v>
      </c>
      <c r="D1282" s="5" t="str">
        <f aca="false">[1]Base_Jugadores!D1282</f>
        <v>Suiza</v>
      </c>
      <c r="E1282" s="3"/>
      <c r="F1282" s="5" t="str">
        <f aca="false">[1]Base_Jugadores!E1282</f>
        <v>CT</v>
      </c>
      <c r="G1282" s="5" t="n">
        <f aca="false">[1]Base_Jugadores!F1282</f>
        <v>83</v>
      </c>
      <c r="H1282" s="5" t="n">
        <f aca="false">[1]Base_Jugadores!G1282</f>
        <v>30</v>
      </c>
      <c r="I1282" s="7" t="n">
        <f aca="false" t="array" ref="I1282:I1282">_xlfn.XLOOKUP(G1282,{55;56;57;58;59;60;61;62;63;64;65;66;67;68;69;70;71;72;73;74;75;76;77;78;79;80;81;82;83;84;85;86;87;88;89;90;91;92;93;94;95;96;97;98;99},{100000;130000;160000;190000;220000;250000;300000;350000;400000;450000;500000;600000;700000;800000;900000;1000000;1500000;2000000;3000000;4000000;5000000;6500000;8000000;10000000;12500000;15000000;20000000;25000000;30000000;35000000;40000000;55000000;70000000;80000000;90000000;110000000;130000000;160000000;190000000;220000000;250000000;280000000;310000000;340000000;400000000})</f>
        <v>30000000</v>
      </c>
      <c r="J1282" s="7" t="n">
        <f aca="false">I1282*S1282*T1282*U1282</f>
        <v>28350000</v>
      </c>
      <c r="K1282" s="3"/>
      <c r="L1282" s="3"/>
      <c r="M1282" s="3"/>
      <c r="N1282" s="9" t="n">
        <v>0</v>
      </c>
      <c r="O1282" s="4" t="n">
        <v>0</v>
      </c>
      <c r="P1282" s="5" t="n">
        <f aca="false">IF(COUNTIF([1]Base_Jugadores!J$2:J$500,B1282)&gt;0,1,0)</f>
        <v>0</v>
      </c>
      <c r="Q1282" s="10" t="b">
        <f aca="false">--(COUNTIFS(
   [1]Fichajes_Realizados!A$2:A$5000,A1282,
   [1]Fichajes_Realizados!G$2:G$5000,$X$3
)&gt;0)</f>
        <v>0</v>
      </c>
      <c r="R1282" s="5" t="n">
        <f aca="false">_xlfn.XLOOKUP(C1282, [1]Estado_Equipos!A$2:A$500, [1]Estado_Equipos!J$2:J$500, "")</f>
        <v>78</v>
      </c>
      <c r="S1282" s="5" t="n">
        <f aca="false">IF(H1282&lt;=16,1.45,
IF(H1282&gt;=41,0.3,
CHOOSE(ROUNDDOWN((H1282-16)/2,0)+1,
1.45,1.38,1.3,1.23,1.17,1.15,1.12,1.05,0.95,0.8,0.6,0.4,0.3)))</f>
        <v>1.05</v>
      </c>
      <c r="T1282" s="5" t="n">
        <f aca="false">CHOOSE(N1282+1,1.2,1,0.85,0.7)</f>
        <v>1.2</v>
      </c>
      <c r="U1282" s="5" t="n">
        <f aca="false">IF(F1282="PO",0.6,
IF(F1282="CT",0.75,
IF(F1282="LI",0.8,
IF(F1282="LD",0.8,
IF(F1282="MCD",0.85,
IF(F1282="MC",0.95,
IF(F1282="MO",1.05,
IF(F1282="EI",1.1,
IF(F1282="ED",1.1,
IF(F1282="SD",1.15,
IF(F1282="DC",1.2,0)))))))))))</f>
        <v>0.75</v>
      </c>
    </row>
    <row r="1283" customFormat="false" ht="16.4" hidden="false" customHeight="false" outlineLevel="0" collapsed="false">
      <c r="A1283" s="1" t="n">
        <v>1282</v>
      </c>
      <c r="B1283" s="5" t="str">
        <f aca="false">[1]Base_Jugadores!B1283</f>
        <v>Stefan de Vrij</v>
      </c>
      <c r="C1283" s="5" t="str">
        <f aca="false">IFERROR(
   _xlfn.XLOOKUP(VALUE(A1283),[1]Fichajes_Realizados!A$2:A$50000,[1]Fichajes_Realizados!D$2:D$50000,,0,-1),
   _xlfn.XLOOKUP(VALUE(A1283),[1]Base_Jugadores!A$2:A$50000,[1]Base_Jugadores!C$2:C$50000)
)</f>
        <v>Inter de Milán</v>
      </c>
      <c r="D1283" s="5" t="str">
        <f aca="false">[1]Base_Jugadores!D1283</f>
        <v>Países Bajos</v>
      </c>
      <c r="E1283" s="3"/>
      <c r="F1283" s="5" t="str">
        <f aca="false">[1]Base_Jugadores!E1283</f>
        <v>CT</v>
      </c>
      <c r="G1283" s="5" t="n">
        <f aca="false">[1]Base_Jugadores!F1283</f>
        <v>83</v>
      </c>
      <c r="H1283" s="5" t="n">
        <f aca="false">[1]Base_Jugadores!G1283</f>
        <v>33</v>
      </c>
      <c r="I1283" s="7" t="n">
        <f aca="false" t="array" ref="I1283:I1283">_xlfn.XLOOKUP(G1283,{55;56;57;58;59;60;61;62;63;64;65;66;67;68;69;70;71;72;73;74;75;76;77;78;79;80;81;82;83;84;85;86;87;88;89;90;91;92;93;94;95;96;97;98;99},{100000;130000;160000;190000;220000;250000;300000;350000;400000;450000;500000;600000;700000;800000;900000;1000000;1500000;2000000;3000000;4000000;5000000;6500000;8000000;10000000;12500000;15000000;20000000;25000000;30000000;35000000;40000000;55000000;70000000;80000000;90000000;110000000;130000000;160000000;190000000;220000000;250000000;280000000;310000000;340000000;400000000})</f>
        <v>30000000</v>
      </c>
      <c r="J1283" s="7" t="n">
        <f aca="false">I1283*S1283*T1283*U1283</f>
        <v>25650000</v>
      </c>
      <c r="K1283" s="3"/>
      <c r="L1283" s="3"/>
      <c r="M1283" s="3"/>
      <c r="N1283" s="9" t="n">
        <v>0</v>
      </c>
      <c r="O1283" s="4" t="n">
        <v>0</v>
      </c>
      <c r="P1283" s="5" t="n">
        <f aca="false">IF(COUNTIF([1]Base_Jugadores!J$2:J$500,B1283)&gt;0,1,0)</f>
        <v>0</v>
      </c>
      <c r="Q1283" s="10" t="b">
        <f aca="false">--(COUNTIFS(
   [1]Fichajes_Realizados!A$2:A$5000,A1283,
   [1]Fichajes_Realizados!G$2:G$5000,$X$3
)&gt;0)</f>
        <v>0</v>
      </c>
      <c r="R1283" s="5" t="n">
        <f aca="false">_xlfn.XLOOKUP(C1283, [1]Estado_Equipos!A$2:A$500, [1]Estado_Equipos!J$2:J$500, "")</f>
        <v>78</v>
      </c>
      <c r="S1283" s="5" t="n">
        <f aca="false">IF(H1283&lt;=16,1.45,
IF(H1283&gt;=41,0.3,
CHOOSE(ROUNDDOWN((H1283-16)/2,0)+1,
1.45,1.38,1.3,1.23,1.17,1.15,1.12,1.05,0.95,0.8,0.6,0.4,0.3)))</f>
        <v>0.95</v>
      </c>
      <c r="T1283" s="5" t="n">
        <f aca="false">CHOOSE(N1283+1,1.2,1,0.85,0.7)</f>
        <v>1.2</v>
      </c>
      <c r="U1283" s="5" t="n">
        <f aca="false">IF(F1283="PO",0.6,
IF(F1283="CT",0.75,
IF(F1283="LI",0.8,
IF(F1283="LD",0.8,
IF(F1283="MCD",0.85,
IF(F1283="MC",0.95,
IF(F1283="MO",1.05,
IF(F1283="EI",1.1,
IF(F1283="ED",1.1,
IF(F1283="SD",1.15,
IF(F1283="DC",1.2,0)))))))))))</f>
        <v>0.75</v>
      </c>
    </row>
    <row r="1284" customFormat="false" ht="16.4" hidden="false" customHeight="false" outlineLevel="0" collapsed="false">
      <c r="A1284" s="1" t="n">
        <v>1283</v>
      </c>
      <c r="B1284" s="5" t="str">
        <f aca="false">[1]Base_Jugadores!B1284</f>
        <v>Tomás Palacios</v>
      </c>
      <c r="C1284" s="5" t="str">
        <f aca="false">IFERROR(
   _xlfn.XLOOKUP(VALUE(A1284),[1]Fichajes_Realizados!A$2:A$50000,[1]Fichajes_Realizados!D$2:D$50000,,0,-1),
   _xlfn.XLOOKUP(VALUE(A1284),[1]Base_Jugadores!A$2:A$50000,[1]Base_Jugadores!C$2:C$50000)
)</f>
        <v>Inter de Milán</v>
      </c>
      <c r="D1284" s="5" t="str">
        <f aca="false">[1]Base_Jugadores!D1284</f>
        <v>Argentina</v>
      </c>
      <c r="E1284" s="3"/>
      <c r="F1284" s="5" t="str">
        <f aca="false">[1]Base_Jugadores!E1284</f>
        <v>CT</v>
      </c>
      <c r="G1284" s="5" t="n">
        <f aca="false">[1]Base_Jugadores!F1284</f>
        <v>69</v>
      </c>
      <c r="H1284" s="5" t="n">
        <f aca="false">[1]Base_Jugadores!G1284</f>
        <v>22</v>
      </c>
      <c r="I1284" s="7" t="n">
        <f aca="false" t="array" ref="I1284:I1284">_xlfn.XLOOKUP(G1284,{55;56;57;58;59;60;61;62;63;64;65;66;67;68;69;70;71;72;73;74;75;76;77;78;79;80;81;82;83;84;85;86;87;88;89;90;91;92;93;94;95;96;97;98;99},{100000;130000;160000;190000;220000;250000;300000;350000;400000;450000;500000;600000;700000;800000;900000;1000000;1500000;2000000;3000000;4000000;5000000;6500000;8000000;10000000;12500000;15000000;20000000;25000000;30000000;35000000;40000000;55000000;70000000;80000000;90000000;110000000;130000000;160000000;190000000;220000000;250000000;280000000;310000000;340000000;400000000})</f>
        <v>900000</v>
      </c>
      <c r="J1284" s="7" t="n">
        <f aca="false">I1284*S1284*T1284*U1284</f>
        <v>996300</v>
      </c>
      <c r="K1284" s="3"/>
      <c r="L1284" s="3"/>
      <c r="M1284" s="3"/>
      <c r="N1284" s="9" t="n">
        <v>0</v>
      </c>
      <c r="O1284" s="4" t="n">
        <v>0</v>
      </c>
      <c r="P1284" s="5" t="n">
        <f aca="false">IF(COUNTIF([1]Base_Jugadores!J$2:J$500,B1284)&gt;0,1,0)</f>
        <v>0</v>
      </c>
      <c r="Q1284" s="10" t="b">
        <f aca="false">--(COUNTIFS(
   [1]Fichajes_Realizados!A$2:A$5000,A1284,
   [1]Fichajes_Realizados!G$2:G$5000,$X$3
)&gt;0)</f>
        <v>0</v>
      </c>
      <c r="R1284" s="5" t="n">
        <f aca="false">_xlfn.XLOOKUP(C1284, [1]Estado_Equipos!A$2:A$500, [1]Estado_Equipos!J$2:J$500, "")</f>
        <v>78</v>
      </c>
      <c r="S1284" s="5" t="n">
        <f aca="false">IF(H1284&lt;=16,1.45,
IF(H1284&gt;=41,0.3,
CHOOSE(ROUNDDOWN((H1284-16)/2,0)+1,
1.45,1.38,1.3,1.23,1.17,1.15,1.12,1.05,0.95,0.8,0.6,0.4,0.3)))</f>
        <v>1.23</v>
      </c>
      <c r="T1284" s="5" t="n">
        <f aca="false">CHOOSE(N1284+1,1.2,1,0.85,0.7)</f>
        <v>1.2</v>
      </c>
      <c r="U1284" s="5" t="n">
        <f aca="false">IF(F1284="PO",0.6,
IF(F1284="CT",0.75,
IF(F1284="LI",0.8,
IF(F1284="LD",0.8,
IF(F1284="MCD",0.85,
IF(F1284="MC",0.95,
IF(F1284="MO",1.05,
IF(F1284="EI",1.1,
IF(F1284="ED",1.1,
IF(F1284="SD",1.15,
IF(F1284="DC",1.2,0)))))))))))</f>
        <v>0.75</v>
      </c>
    </row>
    <row r="1285" customFormat="false" ht="16.4" hidden="false" customHeight="false" outlineLevel="0" collapsed="false">
      <c r="A1285" s="1" t="n">
        <v>1284</v>
      </c>
      <c r="B1285" s="5" t="str">
        <f aca="false">[1]Base_Jugadores!B1285</f>
        <v>Francesco Acerbi</v>
      </c>
      <c r="C1285" s="5" t="str">
        <f aca="false">IFERROR(
   _xlfn.XLOOKUP(VALUE(A1285),[1]Fichajes_Realizados!A$2:A$50000,[1]Fichajes_Realizados!D$2:D$50000,,0,-1),
   _xlfn.XLOOKUP(VALUE(A1285),[1]Base_Jugadores!A$2:A$50000,[1]Base_Jugadores!C$2:C$50000)
)</f>
        <v>Inter de Milán</v>
      </c>
      <c r="D1285" s="5" t="str">
        <f aca="false">[1]Base_Jugadores!D1285</f>
        <v>Italia</v>
      </c>
      <c r="E1285" s="3"/>
      <c r="F1285" s="5" t="str">
        <f aca="false">[1]Base_Jugadores!E1285</f>
        <v>CT</v>
      </c>
      <c r="G1285" s="5" t="n">
        <f aca="false">[1]Base_Jugadores!F1285</f>
        <v>84</v>
      </c>
      <c r="H1285" s="5" t="n">
        <f aca="false">[1]Base_Jugadores!G1285</f>
        <v>37</v>
      </c>
      <c r="I1285" s="7" t="n">
        <f aca="false" t="array" ref="I1285:I1285">_xlfn.XLOOKUP(G1285,{55;56;57;58;59;60;61;62;63;64;65;66;67;68;69;70;71;72;73;74;75;76;77;78;79;80;81;82;83;84;85;86;87;88;89;90;91;92;93;94;95;96;97;98;99},{100000;130000;160000;190000;220000;250000;300000;350000;400000;450000;500000;600000;700000;800000;900000;1000000;1500000;2000000;3000000;4000000;5000000;6500000;8000000;10000000;12500000;15000000;20000000;25000000;30000000;35000000;40000000;55000000;70000000;80000000;90000000;110000000;130000000;160000000;190000000;220000000;250000000;280000000;310000000;340000000;400000000})</f>
        <v>35000000</v>
      </c>
      <c r="J1285" s="7" t="n">
        <f aca="false">I1285*S1285*T1285*U1285</f>
        <v>18900000</v>
      </c>
      <c r="K1285" s="3"/>
      <c r="L1285" s="3"/>
      <c r="M1285" s="3"/>
      <c r="N1285" s="9" t="n">
        <v>0</v>
      </c>
      <c r="O1285" s="4" t="n">
        <v>0</v>
      </c>
      <c r="P1285" s="5" t="n">
        <f aca="false">IF(COUNTIF([1]Base_Jugadores!J$2:J$500,B1285)&gt;0,1,0)</f>
        <v>0</v>
      </c>
      <c r="Q1285" s="10" t="b">
        <f aca="false">--(COUNTIFS(
   [1]Fichajes_Realizados!A$2:A$5000,A1285,
   [1]Fichajes_Realizados!G$2:G$5000,$X$3
)&gt;0)</f>
        <v>0</v>
      </c>
      <c r="R1285" s="5" t="n">
        <f aca="false">_xlfn.XLOOKUP(C1285, [1]Estado_Equipos!A$2:A$500, [1]Estado_Equipos!J$2:J$500, "")</f>
        <v>78</v>
      </c>
      <c r="S1285" s="5" t="n">
        <f aca="false">IF(H1285&lt;=16,1.45,
IF(H1285&gt;=41,0.3,
CHOOSE(ROUNDDOWN((H1285-16)/2,0)+1,
1.45,1.38,1.3,1.23,1.17,1.15,1.12,1.05,0.95,0.8,0.6,0.4,0.3)))</f>
        <v>0.6</v>
      </c>
      <c r="T1285" s="5" t="n">
        <f aca="false">CHOOSE(N1285+1,1.2,1,0.85,0.7)</f>
        <v>1.2</v>
      </c>
      <c r="U1285" s="5" t="n">
        <f aca="false">IF(F1285="PO",0.6,
IF(F1285="CT",0.75,
IF(F1285="LI",0.8,
IF(F1285="LD",0.8,
IF(F1285="MCD",0.85,
IF(F1285="MC",0.95,
IF(F1285="MO",1.05,
IF(F1285="EI",1.1,
IF(F1285="ED",1.1,
IF(F1285="SD",1.15,
IF(F1285="DC",1.2,0)))))))))))</f>
        <v>0.75</v>
      </c>
    </row>
    <row r="1286" customFormat="false" ht="16.4" hidden="false" customHeight="false" outlineLevel="0" collapsed="false">
      <c r="A1286" s="1" t="n">
        <v>1285</v>
      </c>
      <c r="B1286" s="5" t="str">
        <f aca="false">[1]Base_Jugadores!B1286</f>
        <v>Federico Dimarco</v>
      </c>
      <c r="C1286" s="5" t="str">
        <f aca="false">IFERROR(
   _xlfn.XLOOKUP(VALUE(A1286),[1]Fichajes_Realizados!A$2:A$50000,[1]Fichajes_Realizados!D$2:D$50000,,0,-1),
   _xlfn.XLOOKUP(VALUE(A1286),[1]Base_Jugadores!A$2:A$50000,[1]Base_Jugadores!C$2:C$50000)
)</f>
        <v>Inter de Milán</v>
      </c>
      <c r="D1286" s="5" t="str">
        <f aca="false">[1]Base_Jugadores!D1286</f>
        <v>Italia</v>
      </c>
      <c r="E1286" s="3"/>
      <c r="F1286" s="5" t="str">
        <f aca="false">[1]Base_Jugadores!E1286</f>
        <v>LI</v>
      </c>
      <c r="G1286" s="5" t="n">
        <f aca="false">[1]Base_Jugadores!F1286</f>
        <v>84</v>
      </c>
      <c r="H1286" s="5" t="n">
        <f aca="false">[1]Base_Jugadores!G1286</f>
        <v>28</v>
      </c>
      <c r="I1286" s="7" t="n">
        <f aca="false" t="array" ref="I1286:I1286">_xlfn.XLOOKUP(G1286,{55;56;57;58;59;60;61;62;63;64;65;66;67;68;69;70;71;72;73;74;75;76;77;78;79;80;81;82;83;84;85;86;87;88;89;90;91;92;93;94;95;96;97;98;99},{100000;130000;160000;190000;220000;250000;300000;350000;400000;450000;500000;600000;700000;800000;900000;1000000;1500000;2000000;3000000;4000000;5000000;6500000;8000000;10000000;12500000;15000000;20000000;25000000;30000000;35000000;40000000;55000000;70000000;80000000;90000000;110000000;130000000;160000000;190000000;220000000;250000000;280000000;310000000;340000000;400000000})</f>
        <v>35000000</v>
      </c>
      <c r="J1286" s="7" t="n">
        <f aca="false">I1286*S1286*T1286*U1286</f>
        <v>37632000</v>
      </c>
      <c r="K1286" s="3"/>
      <c r="L1286" s="3"/>
      <c r="M1286" s="3"/>
      <c r="N1286" s="9" t="n">
        <v>0</v>
      </c>
      <c r="O1286" s="4" t="n">
        <v>0</v>
      </c>
      <c r="P1286" s="5" t="n">
        <f aca="false">IF(COUNTIF([1]Base_Jugadores!J$2:J$500,B1286)&gt;0,1,0)</f>
        <v>0</v>
      </c>
      <c r="Q1286" s="10" t="b">
        <f aca="false">--(COUNTIFS(
   [1]Fichajes_Realizados!A$2:A$5000,A1286,
   [1]Fichajes_Realizados!G$2:G$5000,$X$3
)&gt;0)</f>
        <v>0</v>
      </c>
      <c r="R1286" s="5" t="n">
        <f aca="false">_xlfn.XLOOKUP(C1286, [1]Estado_Equipos!A$2:A$500, [1]Estado_Equipos!J$2:J$500, "")</f>
        <v>78</v>
      </c>
      <c r="S1286" s="5" t="n">
        <f aca="false">IF(H1286&lt;=16,1.45,
IF(H1286&gt;=41,0.3,
CHOOSE(ROUNDDOWN((H1286-16)/2,0)+1,
1.45,1.38,1.3,1.23,1.17,1.15,1.12,1.05,0.95,0.8,0.6,0.4,0.3)))</f>
        <v>1.12</v>
      </c>
      <c r="T1286" s="5" t="n">
        <f aca="false">CHOOSE(N1286+1,1.2,1,0.85,0.7)</f>
        <v>1.2</v>
      </c>
      <c r="U1286" s="5" t="n">
        <f aca="false">IF(F1286="PO",0.6,
IF(F1286="CT",0.75,
IF(F1286="LI",0.8,
IF(F1286="LD",0.8,
IF(F1286="MCD",0.85,
IF(F1286="MC",0.95,
IF(F1286="MO",1.05,
IF(F1286="EI",1.1,
IF(F1286="ED",1.1,
IF(F1286="SD",1.15,
IF(F1286="DC",1.2,0)))))))))))</f>
        <v>0.8</v>
      </c>
    </row>
    <row r="1287" customFormat="false" ht="16.4" hidden="false" customHeight="false" outlineLevel="0" collapsed="false">
      <c r="A1287" s="1" t="n">
        <v>1286</v>
      </c>
      <c r="B1287" s="5" t="str">
        <f aca="false">[1]Base_Jugadores!B1287</f>
        <v>Carlos Augusto</v>
      </c>
      <c r="C1287" s="5" t="str">
        <f aca="false">IFERROR(
   _xlfn.XLOOKUP(VALUE(A1287),[1]Fichajes_Realizados!A$2:A$50000,[1]Fichajes_Realizados!D$2:D$50000,,0,-1),
   _xlfn.XLOOKUP(VALUE(A1287),[1]Base_Jugadores!A$2:A$50000,[1]Base_Jugadores!C$2:C$50000)
)</f>
        <v>Inter de Milán</v>
      </c>
      <c r="D1287" s="5" t="str">
        <f aca="false">[1]Base_Jugadores!D1287</f>
        <v>Brasil</v>
      </c>
      <c r="E1287" s="3"/>
      <c r="F1287" s="5" t="str">
        <f aca="false">[1]Base_Jugadores!E1287</f>
        <v>LI</v>
      </c>
      <c r="G1287" s="5" t="n">
        <f aca="false">[1]Base_Jugadores!F1287</f>
        <v>79</v>
      </c>
      <c r="H1287" s="5" t="n">
        <f aca="false">[1]Base_Jugadores!G1287</f>
        <v>26</v>
      </c>
      <c r="I1287" s="7" t="n">
        <f aca="false" t="array" ref="I1287:I1287">_xlfn.XLOOKUP(G1287,{55;56;57;58;59;60;61;62;63;64;65;66;67;68;69;70;71;72;73;74;75;76;77;78;79;80;81;82;83;84;85;86;87;88;89;90;91;92;93;94;95;96;97;98;99},{100000;130000;160000;190000;220000;250000;300000;350000;400000;450000;500000;600000;700000;800000;900000;1000000;1500000;2000000;3000000;4000000;5000000;6500000;8000000;10000000;12500000;15000000;20000000;25000000;30000000;35000000;40000000;55000000;70000000;80000000;90000000;110000000;130000000;160000000;190000000;220000000;250000000;280000000;310000000;340000000;400000000})</f>
        <v>12500000</v>
      </c>
      <c r="J1287" s="7" t="n">
        <f aca="false">I1287*S1287*T1287*U1287</f>
        <v>13800000</v>
      </c>
      <c r="K1287" s="3"/>
      <c r="L1287" s="3"/>
      <c r="M1287" s="3"/>
      <c r="N1287" s="9" t="n">
        <v>0</v>
      </c>
      <c r="O1287" s="4" t="n">
        <v>0</v>
      </c>
      <c r="P1287" s="5" t="n">
        <f aca="false">IF(COUNTIF([1]Base_Jugadores!J$2:J$500,B1287)&gt;0,1,0)</f>
        <v>0</v>
      </c>
      <c r="Q1287" s="10" t="b">
        <f aca="false">--(COUNTIFS(
   [1]Fichajes_Realizados!A$2:A$5000,A1287,
   [1]Fichajes_Realizados!G$2:G$5000,$X$3
)&gt;0)</f>
        <v>0</v>
      </c>
      <c r="R1287" s="5" t="n">
        <f aca="false">_xlfn.XLOOKUP(C1287, [1]Estado_Equipos!A$2:A$500, [1]Estado_Equipos!J$2:J$500, "")</f>
        <v>78</v>
      </c>
      <c r="S1287" s="5" t="n">
        <f aca="false">IF(H1287&lt;=16,1.45,
IF(H1287&gt;=41,0.3,
CHOOSE(ROUNDDOWN((H1287-16)/2,0)+1,
1.45,1.38,1.3,1.23,1.17,1.15,1.12,1.05,0.95,0.8,0.6,0.4,0.3)))</f>
        <v>1.15</v>
      </c>
      <c r="T1287" s="5" t="n">
        <f aca="false">CHOOSE(N1287+1,1.2,1,0.85,0.7)</f>
        <v>1.2</v>
      </c>
      <c r="U1287" s="5" t="n">
        <f aca="false">IF(F1287="PO",0.6,
IF(F1287="CT",0.75,
IF(F1287="LI",0.8,
IF(F1287="LD",0.8,
IF(F1287="MCD",0.85,
IF(F1287="MC",0.95,
IF(F1287="MO",1.05,
IF(F1287="EI",1.1,
IF(F1287="ED",1.1,
IF(F1287="SD",1.15,
IF(F1287="DC",1.2,0)))))))))))</f>
        <v>0.8</v>
      </c>
    </row>
    <row r="1288" customFormat="false" ht="16.4" hidden="false" customHeight="false" outlineLevel="0" collapsed="false">
      <c r="A1288" s="1" t="n">
        <v>1287</v>
      </c>
      <c r="B1288" s="5" t="str">
        <f aca="false">[1]Base_Jugadores!B1288</f>
        <v>Denzel Dumfries</v>
      </c>
      <c r="C1288" s="5" t="str">
        <f aca="false">IFERROR(
   _xlfn.XLOOKUP(VALUE(A1288),[1]Fichajes_Realizados!A$2:A$50000,[1]Fichajes_Realizados!D$2:D$50000,,0,-1),
   _xlfn.XLOOKUP(VALUE(A1288),[1]Base_Jugadores!A$2:A$50000,[1]Base_Jugadores!C$2:C$50000)
)</f>
        <v>Inter de Milán</v>
      </c>
      <c r="D1288" s="5" t="str">
        <f aca="false">[1]Base_Jugadores!D1288</f>
        <v>Países Bajos</v>
      </c>
      <c r="E1288" s="3"/>
      <c r="F1288" s="5" t="str">
        <f aca="false">[1]Base_Jugadores!E1288</f>
        <v>LD</v>
      </c>
      <c r="G1288" s="5" t="n">
        <f aca="false">[1]Base_Jugadores!F1288</f>
        <v>82</v>
      </c>
      <c r="H1288" s="5" t="n">
        <f aca="false">[1]Base_Jugadores!G1288</f>
        <v>29</v>
      </c>
      <c r="I1288" s="7" t="n">
        <f aca="false" t="array" ref="I1288:I1288">_xlfn.XLOOKUP(G1288,{55;56;57;58;59;60;61;62;63;64;65;66;67;68;69;70;71;72;73;74;75;76;77;78;79;80;81;82;83;84;85;86;87;88;89;90;91;92;93;94;95;96;97;98;99},{100000;130000;160000;190000;220000;250000;300000;350000;400000;450000;500000;600000;700000;800000;900000;1000000;1500000;2000000;3000000;4000000;5000000;6500000;8000000;10000000;12500000;15000000;20000000;25000000;30000000;35000000;40000000;55000000;70000000;80000000;90000000;110000000;130000000;160000000;190000000;220000000;250000000;280000000;310000000;340000000;400000000})</f>
        <v>25000000</v>
      </c>
      <c r="J1288" s="7" t="n">
        <f aca="false">I1288*S1288*T1288*U1288</f>
        <v>26880000</v>
      </c>
      <c r="K1288" s="3"/>
      <c r="L1288" s="3"/>
      <c r="M1288" s="3"/>
      <c r="N1288" s="9" t="n">
        <v>0</v>
      </c>
      <c r="O1288" s="4" t="n">
        <v>0</v>
      </c>
      <c r="P1288" s="5" t="n">
        <f aca="false">IF(COUNTIF([1]Base_Jugadores!J$2:J$500,B1288)&gt;0,1,0)</f>
        <v>0</v>
      </c>
      <c r="Q1288" s="10" t="b">
        <f aca="false">--(COUNTIFS(
   [1]Fichajes_Realizados!A$2:A$5000,A1288,
   [1]Fichajes_Realizados!G$2:G$5000,$X$3
)&gt;0)</f>
        <v>0</v>
      </c>
      <c r="R1288" s="5" t="n">
        <f aca="false">_xlfn.XLOOKUP(C1288, [1]Estado_Equipos!A$2:A$500, [1]Estado_Equipos!J$2:J$500, "")</f>
        <v>78</v>
      </c>
      <c r="S1288" s="5" t="n">
        <f aca="false">IF(H1288&lt;=16,1.45,
IF(H1288&gt;=41,0.3,
CHOOSE(ROUNDDOWN((H1288-16)/2,0)+1,
1.45,1.38,1.3,1.23,1.17,1.15,1.12,1.05,0.95,0.8,0.6,0.4,0.3)))</f>
        <v>1.12</v>
      </c>
      <c r="T1288" s="5" t="n">
        <f aca="false">CHOOSE(N1288+1,1.2,1,0.85,0.7)</f>
        <v>1.2</v>
      </c>
      <c r="U1288" s="5" t="n">
        <f aca="false">IF(F1288="PO",0.6,
IF(F1288="CT",0.75,
IF(F1288="LI",0.8,
IF(F1288="LD",0.8,
IF(F1288="MCD",0.85,
IF(F1288="MC",0.95,
IF(F1288="MO",1.05,
IF(F1288="EI",1.1,
IF(F1288="ED",1.1,
IF(F1288="SD",1.15,
IF(F1288="DC",1.2,0)))))))))))</f>
        <v>0.8</v>
      </c>
    </row>
    <row r="1289" customFormat="false" ht="16.4" hidden="false" customHeight="false" outlineLevel="0" collapsed="false">
      <c r="A1289" s="1" t="n">
        <v>1288</v>
      </c>
      <c r="B1289" s="5" t="str">
        <f aca="false">[1]Base_Jugadores!B1289</f>
        <v>Matteo Darmian</v>
      </c>
      <c r="C1289" s="5" t="str">
        <f aca="false">IFERROR(
   _xlfn.XLOOKUP(VALUE(A1289),[1]Fichajes_Realizados!A$2:A$50000,[1]Fichajes_Realizados!D$2:D$50000,,0,-1),
   _xlfn.XLOOKUP(VALUE(A1289),[1]Base_Jugadores!A$2:A$50000,[1]Base_Jugadores!C$2:C$50000)
)</f>
        <v>Inter de Milán</v>
      </c>
      <c r="D1289" s="5" t="str">
        <f aca="false">[1]Base_Jugadores!D1289</f>
        <v>Italia</v>
      </c>
      <c r="E1289" s="3"/>
      <c r="F1289" s="5" t="str">
        <f aca="false">[1]Base_Jugadores!E1289</f>
        <v>LD</v>
      </c>
      <c r="G1289" s="5" t="n">
        <f aca="false">[1]Base_Jugadores!F1289</f>
        <v>81</v>
      </c>
      <c r="H1289" s="5" t="n">
        <f aca="false">[1]Base_Jugadores!G1289</f>
        <v>36</v>
      </c>
      <c r="I1289" s="7" t="n">
        <f aca="false" t="array" ref="I1289:I1289">_xlfn.XLOOKUP(G1289,{55;56;57;58;59;60;61;62;63;64;65;66;67;68;69;70;71;72;73;74;75;76;77;78;79;80;81;82;83;84;85;86;87;88;89;90;91;92;93;94;95;96;97;98;99},{100000;130000;160000;190000;220000;250000;300000;350000;400000;450000;500000;600000;700000;800000;900000;1000000;1500000;2000000;3000000;4000000;5000000;6500000;8000000;10000000;12500000;15000000;20000000;25000000;30000000;35000000;40000000;55000000;70000000;80000000;90000000;110000000;130000000;160000000;190000000;220000000;250000000;280000000;310000000;340000000;400000000})</f>
        <v>20000000</v>
      </c>
      <c r="J1289" s="7" t="n">
        <f aca="false">I1289*S1289*T1289*U1289</f>
        <v>11520000</v>
      </c>
      <c r="K1289" s="3"/>
      <c r="L1289" s="3"/>
      <c r="M1289" s="3"/>
      <c r="N1289" s="9" t="n">
        <v>0</v>
      </c>
      <c r="O1289" s="4" t="n">
        <v>0</v>
      </c>
      <c r="P1289" s="5" t="n">
        <f aca="false">IF(COUNTIF([1]Base_Jugadores!J$2:J$500,B1289)&gt;0,1,0)</f>
        <v>0</v>
      </c>
      <c r="Q1289" s="10" t="b">
        <f aca="false">--(COUNTIFS(
   [1]Fichajes_Realizados!A$2:A$5000,A1289,
   [1]Fichajes_Realizados!G$2:G$5000,$X$3
)&gt;0)</f>
        <v>0</v>
      </c>
      <c r="R1289" s="5" t="n">
        <f aca="false">_xlfn.XLOOKUP(C1289, [1]Estado_Equipos!A$2:A$500, [1]Estado_Equipos!J$2:J$500, "")</f>
        <v>78</v>
      </c>
      <c r="S1289" s="5" t="n">
        <f aca="false">IF(H1289&lt;=16,1.45,
IF(H1289&gt;=41,0.3,
CHOOSE(ROUNDDOWN((H1289-16)/2,0)+1,
1.45,1.38,1.3,1.23,1.17,1.15,1.12,1.05,0.95,0.8,0.6,0.4,0.3)))</f>
        <v>0.6</v>
      </c>
      <c r="T1289" s="5" t="n">
        <f aca="false">CHOOSE(N1289+1,1.2,1,0.85,0.7)</f>
        <v>1.2</v>
      </c>
      <c r="U1289" s="5" t="n">
        <f aca="false">IF(F1289="PO",0.6,
IF(F1289="CT",0.75,
IF(F1289="LI",0.8,
IF(F1289="LD",0.8,
IF(F1289="MCD",0.85,
IF(F1289="MC",0.95,
IF(F1289="MO",1.05,
IF(F1289="EI",1.1,
IF(F1289="ED",1.1,
IF(F1289="SD",1.15,
IF(F1289="DC",1.2,0)))))))))))</f>
        <v>0.8</v>
      </c>
    </row>
    <row r="1290" customFormat="false" ht="16.4" hidden="false" customHeight="false" outlineLevel="0" collapsed="false">
      <c r="A1290" s="1" t="n">
        <v>1289</v>
      </c>
      <c r="B1290" s="5" t="str">
        <f aca="false">[1]Base_Jugadores!B1290</f>
        <v>Hakan Çalhanoğlu</v>
      </c>
      <c r="C1290" s="5" t="str">
        <f aca="false">IFERROR(
   _xlfn.XLOOKUP(VALUE(A1290),[1]Fichajes_Realizados!A$2:A$50000,[1]Fichajes_Realizados!D$2:D$50000,,0,-1),
   _xlfn.XLOOKUP(VALUE(A1290),[1]Base_Jugadores!A$2:A$50000,[1]Base_Jugadores!C$2:C$50000)
)</f>
        <v>Inter de Milán</v>
      </c>
      <c r="D1290" s="5" t="str">
        <f aca="false">[1]Base_Jugadores!D1290</f>
        <v>Turquía</v>
      </c>
      <c r="E1290" s="3"/>
      <c r="F1290" s="5" t="str">
        <f aca="false">[1]Base_Jugadores!E1290</f>
        <v>MCD</v>
      </c>
      <c r="G1290" s="5" t="n">
        <f aca="false">[1]Base_Jugadores!F1290</f>
        <v>86</v>
      </c>
      <c r="H1290" s="5" t="n">
        <f aca="false">[1]Base_Jugadores!G1290</f>
        <v>31</v>
      </c>
      <c r="I1290" s="7" t="n">
        <f aca="false" t="array" ref="I1290:I1290">_xlfn.XLOOKUP(G1290,{55;56;57;58;59;60;61;62;63;64;65;66;67;68;69;70;71;72;73;74;75;76;77;78;79;80;81;82;83;84;85;86;87;88;89;90;91;92;93;94;95;96;97;98;99},{100000;130000;160000;190000;220000;250000;300000;350000;400000;450000;500000;600000;700000;800000;900000;1000000;1500000;2000000;3000000;4000000;5000000;6500000;8000000;10000000;12500000;15000000;20000000;25000000;30000000;35000000;40000000;55000000;70000000;80000000;90000000;110000000;130000000;160000000;190000000;220000000;250000000;280000000;310000000;340000000;400000000})</f>
        <v>55000000</v>
      </c>
      <c r="J1290" s="7" t="n">
        <f aca="false">I1290*S1290*T1290*U1290</f>
        <v>58905000</v>
      </c>
      <c r="K1290" s="3"/>
      <c r="L1290" s="3"/>
      <c r="M1290" s="3"/>
      <c r="N1290" s="9" t="n">
        <v>0</v>
      </c>
      <c r="O1290" s="4" t="n">
        <v>0</v>
      </c>
      <c r="P1290" s="5" t="n">
        <f aca="false">IF(COUNTIF([1]Base_Jugadores!J$2:J$500,B1290)&gt;0,1,0)</f>
        <v>0</v>
      </c>
      <c r="Q1290" s="10" t="b">
        <f aca="false">--(COUNTIFS(
   [1]Fichajes_Realizados!A$2:A$5000,A1290,
   [1]Fichajes_Realizados!G$2:G$5000,$X$3
)&gt;0)</f>
        <v>0</v>
      </c>
      <c r="R1290" s="5" t="n">
        <f aca="false">_xlfn.XLOOKUP(C1290, [1]Estado_Equipos!A$2:A$500, [1]Estado_Equipos!J$2:J$500, "")</f>
        <v>78</v>
      </c>
      <c r="S1290" s="5" t="n">
        <f aca="false">IF(H1290&lt;=16,1.45,
IF(H1290&gt;=41,0.3,
CHOOSE(ROUNDDOWN((H1290-16)/2,0)+1,
1.45,1.38,1.3,1.23,1.17,1.15,1.12,1.05,0.95,0.8,0.6,0.4,0.3)))</f>
        <v>1.05</v>
      </c>
      <c r="T1290" s="5" t="n">
        <f aca="false">CHOOSE(N1290+1,1.2,1,0.85,0.7)</f>
        <v>1.2</v>
      </c>
      <c r="U1290" s="5" t="n">
        <f aca="false">IF(F1290="PO",0.6,
IF(F1290="CT",0.75,
IF(F1290="LI",0.8,
IF(F1290="LD",0.8,
IF(F1290="MCD",0.85,
IF(F1290="MC",0.95,
IF(F1290="MO",1.05,
IF(F1290="EI",1.1,
IF(F1290="ED",1.1,
IF(F1290="SD",1.15,
IF(F1290="DC",1.2,0)))))))))))</f>
        <v>0.85</v>
      </c>
    </row>
    <row r="1291" customFormat="false" ht="16.4" hidden="false" customHeight="false" outlineLevel="0" collapsed="false">
      <c r="A1291" s="1" t="n">
        <v>1290</v>
      </c>
      <c r="B1291" s="5" t="str">
        <f aca="false">[1]Base_Jugadores!B1291</f>
        <v>Nicolò Barella</v>
      </c>
      <c r="C1291" s="5" t="str">
        <f aca="false">IFERROR(
   _xlfn.XLOOKUP(VALUE(A1291),[1]Fichajes_Realizados!A$2:A$50000,[1]Fichajes_Realizados!D$2:D$50000,,0,-1),
   _xlfn.XLOOKUP(VALUE(A1291),[1]Base_Jugadores!A$2:A$50000,[1]Base_Jugadores!C$2:C$50000)
)</f>
        <v>Inter de Milán</v>
      </c>
      <c r="D1291" s="5" t="str">
        <f aca="false">[1]Base_Jugadores!D1291</f>
        <v>Italia</v>
      </c>
      <c r="E1291" s="3"/>
      <c r="F1291" s="5" t="str">
        <f aca="false">[1]Base_Jugadores!E1291</f>
        <v>MC</v>
      </c>
      <c r="G1291" s="5" t="n">
        <f aca="false">[1]Base_Jugadores!F1291</f>
        <v>87</v>
      </c>
      <c r="H1291" s="5" t="n">
        <f aca="false">[1]Base_Jugadores!G1291</f>
        <v>28</v>
      </c>
      <c r="I1291" s="7" t="n">
        <f aca="false" t="array" ref="I1291:I1291">_xlfn.XLOOKUP(G1291,{55;56;57;58;59;60;61;62;63;64;65;66;67;68;69;70;71;72;73;74;75;76;77;78;79;80;81;82;83;84;85;86;87;88;89;90;91;92;93;94;95;96;97;98;99},{100000;130000;160000;190000;220000;250000;300000;350000;400000;450000;500000;600000;700000;800000;900000;1000000;1500000;2000000;3000000;4000000;5000000;6500000;8000000;10000000;12500000;15000000;20000000;25000000;30000000;35000000;40000000;55000000;70000000;80000000;90000000;110000000;130000000;160000000;190000000;220000000;250000000;280000000;310000000;340000000;400000000})</f>
        <v>70000000</v>
      </c>
      <c r="J1291" s="7" t="n">
        <f aca="false">I1291*S1291*T1291*U1291</f>
        <v>89376000</v>
      </c>
      <c r="K1291" s="3"/>
      <c r="L1291" s="3"/>
      <c r="M1291" s="3"/>
      <c r="N1291" s="9" t="n">
        <v>0</v>
      </c>
      <c r="O1291" s="4" t="n">
        <v>0</v>
      </c>
      <c r="P1291" s="5" t="n">
        <f aca="false">IF(COUNTIF([1]Base_Jugadores!J$2:J$500,B1291)&gt;0,1,0)</f>
        <v>0</v>
      </c>
      <c r="Q1291" s="10" t="b">
        <f aca="false">--(COUNTIFS(
   [1]Fichajes_Realizados!A$2:A$5000,A1291,
   [1]Fichajes_Realizados!G$2:G$5000,$X$3
)&gt;0)</f>
        <v>0</v>
      </c>
      <c r="R1291" s="5" t="n">
        <f aca="false">_xlfn.XLOOKUP(C1291, [1]Estado_Equipos!A$2:A$500, [1]Estado_Equipos!J$2:J$500, "")</f>
        <v>78</v>
      </c>
      <c r="S1291" s="5" t="n">
        <f aca="false">IF(H1291&lt;=16,1.45,
IF(H1291&gt;=41,0.3,
CHOOSE(ROUNDDOWN((H1291-16)/2,0)+1,
1.45,1.38,1.3,1.23,1.17,1.15,1.12,1.05,0.95,0.8,0.6,0.4,0.3)))</f>
        <v>1.12</v>
      </c>
      <c r="T1291" s="5" t="n">
        <f aca="false">CHOOSE(N1291+1,1.2,1,0.85,0.7)</f>
        <v>1.2</v>
      </c>
      <c r="U1291" s="5" t="n">
        <f aca="false">IF(F1291="PO",0.6,
IF(F1291="CT",0.75,
IF(F1291="LI",0.8,
IF(F1291="LD",0.8,
IF(F1291="MCD",0.85,
IF(F1291="MC",0.95,
IF(F1291="MO",1.05,
IF(F1291="EI",1.1,
IF(F1291="ED",1.1,
IF(F1291="SD",1.15,
IF(F1291="DC",1.2,0)))))))))))</f>
        <v>0.95</v>
      </c>
    </row>
    <row r="1292" customFormat="false" ht="16.4" hidden="false" customHeight="false" outlineLevel="0" collapsed="false">
      <c r="A1292" s="1" t="n">
        <v>1291</v>
      </c>
      <c r="B1292" s="5" t="str">
        <f aca="false">[1]Base_Jugadores!B1292</f>
        <v>Davide Frattesi</v>
      </c>
      <c r="C1292" s="5" t="str">
        <f aca="false">IFERROR(
   _xlfn.XLOOKUP(VALUE(A1292),[1]Fichajes_Realizados!A$2:A$50000,[1]Fichajes_Realizados!D$2:D$50000,,0,-1),
   _xlfn.XLOOKUP(VALUE(A1292),[1]Base_Jugadores!A$2:A$50000,[1]Base_Jugadores!C$2:C$50000)
)</f>
        <v>Inter de Milán</v>
      </c>
      <c r="D1292" s="5" t="str">
        <f aca="false">[1]Base_Jugadores!D1292</f>
        <v>Italia</v>
      </c>
      <c r="E1292" s="3"/>
      <c r="F1292" s="5" t="str">
        <f aca="false">[1]Base_Jugadores!E1292</f>
        <v>MC</v>
      </c>
      <c r="G1292" s="5" t="n">
        <f aca="false">[1]Base_Jugadores!F1292</f>
        <v>81</v>
      </c>
      <c r="H1292" s="5" t="n">
        <f aca="false">[1]Base_Jugadores!G1292</f>
        <v>26</v>
      </c>
      <c r="I1292" s="7" t="n">
        <f aca="false" t="array" ref="I1292:I1292">_xlfn.XLOOKUP(G1292,{55;56;57;58;59;60;61;62;63;64;65;66;67;68;69;70;71;72;73;74;75;76;77;78;79;80;81;82;83;84;85;86;87;88;89;90;91;92;93;94;95;96;97;98;99},{100000;130000;160000;190000;220000;250000;300000;350000;400000;450000;500000;600000;700000;800000;900000;1000000;1500000;2000000;3000000;4000000;5000000;6500000;8000000;10000000;12500000;15000000;20000000;25000000;30000000;35000000;40000000;55000000;70000000;80000000;90000000;110000000;130000000;160000000;190000000;220000000;250000000;280000000;310000000;340000000;400000000})</f>
        <v>20000000</v>
      </c>
      <c r="J1292" s="7" t="n">
        <f aca="false">I1292*S1292*T1292*U1292</f>
        <v>26220000</v>
      </c>
      <c r="K1292" s="3"/>
      <c r="L1292" s="3"/>
      <c r="M1292" s="3"/>
      <c r="N1292" s="9" t="n">
        <v>0</v>
      </c>
      <c r="O1292" s="4" t="n">
        <v>0</v>
      </c>
      <c r="P1292" s="5" t="n">
        <f aca="false">IF(COUNTIF([1]Base_Jugadores!J$2:J$500,B1292)&gt;0,1,0)</f>
        <v>0</v>
      </c>
      <c r="Q1292" s="10" t="b">
        <f aca="false">--(COUNTIFS(
   [1]Fichajes_Realizados!A$2:A$5000,A1292,
   [1]Fichajes_Realizados!G$2:G$5000,$X$3
)&gt;0)</f>
        <v>0</v>
      </c>
      <c r="R1292" s="5" t="n">
        <f aca="false">_xlfn.XLOOKUP(C1292, [1]Estado_Equipos!A$2:A$500, [1]Estado_Equipos!J$2:J$500, "")</f>
        <v>78</v>
      </c>
      <c r="S1292" s="5" t="n">
        <f aca="false">IF(H1292&lt;=16,1.45,
IF(H1292&gt;=41,0.3,
CHOOSE(ROUNDDOWN((H1292-16)/2,0)+1,
1.45,1.38,1.3,1.23,1.17,1.15,1.12,1.05,0.95,0.8,0.6,0.4,0.3)))</f>
        <v>1.15</v>
      </c>
      <c r="T1292" s="5" t="n">
        <f aca="false">CHOOSE(N1292+1,1.2,1,0.85,0.7)</f>
        <v>1.2</v>
      </c>
      <c r="U1292" s="5" t="n">
        <f aca="false">IF(F1292="PO",0.6,
IF(F1292="CT",0.75,
IF(F1292="LI",0.8,
IF(F1292="LD",0.8,
IF(F1292="MCD",0.85,
IF(F1292="MC",0.95,
IF(F1292="MO",1.05,
IF(F1292="EI",1.1,
IF(F1292="ED",1.1,
IF(F1292="SD",1.15,
IF(F1292="DC",1.2,0)))))))))))</f>
        <v>0.95</v>
      </c>
    </row>
    <row r="1293" customFormat="false" ht="16.4" hidden="false" customHeight="false" outlineLevel="0" collapsed="false">
      <c r="A1293" s="1" t="n">
        <v>1292</v>
      </c>
      <c r="B1293" s="5" t="str">
        <f aca="false">[1]Base_Jugadores!B1293</f>
        <v>Petar Sučić</v>
      </c>
      <c r="C1293" s="5" t="str">
        <f aca="false">IFERROR(
   _xlfn.XLOOKUP(VALUE(A1293),[1]Fichajes_Realizados!A$2:A$50000,[1]Fichajes_Realizados!D$2:D$50000,,0,-1),
   _xlfn.XLOOKUP(VALUE(A1293),[1]Base_Jugadores!A$2:A$50000,[1]Base_Jugadores!C$2:C$50000)
)</f>
        <v>Inter de Milán</v>
      </c>
      <c r="D1293" s="5" t="str">
        <f aca="false">[1]Base_Jugadores!D1293</f>
        <v>Croacia</v>
      </c>
      <c r="E1293" s="3"/>
      <c r="F1293" s="5" t="str">
        <f aca="false">[1]Base_Jugadores!E1293</f>
        <v>MC</v>
      </c>
      <c r="G1293" s="5" t="n">
        <f aca="false">[1]Base_Jugadores!F1293</f>
        <v>74</v>
      </c>
      <c r="H1293" s="5" t="n">
        <f aca="false">[1]Base_Jugadores!G1293</f>
        <v>22</v>
      </c>
      <c r="I1293" s="7" t="n">
        <f aca="false" t="array" ref="I1293:I1293">_xlfn.XLOOKUP(G1293,{55;56;57;58;59;60;61;62;63;64;65;66;67;68;69;70;71;72;73;74;75;76;77;78;79;80;81;82;83;84;85;86;87;88;89;90;91;92;93;94;95;96;97;98;99},{100000;130000;160000;190000;220000;250000;300000;350000;400000;450000;500000;600000;700000;800000;900000;1000000;1500000;2000000;3000000;4000000;5000000;6500000;8000000;10000000;12500000;15000000;20000000;25000000;30000000;35000000;40000000;55000000;70000000;80000000;90000000;110000000;130000000;160000000;190000000;220000000;250000000;280000000;310000000;340000000;400000000})</f>
        <v>4000000</v>
      </c>
      <c r="J1293" s="7" t="n">
        <f aca="false">I1293*S1293*T1293*U1293</f>
        <v>5608800</v>
      </c>
      <c r="K1293" s="3"/>
      <c r="L1293" s="3"/>
      <c r="M1293" s="3"/>
      <c r="N1293" s="9" t="n">
        <v>0</v>
      </c>
      <c r="O1293" s="4" t="n">
        <v>0</v>
      </c>
      <c r="P1293" s="5" t="n">
        <f aca="false">IF(COUNTIF([1]Base_Jugadores!J$2:J$500,B1293)&gt;0,1,0)</f>
        <v>0</v>
      </c>
      <c r="Q1293" s="10" t="b">
        <f aca="false">--(COUNTIFS(
   [1]Fichajes_Realizados!A$2:A$5000,A1293,
   [1]Fichajes_Realizados!G$2:G$5000,$X$3
)&gt;0)</f>
        <v>0</v>
      </c>
      <c r="R1293" s="5" t="n">
        <f aca="false">_xlfn.XLOOKUP(C1293, [1]Estado_Equipos!A$2:A$500, [1]Estado_Equipos!J$2:J$500, "")</f>
        <v>78</v>
      </c>
      <c r="S1293" s="5" t="n">
        <f aca="false">IF(H1293&lt;=16,1.45,
IF(H1293&gt;=41,0.3,
CHOOSE(ROUNDDOWN((H1293-16)/2,0)+1,
1.45,1.38,1.3,1.23,1.17,1.15,1.12,1.05,0.95,0.8,0.6,0.4,0.3)))</f>
        <v>1.23</v>
      </c>
      <c r="T1293" s="5" t="n">
        <f aca="false">CHOOSE(N1293+1,1.2,1,0.85,0.7)</f>
        <v>1.2</v>
      </c>
      <c r="U1293" s="5" t="n">
        <f aca="false">IF(F1293="PO",0.6,
IF(F1293="CT",0.75,
IF(F1293="LI",0.8,
IF(F1293="LD",0.8,
IF(F1293="MCD",0.85,
IF(F1293="MC",0.95,
IF(F1293="MO",1.05,
IF(F1293="EI",1.1,
IF(F1293="ED",1.1,
IF(F1293="SD",1.15,
IF(F1293="DC",1.2,0)))))))))))</f>
        <v>0.95</v>
      </c>
    </row>
    <row r="1294" customFormat="false" ht="16.4" hidden="false" customHeight="false" outlineLevel="0" collapsed="false">
      <c r="A1294" s="1" t="n">
        <v>1293</v>
      </c>
      <c r="B1294" s="5" t="str">
        <f aca="false">[1]Base_Jugadores!B1294</f>
        <v>Andy Diouf</v>
      </c>
      <c r="C1294" s="5" t="str">
        <f aca="false">IFERROR(
   _xlfn.XLOOKUP(VALUE(A1294),[1]Fichajes_Realizados!A$2:A$50000,[1]Fichajes_Realizados!D$2:D$50000,,0,-1),
   _xlfn.XLOOKUP(VALUE(A1294),[1]Base_Jugadores!A$2:A$50000,[1]Base_Jugadores!C$2:C$50000)
)</f>
        <v>Inter de Milán</v>
      </c>
      <c r="D1294" s="5" t="str">
        <f aca="false">[1]Base_Jugadores!D1294</f>
        <v>Francia</v>
      </c>
      <c r="E1294" s="3"/>
      <c r="F1294" s="5" t="str">
        <f aca="false">[1]Base_Jugadores!E1294</f>
        <v>MC</v>
      </c>
      <c r="G1294" s="5" t="n">
        <f aca="false">[1]Base_Jugadores!F1294</f>
        <v>74</v>
      </c>
      <c r="H1294" s="5" t="n">
        <f aca="false">[1]Base_Jugadores!G1294</f>
        <v>22</v>
      </c>
      <c r="I1294" s="7" t="n">
        <f aca="false" t="array" ref="I1294:I1294">_xlfn.XLOOKUP(G1294,{55;56;57;58;59;60;61;62;63;64;65;66;67;68;69;70;71;72;73;74;75;76;77;78;79;80;81;82;83;84;85;86;87;88;89;90;91;92;93;94;95;96;97;98;99},{100000;130000;160000;190000;220000;250000;300000;350000;400000;450000;500000;600000;700000;800000;900000;1000000;1500000;2000000;3000000;4000000;5000000;6500000;8000000;10000000;12500000;15000000;20000000;25000000;30000000;35000000;40000000;55000000;70000000;80000000;90000000;110000000;130000000;160000000;190000000;220000000;250000000;280000000;310000000;340000000;400000000})</f>
        <v>4000000</v>
      </c>
      <c r="J1294" s="7" t="n">
        <f aca="false">I1294*S1294*T1294*U1294</f>
        <v>5608800</v>
      </c>
      <c r="K1294" s="3"/>
      <c r="L1294" s="3"/>
      <c r="M1294" s="3"/>
      <c r="N1294" s="9" t="n">
        <v>0</v>
      </c>
      <c r="O1294" s="4" t="n">
        <v>0</v>
      </c>
      <c r="P1294" s="5" t="n">
        <f aca="false">IF(COUNTIF([1]Base_Jugadores!J$2:J$500,B1294)&gt;0,1,0)</f>
        <v>0</v>
      </c>
      <c r="Q1294" s="10" t="b">
        <f aca="false">--(COUNTIFS(
   [1]Fichajes_Realizados!A$2:A$5000,A1294,
   [1]Fichajes_Realizados!G$2:G$5000,$X$3
)&gt;0)</f>
        <v>0</v>
      </c>
      <c r="R1294" s="5" t="n">
        <f aca="false">_xlfn.XLOOKUP(C1294, [1]Estado_Equipos!A$2:A$500, [1]Estado_Equipos!J$2:J$500, "")</f>
        <v>78</v>
      </c>
      <c r="S1294" s="5" t="n">
        <f aca="false">IF(H1294&lt;=16,1.45,
IF(H1294&gt;=41,0.3,
CHOOSE(ROUNDDOWN((H1294-16)/2,0)+1,
1.45,1.38,1.3,1.23,1.17,1.15,1.12,1.05,0.95,0.8,0.6,0.4,0.3)))</f>
        <v>1.23</v>
      </c>
      <c r="T1294" s="5" t="n">
        <f aca="false">CHOOSE(N1294+1,1.2,1,0.85,0.7)</f>
        <v>1.2</v>
      </c>
      <c r="U1294" s="5" t="n">
        <f aca="false">IF(F1294="PO",0.6,
IF(F1294="CT",0.75,
IF(F1294="LI",0.8,
IF(F1294="LD",0.8,
IF(F1294="MCD",0.85,
IF(F1294="MC",0.95,
IF(F1294="MO",1.05,
IF(F1294="EI",1.1,
IF(F1294="ED",1.1,
IF(F1294="SD",1.15,
IF(F1294="DC",1.2,0)))))))))))</f>
        <v>0.95</v>
      </c>
    </row>
    <row r="1295" customFormat="false" ht="16.4" hidden="false" customHeight="false" outlineLevel="0" collapsed="false">
      <c r="A1295" s="1" t="n">
        <v>1294</v>
      </c>
      <c r="B1295" s="5" t="str">
        <f aca="false">[1]Base_Jugadores!B1295</f>
        <v>Piotr Zieliński</v>
      </c>
      <c r="C1295" s="5" t="str">
        <f aca="false">IFERROR(
   _xlfn.XLOOKUP(VALUE(A1295),[1]Fichajes_Realizados!A$2:A$50000,[1]Fichajes_Realizados!D$2:D$50000,,0,-1),
   _xlfn.XLOOKUP(VALUE(A1295),[1]Base_Jugadores!A$2:A$50000,[1]Base_Jugadores!C$2:C$50000)
)</f>
        <v>Inter de Milán</v>
      </c>
      <c r="D1295" s="5" t="str">
        <f aca="false">[1]Base_Jugadores!D1295</f>
        <v>Polonia</v>
      </c>
      <c r="E1295" s="3"/>
      <c r="F1295" s="5" t="str">
        <f aca="false">[1]Base_Jugadores!E1295</f>
        <v>MC</v>
      </c>
      <c r="G1295" s="5" t="n">
        <f aca="false">[1]Base_Jugadores!F1295</f>
        <v>82</v>
      </c>
      <c r="H1295" s="5" t="n">
        <f aca="false">[1]Base_Jugadores!G1295</f>
        <v>31</v>
      </c>
      <c r="I1295" s="7" t="n">
        <f aca="false" t="array" ref="I1295:I1295">_xlfn.XLOOKUP(G1295,{55;56;57;58;59;60;61;62;63;64;65;66;67;68;69;70;71;72;73;74;75;76;77;78;79;80;81;82;83;84;85;86;87;88;89;90;91;92;93;94;95;96;97;98;99},{100000;130000;160000;190000;220000;250000;300000;350000;400000;450000;500000;600000;700000;800000;900000;1000000;1500000;2000000;3000000;4000000;5000000;6500000;8000000;10000000;12500000;15000000;20000000;25000000;30000000;35000000;40000000;55000000;70000000;80000000;90000000;110000000;130000000;160000000;190000000;220000000;250000000;280000000;310000000;340000000;400000000})</f>
        <v>25000000</v>
      </c>
      <c r="J1295" s="7" t="n">
        <f aca="false">I1295*S1295*T1295*U1295</f>
        <v>29925000</v>
      </c>
      <c r="K1295" s="3"/>
      <c r="L1295" s="3"/>
      <c r="M1295" s="3"/>
      <c r="N1295" s="9" t="n">
        <v>0</v>
      </c>
      <c r="O1295" s="4" t="n">
        <v>0</v>
      </c>
      <c r="P1295" s="5" t="n">
        <f aca="false">IF(COUNTIF([1]Base_Jugadores!J$2:J$500,B1295)&gt;0,1,0)</f>
        <v>0</v>
      </c>
      <c r="Q1295" s="10" t="b">
        <f aca="false">--(COUNTIFS(
   [1]Fichajes_Realizados!A$2:A$5000,A1295,
   [1]Fichajes_Realizados!G$2:G$5000,$X$3
)&gt;0)</f>
        <v>0</v>
      </c>
      <c r="R1295" s="5" t="n">
        <f aca="false">_xlfn.XLOOKUP(C1295, [1]Estado_Equipos!A$2:A$500, [1]Estado_Equipos!J$2:J$500, "")</f>
        <v>78</v>
      </c>
      <c r="S1295" s="5" t="n">
        <f aca="false">IF(H1295&lt;=16,1.45,
IF(H1295&gt;=41,0.3,
CHOOSE(ROUNDDOWN((H1295-16)/2,0)+1,
1.45,1.38,1.3,1.23,1.17,1.15,1.12,1.05,0.95,0.8,0.6,0.4,0.3)))</f>
        <v>1.05</v>
      </c>
      <c r="T1295" s="5" t="n">
        <f aca="false">CHOOSE(N1295+1,1.2,1,0.85,0.7)</f>
        <v>1.2</v>
      </c>
      <c r="U1295" s="5" t="n">
        <f aca="false">IF(F1295="PO",0.6,
IF(F1295="CT",0.75,
IF(F1295="LI",0.8,
IF(F1295="LD",0.8,
IF(F1295="MCD",0.85,
IF(F1295="MC",0.95,
IF(F1295="MO",1.05,
IF(F1295="EI",1.1,
IF(F1295="ED",1.1,
IF(F1295="SD",1.15,
IF(F1295="DC",1.2,0)))))))))))</f>
        <v>0.95</v>
      </c>
    </row>
    <row r="1296" customFormat="false" ht="16.4" hidden="false" customHeight="false" outlineLevel="0" collapsed="false">
      <c r="A1296" s="1" t="n">
        <v>1295</v>
      </c>
      <c r="B1296" s="5" t="str">
        <f aca="false">[1]Base_Jugadores!B1296</f>
        <v>H. Mkhitaryan</v>
      </c>
      <c r="C1296" s="5" t="str">
        <f aca="false">IFERROR(
   _xlfn.XLOOKUP(VALUE(A1296),[1]Fichajes_Realizados!A$2:A$50000,[1]Fichajes_Realizados!D$2:D$50000,,0,-1),
   _xlfn.XLOOKUP(VALUE(A1296),[1]Base_Jugadores!A$2:A$50000,[1]Base_Jugadores!C$2:C$50000)
)</f>
        <v>Inter de Milán</v>
      </c>
      <c r="D1296" s="5" t="str">
        <f aca="false">[1]Base_Jugadores!D1296</f>
        <v>Armenia</v>
      </c>
      <c r="E1296" s="3"/>
      <c r="F1296" s="5" t="str">
        <f aca="false">[1]Base_Jugadores!E1296</f>
        <v>MC</v>
      </c>
      <c r="G1296" s="5" t="n">
        <f aca="false">[1]Base_Jugadores!F1296</f>
        <v>81</v>
      </c>
      <c r="H1296" s="5" t="n">
        <f aca="false">[1]Base_Jugadores!G1296</f>
        <v>36</v>
      </c>
      <c r="I1296" s="7" t="n">
        <f aca="false" t="array" ref="I1296:I1296">_xlfn.XLOOKUP(G1296,{55;56;57;58;59;60;61;62;63;64;65;66;67;68;69;70;71;72;73;74;75;76;77;78;79;80;81;82;83;84;85;86;87;88;89;90;91;92;93;94;95;96;97;98;99},{100000;130000;160000;190000;220000;250000;300000;350000;400000;450000;500000;600000;700000;800000;900000;1000000;1500000;2000000;3000000;4000000;5000000;6500000;8000000;10000000;12500000;15000000;20000000;25000000;30000000;35000000;40000000;55000000;70000000;80000000;90000000;110000000;130000000;160000000;190000000;220000000;250000000;280000000;310000000;340000000;400000000})</f>
        <v>20000000</v>
      </c>
      <c r="J1296" s="7" t="n">
        <f aca="false">I1296*S1296*T1296*U1296</f>
        <v>13680000</v>
      </c>
      <c r="K1296" s="3"/>
      <c r="L1296" s="3"/>
      <c r="M1296" s="3"/>
      <c r="N1296" s="9" t="n">
        <v>0</v>
      </c>
      <c r="O1296" s="4" t="n">
        <v>0</v>
      </c>
      <c r="P1296" s="5" t="n">
        <f aca="false">IF(COUNTIF([1]Base_Jugadores!J$2:J$500,B1296)&gt;0,1,0)</f>
        <v>0</v>
      </c>
      <c r="Q1296" s="10" t="b">
        <f aca="false">--(COUNTIFS(
   [1]Fichajes_Realizados!A$2:A$5000,A1296,
   [1]Fichajes_Realizados!G$2:G$5000,$X$3
)&gt;0)</f>
        <v>0</v>
      </c>
      <c r="R1296" s="5" t="n">
        <f aca="false">_xlfn.XLOOKUP(C1296, [1]Estado_Equipos!A$2:A$500, [1]Estado_Equipos!J$2:J$500, "")</f>
        <v>78</v>
      </c>
      <c r="S1296" s="5" t="n">
        <f aca="false">IF(H1296&lt;=16,1.45,
IF(H1296&gt;=41,0.3,
CHOOSE(ROUNDDOWN((H1296-16)/2,0)+1,
1.45,1.38,1.3,1.23,1.17,1.15,1.12,1.05,0.95,0.8,0.6,0.4,0.3)))</f>
        <v>0.6</v>
      </c>
      <c r="T1296" s="5" t="n">
        <f aca="false">CHOOSE(N1296+1,1.2,1,0.85,0.7)</f>
        <v>1.2</v>
      </c>
      <c r="U1296" s="5" t="n">
        <f aca="false">IF(F1296="PO",0.6,
IF(F1296="CT",0.75,
IF(F1296="LI",0.8,
IF(F1296="LD",0.8,
IF(F1296="MCD",0.85,
IF(F1296="MC",0.95,
IF(F1296="MO",1.05,
IF(F1296="EI",1.1,
IF(F1296="ED",1.1,
IF(F1296="SD",1.15,
IF(F1296="DC",1.2,0)))))))))))</f>
        <v>0.95</v>
      </c>
    </row>
    <row r="1297" customFormat="false" ht="16.4" hidden="false" customHeight="false" outlineLevel="0" collapsed="false">
      <c r="A1297" s="1" t="n">
        <v>1296</v>
      </c>
      <c r="B1297" s="5" t="str">
        <f aca="false">[1]Base_Jugadores!B1297</f>
        <v>Luis Henrique T.</v>
      </c>
      <c r="C1297" s="5" t="str">
        <f aca="false">IFERROR(
   _xlfn.XLOOKUP(VALUE(A1297),[1]Fichajes_Realizados!A$2:A$50000,[1]Fichajes_Realizados!D$2:D$50000,,0,-1),
   _xlfn.XLOOKUP(VALUE(A1297),[1]Base_Jugadores!A$2:A$50000,[1]Base_Jugadores!C$2:C$50000)
)</f>
        <v>Inter de Milán</v>
      </c>
      <c r="D1297" s="5" t="str">
        <f aca="false">[1]Base_Jugadores!D1297</f>
        <v>Brasil</v>
      </c>
      <c r="E1297" s="3"/>
      <c r="F1297" s="5" t="str">
        <f aca="false">[1]Base_Jugadores!E1297</f>
        <v>ED</v>
      </c>
      <c r="G1297" s="5" t="n">
        <f aca="false">[1]Base_Jugadores!F1297</f>
        <v>75</v>
      </c>
      <c r="H1297" s="5" t="n">
        <f aca="false">[1]Base_Jugadores!G1297</f>
        <v>24</v>
      </c>
      <c r="I1297" s="7" t="n">
        <f aca="false" t="array" ref="I1297:I1297">_xlfn.XLOOKUP(G1297,{55;56;57;58;59;60;61;62;63;64;65;66;67;68;69;70;71;72;73;74;75;76;77;78;79;80;81;82;83;84;85;86;87;88;89;90;91;92;93;94;95;96;97;98;99},{100000;130000;160000;190000;220000;250000;300000;350000;400000;450000;500000;600000;700000;800000;900000;1000000;1500000;2000000;3000000;4000000;5000000;6500000;8000000;10000000;12500000;15000000;20000000;25000000;30000000;35000000;40000000;55000000;70000000;80000000;90000000;110000000;130000000;160000000;190000000;220000000;250000000;280000000;310000000;340000000;400000000})</f>
        <v>5000000</v>
      </c>
      <c r="J1297" s="7" t="n">
        <f aca="false">I1297*S1297*T1297*U1297</f>
        <v>7722000</v>
      </c>
      <c r="K1297" s="3"/>
      <c r="L1297" s="3"/>
      <c r="M1297" s="3"/>
      <c r="N1297" s="9" t="n">
        <v>0</v>
      </c>
      <c r="O1297" s="4" t="n">
        <v>0</v>
      </c>
      <c r="P1297" s="5" t="n">
        <f aca="false">IF(COUNTIF([1]Base_Jugadores!J$2:J$500,B1297)&gt;0,1,0)</f>
        <v>0</v>
      </c>
      <c r="Q1297" s="10" t="b">
        <f aca="false">--(COUNTIFS(
   [1]Fichajes_Realizados!A$2:A$5000,A1297,
   [1]Fichajes_Realizados!G$2:G$5000,$X$3
)&gt;0)</f>
        <v>0</v>
      </c>
      <c r="R1297" s="5" t="n">
        <f aca="false">_xlfn.XLOOKUP(C1297, [1]Estado_Equipos!A$2:A$500, [1]Estado_Equipos!J$2:J$500, "")</f>
        <v>78</v>
      </c>
      <c r="S1297" s="5" t="n">
        <f aca="false">IF(H1297&lt;=16,1.45,
IF(H1297&gt;=41,0.3,
CHOOSE(ROUNDDOWN((H1297-16)/2,0)+1,
1.45,1.38,1.3,1.23,1.17,1.15,1.12,1.05,0.95,0.8,0.6,0.4,0.3)))</f>
        <v>1.17</v>
      </c>
      <c r="T1297" s="5" t="n">
        <f aca="false">CHOOSE(N1297+1,1.2,1,0.85,0.7)</f>
        <v>1.2</v>
      </c>
      <c r="U1297" s="5" t="n">
        <f aca="false">IF(F1297="PO",0.6,
IF(F1297="CT",0.75,
IF(F1297="LI",0.8,
IF(F1297="LD",0.8,
IF(F1297="MCD",0.85,
IF(F1297="MC",0.95,
IF(F1297="MO",1.05,
IF(F1297="EI",1.1,
IF(F1297="ED",1.1,
IF(F1297="SD",1.15,
IF(F1297="DC",1.2,0)))))))))))</f>
        <v>1.1</v>
      </c>
    </row>
    <row r="1298" customFormat="false" ht="16.4" hidden="false" customHeight="false" outlineLevel="0" collapsed="false">
      <c r="A1298" s="1" t="n">
        <v>1297</v>
      </c>
      <c r="B1298" s="5" t="str">
        <f aca="false">[1]Base_Jugadores!B1298</f>
        <v>Lautaro Martínez</v>
      </c>
      <c r="C1298" s="5" t="str">
        <f aca="false">IFERROR(
   _xlfn.XLOOKUP(VALUE(A1298),[1]Fichajes_Realizados!A$2:A$50000,[1]Fichajes_Realizados!D$2:D$50000,,0,-1),
   _xlfn.XLOOKUP(VALUE(A1298),[1]Base_Jugadores!A$2:A$50000,[1]Base_Jugadores!C$2:C$50000)
)</f>
        <v>Inter de Milán</v>
      </c>
      <c r="D1298" s="5" t="str">
        <f aca="false">[1]Base_Jugadores!D1298</f>
        <v>Argentina</v>
      </c>
      <c r="E1298" s="3"/>
      <c r="F1298" s="5" t="str">
        <f aca="false">[1]Base_Jugadores!E1298</f>
        <v>DC</v>
      </c>
      <c r="G1298" s="5" t="n">
        <f aca="false">[1]Base_Jugadores!F1298</f>
        <v>89</v>
      </c>
      <c r="H1298" s="5" t="n">
        <f aca="false">[1]Base_Jugadores!G1298</f>
        <v>28</v>
      </c>
      <c r="I1298" s="7" t="n">
        <f aca="false" t="array" ref="I1298:I1298">_xlfn.XLOOKUP(G1298,{55;56;57;58;59;60;61;62;63;64;65;66;67;68;69;70;71;72;73;74;75;76;77;78;79;80;81;82;83;84;85;86;87;88;89;90;91;92;93;94;95;96;97;98;99},{100000;130000;160000;190000;220000;250000;300000;350000;400000;450000;500000;600000;700000;800000;900000;1000000;1500000;2000000;3000000;4000000;5000000;6500000;8000000;10000000;12500000;15000000;20000000;25000000;30000000;35000000;40000000;55000000;70000000;80000000;90000000;110000000;130000000;160000000;190000000;220000000;250000000;280000000;310000000;340000000;400000000})</f>
        <v>90000000</v>
      </c>
      <c r="J1298" s="7" t="n">
        <f aca="false">I1298*S1298*T1298*U1298</f>
        <v>145152000</v>
      </c>
      <c r="K1298" s="3"/>
      <c r="L1298" s="3"/>
      <c r="M1298" s="3"/>
      <c r="N1298" s="9" t="n">
        <v>0</v>
      </c>
      <c r="O1298" s="4" t="n">
        <v>0</v>
      </c>
      <c r="P1298" s="5" t="n">
        <f aca="false">IF(COUNTIF([1]Base_Jugadores!J$2:J$500,B1298)&gt;0,1,0)</f>
        <v>0</v>
      </c>
      <c r="Q1298" s="10" t="b">
        <f aca="false">--(COUNTIFS(
   [1]Fichajes_Realizados!A$2:A$5000,A1298,
   [1]Fichajes_Realizados!G$2:G$5000,$X$3
)&gt;0)</f>
        <v>0</v>
      </c>
      <c r="R1298" s="5" t="n">
        <f aca="false">_xlfn.XLOOKUP(C1298, [1]Estado_Equipos!A$2:A$500, [1]Estado_Equipos!J$2:J$500, "")</f>
        <v>78</v>
      </c>
      <c r="S1298" s="5" t="n">
        <f aca="false">IF(H1298&lt;=16,1.45,
IF(H1298&gt;=41,0.3,
CHOOSE(ROUNDDOWN((H1298-16)/2,0)+1,
1.45,1.38,1.3,1.23,1.17,1.15,1.12,1.05,0.95,0.8,0.6,0.4,0.3)))</f>
        <v>1.12</v>
      </c>
      <c r="T1298" s="5" t="n">
        <f aca="false">CHOOSE(N1298+1,1.2,1,0.85,0.7)</f>
        <v>1.2</v>
      </c>
      <c r="U1298" s="5" t="n">
        <f aca="false">IF(F1298="PO",0.6,
IF(F1298="CT",0.75,
IF(F1298="LI",0.8,
IF(F1298="LD",0.8,
IF(F1298="MCD",0.85,
IF(F1298="MC",0.95,
IF(F1298="MO",1.05,
IF(F1298="EI",1.1,
IF(F1298="ED",1.1,
IF(F1298="SD",1.15,
IF(F1298="DC",1.2,0)))))))))))</f>
        <v>1.2</v>
      </c>
    </row>
    <row r="1299" customFormat="false" ht="16.4" hidden="false" customHeight="false" outlineLevel="0" collapsed="false">
      <c r="A1299" s="1" t="n">
        <v>1298</v>
      </c>
      <c r="B1299" s="5" t="str">
        <f aca="false">[1]Base_Jugadores!B1299</f>
        <v>Marcus Thuram</v>
      </c>
      <c r="C1299" s="5" t="str">
        <f aca="false">IFERROR(
   _xlfn.XLOOKUP(VALUE(A1299),[1]Fichajes_Realizados!A$2:A$50000,[1]Fichajes_Realizados!D$2:D$50000,,0,-1),
   _xlfn.XLOOKUP(VALUE(A1299),[1]Base_Jugadores!A$2:A$50000,[1]Base_Jugadores!C$2:C$50000)
)</f>
        <v>Inter de Milán</v>
      </c>
      <c r="D1299" s="5" t="str">
        <f aca="false">[1]Base_Jugadores!D1299</f>
        <v>Francia</v>
      </c>
      <c r="E1299" s="3"/>
      <c r="F1299" s="5" t="str">
        <f aca="false">[1]Base_Jugadores!E1299</f>
        <v>DC</v>
      </c>
      <c r="G1299" s="5" t="n">
        <f aca="false">[1]Base_Jugadores!F1299</f>
        <v>84</v>
      </c>
      <c r="H1299" s="5" t="n">
        <f aca="false">[1]Base_Jugadores!G1299</f>
        <v>28</v>
      </c>
      <c r="I1299" s="7" t="n">
        <f aca="false" t="array" ref="I1299:I1299">_xlfn.XLOOKUP(G1299,{55;56;57;58;59;60;61;62;63;64;65;66;67;68;69;70;71;72;73;74;75;76;77;78;79;80;81;82;83;84;85;86;87;88;89;90;91;92;93;94;95;96;97;98;99},{100000;130000;160000;190000;220000;250000;300000;350000;400000;450000;500000;600000;700000;800000;900000;1000000;1500000;2000000;3000000;4000000;5000000;6500000;8000000;10000000;12500000;15000000;20000000;25000000;30000000;35000000;40000000;55000000;70000000;80000000;90000000;110000000;130000000;160000000;190000000;220000000;250000000;280000000;310000000;340000000;400000000})</f>
        <v>35000000</v>
      </c>
      <c r="J1299" s="7" t="n">
        <f aca="false">I1299*S1299*T1299*U1299</f>
        <v>56448000</v>
      </c>
      <c r="K1299" s="3"/>
      <c r="L1299" s="3"/>
      <c r="M1299" s="3"/>
      <c r="N1299" s="9" t="n">
        <v>0</v>
      </c>
      <c r="O1299" s="4" t="n">
        <v>0</v>
      </c>
      <c r="P1299" s="5" t="n">
        <f aca="false">IF(COUNTIF([1]Base_Jugadores!J$2:J$500,B1299)&gt;0,1,0)</f>
        <v>0</v>
      </c>
      <c r="Q1299" s="10" t="b">
        <f aca="false">--(COUNTIFS(
   [1]Fichajes_Realizados!A$2:A$5000,A1299,
   [1]Fichajes_Realizados!G$2:G$5000,$X$3
)&gt;0)</f>
        <v>0</v>
      </c>
      <c r="R1299" s="5" t="n">
        <f aca="false">_xlfn.XLOOKUP(C1299, [1]Estado_Equipos!A$2:A$500, [1]Estado_Equipos!J$2:J$500, "")</f>
        <v>78</v>
      </c>
      <c r="S1299" s="5" t="n">
        <f aca="false">IF(H1299&lt;=16,1.45,
IF(H1299&gt;=41,0.3,
CHOOSE(ROUNDDOWN((H1299-16)/2,0)+1,
1.45,1.38,1.3,1.23,1.17,1.15,1.12,1.05,0.95,0.8,0.6,0.4,0.3)))</f>
        <v>1.12</v>
      </c>
      <c r="T1299" s="5" t="n">
        <f aca="false">CHOOSE(N1299+1,1.2,1,0.85,0.7)</f>
        <v>1.2</v>
      </c>
      <c r="U1299" s="5" t="n">
        <f aca="false">IF(F1299="PO",0.6,
IF(F1299="CT",0.75,
IF(F1299="LI",0.8,
IF(F1299="LD",0.8,
IF(F1299="MCD",0.85,
IF(F1299="MC",0.95,
IF(F1299="MO",1.05,
IF(F1299="EI",1.1,
IF(F1299="ED",1.1,
IF(F1299="SD",1.15,
IF(F1299="DC",1.2,0)))))))))))</f>
        <v>1.2</v>
      </c>
    </row>
    <row r="1300" customFormat="false" ht="16.4" hidden="false" customHeight="false" outlineLevel="0" collapsed="false">
      <c r="A1300" s="1" t="n">
        <v>1299</v>
      </c>
      <c r="B1300" s="5" t="str">
        <f aca="false">[1]Base_Jugadores!B1300</f>
        <v>Pio Esposito</v>
      </c>
      <c r="C1300" s="5" t="str">
        <f aca="false">IFERROR(
   _xlfn.XLOOKUP(VALUE(A1300),[1]Fichajes_Realizados!A$2:A$50000,[1]Fichajes_Realizados!D$2:D$50000,,0,-1),
   _xlfn.XLOOKUP(VALUE(A1300),[1]Base_Jugadores!A$2:A$50000,[1]Base_Jugadores!C$2:C$50000)
)</f>
        <v>Inter de Milán</v>
      </c>
      <c r="D1300" s="5" t="str">
        <f aca="false">[1]Base_Jugadores!D1300</f>
        <v>Italia</v>
      </c>
      <c r="E1300" s="3"/>
      <c r="F1300" s="5" t="str">
        <f aca="false">[1]Base_Jugadores!E1300</f>
        <v>DC</v>
      </c>
      <c r="G1300" s="5" t="n">
        <f aca="false">[1]Base_Jugadores!F1300</f>
        <v>70</v>
      </c>
      <c r="H1300" s="5" t="n">
        <f aca="false">[1]Base_Jugadores!G1300</f>
        <v>20</v>
      </c>
      <c r="I1300" s="7" t="n">
        <f aca="false" t="array" ref="I1300:I1300">_xlfn.XLOOKUP(G1300,{55;56;57;58;59;60;61;62;63;64;65;66;67;68;69;70;71;72;73;74;75;76;77;78;79;80;81;82;83;84;85;86;87;88;89;90;91;92;93;94;95;96;97;98;99},{100000;130000;160000;190000;220000;250000;300000;350000;400000;450000;500000;600000;700000;800000;900000;1000000;1500000;2000000;3000000;4000000;5000000;6500000;8000000;10000000;12500000;15000000;20000000;25000000;30000000;35000000;40000000;55000000;70000000;80000000;90000000;110000000;130000000;160000000;190000000;220000000;250000000;280000000;310000000;340000000;400000000})</f>
        <v>1000000</v>
      </c>
      <c r="J1300" s="7" t="n">
        <f aca="false">I1300*S1300*T1300*U1300</f>
        <v>1872000</v>
      </c>
      <c r="K1300" s="3"/>
      <c r="L1300" s="3"/>
      <c r="M1300" s="3"/>
      <c r="N1300" s="9" t="n">
        <v>0</v>
      </c>
      <c r="O1300" s="4" t="n">
        <v>0</v>
      </c>
      <c r="P1300" s="5" t="n">
        <f aca="false">IF(COUNTIF([1]Base_Jugadores!J$2:J$500,B1300)&gt;0,1,0)</f>
        <v>0</v>
      </c>
      <c r="Q1300" s="10" t="b">
        <f aca="false">--(COUNTIFS(
   [1]Fichajes_Realizados!A$2:A$5000,A1300,
   [1]Fichajes_Realizados!G$2:G$5000,$X$3
)&gt;0)</f>
        <v>0</v>
      </c>
      <c r="R1300" s="5" t="n">
        <f aca="false">_xlfn.XLOOKUP(C1300, [1]Estado_Equipos!A$2:A$500, [1]Estado_Equipos!J$2:J$500, "")</f>
        <v>78</v>
      </c>
      <c r="S1300" s="5" t="n">
        <f aca="false">IF(H1300&lt;=16,1.45,
IF(H1300&gt;=41,0.3,
CHOOSE(ROUNDDOWN((H1300-16)/2,0)+1,
1.45,1.38,1.3,1.23,1.17,1.15,1.12,1.05,0.95,0.8,0.6,0.4,0.3)))</f>
        <v>1.3</v>
      </c>
      <c r="T1300" s="5" t="n">
        <f aca="false">CHOOSE(N1300+1,1.2,1,0.85,0.7)</f>
        <v>1.2</v>
      </c>
      <c r="U1300" s="5" t="n">
        <f aca="false">IF(F1300="PO",0.6,
IF(F1300="CT",0.75,
IF(F1300="LI",0.8,
IF(F1300="LD",0.8,
IF(F1300="MCD",0.85,
IF(F1300="MC",0.95,
IF(F1300="MO",1.05,
IF(F1300="EI",1.1,
IF(F1300="ED",1.1,
IF(F1300="SD",1.15,
IF(F1300="DC",1.2,0)))))))))))</f>
        <v>1.2</v>
      </c>
    </row>
    <row r="1301" customFormat="false" ht="16.4" hidden="false" customHeight="false" outlineLevel="0" collapsed="false">
      <c r="A1301" s="1" t="n">
        <v>1300</v>
      </c>
      <c r="B1301" s="5" t="str">
        <f aca="false">[1]Base_Jugadores!B1301</f>
        <v>Ange-Yoan Bonny</v>
      </c>
      <c r="C1301" s="5" t="str">
        <f aca="false">IFERROR(
   _xlfn.XLOOKUP(VALUE(A1301),[1]Fichajes_Realizados!A$2:A$50000,[1]Fichajes_Realizados!D$2:D$50000,,0,-1),
   _xlfn.XLOOKUP(VALUE(A1301),[1]Base_Jugadores!A$2:A$50000,[1]Base_Jugadores!C$2:C$50000)
)</f>
        <v>Inter de Milán</v>
      </c>
      <c r="D1301" s="5" t="str">
        <f aca="false">[1]Base_Jugadores!D1301</f>
        <v>Francia</v>
      </c>
      <c r="E1301" s="3"/>
      <c r="F1301" s="5" t="str">
        <f aca="false">[1]Base_Jugadores!E1301</f>
        <v>DC</v>
      </c>
      <c r="G1301" s="5" t="n">
        <f aca="false">[1]Base_Jugadores!F1301</f>
        <v>75</v>
      </c>
      <c r="H1301" s="5" t="n">
        <f aca="false">[1]Base_Jugadores!G1301</f>
        <v>22</v>
      </c>
      <c r="I1301" s="7" t="n">
        <f aca="false" t="array" ref="I1301:I1301">_xlfn.XLOOKUP(G1301,{55;56;57;58;59;60;61;62;63;64;65;66;67;68;69;70;71;72;73;74;75;76;77;78;79;80;81;82;83;84;85;86;87;88;89;90;91;92;93;94;95;96;97;98;99},{100000;130000;160000;190000;220000;250000;300000;350000;400000;450000;500000;600000;700000;800000;900000;1000000;1500000;2000000;3000000;4000000;5000000;6500000;8000000;10000000;12500000;15000000;20000000;25000000;30000000;35000000;40000000;55000000;70000000;80000000;90000000;110000000;130000000;160000000;190000000;220000000;250000000;280000000;310000000;340000000;400000000})</f>
        <v>5000000</v>
      </c>
      <c r="J1301" s="7" t="n">
        <f aca="false">I1301*S1301*T1301*U1301</f>
        <v>8856000</v>
      </c>
      <c r="K1301" s="3"/>
      <c r="L1301" s="3"/>
      <c r="M1301" s="3"/>
      <c r="N1301" s="9" t="n">
        <v>0</v>
      </c>
      <c r="O1301" s="4" t="n">
        <v>0</v>
      </c>
      <c r="P1301" s="5" t="n">
        <f aca="false">IF(COUNTIF([1]Base_Jugadores!J$2:J$500,B1301)&gt;0,1,0)</f>
        <v>0</v>
      </c>
      <c r="Q1301" s="10" t="b">
        <f aca="false">--(COUNTIFS(
   [1]Fichajes_Realizados!A$2:A$5000,A1301,
   [1]Fichajes_Realizados!G$2:G$5000,$X$3
)&gt;0)</f>
        <v>0</v>
      </c>
      <c r="R1301" s="5" t="n">
        <f aca="false">_xlfn.XLOOKUP(C1301, [1]Estado_Equipos!A$2:A$500, [1]Estado_Equipos!J$2:J$500, "")</f>
        <v>78</v>
      </c>
      <c r="S1301" s="5" t="n">
        <f aca="false">IF(H1301&lt;=16,1.45,
IF(H1301&gt;=41,0.3,
CHOOSE(ROUNDDOWN((H1301-16)/2,0)+1,
1.45,1.38,1.3,1.23,1.17,1.15,1.12,1.05,0.95,0.8,0.6,0.4,0.3)))</f>
        <v>1.23</v>
      </c>
      <c r="T1301" s="5" t="n">
        <f aca="false">CHOOSE(N1301+1,1.2,1,0.85,0.7)</f>
        <v>1.2</v>
      </c>
      <c r="U1301" s="5" t="n">
        <f aca="false">IF(F1301="PO",0.6,
IF(F1301="CT",0.75,
IF(F1301="LI",0.8,
IF(F1301="LD",0.8,
IF(F1301="MCD",0.85,
IF(F1301="MC",0.95,
IF(F1301="MO",1.05,
IF(F1301="EI",1.1,
IF(F1301="ED",1.1,
IF(F1301="SD",1.15,
IF(F1301="DC",1.2,0)))))))))))</f>
        <v>1.2</v>
      </c>
    </row>
    <row r="1302" customFormat="false" ht="16.4" hidden="false" customHeight="false" outlineLevel="0" collapsed="false">
      <c r="A1302" s="1" t="n">
        <v>1301</v>
      </c>
      <c r="B1302" s="5" t="str">
        <f aca="false">[1]Base_Jugadores!B1302</f>
        <v>A. Calligaris</v>
      </c>
      <c r="C1302" s="5" t="str">
        <f aca="false">IFERROR(
   _xlfn.XLOOKUP(VALUE(A1302),[1]Fichajes_Realizados!A$2:A$50000,[1]Fichajes_Realizados!D$2:D$50000,,0,-1),
   _xlfn.XLOOKUP(VALUE(A1302),[1]Base_Jugadores!A$2:A$50000,[1]Base_Jugadores!C$2:C$50000)
)</f>
        <v>Inter de Milán</v>
      </c>
      <c r="D1302" s="5" t="str">
        <f aca="false">[1]Base_Jugadores!D1302</f>
        <v>Italia</v>
      </c>
      <c r="E1302" s="3"/>
      <c r="F1302" s="5" t="str">
        <f aca="false">[1]Base_Jugadores!E1302</f>
        <v>PO</v>
      </c>
      <c r="G1302" s="5" t="n">
        <f aca="false">[1]Base_Jugadores!F1302</f>
        <v>71</v>
      </c>
      <c r="H1302" s="5" t="n">
        <f aca="false">[1]Base_Jugadores!G1302</f>
        <v>20</v>
      </c>
      <c r="I1302" s="7" t="n">
        <f aca="false" t="array" ref="I1302:I1302">_xlfn.XLOOKUP(G1302,{55;56;57;58;59;60;61;62;63;64;65;66;67;68;69;70;71;72;73;74;75;76;77;78;79;80;81;82;83;84;85;86;87;88;89;90;91;92;93;94;95;96;97;98;99},{100000;130000;160000;190000;220000;250000;300000;350000;400000;450000;500000;600000;700000;800000;900000;1000000;1500000;2000000;3000000;4000000;5000000;6500000;8000000;10000000;12500000;15000000;20000000;25000000;30000000;35000000;40000000;55000000;70000000;80000000;90000000;110000000;130000000;160000000;190000000;220000000;250000000;280000000;310000000;340000000;400000000})</f>
        <v>1500000</v>
      </c>
      <c r="J1302" s="7" t="n">
        <f aca="false">I1302*S1302*T1302*U1302</f>
        <v>1404000</v>
      </c>
      <c r="K1302" s="3"/>
      <c r="L1302" s="3"/>
      <c r="M1302" s="3"/>
      <c r="N1302" s="9" t="n">
        <v>0</v>
      </c>
      <c r="O1302" s="4" t="n">
        <v>0</v>
      </c>
      <c r="P1302" s="5" t="n">
        <f aca="false">IF(COUNTIF([1]Base_Jugadores!J$2:J$500,B1302)&gt;0,1,0)</f>
        <v>0</v>
      </c>
      <c r="Q1302" s="10" t="b">
        <f aca="false">--(COUNTIFS(
   [1]Fichajes_Realizados!A$2:A$5000,A1302,
   [1]Fichajes_Realizados!G$2:G$5000,$X$3
)&gt;0)</f>
        <v>0</v>
      </c>
      <c r="R1302" s="5" t="n">
        <f aca="false">_xlfn.XLOOKUP(C1302, [1]Estado_Equipos!A$2:A$500, [1]Estado_Equipos!J$2:J$500, "")</f>
        <v>78</v>
      </c>
      <c r="S1302" s="5" t="n">
        <f aca="false">IF(H1302&lt;=16,1.45,
IF(H1302&gt;=41,0.3,
CHOOSE(ROUNDDOWN((H1302-16)/2,0)+1,
1.45,1.38,1.3,1.23,1.17,1.15,1.12,1.05,0.95,0.8,0.6,0.4,0.3)))</f>
        <v>1.3</v>
      </c>
      <c r="T1302" s="5" t="n">
        <f aca="false">CHOOSE(N1302+1,1.2,1,0.85,0.7)</f>
        <v>1.2</v>
      </c>
      <c r="U1302" s="5" t="n">
        <f aca="false">IF(F1302="PO",0.6,
IF(F1302="CT",0.75,
IF(F1302="LI",0.8,
IF(F1302="LD",0.8,
IF(F1302="MCD",0.85,
IF(F1302="MC",0.95,
IF(F1302="MO",1.05,
IF(F1302="EI",1.1,
IF(F1302="ED",1.1,
IF(F1302="SD",1.15,
IF(F1302="DC",1.2,0)))))))))))</f>
        <v>0.6</v>
      </c>
    </row>
    <row r="1303" customFormat="false" ht="16.4" hidden="false" customHeight="false" outlineLevel="0" collapsed="false">
      <c r="A1303" s="1" t="n">
        <v>1302</v>
      </c>
      <c r="B1303" s="5" t="str">
        <f aca="false">[1]Base_Jugadores!B1303</f>
        <v>Mike Aidoo</v>
      </c>
      <c r="C1303" s="5" t="str">
        <f aca="false">IFERROR(
   _xlfn.XLOOKUP(VALUE(A1303),[1]Fichajes_Realizados!A$2:A$50000,[1]Fichajes_Realizados!D$2:D$50000,,0,-1),
   _xlfn.XLOOKUP(VALUE(A1303),[1]Base_Jugadores!A$2:A$50000,[1]Base_Jugadores!C$2:C$50000)
)</f>
        <v>Inter de Milán</v>
      </c>
      <c r="D1303" s="5" t="str">
        <f aca="false">[1]Base_Jugadores!D1303</f>
        <v>Italia</v>
      </c>
      <c r="E1303" s="3"/>
      <c r="F1303" s="5" t="str">
        <f aca="false">[1]Base_Jugadores!E1303</f>
        <v>LD</v>
      </c>
      <c r="G1303" s="5" t="n">
        <f aca="false">[1]Base_Jugadores!F1303</f>
        <v>62</v>
      </c>
      <c r="H1303" s="5" t="n">
        <f aca="false">[1]Base_Jugadores!G1303</f>
        <v>20</v>
      </c>
      <c r="I1303" s="7" t="n">
        <f aca="false" t="array" ref="I1303:I1303">_xlfn.XLOOKUP(G1303,{55;56;57;58;59;60;61;62;63;64;65;66;67;68;69;70;71;72;73;74;75;76;77;78;79;80;81;82;83;84;85;86;87;88;89;90;91;92;93;94;95;96;97;98;99},{100000;130000;160000;190000;220000;250000;300000;350000;400000;450000;500000;600000;700000;800000;900000;1000000;1500000;2000000;3000000;4000000;5000000;6500000;8000000;10000000;12500000;15000000;20000000;25000000;30000000;35000000;40000000;55000000;70000000;80000000;90000000;110000000;130000000;160000000;190000000;220000000;250000000;280000000;310000000;340000000;400000000})</f>
        <v>350000</v>
      </c>
      <c r="J1303" s="7" t="n">
        <f aca="false">I1303*S1303*T1303*U1303</f>
        <v>436800</v>
      </c>
      <c r="K1303" s="3"/>
      <c r="L1303" s="3"/>
      <c r="M1303" s="3"/>
      <c r="N1303" s="9" t="n">
        <v>0</v>
      </c>
      <c r="O1303" s="4" t="n">
        <v>0</v>
      </c>
      <c r="P1303" s="5" t="n">
        <f aca="false">IF(COUNTIF([1]Base_Jugadores!J$2:J$500,B1303)&gt;0,1,0)</f>
        <v>0</v>
      </c>
      <c r="Q1303" s="10" t="b">
        <f aca="false">--(COUNTIFS(
   [1]Fichajes_Realizados!A$2:A$5000,A1303,
   [1]Fichajes_Realizados!G$2:G$5000,$X$3
)&gt;0)</f>
        <v>0</v>
      </c>
      <c r="R1303" s="5" t="n">
        <f aca="false">_xlfn.XLOOKUP(C1303, [1]Estado_Equipos!A$2:A$500, [1]Estado_Equipos!J$2:J$500, "")</f>
        <v>78</v>
      </c>
      <c r="S1303" s="5" t="n">
        <f aca="false">IF(H1303&lt;=16,1.45,
IF(H1303&gt;=41,0.3,
CHOOSE(ROUNDDOWN((H1303-16)/2,0)+1,
1.45,1.38,1.3,1.23,1.17,1.15,1.12,1.05,0.95,0.8,0.6,0.4,0.3)))</f>
        <v>1.3</v>
      </c>
      <c r="T1303" s="5" t="n">
        <f aca="false">CHOOSE(N1303+1,1.2,1,0.85,0.7)</f>
        <v>1.2</v>
      </c>
      <c r="U1303" s="5" t="n">
        <f aca="false">IF(F1303="PO",0.6,
IF(F1303="CT",0.75,
IF(F1303="LI",0.8,
IF(F1303="LD",0.8,
IF(F1303="MCD",0.85,
IF(F1303="MC",0.95,
IF(F1303="MO",1.05,
IF(F1303="EI",1.1,
IF(F1303="ED",1.1,
IF(F1303="SD",1.15,
IF(F1303="DC",1.2,0)))))))))))</f>
        <v>0.8</v>
      </c>
    </row>
    <row r="1304" customFormat="false" ht="16.4" hidden="false" customHeight="false" outlineLevel="0" collapsed="false">
      <c r="A1304" s="1" t="n">
        <v>1303</v>
      </c>
      <c r="B1304" s="5" t="str">
        <f aca="false">[1]Base_Jugadores!B1304</f>
        <v>T. Berenbruch</v>
      </c>
      <c r="C1304" s="5" t="str">
        <f aca="false">IFERROR(
   _xlfn.XLOOKUP(VALUE(A1304),[1]Fichajes_Realizados!A$2:A$50000,[1]Fichajes_Realizados!D$2:D$50000,,0,-1),
   _xlfn.XLOOKUP(VALUE(A1304),[1]Base_Jugadores!A$2:A$50000,[1]Base_Jugadores!C$2:C$50000)
)</f>
        <v>Inter de Milán</v>
      </c>
      <c r="D1304" s="5" t="str">
        <f aca="false">[1]Base_Jugadores!D1304</f>
        <v>Italia</v>
      </c>
      <c r="E1304" s="3"/>
      <c r="F1304" s="5" t="str">
        <f aca="false">[1]Base_Jugadores!E1304</f>
        <v>MC</v>
      </c>
      <c r="G1304" s="5" t="n">
        <f aca="false">[1]Base_Jugadores!F1304</f>
        <v>61</v>
      </c>
      <c r="H1304" s="5" t="n">
        <f aca="false">[1]Base_Jugadores!G1304</f>
        <v>20</v>
      </c>
      <c r="I1304" s="7" t="n">
        <f aca="false" t="array" ref="I1304:I1304">_xlfn.XLOOKUP(G1304,{55;56;57;58;59;60;61;62;63;64;65;66;67;68;69;70;71;72;73;74;75;76;77;78;79;80;81;82;83;84;85;86;87;88;89;90;91;92;93;94;95;96;97;98;99},{100000;130000;160000;190000;220000;250000;300000;350000;400000;450000;500000;600000;700000;800000;900000;1000000;1500000;2000000;3000000;4000000;5000000;6500000;8000000;10000000;12500000;15000000;20000000;25000000;30000000;35000000;40000000;55000000;70000000;80000000;90000000;110000000;130000000;160000000;190000000;220000000;250000000;280000000;310000000;340000000;400000000})</f>
        <v>300000</v>
      </c>
      <c r="J1304" s="7" t="n">
        <f aca="false">I1304*S1304*T1304*U1304</f>
        <v>444600</v>
      </c>
      <c r="K1304" s="3"/>
      <c r="L1304" s="3"/>
      <c r="M1304" s="3"/>
      <c r="N1304" s="9" t="n">
        <v>0</v>
      </c>
      <c r="O1304" s="4" t="n">
        <v>0</v>
      </c>
      <c r="P1304" s="5" t="n">
        <f aca="false">IF(COUNTIF([1]Base_Jugadores!J$2:J$500,B1304)&gt;0,1,0)</f>
        <v>0</v>
      </c>
      <c r="Q1304" s="10" t="b">
        <f aca="false">--(COUNTIFS(
   [1]Fichajes_Realizados!A$2:A$5000,A1304,
   [1]Fichajes_Realizados!G$2:G$5000,$X$3
)&gt;0)</f>
        <v>0</v>
      </c>
      <c r="R1304" s="5" t="n">
        <f aca="false">_xlfn.XLOOKUP(C1304, [1]Estado_Equipos!A$2:A$500, [1]Estado_Equipos!J$2:J$500, "")</f>
        <v>78</v>
      </c>
      <c r="S1304" s="5" t="n">
        <f aca="false">IF(H1304&lt;=16,1.45,
IF(H1304&gt;=41,0.3,
CHOOSE(ROUNDDOWN((H1304-16)/2,0)+1,
1.45,1.38,1.3,1.23,1.17,1.15,1.12,1.05,0.95,0.8,0.6,0.4,0.3)))</f>
        <v>1.3</v>
      </c>
      <c r="T1304" s="5" t="n">
        <f aca="false">CHOOSE(N1304+1,1.2,1,0.85,0.7)</f>
        <v>1.2</v>
      </c>
      <c r="U1304" s="5" t="n">
        <f aca="false">IF(F1304="PO",0.6,
IF(F1304="CT",0.75,
IF(F1304="LI",0.8,
IF(F1304="LD",0.8,
IF(F1304="MCD",0.85,
IF(F1304="MC",0.95,
IF(F1304="MO",1.05,
IF(F1304="EI",1.1,
IF(F1304="ED",1.1,
IF(F1304="SD",1.15,
IF(F1304="DC",1.2,0)))))))))))</f>
        <v>0.95</v>
      </c>
    </row>
    <row r="1305" customFormat="false" ht="16.4" hidden="false" customHeight="false" outlineLevel="0" collapsed="false">
      <c r="A1305" s="1" t="n">
        <v>1304</v>
      </c>
      <c r="B1305" s="5" t="str">
        <f aca="false">[1]Base_Jugadores!B1305</f>
        <v>Michele Di Gregorio</v>
      </c>
      <c r="C1305" s="5" t="str">
        <f aca="false">IFERROR(
   _xlfn.XLOOKUP(VALUE(A1305),[1]Fichajes_Realizados!A$2:A$50000,[1]Fichajes_Realizados!D$2:D$50000,,0,-1),
   _xlfn.XLOOKUP(VALUE(A1305),[1]Base_Jugadores!A$2:A$50000,[1]Base_Jugadores!C$2:C$50000)
)</f>
        <v>Juventus de Turín</v>
      </c>
      <c r="D1305" s="5" t="str">
        <f aca="false">[1]Base_Jugadores!D1305</f>
        <v>Italia</v>
      </c>
      <c r="E1305" s="3"/>
      <c r="F1305" s="5" t="str">
        <f aca="false">[1]Base_Jugadores!E1305</f>
        <v>PO</v>
      </c>
      <c r="G1305" s="5" t="n">
        <f aca="false">[1]Base_Jugadores!F1305</f>
        <v>82</v>
      </c>
      <c r="H1305" s="5" t="n">
        <f aca="false">[1]Base_Jugadores!G1305</f>
        <v>28</v>
      </c>
      <c r="I1305" s="7" t="n">
        <f aca="false" t="array" ref="I1305:I1305">_xlfn.XLOOKUP(G1305,{55;56;57;58;59;60;61;62;63;64;65;66;67;68;69;70;71;72;73;74;75;76;77;78;79;80;81;82;83;84;85;86;87;88;89;90;91;92;93;94;95;96;97;98;99},{100000;130000;160000;190000;220000;250000;300000;350000;400000;450000;500000;600000;700000;800000;900000;1000000;1500000;2000000;3000000;4000000;5000000;6500000;8000000;10000000;12500000;15000000;20000000;25000000;30000000;35000000;40000000;55000000;70000000;80000000;90000000;110000000;130000000;160000000;190000000;220000000;250000000;280000000;310000000;340000000;400000000})</f>
        <v>25000000</v>
      </c>
      <c r="J1305" s="7" t="n">
        <f aca="false">I1305*S1305*T1305*U1305</f>
        <v>20160000</v>
      </c>
      <c r="K1305" s="3"/>
      <c r="L1305" s="3"/>
      <c r="M1305" s="3"/>
      <c r="N1305" s="9" t="n">
        <v>0</v>
      </c>
      <c r="O1305" s="4" t="n">
        <v>0</v>
      </c>
      <c r="P1305" s="5" t="n">
        <f aca="false">IF(COUNTIF([1]Base_Jugadores!J$2:J$500,B1305)&gt;0,1,0)</f>
        <v>0</v>
      </c>
      <c r="Q1305" s="10" t="b">
        <f aca="false">--(COUNTIFS(
   [1]Fichajes_Realizados!A$2:A$5000,A1305,
   [1]Fichajes_Realizados!G$2:G$5000,$X$3
)&gt;0)</f>
        <v>0</v>
      </c>
      <c r="R1305" s="5" t="n">
        <f aca="false">_xlfn.XLOOKUP(C1305, [1]Estado_Equipos!A$2:A$500, [1]Estado_Equipos!J$2:J$500, "")</f>
        <v>77</v>
      </c>
      <c r="S1305" s="5" t="n">
        <f aca="false">IF(H1305&lt;=16,1.45,
IF(H1305&gt;=41,0.3,
CHOOSE(ROUNDDOWN((H1305-16)/2,0)+1,
1.45,1.38,1.3,1.23,1.17,1.15,1.12,1.05,0.95,0.8,0.6,0.4,0.3)))</f>
        <v>1.12</v>
      </c>
      <c r="T1305" s="5" t="n">
        <f aca="false">CHOOSE(N1305+1,1.2,1,0.85,0.7)</f>
        <v>1.2</v>
      </c>
      <c r="U1305" s="5" t="n">
        <f aca="false">IF(F1305="PO",0.6,
IF(F1305="CT",0.75,
IF(F1305="LI",0.8,
IF(F1305="LD",0.8,
IF(F1305="MCD",0.85,
IF(F1305="MC",0.95,
IF(F1305="MO",1.05,
IF(F1305="EI",1.1,
IF(F1305="ED",1.1,
IF(F1305="SD",1.15,
IF(F1305="DC",1.2,0)))))))))))</f>
        <v>0.6</v>
      </c>
    </row>
    <row r="1306" customFormat="false" ht="16.4" hidden="false" customHeight="false" outlineLevel="0" collapsed="false">
      <c r="A1306" s="1" t="n">
        <v>1305</v>
      </c>
      <c r="B1306" s="5" t="str">
        <f aca="false">[1]Base_Jugadores!B1306</f>
        <v>Mattia Perin</v>
      </c>
      <c r="C1306" s="5" t="str">
        <f aca="false">IFERROR(
   _xlfn.XLOOKUP(VALUE(A1306),[1]Fichajes_Realizados!A$2:A$50000,[1]Fichajes_Realizados!D$2:D$50000,,0,-1),
   _xlfn.XLOOKUP(VALUE(A1306),[1]Base_Jugadores!A$2:A$50000,[1]Base_Jugadores!C$2:C$50000)
)</f>
        <v>Juventus de Turín</v>
      </c>
      <c r="D1306" s="5" t="str">
        <f aca="false">[1]Base_Jugadores!D1306</f>
        <v>Italia</v>
      </c>
      <c r="E1306" s="3"/>
      <c r="F1306" s="5" t="str">
        <f aca="false">[1]Base_Jugadores!E1306</f>
        <v>PO</v>
      </c>
      <c r="G1306" s="5" t="n">
        <f aca="false">[1]Base_Jugadores!F1306</f>
        <v>79</v>
      </c>
      <c r="H1306" s="5" t="n">
        <f aca="false">[1]Base_Jugadores!G1306</f>
        <v>33</v>
      </c>
      <c r="I1306" s="7" t="n">
        <f aca="false" t="array" ref="I1306:I1306">_xlfn.XLOOKUP(G1306,{55;56;57;58;59;60;61;62;63;64;65;66;67;68;69;70;71;72;73;74;75;76;77;78;79;80;81;82;83;84;85;86;87;88;89;90;91;92;93;94;95;96;97;98;99},{100000;130000;160000;190000;220000;250000;300000;350000;400000;450000;500000;600000;700000;800000;900000;1000000;1500000;2000000;3000000;4000000;5000000;6500000;8000000;10000000;12500000;15000000;20000000;25000000;30000000;35000000;40000000;55000000;70000000;80000000;90000000;110000000;130000000;160000000;190000000;220000000;250000000;280000000;310000000;340000000;400000000})</f>
        <v>12500000</v>
      </c>
      <c r="J1306" s="7" t="n">
        <f aca="false">I1306*S1306*T1306*U1306</f>
        <v>8550000</v>
      </c>
      <c r="K1306" s="3"/>
      <c r="L1306" s="3"/>
      <c r="M1306" s="3"/>
      <c r="N1306" s="9" t="n">
        <v>0</v>
      </c>
      <c r="O1306" s="4" t="n">
        <v>0</v>
      </c>
      <c r="P1306" s="5" t="n">
        <f aca="false">IF(COUNTIF([1]Base_Jugadores!J$2:J$500,B1306)&gt;0,1,0)</f>
        <v>0</v>
      </c>
      <c r="Q1306" s="10" t="b">
        <f aca="false">--(COUNTIFS(
   [1]Fichajes_Realizados!A$2:A$5000,A1306,
   [1]Fichajes_Realizados!G$2:G$5000,$X$3
)&gt;0)</f>
        <v>0</v>
      </c>
      <c r="R1306" s="5" t="n">
        <f aca="false">_xlfn.XLOOKUP(C1306, [1]Estado_Equipos!A$2:A$500, [1]Estado_Equipos!J$2:J$500, "")</f>
        <v>77</v>
      </c>
      <c r="S1306" s="5" t="n">
        <f aca="false">IF(H1306&lt;=16,1.45,
IF(H1306&gt;=41,0.3,
CHOOSE(ROUNDDOWN((H1306-16)/2,0)+1,
1.45,1.38,1.3,1.23,1.17,1.15,1.12,1.05,0.95,0.8,0.6,0.4,0.3)))</f>
        <v>0.95</v>
      </c>
      <c r="T1306" s="5" t="n">
        <f aca="false">CHOOSE(N1306+1,1.2,1,0.85,0.7)</f>
        <v>1.2</v>
      </c>
      <c r="U1306" s="5" t="n">
        <f aca="false">IF(F1306="PO",0.6,
IF(F1306="CT",0.75,
IF(F1306="LI",0.8,
IF(F1306="LD",0.8,
IF(F1306="MCD",0.85,
IF(F1306="MC",0.95,
IF(F1306="MO",1.05,
IF(F1306="EI",1.1,
IF(F1306="ED",1.1,
IF(F1306="SD",1.15,
IF(F1306="DC",1.2,0)))))))))))</f>
        <v>0.6</v>
      </c>
    </row>
    <row r="1307" customFormat="false" ht="16.4" hidden="false" customHeight="false" outlineLevel="0" collapsed="false">
      <c r="A1307" s="1" t="n">
        <v>1306</v>
      </c>
      <c r="B1307" s="5" t="str">
        <f aca="false">[1]Base_Jugadores!B1307</f>
        <v>Carlo Pinsoglio</v>
      </c>
      <c r="C1307" s="5" t="str">
        <f aca="false">IFERROR(
   _xlfn.XLOOKUP(VALUE(A1307),[1]Fichajes_Realizados!A$2:A$50000,[1]Fichajes_Realizados!D$2:D$50000,,0,-1),
   _xlfn.XLOOKUP(VALUE(A1307),[1]Base_Jugadores!A$2:A$50000,[1]Base_Jugadores!C$2:C$50000)
)</f>
        <v>Juventus de Turín</v>
      </c>
      <c r="D1307" s="5" t="str">
        <f aca="false">[1]Base_Jugadores!D1307</f>
        <v>Italia</v>
      </c>
      <c r="E1307" s="3"/>
      <c r="F1307" s="5" t="str">
        <f aca="false">[1]Base_Jugadores!E1307</f>
        <v>PO</v>
      </c>
      <c r="G1307" s="5" t="n">
        <f aca="false">[1]Base_Jugadores!F1307</f>
        <v>70</v>
      </c>
      <c r="H1307" s="5" t="n">
        <f aca="false">[1]Base_Jugadores!G1307</f>
        <v>35</v>
      </c>
      <c r="I1307" s="7" t="n">
        <f aca="false" t="array" ref="I1307:I1307">_xlfn.XLOOKUP(G1307,{55;56;57;58;59;60;61;62;63;64;65;66;67;68;69;70;71;72;73;74;75;76;77;78;79;80;81;82;83;84;85;86;87;88;89;90;91;92;93;94;95;96;97;98;99},{100000;130000;160000;190000;220000;250000;300000;350000;400000;450000;500000;600000;700000;800000;900000;1000000;1500000;2000000;3000000;4000000;5000000;6500000;8000000;10000000;12500000;15000000;20000000;25000000;30000000;35000000;40000000;55000000;70000000;80000000;90000000;110000000;130000000;160000000;190000000;220000000;250000000;280000000;310000000;340000000;400000000})</f>
        <v>1000000</v>
      </c>
      <c r="J1307" s="7" t="n">
        <f aca="false">I1307*S1307*T1307*U1307</f>
        <v>576000</v>
      </c>
      <c r="K1307" s="3"/>
      <c r="L1307" s="3"/>
      <c r="M1307" s="3"/>
      <c r="N1307" s="9" t="n">
        <v>0</v>
      </c>
      <c r="O1307" s="4" t="n">
        <v>0</v>
      </c>
      <c r="P1307" s="5" t="n">
        <f aca="false">IF(COUNTIF([1]Base_Jugadores!J$2:J$500,B1307)&gt;0,1,0)</f>
        <v>0</v>
      </c>
      <c r="Q1307" s="10" t="b">
        <f aca="false">--(COUNTIFS(
   [1]Fichajes_Realizados!A$2:A$5000,A1307,
   [1]Fichajes_Realizados!G$2:G$5000,$X$3
)&gt;0)</f>
        <v>0</v>
      </c>
      <c r="R1307" s="5" t="n">
        <f aca="false">_xlfn.XLOOKUP(C1307, [1]Estado_Equipos!A$2:A$500, [1]Estado_Equipos!J$2:J$500, "")</f>
        <v>77</v>
      </c>
      <c r="S1307" s="5" t="n">
        <f aca="false">IF(H1307&lt;=16,1.45,
IF(H1307&gt;=41,0.3,
CHOOSE(ROUNDDOWN((H1307-16)/2,0)+1,
1.45,1.38,1.3,1.23,1.17,1.15,1.12,1.05,0.95,0.8,0.6,0.4,0.3)))</f>
        <v>0.8</v>
      </c>
      <c r="T1307" s="5" t="n">
        <f aca="false">CHOOSE(N1307+1,1.2,1,0.85,0.7)</f>
        <v>1.2</v>
      </c>
      <c r="U1307" s="5" t="n">
        <f aca="false">IF(F1307="PO",0.6,
IF(F1307="CT",0.75,
IF(F1307="LI",0.8,
IF(F1307="LD",0.8,
IF(F1307="MCD",0.85,
IF(F1307="MC",0.95,
IF(F1307="MO",1.05,
IF(F1307="EI",1.1,
IF(F1307="ED",1.1,
IF(F1307="SD",1.15,
IF(F1307="DC",1.2,0)))))))))))</f>
        <v>0.6</v>
      </c>
    </row>
    <row r="1308" customFormat="false" ht="16.4" hidden="false" customHeight="false" outlineLevel="0" collapsed="false">
      <c r="A1308" s="1" t="n">
        <v>1307</v>
      </c>
      <c r="B1308" s="5" t="str">
        <f aca="false">[1]Base_Jugadores!B1308</f>
        <v>Bremer</v>
      </c>
      <c r="C1308" s="5" t="str">
        <f aca="false">IFERROR(
   _xlfn.XLOOKUP(VALUE(A1308),[1]Fichajes_Realizados!A$2:A$50000,[1]Fichajes_Realizados!D$2:D$50000,,0,-1),
   _xlfn.XLOOKUP(VALUE(A1308),[1]Base_Jugadores!A$2:A$50000,[1]Base_Jugadores!C$2:C$50000)
)</f>
        <v>Juventus de Turín</v>
      </c>
      <c r="D1308" s="5" t="str">
        <f aca="false">[1]Base_Jugadores!D1308</f>
        <v>Brasil</v>
      </c>
      <c r="E1308" s="3"/>
      <c r="F1308" s="5" t="str">
        <f aca="false">[1]Base_Jugadores!E1308</f>
        <v>CT</v>
      </c>
      <c r="G1308" s="5" t="n">
        <f aca="false">[1]Base_Jugadores!F1308</f>
        <v>86</v>
      </c>
      <c r="H1308" s="5" t="n">
        <f aca="false">[1]Base_Jugadores!G1308</f>
        <v>28</v>
      </c>
      <c r="I1308" s="7" t="n">
        <f aca="false" t="array" ref="I1308:I1308">_xlfn.XLOOKUP(G1308,{55;56;57;58;59;60;61;62;63;64;65;66;67;68;69;70;71;72;73;74;75;76;77;78;79;80;81;82;83;84;85;86;87;88;89;90;91;92;93;94;95;96;97;98;99},{100000;130000;160000;190000;220000;250000;300000;350000;400000;450000;500000;600000;700000;800000;900000;1000000;1500000;2000000;3000000;4000000;5000000;6500000;8000000;10000000;12500000;15000000;20000000;25000000;30000000;35000000;40000000;55000000;70000000;80000000;90000000;110000000;130000000;160000000;190000000;220000000;250000000;280000000;310000000;340000000;400000000})</f>
        <v>55000000</v>
      </c>
      <c r="J1308" s="7" t="n">
        <f aca="false">I1308*S1308*T1308*U1308</f>
        <v>55440000</v>
      </c>
      <c r="K1308" s="3"/>
      <c r="L1308" s="3"/>
      <c r="M1308" s="3"/>
      <c r="N1308" s="9" t="n">
        <v>0</v>
      </c>
      <c r="O1308" s="4" t="n">
        <v>0</v>
      </c>
      <c r="P1308" s="5" t="n">
        <f aca="false">IF(COUNTIF([1]Base_Jugadores!J$2:J$500,B1308)&gt;0,1,0)</f>
        <v>0</v>
      </c>
      <c r="Q1308" s="10" t="b">
        <f aca="false">--(COUNTIFS(
   [1]Fichajes_Realizados!A$2:A$5000,A1308,
   [1]Fichajes_Realizados!G$2:G$5000,$X$3
)&gt;0)</f>
        <v>0</v>
      </c>
      <c r="R1308" s="5" t="n">
        <f aca="false">_xlfn.XLOOKUP(C1308, [1]Estado_Equipos!A$2:A$500, [1]Estado_Equipos!J$2:J$500, "")</f>
        <v>77</v>
      </c>
      <c r="S1308" s="5" t="n">
        <f aca="false">IF(H1308&lt;=16,1.45,
IF(H1308&gt;=41,0.3,
CHOOSE(ROUNDDOWN((H1308-16)/2,0)+1,
1.45,1.38,1.3,1.23,1.17,1.15,1.12,1.05,0.95,0.8,0.6,0.4,0.3)))</f>
        <v>1.12</v>
      </c>
      <c r="T1308" s="5" t="n">
        <f aca="false">CHOOSE(N1308+1,1.2,1,0.85,0.7)</f>
        <v>1.2</v>
      </c>
      <c r="U1308" s="5" t="n">
        <f aca="false">IF(F1308="PO",0.6,
IF(F1308="CT",0.75,
IF(F1308="LI",0.8,
IF(F1308="LD",0.8,
IF(F1308="MCD",0.85,
IF(F1308="MC",0.95,
IF(F1308="MO",1.05,
IF(F1308="EI",1.1,
IF(F1308="ED",1.1,
IF(F1308="SD",1.15,
IF(F1308="DC",1.2,0)))))))))))</f>
        <v>0.75</v>
      </c>
    </row>
    <row r="1309" customFormat="false" ht="16.4" hidden="false" customHeight="false" outlineLevel="0" collapsed="false">
      <c r="A1309" s="1" t="n">
        <v>1308</v>
      </c>
      <c r="B1309" s="5" t="str">
        <f aca="false">[1]Base_Jugadores!B1309</f>
        <v>Pierre Kalulu</v>
      </c>
      <c r="C1309" s="5" t="str">
        <f aca="false">IFERROR(
   _xlfn.XLOOKUP(VALUE(A1309),[1]Fichajes_Realizados!A$2:A$50000,[1]Fichajes_Realizados!D$2:D$50000,,0,-1),
   _xlfn.XLOOKUP(VALUE(A1309),[1]Base_Jugadores!A$2:A$50000,[1]Base_Jugadores!C$2:C$50000)
)</f>
        <v>Juventus de Turín</v>
      </c>
      <c r="D1309" s="5" t="str">
        <f aca="false">[1]Base_Jugadores!D1309</f>
        <v>Francia</v>
      </c>
      <c r="E1309" s="3"/>
      <c r="F1309" s="5" t="str">
        <f aca="false">[1]Base_Jugadores!E1309</f>
        <v>CT</v>
      </c>
      <c r="G1309" s="5" t="n">
        <f aca="false">[1]Base_Jugadores!F1309</f>
        <v>78</v>
      </c>
      <c r="H1309" s="5" t="n">
        <f aca="false">[1]Base_Jugadores!G1309</f>
        <v>25</v>
      </c>
      <c r="I1309" s="7" t="n">
        <f aca="false" t="array" ref="I1309:I1309">_xlfn.XLOOKUP(G1309,{55;56;57;58;59;60;61;62;63;64;65;66;67;68;69;70;71;72;73;74;75;76;77;78;79;80;81;82;83;84;85;86;87;88;89;90;91;92;93;94;95;96;97;98;99},{100000;130000;160000;190000;220000;250000;300000;350000;400000;450000;500000;600000;700000;800000;900000;1000000;1500000;2000000;3000000;4000000;5000000;6500000;8000000;10000000;12500000;15000000;20000000;25000000;30000000;35000000;40000000;55000000;70000000;80000000;90000000;110000000;130000000;160000000;190000000;220000000;250000000;280000000;310000000;340000000;400000000})</f>
        <v>10000000</v>
      </c>
      <c r="J1309" s="7" t="n">
        <f aca="false">I1309*S1309*T1309*U1309</f>
        <v>10530000</v>
      </c>
      <c r="K1309" s="3"/>
      <c r="L1309" s="3"/>
      <c r="M1309" s="3"/>
      <c r="N1309" s="9" t="n">
        <v>0</v>
      </c>
      <c r="O1309" s="4" t="n">
        <v>0</v>
      </c>
      <c r="P1309" s="5" t="n">
        <f aca="false">IF(COUNTIF([1]Base_Jugadores!J$2:J$500,B1309)&gt;0,1,0)</f>
        <v>0</v>
      </c>
      <c r="Q1309" s="10" t="b">
        <f aca="false">--(COUNTIFS(
   [1]Fichajes_Realizados!A$2:A$5000,A1309,
   [1]Fichajes_Realizados!G$2:G$5000,$X$3
)&gt;0)</f>
        <v>0</v>
      </c>
      <c r="R1309" s="5" t="n">
        <f aca="false">_xlfn.XLOOKUP(C1309, [1]Estado_Equipos!A$2:A$500, [1]Estado_Equipos!J$2:J$500, "")</f>
        <v>77</v>
      </c>
      <c r="S1309" s="5" t="n">
        <f aca="false">IF(H1309&lt;=16,1.45,
IF(H1309&gt;=41,0.3,
CHOOSE(ROUNDDOWN((H1309-16)/2,0)+1,
1.45,1.38,1.3,1.23,1.17,1.15,1.12,1.05,0.95,0.8,0.6,0.4,0.3)))</f>
        <v>1.17</v>
      </c>
      <c r="T1309" s="5" t="n">
        <f aca="false">CHOOSE(N1309+1,1.2,1,0.85,0.7)</f>
        <v>1.2</v>
      </c>
      <c r="U1309" s="5" t="n">
        <f aca="false">IF(F1309="PO",0.6,
IF(F1309="CT",0.75,
IF(F1309="LI",0.8,
IF(F1309="LD",0.8,
IF(F1309="MCD",0.85,
IF(F1309="MC",0.95,
IF(F1309="MO",1.05,
IF(F1309="EI",1.1,
IF(F1309="ED",1.1,
IF(F1309="SD",1.15,
IF(F1309="DC",1.2,0)))))))))))</f>
        <v>0.75</v>
      </c>
    </row>
    <row r="1310" customFormat="false" ht="16.4" hidden="false" customHeight="false" outlineLevel="0" collapsed="false">
      <c r="A1310" s="1" t="n">
        <v>1309</v>
      </c>
      <c r="B1310" s="5" t="str">
        <f aca="false">[1]Base_Jugadores!B1310</f>
        <v>Federico Gatti</v>
      </c>
      <c r="C1310" s="5" t="str">
        <f aca="false">IFERROR(
   _xlfn.XLOOKUP(VALUE(A1310),[1]Fichajes_Realizados!A$2:A$50000,[1]Fichajes_Realizados!D$2:D$50000,,0,-1),
   _xlfn.XLOOKUP(VALUE(A1310),[1]Base_Jugadores!A$2:A$50000,[1]Base_Jugadores!C$2:C$50000)
)</f>
        <v>Juventus de Turín</v>
      </c>
      <c r="D1310" s="5" t="str">
        <f aca="false">[1]Base_Jugadores!D1310</f>
        <v>Italia</v>
      </c>
      <c r="E1310" s="3"/>
      <c r="F1310" s="5" t="str">
        <f aca="false">[1]Base_Jugadores!E1310</f>
        <v>CT</v>
      </c>
      <c r="G1310" s="5" t="n">
        <f aca="false">[1]Base_Jugadores!F1310</f>
        <v>78</v>
      </c>
      <c r="H1310" s="5" t="n">
        <f aca="false">[1]Base_Jugadores!G1310</f>
        <v>27</v>
      </c>
      <c r="I1310" s="7" t="n">
        <f aca="false" t="array" ref="I1310:I1310">_xlfn.XLOOKUP(G1310,{55;56;57;58;59;60;61;62;63;64;65;66;67;68;69;70;71;72;73;74;75;76;77;78;79;80;81;82;83;84;85;86;87;88;89;90;91;92;93;94;95;96;97;98;99},{100000;130000;160000;190000;220000;250000;300000;350000;400000;450000;500000;600000;700000;800000;900000;1000000;1500000;2000000;3000000;4000000;5000000;6500000;8000000;10000000;12500000;15000000;20000000;25000000;30000000;35000000;40000000;55000000;70000000;80000000;90000000;110000000;130000000;160000000;190000000;220000000;250000000;280000000;310000000;340000000;400000000})</f>
        <v>10000000</v>
      </c>
      <c r="J1310" s="7" t="n">
        <f aca="false">I1310*S1310*T1310*U1310</f>
        <v>10350000</v>
      </c>
      <c r="K1310" s="3"/>
      <c r="L1310" s="3"/>
      <c r="M1310" s="3"/>
      <c r="N1310" s="9" t="n">
        <v>0</v>
      </c>
      <c r="O1310" s="4" t="n">
        <v>0</v>
      </c>
      <c r="P1310" s="5" t="n">
        <f aca="false">IF(COUNTIF([1]Base_Jugadores!J$2:J$500,B1310)&gt;0,1,0)</f>
        <v>0</v>
      </c>
      <c r="Q1310" s="10" t="b">
        <f aca="false">--(COUNTIFS(
   [1]Fichajes_Realizados!A$2:A$5000,A1310,
   [1]Fichajes_Realizados!G$2:G$5000,$X$3
)&gt;0)</f>
        <v>0</v>
      </c>
      <c r="R1310" s="5" t="n">
        <f aca="false">_xlfn.XLOOKUP(C1310, [1]Estado_Equipos!A$2:A$500, [1]Estado_Equipos!J$2:J$500, "")</f>
        <v>77</v>
      </c>
      <c r="S1310" s="5" t="n">
        <f aca="false">IF(H1310&lt;=16,1.45,
IF(H1310&gt;=41,0.3,
CHOOSE(ROUNDDOWN((H1310-16)/2,0)+1,
1.45,1.38,1.3,1.23,1.17,1.15,1.12,1.05,0.95,0.8,0.6,0.4,0.3)))</f>
        <v>1.15</v>
      </c>
      <c r="T1310" s="5" t="n">
        <f aca="false">CHOOSE(N1310+1,1.2,1,0.85,0.7)</f>
        <v>1.2</v>
      </c>
      <c r="U1310" s="5" t="n">
        <f aca="false">IF(F1310="PO",0.6,
IF(F1310="CT",0.75,
IF(F1310="LI",0.8,
IF(F1310="LD",0.8,
IF(F1310="MCD",0.85,
IF(F1310="MC",0.95,
IF(F1310="MO",1.05,
IF(F1310="EI",1.1,
IF(F1310="ED",1.1,
IF(F1310="SD",1.15,
IF(F1310="DC",1.2,0)))))))))))</f>
        <v>0.75</v>
      </c>
    </row>
    <row r="1311" customFormat="false" ht="16.4" hidden="false" customHeight="false" outlineLevel="0" collapsed="false">
      <c r="A1311" s="1" t="n">
        <v>1310</v>
      </c>
      <c r="B1311" s="5" t="str">
        <f aca="false">[1]Base_Jugadores!B1311</f>
        <v>Lloyd Kelly</v>
      </c>
      <c r="C1311" s="5" t="str">
        <f aca="false">IFERROR(
   _xlfn.XLOOKUP(VALUE(A1311),[1]Fichajes_Realizados!A$2:A$50000,[1]Fichajes_Realizados!D$2:D$50000,,0,-1),
   _xlfn.XLOOKUP(VALUE(A1311),[1]Base_Jugadores!A$2:A$50000,[1]Base_Jugadores!C$2:C$50000)
)</f>
        <v>Juventus de Turín</v>
      </c>
      <c r="D1311" s="5" t="str">
        <f aca="false">[1]Base_Jugadores!D1311</f>
        <v>Inglaterra</v>
      </c>
      <c r="E1311" s="3"/>
      <c r="F1311" s="5" t="str">
        <f aca="false">[1]Base_Jugadores!E1311</f>
        <v>CT</v>
      </c>
      <c r="G1311" s="5" t="n">
        <f aca="false">[1]Base_Jugadores!F1311</f>
        <v>71</v>
      </c>
      <c r="H1311" s="5" t="n">
        <f aca="false">[1]Base_Jugadores!G1311</f>
        <v>27</v>
      </c>
      <c r="I1311" s="7" t="n">
        <f aca="false" t="array" ref="I1311:I1311">_xlfn.XLOOKUP(G1311,{55;56;57;58;59;60;61;62;63;64;65;66;67;68;69;70;71;72;73;74;75;76;77;78;79;80;81;82;83;84;85;86;87;88;89;90;91;92;93;94;95;96;97;98;99},{100000;130000;160000;190000;220000;250000;300000;350000;400000;450000;500000;600000;700000;800000;900000;1000000;1500000;2000000;3000000;4000000;5000000;6500000;8000000;10000000;12500000;15000000;20000000;25000000;30000000;35000000;40000000;55000000;70000000;80000000;90000000;110000000;130000000;160000000;190000000;220000000;250000000;280000000;310000000;340000000;400000000})</f>
        <v>1500000</v>
      </c>
      <c r="J1311" s="7" t="n">
        <f aca="false">I1311*S1311*T1311*U1311</f>
        <v>1552500</v>
      </c>
      <c r="K1311" s="3"/>
      <c r="L1311" s="3"/>
      <c r="M1311" s="3"/>
      <c r="N1311" s="9" t="n">
        <v>0</v>
      </c>
      <c r="O1311" s="4" t="n">
        <v>0</v>
      </c>
      <c r="P1311" s="5" t="n">
        <f aca="false">IF(COUNTIF([1]Base_Jugadores!J$2:J$500,B1311)&gt;0,1,0)</f>
        <v>0</v>
      </c>
      <c r="Q1311" s="10" t="b">
        <f aca="false">--(COUNTIFS(
   [1]Fichajes_Realizados!A$2:A$5000,A1311,
   [1]Fichajes_Realizados!G$2:G$5000,$X$3
)&gt;0)</f>
        <v>0</v>
      </c>
      <c r="R1311" s="5" t="n">
        <f aca="false">_xlfn.XLOOKUP(C1311, [1]Estado_Equipos!A$2:A$500, [1]Estado_Equipos!J$2:J$500, "")</f>
        <v>77</v>
      </c>
      <c r="S1311" s="5" t="n">
        <f aca="false">IF(H1311&lt;=16,1.45,
IF(H1311&gt;=41,0.3,
CHOOSE(ROUNDDOWN((H1311-16)/2,0)+1,
1.45,1.38,1.3,1.23,1.17,1.15,1.12,1.05,0.95,0.8,0.6,0.4,0.3)))</f>
        <v>1.15</v>
      </c>
      <c r="T1311" s="5" t="n">
        <f aca="false">CHOOSE(N1311+1,1.2,1,0.85,0.7)</f>
        <v>1.2</v>
      </c>
      <c r="U1311" s="5" t="n">
        <f aca="false">IF(F1311="PO",0.6,
IF(F1311="CT",0.75,
IF(F1311="LI",0.8,
IF(F1311="LD",0.8,
IF(F1311="MCD",0.85,
IF(F1311="MC",0.95,
IF(F1311="MO",1.05,
IF(F1311="EI",1.1,
IF(F1311="ED",1.1,
IF(F1311="SD",1.15,
IF(F1311="DC",1.2,0)))))))))))</f>
        <v>0.75</v>
      </c>
    </row>
    <row r="1312" customFormat="false" ht="16.4" hidden="false" customHeight="false" outlineLevel="0" collapsed="false">
      <c r="A1312" s="1" t="n">
        <v>1311</v>
      </c>
      <c r="B1312" s="5" t="str">
        <f aca="false">[1]Base_Jugadores!B1312</f>
        <v>Daniele Rugani</v>
      </c>
      <c r="C1312" s="5" t="str">
        <f aca="false">IFERROR(
   _xlfn.XLOOKUP(VALUE(A1312),[1]Fichajes_Realizados!A$2:A$50000,[1]Fichajes_Realizados!D$2:D$50000,,0,-1),
   _xlfn.XLOOKUP(VALUE(A1312),[1]Base_Jugadores!A$2:A$50000,[1]Base_Jugadores!C$2:C$50000)
)</f>
        <v>Juventus de Turín</v>
      </c>
      <c r="D1312" s="5" t="str">
        <f aca="false">[1]Base_Jugadores!D1312</f>
        <v>Italia</v>
      </c>
      <c r="E1312" s="3"/>
      <c r="F1312" s="5" t="str">
        <f aca="false">[1]Base_Jugadores!E1312</f>
        <v>CT</v>
      </c>
      <c r="G1312" s="5" t="n">
        <f aca="false">[1]Base_Jugadores!F1312</f>
        <v>77</v>
      </c>
      <c r="H1312" s="5" t="n">
        <f aca="false">[1]Base_Jugadores!G1312</f>
        <v>31</v>
      </c>
      <c r="I1312" s="7" t="n">
        <f aca="false" t="array" ref="I1312:I1312">_xlfn.XLOOKUP(G1312,{55;56;57;58;59;60;61;62;63;64;65;66;67;68;69;70;71;72;73;74;75;76;77;78;79;80;81;82;83;84;85;86;87;88;89;90;91;92;93;94;95;96;97;98;99},{100000;130000;160000;190000;220000;250000;300000;350000;400000;450000;500000;600000;700000;800000;900000;1000000;1500000;2000000;3000000;4000000;5000000;6500000;8000000;10000000;12500000;15000000;20000000;25000000;30000000;35000000;40000000;55000000;70000000;80000000;90000000;110000000;130000000;160000000;190000000;220000000;250000000;280000000;310000000;340000000;400000000})</f>
        <v>8000000</v>
      </c>
      <c r="J1312" s="7" t="n">
        <f aca="false">I1312*S1312*T1312*U1312</f>
        <v>7560000</v>
      </c>
      <c r="K1312" s="3"/>
      <c r="L1312" s="3"/>
      <c r="M1312" s="3"/>
      <c r="N1312" s="9" t="n">
        <v>0</v>
      </c>
      <c r="O1312" s="4" t="n">
        <v>0</v>
      </c>
      <c r="P1312" s="5" t="n">
        <f aca="false">IF(COUNTIF([1]Base_Jugadores!J$2:J$500,B1312)&gt;0,1,0)</f>
        <v>0</v>
      </c>
      <c r="Q1312" s="10" t="b">
        <f aca="false">--(COUNTIFS(
   [1]Fichajes_Realizados!A$2:A$5000,A1312,
   [1]Fichajes_Realizados!G$2:G$5000,$X$3
)&gt;0)</f>
        <v>0</v>
      </c>
      <c r="R1312" s="5" t="n">
        <f aca="false">_xlfn.XLOOKUP(C1312, [1]Estado_Equipos!A$2:A$500, [1]Estado_Equipos!J$2:J$500, "")</f>
        <v>77</v>
      </c>
      <c r="S1312" s="5" t="n">
        <f aca="false">IF(H1312&lt;=16,1.45,
IF(H1312&gt;=41,0.3,
CHOOSE(ROUNDDOWN((H1312-16)/2,0)+1,
1.45,1.38,1.3,1.23,1.17,1.15,1.12,1.05,0.95,0.8,0.6,0.4,0.3)))</f>
        <v>1.05</v>
      </c>
      <c r="T1312" s="5" t="n">
        <f aca="false">CHOOSE(N1312+1,1.2,1,0.85,0.7)</f>
        <v>1.2</v>
      </c>
      <c r="U1312" s="5" t="n">
        <f aca="false">IF(F1312="PO",0.6,
IF(F1312="CT",0.75,
IF(F1312="LI",0.8,
IF(F1312="LD",0.8,
IF(F1312="MCD",0.85,
IF(F1312="MC",0.95,
IF(F1312="MO",1.05,
IF(F1312="EI",1.1,
IF(F1312="ED",1.1,
IF(F1312="SD",1.15,
IF(F1312="DC",1.2,0)))))))))))</f>
        <v>0.75</v>
      </c>
    </row>
    <row r="1313" customFormat="false" ht="16.4" hidden="false" customHeight="false" outlineLevel="0" collapsed="false">
      <c r="A1313" s="1" t="n">
        <v>1312</v>
      </c>
      <c r="B1313" s="5" t="str">
        <f aca="false">[1]Base_Jugadores!B1313</f>
        <v>Juan Cabal</v>
      </c>
      <c r="C1313" s="5" t="str">
        <f aca="false">IFERROR(
   _xlfn.XLOOKUP(VALUE(A1313),[1]Fichajes_Realizados!A$2:A$50000,[1]Fichajes_Realizados!D$2:D$50000,,0,-1),
   _xlfn.XLOOKUP(VALUE(A1313),[1]Base_Jugadores!A$2:A$50000,[1]Base_Jugadores!C$2:C$50000)
)</f>
        <v>Juventus de Turín</v>
      </c>
      <c r="D1313" s="5" t="str">
        <f aca="false">[1]Base_Jugadores!D1313</f>
        <v>Colombia</v>
      </c>
      <c r="E1313" s="3"/>
      <c r="F1313" s="5" t="str">
        <f aca="false">[1]Base_Jugadores!E1313</f>
        <v>LI</v>
      </c>
      <c r="G1313" s="5" t="n">
        <f aca="false">[1]Base_Jugadores!F1313</f>
        <v>75</v>
      </c>
      <c r="H1313" s="5" t="n">
        <f aca="false">[1]Base_Jugadores!G1313</f>
        <v>24</v>
      </c>
      <c r="I1313" s="7" t="n">
        <f aca="false" t="array" ref="I1313:I1313">_xlfn.XLOOKUP(G1313,{55;56;57;58;59;60;61;62;63;64;65;66;67;68;69;70;71;72;73;74;75;76;77;78;79;80;81;82;83;84;85;86;87;88;89;90;91;92;93;94;95;96;97;98;99},{100000;130000;160000;190000;220000;250000;300000;350000;400000;450000;500000;600000;700000;800000;900000;1000000;1500000;2000000;3000000;4000000;5000000;6500000;8000000;10000000;12500000;15000000;20000000;25000000;30000000;35000000;40000000;55000000;70000000;80000000;90000000;110000000;130000000;160000000;190000000;220000000;250000000;280000000;310000000;340000000;400000000})</f>
        <v>5000000</v>
      </c>
      <c r="J1313" s="7" t="n">
        <f aca="false">I1313*S1313*T1313*U1313</f>
        <v>5616000</v>
      </c>
      <c r="K1313" s="3"/>
      <c r="L1313" s="3"/>
      <c r="M1313" s="3"/>
      <c r="N1313" s="9" t="n">
        <v>0</v>
      </c>
      <c r="O1313" s="4" t="n">
        <v>0</v>
      </c>
      <c r="P1313" s="5" t="n">
        <f aca="false">IF(COUNTIF([1]Base_Jugadores!J$2:J$500,B1313)&gt;0,1,0)</f>
        <v>0</v>
      </c>
      <c r="Q1313" s="10" t="b">
        <f aca="false">--(COUNTIFS(
   [1]Fichajes_Realizados!A$2:A$5000,A1313,
   [1]Fichajes_Realizados!G$2:G$5000,$X$3
)&gt;0)</f>
        <v>0</v>
      </c>
      <c r="R1313" s="5" t="n">
        <f aca="false">_xlfn.XLOOKUP(C1313, [1]Estado_Equipos!A$2:A$500, [1]Estado_Equipos!J$2:J$500, "")</f>
        <v>77</v>
      </c>
      <c r="S1313" s="5" t="n">
        <f aca="false">IF(H1313&lt;=16,1.45,
IF(H1313&gt;=41,0.3,
CHOOSE(ROUNDDOWN((H1313-16)/2,0)+1,
1.45,1.38,1.3,1.23,1.17,1.15,1.12,1.05,0.95,0.8,0.6,0.4,0.3)))</f>
        <v>1.17</v>
      </c>
      <c r="T1313" s="5" t="n">
        <f aca="false">CHOOSE(N1313+1,1.2,1,0.85,0.7)</f>
        <v>1.2</v>
      </c>
      <c r="U1313" s="5" t="n">
        <f aca="false">IF(F1313="PO",0.6,
IF(F1313="CT",0.75,
IF(F1313="LI",0.8,
IF(F1313="LD",0.8,
IF(F1313="MCD",0.85,
IF(F1313="MC",0.95,
IF(F1313="MO",1.05,
IF(F1313="EI",1.1,
IF(F1313="ED",1.1,
IF(F1313="SD",1.15,
IF(F1313="DC",1.2,0)))))))))))</f>
        <v>0.8</v>
      </c>
    </row>
    <row r="1314" customFormat="false" ht="16.4" hidden="false" customHeight="false" outlineLevel="0" collapsed="false">
      <c r="A1314" s="1" t="n">
        <v>1313</v>
      </c>
      <c r="B1314" s="5" t="str">
        <f aca="false">[1]Base_Jugadores!B1314</f>
        <v>Jonas Rouhi</v>
      </c>
      <c r="C1314" s="5" t="str">
        <f aca="false">IFERROR(
   _xlfn.XLOOKUP(VALUE(A1314),[1]Fichajes_Realizados!A$2:A$50000,[1]Fichajes_Realizados!D$2:D$50000,,0,-1),
   _xlfn.XLOOKUP(VALUE(A1314),[1]Base_Jugadores!A$2:A$50000,[1]Base_Jugadores!C$2:C$50000)
)</f>
        <v>Juventus de Turín</v>
      </c>
      <c r="D1314" s="5" t="str">
        <f aca="false">[1]Base_Jugadores!D1314</f>
        <v>Suecia</v>
      </c>
      <c r="E1314" s="3"/>
      <c r="F1314" s="5" t="str">
        <f aca="false">[1]Base_Jugadores!E1314</f>
        <v>LI</v>
      </c>
      <c r="G1314" s="5" t="n">
        <f aca="false">[1]Base_Jugadores!F1314</f>
        <v>63</v>
      </c>
      <c r="H1314" s="5" t="n">
        <f aca="false">[1]Base_Jugadores!G1314</f>
        <v>21</v>
      </c>
      <c r="I1314" s="7" t="n">
        <f aca="false" t="array" ref="I1314:I1314">_xlfn.XLOOKUP(G1314,{55;56;57;58;59;60;61;62;63;64;65;66;67;68;69;70;71;72;73;74;75;76;77;78;79;80;81;82;83;84;85;86;87;88;89;90;91;92;93;94;95;96;97;98;99},{100000;130000;160000;190000;220000;250000;300000;350000;400000;450000;500000;600000;700000;800000;900000;1000000;1500000;2000000;3000000;4000000;5000000;6500000;8000000;10000000;12500000;15000000;20000000;25000000;30000000;35000000;40000000;55000000;70000000;80000000;90000000;110000000;130000000;160000000;190000000;220000000;250000000;280000000;310000000;340000000;400000000})</f>
        <v>400000</v>
      </c>
      <c r="J1314" s="7" t="n">
        <f aca="false">I1314*S1314*T1314*U1314</f>
        <v>499200</v>
      </c>
      <c r="K1314" s="3"/>
      <c r="L1314" s="3"/>
      <c r="M1314" s="3"/>
      <c r="N1314" s="9" t="n">
        <v>0</v>
      </c>
      <c r="O1314" s="4" t="n">
        <v>0</v>
      </c>
      <c r="P1314" s="5" t="n">
        <f aca="false">IF(COUNTIF([1]Base_Jugadores!J$2:J$500,B1314)&gt;0,1,0)</f>
        <v>0</v>
      </c>
      <c r="Q1314" s="10" t="b">
        <f aca="false">--(COUNTIFS(
   [1]Fichajes_Realizados!A$2:A$5000,A1314,
   [1]Fichajes_Realizados!G$2:G$5000,$X$3
)&gt;0)</f>
        <v>0</v>
      </c>
      <c r="R1314" s="5" t="n">
        <f aca="false">_xlfn.XLOOKUP(C1314, [1]Estado_Equipos!A$2:A$500, [1]Estado_Equipos!J$2:J$500, "")</f>
        <v>77</v>
      </c>
      <c r="S1314" s="5" t="n">
        <f aca="false">IF(H1314&lt;=16,1.45,
IF(H1314&gt;=41,0.3,
CHOOSE(ROUNDDOWN((H1314-16)/2,0)+1,
1.45,1.38,1.3,1.23,1.17,1.15,1.12,1.05,0.95,0.8,0.6,0.4,0.3)))</f>
        <v>1.3</v>
      </c>
      <c r="T1314" s="5" t="n">
        <f aca="false">CHOOSE(N1314+1,1.2,1,0.85,0.7)</f>
        <v>1.2</v>
      </c>
      <c r="U1314" s="5" t="n">
        <f aca="false">IF(F1314="PO",0.6,
IF(F1314="CT",0.75,
IF(F1314="LI",0.8,
IF(F1314="LD",0.8,
IF(F1314="MCD",0.85,
IF(F1314="MC",0.95,
IF(F1314="MO",1.05,
IF(F1314="EI",1.1,
IF(F1314="ED",1.1,
IF(F1314="SD",1.15,
IF(F1314="DC",1.2,0)))))))))))</f>
        <v>0.8</v>
      </c>
    </row>
    <row r="1315" customFormat="false" ht="16.4" hidden="false" customHeight="false" outlineLevel="0" collapsed="false">
      <c r="A1315" s="1" t="n">
        <v>1314</v>
      </c>
      <c r="B1315" s="5" t="str">
        <f aca="false">[1]Base_Jugadores!B1315</f>
        <v>Manuel Locatelli</v>
      </c>
      <c r="C1315" s="5" t="str">
        <f aca="false">IFERROR(
   _xlfn.XLOOKUP(VALUE(A1315),[1]Fichajes_Realizados!A$2:A$50000,[1]Fichajes_Realizados!D$2:D$50000,,0,-1),
   _xlfn.XLOOKUP(VALUE(A1315),[1]Base_Jugadores!A$2:A$50000,[1]Base_Jugadores!C$2:C$50000)
)</f>
        <v>Juventus de Turín</v>
      </c>
      <c r="D1315" s="5" t="str">
        <f aca="false">[1]Base_Jugadores!D1315</f>
        <v>Italia</v>
      </c>
      <c r="E1315" s="3"/>
      <c r="F1315" s="5" t="str">
        <f aca="false">[1]Base_Jugadores!E1315</f>
        <v>MCD</v>
      </c>
      <c r="G1315" s="5" t="n">
        <f aca="false">[1]Base_Jugadores!F1315</f>
        <v>83</v>
      </c>
      <c r="H1315" s="5" t="n">
        <f aca="false">[1]Base_Jugadores!G1315</f>
        <v>27</v>
      </c>
      <c r="I1315" s="7" t="n">
        <f aca="false" t="array" ref="I1315:I1315">_xlfn.XLOOKUP(G1315,{55;56;57;58;59;60;61;62;63;64;65;66;67;68;69;70;71;72;73;74;75;76;77;78;79;80;81;82;83;84;85;86;87;88;89;90;91;92;93;94;95;96;97;98;99},{100000;130000;160000;190000;220000;250000;300000;350000;400000;450000;500000;600000;700000;800000;900000;1000000;1500000;2000000;3000000;4000000;5000000;6500000;8000000;10000000;12500000;15000000;20000000;25000000;30000000;35000000;40000000;55000000;70000000;80000000;90000000;110000000;130000000;160000000;190000000;220000000;250000000;280000000;310000000;340000000;400000000})</f>
        <v>30000000</v>
      </c>
      <c r="J1315" s="7" t="n">
        <f aca="false">I1315*S1315*T1315*U1315</f>
        <v>35190000</v>
      </c>
      <c r="K1315" s="3"/>
      <c r="L1315" s="3"/>
      <c r="M1315" s="3"/>
      <c r="N1315" s="9" t="n">
        <v>0</v>
      </c>
      <c r="O1315" s="4" t="n">
        <v>0</v>
      </c>
      <c r="P1315" s="5" t="n">
        <f aca="false">IF(COUNTIF([1]Base_Jugadores!J$2:J$500,B1315)&gt;0,1,0)</f>
        <v>0</v>
      </c>
      <c r="Q1315" s="10" t="b">
        <f aca="false">--(COUNTIFS(
   [1]Fichajes_Realizados!A$2:A$5000,A1315,
   [1]Fichajes_Realizados!G$2:G$5000,$X$3
)&gt;0)</f>
        <v>0</v>
      </c>
      <c r="R1315" s="5" t="n">
        <f aca="false">_xlfn.XLOOKUP(C1315, [1]Estado_Equipos!A$2:A$500, [1]Estado_Equipos!J$2:J$500, "")</f>
        <v>77</v>
      </c>
      <c r="S1315" s="5" t="n">
        <f aca="false">IF(H1315&lt;=16,1.45,
IF(H1315&gt;=41,0.3,
CHOOSE(ROUNDDOWN((H1315-16)/2,0)+1,
1.45,1.38,1.3,1.23,1.17,1.15,1.12,1.05,0.95,0.8,0.6,0.4,0.3)))</f>
        <v>1.15</v>
      </c>
      <c r="T1315" s="5" t="n">
        <f aca="false">CHOOSE(N1315+1,1.2,1,0.85,0.7)</f>
        <v>1.2</v>
      </c>
      <c r="U1315" s="5" t="n">
        <f aca="false">IF(F1315="PO",0.6,
IF(F1315="CT",0.75,
IF(F1315="LI",0.8,
IF(F1315="LD",0.8,
IF(F1315="MCD",0.85,
IF(F1315="MC",0.95,
IF(F1315="MO",1.05,
IF(F1315="EI",1.1,
IF(F1315="ED",1.1,
IF(F1315="SD",1.15,
IF(F1315="DC",1.2,0)))))))))))</f>
        <v>0.85</v>
      </c>
    </row>
    <row r="1316" customFormat="false" ht="16.4" hidden="false" customHeight="false" outlineLevel="0" collapsed="false">
      <c r="A1316" s="1" t="n">
        <v>1315</v>
      </c>
      <c r="B1316" s="5" t="str">
        <f aca="false">[1]Base_Jugadores!B1316</f>
        <v>Khéphren Thuram</v>
      </c>
      <c r="C1316" s="5" t="str">
        <f aca="false">IFERROR(
   _xlfn.XLOOKUP(VALUE(A1316),[1]Fichajes_Realizados!A$2:A$50000,[1]Fichajes_Realizados!D$2:D$50000,,0,-1),
   _xlfn.XLOOKUP(VALUE(A1316),[1]Base_Jugadores!A$2:A$50000,[1]Base_Jugadores!C$2:C$50000)
)</f>
        <v>Juventus de Turín</v>
      </c>
      <c r="D1316" s="5" t="str">
        <f aca="false">[1]Base_Jugadores!D1316</f>
        <v>Francia</v>
      </c>
      <c r="E1316" s="3"/>
      <c r="F1316" s="5" t="str">
        <f aca="false">[1]Base_Jugadores!E1316</f>
        <v>MC</v>
      </c>
      <c r="G1316" s="5" t="n">
        <f aca="false">[1]Base_Jugadores!F1316</f>
        <v>80</v>
      </c>
      <c r="H1316" s="5" t="n">
        <f aca="false">[1]Base_Jugadores!G1316</f>
        <v>24</v>
      </c>
      <c r="I1316" s="7" t="n">
        <f aca="false" t="array" ref="I1316:I1316">_xlfn.XLOOKUP(G1316,{55;56;57;58;59;60;61;62;63;64;65;66;67;68;69;70;71;72;73;74;75;76;77;78;79;80;81;82;83;84;85;86;87;88;89;90;91;92;93;94;95;96;97;98;99},{100000;130000;160000;190000;220000;250000;300000;350000;400000;450000;500000;600000;700000;800000;900000;1000000;1500000;2000000;3000000;4000000;5000000;6500000;8000000;10000000;12500000;15000000;20000000;25000000;30000000;35000000;40000000;55000000;70000000;80000000;90000000;110000000;130000000;160000000;190000000;220000000;250000000;280000000;310000000;340000000;400000000})</f>
        <v>15000000</v>
      </c>
      <c r="J1316" s="7" t="n">
        <f aca="false">I1316*S1316*T1316*U1316</f>
        <v>20007000</v>
      </c>
      <c r="K1316" s="3"/>
      <c r="L1316" s="3"/>
      <c r="M1316" s="3"/>
      <c r="N1316" s="9" t="n">
        <v>0</v>
      </c>
      <c r="O1316" s="4" t="n">
        <v>0</v>
      </c>
      <c r="P1316" s="5" t="n">
        <f aca="false">IF(COUNTIF([1]Base_Jugadores!J$2:J$500,B1316)&gt;0,1,0)</f>
        <v>0</v>
      </c>
      <c r="Q1316" s="10" t="b">
        <f aca="false">--(COUNTIFS(
   [1]Fichajes_Realizados!A$2:A$5000,A1316,
   [1]Fichajes_Realizados!G$2:G$5000,$X$3
)&gt;0)</f>
        <v>0</v>
      </c>
      <c r="R1316" s="5" t="n">
        <f aca="false">_xlfn.XLOOKUP(C1316, [1]Estado_Equipos!A$2:A$500, [1]Estado_Equipos!J$2:J$500, "")</f>
        <v>77</v>
      </c>
      <c r="S1316" s="5" t="n">
        <f aca="false">IF(H1316&lt;=16,1.45,
IF(H1316&gt;=41,0.3,
CHOOSE(ROUNDDOWN((H1316-16)/2,0)+1,
1.45,1.38,1.3,1.23,1.17,1.15,1.12,1.05,0.95,0.8,0.6,0.4,0.3)))</f>
        <v>1.17</v>
      </c>
      <c r="T1316" s="5" t="n">
        <f aca="false">CHOOSE(N1316+1,1.2,1,0.85,0.7)</f>
        <v>1.2</v>
      </c>
      <c r="U1316" s="5" t="n">
        <f aca="false">IF(F1316="PO",0.6,
IF(F1316="CT",0.75,
IF(F1316="LI",0.8,
IF(F1316="LD",0.8,
IF(F1316="MCD",0.85,
IF(F1316="MC",0.95,
IF(F1316="MO",1.05,
IF(F1316="EI",1.1,
IF(F1316="ED",1.1,
IF(F1316="SD",1.15,
IF(F1316="DC",1.2,0)))))))))))</f>
        <v>0.95</v>
      </c>
    </row>
    <row r="1317" customFormat="false" ht="16.4" hidden="false" customHeight="false" outlineLevel="0" collapsed="false">
      <c r="A1317" s="1" t="n">
        <v>1316</v>
      </c>
      <c r="B1317" s="5" t="str">
        <f aca="false">[1]Base_Jugadores!B1317</f>
        <v>Weston McKennie</v>
      </c>
      <c r="C1317" s="5" t="str">
        <f aca="false">IFERROR(
   _xlfn.XLOOKUP(VALUE(A1317),[1]Fichajes_Realizados!A$2:A$50000,[1]Fichajes_Realizados!D$2:D$50000,,0,-1),
   _xlfn.XLOOKUP(VALUE(A1317),[1]Base_Jugadores!A$2:A$50000,[1]Base_Jugadores!C$2:C$50000)
)</f>
        <v>Juventus de Turín</v>
      </c>
      <c r="D1317" s="5" t="str">
        <f aca="false">[1]Base_Jugadores!D1317</f>
        <v>Estados Unidos</v>
      </c>
      <c r="E1317" s="3"/>
      <c r="F1317" s="5" t="str">
        <f aca="false">[1]Base_Jugadores!E1317</f>
        <v>MC</v>
      </c>
      <c r="G1317" s="5" t="n">
        <f aca="false">[1]Base_Jugadores!F1317</f>
        <v>79</v>
      </c>
      <c r="H1317" s="5" t="n">
        <f aca="false">[1]Base_Jugadores!G1317</f>
        <v>27</v>
      </c>
      <c r="I1317" s="7" t="n">
        <f aca="false" t="array" ref="I1317:I1317">_xlfn.XLOOKUP(G1317,{55;56;57;58;59;60;61;62;63;64;65;66;67;68;69;70;71;72;73;74;75;76;77;78;79;80;81;82;83;84;85;86;87;88;89;90;91;92;93;94;95;96;97;98;99},{100000;130000;160000;190000;220000;250000;300000;350000;400000;450000;500000;600000;700000;800000;900000;1000000;1500000;2000000;3000000;4000000;5000000;6500000;8000000;10000000;12500000;15000000;20000000;25000000;30000000;35000000;40000000;55000000;70000000;80000000;90000000;110000000;130000000;160000000;190000000;220000000;250000000;280000000;310000000;340000000;400000000})</f>
        <v>12500000</v>
      </c>
      <c r="J1317" s="7" t="n">
        <f aca="false">I1317*S1317*T1317*U1317</f>
        <v>16387500</v>
      </c>
      <c r="K1317" s="3"/>
      <c r="L1317" s="3"/>
      <c r="M1317" s="3"/>
      <c r="N1317" s="9" t="n">
        <v>0</v>
      </c>
      <c r="O1317" s="4" t="n">
        <v>0</v>
      </c>
      <c r="P1317" s="5" t="n">
        <f aca="false">IF(COUNTIF([1]Base_Jugadores!J$2:J$500,B1317)&gt;0,1,0)</f>
        <v>0</v>
      </c>
      <c r="Q1317" s="10" t="b">
        <f aca="false">--(COUNTIFS(
   [1]Fichajes_Realizados!A$2:A$5000,A1317,
   [1]Fichajes_Realizados!G$2:G$5000,$X$3
)&gt;0)</f>
        <v>0</v>
      </c>
      <c r="R1317" s="5" t="n">
        <f aca="false">_xlfn.XLOOKUP(C1317, [1]Estado_Equipos!A$2:A$500, [1]Estado_Equipos!J$2:J$500, "")</f>
        <v>77</v>
      </c>
      <c r="S1317" s="5" t="n">
        <f aca="false">IF(H1317&lt;=16,1.45,
IF(H1317&gt;=41,0.3,
CHOOSE(ROUNDDOWN((H1317-16)/2,0)+1,
1.45,1.38,1.3,1.23,1.17,1.15,1.12,1.05,0.95,0.8,0.6,0.4,0.3)))</f>
        <v>1.15</v>
      </c>
      <c r="T1317" s="5" t="n">
        <f aca="false">CHOOSE(N1317+1,1.2,1,0.85,0.7)</f>
        <v>1.2</v>
      </c>
      <c r="U1317" s="5" t="n">
        <f aca="false">IF(F1317="PO",0.6,
IF(F1317="CT",0.75,
IF(F1317="LI",0.8,
IF(F1317="LD",0.8,
IF(F1317="MCD",0.85,
IF(F1317="MC",0.95,
IF(F1317="MO",1.05,
IF(F1317="EI",1.1,
IF(F1317="ED",1.1,
IF(F1317="SD",1.15,
IF(F1317="DC",1.2,0)))))))))))</f>
        <v>0.95</v>
      </c>
    </row>
    <row r="1318" customFormat="false" ht="16.4" hidden="false" customHeight="false" outlineLevel="0" collapsed="false">
      <c r="A1318" s="1" t="n">
        <v>1317</v>
      </c>
      <c r="B1318" s="5" t="str">
        <f aca="false">[1]Base_Jugadores!B1318</f>
        <v>Fabio Miretti</v>
      </c>
      <c r="C1318" s="5" t="str">
        <f aca="false">IFERROR(
   _xlfn.XLOOKUP(VALUE(A1318),[1]Fichajes_Realizados!A$2:A$50000,[1]Fichajes_Realizados!D$2:D$50000,,0,-1),
   _xlfn.XLOOKUP(VALUE(A1318),[1]Base_Jugadores!A$2:A$50000,[1]Base_Jugadores!C$2:C$50000)
)</f>
        <v>Juventus de Turín</v>
      </c>
      <c r="D1318" s="5" t="str">
        <f aca="false">[1]Base_Jugadores!D1318</f>
        <v>Italia</v>
      </c>
      <c r="E1318" s="3"/>
      <c r="F1318" s="5" t="str">
        <f aca="false">[1]Base_Jugadores!E1318</f>
        <v>MC</v>
      </c>
      <c r="G1318" s="5" t="n">
        <f aca="false">[1]Base_Jugadores!F1318</f>
        <v>74</v>
      </c>
      <c r="H1318" s="5" t="n">
        <f aca="false">[1]Base_Jugadores!G1318</f>
        <v>22</v>
      </c>
      <c r="I1318" s="7" t="n">
        <f aca="false" t="array" ref="I1318:I1318">_xlfn.XLOOKUP(G1318,{55;56;57;58;59;60;61;62;63;64;65;66;67;68;69;70;71;72;73;74;75;76;77;78;79;80;81;82;83;84;85;86;87;88;89;90;91;92;93;94;95;96;97;98;99},{100000;130000;160000;190000;220000;250000;300000;350000;400000;450000;500000;600000;700000;800000;900000;1000000;1500000;2000000;3000000;4000000;5000000;6500000;8000000;10000000;12500000;15000000;20000000;25000000;30000000;35000000;40000000;55000000;70000000;80000000;90000000;110000000;130000000;160000000;190000000;220000000;250000000;280000000;310000000;340000000;400000000})</f>
        <v>4000000</v>
      </c>
      <c r="J1318" s="7" t="n">
        <f aca="false">I1318*S1318*T1318*U1318</f>
        <v>5608800</v>
      </c>
      <c r="K1318" s="3"/>
      <c r="L1318" s="3"/>
      <c r="M1318" s="3"/>
      <c r="N1318" s="9" t="n">
        <v>0</v>
      </c>
      <c r="O1318" s="4" t="n">
        <v>0</v>
      </c>
      <c r="P1318" s="5" t="n">
        <f aca="false">IF(COUNTIF([1]Base_Jugadores!J$2:J$500,B1318)&gt;0,1,0)</f>
        <v>0</v>
      </c>
      <c r="Q1318" s="10" t="b">
        <f aca="false">--(COUNTIFS(
   [1]Fichajes_Realizados!A$2:A$5000,A1318,
   [1]Fichajes_Realizados!G$2:G$5000,$X$3
)&gt;0)</f>
        <v>0</v>
      </c>
      <c r="R1318" s="5" t="n">
        <f aca="false">_xlfn.XLOOKUP(C1318, [1]Estado_Equipos!A$2:A$500, [1]Estado_Equipos!J$2:J$500, "")</f>
        <v>77</v>
      </c>
      <c r="S1318" s="5" t="n">
        <f aca="false">IF(H1318&lt;=16,1.45,
IF(H1318&gt;=41,0.3,
CHOOSE(ROUNDDOWN((H1318-16)/2,0)+1,
1.45,1.38,1.3,1.23,1.17,1.15,1.12,1.05,0.95,0.8,0.6,0.4,0.3)))</f>
        <v>1.23</v>
      </c>
      <c r="T1318" s="5" t="n">
        <f aca="false">CHOOSE(N1318+1,1.2,1,0.85,0.7)</f>
        <v>1.2</v>
      </c>
      <c r="U1318" s="5" t="n">
        <f aca="false">IF(F1318="PO",0.6,
IF(F1318="CT",0.75,
IF(F1318="LI",0.8,
IF(F1318="LD",0.8,
IF(F1318="MCD",0.85,
IF(F1318="MC",0.95,
IF(F1318="MO",1.05,
IF(F1318="EI",1.1,
IF(F1318="ED",1.1,
IF(F1318="SD",1.15,
IF(F1318="DC",1.2,0)))))))))))</f>
        <v>0.95</v>
      </c>
    </row>
    <row r="1319" customFormat="false" ht="16.4" hidden="false" customHeight="false" outlineLevel="0" collapsed="false">
      <c r="A1319" s="1" t="n">
        <v>1318</v>
      </c>
      <c r="B1319" s="5" t="str">
        <f aca="false">[1]Base_Jugadores!B1319</f>
        <v>João Mário N.</v>
      </c>
      <c r="C1319" s="5" t="str">
        <f aca="false">IFERROR(
   _xlfn.XLOOKUP(VALUE(A1319),[1]Fichajes_Realizados!A$2:A$50000,[1]Fichajes_Realizados!D$2:D$50000,,0,-1),
   _xlfn.XLOOKUP(VALUE(A1319),[1]Base_Jugadores!A$2:A$50000,[1]Base_Jugadores!C$2:C$50000)
)</f>
        <v>Juventus de Turín</v>
      </c>
      <c r="D1319" s="5" t="str">
        <f aca="false">[1]Base_Jugadores!D1319</f>
        <v>Portugal</v>
      </c>
      <c r="E1319" s="3"/>
      <c r="F1319" s="5" t="str">
        <f aca="false">[1]Base_Jugadores!E1319</f>
        <v>ED</v>
      </c>
      <c r="G1319" s="5" t="n">
        <f aca="false">[1]Base_Jugadores!F1319</f>
        <v>75</v>
      </c>
      <c r="H1319" s="5" t="n">
        <f aca="false">[1]Base_Jugadores!G1319</f>
        <v>25</v>
      </c>
      <c r="I1319" s="7" t="n">
        <f aca="false" t="array" ref="I1319:I1319">_xlfn.XLOOKUP(G1319,{55;56;57;58;59;60;61;62;63;64;65;66;67;68;69;70;71;72;73;74;75;76;77;78;79;80;81;82;83;84;85;86;87;88;89;90;91;92;93;94;95;96;97;98;99},{100000;130000;160000;190000;220000;250000;300000;350000;400000;450000;500000;600000;700000;800000;900000;1000000;1500000;2000000;3000000;4000000;5000000;6500000;8000000;10000000;12500000;15000000;20000000;25000000;30000000;35000000;40000000;55000000;70000000;80000000;90000000;110000000;130000000;160000000;190000000;220000000;250000000;280000000;310000000;340000000;400000000})</f>
        <v>5000000</v>
      </c>
      <c r="J1319" s="7" t="n">
        <f aca="false">I1319*S1319*T1319*U1319</f>
        <v>7722000</v>
      </c>
      <c r="K1319" s="3"/>
      <c r="L1319" s="3"/>
      <c r="M1319" s="3"/>
      <c r="N1319" s="9" t="n">
        <v>0</v>
      </c>
      <c r="O1319" s="4" t="n">
        <v>0</v>
      </c>
      <c r="P1319" s="5" t="n">
        <f aca="false">IF(COUNTIF([1]Base_Jugadores!J$2:J$500,B1319)&gt;0,1,0)</f>
        <v>0</v>
      </c>
      <c r="Q1319" s="10" t="b">
        <f aca="false">--(COUNTIFS(
   [1]Fichajes_Realizados!A$2:A$5000,A1319,
   [1]Fichajes_Realizados!G$2:G$5000,$X$3
)&gt;0)</f>
        <v>0</v>
      </c>
      <c r="R1319" s="5" t="n">
        <f aca="false">_xlfn.XLOOKUP(C1319, [1]Estado_Equipos!A$2:A$500, [1]Estado_Equipos!J$2:J$500, "")</f>
        <v>77</v>
      </c>
      <c r="S1319" s="5" t="n">
        <f aca="false">IF(H1319&lt;=16,1.45,
IF(H1319&gt;=41,0.3,
CHOOSE(ROUNDDOWN((H1319-16)/2,0)+1,
1.45,1.38,1.3,1.23,1.17,1.15,1.12,1.05,0.95,0.8,0.6,0.4,0.3)))</f>
        <v>1.17</v>
      </c>
      <c r="T1319" s="5" t="n">
        <f aca="false">CHOOSE(N1319+1,1.2,1,0.85,0.7)</f>
        <v>1.2</v>
      </c>
      <c r="U1319" s="5" t="n">
        <f aca="false">IF(F1319="PO",0.6,
IF(F1319="CT",0.75,
IF(F1319="LI",0.8,
IF(F1319="LD",0.8,
IF(F1319="MCD",0.85,
IF(F1319="MC",0.95,
IF(F1319="MO",1.05,
IF(F1319="EI",1.1,
IF(F1319="ED",1.1,
IF(F1319="SD",1.15,
IF(F1319="DC",1.2,0)))))))))))</f>
        <v>1.1</v>
      </c>
    </row>
    <row r="1320" customFormat="false" ht="16.4" hidden="false" customHeight="false" outlineLevel="0" collapsed="false">
      <c r="A1320" s="1" t="n">
        <v>1319</v>
      </c>
      <c r="B1320" s="5" t="str">
        <f aca="false">[1]Base_Jugadores!B1320</f>
        <v>Andrea Cambiaso</v>
      </c>
      <c r="C1320" s="5" t="str">
        <f aca="false">IFERROR(
   _xlfn.XLOOKUP(VALUE(A1320),[1]Fichajes_Realizados!A$2:A$50000,[1]Fichajes_Realizados!D$2:D$50000,,0,-1),
   _xlfn.XLOOKUP(VALUE(A1320),[1]Base_Jugadores!A$2:A$50000,[1]Base_Jugadores!C$2:C$50000)
)</f>
        <v>Juventus de Turín</v>
      </c>
      <c r="D1320" s="5" t="str">
        <f aca="false">[1]Base_Jugadores!D1320</f>
        <v>Italia</v>
      </c>
      <c r="E1320" s="3"/>
      <c r="F1320" s="5" t="str">
        <f aca="false">[1]Base_Jugadores!E1320</f>
        <v>EI</v>
      </c>
      <c r="G1320" s="5" t="n">
        <f aca="false">[1]Base_Jugadores!F1320</f>
        <v>76</v>
      </c>
      <c r="H1320" s="5" t="n">
        <f aca="false">[1]Base_Jugadores!G1320</f>
        <v>25</v>
      </c>
      <c r="I1320" s="7" t="n">
        <f aca="false" t="array" ref="I1320:I1320">_xlfn.XLOOKUP(G1320,{55;56;57;58;59;60;61;62;63;64;65;66;67;68;69;70;71;72;73;74;75;76;77;78;79;80;81;82;83;84;85;86;87;88;89;90;91;92;93;94;95;96;97;98;99},{100000;130000;160000;190000;220000;250000;300000;350000;400000;450000;500000;600000;700000;800000;900000;1000000;1500000;2000000;3000000;4000000;5000000;6500000;8000000;10000000;12500000;15000000;20000000;25000000;30000000;35000000;40000000;55000000;70000000;80000000;90000000;110000000;130000000;160000000;190000000;220000000;250000000;280000000;310000000;340000000;400000000})</f>
        <v>6500000</v>
      </c>
      <c r="J1320" s="7" t="n">
        <f aca="false">I1320*S1320*T1320*U1320</f>
        <v>10038600</v>
      </c>
      <c r="K1320" s="3"/>
      <c r="L1320" s="3"/>
      <c r="M1320" s="3"/>
      <c r="N1320" s="9" t="n">
        <v>0</v>
      </c>
      <c r="O1320" s="4" t="n">
        <v>0</v>
      </c>
      <c r="P1320" s="5" t="n">
        <f aca="false">IF(COUNTIF([1]Base_Jugadores!J$2:J$500,B1320)&gt;0,1,0)</f>
        <v>0</v>
      </c>
      <c r="Q1320" s="10" t="b">
        <f aca="false">--(COUNTIFS(
   [1]Fichajes_Realizados!A$2:A$5000,A1320,
   [1]Fichajes_Realizados!G$2:G$5000,$X$3
)&gt;0)</f>
        <v>0</v>
      </c>
      <c r="R1320" s="5" t="n">
        <f aca="false">_xlfn.XLOOKUP(C1320, [1]Estado_Equipos!A$2:A$500, [1]Estado_Equipos!J$2:J$500, "")</f>
        <v>77</v>
      </c>
      <c r="S1320" s="5" t="n">
        <f aca="false">IF(H1320&lt;=16,1.45,
IF(H1320&gt;=41,0.3,
CHOOSE(ROUNDDOWN((H1320-16)/2,0)+1,
1.45,1.38,1.3,1.23,1.17,1.15,1.12,1.05,0.95,0.8,0.6,0.4,0.3)))</f>
        <v>1.17</v>
      </c>
      <c r="T1320" s="5" t="n">
        <f aca="false">CHOOSE(N1320+1,1.2,1,0.85,0.7)</f>
        <v>1.2</v>
      </c>
      <c r="U1320" s="5" t="n">
        <f aca="false">IF(F1320="PO",0.6,
IF(F1320="CT",0.75,
IF(F1320="LI",0.8,
IF(F1320="LD",0.8,
IF(F1320="MCD",0.85,
IF(F1320="MC",0.95,
IF(F1320="MO",1.05,
IF(F1320="EI",1.1,
IF(F1320="ED",1.1,
IF(F1320="SD",1.15,
IF(F1320="DC",1.2,0)))))))))))</f>
        <v>1.1</v>
      </c>
    </row>
    <row r="1321" customFormat="false" ht="16.4" hidden="false" customHeight="false" outlineLevel="0" collapsed="false">
      <c r="A1321" s="1" t="n">
        <v>1320</v>
      </c>
      <c r="B1321" s="5" t="str">
        <f aca="false">[1]Base_Jugadores!B1321</f>
        <v>Filip Kostić</v>
      </c>
      <c r="C1321" s="5" t="str">
        <f aca="false">IFERROR(
   _xlfn.XLOOKUP(VALUE(A1321),[1]Fichajes_Realizados!A$2:A$50000,[1]Fichajes_Realizados!D$2:D$50000,,0,-1),
   _xlfn.XLOOKUP(VALUE(A1321),[1]Base_Jugadores!A$2:A$50000,[1]Base_Jugadores!C$2:C$50000)
)</f>
        <v>Juventus de Turín</v>
      </c>
      <c r="D1321" s="5" t="str">
        <f aca="false">[1]Base_Jugadores!D1321</f>
        <v>Serbia</v>
      </c>
      <c r="E1321" s="3"/>
      <c r="F1321" s="5" t="str">
        <f aca="false">[1]Base_Jugadores!E1321</f>
        <v>EI</v>
      </c>
      <c r="G1321" s="5" t="n">
        <f aca="false">[1]Base_Jugadores!F1321</f>
        <v>80</v>
      </c>
      <c r="H1321" s="5" t="n">
        <f aca="false">[1]Base_Jugadores!G1321</f>
        <v>33</v>
      </c>
      <c r="I1321" s="7" t="n">
        <f aca="false" t="array" ref="I1321:I1321">_xlfn.XLOOKUP(G1321,{55;56;57;58;59;60;61;62;63;64;65;66;67;68;69;70;71;72;73;74;75;76;77;78;79;80;81;82;83;84;85;86;87;88;89;90;91;92;93;94;95;96;97;98;99},{100000;130000;160000;190000;220000;250000;300000;350000;400000;450000;500000;600000;700000;800000;900000;1000000;1500000;2000000;3000000;4000000;5000000;6500000;8000000;10000000;12500000;15000000;20000000;25000000;30000000;35000000;40000000;55000000;70000000;80000000;90000000;110000000;130000000;160000000;190000000;220000000;250000000;280000000;310000000;340000000;400000000})</f>
        <v>15000000</v>
      </c>
      <c r="J1321" s="7" t="n">
        <f aca="false">I1321*S1321*T1321*U1321</f>
        <v>18810000</v>
      </c>
      <c r="K1321" s="3"/>
      <c r="L1321" s="3"/>
      <c r="M1321" s="3"/>
      <c r="N1321" s="9" t="n">
        <v>0</v>
      </c>
      <c r="O1321" s="4" t="n">
        <v>0</v>
      </c>
      <c r="P1321" s="5" t="n">
        <f aca="false">IF(COUNTIF([1]Base_Jugadores!J$2:J$500,B1321)&gt;0,1,0)</f>
        <v>0</v>
      </c>
      <c r="Q1321" s="10" t="b">
        <f aca="false">--(COUNTIFS(
   [1]Fichajes_Realizados!A$2:A$5000,A1321,
   [1]Fichajes_Realizados!G$2:G$5000,$X$3
)&gt;0)</f>
        <v>0</v>
      </c>
      <c r="R1321" s="5" t="n">
        <f aca="false">_xlfn.XLOOKUP(C1321, [1]Estado_Equipos!A$2:A$500, [1]Estado_Equipos!J$2:J$500, "")</f>
        <v>77</v>
      </c>
      <c r="S1321" s="5" t="n">
        <f aca="false">IF(H1321&lt;=16,1.45,
IF(H1321&gt;=41,0.3,
CHOOSE(ROUNDDOWN((H1321-16)/2,0)+1,
1.45,1.38,1.3,1.23,1.17,1.15,1.12,1.05,0.95,0.8,0.6,0.4,0.3)))</f>
        <v>0.95</v>
      </c>
      <c r="T1321" s="5" t="n">
        <f aca="false">CHOOSE(N1321+1,1.2,1,0.85,0.7)</f>
        <v>1.2</v>
      </c>
      <c r="U1321" s="5" t="n">
        <f aca="false">IF(F1321="PO",0.6,
IF(F1321="CT",0.75,
IF(F1321="LI",0.8,
IF(F1321="LD",0.8,
IF(F1321="MCD",0.85,
IF(F1321="MC",0.95,
IF(F1321="MO",1.05,
IF(F1321="EI",1.1,
IF(F1321="ED",1.1,
IF(F1321="SD",1.15,
IF(F1321="DC",1.2,0)))))))))))</f>
        <v>1.1</v>
      </c>
    </row>
    <row r="1322" customFormat="false" ht="16.4" hidden="false" customHeight="false" outlineLevel="0" collapsed="false">
      <c r="A1322" s="1" t="n">
        <v>1321</v>
      </c>
      <c r="B1322" s="5" t="str">
        <f aca="false">[1]Base_Jugadores!B1322</f>
        <v>Teun Koopmeiners</v>
      </c>
      <c r="C1322" s="5" t="str">
        <f aca="false">IFERROR(
   _xlfn.XLOOKUP(VALUE(A1322),[1]Fichajes_Realizados!A$2:A$50000,[1]Fichajes_Realizados!D$2:D$50000,,0,-1),
   _xlfn.XLOOKUP(VALUE(A1322),[1]Base_Jugadores!A$2:A$50000,[1]Base_Jugadores!C$2:C$50000)
)</f>
        <v>Juventus de Turín</v>
      </c>
      <c r="D1322" s="5" t="str">
        <f aca="false">[1]Base_Jugadores!D1322</f>
        <v>Países Bajos</v>
      </c>
      <c r="E1322" s="3"/>
      <c r="F1322" s="5" t="str">
        <f aca="false">[1]Base_Jugadores!E1322</f>
        <v>MO</v>
      </c>
      <c r="G1322" s="5" t="n">
        <f aca="false">[1]Base_Jugadores!F1322</f>
        <v>82</v>
      </c>
      <c r="H1322" s="5" t="n">
        <f aca="false">[1]Base_Jugadores!G1322</f>
        <v>27</v>
      </c>
      <c r="I1322" s="7" t="n">
        <f aca="false" t="array" ref="I1322:I1322">_xlfn.XLOOKUP(G1322,{55;56;57;58;59;60;61;62;63;64;65;66;67;68;69;70;71;72;73;74;75;76;77;78;79;80;81;82;83;84;85;86;87;88;89;90;91;92;93;94;95;96;97;98;99},{100000;130000;160000;190000;220000;250000;300000;350000;400000;450000;500000;600000;700000;800000;900000;1000000;1500000;2000000;3000000;4000000;5000000;6500000;8000000;10000000;12500000;15000000;20000000;25000000;30000000;35000000;40000000;55000000;70000000;80000000;90000000;110000000;130000000;160000000;190000000;220000000;250000000;280000000;310000000;340000000;400000000})</f>
        <v>25000000</v>
      </c>
      <c r="J1322" s="7" t="n">
        <f aca="false">I1322*S1322*T1322*U1322</f>
        <v>36225000</v>
      </c>
      <c r="K1322" s="3"/>
      <c r="L1322" s="3"/>
      <c r="M1322" s="3"/>
      <c r="N1322" s="9" t="n">
        <v>0</v>
      </c>
      <c r="O1322" s="4" t="n">
        <v>0</v>
      </c>
      <c r="P1322" s="5" t="n">
        <f aca="false">IF(COUNTIF([1]Base_Jugadores!J$2:J$500,B1322)&gt;0,1,0)</f>
        <v>0</v>
      </c>
      <c r="Q1322" s="10" t="b">
        <f aca="false">--(COUNTIFS(
   [1]Fichajes_Realizados!A$2:A$5000,A1322,
   [1]Fichajes_Realizados!G$2:G$5000,$X$3
)&gt;0)</f>
        <v>0</v>
      </c>
      <c r="R1322" s="5" t="n">
        <f aca="false">_xlfn.XLOOKUP(C1322, [1]Estado_Equipos!A$2:A$500, [1]Estado_Equipos!J$2:J$500, "")</f>
        <v>77</v>
      </c>
      <c r="S1322" s="5" t="n">
        <f aca="false">IF(H1322&lt;=16,1.45,
IF(H1322&gt;=41,0.3,
CHOOSE(ROUNDDOWN((H1322-16)/2,0)+1,
1.45,1.38,1.3,1.23,1.17,1.15,1.12,1.05,0.95,0.8,0.6,0.4,0.3)))</f>
        <v>1.15</v>
      </c>
      <c r="T1322" s="5" t="n">
        <f aca="false">CHOOSE(N1322+1,1.2,1,0.85,0.7)</f>
        <v>1.2</v>
      </c>
      <c r="U1322" s="5" t="n">
        <f aca="false">IF(F1322="PO",0.6,
IF(F1322="CT",0.75,
IF(F1322="LI",0.8,
IF(F1322="LD",0.8,
IF(F1322="MCD",0.85,
IF(F1322="MC",0.95,
IF(F1322="MO",1.05,
IF(F1322="EI",1.1,
IF(F1322="ED",1.1,
IF(F1322="SD",1.15,
IF(F1322="DC",1.2,0)))))))))))</f>
        <v>1.05</v>
      </c>
    </row>
    <row r="1323" customFormat="false" ht="16.4" hidden="false" customHeight="false" outlineLevel="0" collapsed="false">
      <c r="A1323" s="1" t="n">
        <v>1322</v>
      </c>
      <c r="B1323" s="5" t="str">
        <f aca="false">[1]Base_Jugadores!B1323</f>
        <v>Vasilije Adžić</v>
      </c>
      <c r="C1323" s="5" t="str">
        <f aca="false">IFERROR(
   _xlfn.XLOOKUP(VALUE(A1323),[1]Fichajes_Realizados!A$2:A$50000,[1]Fichajes_Realizados!D$2:D$50000,,0,-1),
   _xlfn.XLOOKUP(VALUE(A1323),[1]Base_Jugadores!A$2:A$50000,[1]Base_Jugadores!C$2:C$50000)
)</f>
        <v>Juventus de Turín</v>
      </c>
      <c r="D1323" s="5" t="str">
        <f aca="false">[1]Base_Jugadores!D1323</f>
        <v>Montenegro</v>
      </c>
      <c r="E1323" s="3"/>
      <c r="F1323" s="5" t="str">
        <f aca="false">[1]Base_Jugadores!E1323</f>
        <v>MO</v>
      </c>
      <c r="G1323" s="5" t="n">
        <f aca="false">[1]Base_Jugadores!F1323</f>
        <v>61</v>
      </c>
      <c r="H1323" s="5" t="n">
        <f aca="false">[1]Base_Jugadores!G1323</f>
        <v>19</v>
      </c>
      <c r="I1323" s="7" t="n">
        <f aca="false" t="array" ref="I1323:I1323">_xlfn.XLOOKUP(G1323,{55;56;57;58;59;60;61;62;63;64;65;66;67;68;69;70;71;72;73;74;75;76;77;78;79;80;81;82;83;84;85;86;87;88;89;90;91;92;93;94;95;96;97;98;99},{100000;130000;160000;190000;220000;250000;300000;350000;400000;450000;500000;600000;700000;800000;900000;1000000;1500000;2000000;3000000;4000000;5000000;6500000;8000000;10000000;12500000;15000000;20000000;25000000;30000000;35000000;40000000;55000000;70000000;80000000;90000000;110000000;130000000;160000000;190000000;220000000;250000000;280000000;310000000;340000000;400000000})</f>
        <v>300000</v>
      </c>
      <c r="J1323" s="7" t="n">
        <f aca="false">I1323*S1323*T1323*U1323</f>
        <v>521640</v>
      </c>
      <c r="K1323" s="3"/>
      <c r="L1323" s="3"/>
      <c r="M1323" s="3"/>
      <c r="N1323" s="9" t="n">
        <v>0</v>
      </c>
      <c r="O1323" s="4" t="n">
        <v>0</v>
      </c>
      <c r="P1323" s="5" t="n">
        <f aca="false">IF(COUNTIF([1]Base_Jugadores!J$2:J$500,B1323)&gt;0,1,0)</f>
        <v>0</v>
      </c>
      <c r="Q1323" s="10" t="b">
        <f aca="false">--(COUNTIFS(
   [1]Fichajes_Realizados!A$2:A$5000,A1323,
   [1]Fichajes_Realizados!G$2:G$5000,$X$3
)&gt;0)</f>
        <v>0</v>
      </c>
      <c r="R1323" s="5" t="n">
        <f aca="false">_xlfn.XLOOKUP(C1323, [1]Estado_Equipos!A$2:A$500, [1]Estado_Equipos!J$2:J$500, "")</f>
        <v>77</v>
      </c>
      <c r="S1323" s="5" t="n">
        <f aca="false">IF(H1323&lt;=16,1.45,
IF(H1323&gt;=41,0.3,
CHOOSE(ROUNDDOWN((H1323-16)/2,0)+1,
1.45,1.38,1.3,1.23,1.17,1.15,1.12,1.05,0.95,0.8,0.6,0.4,0.3)))</f>
        <v>1.38</v>
      </c>
      <c r="T1323" s="5" t="n">
        <f aca="false">CHOOSE(N1323+1,1.2,1,0.85,0.7)</f>
        <v>1.2</v>
      </c>
      <c r="U1323" s="5" t="n">
        <f aca="false">IF(F1323="PO",0.6,
IF(F1323="CT",0.75,
IF(F1323="LI",0.8,
IF(F1323="LD",0.8,
IF(F1323="MCD",0.85,
IF(F1323="MC",0.95,
IF(F1323="MO",1.05,
IF(F1323="EI",1.1,
IF(F1323="ED",1.1,
IF(F1323="SD",1.15,
IF(F1323="DC",1.2,0)))))))))))</f>
        <v>1.05</v>
      </c>
    </row>
    <row r="1324" customFormat="false" ht="16.4" hidden="false" customHeight="false" outlineLevel="0" collapsed="false">
      <c r="A1324" s="1" t="n">
        <v>1323</v>
      </c>
      <c r="B1324" s="5" t="str">
        <f aca="false">[1]Base_Jugadores!B1324</f>
        <v>Kenan Yıldız</v>
      </c>
      <c r="C1324" s="5" t="str">
        <f aca="false">IFERROR(
   _xlfn.XLOOKUP(VALUE(A1324),[1]Fichajes_Realizados!A$2:A$50000,[1]Fichajes_Realizados!D$2:D$50000,,0,-1),
   _xlfn.XLOOKUP(VALUE(A1324),[1]Base_Jugadores!A$2:A$50000,[1]Base_Jugadores!C$2:C$50000)
)</f>
        <v>Juventus de Turín</v>
      </c>
      <c r="D1324" s="5" t="str">
        <f aca="false">[1]Base_Jugadores!D1324</f>
        <v>Turquía</v>
      </c>
      <c r="E1324" s="3"/>
      <c r="F1324" s="5" t="str">
        <f aca="false">[1]Base_Jugadores!E1324</f>
        <v>EI</v>
      </c>
      <c r="G1324" s="5" t="n">
        <f aca="false">[1]Base_Jugadores!F1324</f>
        <v>77</v>
      </c>
      <c r="H1324" s="5" t="n">
        <f aca="false">[1]Base_Jugadores!G1324</f>
        <v>20</v>
      </c>
      <c r="I1324" s="7" t="n">
        <f aca="false" t="array" ref="I1324:I1324">_xlfn.XLOOKUP(G1324,{55;56;57;58;59;60;61;62;63;64;65;66;67;68;69;70;71;72;73;74;75;76;77;78;79;80;81;82;83;84;85;86;87;88;89;90;91;92;93;94;95;96;97;98;99},{100000;130000;160000;190000;220000;250000;300000;350000;400000;450000;500000;600000;700000;800000;900000;1000000;1500000;2000000;3000000;4000000;5000000;6500000;8000000;10000000;12500000;15000000;20000000;25000000;30000000;35000000;40000000;55000000;70000000;80000000;90000000;110000000;130000000;160000000;190000000;220000000;250000000;280000000;310000000;340000000;400000000})</f>
        <v>8000000</v>
      </c>
      <c r="J1324" s="7" t="n">
        <f aca="false">I1324*S1324*T1324*U1324</f>
        <v>13728000</v>
      </c>
      <c r="K1324" s="3"/>
      <c r="L1324" s="3"/>
      <c r="M1324" s="3"/>
      <c r="N1324" s="9" t="n">
        <v>0</v>
      </c>
      <c r="O1324" s="4" t="n">
        <v>0</v>
      </c>
      <c r="P1324" s="5" t="n">
        <f aca="false">IF(COUNTIF([1]Base_Jugadores!J$2:J$500,B1324)&gt;0,1,0)</f>
        <v>0</v>
      </c>
      <c r="Q1324" s="10" t="b">
        <f aca="false">--(COUNTIFS(
   [1]Fichajes_Realizados!A$2:A$5000,A1324,
   [1]Fichajes_Realizados!G$2:G$5000,$X$3
)&gt;0)</f>
        <v>0</v>
      </c>
      <c r="R1324" s="5" t="n">
        <f aca="false">_xlfn.XLOOKUP(C1324, [1]Estado_Equipos!A$2:A$500, [1]Estado_Equipos!J$2:J$500, "")</f>
        <v>77</v>
      </c>
      <c r="S1324" s="5" t="n">
        <f aca="false">IF(H1324&lt;=16,1.45,
IF(H1324&gt;=41,0.3,
CHOOSE(ROUNDDOWN((H1324-16)/2,0)+1,
1.45,1.38,1.3,1.23,1.17,1.15,1.12,1.05,0.95,0.8,0.6,0.4,0.3)))</f>
        <v>1.3</v>
      </c>
      <c r="T1324" s="5" t="n">
        <f aca="false">CHOOSE(N1324+1,1.2,1,0.85,0.7)</f>
        <v>1.2</v>
      </c>
      <c r="U1324" s="5" t="n">
        <f aca="false">IF(F1324="PO",0.6,
IF(F1324="CT",0.75,
IF(F1324="LI",0.8,
IF(F1324="LD",0.8,
IF(F1324="MCD",0.85,
IF(F1324="MC",0.95,
IF(F1324="MO",1.05,
IF(F1324="EI",1.1,
IF(F1324="ED",1.1,
IF(F1324="SD",1.15,
IF(F1324="DC",1.2,0)))))))))))</f>
        <v>1.1</v>
      </c>
    </row>
    <row r="1325" customFormat="false" ht="16.4" hidden="false" customHeight="false" outlineLevel="0" collapsed="false">
      <c r="A1325" s="1" t="n">
        <v>1324</v>
      </c>
      <c r="B1325" s="5" t="str">
        <f aca="false">[1]Base_Jugadores!B1325</f>
        <v>Francisco Conceição</v>
      </c>
      <c r="C1325" s="5" t="str">
        <f aca="false">IFERROR(
   _xlfn.XLOOKUP(VALUE(A1325),[1]Fichajes_Realizados!A$2:A$50000,[1]Fichajes_Realizados!D$2:D$50000,,0,-1),
   _xlfn.XLOOKUP(VALUE(A1325),[1]Base_Jugadores!A$2:A$50000,[1]Base_Jugadores!C$2:C$50000)
)</f>
        <v>Juventus de Turín</v>
      </c>
      <c r="D1325" s="5" t="str">
        <f aca="false">[1]Base_Jugadores!D1325</f>
        <v>Portugal</v>
      </c>
      <c r="E1325" s="3"/>
      <c r="F1325" s="5" t="str">
        <f aca="false">[1]Base_Jugadores!E1325</f>
        <v>ED</v>
      </c>
      <c r="G1325" s="5" t="n">
        <f aca="false">[1]Base_Jugadores!F1325</f>
        <v>79</v>
      </c>
      <c r="H1325" s="5" t="n">
        <f aca="false">[1]Base_Jugadores!G1325</f>
        <v>23</v>
      </c>
      <c r="I1325" s="7" t="n">
        <f aca="false" t="array" ref="I1325:I1325">_xlfn.XLOOKUP(G1325,{55;56;57;58;59;60;61;62;63;64;65;66;67;68;69;70;71;72;73;74;75;76;77;78;79;80;81;82;83;84;85;86;87;88;89;90;91;92;93;94;95;96;97;98;99},{100000;130000;160000;190000;220000;250000;300000;350000;400000;450000;500000;600000;700000;800000;900000;1000000;1500000;2000000;3000000;4000000;5000000;6500000;8000000;10000000;12500000;15000000;20000000;25000000;30000000;35000000;40000000;55000000;70000000;80000000;90000000;110000000;130000000;160000000;190000000;220000000;250000000;280000000;310000000;340000000;400000000})</f>
        <v>12500000</v>
      </c>
      <c r="J1325" s="7" t="n">
        <f aca="false">I1325*S1325*T1325*U1325</f>
        <v>20295000</v>
      </c>
      <c r="K1325" s="3"/>
      <c r="L1325" s="3"/>
      <c r="M1325" s="3"/>
      <c r="N1325" s="9" t="n">
        <v>0</v>
      </c>
      <c r="O1325" s="4" t="n">
        <v>0</v>
      </c>
      <c r="P1325" s="5" t="n">
        <f aca="false">IF(COUNTIF([1]Base_Jugadores!J$2:J$500,B1325)&gt;0,1,0)</f>
        <v>0</v>
      </c>
      <c r="Q1325" s="10" t="b">
        <f aca="false">--(COUNTIFS(
   [1]Fichajes_Realizados!A$2:A$5000,A1325,
   [1]Fichajes_Realizados!G$2:G$5000,$X$3
)&gt;0)</f>
        <v>0</v>
      </c>
      <c r="R1325" s="5" t="n">
        <f aca="false">_xlfn.XLOOKUP(C1325, [1]Estado_Equipos!A$2:A$500, [1]Estado_Equipos!J$2:J$500, "")</f>
        <v>77</v>
      </c>
      <c r="S1325" s="5" t="n">
        <f aca="false">IF(H1325&lt;=16,1.45,
IF(H1325&gt;=41,0.3,
CHOOSE(ROUNDDOWN((H1325-16)/2,0)+1,
1.45,1.38,1.3,1.23,1.17,1.15,1.12,1.05,0.95,0.8,0.6,0.4,0.3)))</f>
        <v>1.23</v>
      </c>
      <c r="T1325" s="5" t="n">
        <f aca="false">CHOOSE(N1325+1,1.2,1,0.85,0.7)</f>
        <v>1.2</v>
      </c>
      <c r="U1325" s="5" t="n">
        <f aca="false">IF(F1325="PO",0.6,
IF(F1325="CT",0.75,
IF(F1325="LI",0.8,
IF(F1325="LD",0.8,
IF(F1325="MCD",0.85,
IF(F1325="MC",0.95,
IF(F1325="MO",1.05,
IF(F1325="EI",1.1,
IF(F1325="ED",1.1,
IF(F1325="SD",1.15,
IF(F1325="DC",1.2,0)))))))))))</f>
        <v>1.1</v>
      </c>
    </row>
    <row r="1326" customFormat="false" ht="16.4" hidden="false" customHeight="false" outlineLevel="0" collapsed="false">
      <c r="A1326" s="1" t="n">
        <v>1325</v>
      </c>
      <c r="B1326" s="5" t="str">
        <f aca="false">[1]Base_Jugadores!B1326</f>
        <v>Edon Zhegrova</v>
      </c>
      <c r="C1326" s="5" t="str">
        <f aca="false">IFERROR(
   _xlfn.XLOOKUP(VALUE(A1326),[1]Fichajes_Realizados!A$2:A$50000,[1]Fichajes_Realizados!D$2:D$50000,,0,-1),
   _xlfn.XLOOKUP(VALUE(A1326),[1]Base_Jugadores!A$2:A$50000,[1]Base_Jugadores!C$2:C$50000)
)</f>
        <v>Juventus de Turín</v>
      </c>
      <c r="D1326" s="5" t="str">
        <f aca="false">[1]Base_Jugadores!D1326</f>
        <v>Kosovo</v>
      </c>
      <c r="E1326" s="3"/>
      <c r="F1326" s="5" t="str">
        <f aca="false">[1]Base_Jugadores!E1326</f>
        <v>ED</v>
      </c>
      <c r="G1326" s="5" t="n">
        <f aca="false">[1]Base_Jugadores!F1326</f>
        <v>80</v>
      </c>
      <c r="H1326" s="5" t="n">
        <f aca="false">[1]Base_Jugadores!G1326</f>
        <v>26</v>
      </c>
      <c r="I1326" s="7" t="n">
        <f aca="false" t="array" ref="I1326:I1326">_xlfn.XLOOKUP(G1326,{55;56;57;58;59;60;61;62;63;64;65;66;67;68;69;70;71;72;73;74;75;76;77;78;79;80;81;82;83;84;85;86;87;88;89;90;91;92;93;94;95;96;97;98;99},{100000;130000;160000;190000;220000;250000;300000;350000;400000;450000;500000;600000;700000;800000;900000;1000000;1500000;2000000;3000000;4000000;5000000;6500000;8000000;10000000;12500000;15000000;20000000;25000000;30000000;35000000;40000000;55000000;70000000;80000000;90000000;110000000;130000000;160000000;190000000;220000000;250000000;280000000;310000000;340000000;400000000})</f>
        <v>15000000</v>
      </c>
      <c r="J1326" s="7" t="n">
        <f aca="false">I1326*S1326*T1326*U1326</f>
        <v>22770000</v>
      </c>
      <c r="K1326" s="3"/>
      <c r="L1326" s="3"/>
      <c r="M1326" s="3"/>
      <c r="N1326" s="9" t="n">
        <v>0</v>
      </c>
      <c r="O1326" s="4" t="n">
        <v>0</v>
      </c>
      <c r="P1326" s="5" t="n">
        <f aca="false">IF(COUNTIF([1]Base_Jugadores!J$2:J$500,B1326)&gt;0,1,0)</f>
        <v>0</v>
      </c>
      <c r="Q1326" s="10" t="b">
        <f aca="false">--(COUNTIFS(
   [1]Fichajes_Realizados!A$2:A$5000,A1326,
   [1]Fichajes_Realizados!G$2:G$5000,$X$3
)&gt;0)</f>
        <v>0</v>
      </c>
      <c r="R1326" s="5" t="n">
        <f aca="false">_xlfn.XLOOKUP(C1326, [1]Estado_Equipos!A$2:A$500, [1]Estado_Equipos!J$2:J$500, "")</f>
        <v>77</v>
      </c>
      <c r="S1326" s="5" t="n">
        <f aca="false">IF(H1326&lt;=16,1.45,
IF(H1326&gt;=41,0.3,
CHOOSE(ROUNDDOWN((H1326-16)/2,0)+1,
1.45,1.38,1.3,1.23,1.17,1.15,1.12,1.05,0.95,0.8,0.6,0.4,0.3)))</f>
        <v>1.15</v>
      </c>
      <c r="T1326" s="5" t="n">
        <f aca="false">CHOOSE(N1326+1,1.2,1,0.85,0.7)</f>
        <v>1.2</v>
      </c>
      <c r="U1326" s="5" t="n">
        <f aca="false">IF(F1326="PO",0.6,
IF(F1326="CT",0.75,
IF(F1326="LI",0.8,
IF(F1326="LD",0.8,
IF(F1326="MCD",0.85,
IF(F1326="MC",0.95,
IF(F1326="MO",1.05,
IF(F1326="EI",1.1,
IF(F1326="ED",1.1,
IF(F1326="SD",1.15,
IF(F1326="DC",1.2,0)))))))))))</f>
        <v>1.1</v>
      </c>
    </row>
    <row r="1327" customFormat="false" ht="16.4" hidden="false" customHeight="false" outlineLevel="0" collapsed="false">
      <c r="A1327" s="1" t="n">
        <v>1326</v>
      </c>
      <c r="B1327" s="5" t="str">
        <f aca="false">[1]Base_Jugadores!B1327</f>
        <v>Loïs Openda</v>
      </c>
      <c r="C1327" s="5" t="str">
        <f aca="false">IFERROR(
   _xlfn.XLOOKUP(VALUE(A1327),[1]Fichajes_Realizados!A$2:A$50000,[1]Fichajes_Realizados!D$2:D$50000,,0,-1),
   _xlfn.XLOOKUP(VALUE(A1327),[1]Base_Jugadores!A$2:A$50000,[1]Base_Jugadores!C$2:C$50000)
)</f>
        <v>Juventus de Turín</v>
      </c>
      <c r="D1327" s="5" t="str">
        <f aca="false">[1]Base_Jugadores!D1327</f>
        <v>Bélgica</v>
      </c>
      <c r="E1327" s="3"/>
      <c r="F1327" s="5" t="str">
        <f aca="false">[1]Base_Jugadores!E1327</f>
        <v>DC</v>
      </c>
      <c r="G1327" s="5" t="n">
        <f aca="false">[1]Base_Jugadores!F1327</f>
        <v>84</v>
      </c>
      <c r="H1327" s="5" t="n">
        <f aca="false">[1]Base_Jugadores!G1327</f>
        <v>25</v>
      </c>
      <c r="I1327" s="7" t="n">
        <f aca="false" t="array" ref="I1327:I1327">_xlfn.XLOOKUP(G1327,{55;56;57;58;59;60;61;62;63;64;65;66;67;68;69;70;71;72;73;74;75;76;77;78;79;80;81;82;83;84;85;86;87;88;89;90;91;92;93;94;95;96;97;98;99},{100000;130000;160000;190000;220000;250000;300000;350000;400000;450000;500000;600000;700000;800000;900000;1000000;1500000;2000000;3000000;4000000;5000000;6500000;8000000;10000000;12500000;15000000;20000000;25000000;30000000;35000000;40000000;55000000;70000000;80000000;90000000;110000000;130000000;160000000;190000000;220000000;250000000;280000000;310000000;340000000;400000000})</f>
        <v>35000000</v>
      </c>
      <c r="J1327" s="7" t="n">
        <f aca="false">I1327*S1327*T1327*U1327</f>
        <v>58968000</v>
      </c>
      <c r="K1327" s="3"/>
      <c r="L1327" s="3"/>
      <c r="M1327" s="3"/>
      <c r="N1327" s="9" t="n">
        <v>0</v>
      </c>
      <c r="O1327" s="4" t="n">
        <v>0</v>
      </c>
      <c r="P1327" s="5" t="n">
        <f aca="false">IF(COUNTIF([1]Base_Jugadores!J$2:J$500,B1327)&gt;0,1,0)</f>
        <v>0</v>
      </c>
      <c r="Q1327" s="10" t="b">
        <f aca="false">--(COUNTIFS(
   [1]Fichajes_Realizados!A$2:A$5000,A1327,
   [1]Fichajes_Realizados!G$2:G$5000,$X$3
)&gt;0)</f>
        <v>0</v>
      </c>
      <c r="R1327" s="5" t="n">
        <f aca="false">_xlfn.XLOOKUP(C1327, [1]Estado_Equipos!A$2:A$500, [1]Estado_Equipos!J$2:J$500, "")</f>
        <v>77</v>
      </c>
      <c r="S1327" s="5" t="n">
        <f aca="false">IF(H1327&lt;=16,1.45,
IF(H1327&gt;=41,0.3,
CHOOSE(ROUNDDOWN((H1327-16)/2,0)+1,
1.45,1.38,1.3,1.23,1.17,1.15,1.12,1.05,0.95,0.8,0.6,0.4,0.3)))</f>
        <v>1.17</v>
      </c>
      <c r="T1327" s="5" t="n">
        <f aca="false">CHOOSE(N1327+1,1.2,1,0.85,0.7)</f>
        <v>1.2</v>
      </c>
      <c r="U1327" s="5" t="n">
        <f aca="false">IF(F1327="PO",0.6,
IF(F1327="CT",0.75,
IF(F1327="LI",0.8,
IF(F1327="LD",0.8,
IF(F1327="MCD",0.85,
IF(F1327="MC",0.95,
IF(F1327="MO",1.05,
IF(F1327="EI",1.1,
IF(F1327="ED",1.1,
IF(F1327="SD",1.15,
IF(F1327="DC",1.2,0)))))))))))</f>
        <v>1.2</v>
      </c>
    </row>
    <row r="1328" customFormat="false" ht="16.4" hidden="false" customHeight="false" outlineLevel="0" collapsed="false">
      <c r="A1328" s="1" t="n">
        <v>1327</v>
      </c>
      <c r="B1328" s="5" t="str">
        <f aca="false">[1]Base_Jugadores!B1328</f>
        <v>Jonathan David</v>
      </c>
      <c r="C1328" s="5" t="str">
        <f aca="false">IFERROR(
   _xlfn.XLOOKUP(VALUE(A1328),[1]Fichajes_Realizados!A$2:A$50000,[1]Fichajes_Realizados!D$2:D$50000,,0,-1),
   _xlfn.XLOOKUP(VALUE(A1328),[1]Base_Jugadores!A$2:A$50000,[1]Base_Jugadores!C$2:C$50000)
)</f>
        <v>Juventus de Turín</v>
      </c>
      <c r="D1328" s="5" t="str">
        <f aca="false">[1]Base_Jugadores!D1328</f>
        <v>Canadá</v>
      </c>
      <c r="E1328" s="3"/>
      <c r="F1328" s="5" t="str">
        <f aca="false">[1]Base_Jugadores!E1328</f>
        <v>DC</v>
      </c>
      <c r="G1328" s="5" t="n">
        <f aca="false">[1]Base_Jugadores!F1328</f>
        <v>82</v>
      </c>
      <c r="H1328" s="5" t="n">
        <f aca="false">[1]Base_Jugadores!G1328</f>
        <v>25</v>
      </c>
      <c r="I1328" s="7" t="n">
        <f aca="false" t="array" ref="I1328:I1328">_xlfn.XLOOKUP(G1328,{55;56;57;58;59;60;61;62;63;64;65;66;67;68;69;70;71;72;73;74;75;76;77;78;79;80;81;82;83;84;85;86;87;88;89;90;91;92;93;94;95;96;97;98;99},{100000;130000;160000;190000;220000;250000;300000;350000;400000;450000;500000;600000;700000;800000;900000;1000000;1500000;2000000;3000000;4000000;5000000;6500000;8000000;10000000;12500000;15000000;20000000;25000000;30000000;35000000;40000000;55000000;70000000;80000000;90000000;110000000;130000000;160000000;190000000;220000000;250000000;280000000;310000000;340000000;400000000})</f>
        <v>25000000</v>
      </c>
      <c r="J1328" s="7" t="n">
        <f aca="false">I1328*S1328*T1328*U1328</f>
        <v>42120000</v>
      </c>
      <c r="K1328" s="3"/>
      <c r="L1328" s="3"/>
      <c r="M1328" s="3"/>
      <c r="N1328" s="9" t="n">
        <v>0</v>
      </c>
      <c r="O1328" s="4" t="n">
        <v>0</v>
      </c>
      <c r="P1328" s="5" t="n">
        <f aca="false">IF(COUNTIF([1]Base_Jugadores!J$2:J$500,B1328)&gt;0,1,0)</f>
        <v>0</v>
      </c>
      <c r="Q1328" s="10" t="b">
        <f aca="false">--(COUNTIFS(
   [1]Fichajes_Realizados!A$2:A$5000,A1328,
   [1]Fichajes_Realizados!G$2:G$5000,$X$3
)&gt;0)</f>
        <v>0</v>
      </c>
      <c r="R1328" s="5" t="n">
        <f aca="false">_xlfn.XLOOKUP(C1328, [1]Estado_Equipos!A$2:A$500, [1]Estado_Equipos!J$2:J$500, "")</f>
        <v>77</v>
      </c>
      <c r="S1328" s="5" t="n">
        <f aca="false">IF(H1328&lt;=16,1.45,
IF(H1328&gt;=41,0.3,
CHOOSE(ROUNDDOWN((H1328-16)/2,0)+1,
1.45,1.38,1.3,1.23,1.17,1.15,1.12,1.05,0.95,0.8,0.6,0.4,0.3)))</f>
        <v>1.17</v>
      </c>
      <c r="T1328" s="5" t="n">
        <f aca="false">CHOOSE(N1328+1,1.2,1,0.85,0.7)</f>
        <v>1.2</v>
      </c>
      <c r="U1328" s="5" t="n">
        <f aca="false">IF(F1328="PO",0.6,
IF(F1328="CT",0.75,
IF(F1328="LI",0.8,
IF(F1328="LD",0.8,
IF(F1328="MCD",0.85,
IF(F1328="MC",0.95,
IF(F1328="MO",1.05,
IF(F1328="EI",1.1,
IF(F1328="ED",1.1,
IF(F1328="SD",1.15,
IF(F1328="DC",1.2,0)))))))))))</f>
        <v>1.2</v>
      </c>
    </row>
    <row r="1329" customFormat="false" ht="16.4" hidden="false" customHeight="false" outlineLevel="0" collapsed="false">
      <c r="A1329" s="1" t="n">
        <v>1328</v>
      </c>
      <c r="B1329" s="5" t="str">
        <f aca="false">[1]Base_Jugadores!B1329</f>
        <v>Dušan Vlahović</v>
      </c>
      <c r="C1329" s="5" t="str">
        <f aca="false">IFERROR(
   _xlfn.XLOOKUP(VALUE(A1329),[1]Fichajes_Realizados!A$2:A$50000,[1]Fichajes_Realizados!D$2:D$50000,,0,-1),
   _xlfn.XLOOKUP(VALUE(A1329),[1]Base_Jugadores!A$2:A$50000,[1]Base_Jugadores!C$2:C$50000)
)</f>
        <v>Juventus de Turín</v>
      </c>
      <c r="D1329" s="5" t="str">
        <f aca="false">[1]Base_Jugadores!D1329</f>
        <v>Serbia</v>
      </c>
      <c r="E1329" s="3"/>
      <c r="F1329" s="5" t="str">
        <f aca="false">[1]Base_Jugadores!E1329</f>
        <v>DC</v>
      </c>
      <c r="G1329" s="5" t="n">
        <f aca="false">[1]Base_Jugadores!F1329</f>
        <v>84</v>
      </c>
      <c r="H1329" s="5" t="n">
        <f aca="false">[1]Base_Jugadores!G1329</f>
        <v>25</v>
      </c>
      <c r="I1329" s="7" t="n">
        <f aca="false" t="array" ref="I1329:I1329">_xlfn.XLOOKUP(G1329,{55;56;57;58;59;60;61;62;63;64;65;66;67;68;69;70;71;72;73;74;75;76;77;78;79;80;81;82;83;84;85;86;87;88;89;90;91;92;93;94;95;96;97;98;99},{100000;130000;160000;190000;220000;250000;300000;350000;400000;450000;500000;600000;700000;800000;900000;1000000;1500000;2000000;3000000;4000000;5000000;6500000;8000000;10000000;12500000;15000000;20000000;25000000;30000000;35000000;40000000;55000000;70000000;80000000;90000000;110000000;130000000;160000000;190000000;220000000;250000000;280000000;310000000;340000000;400000000})</f>
        <v>35000000</v>
      </c>
      <c r="J1329" s="7" t="n">
        <f aca="false">I1329*S1329*T1329*U1329</f>
        <v>58968000</v>
      </c>
      <c r="K1329" s="3"/>
      <c r="L1329" s="3"/>
      <c r="M1329" s="3"/>
      <c r="N1329" s="9" t="n">
        <v>0</v>
      </c>
      <c r="O1329" s="4" t="n">
        <v>0</v>
      </c>
      <c r="P1329" s="5" t="n">
        <f aca="false">IF(COUNTIF([1]Base_Jugadores!J$2:J$500,B1329)&gt;0,1,0)</f>
        <v>0</v>
      </c>
      <c r="Q1329" s="10" t="b">
        <f aca="false">--(COUNTIFS(
   [1]Fichajes_Realizados!A$2:A$5000,A1329,
   [1]Fichajes_Realizados!G$2:G$5000,$X$3
)&gt;0)</f>
        <v>0</v>
      </c>
      <c r="R1329" s="5" t="n">
        <f aca="false">_xlfn.XLOOKUP(C1329, [1]Estado_Equipos!A$2:A$500, [1]Estado_Equipos!J$2:J$500, "")</f>
        <v>77</v>
      </c>
      <c r="S1329" s="5" t="n">
        <f aca="false">IF(H1329&lt;=16,1.45,
IF(H1329&gt;=41,0.3,
CHOOSE(ROUNDDOWN((H1329-16)/2,0)+1,
1.45,1.38,1.3,1.23,1.17,1.15,1.12,1.05,0.95,0.8,0.6,0.4,0.3)))</f>
        <v>1.17</v>
      </c>
      <c r="T1329" s="5" t="n">
        <f aca="false">CHOOSE(N1329+1,1.2,1,0.85,0.7)</f>
        <v>1.2</v>
      </c>
      <c r="U1329" s="5" t="n">
        <f aca="false">IF(F1329="PO",0.6,
IF(F1329="CT",0.75,
IF(F1329="LI",0.8,
IF(F1329="LD",0.8,
IF(F1329="MCD",0.85,
IF(F1329="MC",0.95,
IF(F1329="MO",1.05,
IF(F1329="EI",1.1,
IF(F1329="ED",1.1,
IF(F1329="SD",1.15,
IF(F1329="DC",1.2,0)))))))))))</f>
        <v>1.2</v>
      </c>
    </row>
    <row r="1330" customFormat="false" ht="16.4" hidden="false" customHeight="false" outlineLevel="0" collapsed="false">
      <c r="A1330" s="1" t="n">
        <v>1329</v>
      </c>
      <c r="B1330" s="5" t="str">
        <f aca="false">[1]Base_Jugadores!B1330</f>
        <v>Arkadiusz Milik</v>
      </c>
      <c r="C1330" s="5" t="str">
        <f aca="false">IFERROR(
   _xlfn.XLOOKUP(VALUE(A1330),[1]Fichajes_Realizados!A$2:A$50000,[1]Fichajes_Realizados!D$2:D$50000,,0,-1),
   _xlfn.XLOOKUP(VALUE(A1330),[1]Base_Jugadores!A$2:A$50000,[1]Base_Jugadores!C$2:C$50000)
)</f>
        <v>Juventus de Turín</v>
      </c>
      <c r="D1330" s="5" t="str">
        <f aca="false">[1]Base_Jugadores!D1330</f>
        <v>Polonia</v>
      </c>
      <c r="E1330" s="3"/>
      <c r="F1330" s="5" t="str">
        <f aca="false">[1]Base_Jugadores!E1330</f>
        <v>DC</v>
      </c>
      <c r="G1330" s="5" t="n">
        <f aca="false">[1]Base_Jugadores!F1330</f>
        <v>81</v>
      </c>
      <c r="H1330" s="5" t="n">
        <f aca="false">[1]Base_Jugadores!G1330</f>
        <v>31</v>
      </c>
      <c r="I1330" s="7" t="n">
        <f aca="false" t="array" ref="I1330:I1330">_xlfn.XLOOKUP(G1330,{55;56;57;58;59;60;61;62;63;64;65;66;67;68;69;70;71;72;73;74;75;76;77;78;79;80;81;82;83;84;85;86;87;88;89;90;91;92;93;94;95;96;97;98;99},{100000;130000;160000;190000;220000;250000;300000;350000;400000;450000;500000;600000;700000;800000;900000;1000000;1500000;2000000;3000000;4000000;5000000;6500000;8000000;10000000;12500000;15000000;20000000;25000000;30000000;35000000;40000000;55000000;70000000;80000000;90000000;110000000;130000000;160000000;190000000;220000000;250000000;280000000;310000000;340000000;400000000})</f>
        <v>20000000</v>
      </c>
      <c r="J1330" s="7" t="n">
        <f aca="false">I1330*S1330*T1330*U1330</f>
        <v>30240000</v>
      </c>
      <c r="K1330" s="3"/>
      <c r="L1330" s="3"/>
      <c r="M1330" s="3"/>
      <c r="N1330" s="9" t="n">
        <v>0</v>
      </c>
      <c r="O1330" s="4" t="n">
        <v>0</v>
      </c>
      <c r="P1330" s="5" t="n">
        <f aca="false">IF(COUNTIF([1]Base_Jugadores!J$2:J$500,B1330)&gt;0,1,0)</f>
        <v>0</v>
      </c>
      <c r="Q1330" s="10" t="b">
        <f aca="false">--(COUNTIFS(
   [1]Fichajes_Realizados!A$2:A$5000,A1330,
   [1]Fichajes_Realizados!G$2:G$5000,$X$3
)&gt;0)</f>
        <v>0</v>
      </c>
      <c r="R1330" s="5" t="n">
        <f aca="false">_xlfn.XLOOKUP(C1330, [1]Estado_Equipos!A$2:A$500, [1]Estado_Equipos!J$2:J$500, "")</f>
        <v>77</v>
      </c>
      <c r="S1330" s="5" t="n">
        <f aca="false">IF(H1330&lt;=16,1.45,
IF(H1330&gt;=41,0.3,
CHOOSE(ROUNDDOWN((H1330-16)/2,0)+1,
1.45,1.38,1.3,1.23,1.17,1.15,1.12,1.05,0.95,0.8,0.6,0.4,0.3)))</f>
        <v>1.05</v>
      </c>
      <c r="T1330" s="5" t="n">
        <f aca="false">CHOOSE(N1330+1,1.2,1,0.85,0.7)</f>
        <v>1.2</v>
      </c>
      <c r="U1330" s="5" t="n">
        <f aca="false">IF(F1330="PO",0.6,
IF(F1330="CT",0.75,
IF(F1330="LI",0.8,
IF(F1330="LD",0.8,
IF(F1330="MCD",0.85,
IF(F1330="MC",0.95,
IF(F1330="MO",1.05,
IF(F1330="EI",1.1,
IF(F1330="ED",1.1,
IF(F1330="SD",1.15,
IF(F1330="DC",1.2,0)))))))))))</f>
        <v>1.2</v>
      </c>
    </row>
    <row r="1331" customFormat="false" ht="16.4" hidden="false" customHeight="false" outlineLevel="0" collapsed="false">
      <c r="A1331" s="1" t="n">
        <v>1330</v>
      </c>
      <c r="B1331" s="5" t="str">
        <f aca="false">[1]Base_Jugadores!B1331</f>
        <v>Javier Gil</v>
      </c>
      <c r="C1331" s="5" t="str">
        <f aca="false">IFERROR(
   _xlfn.XLOOKUP(VALUE(A1331),[1]Fichajes_Realizados!A$2:A$50000,[1]Fichajes_Realizados!D$2:D$50000,,0,-1),
   _xlfn.XLOOKUP(VALUE(A1331),[1]Base_Jugadores!A$2:A$50000,[1]Base_Jugadores!C$2:C$50000)
)</f>
        <v>Juventus de Turín</v>
      </c>
      <c r="D1331" s="5" t="str">
        <f aca="false">[1]Base_Jugadores!D1331</f>
        <v>España</v>
      </c>
      <c r="E1331" s="3"/>
      <c r="F1331" s="5" t="str">
        <f aca="false">[1]Base_Jugadores!E1331</f>
        <v>CT</v>
      </c>
      <c r="G1331" s="5" t="n">
        <f aca="false">[1]Base_Jugadores!F1331</f>
        <v>57</v>
      </c>
      <c r="H1331" s="5" t="n">
        <f aca="false">[1]Base_Jugadores!G1331</f>
        <v>19</v>
      </c>
      <c r="I1331" s="7" t="n">
        <f aca="false" t="array" ref="I1331:I1331">_xlfn.XLOOKUP(G1331,{55;56;57;58;59;60;61;62;63;64;65;66;67;68;69;70;71;72;73;74;75;76;77;78;79;80;81;82;83;84;85;86;87;88;89;90;91;92;93;94;95;96;97;98;99},{100000;130000;160000;190000;220000;250000;300000;350000;400000;450000;500000;600000;700000;800000;900000;1000000;1500000;2000000;3000000;4000000;5000000;6500000;8000000;10000000;12500000;15000000;20000000;25000000;30000000;35000000;40000000;55000000;70000000;80000000;90000000;110000000;130000000;160000000;190000000;220000000;250000000;280000000;310000000;340000000;400000000})</f>
        <v>160000</v>
      </c>
      <c r="J1331" s="7" t="n">
        <f aca="false">I1331*S1331*T1331*U1331</f>
        <v>198720</v>
      </c>
      <c r="K1331" s="3"/>
      <c r="L1331" s="3"/>
      <c r="M1331" s="3"/>
      <c r="N1331" s="9" t="n">
        <v>0</v>
      </c>
      <c r="O1331" s="4" t="n">
        <v>0</v>
      </c>
      <c r="P1331" s="5" t="n">
        <f aca="false">IF(COUNTIF([1]Base_Jugadores!J$2:J$500,B1331)&gt;0,1,0)</f>
        <v>0</v>
      </c>
      <c r="Q1331" s="10" t="b">
        <f aca="false">--(COUNTIFS(
   [1]Fichajes_Realizados!A$2:A$5000,A1331,
   [1]Fichajes_Realizados!G$2:G$5000,$X$3
)&gt;0)</f>
        <v>0</v>
      </c>
      <c r="R1331" s="5" t="n">
        <f aca="false">_xlfn.XLOOKUP(C1331, [1]Estado_Equipos!A$2:A$500, [1]Estado_Equipos!J$2:J$500, "")</f>
        <v>77</v>
      </c>
      <c r="S1331" s="5" t="n">
        <f aca="false">IF(H1331&lt;=16,1.45,
IF(H1331&gt;=41,0.3,
CHOOSE(ROUNDDOWN((H1331-16)/2,0)+1,
1.45,1.38,1.3,1.23,1.17,1.15,1.12,1.05,0.95,0.8,0.6,0.4,0.3)))</f>
        <v>1.38</v>
      </c>
      <c r="T1331" s="5" t="n">
        <f aca="false">CHOOSE(N1331+1,1.2,1,0.85,0.7)</f>
        <v>1.2</v>
      </c>
      <c r="U1331" s="5" t="n">
        <f aca="false">IF(F1331="PO",0.6,
IF(F1331="CT",0.75,
IF(F1331="LI",0.8,
IF(F1331="LD",0.8,
IF(F1331="MCD",0.85,
IF(F1331="MC",0.95,
IF(F1331="MO",1.05,
IF(F1331="EI",1.1,
IF(F1331="ED",1.1,
IF(F1331="SD",1.15,
IF(F1331="DC",1.2,0)))))))))))</f>
        <v>0.75</v>
      </c>
    </row>
    <row r="1332" customFormat="false" ht="16.4" hidden="false" customHeight="false" outlineLevel="0" collapsed="false">
      <c r="A1332" s="1" t="n">
        <v>1331</v>
      </c>
      <c r="B1332" s="5" t="str">
        <f aca="false">[1]Base_Jugadores!B1332</f>
        <v>Christos Mandas</v>
      </c>
      <c r="C1332" s="5" t="str">
        <f aca="false">IFERROR(
   _xlfn.XLOOKUP(VALUE(A1332),[1]Fichajes_Realizados!A$2:A$50000,[1]Fichajes_Realizados!D$2:D$50000,,0,-1),
   _xlfn.XLOOKUP(VALUE(A1332),[1]Base_Jugadores!A$2:A$50000,[1]Base_Jugadores!C$2:C$50000)
)</f>
        <v>SS Lazio</v>
      </c>
      <c r="D1332" s="5" t="str">
        <f aca="false">[1]Base_Jugadores!D1332</f>
        <v>Grecia</v>
      </c>
      <c r="E1332" s="3"/>
      <c r="F1332" s="5" t="str">
        <f aca="false">[1]Base_Jugadores!E1332</f>
        <v>PO</v>
      </c>
      <c r="G1332" s="5" t="n">
        <f aca="false">[1]Base_Jugadores!F1332</f>
        <v>72</v>
      </c>
      <c r="H1332" s="5" t="n">
        <f aca="false">[1]Base_Jugadores!G1332</f>
        <v>24</v>
      </c>
      <c r="I1332" s="7" t="n">
        <f aca="false" t="array" ref="I1332:I1332">_xlfn.XLOOKUP(G1332,{55;56;57;58;59;60;61;62;63;64;65;66;67;68;69;70;71;72;73;74;75;76;77;78;79;80;81;82;83;84;85;86;87;88;89;90;91;92;93;94;95;96;97;98;99},{100000;130000;160000;190000;220000;250000;300000;350000;400000;450000;500000;600000;700000;800000;900000;1000000;1500000;2000000;3000000;4000000;5000000;6500000;8000000;10000000;12500000;15000000;20000000;25000000;30000000;35000000;40000000;55000000;70000000;80000000;90000000;110000000;130000000;160000000;190000000;220000000;250000000;280000000;310000000;340000000;400000000})</f>
        <v>2000000</v>
      </c>
      <c r="J1332" s="7" t="n">
        <f aca="false">I1332*S1332*T1332*U1332</f>
        <v>1684800</v>
      </c>
      <c r="K1332" s="3"/>
      <c r="L1332" s="3"/>
      <c r="M1332" s="3"/>
      <c r="N1332" s="9" t="n">
        <v>0</v>
      </c>
      <c r="O1332" s="4" t="n">
        <v>0</v>
      </c>
      <c r="P1332" s="5" t="n">
        <f aca="false">IF(COUNTIF([1]Base_Jugadores!J$2:J$500,B1332)&gt;0,1,0)</f>
        <v>0</v>
      </c>
      <c r="Q1332" s="10" t="b">
        <f aca="false">--(COUNTIFS(
   [1]Fichajes_Realizados!A$2:A$5000,A1332,
   [1]Fichajes_Realizados!G$2:G$5000,$X$3
)&gt;0)</f>
        <v>0</v>
      </c>
      <c r="R1332" s="5" t="n">
        <f aca="false">_xlfn.XLOOKUP(C1332, [1]Estado_Equipos!A$2:A$500, [1]Estado_Equipos!J$2:J$500, "")</f>
        <v>76</v>
      </c>
      <c r="S1332" s="5" t="n">
        <f aca="false">IF(H1332&lt;=16,1.45,
IF(H1332&gt;=41,0.3,
CHOOSE(ROUNDDOWN((H1332-16)/2,0)+1,
1.45,1.38,1.3,1.23,1.17,1.15,1.12,1.05,0.95,0.8,0.6,0.4,0.3)))</f>
        <v>1.17</v>
      </c>
      <c r="T1332" s="5" t="n">
        <f aca="false">CHOOSE(N1332+1,1.2,1,0.85,0.7)</f>
        <v>1.2</v>
      </c>
      <c r="U1332" s="5" t="n">
        <f aca="false">IF(F1332="PO",0.6,
IF(F1332="CT",0.75,
IF(F1332="LI",0.8,
IF(F1332="LD",0.8,
IF(F1332="MCD",0.85,
IF(F1332="MC",0.95,
IF(F1332="MO",1.05,
IF(F1332="EI",1.1,
IF(F1332="ED",1.1,
IF(F1332="SD",1.15,
IF(F1332="DC",1.2,0)))))))))))</f>
        <v>0.6</v>
      </c>
    </row>
    <row r="1333" customFormat="false" ht="16.4" hidden="false" customHeight="false" outlineLevel="0" collapsed="false">
      <c r="A1333" s="1" t="n">
        <v>1332</v>
      </c>
      <c r="B1333" s="5" t="str">
        <f aca="false">[1]Base_Jugadores!B1333</f>
        <v>Ivan Provedel</v>
      </c>
      <c r="C1333" s="5" t="str">
        <f aca="false">IFERROR(
   _xlfn.XLOOKUP(VALUE(A1333),[1]Fichajes_Realizados!A$2:A$50000,[1]Fichajes_Realizados!D$2:D$50000,,0,-1),
   _xlfn.XLOOKUP(VALUE(A1333),[1]Base_Jugadores!A$2:A$50000,[1]Base_Jugadores!C$2:C$50000)
)</f>
        <v>SS Lazio</v>
      </c>
      <c r="D1333" s="5" t="str">
        <f aca="false">[1]Base_Jugadores!D1333</f>
        <v>Italia</v>
      </c>
      <c r="E1333" s="3"/>
      <c r="F1333" s="5" t="str">
        <f aca="false">[1]Base_Jugadores!E1333</f>
        <v>PO</v>
      </c>
      <c r="G1333" s="5" t="n">
        <f aca="false">[1]Base_Jugadores!F1333</f>
        <v>83</v>
      </c>
      <c r="H1333" s="5" t="n">
        <f aca="false">[1]Base_Jugadores!G1333</f>
        <v>31</v>
      </c>
      <c r="I1333" s="7" t="n">
        <f aca="false" t="array" ref="I1333:I1333">_xlfn.XLOOKUP(G1333,{55;56;57;58;59;60;61;62;63;64;65;66;67;68;69;70;71;72;73;74;75;76;77;78;79;80;81;82;83;84;85;86;87;88;89;90;91;92;93;94;95;96;97;98;99},{100000;130000;160000;190000;220000;250000;300000;350000;400000;450000;500000;600000;700000;800000;900000;1000000;1500000;2000000;3000000;4000000;5000000;6500000;8000000;10000000;12500000;15000000;20000000;25000000;30000000;35000000;40000000;55000000;70000000;80000000;90000000;110000000;130000000;160000000;190000000;220000000;250000000;280000000;310000000;340000000;400000000})</f>
        <v>30000000</v>
      </c>
      <c r="J1333" s="7" t="n">
        <f aca="false">I1333*S1333*T1333*U1333</f>
        <v>22680000</v>
      </c>
      <c r="K1333" s="3"/>
      <c r="L1333" s="3"/>
      <c r="M1333" s="3"/>
      <c r="N1333" s="9" t="n">
        <v>0</v>
      </c>
      <c r="O1333" s="4" t="n">
        <v>0</v>
      </c>
      <c r="P1333" s="5" t="n">
        <f aca="false">IF(COUNTIF([1]Base_Jugadores!J$2:J$500,B1333)&gt;0,1,0)</f>
        <v>0</v>
      </c>
      <c r="Q1333" s="10" t="b">
        <f aca="false">--(COUNTIFS(
   [1]Fichajes_Realizados!A$2:A$5000,A1333,
   [1]Fichajes_Realizados!G$2:G$5000,$X$3
)&gt;0)</f>
        <v>0</v>
      </c>
      <c r="R1333" s="5" t="n">
        <f aca="false">_xlfn.XLOOKUP(C1333, [1]Estado_Equipos!A$2:A$500, [1]Estado_Equipos!J$2:J$500, "")</f>
        <v>76</v>
      </c>
      <c r="S1333" s="5" t="n">
        <f aca="false">IF(H1333&lt;=16,1.45,
IF(H1333&gt;=41,0.3,
CHOOSE(ROUNDDOWN((H1333-16)/2,0)+1,
1.45,1.38,1.3,1.23,1.17,1.15,1.12,1.05,0.95,0.8,0.6,0.4,0.3)))</f>
        <v>1.05</v>
      </c>
      <c r="T1333" s="5" t="n">
        <f aca="false">CHOOSE(N1333+1,1.2,1,0.85,0.7)</f>
        <v>1.2</v>
      </c>
      <c r="U1333" s="5" t="n">
        <f aca="false">IF(F1333="PO",0.6,
IF(F1333="CT",0.75,
IF(F1333="LI",0.8,
IF(F1333="LD",0.8,
IF(F1333="MCD",0.85,
IF(F1333="MC",0.95,
IF(F1333="MO",1.05,
IF(F1333="EI",1.1,
IF(F1333="ED",1.1,
IF(F1333="SD",1.15,
IF(F1333="DC",1.2,0)))))))))))</f>
        <v>0.6</v>
      </c>
    </row>
    <row r="1334" customFormat="false" ht="16.4" hidden="false" customHeight="false" outlineLevel="0" collapsed="false">
      <c r="A1334" s="1" t="n">
        <v>1333</v>
      </c>
      <c r="B1334" s="5" t="str">
        <f aca="false">[1]Base_Jugadores!B1334</f>
        <v>Alessio Furlanetto</v>
      </c>
      <c r="C1334" s="5" t="str">
        <f aca="false">IFERROR(
   _xlfn.XLOOKUP(VALUE(A1334),[1]Fichajes_Realizados!A$2:A$50000,[1]Fichajes_Realizados!D$2:D$50000,,0,-1),
   _xlfn.XLOOKUP(VALUE(A1334),[1]Base_Jugadores!A$2:A$50000,[1]Base_Jugadores!C$2:C$50000)
)</f>
        <v>SS Lazio</v>
      </c>
      <c r="D1334" s="5" t="str">
        <f aca="false">[1]Base_Jugadores!D1334</f>
        <v>Italia</v>
      </c>
      <c r="E1334" s="3"/>
      <c r="F1334" s="5" t="str">
        <f aca="false">[1]Base_Jugadores!E1334</f>
        <v>PO</v>
      </c>
      <c r="G1334" s="5" t="n">
        <f aca="false">[1]Base_Jugadores!F1334</f>
        <v>61</v>
      </c>
      <c r="H1334" s="5" t="n">
        <f aca="false">[1]Base_Jugadores!G1334</f>
        <v>23</v>
      </c>
      <c r="I1334" s="7" t="n">
        <f aca="false" t="array" ref="I1334:I1334">_xlfn.XLOOKUP(G1334,{55;56;57;58;59;60;61;62;63;64;65;66;67;68;69;70;71;72;73;74;75;76;77;78;79;80;81;82;83;84;85;86;87;88;89;90;91;92;93;94;95;96;97;98;99},{100000;130000;160000;190000;220000;250000;300000;350000;400000;450000;500000;600000;700000;800000;900000;1000000;1500000;2000000;3000000;4000000;5000000;6500000;8000000;10000000;12500000;15000000;20000000;25000000;30000000;35000000;40000000;55000000;70000000;80000000;90000000;110000000;130000000;160000000;190000000;220000000;250000000;280000000;310000000;340000000;400000000})</f>
        <v>300000</v>
      </c>
      <c r="J1334" s="7" t="n">
        <f aca="false">I1334*S1334*T1334*U1334</f>
        <v>265680</v>
      </c>
      <c r="K1334" s="3"/>
      <c r="L1334" s="3"/>
      <c r="M1334" s="3"/>
      <c r="N1334" s="9" t="n">
        <v>0</v>
      </c>
      <c r="O1334" s="4" t="n">
        <v>0</v>
      </c>
      <c r="P1334" s="5" t="n">
        <f aca="false">IF(COUNTIF([1]Base_Jugadores!J$2:J$500,B1334)&gt;0,1,0)</f>
        <v>0</v>
      </c>
      <c r="Q1334" s="10" t="b">
        <f aca="false">--(COUNTIFS(
   [1]Fichajes_Realizados!A$2:A$5000,A1334,
   [1]Fichajes_Realizados!G$2:G$5000,$X$3
)&gt;0)</f>
        <v>0</v>
      </c>
      <c r="R1334" s="5" t="n">
        <f aca="false">_xlfn.XLOOKUP(C1334, [1]Estado_Equipos!A$2:A$500, [1]Estado_Equipos!J$2:J$500, "")</f>
        <v>76</v>
      </c>
      <c r="S1334" s="5" t="n">
        <f aca="false">IF(H1334&lt;=16,1.45,
IF(H1334&gt;=41,0.3,
CHOOSE(ROUNDDOWN((H1334-16)/2,0)+1,
1.45,1.38,1.3,1.23,1.17,1.15,1.12,1.05,0.95,0.8,0.6,0.4,0.3)))</f>
        <v>1.23</v>
      </c>
      <c r="T1334" s="5" t="n">
        <f aca="false">CHOOSE(N1334+1,1.2,1,0.85,0.7)</f>
        <v>1.2</v>
      </c>
      <c r="U1334" s="5" t="n">
        <f aca="false">IF(F1334="PO",0.6,
IF(F1334="CT",0.75,
IF(F1334="LI",0.8,
IF(F1334="LD",0.8,
IF(F1334="MCD",0.85,
IF(F1334="MC",0.95,
IF(F1334="MO",1.05,
IF(F1334="EI",1.1,
IF(F1334="ED",1.1,
IF(F1334="SD",1.15,
IF(F1334="DC",1.2,0)))))))))))</f>
        <v>0.6</v>
      </c>
    </row>
    <row r="1335" customFormat="false" ht="16.4" hidden="false" customHeight="false" outlineLevel="0" collapsed="false">
      <c r="A1335" s="1" t="n">
        <v>1334</v>
      </c>
      <c r="B1335" s="5" t="str">
        <f aca="false">[1]Base_Jugadores!B1335</f>
        <v>Mario Gila</v>
      </c>
      <c r="C1335" s="5" t="str">
        <f aca="false">IFERROR(
   _xlfn.XLOOKUP(VALUE(A1335),[1]Fichajes_Realizados!A$2:A$50000,[1]Fichajes_Realizados!D$2:D$50000,,0,-1),
   _xlfn.XLOOKUP(VALUE(A1335),[1]Base_Jugadores!A$2:A$50000,[1]Base_Jugadores!C$2:C$50000)
)</f>
        <v>SS Lazio</v>
      </c>
      <c r="D1335" s="5" t="str">
        <f aca="false">[1]Base_Jugadores!D1335</f>
        <v>España</v>
      </c>
      <c r="E1335" s="3"/>
      <c r="F1335" s="5" t="str">
        <f aca="false">[1]Base_Jugadores!E1335</f>
        <v>CT</v>
      </c>
      <c r="G1335" s="5" t="n">
        <f aca="false">[1]Base_Jugadores!F1335</f>
        <v>77</v>
      </c>
      <c r="H1335" s="5" t="n">
        <f aca="false">[1]Base_Jugadores!G1335</f>
        <v>25</v>
      </c>
      <c r="I1335" s="7" t="n">
        <f aca="false" t="array" ref="I1335:I1335">_xlfn.XLOOKUP(G1335,{55;56;57;58;59;60;61;62;63;64;65;66;67;68;69;70;71;72;73;74;75;76;77;78;79;80;81;82;83;84;85;86;87;88;89;90;91;92;93;94;95;96;97;98;99},{100000;130000;160000;190000;220000;250000;300000;350000;400000;450000;500000;600000;700000;800000;900000;1000000;1500000;2000000;3000000;4000000;5000000;6500000;8000000;10000000;12500000;15000000;20000000;25000000;30000000;35000000;40000000;55000000;70000000;80000000;90000000;110000000;130000000;160000000;190000000;220000000;250000000;280000000;310000000;340000000;400000000})</f>
        <v>8000000</v>
      </c>
      <c r="J1335" s="7" t="n">
        <f aca="false">I1335*S1335*T1335*U1335</f>
        <v>8424000</v>
      </c>
      <c r="K1335" s="3"/>
      <c r="L1335" s="3"/>
      <c r="M1335" s="3"/>
      <c r="N1335" s="9" t="n">
        <v>0</v>
      </c>
      <c r="O1335" s="4" t="n">
        <v>0</v>
      </c>
      <c r="P1335" s="5" t="n">
        <f aca="false">IF(COUNTIF([1]Base_Jugadores!J$2:J$500,B1335)&gt;0,1,0)</f>
        <v>0</v>
      </c>
      <c r="Q1335" s="10" t="b">
        <f aca="false">--(COUNTIFS(
   [1]Fichajes_Realizados!A$2:A$5000,A1335,
   [1]Fichajes_Realizados!G$2:G$5000,$X$3
)&gt;0)</f>
        <v>0</v>
      </c>
      <c r="R1335" s="5" t="n">
        <f aca="false">_xlfn.XLOOKUP(C1335, [1]Estado_Equipos!A$2:A$500, [1]Estado_Equipos!J$2:J$500, "")</f>
        <v>76</v>
      </c>
      <c r="S1335" s="5" t="n">
        <f aca="false">IF(H1335&lt;=16,1.45,
IF(H1335&gt;=41,0.3,
CHOOSE(ROUNDDOWN((H1335-16)/2,0)+1,
1.45,1.38,1.3,1.23,1.17,1.15,1.12,1.05,0.95,0.8,0.6,0.4,0.3)))</f>
        <v>1.17</v>
      </c>
      <c r="T1335" s="5" t="n">
        <f aca="false">CHOOSE(N1335+1,1.2,1,0.85,0.7)</f>
        <v>1.2</v>
      </c>
      <c r="U1335" s="5" t="n">
        <f aca="false">IF(F1335="PO",0.6,
IF(F1335="CT",0.75,
IF(F1335="LI",0.8,
IF(F1335="LD",0.8,
IF(F1335="MCD",0.85,
IF(F1335="MC",0.95,
IF(F1335="MO",1.05,
IF(F1335="EI",1.1,
IF(F1335="ED",1.1,
IF(F1335="SD",1.15,
IF(F1335="DC",1.2,0)))))))))))</f>
        <v>0.75</v>
      </c>
    </row>
    <row r="1336" customFormat="false" ht="16.4" hidden="false" customHeight="false" outlineLevel="0" collapsed="false">
      <c r="A1336" s="1" t="n">
        <v>1335</v>
      </c>
      <c r="B1336" s="5" t="str">
        <f aca="false">[1]Base_Jugadores!B1336</f>
        <v>Alessio Romagnoli</v>
      </c>
      <c r="C1336" s="5" t="str">
        <f aca="false">IFERROR(
   _xlfn.XLOOKUP(VALUE(A1336),[1]Fichajes_Realizados!A$2:A$50000,[1]Fichajes_Realizados!D$2:D$50000,,0,-1),
   _xlfn.XLOOKUP(VALUE(A1336),[1]Base_Jugadores!A$2:A$50000,[1]Base_Jugadores!C$2:C$50000)
)</f>
        <v>SS Lazio</v>
      </c>
      <c r="D1336" s="5" t="str">
        <f aca="false">[1]Base_Jugadores!D1336</f>
        <v>Italia</v>
      </c>
      <c r="E1336" s="3"/>
      <c r="F1336" s="5" t="str">
        <f aca="false">[1]Base_Jugadores!E1336</f>
        <v>CT</v>
      </c>
      <c r="G1336" s="5" t="n">
        <f aca="false">[1]Base_Jugadores!F1336</f>
        <v>83</v>
      </c>
      <c r="H1336" s="5" t="n">
        <f aca="false">[1]Base_Jugadores!G1336</f>
        <v>30</v>
      </c>
      <c r="I1336" s="7" t="n">
        <f aca="false" t="array" ref="I1336:I1336">_xlfn.XLOOKUP(G1336,{55;56;57;58;59;60;61;62;63;64;65;66;67;68;69;70;71;72;73;74;75;76;77;78;79;80;81;82;83;84;85;86;87;88;89;90;91;92;93;94;95;96;97;98;99},{100000;130000;160000;190000;220000;250000;300000;350000;400000;450000;500000;600000;700000;800000;900000;1000000;1500000;2000000;3000000;4000000;5000000;6500000;8000000;10000000;12500000;15000000;20000000;25000000;30000000;35000000;40000000;55000000;70000000;80000000;90000000;110000000;130000000;160000000;190000000;220000000;250000000;280000000;310000000;340000000;400000000})</f>
        <v>30000000</v>
      </c>
      <c r="J1336" s="7" t="n">
        <f aca="false">I1336*S1336*T1336*U1336</f>
        <v>28350000</v>
      </c>
      <c r="K1336" s="3"/>
      <c r="L1336" s="3"/>
      <c r="M1336" s="3"/>
      <c r="N1336" s="9" t="n">
        <v>0</v>
      </c>
      <c r="O1336" s="4" t="n">
        <v>0</v>
      </c>
      <c r="P1336" s="5" t="n">
        <f aca="false">IF(COUNTIF([1]Base_Jugadores!J$2:J$500,B1336)&gt;0,1,0)</f>
        <v>0</v>
      </c>
      <c r="Q1336" s="10" t="b">
        <f aca="false">--(COUNTIFS(
   [1]Fichajes_Realizados!A$2:A$5000,A1336,
   [1]Fichajes_Realizados!G$2:G$5000,$X$3
)&gt;0)</f>
        <v>0</v>
      </c>
      <c r="R1336" s="5" t="n">
        <f aca="false">_xlfn.XLOOKUP(C1336, [1]Estado_Equipos!A$2:A$500, [1]Estado_Equipos!J$2:J$500, "")</f>
        <v>76</v>
      </c>
      <c r="S1336" s="5" t="n">
        <f aca="false">IF(H1336&lt;=16,1.45,
IF(H1336&gt;=41,0.3,
CHOOSE(ROUNDDOWN((H1336-16)/2,0)+1,
1.45,1.38,1.3,1.23,1.17,1.15,1.12,1.05,0.95,0.8,0.6,0.4,0.3)))</f>
        <v>1.05</v>
      </c>
      <c r="T1336" s="5" t="n">
        <f aca="false">CHOOSE(N1336+1,1.2,1,0.85,0.7)</f>
        <v>1.2</v>
      </c>
      <c r="U1336" s="5" t="n">
        <f aca="false">IF(F1336="PO",0.6,
IF(F1336="CT",0.75,
IF(F1336="LI",0.8,
IF(F1336="LD",0.8,
IF(F1336="MCD",0.85,
IF(F1336="MC",0.95,
IF(F1336="MO",1.05,
IF(F1336="EI",1.1,
IF(F1336="ED",1.1,
IF(F1336="SD",1.15,
IF(F1336="DC",1.2,0)))))))))))</f>
        <v>0.75</v>
      </c>
    </row>
    <row r="1337" customFormat="false" ht="16.4" hidden="false" customHeight="false" outlineLevel="0" collapsed="false">
      <c r="A1337" s="1" t="n">
        <v>1336</v>
      </c>
      <c r="B1337" s="5" t="str">
        <f aca="false">[1]Base_Jugadores!B1337</f>
        <v>Oliver Provstgaard</v>
      </c>
      <c r="C1337" s="5" t="str">
        <f aca="false">IFERROR(
   _xlfn.XLOOKUP(VALUE(A1337),[1]Fichajes_Realizados!A$2:A$50000,[1]Fichajes_Realizados!D$2:D$50000,,0,-1),
   _xlfn.XLOOKUP(VALUE(A1337),[1]Base_Jugadores!A$2:A$50000,[1]Base_Jugadores!C$2:C$50000)
)</f>
        <v>SS Lazio</v>
      </c>
      <c r="D1337" s="5" t="str">
        <f aca="false">[1]Base_Jugadores!D1337</f>
        <v>Dinamarca</v>
      </c>
      <c r="E1337" s="3"/>
      <c r="F1337" s="5" t="str">
        <f aca="false">[1]Base_Jugadores!E1337</f>
        <v>CT</v>
      </c>
      <c r="G1337" s="5" t="n">
        <f aca="false">[1]Base_Jugadores!F1337</f>
        <v>68</v>
      </c>
      <c r="H1337" s="5" t="n">
        <f aca="false">[1]Base_Jugadores!G1337</f>
        <v>22</v>
      </c>
      <c r="I1337" s="7" t="n">
        <f aca="false" t="array" ref="I1337:I1337">_xlfn.XLOOKUP(G1337,{55;56;57;58;59;60;61;62;63;64;65;66;67;68;69;70;71;72;73;74;75;76;77;78;79;80;81;82;83;84;85;86;87;88;89;90;91;92;93;94;95;96;97;98;99},{100000;130000;160000;190000;220000;250000;300000;350000;400000;450000;500000;600000;700000;800000;900000;1000000;1500000;2000000;3000000;4000000;5000000;6500000;8000000;10000000;12500000;15000000;20000000;25000000;30000000;35000000;40000000;55000000;70000000;80000000;90000000;110000000;130000000;160000000;190000000;220000000;250000000;280000000;310000000;340000000;400000000})</f>
        <v>800000</v>
      </c>
      <c r="J1337" s="7" t="n">
        <f aca="false">I1337*S1337*T1337*U1337</f>
        <v>885600</v>
      </c>
      <c r="K1337" s="3"/>
      <c r="L1337" s="3"/>
      <c r="M1337" s="3"/>
      <c r="N1337" s="9" t="n">
        <v>0</v>
      </c>
      <c r="O1337" s="4" t="n">
        <v>0</v>
      </c>
      <c r="P1337" s="5" t="n">
        <f aca="false">IF(COUNTIF([1]Base_Jugadores!J$2:J$500,B1337)&gt;0,1,0)</f>
        <v>0</v>
      </c>
      <c r="Q1337" s="10" t="b">
        <f aca="false">--(COUNTIFS(
   [1]Fichajes_Realizados!A$2:A$5000,A1337,
   [1]Fichajes_Realizados!G$2:G$5000,$X$3
)&gt;0)</f>
        <v>0</v>
      </c>
      <c r="R1337" s="5" t="n">
        <f aca="false">_xlfn.XLOOKUP(C1337, [1]Estado_Equipos!A$2:A$500, [1]Estado_Equipos!J$2:J$500, "")</f>
        <v>76</v>
      </c>
      <c r="S1337" s="5" t="n">
        <f aca="false">IF(H1337&lt;=16,1.45,
IF(H1337&gt;=41,0.3,
CHOOSE(ROUNDDOWN((H1337-16)/2,0)+1,
1.45,1.38,1.3,1.23,1.17,1.15,1.12,1.05,0.95,0.8,0.6,0.4,0.3)))</f>
        <v>1.23</v>
      </c>
      <c r="T1337" s="5" t="n">
        <f aca="false">CHOOSE(N1337+1,1.2,1,0.85,0.7)</f>
        <v>1.2</v>
      </c>
      <c r="U1337" s="5" t="n">
        <f aca="false">IF(F1337="PO",0.6,
IF(F1337="CT",0.75,
IF(F1337="LI",0.8,
IF(F1337="LD",0.8,
IF(F1337="MCD",0.85,
IF(F1337="MC",0.95,
IF(F1337="MO",1.05,
IF(F1337="EI",1.1,
IF(F1337="ED",1.1,
IF(F1337="SD",1.15,
IF(F1337="DC",1.2,0)))))))))))</f>
        <v>0.75</v>
      </c>
    </row>
    <row r="1338" customFormat="false" ht="16.4" hidden="false" customHeight="false" outlineLevel="0" collapsed="false">
      <c r="A1338" s="1" t="n">
        <v>1337</v>
      </c>
      <c r="B1338" s="5" t="str">
        <f aca="false">[1]Base_Jugadores!B1338</f>
        <v>Patric Gabarrón</v>
      </c>
      <c r="C1338" s="5" t="str">
        <f aca="false">IFERROR(
   _xlfn.XLOOKUP(VALUE(A1338),[1]Fichajes_Realizados!A$2:A$50000,[1]Fichajes_Realizados!D$2:D$50000,,0,-1),
   _xlfn.XLOOKUP(VALUE(A1338),[1]Base_Jugadores!A$2:A$50000,[1]Base_Jugadores!C$2:C$50000)
)</f>
        <v>SS Lazio</v>
      </c>
      <c r="D1338" s="5" t="str">
        <f aca="false">[1]Base_Jugadores!D1338</f>
        <v>España</v>
      </c>
      <c r="E1338" s="3"/>
      <c r="F1338" s="5" t="str">
        <f aca="false">[1]Base_Jugadores!E1338</f>
        <v>CT</v>
      </c>
      <c r="G1338" s="5" t="n">
        <f aca="false">[1]Base_Jugadores!F1338</f>
        <v>77</v>
      </c>
      <c r="H1338" s="5" t="n">
        <f aca="false">[1]Base_Jugadores!G1338</f>
        <v>32</v>
      </c>
      <c r="I1338" s="7" t="n">
        <f aca="false" t="array" ref="I1338:I1338">_xlfn.XLOOKUP(G1338,{55;56;57;58;59;60;61;62;63;64;65;66;67;68;69;70;71;72;73;74;75;76;77;78;79;80;81;82;83;84;85;86;87;88;89;90;91;92;93;94;95;96;97;98;99},{100000;130000;160000;190000;220000;250000;300000;350000;400000;450000;500000;600000;700000;800000;900000;1000000;1500000;2000000;3000000;4000000;5000000;6500000;8000000;10000000;12500000;15000000;20000000;25000000;30000000;35000000;40000000;55000000;70000000;80000000;90000000;110000000;130000000;160000000;190000000;220000000;250000000;280000000;310000000;340000000;400000000})</f>
        <v>8000000</v>
      </c>
      <c r="J1338" s="7" t="n">
        <f aca="false">I1338*S1338*T1338*U1338</f>
        <v>6840000</v>
      </c>
      <c r="K1338" s="3"/>
      <c r="L1338" s="3"/>
      <c r="M1338" s="3"/>
      <c r="N1338" s="9" t="n">
        <v>0</v>
      </c>
      <c r="O1338" s="4" t="n">
        <v>0</v>
      </c>
      <c r="P1338" s="5" t="n">
        <f aca="false">IF(COUNTIF([1]Base_Jugadores!J$2:J$500,B1338)&gt;0,1,0)</f>
        <v>0</v>
      </c>
      <c r="Q1338" s="10" t="b">
        <f aca="false">--(COUNTIFS(
   [1]Fichajes_Realizados!A$2:A$5000,A1338,
   [1]Fichajes_Realizados!G$2:G$5000,$X$3
)&gt;0)</f>
        <v>0</v>
      </c>
      <c r="R1338" s="5" t="n">
        <f aca="false">_xlfn.XLOOKUP(C1338, [1]Estado_Equipos!A$2:A$500, [1]Estado_Equipos!J$2:J$500, "")</f>
        <v>76</v>
      </c>
      <c r="S1338" s="5" t="n">
        <f aca="false">IF(H1338&lt;=16,1.45,
IF(H1338&gt;=41,0.3,
CHOOSE(ROUNDDOWN((H1338-16)/2,0)+1,
1.45,1.38,1.3,1.23,1.17,1.15,1.12,1.05,0.95,0.8,0.6,0.4,0.3)))</f>
        <v>0.95</v>
      </c>
      <c r="T1338" s="5" t="n">
        <f aca="false">CHOOSE(N1338+1,1.2,1,0.85,0.7)</f>
        <v>1.2</v>
      </c>
      <c r="U1338" s="5" t="n">
        <f aca="false">IF(F1338="PO",0.6,
IF(F1338="CT",0.75,
IF(F1338="LI",0.8,
IF(F1338="LD",0.8,
IF(F1338="MCD",0.85,
IF(F1338="MC",0.95,
IF(F1338="MO",1.05,
IF(F1338="EI",1.1,
IF(F1338="ED",1.1,
IF(F1338="SD",1.15,
IF(F1338="DC",1.2,0)))))))))))</f>
        <v>0.75</v>
      </c>
    </row>
    <row r="1339" customFormat="false" ht="16.4" hidden="false" customHeight="false" outlineLevel="0" collapsed="false">
      <c r="A1339" s="1" t="n">
        <v>1338</v>
      </c>
      <c r="B1339" s="5" t="str">
        <f aca="false">[1]Base_Jugadores!B1339</f>
        <v>Samuel Gigot</v>
      </c>
      <c r="C1339" s="5" t="str">
        <f aca="false">IFERROR(
   _xlfn.XLOOKUP(VALUE(A1339),[1]Fichajes_Realizados!A$2:A$50000,[1]Fichajes_Realizados!D$2:D$50000,,0,-1),
   _xlfn.XLOOKUP(VALUE(A1339),[1]Base_Jugadores!A$2:A$50000,[1]Base_Jugadores!C$2:C$50000)
)</f>
        <v>SS Lazio</v>
      </c>
      <c r="D1339" s="5" t="str">
        <f aca="false">[1]Base_Jugadores!D1339</f>
        <v>Francia</v>
      </c>
      <c r="E1339" s="3"/>
      <c r="F1339" s="5" t="str">
        <f aca="false">[1]Base_Jugadores!E1339</f>
        <v>CT</v>
      </c>
      <c r="G1339" s="5" t="n">
        <f aca="false">[1]Base_Jugadores!F1339</f>
        <v>77</v>
      </c>
      <c r="H1339" s="5" t="n">
        <f aca="false">[1]Base_Jugadores!G1339</f>
        <v>32</v>
      </c>
      <c r="I1339" s="7" t="n">
        <f aca="false" t="array" ref="I1339:I1339">_xlfn.XLOOKUP(G1339,{55;56;57;58;59;60;61;62;63;64;65;66;67;68;69;70;71;72;73;74;75;76;77;78;79;80;81;82;83;84;85;86;87;88;89;90;91;92;93;94;95;96;97;98;99},{100000;130000;160000;190000;220000;250000;300000;350000;400000;450000;500000;600000;700000;800000;900000;1000000;1500000;2000000;3000000;4000000;5000000;6500000;8000000;10000000;12500000;15000000;20000000;25000000;30000000;35000000;40000000;55000000;70000000;80000000;90000000;110000000;130000000;160000000;190000000;220000000;250000000;280000000;310000000;340000000;400000000})</f>
        <v>8000000</v>
      </c>
      <c r="J1339" s="7" t="n">
        <f aca="false">I1339*S1339*T1339*U1339</f>
        <v>6840000</v>
      </c>
      <c r="K1339" s="3"/>
      <c r="L1339" s="3"/>
      <c r="M1339" s="3"/>
      <c r="N1339" s="9" t="n">
        <v>0</v>
      </c>
      <c r="O1339" s="4" t="n">
        <v>0</v>
      </c>
      <c r="P1339" s="5" t="n">
        <f aca="false">IF(COUNTIF([1]Base_Jugadores!J$2:J$500,B1339)&gt;0,1,0)</f>
        <v>0</v>
      </c>
      <c r="Q1339" s="10" t="b">
        <f aca="false">--(COUNTIFS(
   [1]Fichajes_Realizados!A$2:A$5000,A1339,
   [1]Fichajes_Realizados!G$2:G$5000,$X$3
)&gt;0)</f>
        <v>0</v>
      </c>
      <c r="R1339" s="5" t="n">
        <f aca="false">_xlfn.XLOOKUP(C1339, [1]Estado_Equipos!A$2:A$500, [1]Estado_Equipos!J$2:J$500, "")</f>
        <v>76</v>
      </c>
      <c r="S1339" s="5" t="n">
        <f aca="false">IF(H1339&lt;=16,1.45,
IF(H1339&gt;=41,0.3,
CHOOSE(ROUNDDOWN((H1339-16)/2,0)+1,
1.45,1.38,1.3,1.23,1.17,1.15,1.12,1.05,0.95,0.8,0.6,0.4,0.3)))</f>
        <v>0.95</v>
      </c>
      <c r="T1339" s="5" t="n">
        <f aca="false">CHOOSE(N1339+1,1.2,1,0.85,0.7)</f>
        <v>1.2</v>
      </c>
      <c r="U1339" s="5" t="n">
        <f aca="false">IF(F1339="PO",0.6,
IF(F1339="CT",0.75,
IF(F1339="LI",0.8,
IF(F1339="LD",0.8,
IF(F1339="MCD",0.85,
IF(F1339="MC",0.95,
IF(F1339="MO",1.05,
IF(F1339="EI",1.1,
IF(F1339="ED",1.1,
IF(F1339="SD",1.15,
IF(F1339="DC",1.2,0)))))))))))</f>
        <v>0.75</v>
      </c>
    </row>
    <row r="1340" customFormat="false" ht="16.4" hidden="false" customHeight="false" outlineLevel="0" collapsed="false">
      <c r="A1340" s="1" t="n">
        <v>1339</v>
      </c>
      <c r="B1340" s="5" t="str">
        <f aca="false">[1]Base_Jugadores!B1340</f>
        <v>Nuno Tavares</v>
      </c>
      <c r="C1340" s="5" t="str">
        <f aca="false">IFERROR(
   _xlfn.XLOOKUP(VALUE(A1340),[1]Fichajes_Realizados!A$2:A$50000,[1]Fichajes_Realizados!D$2:D$50000,,0,-1),
   _xlfn.XLOOKUP(VALUE(A1340),[1]Base_Jugadores!A$2:A$50000,[1]Base_Jugadores!C$2:C$50000)
)</f>
        <v>SS Lazio</v>
      </c>
      <c r="D1340" s="5" t="str">
        <f aca="false">[1]Base_Jugadores!D1340</f>
        <v>Portugal</v>
      </c>
      <c r="E1340" s="3"/>
      <c r="F1340" s="5" t="str">
        <f aca="false">[1]Base_Jugadores!E1340</f>
        <v>LI</v>
      </c>
      <c r="G1340" s="5" t="n">
        <f aca="false">[1]Base_Jugadores!F1340</f>
        <v>76</v>
      </c>
      <c r="H1340" s="5" t="n">
        <f aca="false">[1]Base_Jugadores!G1340</f>
        <v>25</v>
      </c>
      <c r="I1340" s="7" t="n">
        <f aca="false" t="array" ref="I1340:I1340">_xlfn.XLOOKUP(G1340,{55;56;57;58;59;60;61;62;63;64;65;66;67;68;69;70;71;72;73;74;75;76;77;78;79;80;81;82;83;84;85;86;87;88;89;90;91;92;93;94;95;96;97;98;99},{100000;130000;160000;190000;220000;250000;300000;350000;400000;450000;500000;600000;700000;800000;900000;1000000;1500000;2000000;3000000;4000000;5000000;6500000;8000000;10000000;12500000;15000000;20000000;25000000;30000000;35000000;40000000;55000000;70000000;80000000;90000000;110000000;130000000;160000000;190000000;220000000;250000000;280000000;310000000;340000000;400000000})</f>
        <v>6500000</v>
      </c>
      <c r="J1340" s="7" t="n">
        <f aca="false">I1340*S1340*T1340*U1340</f>
        <v>7300800</v>
      </c>
      <c r="K1340" s="3"/>
      <c r="L1340" s="3"/>
      <c r="M1340" s="3"/>
      <c r="N1340" s="9" t="n">
        <v>0</v>
      </c>
      <c r="O1340" s="4" t="n">
        <v>0</v>
      </c>
      <c r="P1340" s="5" t="n">
        <f aca="false">IF(COUNTIF([1]Base_Jugadores!J$2:J$500,B1340)&gt;0,1,0)</f>
        <v>0</v>
      </c>
      <c r="Q1340" s="10" t="b">
        <f aca="false">--(COUNTIFS(
   [1]Fichajes_Realizados!A$2:A$5000,A1340,
   [1]Fichajes_Realizados!G$2:G$5000,$X$3
)&gt;0)</f>
        <v>0</v>
      </c>
      <c r="R1340" s="5" t="n">
        <f aca="false">_xlfn.XLOOKUP(C1340, [1]Estado_Equipos!A$2:A$500, [1]Estado_Equipos!J$2:J$500, "")</f>
        <v>76</v>
      </c>
      <c r="S1340" s="5" t="n">
        <f aca="false">IF(H1340&lt;=16,1.45,
IF(H1340&gt;=41,0.3,
CHOOSE(ROUNDDOWN((H1340-16)/2,0)+1,
1.45,1.38,1.3,1.23,1.17,1.15,1.12,1.05,0.95,0.8,0.6,0.4,0.3)))</f>
        <v>1.17</v>
      </c>
      <c r="T1340" s="5" t="n">
        <f aca="false">CHOOSE(N1340+1,1.2,1,0.85,0.7)</f>
        <v>1.2</v>
      </c>
      <c r="U1340" s="5" t="n">
        <f aca="false">IF(F1340="PO",0.6,
IF(F1340="CT",0.75,
IF(F1340="LI",0.8,
IF(F1340="LD",0.8,
IF(F1340="MCD",0.85,
IF(F1340="MC",0.95,
IF(F1340="MO",1.05,
IF(F1340="EI",1.1,
IF(F1340="ED",1.1,
IF(F1340="SD",1.15,
IF(F1340="DC",1.2,0)))))))))))</f>
        <v>0.8</v>
      </c>
    </row>
    <row r="1341" customFormat="false" ht="16.4" hidden="false" customHeight="false" outlineLevel="0" collapsed="false">
      <c r="A1341" s="1" t="n">
        <v>1340</v>
      </c>
      <c r="B1341" s="5" t="str">
        <f aca="false">[1]Base_Jugadores!B1341</f>
        <v>Luca Pellegrini</v>
      </c>
      <c r="C1341" s="5" t="str">
        <f aca="false">IFERROR(
   _xlfn.XLOOKUP(VALUE(A1341),[1]Fichajes_Realizados!A$2:A$50000,[1]Fichajes_Realizados!D$2:D$50000,,0,-1),
   _xlfn.XLOOKUP(VALUE(A1341),[1]Base_Jugadores!A$2:A$50000,[1]Base_Jugadores!C$2:C$50000)
)</f>
        <v>SS Lazio</v>
      </c>
      <c r="D1341" s="5" t="str">
        <f aca="false">[1]Base_Jugadores!D1341</f>
        <v>Italia</v>
      </c>
      <c r="E1341" s="3"/>
      <c r="F1341" s="5" t="str">
        <f aca="false">[1]Base_Jugadores!E1341</f>
        <v>LI</v>
      </c>
      <c r="G1341" s="5" t="n">
        <f aca="false">[1]Base_Jugadores!F1341</f>
        <v>75</v>
      </c>
      <c r="H1341" s="5" t="n">
        <f aca="false">[1]Base_Jugadores!G1341</f>
        <v>26</v>
      </c>
      <c r="I1341" s="7" t="n">
        <f aca="false" t="array" ref="I1341:I1341">_xlfn.XLOOKUP(G1341,{55;56;57;58;59;60;61;62;63;64;65;66;67;68;69;70;71;72;73;74;75;76;77;78;79;80;81;82;83;84;85;86;87;88;89;90;91;92;93;94;95;96;97;98;99},{100000;130000;160000;190000;220000;250000;300000;350000;400000;450000;500000;600000;700000;800000;900000;1000000;1500000;2000000;3000000;4000000;5000000;6500000;8000000;10000000;12500000;15000000;20000000;25000000;30000000;35000000;40000000;55000000;70000000;80000000;90000000;110000000;130000000;160000000;190000000;220000000;250000000;280000000;310000000;340000000;400000000})</f>
        <v>5000000</v>
      </c>
      <c r="J1341" s="7" t="n">
        <f aca="false">I1341*S1341*T1341*U1341</f>
        <v>5520000</v>
      </c>
      <c r="K1341" s="3"/>
      <c r="L1341" s="3"/>
      <c r="M1341" s="3"/>
      <c r="N1341" s="9" t="n">
        <v>0</v>
      </c>
      <c r="O1341" s="4" t="n">
        <v>0</v>
      </c>
      <c r="P1341" s="5" t="n">
        <f aca="false">IF(COUNTIF([1]Base_Jugadores!J$2:J$500,B1341)&gt;0,1,0)</f>
        <v>0</v>
      </c>
      <c r="Q1341" s="10" t="b">
        <f aca="false">--(COUNTIFS(
   [1]Fichajes_Realizados!A$2:A$5000,A1341,
   [1]Fichajes_Realizados!G$2:G$5000,$X$3
)&gt;0)</f>
        <v>0</v>
      </c>
      <c r="R1341" s="5" t="n">
        <f aca="false">_xlfn.XLOOKUP(C1341, [1]Estado_Equipos!A$2:A$500, [1]Estado_Equipos!J$2:J$500, "")</f>
        <v>76</v>
      </c>
      <c r="S1341" s="5" t="n">
        <f aca="false">IF(H1341&lt;=16,1.45,
IF(H1341&gt;=41,0.3,
CHOOSE(ROUNDDOWN((H1341-16)/2,0)+1,
1.45,1.38,1.3,1.23,1.17,1.15,1.12,1.05,0.95,0.8,0.6,0.4,0.3)))</f>
        <v>1.15</v>
      </c>
      <c r="T1341" s="5" t="n">
        <f aca="false">CHOOSE(N1341+1,1.2,1,0.85,0.7)</f>
        <v>1.2</v>
      </c>
      <c r="U1341" s="5" t="n">
        <f aca="false">IF(F1341="PO",0.6,
IF(F1341="CT",0.75,
IF(F1341="LI",0.8,
IF(F1341="LD",0.8,
IF(F1341="MCD",0.85,
IF(F1341="MC",0.95,
IF(F1341="MO",1.05,
IF(F1341="EI",1.1,
IF(F1341="ED",1.1,
IF(F1341="SD",1.15,
IF(F1341="DC",1.2,0)))))))))))</f>
        <v>0.8</v>
      </c>
    </row>
    <row r="1342" customFormat="false" ht="16.4" hidden="false" customHeight="false" outlineLevel="0" collapsed="false">
      <c r="A1342" s="1" t="n">
        <v>1341</v>
      </c>
      <c r="B1342" s="5" t="str">
        <f aca="false">[1]Base_Jugadores!B1342</f>
        <v>Dimitrije Kamenovic</v>
      </c>
      <c r="C1342" s="5" t="str">
        <f aca="false">IFERROR(
   _xlfn.XLOOKUP(VALUE(A1342),[1]Fichajes_Realizados!A$2:A$50000,[1]Fichajes_Realizados!D$2:D$50000,,0,-1),
   _xlfn.XLOOKUP(VALUE(A1342),[1]Base_Jugadores!A$2:A$50000,[1]Base_Jugadores!C$2:C$50000)
)</f>
        <v>SS Lazio</v>
      </c>
      <c r="D1342" s="5" t="str">
        <f aca="false">[1]Base_Jugadores!D1342</f>
        <v>Serbia</v>
      </c>
      <c r="E1342" s="3"/>
      <c r="F1342" s="5" t="str">
        <f aca="false">[1]Base_Jugadores!E1342</f>
        <v>LI</v>
      </c>
      <c r="G1342" s="5" t="n">
        <f aca="false">[1]Base_Jugadores!F1342</f>
        <v>69</v>
      </c>
      <c r="H1342" s="5" t="n">
        <f aca="false">[1]Base_Jugadores!G1342</f>
        <v>25</v>
      </c>
      <c r="I1342" s="7" t="n">
        <f aca="false" t="array" ref="I1342:I1342">_xlfn.XLOOKUP(G1342,{55;56;57;58;59;60;61;62;63;64;65;66;67;68;69;70;71;72;73;74;75;76;77;78;79;80;81;82;83;84;85;86;87;88;89;90;91;92;93;94;95;96;97;98;99},{100000;130000;160000;190000;220000;250000;300000;350000;400000;450000;500000;600000;700000;800000;900000;1000000;1500000;2000000;3000000;4000000;5000000;6500000;8000000;10000000;12500000;15000000;20000000;25000000;30000000;35000000;40000000;55000000;70000000;80000000;90000000;110000000;130000000;160000000;190000000;220000000;250000000;280000000;310000000;340000000;400000000})</f>
        <v>900000</v>
      </c>
      <c r="J1342" s="7" t="n">
        <f aca="false">I1342*S1342*T1342*U1342</f>
        <v>1010880</v>
      </c>
      <c r="K1342" s="3"/>
      <c r="L1342" s="3"/>
      <c r="M1342" s="3"/>
      <c r="N1342" s="9" t="n">
        <v>0</v>
      </c>
      <c r="O1342" s="4" t="n">
        <v>0</v>
      </c>
      <c r="P1342" s="5" t="n">
        <f aca="false">IF(COUNTIF([1]Base_Jugadores!J$2:J$500,B1342)&gt;0,1,0)</f>
        <v>0</v>
      </c>
      <c r="Q1342" s="10" t="b">
        <f aca="false">--(COUNTIFS(
   [1]Fichajes_Realizados!A$2:A$5000,A1342,
   [1]Fichajes_Realizados!G$2:G$5000,$X$3
)&gt;0)</f>
        <v>0</v>
      </c>
      <c r="R1342" s="5" t="n">
        <f aca="false">_xlfn.XLOOKUP(C1342, [1]Estado_Equipos!A$2:A$500, [1]Estado_Equipos!J$2:J$500, "")</f>
        <v>76</v>
      </c>
      <c r="S1342" s="5" t="n">
        <f aca="false">IF(H1342&lt;=16,1.45,
IF(H1342&gt;=41,0.3,
CHOOSE(ROUNDDOWN((H1342-16)/2,0)+1,
1.45,1.38,1.3,1.23,1.17,1.15,1.12,1.05,0.95,0.8,0.6,0.4,0.3)))</f>
        <v>1.17</v>
      </c>
      <c r="T1342" s="5" t="n">
        <f aca="false">CHOOSE(N1342+1,1.2,1,0.85,0.7)</f>
        <v>1.2</v>
      </c>
      <c r="U1342" s="5" t="n">
        <f aca="false">IF(F1342="PO",0.6,
IF(F1342="CT",0.75,
IF(F1342="LI",0.8,
IF(F1342="LD",0.8,
IF(F1342="MCD",0.85,
IF(F1342="MC",0.95,
IF(F1342="MO",1.05,
IF(F1342="EI",1.1,
IF(F1342="ED",1.1,
IF(F1342="SD",1.15,
IF(F1342="DC",1.2,0)))))))))))</f>
        <v>0.8</v>
      </c>
    </row>
    <row r="1343" customFormat="false" ht="16.4" hidden="false" customHeight="false" outlineLevel="0" collapsed="false">
      <c r="A1343" s="1" t="n">
        <v>1342</v>
      </c>
      <c r="B1343" s="5" t="str">
        <f aca="false">[1]Base_Jugadores!B1343</f>
        <v>Manuel Lazzari</v>
      </c>
      <c r="C1343" s="5" t="str">
        <f aca="false">IFERROR(
   _xlfn.XLOOKUP(VALUE(A1343),[1]Fichajes_Realizados!A$2:A$50000,[1]Fichajes_Realizados!D$2:D$50000,,0,-1),
   _xlfn.XLOOKUP(VALUE(A1343),[1]Base_Jugadores!A$2:A$50000,[1]Base_Jugadores!C$2:C$50000)
)</f>
        <v>SS Lazio</v>
      </c>
      <c r="D1343" s="5" t="str">
        <f aca="false">[1]Base_Jugadores!D1343</f>
        <v>Italia</v>
      </c>
      <c r="E1343" s="3"/>
      <c r="F1343" s="5" t="str">
        <f aca="false">[1]Base_Jugadores!E1343</f>
        <v>LD</v>
      </c>
      <c r="G1343" s="5" t="n">
        <f aca="false">[1]Base_Jugadores!F1343</f>
        <v>79</v>
      </c>
      <c r="H1343" s="5" t="n">
        <f aca="false">[1]Base_Jugadores!G1343</f>
        <v>32</v>
      </c>
      <c r="I1343" s="7" t="n">
        <f aca="false" t="array" ref="I1343:I1343">_xlfn.XLOOKUP(G1343,{55;56;57;58;59;60;61;62;63;64;65;66;67;68;69;70;71;72;73;74;75;76;77;78;79;80;81;82;83;84;85;86;87;88;89;90;91;92;93;94;95;96;97;98;99},{100000;130000;160000;190000;220000;250000;300000;350000;400000;450000;500000;600000;700000;800000;900000;1000000;1500000;2000000;3000000;4000000;5000000;6500000;8000000;10000000;12500000;15000000;20000000;25000000;30000000;35000000;40000000;55000000;70000000;80000000;90000000;110000000;130000000;160000000;190000000;220000000;250000000;280000000;310000000;340000000;400000000})</f>
        <v>12500000</v>
      </c>
      <c r="J1343" s="7" t="n">
        <f aca="false">I1343*S1343*T1343*U1343</f>
        <v>11400000</v>
      </c>
      <c r="K1343" s="3"/>
      <c r="L1343" s="3"/>
      <c r="M1343" s="3"/>
      <c r="N1343" s="9" t="n">
        <v>0</v>
      </c>
      <c r="O1343" s="4" t="n">
        <v>0</v>
      </c>
      <c r="P1343" s="5" t="n">
        <f aca="false">IF(COUNTIF([1]Base_Jugadores!J$2:J$500,B1343)&gt;0,1,0)</f>
        <v>0</v>
      </c>
      <c r="Q1343" s="10" t="b">
        <f aca="false">--(COUNTIFS(
   [1]Fichajes_Realizados!A$2:A$5000,A1343,
   [1]Fichajes_Realizados!G$2:G$5000,$X$3
)&gt;0)</f>
        <v>0</v>
      </c>
      <c r="R1343" s="5" t="n">
        <f aca="false">_xlfn.XLOOKUP(C1343, [1]Estado_Equipos!A$2:A$500, [1]Estado_Equipos!J$2:J$500, "")</f>
        <v>76</v>
      </c>
      <c r="S1343" s="5" t="n">
        <f aca="false">IF(H1343&lt;=16,1.45,
IF(H1343&gt;=41,0.3,
CHOOSE(ROUNDDOWN((H1343-16)/2,0)+1,
1.45,1.38,1.3,1.23,1.17,1.15,1.12,1.05,0.95,0.8,0.6,0.4,0.3)))</f>
        <v>0.95</v>
      </c>
      <c r="T1343" s="5" t="n">
        <f aca="false">CHOOSE(N1343+1,1.2,1,0.85,0.7)</f>
        <v>1.2</v>
      </c>
      <c r="U1343" s="5" t="n">
        <f aca="false">IF(F1343="PO",0.6,
IF(F1343="CT",0.75,
IF(F1343="LI",0.8,
IF(F1343="LD",0.8,
IF(F1343="MCD",0.85,
IF(F1343="MC",0.95,
IF(F1343="MO",1.05,
IF(F1343="EI",1.1,
IF(F1343="ED",1.1,
IF(F1343="SD",1.15,
IF(F1343="DC",1.2,0)))))))))))</f>
        <v>0.8</v>
      </c>
    </row>
    <row r="1344" customFormat="false" ht="16.4" hidden="false" customHeight="false" outlineLevel="0" collapsed="false">
      <c r="A1344" s="1" t="n">
        <v>1343</v>
      </c>
      <c r="B1344" s="5" t="str">
        <f aca="false">[1]Base_Jugadores!B1344</f>
        <v>Adam Marusic</v>
      </c>
      <c r="C1344" s="5" t="str">
        <f aca="false">IFERROR(
   _xlfn.XLOOKUP(VALUE(A1344),[1]Fichajes_Realizados!A$2:A$50000,[1]Fichajes_Realizados!D$2:D$50000,,0,-1),
   _xlfn.XLOOKUP(VALUE(A1344),[1]Base_Jugadores!A$2:A$50000,[1]Base_Jugadores!C$2:C$50000)
)</f>
        <v>SS Lazio</v>
      </c>
      <c r="D1344" s="5" t="str">
        <f aca="false">[1]Base_Jugadores!D1344</f>
        <v>Montenegro</v>
      </c>
      <c r="E1344" s="3"/>
      <c r="F1344" s="5" t="str">
        <f aca="false">[1]Base_Jugadores!E1344</f>
        <v>LD</v>
      </c>
      <c r="G1344" s="5" t="n">
        <f aca="false">[1]Base_Jugadores!F1344</f>
        <v>79</v>
      </c>
      <c r="H1344" s="5" t="n">
        <f aca="false">[1]Base_Jugadores!G1344</f>
        <v>33</v>
      </c>
      <c r="I1344" s="7" t="n">
        <f aca="false" t="array" ref="I1344:I1344">_xlfn.XLOOKUP(G1344,{55;56;57;58;59;60;61;62;63;64;65;66;67;68;69;70;71;72;73;74;75;76;77;78;79;80;81;82;83;84;85;86;87;88;89;90;91;92;93;94;95;96;97;98;99},{100000;130000;160000;190000;220000;250000;300000;350000;400000;450000;500000;600000;700000;800000;900000;1000000;1500000;2000000;3000000;4000000;5000000;6500000;8000000;10000000;12500000;15000000;20000000;25000000;30000000;35000000;40000000;55000000;70000000;80000000;90000000;110000000;130000000;160000000;190000000;220000000;250000000;280000000;310000000;340000000;400000000})</f>
        <v>12500000</v>
      </c>
      <c r="J1344" s="7" t="n">
        <f aca="false">I1344*S1344*T1344*U1344</f>
        <v>11400000</v>
      </c>
      <c r="K1344" s="3"/>
      <c r="L1344" s="3"/>
      <c r="M1344" s="3"/>
      <c r="N1344" s="9" t="n">
        <v>0</v>
      </c>
      <c r="O1344" s="4" t="n">
        <v>0</v>
      </c>
      <c r="P1344" s="5" t="n">
        <f aca="false">IF(COUNTIF([1]Base_Jugadores!J$2:J$500,B1344)&gt;0,1,0)</f>
        <v>0</v>
      </c>
      <c r="Q1344" s="10" t="b">
        <f aca="false">--(COUNTIFS(
   [1]Fichajes_Realizados!A$2:A$5000,A1344,
   [1]Fichajes_Realizados!G$2:G$5000,$X$3
)&gt;0)</f>
        <v>0</v>
      </c>
      <c r="R1344" s="5" t="n">
        <f aca="false">_xlfn.XLOOKUP(C1344, [1]Estado_Equipos!A$2:A$500, [1]Estado_Equipos!J$2:J$500, "")</f>
        <v>76</v>
      </c>
      <c r="S1344" s="5" t="n">
        <f aca="false">IF(H1344&lt;=16,1.45,
IF(H1344&gt;=41,0.3,
CHOOSE(ROUNDDOWN((H1344-16)/2,0)+1,
1.45,1.38,1.3,1.23,1.17,1.15,1.12,1.05,0.95,0.8,0.6,0.4,0.3)))</f>
        <v>0.95</v>
      </c>
      <c r="T1344" s="5" t="n">
        <f aca="false">CHOOSE(N1344+1,1.2,1,0.85,0.7)</f>
        <v>1.2</v>
      </c>
      <c r="U1344" s="5" t="n">
        <f aca="false">IF(F1344="PO",0.6,
IF(F1344="CT",0.75,
IF(F1344="LI",0.8,
IF(F1344="LD",0.8,
IF(F1344="MCD",0.85,
IF(F1344="MC",0.95,
IF(F1344="MO",1.05,
IF(F1344="EI",1.1,
IF(F1344="ED",1.1,
IF(F1344="SD",1.15,
IF(F1344="DC",1.2,0)))))))))))</f>
        <v>0.8</v>
      </c>
    </row>
    <row r="1345" customFormat="false" ht="16.4" hidden="false" customHeight="false" outlineLevel="0" collapsed="false">
      <c r="A1345" s="1" t="n">
        <v>1344</v>
      </c>
      <c r="B1345" s="5" t="str">
        <f aca="false">[1]Base_Jugadores!B1345</f>
        <v>Elseid Hysaj</v>
      </c>
      <c r="C1345" s="5" t="str">
        <f aca="false">IFERROR(
   _xlfn.XLOOKUP(VALUE(A1345),[1]Fichajes_Realizados!A$2:A$50000,[1]Fichajes_Realizados!D$2:D$50000,,0,-1),
   _xlfn.XLOOKUP(VALUE(A1345),[1]Base_Jugadores!A$2:A$50000,[1]Base_Jugadores!C$2:C$50000)
)</f>
        <v>SS Lazio</v>
      </c>
      <c r="D1345" s="5" t="str">
        <f aca="false">[1]Base_Jugadores!D1345</f>
        <v>Albania</v>
      </c>
      <c r="E1345" s="3"/>
      <c r="F1345" s="5" t="str">
        <f aca="false">[1]Base_Jugadores!E1345</f>
        <v>LD</v>
      </c>
      <c r="G1345" s="5" t="n">
        <f aca="false">[1]Base_Jugadores!F1345</f>
        <v>74</v>
      </c>
      <c r="H1345" s="5" t="n">
        <f aca="false">[1]Base_Jugadores!G1345</f>
        <v>31</v>
      </c>
      <c r="I1345" s="7" t="n">
        <f aca="false" t="array" ref="I1345:I1345">_xlfn.XLOOKUP(G1345,{55;56;57;58;59;60;61;62;63;64;65;66;67;68;69;70;71;72;73;74;75;76;77;78;79;80;81;82;83;84;85;86;87;88;89;90;91;92;93;94;95;96;97;98;99},{100000;130000;160000;190000;220000;250000;300000;350000;400000;450000;500000;600000;700000;800000;900000;1000000;1500000;2000000;3000000;4000000;5000000;6500000;8000000;10000000;12500000;15000000;20000000;25000000;30000000;35000000;40000000;55000000;70000000;80000000;90000000;110000000;130000000;160000000;190000000;220000000;250000000;280000000;310000000;340000000;400000000})</f>
        <v>4000000</v>
      </c>
      <c r="J1345" s="7" t="n">
        <f aca="false">I1345*S1345*T1345*U1345</f>
        <v>4032000</v>
      </c>
      <c r="K1345" s="3"/>
      <c r="L1345" s="3"/>
      <c r="M1345" s="3"/>
      <c r="N1345" s="9" t="n">
        <v>0</v>
      </c>
      <c r="O1345" s="4" t="n">
        <v>0</v>
      </c>
      <c r="P1345" s="5" t="n">
        <f aca="false">IF(COUNTIF([1]Base_Jugadores!J$2:J$500,B1345)&gt;0,1,0)</f>
        <v>0</v>
      </c>
      <c r="Q1345" s="10" t="b">
        <f aca="false">--(COUNTIFS(
   [1]Fichajes_Realizados!A$2:A$5000,A1345,
   [1]Fichajes_Realizados!G$2:G$5000,$X$3
)&gt;0)</f>
        <v>0</v>
      </c>
      <c r="R1345" s="5" t="n">
        <f aca="false">_xlfn.XLOOKUP(C1345, [1]Estado_Equipos!A$2:A$500, [1]Estado_Equipos!J$2:J$500, "")</f>
        <v>76</v>
      </c>
      <c r="S1345" s="5" t="n">
        <f aca="false">IF(H1345&lt;=16,1.45,
IF(H1345&gt;=41,0.3,
CHOOSE(ROUNDDOWN((H1345-16)/2,0)+1,
1.45,1.38,1.3,1.23,1.17,1.15,1.12,1.05,0.95,0.8,0.6,0.4,0.3)))</f>
        <v>1.05</v>
      </c>
      <c r="T1345" s="5" t="n">
        <f aca="false">CHOOSE(N1345+1,1.2,1,0.85,0.7)</f>
        <v>1.2</v>
      </c>
      <c r="U1345" s="5" t="n">
        <f aca="false">IF(F1345="PO",0.6,
IF(F1345="CT",0.75,
IF(F1345="LI",0.8,
IF(F1345="LD",0.8,
IF(F1345="MCD",0.85,
IF(F1345="MC",0.95,
IF(F1345="MO",1.05,
IF(F1345="EI",1.1,
IF(F1345="ED",1.1,
IF(F1345="SD",1.15,
IF(F1345="DC",1.2,0)))))))))))</f>
        <v>0.8</v>
      </c>
    </row>
    <row r="1346" customFormat="false" ht="16.4" hidden="false" customHeight="false" outlineLevel="0" collapsed="false">
      <c r="A1346" s="1" t="n">
        <v>1345</v>
      </c>
      <c r="B1346" s="5" t="str">
        <f aca="false">[1]Base_Jugadores!B1346</f>
        <v>Nicolò Rovella</v>
      </c>
      <c r="C1346" s="5" t="str">
        <f aca="false">IFERROR(
   _xlfn.XLOOKUP(VALUE(A1346),[1]Fichajes_Realizados!A$2:A$50000,[1]Fichajes_Realizados!D$2:D$50000,,0,-1),
   _xlfn.XLOOKUP(VALUE(A1346),[1]Base_Jugadores!A$2:A$50000,[1]Base_Jugadores!C$2:C$50000)
)</f>
        <v>SS Lazio</v>
      </c>
      <c r="D1346" s="5" t="str">
        <f aca="false">[1]Base_Jugadores!D1346</f>
        <v>Italia</v>
      </c>
      <c r="E1346" s="3"/>
      <c r="F1346" s="5" t="str">
        <f aca="false">[1]Base_Jugadores!E1346</f>
        <v>MCD</v>
      </c>
      <c r="G1346" s="5" t="n">
        <f aca="false">[1]Base_Jugadores!F1346</f>
        <v>78</v>
      </c>
      <c r="H1346" s="5" t="n">
        <f aca="false">[1]Base_Jugadores!G1346</f>
        <v>24</v>
      </c>
      <c r="I1346" s="7" t="n">
        <f aca="false" t="array" ref="I1346:I1346">_xlfn.XLOOKUP(G1346,{55;56;57;58;59;60;61;62;63;64;65;66;67;68;69;70;71;72;73;74;75;76;77;78;79;80;81;82;83;84;85;86;87;88;89;90;91;92;93;94;95;96;97;98;99},{100000;130000;160000;190000;220000;250000;300000;350000;400000;450000;500000;600000;700000;800000;900000;1000000;1500000;2000000;3000000;4000000;5000000;6500000;8000000;10000000;12500000;15000000;20000000;25000000;30000000;35000000;40000000;55000000;70000000;80000000;90000000;110000000;130000000;160000000;190000000;220000000;250000000;280000000;310000000;340000000;400000000})</f>
        <v>10000000</v>
      </c>
      <c r="J1346" s="7" t="n">
        <f aca="false">I1346*S1346*T1346*U1346</f>
        <v>11934000</v>
      </c>
      <c r="K1346" s="3"/>
      <c r="L1346" s="3"/>
      <c r="M1346" s="3"/>
      <c r="N1346" s="9" t="n">
        <v>0</v>
      </c>
      <c r="O1346" s="4" t="n">
        <v>0</v>
      </c>
      <c r="P1346" s="5" t="n">
        <f aca="false">IF(COUNTIF([1]Base_Jugadores!J$2:J$500,B1346)&gt;0,1,0)</f>
        <v>0</v>
      </c>
      <c r="Q1346" s="10" t="b">
        <f aca="false">--(COUNTIFS(
   [1]Fichajes_Realizados!A$2:A$5000,A1346,
   [1]Fichajes_Realizados!G$2:G$5000,$X$3
)&gt;0)</f>
        <v>0</v>
      </c>
      <c r="R1346" s="5" t="n">
        <f aca="false">_xlfn.XLOOKUP(C1346, [1]Estado_Equipos!A$2:A$500, [1]Estado_Equipos!J$2:J$500, "")</f>
        <v>76</v>
      </c>
      <c r="S1346" s="5" t="n">
        <f aca="false">IF(H1346&lt;=16,1.45,
IF(H1346&gt;=41,0.3,
CHOOSE(ROUNDDOWN((H1346-16)/2,0)+1,
1.45,1.38,1.3,1.23,1.17,1.15,1.12,1.05,0.95,0.8,0.6,0.4,0.3)))</f>
        <v>1.17</v>
      </c>
      <c r="T1346" s="5" t="n">
        <f aca="false">CHOOSE(N1346+1,1.2,1,0.85,0.7)</f>
        <v>1.2</v>
      </c>
      <c r="U1346" s="5" t="n">
        <f aca="false">IF(F1346="PO",0.6,
IF(F1346="CT",0.75,
IF(F1346="LI",0.8,
IF(F1346="LD",0.8,
IF(F1346="MCD",0.85,
IF(F1346="MC",0.95,
IF(F1346="MO",1.05,
IF(F1346="EI",1.1,
IF(F1346="ED",1.1,
IF(F1346="SD",1.15,
IF(F1346="DC",1.2,0)))))))))))</f>
        <v>0.85</v>
      </c>
    </row>
    <row r="1347" customFormat="false" ht="16.4" hidden="false" customHeight="false" outlineLevel="0" collapsed="false">
      <c r="A1347" s="1" t="n">
        <v>1346</v>
      </c>
      <c r="B1347" s="5" t="str">
        <f aca="false">[1]Base_Jugadores!B1347</f>
        <v>Reda Belahyane</v>
      </c>
      <c r="C1347" s="5" t="str">
        <f aca="false">IFERROR(
   _xlfn.XLOOKUP(VALUE(A1347),[1]Fichajes_Realizados!A$2:A$50000,[1]Fichajes_Realizados!D$2:D$50000,,0,-1),
   _xlfn.XLOOKUP(VALUE(A1347),[1]Base_Jugadores!A$2:A$50000,[1]Base_Jugadores!C$2:C$50000)
)</f>
        <v>SS Lazio</v>
      </c>
      <c r="D1347" s="5" t="str">
        <f aca="false">[1]Base_Jugadores!D1347</f>
        <v>Marruecos</v>
      </c>
      <c r="E1347" s="3"/>
      <c r="F1347" s="5" t="str">
        <f aca="false">[1]Base_Jugadores!E1347</f>
        <v>MCD</v>
      </c>
      <c r="G1347" s="5" t="n">
        <f aca="false">[1]Base_Jugadores!F1347</f>
        <v>69</v>
      </c>
      <c r="H1347" s="5" t="n">
        <f aca="false">[1]Base_Jugadores!G1347</f>
        <v>21</v>
      </c>
      <c r="I1347" s="7" t="n">
        <f aca="false" t="array" ref="I1347:I1347">_xlfn.XLOOKUP(G1347,{55;56;57;58;59;60;61;62;63;64;65;66;67;68;69;70;71;72;73;74;75;76;77;78;79;80;81;82;83;84;85;86;87;88;89;90;91;92;93;94;95;96;97;98;99},{100000;130000;160000;190000;220000;250000;300000;350000;400000;450000;500000;600000;700000;800000;900000;1000000;1500000;2000000;3000000;4000000;5000000;6500000;8000000;10000000;12500000;15000000;20000000;25000000;30000000;35000000;40000000;55000000;70000000;80000000;90000000;110000000;130000000;160000000;190000000;220000000;250000000;280000000;310000000;340000000;400000000})</f>
        <v>900000</v>
      </c>
      <c r="J1347" s="7" t="n">
        <f aca="false">I1347*S1347*T1347*U1347</f>
        <v>1193400</v>
      </c>
      <c r="K1347" s="3"/>
      <c r="L1347" s="3"/>
      <c r="M1347" s="3"/>
      <c r="N1347" s="9" t="n">
        <v>0</v>
      </c>
      <c r="O1347" s="4" t="n">
        <v>0</v>
      </c>
      <c r="P1347" s="5" t="n">
        <f aca="false">IF(COUNTIF([1]Base_Jugadores!J$2:J$500,B1347)&gt;0,1,0)</f>
        <v>0</v>
      </c>
      <c r="Q1347" s="10" t="b">
        <f aca="false">--(COUNTIFS(
   [1]Fichajes_Realizados!A$2:A$5000,A1347,
   [1]Fichajes_Realizados!G$2:G$5000,$X$3
)&gt;0)</f>
        <v>0</v>
      </c>
      <c r="R1347" s="5" t="n">
        <f aca="false">_xlfn.XLOOKUP(C1347, [1]Estado_Equipos!A$2:A$500, [1]Estado_Equipos!J$2:J$500, "")</f>
        <v>76</v>
      </c>
      <c r="S1347" s="5" t="n">
        <f aca="false">IF(H1347&lt;=16,1.45,
IF(H1347&gt;=41,0.3,
CHOOSE(ROUNDDOWN((H1347-16)/2,0)+1,
1.45,1.38,1.3,1.23,1.17,1.15,1.12,1.05,0.95,0.8,0.6,0.4,0.3)))</f>
        <v>1.3</v>
      </c>
      <c r="T1347" s="5" t="n">
        <f aca="false">CHOOSE(N1347+1,1.2,1,0.85,0.7)</f>
        <v>1.2</v>
      </c>
      <c r="U1347" s="5" t="n">
        <f aca="false">IF(F1347="PO",0.6,
IF(F1347="CT",0.75,
IF(F1347="LI",0.8,
IF(F1347="LD",0.8,
IF(F1347="MCD",0.85,
IF(F1347="MC",0.95,
IF(F1347="MO",1.05,
IF(F1347="EI",1.1,
IF(F1347="ED",1.1,
IF(F1347="SD",1.15,
IF(F1347="DC",1.2,0)))))))))))</f>
        <v>0.85</v>
      </c>
    </row>
    <row r="1348" customFormat="false" ht="16.4" hidden="false" customHeight="false" outlineLevel="0" collapsed="false">
      <c r="A1348" s="1" t="n">
        <v>1347</v>
      </c>
      <c r="B1348" s="5" t="str">
        <f aca="false">[1]Base_Jugadores!B1348</f>
        <v>Danilo Cataldi</v>
      </c>
      <c r="C1348" s="5" t="str">
        <f aca="false">IFERROR(
   _xlfn.XLOOKUP(VALUE(A1348),[1]Fichajes_Realizados!A$2:A$50000,[1]Fichajes_Realizados!D$2:D$50000,,0,-1),
   _xlfn.XLOOKUP(VALUE(A1348),[1]Base_Jugadores!A$2:A$50000,[1]Base_Jugadores!C$2:C$50000)
)</f>
        <v>SS Lazio</v>
      </c>
      <c r="D1348" s="5" t="str">
        <f aca="false">[1]Base_Jugadores!D1348</f>
        <v>Italia</v>
      </c>
      <c r="E1348" s="3"/>
      <c r="F1348" s="5" t="str">
        <f aca="false">[1]Base_Jugadores!E1348</f>
        <v>MCD</v>
      </c>
      <c r="G1348" s="5" t="n">
        <f aca="false">[1]Base_Jugadores!F1348</f>
        <v>78</v>
      </c>
      <c r="H1348" s="5" t="n">
        <f aca="false">[1]Base_Jugadores!G1348</f>
        <v>31</v>
      </c>
      <c r="I1348" s="7" t="n">
        <f aca="false" t="array" ref="I1348:I1348">_xlfn.XLOOKUP(G1348,{55;56;57;58;59;60;61;62;63;64;65;66;67;68;69;70;71;72;73;74;75;76;77;78;79;80;81;82;83;84;85;86;87;88;89;90;91;92;93;94;95;96;97;98;99},{100000;130000;160000;190000;220000;250000;300000;350000;400000;450000;500000;600000;700000;800000;900000;1000000;1500000;2000000;3000000;4000000;5000000;6500000;8000000;10000000;12500000;15000000;20000000;25000000;30000000;35000000;40000000;55000000;70000000;80000000;90000000;110000000;130000000;160000000;190000000;220000000;250000000;280000000;310000000;340000000;400000000})</f>
        <v>10000000</v>
      </c>
      <c r="J1348" s="7" t="n">
        <f aca="false">I1348*S1348*T1348*U1348</f>
        <v>10710000</v>
      </c>
      <c r="K1348" s="3"/>
      <c r="L1348" s="3"/>
      <c r="M1348" s="3"/>
      <c r="N1348" s="9" t="n">
        <v>0</v>
      </c>
      <c r="O1348" s="4" t="n">
        <v>0</v>
      </c>
      <c r="P1348" s="5" t="n">
        <f aca="false">IF(COUNTIF([1]Base_Jugadores!J$2:J$500,B1348)&gt;0,1,0)</f>
        <v>0</v>
      </c>
      <c r="Q1348" s="10" t="b">
        <f aca="false">--(COUNTIFS(
   [1]Fichajes_Realizados!A$2:A$5000,A1348,
   [1]Fichajes_Realizados!G$2:G$5000,$X$3
)&gt;0)</f>
        <v>0</v>
      </c>
      <c r="R1348" s="5" t="n">
        <f aca="false">_xlfn.XLOOKUP(C1348, [1]Estado_Equipos!A$2:A$500, [1]Estado_Equipos!J$2:J$500, "")</f>
        <v>76</v>
      </c>
      <c r="S1348" s="5" t="n">
        <f aca="false">IF(H1348&lt;=16,1.45,
IF(H1348&gt;=41,0.3,
CHOOSE(ROUNDDOWN((H1348-16)/2,0)+1,
1.45,1.38,1.3,1.23,1.17,1.15,1.12,1.05,0.95,0.8,0.6,0.4,0.3)))</f>
        <v>1.05</v>
      </c>
      <c r="T1348" s="5" t="n">
        <f aca="false">CHOOSE(N1348+1,1.2,1,0.85,0.7)</f>
        <v>1.2</v>
      </c>
      <c r="U1348" s="5" t="n">
        <f aca="false">IF(F1348="PO",0.6,
IF(F1348="CT",0.75,
IF(F1348="LI",0.8,
IF(F1348="LD",0.8,
IF(F1348="MCD",0.85,
IF(F1348="MC",0.95,
IF(F1348="MO",1.05,
IF(F1348="EI",1.1,
IF(F1348="ED",1.1,
IF(F1348="SD",1.15,
IF(F1348="DC",1.2,0)))))))))))</f>
        <v>0.85</v>
      </c>
    </row>
    <row r="1349" customFormat="false" ht="16.4" hidden="false" customHeight="false" outlineLevel="0" collapsed="false">
      <c r="A1349" s="1" t="n">
        <v>1348</v>
      </c>
      <c r="B1349" s="5" t="str">
        <f aca="false">[1]Base_Jugadores!B1349</f>
        <v>Mattéo Guendouzi</v>
      </c>
      <c r="C1349" s="5" t="str">
        <f aca="false">IFERROR(
   _xlfn.XLOOKUP(VALUE(A1349),[1]Fichajes_Realizados!A$2:A$50000,[1]Fichajes_Realizados!D$2:D$50000,,0,-1),
   _xlfn.XLOOKUP(VALUE(A1349),[1]Base_Jugadores!A$2:A$50000,[1]Base_Jugadores!C$2:C$50000)
)</f>
        <v>SS Lazio</v>
      </c>
      <c r="D1349" s="5" t="str">
        <f aca="false">[1]Base_Jugadores!D1349</f>
        <v>Francia</v>
      </c>
      <c r="E1349" s="3"/>
      <c r="F1349" s="5" t="str">
        <f aca="false">[1]Base_Jugadores!E1349</f>
        <v>MC</v>
      </c>
      <c r="G1349" s="5" t="n">
        <f aca="false">[1]Base_Jugadores!F1349</f>
        <v>80</v>
      </c>
      <c r="H1349" s="5" t="n">
        <f aca="false">[1]Base_Jugadores!G1349</f>
        <v>26</v>
      </c>
      <c r="I1349" s="7" t="n">
        <f aca="false" t="array" ref="I1349:I1349">_xlfn.XLOOKUP(G1349,{55;56;57;58;59;60;61;62;63;64;65;66;67;68;69;70;71;72;73;74;75;76;77;78;79;80;81;82;83;84;85;86;87;88;89;90;91;92;93;94;95;96;97;98;99},{100000;130000;160000;190000;220000;250000;300000;350000;400000;450000;500000;600000;700000;800000;900000;1000000;1500000;2000000;3000000;4000000;5000000;6500000;8000000;10000000;12500000;15000000;20000000;25000000;30000000;35000000;40000000;55000000;70000000;80000000;90000000;110000000;130000000;160000000;190000000;220000000;250000000;280000000;310000000;340000000;400000000})</f>
        <v>15000000</v>
      </c>
      <c r="J1349" s="7" t="n">
        <f aca="false">I1349*S1349*T1349*U1349</f>
        <v>19665000</v>
      </c>
      <c r="K1349" s="3"/>
      <c r="L1349" s="3"/>
      <c r="M1349" s="3"/>
      <c r="N1349" s="9" t="n">
        <v>0</v>
      </c>
      <c r="O1349" s="4" t="n">
        <v>0</v>
      </c>
      <c r="P1349" s="5" t="n">
        <f aca="false">IF(COUNTIF([1]Base_Jugadores!J$2:J$500,B1349)&gt;0,1,0)</f>
        <v>0</v>
      </c>
      <c r="Q1349" s="10" t="b">
        <f aca="false">--(COUNTIFS(
   [1]Fichajes_Realizados!A$2:A$5000,A1349,
   [1]Fichajes_Realizados!G$2:G$5000,$X$3
)&gt;0)</f>
        <v>0</v>
      </c>
      <c r="R1349" s="5" t="n">
        <f aca="false">_xlfn.XLOOKUP(C1349, [1]Estado_Equipos!A$2:A$500, [1]Estado_Equipos!J$2:J$500, "")</f>
        <v>76</v>
      </c>
      <c r="S1349" s="5" t="n">
        <f aca="false">IF(H1349&lt;=16,1.45,
IF(H1349&gt;=41,0.3,
CHOOSE(ROUNDDOWN((H1349-16)/2,0)+1,
1.45,1.38,1.3,1.23,1.17,1.15,1.12,1.05,0.95,0.8,0.6,0.4,0.3)))</f>
        <v>1.15</v>
      </c>
      <c r="T1349" s="5" t="n">
        <f aca="false">CHOOSE(N1349+1,1.2,1,0.85,0.7)</f>
        <v>1.2</v>
      </c>
      <c r="U1349" s="5" t="n">
        <f aca="false">IF(F1349="PO",0.6,
IF(F1349="CT",0.75,
IF(F1349="LI",0.8,
IF(F1349="LD",0.8,
IF(F1349="MCD",0.85,
IF(F1349="MC",0.95,
IF(F1349="MO",1.05,
IF(F1349="EI",1.1,
IF(F1349="ED",1.1,
IF(F1349="SD",1.15,
IF(F1349="DC",1.2,0)))))))))))</f>
        <v>0.95</v>
      </c>
    </row>
    <row r="1350" customFormat="false" ht="16.4" hidden="false" customHeight="false" outlineLevel="0" collapsed="false">
      <c r="A1350" s="1" t="n">
        <v>1349</v>
      </c>
      <c r="B1350" s="5" t="str">
        <f aca="false">[1]Base_Jugadores!B1350</f>
        <v>Matías Vecino</v>
      </c>
      <c r="C1350" s="5" t="str">
        <f aca="false">IFERROR(
   _xlfn.XLOOKUP(VALUE(A1350),[1]Fichajes_Realizados!A$2:A$50000,[1]Fichajes_Realizados!D$2:D$50000,,0,-1),
   _xlfn.XLOOKUP(VALUE(A1350),[1]Base_Jugadores!A$2:A$50000,[1]Base_Jugadores!C$2:C$50000)
)</f>
        <v>SS Lazio</v>
      </c>
      <c r="D1350" s="5" t="str">
        <f aca="false">[1]Base_Jugadores!D1350</f>
        <v>Uruguay</v>
      </c>
      <c r="E1350" s="3"/>
      <c r="F1350" s="5" t="str">
        <f aca="false">[1]Base_Jugadores!E1350</f>
        <v>MC</v>
      </c>
      <c r="G1350" s="5" t="n">
        <f aca="false">[1]Base_Jugadores!F1350</f>
        <v>79</v>
      </c>
      <c r="H1350" s="5" t="n">
        <f aca="false">[1]Base_Jugadores!G1350</f>
        <v>34</v>
      </c>
      <c r="I1350" s="7" t="n">
        <f aca="false" t="array" ref="I1350:I1350">_xlfn.XLOOKUP(G1350,{55;56;57;58;59;60;61;62;63;64;65;66;67;68;69;70;71;72;73;74;75;76;77;78;79;80;81;82;83;84;85;86;87;88;89;90;91;92;93;94;95;96;97;98;99},{100000;130000;160000;190000;220000;250000;300000;350000;400000;450000;500000;600000;700000;800000;900000;1000000;1500000;2000000;3000000;4000000;5000000;6500000;8000000;10000000;12500000;15000000;20000000;25000000;30000000;35000000;40000000;55000000;70000000;80000000;90000000;110000000;130000000;160000000;190000000;220000000;250000000;280000000;310000000;340000000;400000000})</f>
        <v>12500000</v>
      </c>
      <c r="J1350" s="7" t="n">
        <f aca="false">I1350*S1350*T1350*U1350</f>
        <v>11400000</v>
      </c>
      <c r="K1350" s="3"/>
      <c r="L1350" s="3"/>
      <c r="M1350" s="3"/>
      <c r="N1350" s="9" t="n">
        <v>0</v>
      </c>
      <c r="O1350" s="4" t="n">
        <v>0</v>
      </c>
      <c r="P1350" s="5" t="n">
        <f aca="false">IF(COUNTIF([1]Base_Jugadores!J$2:J$500,B1350)&gt;0,1,0)</f>
        <v>0</v>
      </c>
      <c r="Q1350" s="10" t="b">
        <f aca="false">--(COUNTIFS(
   [1]Fichajes_Realizados!A$2:A$5000,A1350,
   [1]Fichajes_Realizados!G$2:G$5000,$X$3
)&gt;0)</f>
        <v>0</v>
      </c>
      <c r="R1350" s="5" t="n">
        <f aca="false">_xlfn.XLOOKUP(C1350, [1]Estado_Equipos!A$2:A$500, [1]Estado_Equipos!J$2:J$500, "")</f>
        <v>76</v>
      </c>
      <c r="S1350" s="5" t="n">
        <f aca="false">IF(H1350&lt;=16,1.45,
IF(H1350&gt;=41,0.3,
CHOOSE(ROUNDDOWN((H1350-16)/2,0)+1,
1.45,1.38,1.3,1.23,1.17,1.15,1.12,1.05,0.95,0.8,0.6,0.4,0.3)))</f>
        <v>0.8</v>
      </c>
      <c r="T1350" s="5" t="n">
        <f aca="false">CHOOSE(N1350+1,1.2,1,0.85,0.7)</f>
        <v>1.2</v>
      </c>
      <c r="U1350" s="5" t="n">
        <f aca="false">IF(F1350="PO",0.6,
IF(F1350="CT",0.75,
IF(F1350="LI",0.8,
IF(F1350="LD",0.8,
IF(F1350="MCD",0.85,
IF(F1350="MC",0.95,
IF(F1350="MO",1.05,
IF(F1350="EI",1.1,
IF(F1350="ED",1.1,
IF(F1350="SD",1.15,
IF(F1350="DC",1.2,0)))))))))))</f>
        <v>0.95</v>
      </c>
    </row>
    <row r="1351" customFormat="false" ht="16.4" hidden="false" customHeight="false" outlineLevel="0" collapsed="false">
      <c r="A1351" s="1" t="n">
        <v>1350</v>
      </c>
      <c r="B1351" s="5" t="str">
        <f aca="false">[1]Base_Jugadores!B1351</f>
        <v>Toma Bašić</v>
      </c>
      <c r="C1351" s="5" t="str">
        <f aca="false">IFERROR(
   _xlfn.XLOOKUP(VALUE(A1351),[1]Fichajes_Realizados!A$2:A$50000,[1]Fichajes_Realizados!D$2:D$50000,,0,-1),
   _xlfn.XLOOKUP(VALUE(A1351),[1]Base_Jugadores!A$2:A$50000,[1]Base_Jugadores!C$2:C$50000)
)</f>
        <v>SS Lazio</v>
      </c>
      <c r="D1351" s="5" t="str">
        <f aca="false">[1]Base_Jugadores!D1351</f>
        <v>Croacia</v>
      </c>
      <c r="E1351" s="3"/>
      <c r="F1351" s="5" t="str">
        <f aca="false">[1]Base_Jugadores!E1351</f>
        <v>MC</v>
      </c>
      <c r="G1351" s="5" t="n">
        <f aca="false">[1]Base_Jugadores!F1351</f>
        <v>72</v>
      </c>
      <c r="H1351" s="5" t="n">
        <f aca="false">[1]Base_Jugadores!G1351</f>
        <v>29</v>
      </c>
      <c r="I1351" s="7" t="n">
        <f aca="false" t="array" ref="I1351:I1351">_xlfn.XLOOKUP(G1351,{55;56;57;58;59;60;61;62;63;64;65;66;67;68;69;70;71;72;73;74;75;76;77;78;79;80;81;82;83;84;85;86;87;88;89;90;91;92;93;94;95;96;97;98;99},{100000;130000;160000;190000;220000;250000;300000;350000;400000;450000;500000;600000;700000;800000;900000;1000000;1500000;2000000;3000000;4000000;5000000;6500000;8000000;10000000;12500000;15000000;20000000;25000000;30000000;35000000;40000000;55000000;70000000;80000000;90000000;110000000;130000000;160000000;190000000;220000000;250000000;280000000;310000000;340000000;400000000})</f>
        <v>2000000</v>
      </c>
      <c r="J1351" s="7" t="n">
        <f aca="false">I1351*S1351*T1351*U1351</f>
        <v>2553600</v>
      </c>
      <c r="K1351" s="3"/>
      <c r="L1351" s="3"/>
      <c r="M1351" s="3"/>
      <c r="N1351" s="9" t="n">
        <v>0</v>
      </c>
      <c r="O1351" s="4" t="n">
        <v>0</v>
      </c>
      <c r="P1351" s="5" t="n">
        <f aca="false">IF(COUNTIF([1]Base_Jugadores!J$2:J$500,B1351)&gt;0,1,0)</f>
        <v>0</v>
      </c>
      <c r="Q1351" s="10" t="b">
        <f aca="false">--(COUNTIFS(
   [1]Fichajes_Realizados!A$2:A$5000,A1351,
   [1]Fichajes_Realizados!G$2:G$5000,$X$3
)&gt;0)</f>
        <v>0</v>
      </c>
      <c r="R1351" s="5" t="n">
        <f aca="false">_xlfn.XLOOKUP(C1351, [1]Estado_Equipos!A$2:A$500, [1]Estado_Equipos!J$2:J$500, "")</f>
        <v>76</v>
      </c>
      <c r="S1351" s="5" t="n">
        <f aca="false">IF(H1351&lt;=16,1.45,
IF(H1351&gt;=41,0.3,
CHOOSE(ROUNDDOWN((H1351-16)/2,0)+1,
1.45,1.38,1.3,1.23,1.17,1.15,1.12,1.05,0.95,0.8,0.6,0.4,0.3)))</f>
        <v>1.12</v>
      </c>
      <c r="T1351" s="5" t="n">
        <f aca="false">CHOOSE(N1351+1,1.2,1,0.85,0.7)</f>
        <v>1.2</v>
      </c>
      <c r="U1351" s="5" t="n">
        <f aca="false">IF(F1351="PO",0.6,
IF(F1351="CT",0.75,
IF(F1351="LI",0.8,
IF(F1351="LD",0.8,
IF(F1351="MCD",0.85,
IF(F1351="MC",0.95,
IF(F1351="MO",1.05,
IF(F1351="EI",1.1,
IF(F1351="ED",1.1,
IF(F1351="SD",1.15,
IF(F1351="DC",1.2,0)))))))))))</f>
        <v>0.95</v>
      </c>
    </row>
    <row r="1352" customFormat="false" ht="16.4" hidden="false" customHeight="false" outlineLevel="0" collapsed="false">
      <c r="A1352" s="1" t="n">
        <v>1351</v>
      </c>
      <c r="B1352" s="5" t="str">
        <f aca="false">[1]Base_Jugadores!B1352</f>
        <v>Fisayo Dele-Bashiru</v>
      </c>
      <c r="C1352" s="5" t="str">
        <f aca="false">IFERROR(
   _xlfn.XLOOKUP(VALUE(A1352),[1]Fichajes_Realizados!A$2:A$50000,[1]Fichajes_Realizados!D$2:D$50000,,0,-1),
   _xlfn.XLOOKUP(VALUE(A1352),[1]Base_Jugadores!A$2:A$50000,[1]Base_Jugadores!C$2:C$50000)
)</f>
        <v>SS Lazio</v>
      </c>
      <c r="D1352" s="5" t="str">
        <f aca="false">[1]Base_Jugadores!D1352</f>
        <v>Nigeria</v>
      </c>
      <c r="E1352" s="3"/>
      <c r="F1352" s="5" t="str">
        <f aca="false">[1]Base_Jugadores!E1352</f>
        <v>MO</v>
      </c>
      <c r="G1352" s="5" t="n">
        <f aca="false">[1]Base_Jugadores!F1352</f>
        <v>69</v>
      </c>
      <c r="H1352" s="5" t="n">
        <f aca="false">[1]Base_Jugadores!G1352</f>
        <v>24</v>
      </c>
      <c r="I1352" s="7" t="n">
        <f aca="false" t="array" ref="I1352:I1352">_xlfn.XLOOKUP(G1352,{55;56;57;58;59;60;61;62;63;64;65;66;67;68;69;70;71;72;73;74;75;76;77;78;79;80;81;82;83;84;85;86;87;88;89;90;91;92;93;94;95;96;97;98;99},{100000;130000;160000;190000;220000;250000;300000;350000;400000;450000;500000;600000;700000;800000;900000;1000000;1500000;2000000;3000000;4000000;5000000;6500000;8000000;10000000;12500000;15000000;20000000;25000000;30000000;35000000;40000000;55000000;70000000;80000000;90000000;110000000;130000000;160000000;190000000;220000000;250000000;280000000;310000000;340000000;400000000})</f>
        <v>900000</v>
      </c>
      <c r="J1352" s="7" t="n">
        <f aca="false">I1352*S1352*T1352*U1352</f>
        <v>1326780</v>
      </c>
      <c r="K1352" s="3"/>
      <c r="L1352" s="3"/>
      <c r="M1352" s="3"/>
      <c r="N1352" s="9" t="n">
        <v>0</v>
      </c>
      <c r="O1352" s="4" t="n">
        <v>0</v>
      </c>
      <c r="P1352" s="5" t="n">
        <f aca="false">IF(COUNTIF([1]Base_Jugadores!J$2:J$500,B1352)&gt;0,1,0)</f>
        <v>0</v>
      </c>
      <c r="Q1352" s="10" t="b">
        <f aca="false">--(COUNTIFS(
   [1]Fichajes_Realizados!A$2:A$5000,A1352,
   [1]Fichajes_Realizados!G$2:G$5000,$X$3
)&gt;0)</f>
        <v>0</v>
      </c>
      <c r="R1352" s="5" t="n">
        <f aca="false">_xlfn.XLOOKUP(C1352, [1]Estado_Equipos!A$2:A$500, [1]Estado_Equipos!J$2:J$500, "")</f>
        <v>76</v>
      </c>
      <c r="S1352" s="5" t="n">
        <f aca="false">IF(H1352&lt;=16,1.45,
IF(H1352&gt;=41,0.3,
CHOOSE(ROUNDDOWN((H1352-16)/2,0)+1,
1.45,1.38,1.3,1.23,1.17,1.15,1.12,1.05,0.95,0.8,0.6,0.4,0.3)))</f>
        <v>1.17</v>
      </c>
      <c r="T1352" s="5" t="n">
        <f aca="false">CHOOSE(N1352+1,1.2,1,0.85,0.7)</f>
        <v>1.2</v>
      </c>
      <c r="U1352" s="5" t="n">
        <f aca="false">IF(F1352="PO",0.6,
IF(F1352="CT",0.75,
IF(F1352="LI",0.8,
IF(F1352="LD",0.8,
IF(F1352="MCD",0.85,
IF(F1352="MC",0.95,
IF(F1352="MO",1.05,
IF(F1352="EI",1.1,
IF(F1352="ED",1.1,
IF(F1352="SD",1.15,
IF(F1352="DC",1.2,0)))))))))))</f>
        <v>1.05</v>
      </c>
    </row>
    <row r="1353" customFormat="false" ht="16.4" hidden="false" customHeight="false" outlineLevel="0" collapsed="false">
      <c r="A1353" s="1" t="n">
        <v>1352</v>
      </c>
      <c r="B1353" s="5" t="str">
        <f aca="false">[1]Base_Jugadores!B1353</f>
        <v>Mattia Zaccagni</v>
      </c>
      <c r="C1353" s="5" t="str">
        <f aca="false">IFERROR(
   _xlfn.XLOOKUP(VALUE(A1353),[1]Fichajes_Realizados!A$2:A$50000,[1]Fichajes_Realizados!D$2:D$50000,,0,-1),
   _xlfn.XLOOKUP(VALUE(A1353),[1]Base_Jugadores!A$2:A$50000,[1]Base_Jugadores!C$2:C$50000)
)</f>
        <v>SS Lazio</v>
      </c>
      <c r="D1353" s="5" t="str">
        <f aca="false">[1]Base_Jugadores!D1353</f>
        <v>Italia</v>
      </c>
      <c r="E1353" s="3"/>
      <c r="F1353" s="5" t="str">
        <f aca="false">[1]Base_Jugadores!E1353</f>
        <v>EI</v>
      </c>
      <c r="G1353" s="5" t="n">
        <f aca="false">[1]Base_Jugadores!F1353</f>
        <v>83</v>
      </c>
      <c r="H1353" s="5" t="n">
        <f aca="false">[1]Base_Jugadores!G1353</f>
        <v>30</v>
      </c>
      <c r="I1353" s="7" t="n">
        <f aca="false" t="array" ref="I1353:I1353">_xlfn.XLOOKUP(G1353,{55;56;57;58;59;60;61;62;63;64;65;66;67;68;69;70;71;72;73;74;75;76;77;78;79;80;81;82;83;84;85;86;87;88;89;90;91;92;93;94;95;96;97;98;99},{100000;130000;160000;190000;220000;250000;300000;350000;400000;450000;500000;600000;700000;800000;900000;1000000;1500000;2000000;3000000;4000000;5000000;6500000;8000000;10000000;12500000;15000000;20000000;25000000;30000000;35000000;40000000;55000000;70000000;80000000;90000000;110000000;130000000;160000000;190000000;220000000;250000000;280000000;310000000;340000000;400000000})</f>
        <v>30000000</v>
      </c>
      <c r="J1353" s="7" t="n">
        <f aca="false">I1353*S1353*T1353*U1353</f>
        <v>41580000</v>
      </c>
      <c r="K1353" s="3"/>
      <c r="L1353" s="3"/>
      <c r="M1353" s="3"/>
      <c r="N1353" s="9" t="n">
        <v>0</v>
      </c>
      <c r="O1353" s="4" t="n">
        <v>0</v>
      </c>
      <c r="P1353" s="5" t="n">
        <f aca="false">IF(COUNTIF([1]Base_Jugadores!J$2:J$500,B1353)&gt;0,1,0)</f>
        <v>0</v>
      </c>
      <c r="Q1353" s="10" t="b">
        <f aca="false">--(COUNTIFS(
   [1]Fichajes_Realizados!A$2:A$5000,A1353,
   [1]Fichajes_Realizados!G$2:G$5000,$X$3
)&gt;0)</f>
        <v>0</v>
      </c>
      <c r="R1353" s="5" t="n">
        <f aca="false">_xlfn.XLOOKUP(C1353, [1]Estado_Equipos!A$2:A$500, [1]Estado_Equipos!J$2:J$500, "")</f>
        <v>76</v>
      </c>
      <c r="S1353" s="5" t="n">
        <f aca="false">IF(H1353&lt;=16,1.45,
IF(H1353&gt;=41,0.3,
CHOOSE(ROUNDDOWN((H1353-16)/2,0)+1,
1.45,1.38,1.3,1.23,1.17,1.15,1.12,1.05,0.95,0.8,0.6,0.4,0.3)))</f>
        <v>1.05</v>
      </c>
      <c r="T1353" s="5" t="n">
        <f aca="false">CHOOSE(N1353+1,1.2,1,0.85,0.7)</f>
        <v>1.2</v>
      </c>
      <c r="U1353" s="5" t="n">
        <f aca="false">IF(F1353="PO",0.6,
IF(F1353="CT",0.75,
IF(F1353="LI",0.8,
IF(F1353="LD",0.8,
IF(F1353="MCD",0.85,
IF(F1353="MC",0.95,
IF(F1353="MO",1.05,
IF(F1353="EI",1.1,
IF(F1353="ED",1.1,
IF(F1353="SD",1.15,
IF(F1353="DC",1.2,0)))))))))))</f>
        <v>1.1</v>
      </c>
    </row>
    <row r="1354" customFormat="false" ht="16.4" hidden="false" customHeight="false" outlineLevel="0" collapsed="false">
      <c r="A1354" s="1" t="n">
        <v>1353</v>
      </c>
      <c r="B1354" s="5" t="str">
        <f aca="false">[1]Base_Jugadores!B1354</f>
        <v>Gustav Isaksen</v>
      </c>
      <c r="C1354" s="5" t="str">
        <f aca="false">IFERROR(
   _xlfn.XLOOKUP(VALUE(A1354),[1]Fichajes_Realizados!A$2:A$50000,[1]Fichajes_Realizados!D$2:D$50000,,0,-1),
   _xlfn.XLOOKUP(VALUE(A1354),[1]Base_Jugadores!A$2:A$50000,[1]Base_Jugadores!C$2:C$50000)
)</f>
        <v>SS Lazio</v>
      </c>
      <c r="D1354" s="5" t="str">
        <f aca="false">[1]Base_Jugadores!D1354</f>
        <v>Dinamarca</v>
      </c>
      <c r="E1354" s="3"/>
      <c r="F1354" s="5" t="str">
        <f aca="false">[1]Base_Jugadores!E1354</f>
        <v>ED</v>
      </c>
      <c r="G1354" s="5" t="n">
        <f aca="false">[1]Base_Jugadores!F1354</f>
        <v>76</v>
      </c>
      <c r="H1354" s="5" t="n">
        <f aca="false">[1]Base_Jugadores!G1354</f>
        <v>24</v>
      </c>
      <c r="I1354" s="7" t="n">
        <f aca="false" t="array" ref="I1354:I1354">_xlfn.XLOOKUP(G1354,{55;56;57;58;59;60;61;62;63;64;65;66;67;68;69;70;71;72;73;74;75;76;77;78;79;80;81;82;83;84;85;86;87;88;89;90;91;92;93;94;95;96;97;98;99},{100000;130000;160000;190000;220000;250000;300000;350000;400000;450000;500000;600000;700000;800000;900000;1000000;1500000;2000000;3000000;4000000;5000000;6500000;8000000;10000000;12500000;15000000;20000000;25000000;30000000;35000000;40000000;55000000;70000000;80000000;90000000;110000000;130000000;160000000;190000000;220000000;250000000;280000000;310000000;340000000;400000000})</f>
        <v>6500000</v>
      </c>
      <c r="J1354" s="7" t="n">
        <f aca="false">I1354*S1354*T1354*U1354</f>
        <v>10038600</v>
      </c>
      <c r="K1354" s="3"/>
      <c r="L1354" s="3"/>
      <c r="M1354" s="3"/>
      <c r="N1354" s="9" t="n">
        <v>0</v>
      </c>
      <c r="O1354" s="4" t="n">
        <v>0</v>
      </c>
      <c r="P1354" s="5" t="n">
        <f aca="false">IF(COUNTIF([1]Base_Jugadores!J$2:J$500,B1354)&gt;0,1,0)</f>
        <v>0</v>
      </c>
      <c r="Q1354" s="10" t="b">
        <f aca="false">--(COUNTIFS(
   [1]Fichajes_Realizados!A$2:A$5000,A1354,
   [1]Fichajes_Realizados!G$2:G$5000,$X$3
)&gt;0)</f>
        <v>0</v>
      </c>
      <c r="R1354" s="5" t="n">
        <f aca="false">_xlfn.XLOOKUP(C1354, [1]Estado_Equipos!A$2:A$500, [1]Estado_Equipos!J$2:J$500, "")</f>
        <v>76</v>
      </c>
      <c r="S1354" s="5" t="n">
        <f aca="false">IF(H1354&lt;=16,1.45,
IF(H1354&gt;=41,0.3,
CHOOSE(ROUNDDOWN((H1354-16)/2,0)+1,
1.45,1.38,1.3,1.23,1.17,1.15,1.12,1.05,0.95,0.8,0.6,0.4,0.3)))</f>
        <v>1.17</v>
      </c>
      <c r="T1354" s="5" t="n">
        <f aca="false">CHOOSE(N1354+1,1.2,1,0.85,0.7)</f>
        <v>1.2</v>
      </c>
      <c r="U1354" s="5" t="n">
        <f aca="false">IF(F1354="PO",0.6,
IF(F1354="CT",0.75,
IF(F1354="LI",0.8,
IF(F1354="LD",0.8,
IF(F1354="MCD",0.85,
IF(F1354="MC",0.95,
IF(F1354="MO",1.05,
IF(F1354="EI",1.1,
IF(F1354="ED",1.1,
IF(F1354="SD",1.15,
IF(F1354="DC",1.2,0)))))))))))</f>
        <v>1.1</v>
      </c>
    </row>
    <row r="1355" customFormat="false" ht="16.4" hidden="false" customHeight="false" outlineLevel="0" collapsed="false">
      <c r="A1355" s="1" t="n">
        <v>1354</v>
      </c>
      <c r="B1355" s="5" t="str">
        <f aca="false">[1]Base_Jugadores!B1355</f>
        <v>Tijjani Noslin</v>
      </c>
      <c r="C1355" s="5" t="str">
        <f aca="false">IFERROR(
   _xlfn.XLOOKUP(VALUE(A1355),[1]Fichajes_Realizados!A$2:A$50000,[1]Fichajes_Realizados!D$2:D$50000,,0,-1),
   _xlfn.XLOOKUP(VALUE(A1355),[1]Base_Jugadores!A$2:A$50000,[1]Base_Jugadores!C$2:C$50000)
)</f>
        <v>SS Lazio</v>
      </c>
      <c r="D1355" s="5" t="str">
        <f aca="false">[1]Base_Jugadores!D1355</f>
        <v>Países Bajos</v>
      </c>
      <c r="E1355" s="3"/>
      <c r="F1355" s="5" t="str">
        <f aca="false">[1]Base_Jugadores!E1355</f>
        <v>ED</v>
      </c>
      <c r="G1355" s="5" t="n">
        <f aca="false">[1]Base_Jugadores!F1355</f>
        <v>75</v>
      </c>
      <c r="H1355" s="5" t="n">
        <f aca="false">[1]Base_Jugadores!G1355</f>
        <v>26</v>
      </c>
      <c r="I1355" s="7" t="n">
        <f aca="false" t="array" ref="I1355:I1355">_xlfn.XLOOKUP(G1355,{55;56;57;58;59;60;61;62;63;64;65;66;67;68;69;70;71;72;73;74;75;76;77;78;79;80;81;82;83;84;85;86;87;88;89;90;91;92;93;94;95;96;97;98;99},{100000;130000;160000;190000;220000;250000;300000;350000;400000;450000;500000;600000;700000;800000;900000;1000000;1500000;2000000;3000000;4000000;5000000;6500000;8000000;10000000;12500000;15000000;20000000;25000000;30000000;35000000;40000000;55000000;70000000;80000000;90000000;110000000;130000000;160000000;190000000;220000000;250000000;280000000;310000000;340000000;400000000})</f>
        <v>5000000</v>
      </c>
      <c r="J1355" s="7" t="n">
        <f aca="false">I1355*S1355*T1355*U1355</f>
        <v>7590000</v>
      </c>
      <c r="K1355" s="3"/>
      <c r="L1355" s="3"/>
      <c r="M1355" s="3"/>
      <c r="N1355" s="9" t="n">
        <v>0</v>
      </c>
      <c r="O1355" s="4" t="n">
        <v>0</v>
      </c>
      <c r="P1355" s="5" t="n">
        <f aca="false">IF(COUNTIF([1]Base_Jugadores!J$2:J$500,B1355)&gt;0,1,0)</f>
        <v>0</v>
      </c>
      <c r="Q1355" s="10" t="b">
        <f aca="false">--(COUNTIFS(
   [1]Fichajes_Realizados!A$2:A$5000,A1355,
   [1]Fichajes_Realizados!G$2:G$5000,$X$3
)&gt;0)</f>
        <v>0</v>
      </c>
      <c r="R1355" s="5" t="n">
        <f aca="false">_xlfn.XLOOKUP(C1355, [1]Estado_Equipos!A$2:A$500, [1]Estado_Equipos!J$2:J$500, "")</f>
        <v>76</v>
      </c>
      <c r="S1355" s="5" t="n">
        <f aca="false">IF(H1355&lt;=16,1.45,
IF(H1355&gt;=41,0.3,
CHOOSE(ROUNDDOWN((H1355-16)/2,0)+1,
1.45,1.38,1.3,1.23,1.17,1.15,1.12,1.05,0.95,0.8,0.6,0.4,0.3)))</f>
        <v>1.15</v>
      </c>
      <c r="T1355" s="5" t="n">
        <f aca="false">CHOOSE(N1355+1,1.2,1,0.85,0.7)</f>
        <v>1.2</v>
      </c>
      <c r="U1355" s="5" t="n">
        <f aca="false">IF(F1355="PO",0.6,
IF(F1355="CT",0.75,
IF(F1355="LI",0.8,
IF(F1355="LD",0.8,
IF(F1355="MCD",0.85,
IF(F1355="MC",0.95,
IF(F1355="MO",1.05,
IF(F1355="EI",1.1,
IF(F1355="ED",1.1,
IF(F1355="SD",1.15,
IF(F1355="DC",1.2,0)))))))))))</f>
        <v>1.1</v>
      </c>
    </row>
    <row r="1356" customFormat="false" ht="16.4" hidden="false" customHeight="false" outlineLevel="0" collapsed="false">
      <c r="A1356" s="1" t="n">
        <v>1355</v>
      </c>
      <c r="B1356" s="5" t="str">
        <f aca="false">[1]Base_Jugadores!B1356</f>
        <v>Matteo Cancellieri</v>
      </c>
      <c r="C1356" s="5" t="str">
        <f aca="false">IFERROR(
   _xlfn.XLOOKUP(VALUE(A1356),[1]Fichajes_Realizados!A$2:A$50000,[1]Fichajes_Realizados!D$2:D$50000,,0,-1),
   _xlfn.XLOOKUP(VALUE(A1356),[1]Base_Jugadores!A$2:A$50000,[1]Base_Jugadores!C$2:C$50000)
)</f>
        <v>SS Lazio</v>
      </c>
      <c r="D1356" s="5" t="str">
        <f aca="false">[1]Base_Jugadores!D1356</f>
        <v>Italia</v>
      </c>
      <c r="E1356" s="3"/>
      <c r="F1356" s="5" t="str">
        <f aca="false">[1]Base_Jugadores!E1356</f>
        <v>ED</v>
      </c>
      <c r="G1356" s="5" t="n">
        <f aca="false">[1]Base_Jugadores!F1356</f>
        <v>73</v>
      </c>
      <c r="H1356" s="5" t="n">
        <f aca="false">[1]Base_Jugadores!G1356</f>
        <v>23</v>
      </c>
      <c r="I1356" s="7" t="n">
        <f aca="false" t="array" ref="I1356:I1356">_xlfn.XLOOKUP(G1356,{55;56;57;58;59;60;61;62;63;64;65;66;67;68;69;70;71;72;73;74;75;76;77;78;79;80;81;82;83;84;85;86;87;88;89;90;91;92;93;94;95;96;97;98;99},{100000;130000;160000;190000;220000;250000;300000;350000;400000;450000;500000;600000;700000;800000;900000;1000000;1500000;2000000;3000000;4000000;5000000;6500000;8000000;10000000;12500000;15000000;20000000;25000000;30000000;35000000;40000000;55000000;70000000;80000000;90000000;110000000;130000000;160000000;190000000;220000000;250000000;280000000;310000000;340000000;400000000})</f>
        <v>3000000</v>
      </c>
      <c r="J1356" s="7" t="n">
        <f aca="false">I1356*S1356*T1356*U1356</f>
        <v>4870800</v>
      </c>
      <c r="K1356" s="3"/>
      <c r="L1356" s="3"/>
      <c r="M1356" s="3"/>
      <c r="N1356" s="9" t="n">
        <v>0</v>
      </c>
      <c r="O1356" s="4" t="n">
        <v>0</v>
      </c>
      <c r="P1356" s="5" t="n">
        <f aca="false">IF(COUNTIF([1]Base_Jugadores!J$2:J$500,B1356)&gt;0,1,0)</f>
        <v>0</v>
      </c>
      <c r="Q1356" s="10" t="b">
        <f aca="false">--(COUNTIFS(
   [1]Fichajes_Realizados!A$2:A$5000,A1356,
   [1]Fichajes_Realizados!G$2:G$5000,$X$3
)&gt;0)</f>
        <v>0</v>
      </c>
      <c r="R1356" s="5" t="n">
        <f aca="false">_xlfn.XLOOKUP(C1356, [1]Estado_Equipos!A$2:A$500, [1]Estado_Equipos!J$2:J$500, "")</f>
        <v>76</v>
      </c>
      <c r="S1356" s="5" t="n">
        <f aca="false">IF(H1356&lt;=16,1.45,
IF(H1356&gt;=41,0.3,
CHOOSE(ROUNDDOWN((H1356-16)/2,0)+1,
1.45,1.38,1.3,1.23,1.17,1.15,1.12,1.05,0.95,0.8,0.6,0.4,0.3)))</f>
        <v>1.23</v>
      </c>
      <c r="T1356" s="5" t="n">
        <f aca="false">CHOOSE(N1356+1,1.2,1,0.85,0.7)</f>
        <v>1.2</v>
      </c>
      <c r="U1356" s="5" t="n">
        <f aca="false">IF(F1356="PO",0.6,
IF(F1356="CT",0.75,
IF(F1356="LI",0.8,
IF(F1356="LD",0.8,
IF(F1356="MCD",0.85,
IF(F1356="MC",0.95,
IF(F1356="MO",1.05,
IF(F1356="EI",1.1,
IF(F1356="ED",1.1,
IF(F1356="SD",1.15,
IF(F1356="DC",1.2,0)))))))))))</f>
        <v>1.1</v>
      </c>
    </row>
    <row r="1357" customFormat="false" ht="16.4" hidden="false" customHeight="false" outlineLevel="0" collapsed="false">
      <c r="A1357" s="1" t="n">
        <v>1356</v>
      </c>
      <c r="B1357" s="5" t="str">
        <f aca="false">[1]Base_Jugadores!B1357</f>
        <v>Pedro Rodríguez</v>
      </c>
      <c r="C1357" s="5" t="str">
        <f aca="false">IFERROR(
   _xlfn.XLOOKUP(VALUE(A1357),[1]Fichajes_Realizados!A$2:A$50000,[1]Fichajes_Realizados!D$2:D$50000,,0,-1),
   _xlfn.XLOOKUP(VALUE(A1357),[1]Base_Jugadores!A$2:A$50000,[1]Base_Jugadores!C$2:C$50000)
)</f>
        <v>SS Lazio</v>
      </c>
      <c r="D1357" s="5" t="str">
        <f aca="false">[1]Base_Jugadores!D1357</f>
        <v>España</v>
      </c>
      <c r="E1357" s="3"/>
      <c r="F1357" s="5" t="str">
        <f aca="false">[1]Base_Jugadores!E1357</f>
        <v>ED</v>
      </c>
      <c r="G1357" s="5" t="n">
        <f aca="false">[1]Base_Jugadores!F1357</f>
        <v>77</v>
      </c>
      <c r="H1357" s="5" t="n">
        <f aca="false">[1]Base_Jugadores!G1357</f>
        <v>38</v>
      </c>
      <c r="I1357" s="7" t="n">
        <f aca="false" t="array" ref="I1357:I1357">_xlfn.XLOOKUP(G1357,{55;56;57;58;59;60;61;62;63;64;65;66;67;68;69;70;71;72;73;74;75;76;77;78;79;80;81;82;83;84;85;86;87;88;89;90;91;92;93;94;95;96;97;98;99},{100000;130000;160000;190000;220000;250000;300000;350000;400000;450000;500000;600000;700000;800000;900000;1000000;1500000;2000000;3000000;4000000;5000000;6500000;8000000;10000000;12500000;15000000;20000000;25000000;30000000;35000000;40000000;55000000;70000000;80000000;90000000;110000000;130000000;160000000;190000000;220000000;250000000;280000000;310000000;340000000;400000000})</f>
        <v>8000000</v>
      </c>
      <c r="J1357" s="7" t="n">
        <f aca="false">I1357*S1357*T1357*U1357</f>
        <v>4224000</v>
      </c>
      <c r="K1357" s="3"/>
      <c r="L1357" s="3"/>
      <c r="M1357" s="3"/>
      <c r="N1357" s="9" t="n">
        <v>0</v>
      </c>
      <c r="O1357" s="4" t="n">
        <v>0</v>
      </c>
      <c r="P1357" s="5" t="n">
        <f aca="false">IF(COUNTIF([1]Base_Jugadores!J$2:J$500,B1357)&gt;0,1,0)</f>
        <v>0</v>
      </c>
      <c r="Q1357" s="10" t="b">
        <f aca="false">--(COUNTIFS(
   [1]Fichajes_Realizados!A$2:A$5000,A1357,
   [1]Fichajes_Realizados!G$2:G$5000,$X$3
)&gt;0)</f>
        <v>0</v>
      </c>
      <c r="R1357" s="5" t="n">
        <f aca="false">_xlfn.XLOOKUP(C1357, [1]Estado_Equipos!A$2:A$500, [1]Estado_Equipos!J$2:J$500, "")</f>
        <v>76</v>
      </c>
      <c r="S1357" s="5" t="n">
        <f aca="false">IF(H1357&lt;=16,1.45,
IF(H1357&gt;=41,0.3,
CHOOSE(ROUNDDOWN((H1357-16)/2,0)+1,
1.45,1.38,1.3,1.23,1.17,1.15,1.12,1.05,0.95,0.8,0.6,0.4,0.3)))</f>
        <v>0.4</v>
      </c>
      <c r="T1357" s="5" t="n">
        <f aca="false">CHOOSE(N1357+1,1.2,1,0.85,0.7)</f>
        <v>1.2</v>
      </c>
      <c r="U1357" s="5" t="n">
        <f aca="false">IF(F1357="PO",0.6,
IF(F1357="CT",0.75,
IF(F1357="LI",0.8,
IF(F1357="LD",0.8,
IF(F1357="MCD",0.85,
IF(F1357="MC",0.95,
IF(F1357="MO",1.05,
IF(F1357="EI",1.1,
IF(F1357="ED",1.1,
IF(F1357="SD",1.15,
IF(F1357="DC",1.2,0)))))))))))</f>
        <v>1.1</v>
      </c>
    </row>
    <row r="1358" customFormat="false" ht="16.4" hidden="false" customHeight="false" outlineLevel="0" collapsed="false">
      <c r="A1358" s="1" t="n">
        <v>1357</v>
      </c>
      <c r="B1358" s="5" t="str">
        <f aca="false">[1]Base_Jugadores!B1358</f>
        <v>Taty Castellanos</v>
      </c>
      <c r="C1358" s="5" t="str">
        <f aca="false">IFERROR(
   _xlfn.XLOOKUP(VALUE(A1358),[1]Fichajes_Realizados!A$2:A$50000,[1]Fichajes_Realizados!D$2:D$50000,,0,-1),
   _xlfn.XLOOKUP(VALUE(A1358),[1]Base_Jugadores!A$2:A$50000,[1]Base_Jugadores!C$2:C$50000)
)</f>
        <v>SS Lazio</v>
      </c>
      <c r="D1358" s="5" t="str">
        <f aca="false">[1]Base_Jugadores!D1358</f>
        <v>Argentina</v>
      </c>
      <c r="E1358" s="3"/>
      <c r="F1358" s="5" t="str">
        <f aca="false">[1]Base_Jugadores!E1358</f>
        <v>DC</v>
      </c>
      <c r="G1358" s="5" t="n">
        <f aca="false">[1]Base_Jugadores!F1358</f>
        <v>80</v>
      </c>
      <c r="H1358" s="5" t="n">
        <f aca="false">[1]Base_Jugadores!G1358</f>
        <v>27</v>
      </c>
      <c r="I1358" s="7" t="n">
        <f aca="false" t="array" ref="I1358:I1358">_xlfn.XLOOKUP(G1358,{55;56;57;58;59;60;61;62;63;64;65;66;67;68;69;70;71;72;73;74;75;76;77;78;79;80;81;82;83;84;85;86;87;88;89;90;91;92;93;94;95;96;97;98;99},{100000;130000;160000;190000;220000;250000;300000;350000;400000;450000;500000;600000;700000;800000;900000;1000000;1500000;2000000;3000000;4000000;5000000;6500000;8000000;10000000;12500000;15000000;20000000;25000000;30000000;35000000;40000000;55000000;70000000;80000000;90000000;110000000;130000000;160000000;190000000;220000000;250000000;280000000;310000000;340000000;400000000})</f>
        <v>15000000</v>
      </c>
      <c r="J1358" s="7" t="n">
        <f aca="false">I1358*S1358*T1358*U1358</f>
        <v>24840000</v>
      </c>
      <c r="K1358" s="3"/>
      <c r="L1358" s="3"/>
      <c r="M1358" s="3"/>
      <c r="N1358" s="9" t="n">
        <v>0</v>
      </c>
      <c r="O1358" s="4" t="n">
        <v>0</v>
      </c>
      <c r="P1358" s="5" t="n">
        <f aca="false">IF(COUNTIF([1]Base_Jugadores!J$2:J$500,B1358)&gt;0,1,0)</f>
        <v>0</v>
      </c>
      <c r="Q1358" s="10" t="b">
        <f aca="false">--(COUNTIFS(
   [1]Fichajes_Realizados!A$2:A$5000,A1358,
   [1]Fichajes_Realizados!G$2:G$5000,$X$3
)&gt;0)</f>
        <v>0</v>
      </c>
      <c r="R1358" s="5" t="n">
        <f aca="false">_xlfn.XLOOKUP(C1358, [1]Estado_Equipos!A$2:A$500, [1]Estado_Equipos!J$2:J$500, "")</f>
        <v>76</v>
      </c>
      <c r="S1358" s="5" t="n">
        <f aca="false">IF(H1358&lt;=16,1.45,
IF(H1358&gt;=41,0.3,
CHOOSE(ROUNDDOWN((H1358-16)/2,0)+1,
1.45,1.38,1.3,1.23,1.17,1.15,1.12,1.05,0.95,0.8,0.6,0.4,0.3)))</f>
        <v>1.15</v>
      </c>
      <c r="T1358" s="5" t="n">
        <f aca="false">CHOOSE(N1358+1,1.2,1,0.85,0.7)</f>
        <v>1.2</v>
      </c>
      <c r="U1358" s="5" t="n">
        <f aca="false">IF(F1358="PO",0.6,
IF(F1358="CT",0.75,
IF(F1358="LI",0.8,
IF(F1358="LD",0.8,
IF(F1358="MCD",0.85,
IF(F1358="MC",0.95,
IF(F1358="MO",1.05,
IF(F1358="EI",1.1,
IF(F1358="ED",1.1,
IF(F1358="SD",1.15,
IF(F1358="DC",1.2,0)))))))))))</f>
        <v>1.2</v>
      </c>
    </row>
    <row r="1359" customFormat="false" ht="16.4" hidden="false" customHeight="false" outlineLevel="0" collapsed="false">
      <c r="A1359" s="1" t="n">
        <v>1358</v>
      </c>
      <c r="B1359" s="5" t="str">
        <f aca="false">[1]Base_Jugadores!B1359</f>
        <v>Boulaye Dia</v>
      </c>
      <c r="C1359" s="5" t="str">
        <f aca="false">IFERROR(
   _xlfn.XLOOKUP(VALUE(A1359),[1]Fichajes_Realizados!A$2:A$50000,[1]Fichajes_Realizados!D$2:D$50000,,0,-1),
   _xlfn.XLOOKUP(VALUE(A1359),[1]Base_Jugadores!A$2:A$50000,[1]Base_Jugadores!C$2:C$50000)
)</f>
        <v>SS Lazio</v>
      </c>
      <c r="D1359" s="5" t="str">
        <f aca="false">[1]Base_Jugadores!D1359</f>
        <v>Senegal</v>
      </c>
      <c r="E1359" s="3"/>
      <c r="F1359" s="5" t="str">
        <f aca="false">[1]Base_Jugadores!E1359</f>
        <v>DC</v>
      </c>
      <c r="G1359" s="5" t="n">
        <f aca="false">[1]Base_Jugadores!F1359</f>
        <v>78</v>
      </c>
      <c r="H1359" s="5" t="n">
        <f aca="false">[1]Base_Jugadores!G1359</f>
        <v>29</v>
      </c>
      <c r="I1359" s="7" t="n">
        <f aca="false" t="array" ref="I1359:I1359">_xlfn.XLOOKUP(G1359,{55;56;57;58;59;60;61;62;63;64;65;66;67;68;69;70;71;72;73;74;75;76;77;78;79;80;81;82;83;84;85;86;87;88;89;90;91;92;93;94;95;96;97;98;99},{100000;130000;160000;190000;220000;250000;300000;350000;400000;450000;500000;600000;700000;800000;900000;1000000;1500000;2000000;3000000;4000000;5000000;6500000;8000000;10000000;12500000;15000000;20000000;25000000;30000000;35000000;40000000;55000000;70000000;80000000;90000000;110000000;130000000;160000000;190000000;220000000;250000000;280000000;310000000;340000000;400000000})</f>
        <v>10000000</v>
      </c>
      <c r="J1359" s="7" t="n">
        <f aca="false">I1359*S1359*T1359*U1359</f>
        <v>16128000</v>
      </c>
      <c r="K1359" s="3"/>
      <c r="L1359" s="3"/>
      <c r="M1359" s="3"/>
      <c r="N1359" s="9" t="n">
        <v>0</v>
      </c>
      <c r="O1359" s="4" t="n">
        <v>0</v>
      </c>
      <c r="P1359" s="5" t="n">
        <f aca="false">IF(COUNTIF([1]Base_Jugadores!J$2:J$500,B1359)&gt;0,1,0)</f>
        <v>0</v>
      </c>
      <c r="Q1359" s="10" t="b">
        <f aca="false">--(COUNTIFS(
   [1]Fichajes_Realizados!A$2:A$5000,A1359,
   [1]Fichajes_Realizados!G$2:G$5000,$X$3
)&gt;0)</f>
        <v>0</v>
      </c>
      <c r="R1359" s="5" t="n">
        <f aca="false">_xlfn.XLOOKUP(C1359, [1]Estado_Equipos!A$2:A$500, [1]Estado_Equipos!J$2:J$500, "")</f>
        <v>76</v>
      </c>
      <c r="S1359" s="5" t="n">
        <f aca="false">IF(H1359&lt;=16,1.45,
IF(H1359&gt;=41,0.3,
CHOOSE(ROUNDDOWN((H1359-16)/2,0)+1,
1.45,1.38,1.3,1.23,1.17,1.15,1.12,1.05,0.95,0.8,0.6,0.4,0.3)))</f>
        <v>1.12</v>
      </c>
      <c r="T1359" s="5" t="n">
        <f aca="false">CHOOSE(N1359+1,1.2,1,0.85,0.7)</f>
        <v>1.2</v>
      </c>
      <c r="U1359" s="5" t="n">
        <f aca="false">IF(F1359="PO",0.6,
IF(F1359="CT",0.75,
IF(F1359="LI",0.8,
IF(F1359="LD",0.8,
IF(F1359="MCD",0.85,
IF(F1359="MC",0.95,
IF(F1359="MO",1.05,
IF(F1359="EI",1.1,
IF(F1359="ED",1.1,
IF(F1359="SD",1.15,
IF(F1359="DC",1.2,0)))))))))))</f>
        <v>1.2</v>
      </c>
    </row>
    <row r="1360" customFormat="false" ht="16.4" hidden="false" customHeight="false" outlineLevel="0" collapsed="false">
      <c r="A1360" s="1" t="n">
        <v>1359</v>
      </c>
      <c r="B1360" s="5" t="str">
        <f aca="false">[1]Base_Jugadores!B1360</f>
        <v>Wladimiro Falcone</v>
      </c>
      <c r="C1360" s="5" t="str">
        <f aca="false">IFERROR(
   _xlfn.XLOOKUP(VALUE(A1360),[1]Fichajes_Realizados!A$2:A$50000,[1]Fichajes_Realizados!D$2:D$50000,,0,-1),
   _xlfn.XLOOKUP(VALUE(A1360),[1]Base_Jugadores!A$2:A$50000,[1]Base_Jugadores!C$2:C$50000)
)</f>
        <v>US Lecce</v>
      </c>
      <c r="D1360" s="5" t="str">
        <f aca="false">[1]Base_Jugadores!D1360</f>
        <v>Italia</v>
      </c>
      <c r="E1360" s="3"/>
      <c r="F1360" s="5" t="str">
        <f aca="false">[1]Base_Jugadores!E1360</f>
        <v>PO</v>
      </c>
      <c r="G1360" s="5" t="n">
        <f aca="false">[1]Base_Jugadores!F1360</f>
        <v>80</v>
      </c>
      <c r="H1360" s="5" t="n">
        <f aca="false">[1]Base_Jugadores!G1360</f>
        <v>30</v>
      </c>
      <c r="I1360" s="7" t="n">
        <f aca="false" t="array" ref="I1360:I1360">_xlfn.XLOOKUP(G1360,{55;56;57;58;59;60;61;62;63;64;65;66;67;68;69;70;71;72;73;74;75;76;77;78;79;80;81;82;83;84;85;86;87;88;89;90;91;92;93;94;95;96;97;98;99},{100000;130000;160000;190000;220000;250000;300000;350000;400000;450000;500000;600000;700000;800000;900000;1000000;1500000;2000000;3000000;4000000;5000000;6500000;8000000;10000000;12500000;15000000;20000000;25000000;30000000;35000000;40000000;55000000;70000000;80000000;90000000;110000000;130000000;160000000;190000000;220000000;250000000;280000000;310000000;340000000;400000000})</f>
        <v>15000000</v>
      </c>
      <c r="J1360" s="7" t="n">
        <f aca="false">I1360*S1360*T1360*U1360</f>
        <v>11340000</v>
      </c>
      <c r="K1360" s="3"/>
      <c r="L1360" s="3"/>
      <c r="M1360" s="3"/>
      <c r="N1360" s="9" t="n">
        <v>0</v>
      </c>
      <c r="O1360" s="4" t="n">
        <v>0</v>
      </c>
      <c r="P1360" s="5" t="n">
        <f aca="false">IF(COUNTIF([1]Base_Jugadores!J$2:J$500,B1360)&gt;0,1,0)</f>
        <v>0</v>
      </c>
      <c r="Q1360" s="10" t="b">
        <f aca="false">--(COUNTIFS(
   [1]Fichajes_Realizados!A$2:A$5000,A1360,
   [1]Fichajes_Realizados!G$2:G$5000,$X$3
)&gt;0)</f>
        <v>0</v>
      </c>
      <c r="R1360" s="5" t="n">
        <f aca="false">_xlfn.XLOOKUP(C1360, [1]Estado_Equipos!A$2:A$500, [1]Estado_Equipos!J$2:J$500, "")</f>
        <v>69</v>
      </c>
      <c r="S1360" s="5" t="n">
        <f aca="false">IF(H1360&lt;=16,1.45,
IF(H1360&gt;=41,0.3,
CHOOSE(ROUNDDOWN((H1360-16)/2,0)+1,
1.45,1.38,1.3,1.23,1.17,1.15,1.12,1.05,0.95,0.8,0.6,0.4,0.3)))</f>
        <v>1.05</v>
      </c>
      <c r="T1360" s="5" t="n">
        <f aca="false">CHOOSE(N1360+1,1.2,1,0.85,0.7)</f>
        <v>1.2</v>
      </c>
      <c r="U1360" s="5" t="n">
        <f aca="false">IF(F1360="PO",0.6,
IF(F1360="CT",0.75,
IF(F1360="LI",0.8,
IF(F1360="LD",0.8,
IF(F1360="MCD",0.85,
IF(F1360="MC",0.95,
IF(F1360="MO",1.05,
IF(F1360="EI",1.1,
IF(F1360="ED",1.1,
IF(F1360="SD",1.15,
IF(F1360="DC",1.2,0)))))))))))</f>
        <v>0.6</v>
      </c>
    </row>
    <row r="1361" customFormat="false" ht="16.4" hidden="false" customHeight="false" outlineLevel="0" collapsed="false">
      <c r="A1361" s="1" t="n">
        <v>1360</v>
      </c>
      <c r="B1361" s="5" t="str">
        <f aca="false">[1]Base_Jugadores!B1361</f>
        <v>Christian Früchtl</v>
      </c>
      <c r="C1361" s="5" t="str">
        <f aca="false">IFERROR(
   _xlfn.XLOOKUP(VALUE(A1361),[1]Fichajes_Realizados!A$2:A$50000,[1]Fichajes_Realizados!D$2:D$50000,,0,-1),
   _xlfn.XLOOKUP(VALUE(A1361),[1]Base_Jugadores!A$2:A$50000,[1]Base_Jugadores!C$2:C$50000)
)</f>
        <v>US Lecce</v>
      </c>
      <c r="D1361" s="5" t="str">
        <f aca="false">[1]Base_Jugadores!D1361</f>
        <v>Alemania</v>
      </c>
      <c r="E1361" s="3"/>
      <c r="F1361" s="5" t="str">
        <f aca="false">[1]Base_Jugadores!E1361</f>
        <v>PO</v>
      </c>
      <c r="G1361" s="5" t="n">
        <f aca="false">[1]Base_Jugadores!F1361</f>
        <v>70</v>
      </c>
      <c r="H1361" s="5" t="n">
        <f aca="false">[1]Base_Jugadores!G1361</f>
        <v>25</v>
      </c>
      <c r="I1361" s="7" t="n">
        <f aca="false" t="array" ref="I1361:I1361">_xlfn.XLOOKUP(G1361,{55;56;57;58;59;60;61;62;63;64;65;66;67;68;69;70;71;72;73;74;75;76;77;78;79;80;81;82;83;84;85;86;87;88;89;90;91;92;93;94;95;96;97;98;99},{100000;130000;160000;190000;220000;250000;300000;350000;400000;450000;500000;600000;700000;800000;900000;1000000;1500000;2000000;3000000;4000000;5000000;6500000;8000000;10000000;12500000;15000000;20000000;25000000;30000000;35000000;40000000;55000000;70000000;80000000;90000000;110000000;130000000;160000000;190000000;220000000;250000000;280000000;310000000;340000000;400000000})</f>
        <v>1000000</v>
      </c>
      <c r="J1361" s="7" t="n">
        <f aca="false">I1361*S1361*T1361*U1361</f>
        <v>842400</v>
      </c>
      <c r="K1361" s="3"/>
      <c r="L1361" s="3"/>
      <c r="M1361" s="3"/>
      <c r="N1361" s="9" t="n">
        <v>0</v>
      </c>
      <c r="O1361" s="4" t="n">
        <v>0</v>
      </c>
      <c r="P1361" s="5" t="n">
        <f aca="false">IF(COUNTIF([1]Base_Jugadores!J$2:J$500,B1361)&gt;0,1,0)</f>
        <v>0</v>
      </c>
      <c r="Q1361" s="10" t="b">
        <f aca="false">--(COUNTIFS(
   [1]Fichajes_Realizados!A$2:A$5000,A1361,
   [1]Fichajes_Realizados!G$2:G$5000,$X$3
)&gt;0)</f>
        <v>0</v>
      </c>
      <c r="R1361" s="5" t="n">
        <f aca="false">_xlfn.XLOOKUP(C1361, [1]Estado_Equipos!A$2:A$500, [1]Estado_Equipos!J$2:J$500, "")</f>
        <v>69</v>
      </c>
      <c r="S1361" s="5" t="n">
        <f aca="false">IF(H1361&lt;=16,1.45,
IF(H1361&gt;=41,0.3,
CHOOSE(ROUNDDOWN((H1361-16)/2,0)+1,
1.45,1.38,1.3,1.23,1.17,1.15,1.12,1.05,0.95,0.8,0.6,0.4,0.3)))</f>
        <v>1.17</v>
      </c>
      <c r="T1361" s="5" t="n">
        <f aca="false">CHOOSE(N1361+1,1.2,1,0.85,0.7)</f>
        <v>1.2</v>
      </c>
      <c r="U1361" s="5" t="n">
        <f aca="false">IF(F1361="PO",0.6,
IF(F1361="CT",0.75,
IF(F1361="LI",0.8,
IF(F1361="LD",0.8,
IF(F1361="MCD",0.85,
IF(F1361="MC",0.95,
IF(F1361="MO",1.05,
IF(F1361="EI",1.1,
IF(F1361="ED",1.1,
IF(F1361="SD",1.15,
IF(F1361="DC",1.2,0)))))))))))</f>
        <v>0.6</v>
      </c>
    </row>
    <row r="1362" customFormat="false" ht="16.4" hidden="false" customHeight="false" outlineLevel="0" collapsed="false">
      <c r="A1362" s="1" t="n">
        <v>1361</v>
      </c>
      <c r="B1362" s="5" t="str">
        <f aca="false">[1]Base_Jugadores!B1362</f>
        <v>Jasper Samooja</v>
      </c>
      <c r="C1362" s="5" t="str">
        <f aca="false">IFERROR(
   _xlfn.XLOOKUP(VALUE(A1362),[1]Fichajes_Realizados!A$2:A$50000,[1]Fichajes_Realizados!D$2:D$50000,,0,-1),
   _xlfn.XLOOKUP(VALUE(A1362),[1]Base_Jugadores!A$2:A$50000,[1]Base_Jugadores!C$2:C$50000)
)</f>
        <v>US Lecce</v>
      </c>
      <c r="D1362" s="5" t="str">
        <f aca="false">[1]Base_Jugadores!D1362</f>
        <v>Finlandia</v>
      </c>
      <c r="E1362" s="3"/>
      <c r="F1362" s="5" t="str">
        <f aca="false">[1]Base_Jugadores!E1362</f>
        <v>PO</v>
      </c>
      <c r="G1362" s="5" t="n">
        <f aca="false">[1]Base_Jugadores!F1362</f>
        <v>65</v>
      </c>
      <c r="H1362" s="5" t="n">
        <f aca="false">[1]Base_Jugadores!G1362</f>
        <v>22</v>
      </c>
      <c r="I1362" s="7" t="n">
        <f aca="false" t="array" ref="I1362:I1362">_xlfn.XLOOKUP(G1362,{55;56;57;58;59;60;61;62;63;64;65;66;67;68;69;70;71;72;73;74;75;76;77;78;79;80;81;82;83;84;85;86;87;88;89;90;91;92;93;94;95;96;97;98;99},{100000;130000;160000;190000;220000;250000;300000;350000;400000;450000;500000;600000;700000;800000;900000;1000000;1500000;2000000;3000000;4000000;5000000;6500000;8000000;10000000;12500000;15000000;20000000;25000000;30000000;35000000;40000000;55000000;70000000;80000000;90000000;110000000;130000000;160000000;190000000;220000000;250000000;280000000;310000000;340000000;400000000})</f>
        <v>500000</v>
      </c>
      <c r="J1362" s="7" t="n">
        <f aca="false">I1362*S1362*T1362*U1362</f>
        <v>442800</v>
      </c>
      <c r="K1362" s="3"/>
      <c r="L1362" s="3"/>
      <c r="M1362" s="3"/>
      <c r="N1362" s="9" t="n">
        <v>0</v>
      </c>
      <c r="O1362" s="4" t="n">
        <v>0</v>
      </c>
      <c r="P1362" s="5" t="n">
        <f aca="false">IF(COUNTIF([1]Base_Jugadores!J$2:J$500,B1362)&gt;0,1,0)</f>
        <v>0</v>
      </c>
      <c r="Q1362" s="10" t="b">
        <f aca="false">--(COUNTIFS(
   [1]Fichajes_Realizados!A$2:A$5000,A1362,
   [1]Fichajes_Realizados!G$2:G$5000,$X$3
)&gt;0)</f>
        <v>0</v>
      </c>
      <c r="R1362" s="5" t="n">
        <f aca="false">_xlfn.XLOOKUP(C1362, [1]Estado_Equipos!A$2:A$500, [1]Estado_Equipos!J$2:J$500, "")</f>
        <v>69</v>
      </c>
      <c r="S1362" s="5" t="n">
        <f aca="false">IF(H1362&lt;=16,1.45,
IF(H1362&gt;=41,0.3,
CHOOSE(ROUNDDOWN((H1362-16)/2,0)+1,
1.45,1.38,1.3,1.23,1.17,1.15,1.12,1.05,0.95,0.8,0.6,0.4,0.3)))</f>
        <v>1.23</v>
      </c>
      <c r="T1362" s="5" t="n">
        <f aca="false">CHOOSE(N1362+1,1.2,1,0.85,0.7)</f>
        <v>1.2</v>
      </c>
      <c r="U1362" s="5" t="n">
        <f aca="false">IF(F1362="PO",0.6,
IF(F1362="CT",0.75,
IF(F1362="LI",0.8,
IF(F1362="LD",0.8,
IF(F1362="MCD",0.85,
IF(F1362="MC",0.95,
IF(F1362="MO",1.05,
IF(F1362="EI",1.1,
IF(F1362="ED",1.1,
IF(F1362="SD",1.15,
IF(F1362="DC",1.2,0)))))))))))</f>
        <v>0.6</v>
      </c>
    </row>
    <row r="1363" customFormat="false" ht="16.4" hidden="false" customHeight="false" outlineLevel="0" collapsed="false">
      <c r="A1363" s="1" t="n">
        <v>1362</v>
      </c>
      <c r="B1363" s="5" t="str">
        <f aca="false">[1]Base_Jugadores!B1363</f>
        <v>Kialonda Gaspar</v>
      </c>
      <c r="C1363" s="5" t="str">
        <f aca="false">IFERROR(
   _xlfn.XLOOKUP(VALUE(A1363),[1]Fichajes_Realizados!A$2:A$50000,[1]Fichajes_Realizados!D$2:D$50000,,0,-1),
   _xlfn.XLOOKUP(VALUE(A1363),[1]Base_Jugadores!A$2:A$50000,[1]Base_Jugadores!C$2:C$50000)
)</f>
        <v>US Lecce</v>
      </c>
      <c r="D1363" s="5" t="str">
        <f aca="false">[1]Base_Jugadores!D1363</f>
        <v>Angola</v>
      </c>
      <c r="E1363" s="3"/>
      <c r="F1363" s="5" t="str">
        <f aca="false">[1]Base_Jugadores!E1363</f>
        <v>CT</v>
      </c>
      <c r="G1363" s="5" t="n">
        <f aca="false">[1]Base_Jugadores!F1363</f>
        <v>72</v>
      </c>
      <c r="H1363" s="5" t="n">
        <f aca="false">[1]Base_Jugadores!G1363</f>
        <v>28</v>
      </c>
      <c r="I1363" s="7" t="n">
        <f aca="false" t="array" ref="I1363:I1363">_xlfn.XLOOKUP(G1363,{55;56;57;58;59;60;61;62;63;64;65;66;67;68;69;70;71;72;73;74;75;76;77;78;79;80;81;82;83;84;85;86;87;88;89;90;91;92;93;94;95;96;97;98;99},{100000;130000;160000;190000;220000;250000;300000;350000;400000;450000;500000;600000;700000;800000;900000;1000000;1500000;2000000;3000000;4000000;5000000;6500000;8000000;10000000;12500000;15000000;20000000;25000000;30000000;35000000;40000000;55000000;70000000;80000000;90000000;110000000;130000000;160000000;190000000;220000000;250000000;280000000;310000000;340000000;400000000})</f>
        <v>2000000</v>
      </c>
      <c r="J1363" s="7" t="n">
        <f aca="false">I1363*S1363*T1363*U1363</f>
        <v>2016000</v>
      </c>
      <c r="K1363" s="3"/>
      <c r="L1363" s="3"/>
      <c r="M1363" s="3"/>
      <c r="N1363" s="9" t="n">
        <v>0</v>
      </c>
      <c r="O1363" s="4" t="n">
        <v>0</v>
      </c>
      <c r="P1363" s="5" t="n">
        <f aca="false">IF(COUNTIF([1]Base_Jugadores!J$2:J$500,B1363)&gt;0,1,0)</f>
        <v>0</v>
      </c>
      <c r="Q1363" s="10" t="b">
        <f aca="false">--(COUNTIFS(
   [1]Fichajes_Realizados!A$2:A$5000,A1363,
   [1]Fichajes_Realizados!G$2:G$5000,$X$3
)&gt;0)</f>
        <v>0</v>
      </c>
      <c r="R1363" s="5" t="n">
        <f aca="false">_xlfn.XLOOKUP(C1363, [1]Estado_Equipos!A$2:A$500, [1]Estado_Equipos!J$2:J$500, "")</f>
        <v>69</v>
      </c>
      <c r="S1363" s="5" t="n">
        <f aca="false">IF(H1363&lt;=16,1.45,
IF(H1363&gt;=41,0.3,
CHOOSE(ROUNDDOWN((H1363-16)/2,0)+1,
1.45,1.38,1.3,1.23,1.17,1.15,1.12,1.05,0.95,0.8,0.6,0.4,0.3)))</f>
        <v>1.12</v>
      </c>
      <c r="T1363" s="5" t="n">
        <f aca="false">CHOOSE(N1363+1,1.2,1,0.85,0.7)</f>
        <v>1.2</v>
      </c>
      <c r="U1363" s="5" t="n">
        <f aca="false">IF(F1363="PO",0.6,
IF(F1363="CT",0.75,
IF(F1363="LI",0.8,
IF(F1363="LD",0.8,
IF(F1363="MCD",0.85,
IF(F1363="MC",0.95,
IF(F1363="MO",1.05,
IF(F1363="EI",1.1,
IF(F1363="ED",1.1,
IF(F1363="SD",1.15,
IF(F1363="DC",1.2,0)))))))))))</f>
        <v>0.75</v>
      </c>
    </row>
    <row r="1364" customFormat="false" ht="16.4" hidden="false" customHeight="false" outlineLevel="0" collapsed="false">
      <c r="A1364" s="1" t="n">
        <v>1363</v>
      </c>
      <c r="B1364" s="5" t="str">
        <f aca="false">[1]Base_Jugadores!B1364</f>
        <v>Tiago Gabriel</v>
      </c>
      <c r="C1364" s="5" t="str">
        <f aca="false">IFERROR(
   _xlfn.XLOOKUP(VALUE(A1364),[1]Fichajes_Realizados!A$2:A$50000,[1]Fichajes_Realizados!D$2:D$50000,,0,-1),
   _xlfn.XLOOKUP(VALUE(A1364),[1]Base_Jugadores!A$2:A$50000,[1]Base_Jugadores!C$2:C$50000)
)</f>
        <v>US Lecce</v>
      </c>
      <c r="D1364" s="5" t="str">
        <f aca="false">[1]Base_Jugadores!D1364</f>
        <v>Portugal</v>
      </c>
      <c r="E1364" s="3"/>
      <c r="F1364" s="5" t="str">
        <f aca="false">[1]Base_Jugadores!E1364</f>
        <v>CT</v>
      </c>
      <c r="G1364" s="5" t="n">
        <f aca="false">[1]Base_Jugadores!F1364</f>
        <v>66</v>
      </c>
      <c r="H1364" s="5" t="n">
        <f aca="false">[1]Base_Jugadores!G1364</f>
        <v>21</v>
      </c>
      <c r="I1364" s="7" t="n">
        <f aca="false" t="array" ref="I1364:I1364">_xlfn.XLOOKUP(G1364,{55;56;57;58;59;60;61;62;63;64;65;66;67;68;69;70;71;72;73;74;75;76;77;78;79;80;81;82;83;84;85;86;87;88;89;90;91;92;93;94;95;96;97;98;99},{100000;130000;160000;190000;220000;250000;300000;350000;400000;450000;500000;600000;700000;800000;900000;1000000;1500000;2000000;3000000;4000000;5000000;6500000;8000000;10000000;12500000;15000000;20000000;25000000;30000000;35000000;40000000;55000000;70000000;80000000;90000000;110000000;130000000;160000000;190000000;220000000;250000000;280000000;310000000;340000000;400000000})</f>
        <v>600000</v>
      </c>
      <c r="J1364" s="7" t="n">
        <f aca="false">I1364*S1364*T1364*U1364</f>
        <v>702000</v>
      </c>
      <c r="K1364" s="3"/>
      <c r="L1364" s="3"/>
      <c r="M1364" s="3"/>
      <c r="N1364" s="9" t="n">
        <v>0</v>
      </c>
      <c r="O1364" s="4" t="n">
        <v>0</v>
      </c>
      <c r="P1364" s="5" t="n">
        <f aca="false">IF(COUNTIF([1]Base_Jugadores!J$2:J$500,B1364)&gt;0,1,0)</f>
        <v>0</v>
      </c>
      <c r="Q1364" s="10" t="b">
        <f aca="false">--(COUNTIFS(
   [1]Fichajes_Realizados!A$2:A$5000,A1364,
   [1]Fichajes_Realizados!G$2:G$5000,$X$3
)&gt;0)</f>
        <v>0</v>
      </c>
      <c r="R1364" s="5" t="n">
        <f aca="false">_xlfn.XLOOKUP(C1364, [1]Estado_Equipos!A$2:A$500, [1]Estado_Equipos!J$2:J$500, "")</f>
        <v>69</v>
      </c>
      <c r="S1364" s="5" t="n">
        <f aca="false">IF(H1364&lt;=16,1.45,
IF(H1364&gt;=41,0.3,
CHOOSE(ROUNDDOWN((H1364-16)/2,0)+1,
1.45,1.38,1.3,1.23,1.17,1.15,1.12,1.05,0.95,0.8,0.6,0.4,0.3)))</f>
        <v>1.3</v>
      </c>
      <c r="T1364" s="5" t="n">
        <f aca="false">CHOOSE(N1364+1,1.2,1,0.85,0.7)</f>
        <v>1.2</v>
      </c>
      <c r="U1364" s="5" t="n">
        <f aca="false">IF(F1364="PO",0.6,
IF(F1364="CT",0.75,
IF(F1364="LI",0.8,
IF(F1364="LD",0.8,
IF(F1364="MCD",0.85,
IF(F1364="MC",0.95,
IF(F1364="MO",1.05,
IF(F1364="EI",1.1,
IF(F1364="ED",1.1,
IF(F1364="SD",1.15,
IF(F1364="DC",1.2,0)))))))))))</f>
        <v>0.75</v>
      </c>
    </row>
    <row r="1365" customFormat="false" ht="16.4" hidden="false" customHeight="false" outlineLevel="0" collapsed="false">
      <c r="A1365" s="1" t="n">
        <v>1364</v>
      </c>
      <c r="B1365" s="5" t="str">
        <f aca="false">[1]Base_Jugadores!B1365</f>
        <v>Gaby Jean</v>
      </c>
      <c r="C1365" s="5" t="str">
        <f aca="false">IFERROR(
   _xlfn.XLOOKUP(VALUE(A1365),[1]Fichajes_Realizados!A$2:A$50000,[1]Fichajes_Realizados!D$2:D$50000,,0,-1),
   _xlfn.XLOOKUP(VALUE(A1365),[1]Base_Jugadores!A$2:A$50000,[1]Base_Jugadores!C$2:C$50000)
)</f>
        <v>US Lecce</v>
      </c>
      <c r="D1365" s="5" t="str">
        <f aca="false">[1]Base_Jugadores!D1365</f>
        <v>Francia</v>
      </c>
      <c r="E1365" s="3"/>
      <c r="F1365" s="5" t="str">
        <f aca="false">[1]Base_Jugadores!E1365</f>
        <v>CT</v>
      </c>
      <c r="G1365" s="5" t="n">
        <f aca="false">[1]Base_Jugadores!F1365</f>
        <v>70</v>
      </c>
      <c r="H1365" s="5" t="n">
        <f aca="false">[1]Base_Jugadores!G1365</f>
        <v>25</v>
      </c>
      <c r="I1365" s="7" t="n">
        <f aca="false" t="array" ref="I1365:I1365">_xlfn.XLOOKUP(G1365,{55;56;57;58;59;60;61;62;63;64;65;66;67;68;69;70;71;72;73;74;75;76;77;78;79;80;81;82;83;84;85;86;87;88;89;90;91;92;93;94;95;96;97;98;99},{100000;130000;160000;190000;220000;250000;300000;350000;400000;450000;500000;600000;700000;800000;900000;1000000;1500000;2000000;3000000;4000000;5000000;6500000;8000000;10000000;12500000;15000000;20000000;25000000;30000000;35000000;40000000;55000000;70000000;80000000;90000000;110000000;130000000;160000000;190000000;220000000;250000000;280000000;310000000;340000000;400000000})</f>
        <v>1000000</v>
      </c>
      <c r="J1365" s="7" t="n">
        <f aca="false">I1365*S1365*T1365*U1365</f>
        <v>1053000</v>
      </c>
      <c r="K1365" s="3"/>
      <c r="L1365" s="3"/>
      <c r="M1365" s="3"/>
      <c r="N1365" s="9" t="n">
        <v>0</v>
      </c>
      <c r="O1365" s="4" t="n">
        <v>0</v>
      </c>
      <c r="P1365" s="5" t="n">
        <f aca="false">IF(COUNTIF([1]Base_Jugadores!J$2:J$500,B1365)&gt;0,1,0)</f>
        <v>0</v>
      </c>
      <c r="Q1365" s="10" t="b">
        <f aca="false">--(COUNTIFS(
   [1]Fichajes_Realizados!A$2:A$5000,A1365,
   [1]Fichajes_Realizados!G$2:G$5000,$X$3
)&gt;0)</f>
        <v>0</v>
      </c>
      <c r="R1365" s="5" t="n">
        <f aca="false">_xlfn.XLOOKUP(C1365, [1]Estado_Equipos!A$2:A$500, [1]Estado_Equipos!J$2:J$500, "")</f>
        <v>69</v>
      </c>
      <c r="S1365" s="5" t="n">
        <f aca="false">IF(H1365&lt;=16,1.45,
IF(H1365&gt;=41,0.3,
CHOOSE(ROUNDDOWN((H1365-16)/2,0)+1,
1.45,1.38,1.3,1.23,1.17,1.15,1.12,1.05,0.95,0.8,0.6,0.4,0.3)))</f>
        <v>1.17</v>
      </c>
      <c r="T1365" s="5" t="n">
        <f aca="false">CHOOSE(N1365+1,1.2,1,0.85,0.7)</f>
        <v>1.2</v>
      </c>
      <c r="U1365" s="5" t="n">
        <f aca="false">IF(F1365="PO",0.6,
IF(F1365="CT",0.75,
IF(F1365="LI",0.8,
IF(F1365="LD",0.8,
IF(F1365="MCD",0.85,
IF(F1365="MC",0.95,
IF(F1365="MO",1.05,
IF(F1365="EI",1.1,
IF(F1365="ED",1.1,
IF(F1365="SD",1.15,
IF(F1365="DC",1.2,0)))))))))))</f>
        <v>0.75</v>
      </c>
    </row>
    <row r="1366" customFormat="false" ht="16.4" hidden="false" customHeight="false" outlineLevel="0" collapsed="false">
      <c r="A1366" s="1" t="n">
        <v>1365</v>
      </c>
      <c r="B1366" s="5" t="str">
        <f aca="false">[1]Base_Jugadores!B1366</f>
        <v>Antonino Gallo</v>
      </c>
      <c r="C1366" s="5" t="str">
        <f aca="false">IFERROR(
   _xlfn.XLOOKUP(VALUE(A1366),[1]Fichajes_Realizados!A$2:A$50000,[1]Fichajes_Realizados!D$2:D$50000,,0,-1),
   _xlfn.XLOOKUP(VALUE(A1366),[1]Base_Jugadores!A$2:A$50000,[1]Base_Jugadores!C$2:C$50000)
)</f>
        <v>US Lecce</v>
      </c>
      <c r="D1366" s="5" t="str">
        <f aca="false">[1]Base_Jugadores!D1366</f>
        <v>Italia</v>
      </c>
      <c r="E1366" s="3"/>
      <c r="F1366" s="5" t="str">
        <f aca="false">[1]Base_Jugadores!E1366</f>
        <v>LI</v>
      </c>
      <c r="G1366" s="5" t="n">
        <f aca="false">[1]Base_Jugadores!F1366</f>
        <v>74</v>
      </c>
      <c r="H1366" s="5" t="n">
        <f aca="false">[1]Base_Jugadores!G1366</f>
        <v>25</v>
      </c>
      <c r="I1366" s="7" t="n">
        <f aca="false" t="array" ref="I1366:I1366">_xlfn.XLOOKUP(G1366,{55;56;57;58;59;60;61;62;63;64;65;66;67;68;69;70;71;72;73;74;75;76;77;78;79;80;81;82;83;84;85;86;87;88;89;90;91;92;93;94;95;96;97;98;99},{100000;130000;160000;190000;220000;250000;300000;350000;400000;450000;500000;600000;700000;800000;900000;1000000;1500000;2000000;3000000;4000000;5000000;6500000;8000000;10000000;12500000;15000000;20000000;25000000;30000000;35000000;40000000;55000000;70000000;80000000;90000000;110000000;130000000;160000000;190000000;220000000;250000000;280000000;310000000;340000000;400000000})</f>
        <v>4000000</v>
      </c>
      <c r="J1366" s="7" t="n">
        <f aca="false">I1366*S1366*T1366*U1366</f>
        <v>4492800</v>
      </c>
      <c r="K1366" s="3"/>
      <c r="L1366" s="3"/>
      <c r="M1366" s="3"/>
      <c r="N1366" s="9" t="n">
        <v>0</v>
      </c>
      <c r="O1366" s="4" t="n">
        <v>0</v>
      </c>
      <c r="P1366" s="5" t="n">
        <f aca="false">IF(COUNTIF([1]Base_Jugadores!J$2:J$500,B1366)&gt;0,1,0)</f>
        <v>0</v>
      </c>
      <c r="Q1366" s="10" t="b">
        <f aca="false">--(COUNTIFS(
   [1]Fichajes_Realizados!A$2:A$5000,A1366,
   [1]Fichajes_Realizados!G$2:G$5000,$X$3
)&gt;0)</f>
        <v>0</v>
      </c>
      <c r="R1366" s="5" t="n">
        <f aca="false">_xlfn.XLOOKUP(C1366, [1]Estado_Equipos!A$2:A$500, [1]Estado_Equipos!J$2:J$500, "")</f>
        <v>69</v>
      </c>
      <c r="S1366" s="5" t="n">
        <f aca="false">IF(H1366&lt;=16,1.45,
IF(H1366&gt;=41,0.3,
CHOOSE(ROUNDDOWN((H1366-16)/2,0)+1,
1.45,1.38,1.3,1.23,1.17,1.15,1.12,1.05,0.95,0.8,0.6,0.4,0.3)))</f>
        <v>1.17</v>
      </c>
      <c r="T1366" s="5" t="n">
        <f aca="false">CHOOSE(N1366+1,1.2,1,0.85,0.7)</f>
        <v>1.2</v>
      </c>
      <c r="U1366" s="5" t="n">
        <f aca="false">IF(F1366="PO",0.6,
IF(F1366="CT",0.75,
IF(F1366="LI",0.8,
IF(F1366="LD",0.8,
IF(F1366="MCD",0.85,
IF(F1366="MC",0.95,
IF(F1366="MO",1.05,
IF(F1366="EI",1.1,
IF(F1366="ED",1.1,
IF(F1366="SD",1.15,
IF(F1366="DC",1.2,0)))))))))))</f>
        <v>0.8</v>
      </c>
    </row>
    <row r="1367" customFormat="false" ht="16.4" hidden="false" customHeight="false" outlineLevel="0" collapsed="false">
      <c r="A1367" s="1" t="n">
        <v>1366</v>
      </c>
      <c r="B1367" s="5" t="str">
        <f aca="false">[1]Base_Jugadores!B1367</f>
        <v>Corrie Ndaba</v>
      </c>
      <c r="C1367" s="5" t="str">
        <f aca="false">IFERROR(
   _xlfn.XLOOKUP(VALUE(A1367),[1]Fichajes_Realizados!A$2:A$50000,[1]Fichajes_Realizados!D$2:D$50000,,0,-1),
   _xlfn.XLOOKUP(VALUE(A1367),[1]Base_Jugadores!A$2:A$50000,[1]Base_Jugadores!C$2:C$50000)
)</f>
        <v>US Lecce</v>
      </c>
      <c r="D1367" s="5" t="str">
        <f aca="false">[1]Base_Jugadores!D1367</f>
        <v>Irlanda</v>
      </c>
      <c r="E1367" s="3"/>
      <c r="F1367" s="5" t="str">
        <f aca="false">[1]Base_Jugadores!E1367</f>
        <v>LI</v>
      </c>
      <c r="G1367" s="5" t="n">
        <f aca="false">[1]Base_Jugadores!F1367</f>
        <v>69</v>
      </c>
      <c r="H1367" s="5" t="n">
        <f aca="false">[1]Base_Jugadores!G1367</f>
        <v>26</v>
      </c>
      <c r="I1367" s="7" t="n">
        <f aca="false" t="array" ref="I1367:I1367">_xlfn.XLOOKUP(G1367,{55;56;57;58;59;60;61;62;63;64;65;66;67;68;69;70;71;72;73;74;75;76;77;78;79;80;81;82;83;84;85;86;87;88;89;90;91;92;93;94;95;96;97;98;99},{100000;130000;160000;190000;220000;250000;300000;350000;400000;450000;500000;600000;700000;800000;900000;1000000;1500000;2000000;3000000;4000000;5000000;6500000;8000000;10000000;12500000;15000000;20000000;25000000;30000000;35000000;40000000;55000000;70000000;80000000;90000000;110000000;130000000;160000000;190000000;220000000;250000000;280000000;310000000;340000000;400000000})</f>
        <v>900000</v>
      </c>
      <c r="J1367" s="7" t="n">
        <f aca="false">I1367*S1367*T1367*U1367</f>
        <v>993600</v>
      </c>
      <c r="K1367" s="3"/>
      <c r="L1367" s="3"/>
      <c r="M1367" s="3"/>
      <c r="N1367" s="9" t="n">
        <v>0</v>
      </c>
      <c r="O1367" s="4" t="n">
        <v>0</v>
      </c>
      <c r="P1367" s="5" t="n">
        <f aca="false">IF(COUNTIF([1]Base_Jugadores!J$2:J$500,B1367)&gt;0,1,0)</f>
        <v>0</v>
      </c>
      <c r="Q1367" s="10" t="b">
        <f aca="false">--(COUNTIFS(
   [1]Fichajes_Realizados!A$2:A$5000,A1367,
   [1]Fichajes_Realizados!G$2:G$5000,$X$3
)&gt;0)</f>
        <v>0</v>
      </c>
      <c r="R1367" s="5" t="n">
        <f aca="false">_xlfn.XLOOKUP(C1367, [1]Estado_Equipos!A$2:A$500, [1]Estado_Equipos!J$2:J$500, "")</f>
        <v>69</v>
      </c>
      <c r="S1367" s="5" t="n">
        <f aca="false">IF(H1367&lt;=16,1.45,
IF(H1367&gt;=41,0.3,
CHOOSE(ROUNDDOWN((H1367-16)/2,0)+1,
1.45,1.38,1.3,1.23,1.17,1.15,1.12,1.05,0.95,0.8,0.6,0.4,0.3)))</f>
        <v>1.15</v>
      </c>
      <c r="T1367" s="5" t="n">
        <f aca="false">CHOOSE(N1367+1,1.2,1,0.85,0.7)</f>
        <v>1.2</v>
      </c>
      <c r="U1367" s="5" t="n">
        <f aca="false">IF(F1367="PO",0.6,
IF(F1367="CT",0.75,
IF(F1367="LI",0.8,
IF(F1367="LD",0.8,
IF(F1367="MCD",0.85,
IF(F1367="MC",0.95,
IF(F1367="MO",1.05,
IF(F1367="EI",1.1,
IF(F1367="ED",1.1,
IF(F1367="SD",1.15,
IF(F1367="DC",1.2,0)))))))))))</f>
        <v>0.8</v>
      </c>
    </row>
    <row r="1368" customFormat="false" ht="16.4" hidden="false" customHeight="false" outlineLevel="0" collapsed="false">
      <c r="A1368" s="1" t="n">
        <v>1367</v>
      </c>
      <c r="B1368" s="5" t="str">
        <f aca="false">[1]Base_Jugadores!B1368</f>
        <v>Christ-Owen Kouassi</v>
      </c>
      <c r="C1368" s="5" t="str">
        <f aca="false">IFERROR(
   _xlfn.XLOOKUP(VALUE(A1368),[1]Fichajes_Realizados!A$2:A$50000,[1]Fichajes_Realizados!D$2:D$50000,,0,-1),
   _xlfn.XLOOKUP(VALUE(A1368),[1]Base_Jugadores!A$2:A$50000,[1]Base_Jugadores!C$2:C$50000)
)</f>
        <v>US Lecce</v>
      </c>
      <c r="D1368" s="5" t="str">
        <f aca="false">[1]Base_Jugadores!D1368</f>
        <v>Costa de Marfil</v>
      </c>
      <c r="E1368" s="3"/>
      <c r="F1368" s="5" t="str">
        <f aca="false">[1]Base_Jugadores!E1368</f>
        <v>LD</v>
      </c>
      <c r="G1368" s="5" t="n">
        <f aca="false">[1]Base_Jugadores!F1368</f>
        <v>66</v>
      </c>
      <c r="H1368" s="5" t="n">
        <f aca="false">[1]Base_Jugadores!G1368</f>
        <v>22</v>
      </c>
      <c r="I1368" s="7" t="n">
        <f aca="false" t="array" ref="I1368:I1368">_xlfn.XLOOKUP(G1368,{55;56;57;58;59;60;61;62;63;64;65;66;67;68;69;70;71;72;73;74;75;76;77;78;79;80;81;82;83;84;85;86;87;88;89;90;91;92;93;94;95;96;97;98;99},{100000;130000;160000;190000;220000;250000;300000;350000;400000;450000;500000;600000;700000;800000;900000;1000000;1500000;2000000;3000000;4000000;5000000;6500000;8000000;10000000;12500000;15000000;20000000;25000000;30000000;35000000;40000000;55000000;70000000;80000000;90000000;110000000;130000000;160000000;190000000;220000000;250000000;280000000;310000000;340000000;400000000})</f>
        <v>600000</v>
      </c>
      <c r="J1368" s="7" t="n">
        <f aca="false">I1368*S1368*T1368*U1368</f>
        <v>708480</v>
      </c>
      <c r="K1368" s="3"/>
      <c r="L1368" s="3"/>
      <c r="M1368" s="3"/>
      <c r="N1368" s="9" t="n">
        <v>0</v>
      </c>
      <c r="O1368" s="4" t="n">
        <v>0</v>
      </c>
      <c r="P1368" s="5" t="n">
        <f aca="false">IF(COUNTIF([1]Base_Jugadores!J$2:J$500,B1368)&gt;0,1,0)</f>
        <v>0</v>
      </c>
      <c r="Q1368" s="10" t="b">
        <f aca="false">--(COUNTIFS(
   [1]Fichajes_Realizados!A$2:A$5000,A1368,
   [1]Fichajes_Realizados!G$2:G$5000,$X$3
)&gt;0)</f>
        <v>0</v>
      </c>
      <c r="R1368" s="5" t="n">
        <f aca="false">_xlfn.XLOOKUP(C1368, [1]Estado_Equipos!A$2:A$500, [1]Estado_Equipos!J$2:J$500, "")</f>
        <v>69</v>
      </c>
      <c r="S1368" s="5" t="n">
        <f aca="false">IF(H1368&lt;=16,1.45,
IF(H1368&gt;=41,0.3,
CHOOSE(ROUNDDOWN((H1368-16)/2,0)+1,
1.45,1.38,1.3,1.23,1.17,1.15,1.12,1.05,0.95,0.8,0.6,0.4,0.3)))</f>
        <v>1.23</v>
      </c>
      <c r="T1368" s="5" t="n">
        <f aca="false">CHOOSE(N1368+1,1.2,1,0.85,0.7)</f>
        <v>1.2</v>
      </c>
      <c r="U1368" s="5" t="n">
        <f aca="false">IF(F1368="PO",0.6,
IF(F1368="CT",0.75,
IF(F1368="LI",0.8,
IF(F1368="LD",0.8,
IF(F1368="MCD",0.85,
IF(F1368="MC",0.95,
IF(F1368="MO",1.05,
IF(F1368="EI",1.1,
IF(F1368="ED",1.1,
IF(F1368="SD",1.15,
IF(F1368="DC",1.2,0)))))))))))</f>
        <v>0.8</v>
      </c>
    </row>
    <row r="1369" customFormat="false" ht="16.4" hidden="false" customHeight="false" outlineLevel="0" collapsed="false">
      <c r="A1369" s="1" t="n">
        <v>1368</v>
      </c>
      <c r="B1369" s="5" t="str">
        <f aca="false">[1]Base_Jugadores!B1369</f>
        <v>Frédéric Guilbert</v>
      </c>
      <c r="C1369" s="5" t="str">
        <f aca="false">IFERROR(
   _xlfn.XLOOKUP(VALUE(A1369),[1]Fichajes_Realizados!A$2:A$50000,[1]Fichajes_Realizados!D$2:D$50000,,0,-1),
   _xlfn.XLOOKUP(VALUE(A1369),[1]Base_Jugadores!A$2:A$50000,[1]Base_Jugadores!C$2:C$50000)
)</f>
        <v>US Lecce</v>
      </c>
      <c r="D1369" s="5" t="str">
        <f aca="false">[1]Base_Jugadores!D1369</f>
        <v>Francia</v>
      </c>
      <c r="E1369" s="3"/>
      <c r="F1369" s="5" t="str">
        <f aca="false">[1]Base_Jugadores!E1369</f>
        <v>LD</v>
      </c>
      <c r="G1369" s="5" t="n">
        <f aca="false">[1]Base_Jugadores!F1369</f>
        <v>76</v>
      </c>
      <c r="H1369" s="5" t="n">
        <f aca="false">[1]Base_Jugadores!G1369</f>
        <v>31</v>
      </c>
      <c r="I1369" s="7" t="n">
        <f aca="false" t="array" ref="I1369:I1369">_xlfn.XLOOKUP(G1369,{55;56;57;58;59;60;61;62;63;64;65;66;67;68;69;70;71;72;73;74;75;76;77;78;79;80;81;82;83;84;85;86;87;88;89;90;91;92;93;94;95;96;97;98;99},{100000;130000;160000;190000;220000;250000;300000;350000;400000;450000;500000;600000;700000;800000;900000;1000000;1500000;2000000;3000000;4000000;5000000;6500000;8000000;10000000;12500000;15000000;20000000;25000000;30000000;35000000;40000000;55000000;70000000;80000000;90000000;110000000;130000000;160000000;190000000;220000000;250000000;280000000;310000000;340000000;400000000})</f>
        <v>6500000</v>
      </c>
      <c r="J1369" s="7" t="n">
        <f aca="false">I1369*S1369*T1369*U1369</f>
        <v>6552000</v>
      </c>
      <c r="K1369" s="3"/>
      <c r="L1369" s="3"/>
      <c r="M1369" s="3"/>
      <c r="N1369" s="9" t="n">
        <v>0</v>
      </c>
      <c r="O1369" s="4" t="n">
        <v>0</v>
      </c>
      <c r="P1369" s="5" t="n">
        <f aca="false">IF(COUNTIF([1]Base_Jugadores!J$2:J$500,B1369)&gt;0,1,0)</f>
        <v>0</v>
      </c>
      <c r="Q1369" s="10" t="b">
        <f aca="false">--(COUNTIFS(
   [1]Fichajes_Realizados!A$2:A$5000,A1369,
   [1]Fichajes_Realizados!G$2:G$5000,$X$3
)&gt;0)</f>
        <v>0</v>
      </c>
      <c r="R1369" s="5" t="n">
        <f aca="false">_xlfn.XLOOKUP(C1369, [1]Estado_Equipos!A$2:A$500, [1]Estado_Equipos!J$2:J$500, "")</f>
        <v>69</v>
      </c>
      <c r="S1369" s="5" t="n">
        <f aca="false">IF(H1369&lt;=16,1.45,
IF(H1369&gt;=41,0.3,
CHOOSE(ROUNDDOWN((H1369-16)/2,0)+1,
1.45,1.38,1.3,1.23,1.17,1.15,1.12,1.05,0.95,0.8,0.6,0.4,0.3)))</f>
        <v>1.05</v>
      </c>
      <c r="T1369" s="5" t="n">
        <f aca="false">CHOOSE(N1369+1,1.2,1,0.85,0.7)</f>
        <v>1.2</v>
      </c>
      <c r="U1369" s="5" t="n">
        <f aca="false">IF(F1369="PO",0.6,
IF(F1369="CT",0.75,
IF(F1369="LI",0.8,
IF(F1369="LD",0.8,
IF(F1369="MCD",0.85,
IF(F1369="MC",0.95,
IF(F1369="MO",1.05,
IF(F1369="EI",1.1,
IF(F1369="ED",1.1,
IF(F1369="SD",1.15,
IF(F1369="DC",1.2,0)))))))))))</f>
        <v>0.8</v>
      </c>
    </row>
    <row r="1370" customFormat="false" ht="16.4" hidden="false" customHeight="false" outlineLevel="0" collapsed="false">
      <c r="A1370" s="1" t="n">
        <v>1369</v>
      </c>
      <c r="B1370" s="5" t="str">
        <f aca="false">[1]Base_Jugadores!B1370</f>
        <v>Danilo Veiga</v>
      </c>
      <c r="C1370" s="5" t="str">
        <f aca="false">IFERROR(
   _xlfn.XLOOKUP(VALUE(A1370),[1]Fichajes_Realizados!A$2:A$50000,[1]Fichajes_Realizados!D$2:D$50000,,0,-1),
   _xlfn.XLOOKUP(VALUE(A1370),[1]Base_Jugadores!A$2:A$50000,[1]Base_Jugadores!C$2:C$50000)
)</f>
        <v>US Lecce</v>
      </c>
      <c r="D1370" s="5" t="str">
        <f aca="false">[1]Base_Jugadores!D1370</f>
        <v>Portugal</v>
      </c>
      <c r="E1370" s="3"/>
      <c r="F1370" s="5" t="str">
        <f aca="false">[1]Base_Jugadores!E1370</f>
        <v>LD</v>
      </c>
      <c r="G1370" s="5" t="n">
        <f aca="false">[1]Base_Jugadores!F1370</f>
        <v>69</v>
      </c>
      <c r="H1370" s="5" t="n">
        <f aca="false">[1]Base_Jugadores!G1370</f>
        <v>23</v>
      </c>
      <c r="I1370" s="7" t="n">
        <f aca="false" t="array" ref="I1370:I1370">_xlfn.XLOOKUP(G1370,{55;56;57;58;59;60;61;62;63;64;65;66;67;68;69;70;71;72;73;74;75;76;77;78;79;80;81;82;83;84;85;86;87;88;89;90;91;92;93;94;95;96;97;98;99},{100000;130000;160000;190000;220000;250000;300000;350000;400000;450000;500000;600000;700000;800000;900000;1000000;1500000;2000000;3000000;4000000;5000000;6500000;8000000;10000000;12500000;15000000;20000000;25000000;30000000;35000000;40000000;55000000;70000000;80000000;90000000;110000000;130000000;160000000;190000000;220000000;250000000;280000000;310000000;340000000;400000000})</f>
        <v>900000</v>
      </c>
      <c r="J1370" s="7" t="n">
        <f aca="false">I1370*S1370*T1370*U1370</f>
        <v>1062720</v>
      </c>
      <c r="K1370" s="3"/>
      <c r="L1370" s="3"/>
      <c r="M1370" s="3"/>
      <c r="N1370" s="9" t="n">
        <v>0</v>
      </c>
      <c r="O1370" s="4" t="n">
        <v>0</v>
      </c>
      <c r="P1370" s="5" t="n">
        <f aca="false">IF(COUNTIF([1]Base_Jugadores!J$2:J$500,B1370)&gt;0,1,0)</f>
        <v>0</v>
      </c>
      <c r="Q1370" s="10" t="b">
        <f aca="false">--(COUNTIFS(
   [1]Fichajes_Realizados!A$2:A$5000,A1370,
   [1]Fichajes_Realizados!G$2:G$5000,$X$3
)&gt;0)</f>
        <v>0</v>
      </c>
      <c r="R1370" s="5" t="n">
        <f aca="false">_xlfn.XLOOKUP(C1370, [1]Estado_Equipos!A$2:A$500, [1]Estado_Equipos!J$2:J$500, "")</f>
        <v>69</v>
      </c>
      <c r="S1370" s="5" t="n">
        <f aca="false">IF(H1370&lt;=16,1.45,
IF(H1370&gt;=41,0.3,
CHOOSE(ROUNDDOWN((H1370-16)/2,0)+1,
1.45,1.38,1.3,1.23,1.17,1.15,1.12,1.05,0.95,0.8,0.6,0.4,0.3)))</f>
        <v>1.23</v>
      </c>
      <c r="T1370" s="5" t="n">
        <f aca="false">CHOOSE(N1370+1,1.2,1,0.85,0.7)</f>
        <v>1.2</v>
      </c>
      <c r="U1370" s="5" t="n">
        <f aca="false">IF(F1370="PO",0.6,
IF(F1370="CT",0.75,
IF(F1370="LI",0.8,
IF(F1370="LD",0.8,
IF(F1370="MCD",0.85,
IF(F1370="MC",0.95,
IF(F1370="MO",1.05,
IF(F1370="EI",1.1,
IF(F1370="ED",1.1,
IF(F1370="SD",1.15,
IF(F1370="DC",1.2,0)))))))))))</f>
        <v>0.8</v>
      </c>
    </row>
    <row r="1371" customFormat="false" ht="16.4" hidden="false" customHeight="false" outlineLevel="0" collapsed="false">
      <c r="A1371" s="1" t="n">
        <v>1370</v>
      </c>
      <c r="B1371" s="5" t="str">
        <f aca="false">[1]Base_Jugadores!B1371</f>
        <v>Ylber Ramadani</v>
      </c>
      <c r="C1371" s="5" t="str">
        <f aca="false">IFERROR(
   _xlfn.XLOOKUP(VALUE(A1371),[1]Fichajes_Realizados!A$2:A$50000,[1]Fichajes_Realizados!D$2:D$50000,,0,-1),
   _xlfn.XLOOKUP(VALUE(A1371),[1]Base_Jugadores!A$2:A$50000,[1]Base_Jugadores!C$2:C$50000)
)</f>
        <v>US Lecce</v>
      </c>
      <c r="D1371" s="5" t="str">
        <f aca="false">[1]Base_Jugadores!D1371</f>
        <v>Albania</v>
      </c>
      <c r="E1371" s="3"/>
      <c r="F1371" s="5" t="str">
        <f aca="false">[1]Base_Jugadores!E1371</f>
        <v>MCD</v>
      </c>
      <c r="G1371" s="5" t="n">
        <f aca="false">[1]Base_Jugadores!F1371</f>
        <v>71</v>
      </c>
      <c r="H1371" s="5" t="n">
        <f aca="false">[1]Base_Jugadores!G1371</f>
        <v>29</v>
      </c>
      <c r="I1371" s="7" t="n">
        <f aca="false" t="array" ref="I1371:I1371">_xlfn.XLOOKUP(G1371,{55;56;57;58;59;60;61;62;63;64;65;66;67;68;69;70;71;72;73;74;75;76;77;78;79;80;81;82;83;84;85;86;87;88;89;90;91;92;93;94;95;96;97;98;99},{100000;130000;160000;190000;220000;250000;300000;350000;400000;450000;500000;600000;700000;800000;900000;1000000;1500000;2000000;3000000;4000000;5000000;6500000;8000000;10000000;12500000;15000000;20000000;25000000;30000000;35000000;40000000;55000000;70000000;80000000;90000000;110000000;130000000;160000000;190000000;220000000;250000000;280000000;310000000;340000000;400000000})</f>
        <v>1500000</v>
      </c>
      <c r="J1371" s="7" t="n">
        <f aca="false">I1371*S1371*T1371*U1371</f>
        <v>1713600</v>
      </c>
      <c r="K1371" s="3"/>
      <c r="L1371" s="3"/>
      <c r="M1371" s="3"/>
      <c r="N1371" s="9" t="n">
        <v>0</v>
      </c>
      <c r="O1371" s="4" t="n">
        <v>0</v>
      </c>
      <c r="P1371" s="5" t="n">
        <f aca="false">IF(COUNTIF([1]Base_Jugadores!J$2:J$500,B1371)&gt;0,1,0)</f>
        <v>0</v>
      </c>
      <c r="Q1371" s="10" t="b">
        <f aca="false">--(COUNTIFS(
   [1]Fichajes_Realizados!A$2:A$5000,A1371,
   [1]Fichajes_Realizados!G$2:G$5000,$X$3
)&gt;0)</f>
        <v>0</v>
      </c>
      <c r="R1371" s="5" t="n">
        <f aca="false">_xlfn.XLOOKUP(C1371, [1]Estado_Equipos!A$2:A$500, [1]Estado_Equipos!J$2:J$500, "")</f>
        <v>69</v>
      </c>
      <c r="S1371" s="5" t="n">
        <f aca="false">IF(H1371&lt;=16,1.45,
IF(H1371&gt;=41,0.3,
CHOOSE(ROUNDDOWN((H1371-16)/2,0)+1,
1.45,1.38,1.3,1.23,1.17,1.15,1.12,1.05,0.95,0.8,0.6,0.4,0.3)))</f>
        <v>1.12</v>
      </c>
      <c r="T1371" s="5" t="n">
        <f aca="false">CHOOSE(N1371+1,1.2,1,0.85,0.7)</f>
        <v>1.2</v>
      </c>
      <c r="U1371" s="5" t="n">
        <f aca="false">IF(F1371="PO",0.6,
IF(F1371="CT",0.75,
IF(F1371="LI",0.8,
IF(F1371="LD",0.8,
IF(F1371="MCD",0.85,
IF(F1371="MC",0.95,
IF(F1371="MO",1.05,
IF(F1371="EI",1.1,
IF(F1371="ED",1.1,
IF(F1371="SD",1.15,
IF(F1371="DC",1.2,0)))))))))))</f>
        <v>0.85</v>
      </c>
    </row>
    <row r="1372" customFormat="false" ht="16.4" hidden="false" customHeight="false" outlineLevel="0" collapsed="false">
      <c r="A1372" s="1" t="n">
        <v>1371</v>
      </c>
      <c r="B1372" s="5" t="str">
        <f aca="false">[1]Base_Jugadores!B1372</f>
        <v>Balthazar Pierret</v>
      </c>
      <c r="C1372" s="5" t="str">
        <f aca="false">IFERROR(
   _xlfn.XLOOKUP(VALUE(A1372),[1]Fichajes_Realizados!A$2:A$50000,[1]Fichajes_Realizados!D$2:D$50000,,0,-1),
   _xlfn.XLOOKUP(VALUE(A1372),[1]Base_Jugadores!A$2:A$50000,[1]Base_Jugadores!C$2:C$50000)
)</f>
        <v>US Lecce</v>
      </c>
      <c r="D1372" s="5" t="str">
        <f aca="false">[1]Base_Jugadores!D1372</f>
        <v>Francia</v>
      </c>
      <c r="E1372" s="3"/>
      <c r="F1372" s="5" t="str">
        <f aca="false">[1]Base_Jugadores!E1372</f>
        <v>MCD</v>
      </c>
      <c r="G1372" s="5" t="n">
        <f aca="false">[1]Base_Jugadores!F1372</f>
        <v>68</v>
      </c>
      <c r="H1372" s="5" t="n">
        <f aca="false">[1]Base_Jugadores!G1372</f>
        <v>25</v>
      </c>
      <c r="I1372" s="7" t="n">
        <f aca="false" t="array" ref="I1372:I1372">_xlfn.XLOOKUP(G1372,{55;56;57;58;59;60;61;62;63;64;65;66;67;68;69;70;71;72;73;74;75;76;77;78;79;80;81;82;83;84;85;86;87;88;89;90;91;92;93;94;95;96;97;98;99},{100000;130000;160000;190000;220000;250000;300000;350000;400000;450000;500000;600000;700000;800000;900000;1000000;1500000;2000000;3000000;4000000;5000000;6500000;8000000;10000000;12500000;15000000;20000000;25000000;30000000;35000000;40000000;55000000;70000000;80000000;90000000;110000000;130000000;160000000;190000000;220000000;250000000;280000000;310000000;340000000;400000000})</f>
        <v>800000</v>
      </c>
      <c r="J1372" s="7" t="n">
        <f aca="false">I1372*S1372*T1372*U1372</f>
        <v>954720</v>
      </c>
      <c r="K1372" s="3"/>
      <c r="L1372" s="3"/>
      <c r="M1372" s="3"/>
      <c r="N1372" s="9" t="n">
        <v>0</v>
      </c>
      <c r="O1372" s="4" t="n">
        <v>0</v>
      </c>
      <c r="P1372" s="5" t="n">
        <f aca="false">IF(COUNTIF([1]Base_Jugadores!J$2:J$500,B1372)&gt;0,1,0)</f>
        <v>0</v>
      </c>
      <c r="Q1372" s="10" t="b">
        <f aca="false">--(COUNTIFS(
   [1]Fichajes_Realizados!A$2:A$5000,A1372,
   [1]Fichajes_Realizados!G$2:G$5000,$X$3
)&gt;0)</f>
        <v>0</v>
      </c>
      <c r="R1372" s="5" t="n">
        <f aca="false">_xlfn.XLOOKUP(C1372, [1]Estado_Equipos!A$2:A$500, [1]Estado_Equipos!J$2:J$500, "")</f>
        <v>69</v>
      </c>
      <c r="S1372" s="5" t="n">
        <f aca="false">IF(H1372&lt;=16,1.45,
IF(H1372&gt;=41,0.3,
CHOOSE(ROUNDDOWN((H1372-16)/2,0)+1,
1.45,1.38,1.3,1.23,1.17,1.15,1.12,1.05,0.95,0.8,0.6,0.4,0.3)))</f>
        <v>1.17</v>
      </c>
      <c r="T1372" s="5" t="n">
        <f aca="false">CHOOSE(N1372+1,1.2,1,0.85,0.7)</f>
        <v>1.2</v>
      </c>
      <c r="U1372" s="5" t="n">
        <f aca="false">IF(F1372="PO",0.6,
IF(F1372="CT",0.75,
IF(F1372="LI",0.8,
IF(F1372="LD",0.8,
IF(F1372="MCD",0.85,
IF(F1372="MC",0.95,
IF(F1372="MO",1.05,
IF(F1372="EI",1.1,
IF(F1372="ED",1.1,
IF(F1372="SD",1.15,
IF(F1372="DC",1.2,0)))))))))))</f>
        <v>0.85</v>
      </c>
    </row>
    <row r="1373" customFormat="false" ht="16.4" hidden="false" customHeight="false" outlineLevel="0" collapsed="false">
      <c r="A1373" s="1" t="n">
        <v>1372</v>
      </c>
      <c r="B1373" s="5" t="str">
        <f aca="false">[1]Base_Jugadores!B1373</f>
        <v>Thórir Helgason</v>
      </c>
      <c r="C1373" s="5" t="str">
        <f aca="false">IFERROR(
   _xlfn.XLOOKUP(VALUE(A1373),[1]Fichajes_Realizados!A$2:A$50000,[1]Fichajes_Realizados!D$2:D$50000,,0,-1),
   _xlfn.XLOOKUP(VALUE(A1373),[1]Base_Jugadores!A$2:A$50000,[1]Base_Jugadores!C$2:C$50000)
)</f>
        <v>US Lecce</v>
      </c>
      <c r="D1373" s="5" t="str">
        <f aca="false">[1]Base_Jugadores!D1373</f>
        <v>Islandia</v>
      </c>
      <c r="E1373" s="3"/>
      <c r="F1373" s="5" t="str">
        <f aca="false">[1]Base_Jugadores!E1373</f>
        <v>MC</v>
      </c>
      <c r="G1373" s="5" t="n">
        <f aca="false">[1]Base_Jugadores!F1373</f>
        <v>69</v>
      </c>
      <c r="H1373" s="5" t="n">
        <f aca="false">[1]Base_Jugadores!G1373</f>
        <v>25</v>
      </c>
      <c r="I1373" s="7" t="n">
        <f aca="false" t="array" ref="I1373:I1373">_xlfn.XLOOKUP(G1373,{55;56;57;58;59;60;61;62;63;64;65;66;67;68;69;70;71;72;73;74;75;76;77;78;79;80;81;82;83;84;85;86;87;88;89;90;91;92;93;94;95;96;97;98;99},{100000;130000;160000;190000;220000;250000;300000;350000;400000;450000;500000;600000;700000;800000;900000;1000000;1500000;2000000;3000000;4000000;5000000;6500000;8000000;10000000;12500000;15000000;20000000;25000000;30000000;35000000;40000000;55000000;70000000;80000000;90000000;110000000;130000000;160000000;190000000;220000000;250000000;280000000;310000000;340000000;400000000})</f>
        <v>900000</v>
      </c>
      <c r="J1373" s="7" t="n">
        <f aca="false">I1373*S1373*T1373*U1373</f>
        <v>1200420</v>
      </c>
      <c r="K1373" s="3"/>
      <c r="L1373" s="3"/>
      <c r="M1373" s="3"/>
      <c r="N1373" s="9" t="n">
        <v>0</v>
      </c>
      <c r="O1373" s="4" t="n">
        <v>0</v>
      </c>
      <c r="P1373" s="5" t="n">
        <f aca="false">IF(COUNTIF([1]Base_Jugadores!J$2:J$500,B1373)&gt;0,1,0)</f>
        <v>0</v>
      </c>
      <c r="Q1373" s="10" t="b">
        <f aca="false">--(COUNTIFS(
   [1]Fichajes_Realizados!A$2:A$5000,A1373,
   [1]Fichajes_Realizados!G$2:G$5000,$X$3
)&gt;0)</f>
        <v>0</v>
      </c>
      <c r="R1373" s="5" t="n">
        <f aca="false">_xlfn.XLOOKUP(C1373, [1]Estado_Equipos!A$2:A$500, [1]Estado_Equipos!J$2:J$500, "")</f>
        <v>69</v>
      </c>
      <c r="S1373" s="5" t="n">
        <f aca="false">IF(H1373&lt;=16,1.45,
IF(H1373&gt;=41,0.3,
CHOOSE(ROUNDDOWN((H1373-16)/2,0)+1,
1.45,1.38,1.3,1.23,1.17,1.15,1.12,1.05,0.95,0.8,0.6,0.4,0.3)))</f>
        <v>1.17</v>
      </c>
      <c r="T1373" s="5" t="n">
        <f aca="false">CHOOSE(N1373+1,1.2,1,0.85,0.7)</f>
        <v>1.2</v>
      </c>
      <c r="U1373" s="5" t="n">
        <f aca="false">IF(F1373="PO",0.6,
IF(F1373="CT",0.75,
IF(F1373="LI",0.8,
IF(F1373="LD",0.8,
IF(F1373="MCD",0.85,
IF(F1373="MC",0.95,
IF(F1373="MO",1.05,
IF(F1373="EI",1.1,
IF(F1373="ED",1.1,
IF(F1373="SD",1.15,
IF(F1373="DC",1.2,0)))))))))))</f>
        <v>0.95</v>
      </c>
    </row>
    <row r="1374" customFormat="false" ht="16.4" hidden="false" customHeight="false" outlineLevel="0" collapsed="false">
      <c r="A1374" s="1" t="n">
        <v>1373</v>
      </c>
      <c r="B1374" s="5" t="str">
        <f aca="false">[1]Base_Jugadores!B1374</f>
        <v>Lassana Coulibaly</v>
      </c>
      <c r="C1374" s="5" t="str">
        <f aca="false">IFERROR(
   _xlfn.XLOOKUP(VALUE(A1374),[1]Fichajes_Realizados!A$2:A$50000,[1]Fichajes_Realizados!D$2:D$50000,,0,-1),
   _xlfn.XLOOKUP(VALUE(A1374),[1]Base_Jugadores!A$2:A$50000,[1]Base_Jugadores!C$2:C$50000)
)</f>
        <v>US Lecce</v>
      </c>
      <c r="D1374" s="5" t="str">
        <f aca="false">[1]Base_Jugadores!D1374</f>
        <v>Malí</v>
      </c>
      <c r="E1374" s="3"/>
      <c r="F1374" s="5" t="str">
        <f aca="false">[1]Base_Jugadores!E1374</f>
        <v>MC</v>
      </c>
      <c r="G1374" s="5" t="n">
        <f aca="false">[1]Base_Jugadores!F1374</f>
        <v>75</v>
      </c>
      <c r="H1374" s="5" t="n">
        <f aca="false">[1]Base_Jugadores!G1374</f>
        <v>29</v>
      </c>
      <c r="I1374" s="7" t="n">
        <f aca="false" t="array" ref="I1374:I1374">_xlfn.XLOOKUP(G1374,{55;56;57;58;59;60;61;62;63;64;65;66;67;68;69;70;71;72;73;74;75;76;77;78;79;80;81;82;83;84;85;86;87;88;89;90;91;92;93;94;95;96;97;98;99},{100000;130000;160000;190000;220000;250000;300000;350000;400000;450000;500000;600000;700000;800000;900000;1000000;1500000;2000000;3000000;4000000;5000000;6500000;8000000;10000000;12500000;15000000;20000000;25000000;30000000;35000000;40000000;55000000;70000000;80000000;90000000;110000000;130000000;160000000;190000000;220000000;250000000;280000000;310000000;340000000;400000000})</f>
        <v>5000000</v>
      </c>
      <c r="J1374" s="7" t="n">
        <f aca="false">I1374*S1374*T1374*U1374</f>
        <v>6384000</v>
      </c>
      <c r="K1374" s="3"/>
      <c r="L1374" s="3"/>
      <c r="M1374" s="3"/>
      <c r="N1374" s="9" t="n">
        <v>0</v>
      </c>
      <c r="O1374" s="4" t="n">
        <v>0</v>
      </c>
      <c r="P1374" s="5" t="n">
        <f aca="false">IF(COUNTIF([1]Base_Jugadores!J$2:J$500,B1374)&gt;0,1,0)</f>
        <v>0</v>
      </c>
      <c r="Q1374" s="10" t="b">
        <f aca="false">--(COUNTIFS(
   [1]Fichajes_Realizados!A$2:A$5000,A1374,
   [1]Fichajes_Realizados!G$2:G$5000,$X$3
)&gt;0)</f>
        <v>0</v>
      </c>
      <c r="R1374" s="5" t="n">
        <f aca="false">_xlfn.XLOOKUP(C1374, [1]Estado_Equipos!A$2:A$500, [1]Estado_Equipos!J$2:J$500, "")</f>
        <v>69</v>
      </c>
      <c r="S1374" s="5" t="n">
        <f aca="false">IF(H1374&lt;=16,1.45,
IF(H1374&gt;=41,0.3,
CHOOSE(ROUNDDOWN((H1374-16)/2,0)+1,
1.45,1.38,1.3,1.23,1.17,1.15,1.12,1.05,0.95,0.8,0.6,0.4,0.3)))</f>
        <v>1.12</v>
      </c>
      <c r="T1374" s="5" t="n">
        <f aca="false">CHOOSE(N1374+1,1.2,1,0.85,0.7)</f>
        <v>1.2</v>
      </c>
      <c r="U1374" s="5" t="n">
        <f aca="false">IF(F1374="PO",0.6,
IF(F1374="CT",0.75,
IF(F1374="LI",0.8,
IF(F1374="LD",0.8,
IF(F1374="MCD",0.85,
IF(F1374="MC",0.95,
IF(F1374="MO",1.05,
IF(F1374="EI",1.1,
IF(F1374="ED",1.1,
IF(F1374="SD",1.15,
IF(F1374="DC",1.2,0)))))))))))</f>
        <v>0.95</v>
      </c>
    </row>
    <row r="1375" customFormat="false" ht="16.4" hidden="false" customHeight="false" outlineLevel="0" collapsed="false">
      <c r="A1375" s="1" t="n">
        <v>1374</v>
      </c>
      <c r="B1375" s="5" t="str">
        <f aca="false">[1]Base_Jugadores!B1375</f>
        <v>Mohamed Kaba</v>
      </c>
      <c r="C1375" s="5" t="str">
        <f aca="false">IFERROR(
   _xlfn.XLOOKUP(VALUE(A1375),[1]Fichajes_Realizados!A$2:A$50000,[1]Fichajes_Realizados!D$2:D$50000,,0,-1),
   _xlfn.XLOOKUP(VALUE(A1375),[1]Base_Jugadores!A$2:A$50000,[1]Base_Jugadores!C$2:C$50000)
)</f>
        <v>US Lecce</v>
      </c>
      <c r="D1375" s="5" t="str">
        <f aca="false">[1]Base_Jugadores!D1375</f>
        <v>Francia</v>
      </c>
      <c r="E1375" s="3"/>
      <c r="F1375" s="5" t="str">
        <f aca="false">[1]Base_Jugadores!E1375</f>
        <v>MC</v>
      </c>
      <c r="G1375" s="5" t="n">
        <f aca="false">[1]Base_Jugadores!F1375</f>
        <v>69</v>
      </c>
      <c r="H1375" s="5" t="n">
        <f aca="false">[1]Base_Jugadores!G1375</f>
        <v>24</v>
      </c>
      <c r="I1375" s="7" t="n">
        <f aca="false" t="array" ref="I1375:I1375">_xlfn.XLOOKUP(G1375,{55;56;57;58;59;60;61;62;63;64;65;66;67;68;69;70;71;72;73;74;75;76;77;78;79;80;81;82;83;84;85;86;87;88;89;90;91;92;93;94;95;96;97;98;99},{100000;130000;160000;190000;220000;250000;300000;350000;400000;450000;500000;600000;700000;800000;900000;1000000;1500000;2000000;3000000;4000000;5000000;6500000;8000000;10000000;12500000;15000000;20000000;25000000;30000000;35000000;40000000;55000000;70000000;80000000;90000000;110000000;130000000;160000000;190000000;220000000;250000000;280000000;310000000;340000000;400000000})</f>
        <v>900000</v>
      </c>
      <c r="J1375" s="7" t="n">
        <f aca="false">I1375*S1375*T1375*U1375</f>
        <v>1200420</v>
      </c>
      <c r="K1375" s="3"/>
      <c r="L1375" s="3"/>
      <c r="M1375" s="3"/>
      <c r="N1375" s="9" t="n">
        <v>0</v>
      </c>
      <c r="O1375" s="4" t="n">
        <v>0</v>
      </c>
      <c r="P1375" s="5" t="n">
        <f aca="false">IF(COUNTIF([1]Base_Jugadores!J$2:J$500,B1375)&gt;0,1,0)</f>
        <v>0</v>
      </c>
      <c r="Q1375" s="10" t="b">
        <f aca="false">--(COUNTIFS(
   [1]Fichajes_Realizados!A$2:A$5000,A1375,
   [1]Fichajes_Realizados!G$2:G$5000,$X$3
)&gt;0)</f>
        <v>0</v>
      </c>
      <c r="R1375" s="5" t="n">
        <f aca="false">_xlfn.XLOOKUP(C1375, [1]Estado_Equipos!A$2:A$500, [1]Estado_Equipos!J$2:J$500, "")</f>
        <v>69</v>
      </c>
      <c r="S1375" s="5" t="n">
        <f aca="false">IF(H1375&lt;=16,1.45,
IF(H1375&gt;=41,0.3,
CHOOSE(ROUNDDOWN((H1375-16)/2,0)+1,
1.45,1.38,1.3,1.23,1.17,1.15,1.12,1.05,0.95,0.8,0.6,0.4,0.3)))</f>
        <v>1.17</v>
      </c>
      <c r="T1375" s="5" t="n">
        <f aca="false">CHOOSE(N1375+1,1.2,1,0.85,0.7)</f>
        <v>1.2</v>
      </c>
      <c r="U1375" s="5" t="n">
        <f aca="false">IF(F1375="PO",0.6,
IF(F1375="CT",0.75,
IF(F1375="LI",0.8,
IF(F1375="LD",0.8,
IF(F1375="MCD",0.85,
IF(F1375="MC",0.95,
IF(F1375="MO",1.05,
IF(F1375="EI",1.1,
IF(F1375="ED",1.1,
IF(F1375="SD",1.15,
IF(F1375="DC",1.2,0)))))))))))</f>
        <v>0.95</v>
      </c>
    </row>
    <row r="1376" customFormat="false" ht="16.4" hidden="false" customHeight="false" outlineLevel="0" collapsed="false">
      <c r="A1376" s="1" t="n">
        <v>1375</v>
      </c>
      <c r="B1376" s="5" t="str">
        <f aca="false">[1]Base_Jugadores!B1376</f>
        <v>Álex Sala</v>
      </c>
      <c r="C1376" s="5" t="str">
        <f aca="false">IFERROR(
   _xlfn.XLOOKUP(VALUE(A1376),[1]Fichajes_Realizados!A$2:A$50000,[1]Fichajes_Realizados!D$2:D$50000,,0,-1),
   _xlfn.XLOOKUP(VALUE(A1376),[1]Base_Jugadores!A$2:A$50000,[1]Base_Jugadores!C$2:C$50000)
)</f>
        <v>US Lecce</v>
      </c>
      <c r="D1376" s="5" t="str">
        <f aca="false">[1]Base_Jugadores!D1376</f>
        <v>España</v>
      </c>
      <c r="E1376" s="3"/>
      <c r="F1376" s="5" t="str">
        <f aca="false">[1]Base_Jugadores!E1376</f>
        <v>MC</v>
      </c>
      <c r="G1376" s="5" t="n">
        <f aca="false">[1]Base_Jugadores!F1376</f>
        <v>66</v>
      </c>
      <c r="H1376" s="5" t="n">
        <f aca="false">[1]Base_Jugadores!G1376</f>
        <v>24</v>
      </c>
      <c r="I1376" s="7" t="n">
        <f aca="false" t="array" ref="I1376:I1376">_xlfn.XLOOKUP(G1376,{55;56;57;58;59;60;61;62;63;64;65;66;67;68;69;70;71;72;73;74;75;76;77;78;79;80;81;82;83;84;85;86;87;88;89;90;91;92;93;94;95;96;97;98;99},{100000;130000;160000;190000;220000;250000;300000;350000;400000;450000;500000;600000;700000;800000;900000;1000000;1500000;2000000;3000000;4000000;5000000;6500000;8000000;10000000;12500000;15000000;20000000;25000000;30000000;35000000;40000000;55000000;70000000;80000000;90000000;110000000;130000000;160000000;190000000;220000000;250000000;280000000;310000000;340000000;400000000})</f>
        <v>600000</v>
      </c>
      <c r="J1376" s="7" t="n">
        <f aca="false">I1376*S1376*T1376*U1376</f>
        <v>800280</v>
      </c>
      <c r="K1376" s="3"/>
      <c r="L1376" s="3"/>
      <c r="M1376" s="3"/>
      <c r="N1376" s="9" t="n">
        <v>0</v>
      </c>
      <c r="O1376" s="4" t="n">
        <v>0</v>
      </c>
      <c r="P1376" s="5" t="n">
        <f aca="false">IF(COUNTIF([1]Base_Jugadores!J$2:J$500,B1376)&gt;0,1,0)</f>
        <v>0</v>
      </c>
      <c r="Q1376" s="10" t="b">
        <f aca="false">--(COUNTIFS(
   [1]Fichajes_Realizados!A$2:A$5000,A1376,
   [1]Fichajes_Realizados!G$2:G$5000,$X$3
)&gt;0)</f>
        <v>0</v>
      </c>
      <c r="R1376" s="5" t="n">
        <f aca="false">_xlfn.XLOOKUP(C1376, [1]Estado_Equipos!A$2:A$500, [1]Estado_Equipos!J$2:J$500, "")</f>
        <v>69</v>
      </c>
      <c r="S1376" s="5" t="n">
        <f aca="false">IF(H1376&lt;=16,1.45,
IF(H1376&gt;=41,0.3,
CHOOSE(ROUNDDOWN((H1376-16)/2,0)+1,
1.45,1.38,1.3,1.23,1.17,1.15,1.12,1.05,0.95,0.8,0.6,0.4,0.3)))</f>
        <v>1.17</v>
      </c>
      <c r="T1376" s="5" t="n">
        <f aca="false">CHOOSE(N1376+1,1.2,1,0.85,0.7)</f>
        <v>1.2</v>
      </c>
      <c r="U1376" s="5" t="n">
        <f aca="false">IF(F1376="PO",0.6,
IF(F1376="CT",0.75,
IF(F1376="LI",0.8,
IF(F1376="LD",0.8,
IF(F1376="MCD",0.85,
IF(F1376="MC",0.95,
IF(F1376="MO",1.05,
IF(F1376="EI",1.1,
IF(F1376="ED",1.1,
IF(F1376="SD",1.15,
IF(F1376="DC",1.2,0)))))))))))</f>
        <v>0.95</v>
      </c>
    </row>
    <row r="1377" customFormat="false" ht="16.4" hidden="false" customHeight="false" outlineLevel="0" collapsed="false">
      <c r="A1377" s="1" t="n">
        <v>1376</v>
      </c>
      <c r="B1377" s="5" t="str">
        <f aca="false">[1]Base_Jugadores!B1377</f>
        <v>Medon Berisha</v>
      </c>
      <c r="C1377" s="5" t="str">
        <f aca="false">IFERROR(
   _xlfn.XLOOKUP(VALUE(A1377),[1]Fichajes_Realizados!A$2:A$50000,[1]Fichajes_Realizados!D$2:D$50000,,0,-1),
   _xlfn.XLOOKUP(VALUE(A1377),[1]Base_Jugadores!A$2:A$50000,[1]Base_Jugadores!C$2:C$50000)
)</f>
        <v>US Lecce</v>
      </c>
      <c r="D1377" s="5" t="str">
        <f aca="false">[1]Base_Jugadores!D1377</f>
        <v>Albania</v>
      </c>
      <c r="E1377" s="3"/>
      <c r="F1377" s="5" t="str">
        <f aca="false">[1]Base_Jugadores!E1377</f>
        <v>MC</v>
      </c>
      <c r="G1377" s="5" t="n">
        <f aca="false">[1]Base_Jugadores!F1377</f>
        <v>66</v>
      </c>
      <c r="H1377" s="5" t="n">
        <f aca="false">[1]Base_Jugadores!G1377</f>
        <v>22</v>
      </c>
      <c r="I1377" s="7" t="n">
        <f aca="false" t="array" ref="I1377:I1377">_xlfn.XLOOKUP(G1377,{55;56;57;58;59;60;61;62;63;64;65;66;67;68;69;70;71;72;73;74;75;76;77;78;79;80;81;82;83;84;85;86;87;88;89;90;91;92;93;94;95;96;97;98;99},{100000;130000;160000;190000;220000;250000;300000;350000;400000;450000;500000;600000;700000;800000;900000;1000000;1500000;2000000;3000000;4000000;5000000;6500000;8000000;10000000;12500000;15000000;20000000;25000000;30000000;35000000;40000000;55000000;70000000;80000000;90000000;110000000;130000000;160000000;190000000;220000000;250000000;280000000;310000000;340000000;400000000})</f>
        <v>600000</v>
      </c>
      <c r="J1377" s="7" t="n">
        <f aca="false">I1377*S1377*T1377*U1377</f>
        <v>841320</v>
      </c>
      <c r="K1377" s="3"/>
      <c r="L1377" s="3"/>
      <c r="M1377" s="3"/>
      <c r="N1377" s="9" t="n">
        <v>0</v>
      </c>
      <c r="O1377" s="4" t="n">
        <v>0</v>
      </c>
      <c r="P1377" s="5" t="n">
        <f aca="false">IF(COUNTIF([1]Base_Jugadores!J$2:J$500,B1377)&gt;0,1,0)</f>
        <v>0</v>
      </c>
      <c r="Q1377" s="10" t="b">
        <f aca="false">--(COUNTIFS(
   [1]Fichajes_Realizados!A$2:A$5000,A1377,
   [1]Fichajes_Realizados!G$2:G$5000,$X$3
)&gt;0)</f>
        <v>0</v>
      </c>
      <c r="R1377" s="5" t="n">
        <f aca="false">_xlfn.XLOOKUP(C1377, [1]Estado_Equipos!A$2:A$500, [1]Estado_Equipos!J$2:J$500, "")</f>
        <v>69</v>
      </c>
      <c r="S1377" s="5" t="n">
        <f aca="false">IF(H1377&lt;=16,1.45,
IF(H1377&gt;=41,0.3,
CHOOSE(ROUNDDOWN((H1377-16)/2,0)+1,
1.45,1.38,1.3,1.23,1.17,1.15,1.12,1.05,0.95,0.8,0.6,0.4,0.3)))</f>
        <v>1.23</v>
      </c>
      <c r="T1377" s="5" t="n">
        <f aca="false">CHOOSE(N1377+1,1.2,1,0.85,0.7)</f>
        <v>1.2</v>
      </c>
      <c r="U1377" s="5" t="n">
        <f aca="false">IF(F1377="PO",0.6,
IF(F1377="CT",0.75,
IF(F1377="LI",0.8,
IF(F1377="LD",0.8,
IF(F1377="MCD",0.85,
IF(F1377="MC",0.95,
IF(F1377="MO",1.05,
IF(F1377="EI",1.1,
IF(F1377="ED",1.1,
IF(F1377="SD",1.15,
IF(F1377="DC",1.2,0)))))))))))</f>
        <v>0.95</v>
      </c>
    </row>
    <row r="1378" customFormat="false" ht="16.4" hidden="false" customHeight="false" outlineLevel="0" collapsed="false">
      <c r="A1378" s="1" t="n">
        <v>1377</v>
      </c>
      <c r="B1378" s="5" t="str">
        <f aca="false">[1]Base_Jugadores!B1378</f>
        <v>Youssef Maleh</v>
      </c>
      <c r="C1378" s="5" t="str">
        <f aca="false">IFERROR(
   _xlfn.XLOOKUP(VALUE(A1378),[1]Fichajes_Realizados!A$2:A$50000,[1]Fichajes_Realizados!D$2:D$50000,,0,-1),
   _xlfn.XLOOKUP(VALUE(A1378),[1]Base_Jugadores!A$2:A$50000,[1]Base_Jugadores!C$2:C$50000)
)</f>
        <v>US Lecce</v>
      </c>
      <c r="D1378" s="5" t="str">
        <f aca="false">[1]Base_Jugadores!D1378</f>
        <v>Marruecos</v>
      </c>
      <c r="E1378" s="3"/>
      <c r="F1378" s="5" t="str">
        <f aca="false">[1]Base_Jugadores!E1378</f>
        <v>MC</v>
      </c>
      <c r="G1378" s="5" t="n">
        <f aca="false">[1]Base_Jugadores!F1378</f>
        <v>72</v>
      </c>
      <c r="H1378" s="5" t="n">
        <f aca="false">[1]Base_Jugadores!G1378</f>
        <v>27</v>
      </c>
      <c r="I1378" s="7" t="n">
        <f aca="false" t="array" ref="I1378:I1378">_xlfn.XLOOKUP(G1378,{55;56;57;58;59;60;61;62;63;64;65;66;67;68;69;70;71;72;73;74;75;76;77;78;79;80;81;82;83;84;85;86;87;88;89;90;91;92;93;94;95;96;97;98;99},{100000;130000;160000;190000;220000;250000;300000;350000;400000;450000;500000;600000;700000;800000;900000;1000000;1500000;2000000;3000000;4000000;5000000;6500000;8000000;10000000;12500000;15000000;20000000;25000000;30000000;35000000;40000000;55000000;70000000;80000000;90000000;110000000;130000000;160000000;190000000;220000000;250000000;280000000;310000000;340000000;400000000})</f>
        <v>2000000</v>
      </c>
      <c r="J1378" s="7" t="n">
        <f aca="false">I1378*S1378*T1378*U1378</f>
        <v>2622000</v>
      </c>
      <c r="K1378" s="3"/>
      <c r="L1378" s="3"/>
      <c r="M1378" s="3"/>
      <c r="N1378" s="9" t="n">
        <v>0</v>
      </c>
      <c r="O1378" s="4" t="n">
        <v>0</v>
      </c>
      <c r="P1378" s="5" t="n">
        <f aca="false">IF(COUNTIF([1]Base_Jugadores!J$2:J$500,B1378)&gt;0,1,0)</f>
        <v>0</v>
      </c>
      <c r="Q1378" s="10" t="b">
        <f aca="false">--(COUNTIFS(
   [1]Fichajes_Realizados!A$2:A$5000,A1378,
   [1]Fichajes_Realizados!G$2:G$5000,$X$3
)&gt;0)</f>
        <v>0</v>
      </c>
      <c r="R1378" s="5" t="n">
        <f aca="false">_xlfn.XLOOKUP(C1378, [1]Estado_Equipos!A$2:A$500, [1]Estado_Equipos!J$2:J$500, "")</f>
        <v>69</v>
      </c>
      <c r="S1378" s="5" t="n">
        <f aca="false">IF(H1378&lt;=16,1.45,
IF(H1378&gt;=41,0.3,
CHOOSE(ROUNDDOWN((H1378-16)/2,0)+1,
1.45,1.38,1.3,1.23,1.17,1.15,1.12,1.05,0.95,0.8,0.6,0.4,0.3)))</f>
        <v>1.15</v>
      </c>
      <c r="T1378" s="5" t="n">
        <f aca="false">CHOOSE(N1378+1,1.2,1,0.85,0.7)</f>
        <v>1.2</v>
      </c>
      <c r="U1378" s="5" t="n">
        <f aca="false">IF(F1378="PO",0.6,
IF(F1378="CT",0.75,
IF(F1378="LI",0.8,
IF(F1378="LD",0.8,
IF(F1378="MCD",0.85,
IF(F1378="MC",0.95,
IF(F1378="MO",1.05,
IF(F1378="EI",1.1,
IF(F1378="ED",1.1,
IF(F1378="SD",1.15,
IF(F1378="DC",1.2,0)))))))))))</f>
        <v>0.95</v>
      </c>
    </row>
    <row r="1379" customFormat="false" ht="16.4" hidden="false" customHeight="false" outlineLevel="0" collapsed="false">
      <c r="A1379" s="1" t="n">
        <v>1378</v>
      </c>
      <c r="B1379" s="5" t="str">
        <f aca="false">[1]Base_Jugadores!B1379</f>
        <v>Hamza Rafia</v>
      </c>
      <c r="C1379" s="5" t="str">
        <f aca="false">IFERROR(
   _xlfn.XLOOKUP(VALUE(A1379),[1]Fichajes_Realizados!A$2:A$50000,[1]Fichajes_Realizados!D$2:D$50000,,0,-1),
   _xlfn.XLOOKUP(VALUE(A1379),[1]Base_Jugadores!A$2:A$50000,[1]Base_Jugadores!C$2:C$50000)
)</f>
        <v>US Lecce</v>
      </c>
      <c r="D1379" s="5" t="str">
        <f aca="false">[1]Base_Jugadores!D1379</f>
        <v>Túnez</v>
      </c>
      <c r="E1379" s="3"/>
      <c r="F1379" s="5" t="str">
        <f aca="false">[1]Base_Jugadores!E1379</f>
        <v>MC</v>
      </c>
      <c r="G1379" s="5" t="n">
        <f aca="false">[1]Base_Jugadores!F1379</f>
        <v>69</v>
      </c>
      <c r="H1379" s="5" t="n">
        <f aca="false">[1]Base_Jugadores!G1379</f>
        <v>26</v>
      </c>
      <c r="I1379" s="7" t="n">
        <f aca="false" t="array" ref="I1379:I1379">_xlfn.XLOOKUP(G1379,{55;56;57;58;59;60;61;62;63;64;65;66;67;68;69;70;71;72;73;74;75;76;77;78;79;80;81;82;83;84;85;86;87;88;89;90;91;92;93;94;95;96;97;98;99},{100000;130000;160000;190000;220000;250000;300000;350000;400000;450000;500000;600000;700000;800000;900000;1000000;1500000;2000000;3000000;4000000;5000000;6500000;8000000;10000000;12500000;15000000;20000000;25000000;30000000;35000000;40000000;55000000;70000000;80000000;90000000;110000000;130000000;160000000;190000000;220000000;250000000;280000000;310000000;340000000;400000000})</f>
        <v>900000</v>
      </c>
      <c r="J1379" s="7" t="n">
        <f aca="false">I1379*S1379*T1379*U1379</f>
        <v>1179900</v>
      </c>
      <c r="K1379" s="3"/>
      <c r="L1379" s="3"/>
      <c r="M1379" s="3"/>
      <c r="N1379" s="9" t="n">
        <v>0</v>
      </c>
      <c r="O1379" s="4" t="n">
        <v>0</v>
      </c>
      <c r="P1379" s="5" t="n">
        <f aca="false">IF(COUNTIF([1]Base_Jugadores!J$2:J$500,B1379)&gt;0,1,0)</f>
        <v>0</v>
      </c>
      <c r="Q1379" s="10" t="b">
        <f aca="false">--(COUNTIFS(
   [1]Fichajes_Realizados!A$2:A$5000,A1379,
   [1]Fichajes_Realizados!G$2:G$5000,$X$3
)&gt;0)</f>
        <v>0</v>
      </c>
      <c r="R1379" s="5" t="n">
        <f aca="false">_xlfn.XLOOKUP(C1379, [1]Estado_Equipos!A$2:A$500, [1]Estado_Equipos!J$2:J$500, "")</f>
        <v>69</v>
      </c>
      <c r="S1379" s="5" t="n">
        <f aca="false">IF(H1379&lt;=16,1.45,
IF(H1379&gt;=41,0.3,
CHOOSE(ROUNDDOWN((H1379-16)/2,0)+1,
1.45,1.38,1.3,1.23,1.17,1.15,1.12,1.05,0.95,0.8,0.6,0.4,0.3)))</f>
        <v>1.15</v>
      </c>
      <c r="T1379" s="5" t="n">
        <f aca="false">CHOOSE(N1379+1,1.2,1,0.85,0.7)</f>
        <v>1.2</v>
      </c>
      <c r="U1379" s="5" t="n">
        <f aca="false">IF(F1379="PO",0.6,
IF(F1379="CT",0.75,
IF(F1379="LI",0.8,
IF(F1379="LD",0.8,
IF(F1379="MCD",0.85,
IF(F1379="MC",0.95,
IF(F1379="MO",1.05,
IF(F1379="EI",1.1,
IF(F1379="ED",1.1,
IF(F1379="SD",1.15,
IF(F1379="DC",1.2,0)))))))))))</f>
        <v>0.95</v>
      </c>
    </row>
    <row r="1380" customFormat="false" ht="16.4" hidden="false" customHeight="false" outlineLevel="0" collapsed="false">
      <c r="A1380" s="1" t="n">
        <v>1379</v>
      </c>
      <c r="B1380" s="5" t="str">
        <f aca="false">[1]Base_Jugadores!B1380</f>
        <v>Filip Marchwinski</v>
      </c>
      <c r="C1380" s="5" t="str">
        <f aca="false">IFERROR(
   _xlfn.XLOOKUP(VALUE(A1380),[1]Fichajes_Realizados!A$2:A$50000,[1]Fichajes_Realizados!D$2:D$50000,,0,-1),
   _xlfn.XLOOKUP(VALUE(A1380),[1]Base_Jugadores!A$2:A$50000,[1]Base_Jugadores!C$2:C$50000)
)</f>
        <v>US Lecce</v>
      </c>
      <c r="D1380" s="5" t="str">
        <f aca="false">[1]Base_Jugadores!D1380</f>
        <v>Polonia</v>
      </c>
      <c r="E1380" s="3"/>
      <c r="F1380" s="5" t="str">
        <f aca="false">[1]Base_Jugadores!E1380</f>
        <v>MO</v>
      </c>
      <c r="G1380" s="5" t="n">
        <f aca="false">[1]Base_Jugadores!F1380</f>
        <v>67</v>
      </c>
      <c r="H1380" s="5" t="n">
        <f aca="false">[1]Base_Jugadores!G1380</f>
        <v>23</v>
      </c>
      <c r="I1380" s="7" t="n">
        <f aca="false" t="array" ref="I1380:I1380">_xlfn.XLOOKUP(G1380,{55;56;57;58;59;60;61;62;63;64;65;66;67;68;69;70;71;72;73;74;75;76;77;78;79;80;81;82;83;84;85;86;87;88;89;90;91;92;93;94;95;96;97;98;99},{100000;130000;160000;190000;220000;250000;300000;350000;400000;450000;500000;600000;700000;800000;900000;1000000;1500000;2000000;3000000;4000000;5000000;6500000;8000000;10000000;12500000;15000000;20000000;25000000;30000000;35000000;40000000;55000000;70000000;80000000;90000000;110000000;130000000;160000000;190000000;220000000;250000000;280000000;310000000;340000000;400000000})</f>
        <v>700000</v>
      </c>
      <c r="J1380" s="7" t="n">
        <f aca="false">I1380*S1380*T1380*U1380</f>
        <v>1084860</v>
      </c>
      <c r="K1380" s="3"/>
      <c r="L1380" s="3"/>
      <c r="M1380" s="3"/>
      <c r="N1380" s="9" t="n">
        <v>0</v>
      </c>
      <c r="O1380" s="4" t="n">
        <v>0</v>
      </c>
      <c r="P1380" s="5" t="n">
        <f aca="false">IF(COUNTIF([1]Base_Jugadores!J$2:J$500,B1380)&gt;0,1,0)</f>
        <v>0</v>
      </c>
      <c r="Q1380" s="10" t="b">
        <f aca="false">--(COUNTIFS(
   [1]Fichajes_Realizados!A$2:A$5000,A1380,
   [1]Fichajes_Realizados!G$2:G$5000,$X$3
)&gt;0)</f>
        <v>0</v>
      </c>
      <c r="R1380" s="5" t="n">
        <f aca="false">_xlfn.XLOOKUP(C1380, [1]Estado_Equipos!A$2:A$500, [1]Estado_Equipos!J$2:J$500, "")</f>
        <v>69</v>
      </c>
      <c r="S1380" s="5" t="n">
        <f aca="false">IF(H1380&lt;=16,1.45,
IF(H1380&gt;=41,0.3,
CHOOSE(ROUNDDOWN((H1380-16)/2,0)+1,
1.45,1.38,1.3,1.23,1.17,1.15,1.12,1.05,0.95,0.8,0.6,0.4,0.3)))</f>
        <v>1.23</v>
      </c>
      <c r="T1380" s="5" t="n">
        <f aca="false">CHOOSE(N1380+1,1.2,1,0.85,0.7)</f>
        <v>1.2</v>
      </c>
      <c r="U1380" s="5" t="n">
        <f aca="false">IF(F1380="PO",0.6,
IF(F1380="CT",0.75,
IF(F1380="LI",0.8,
IF(F1380="LD",0.8,
IF(F1380="MCD",0.85,
IF(F1380="MC",0.95,
IF(F1380="MO",1.05,
IF(F1380="EI",1.1,
IF(F1380="ED",1.1,
IF(F1380="SD",1.15,
IF(F1380="DC",1.2,0)))))))))))</f>
        <v>1.05</v>
      </c>
    </row>
    <row r="1381" customFormat="false" ht="16.4" hidden="false" customHeight="false" outlineLevel="0" collapsed="false">
      <c r="A1381" s="1" t="n">
        <v>1380</v>
      </c>
      <c r="B1381" s="5" t="str">
        <f aca="false">[1]Base_Jugadores!B1381</f>
        <v>Riccardo Sottil</v>
      </c>
      <c r="C1381" s="5" t="str">
        <f aca="false">IFERROR(
   _xlfn.XLOOKUP(VALUE(A1381),[1]Fichajes_Realizados!A$2:A$50000,[1]Fichajes_Realizados!D$2:D$50000,,0,-1),
   _xlfn.XLOOKUP(VALUE(A1381),[1]Base_Jugadores!A$2:A$50000,[1]Base_Jugadores!C$2:C$50000)
)</f>
        <v>US Lecce</v>
      </c>
      <c r="D1381" s="5" t="str">
        <f aca="false">[1]Base_Jugadores!D1381</f>
        <v>Italia</v>
      </c>
      <c r="E1381" s="3"/>
      <c r="F1381" s="5" t="str">
        <f aca="false">[1]Base_Jugadores!E1381</f>
        <v>EI</v>
      </c>
      <c r="G1381" s="5" t="n">
        <f aca="false">[1]Base_Jugadores!F1381</f>
        <v>76</v>
      </c>
      <c r="H1381" s="5" t="n">
        <f aca="false">[1]Base_Jugadores!G1381</f>
        <v>26</v>
      </c>
      <c r="I1381" s="7" t="n">
        <f aca="false" t="array" ref="I1381:I1381">_xlfn.XLOOKUP(G1381,{55;56;57;58;59;60;61;62;63;64;65;66;67;68;69;70;71;72;73;74;75;76;77;78;79;80;81;82;83;84;85;86;87;88;89;90;91;92;93;94;95;96;97;98;99},{100000;130000;160000;190000;220000;250000;300000;350000;400000;450000;500000;600000;700000;800000;900000;1000000;1500000;2000000;3000000;4000000;5000000;6500000;8000000;10000000;12500000;15000000;20000000;25000000;30000000;35000000;40000000;55000000;70000000;80000000;90000000;110000000;130000000;160000000;190000000;220000000;250000000;280000000;310000000;340000000;400000000})</f>
        <v>6500000</v>
      </c>
      <c r="J1381" s="7" t="n">
        <f aca="false">I1381*S1381*T1381*U1381</f>
        <v>9867000</v>
      </c>
      <c r="K1381" s="3"/>
      <c r="L1381" s="3"/>
      <c r="M1381" s="3"/>
      <c r="N1381" s="9" t="n">
        <v>0</v>
      </c>
      <c r="O1381" s="4" t="n">
        <v>0</v>
      </c>
      <c r="P1381" s="5" t="n">
        <f aca="false">IF(COUNTIF([1]Base_Jugadores!J$2:J$500,B1381)&gt;0,1,0)</f>
        <v>0</v>
      </c>
      <c r="Q1381" s="10" t="b">
        <f aca="false">--(COUNTIFS(
   [1]Fichajes_Realizados!A$2:A$5000,A1381,
   [1]Fichajes_Realizados!G$2:G$5000,$X$3
)&gt;0)</f>
        <v>0</v>
      </c>
      <c r="R1381" s="5" t="n">
        <f aca="false">_xlfn.XLOOKUP(C1381, [1]Estado_Equipos!A$2:A$500, [1]Estado_Equipos!J$2:J$500, "")</f>
        <v>69</v>
      </c>
      <c r="S1381" s="5" t="n">
        <f aca="false">IF(H1381&lt;=16,1.45,
IF(H1381&gt;=41,0.3,
CHOOSE(ROUNDDOWN((H1381-16)/2,0)+1,
1.45,1.38,1.3,1.23,1.17,1.15,1.12,1.05,0.95,0.8,0.6,0.4,0.3)))</f>
        <v>1.15</v>
      </c>
      <c r="T1381" s="5" t="n">
        <f aca="false">CHOOSE(N1381+1,1.2,1,0.85,0.7)</f>
        <v>1.2</v>
      </c>
      <c r="U1381" s="5" t="n">
        <f aca="false">IF(F1381="PO",0.6,
IF(F1381="CT",0.75,
IF(F1381="LI",0.8,
IF(F1381="LD",0.8,
IF(F1381="MCD",0.85,
IF(F1381="MC",0.95,
IF(F1381="MO",1.05,
IF(F1381="EI",1.1,
IF(F1381="ED",1.1,
IF(F1381="SD",1.15,
IF(F1381="DC",1.2,0)))))))))))</f>
        <v>1.1</v>
      </c>
    </row>
    <row r="1382" customFormat="false" ht="16.4" hidden="false" customHeight="false" outlineLevel="0" collapsed="false">
      <c r="A1382" s="1" t="n">
        <v>1381</v>
      </c>
      <c r="B1382" s="5" t="str">
        <f aca="false">[1]Base_Jugadores!B1382</f>
        <v>Lameck Banda</v>
      </c>
      <c r="C1382" s="5" t="str">
        <f aca="false">IFERROR(
   _xlfn.XLOOKUP(VALUE(A1382),[1]Fichajes_Realizados!A$2:A$50000,[1]Fichajes_Realizados!D$2:D$50000,,0,-1),
   _xlfn.XLOOKUP(VALUE(A1382),[1]Base_Jugadores!A$2:A$50000,[1]Base_Jugadores!C$2:C$50000)
)</f>
        <v>US Lecce</v>
      </c>
      <c r="D1382" s="5" t="str">
        <f aca="false">[1]Base_Jugadores!D1382</f>
        <v>Zambia</v>
      </c>
      <c r="E1382" s="3"/>
      <c r="F1382" s="5" t="str">
        <f aca="false">[1]Base_Jugadores!E1382</f>
        <v>EI</v>
      </c>
      <c r="G1382" s="5" t="n">
        <f aca="false">[1]Base_Jugadores!F1382</f>
        <v>72</v>
      </c>
      <c r="H1382" s="5" t="n">
        <f aca="false">[1]Base_Jugadores!G1382</f>
        <v>24</v>
      </c>
      <c r="I1382" s="7" t="n">
        <f aca="false" t="array" ref="I1382:I1382">_xlfn.XLOOKUP(G1382,{55;56;57;58;59;60;61;62;63;64;65;66;67;68;69;70;71;72;73;74;75;76;77;78;79;80;81;82;83;84;85;86;87;88;89;90;91;92;93;94;95;96;97;98;99},{100000;130000;160000;190000;220000;250000;300000;350000;400000;450000;500000;600000;700000;800000;900000;1000000;1500000;2000000;3000000;4000000;5000000;6500000;8000000;10000000;12500000;15000000;20000000;25000000;30000000;35000000;40000000;55000000;70000000;80000000;90000000;110000000;130000000;160000000;190000000;220000000;250000000;280000000;310000000;340000000;400000000})</f>
        <v>2000000</v>
      </c>
      <c r="J1382" s="7" t="n">
        <f aca="false">I1382*S1382*T1382*U1382</f>
        <v>3088800</v>
      </c>
      <c r="K1382" s="3"/>
      <c r="L1382" s="3"/>
      <c r="M1382" s="3"/>
      <c r="N1382" s="9" t="n">
        <v>0</v>
      </c>
      <c r="O1382" s="4" t="n">
        <v>0</v>
      </c>
      <c r="P1382" s="5" t="n">
        <f aca="false">IF(COUNTIF([1]Base_Jugadores!J$2:J$500,B1382)&gt;0,1,0)</f>
        <v>0</v>
      </c>
      <c r="Q1382" s="10" t="b">
        <f aca="false">--(COUNTIFS(
   [1]Fichajes_Realizados!A$2:A$5000,A1382,
   [1]Fichajes_Realizados!G$2:G$5000,$X$3
)&gt;0)</f>
        <v>0</v>
      </c>
      <c r="R1382" s="5" t="n">
        <f aca="false">_xlfn.XLOOKUP(C1382, [1]Estado_Equipos!A$2:A$500, [1]Estado_Equipos!J$2:J$500, "")</f>
        <v>69</v>
      </c>
      <c r="S1382" s="5" t="n">
        <f aca="false">IF(H1382&lt;=16,1.45,
IF(H1382&gt;=41,0.3,
CHOOSE(ROUNDDOWN((H1382-16)/2,0)+1,
1.45,1.38,1.3,1.23,1.17,1.15,1.12,1.05,0.95,0.8,0.6,0.4,0.3)))</f>
        <v>1.17</v>
      </c>
      <c r="T1382" s="5" t="n">
        <f aca="false">CHOOSE(N1382+1,1.2,1,0.85,0.7)</f>
        <v>1.2</v>
      </c>
      <c r="U1382" s="5" t="n">
        <f aca="false">IF(F1382="PO",0.6,
IF(F1382="CT",0.75,
IF(F1382="LI",0.8,
IF(F1382="LD",0.8,
IF(F1382="MCD",0.85,
IF(F1382="MC",0.95,
IF(F1382="MO",1.05,
IF(F1382="EI",1.1,
IF(F1382="ED",1.1,
IF(F1382="SD",1.15,
IF(F1382="DC",1.2,0)))))))))))</f>
        <v>1.1</v>
      </c>
    </row>
    <row r="1383" customFormat="false" ht="16.4" hidden="false" customHeight="false" outlineLevel="0" collapsed="false">
      <c r="A1383" s="1" t="n">
        <v>1382</v>
      </c>
      <c r="B1383" s="5" t="str">
        <f aca="false">[1]Base_Jugadores!B1383</f>
        <v>Tete Morente</v>
      </c>
      <c r="C1383" s="5" t="str">
        <f aca="false">IFERROR(
   _xlfn.XLOOKUP(VALUE(A1383),[1]Fichajes_Realizados!A$2:A$50000,[1]Fichajes_Realizados!D$2:D$50000,,0,-1),
   _xlfn.XLOOKUP(VALUE(A1383),[1]Base_Jugadores!A$2:A$50000,[1]Base_Jugadores!C$2:C$50000)
)</f>
        <v>US Lecce</v>
      </c>
      <c r="D1383" s="5" t="str">
        <f aca="false">[1]Base_Jugadores!D1383</f>
        <v>España</v>
      </c>
      <c r="E1383" s="3"/>
      <c r="F1383" s="5" t="str">
        <f aca="false">[1]Base_Jugadores!E1383</f>
        <v>EI</v>
      </c>
      <c r="G1383" s="5" t="n">
        <f aca="false">[1]Base_Jugadores!F1383</f>
        <v>74</v>
      </c>
      <c r="H1383" s="5" t="n">
        <f aca="false">[1]Base_Jugadores!G1383</f>
        <v>29</v>
      </c>
      <c r="I1383" s="7" t="n">
        <f aca="false" t="array" ref="I1383:I1383">_xlfn.XLOOKUP(G1383,{55;56;57;58;59;60;61;62;63;64;65;66;67;68;69;70;71;72;73;74;75;76;77;78;79;80;81;82;83;84;85;86;87;88;89;90;91;92;93;94;95;96;97;98;99},{100000;130000;160000;190000;220000;250000;300000;350000;400000;450000;500000;600000;700000;800000;900000;1000000;1500000;2000000;3000000;4000000;5000000;6500000;8000000;10000000;12500000;15000000;20000000;25000000;30000000;35000000;40000000;55000000;70000000;80000000;90000000;110000000;130000000;160000000;190000000;220000000;250000000;280000000;310000000;340000000;400000000})</f>
        <v>4000000</v>
      </c>
      <c r="J1383" s="7" t="n">
        <f aca="false">I1383*S1383*T1383*U1383</f>
        <v>5913600</v>
      </c>
      <c r="K1383" s="3"/>
      <c r="L1383" s="3"/>
      <c r="M1383" s="3"/>
      <c r="N1383" s="9" t="n">
        <v>0</v>
      </c>
      <c r="O1383" s="4" t="n">
        <v>0</v>
      </c>
      <c r="P1383" s="5" t="n">
        <f aca="false">IF(COUNTIF([1]Base_Jugadores!J$2:J$500,B1383)&gt;0,1,0)</f>
        <v>0</v>
      </c>
      <c r="Q1383" s="10" t="b">
        <f aca="false">--(COUNTIFS(
   [1]Fichajes_Realizados!A$2:A$5000,A1383,
   [1]Fichajes_Realizados!G$2:G$5000,$X$3
)&gt;0)</f>
        <v>0</v>
      </c>
      <c r="R1383" s="5" t="n">
        <f aca="false">_xlfn.XLOOKUP(C1383, [1]Estado_Equipos!A$2:A$500, [1]Estado_Equipos!J$2:J$500, "")</f>
        <v>69</v>
      </c>
      <c r="S1383" s="5" t="n">
        <f aca="false">IF(H1383&lt;=16,1.45,
IF(H1383&gt;=41,0.3,
CHOOSE(ROUNDDOWN((H1383-16)/2,0)+1,
1.45,1.38,1.3,1.23,1.17,1.15,1.12,1.05,0.95,0.8,0.6,0.4,0.3)))</f>
        <v>1.12</v>
      </c>
      <c r="T1383" s="5" t="n">
        <f aca="false">CHOOSE(N1383+1,1.2,1,0.85,0.7)</f>
        <v>1.2</v>
      </c>
      <c r="U1383" s="5" t="n">
        <f aca="false">IF(F1383="PO",0.6,
IF(F1383="CT",0.75,
IF(F1383="LI",0.8,
IF(F1383="LD",0.8,
IF(F1383="MCD",0.85,
IF(F1383="MC",0.95,
IF(F1383="MO",1.05,
IF(F1383="EI",1.1,
IF(F1383="ED",1.1,
IF(F1383="SD",1.15,
IF(F1383="DC",1.2,0)))))))))))</f>
        <v>1.1</v>
      </c>
    </row>
    <row r="1384" customFormat="false" ht="16.4" hidden="false" customHeight="false" outlineLevel="0" collapsed="false">
      <c r="A1384" s="1" t="n">
        <v>1383</v>
      </c>
      <c r="B1384" s="5" t="str">
        <f aca="false">[1]Base_Jugadores!B1384</f>
        <v>Santiago Pierotti</v>
      </c>
      <c r="C1384" s="5" t="str">
        <f aca="false">IFERROR(
   _xlfn.XLOOKUP(VALUE(A1384),[1]Fichajes_Realizados!A$2:A$50000,[1]Fichajes_Realizados!D$2:D$50000,,0,-1),
   _xlfn.XLOOKUP(VALUE(A1384),[1]Base_Jugadores!A$2:A$50000,[1]Base_Jugadores!C$2:C$50000)
)</f>
        <v>US Lecce</v>
      </c>
      <c r="D1384" s="5" t="str">
        <f aca="false">[1]Base_Jugadores!D1384</f>
        <v>Argentina</v>
      </c>
      <c r="E1384" s="3"/>
      <c r="F1384" s="5" t="str">
        <f aca="false">[1]Base_Jugadores!E1384</f>
        <v>ED</v>
      </c>
      <c r="G1384" s="5" t="n">
        <f aca="false">[1]Base_Jugadores!F1384</f>
        <v>69</v>
      </c>
      <c r="H1384" s="5" t="n">
        <f aca="false">[1]Base_Jugadores!G1384</f>
        <v>24</v>
      </c>
      <c r="I1384" s="7" t="n">
        <f aca="false" t="array" ref="I1384:I1384">_xlfn.XLOOKUP(G1384,{55;56;57;58;59;60;61;62;63;64;65;66;67;68;69;70;71;72;73;74;75;76;77;78;79;80;81;82;83;84;85;86;87;88;89;90;91;92;93;94;95;96;97;98;99},{100000;130000;160000;190000;220000;250000;300000;350000;400000;450000;500000;600000;700000;800000;900000;1000000;1500000;2000000;3000000;4000000;5000000;6500000;8000000;10000000;12500000;15000000;20000000;25000000;30000000;35000000;40000000;55000000;70000000;80000000;90000000;110000000;130000000;160000000;190000000;220000000;250000000;280000000;310000000;340000000;400000000})</f>
        <v>900000</v>
      </c>
      <c r="J1384" s="7" t="n">
        <f aca="false">I1384*S1384*T1384*U1384</f>
        <v>1389960</v>
      </c>
      <c r="K1384" s="3"/>
      <c r="L1384" s="3"/>
      <c r="M1384" s="3"/>
      <c r="N1384" s="9" t="n">
        <v>0</v>
      </c>
      <c r="O1384" s="4" t="n">
        <v>0</v>
      </c>
      <c r="P1384" s="5" t="n">
        <f aca="false">IF(COUNTIF([1]Base_Jugadores!J$2:J$500,B1384)&gt;0,1,0)</f>
        <v>0</v>
      </c>
      <c r="Q1384" s="10" t="b">
        <f aca="false">--(COUNTIFS(
   [1]Fichajes_Realizados!A$2:A$5000,A1384,
   [1]Fichajes_Realizados!G$2:G$5000,$X$3
)&gt;0)</f>
        <v>0</v>
      </c>
      <c r="R1384" s="5" t="n">
        <f aca="false">_xlfn.XLOOKUP(C1384, [1]Estado_Equipos!A$2:A$500, [1]Estado_Equipos!J$2:J$500, "")</f>
        <v>69</v>
      </c>
      <c r="S1384" s="5" t="n">
        <f aca="false">IF(H1384&lt;=16,1.45,
IF(H1384&gt;=41,0.3,
CHOOSE(ROUNDDOWN((H1384-16)/2,0)+1,
1.45,1.38,1.3,1.23,1.17,1.15,1.12,1.05,0.95,0.8,0.6,0.4,0.3)))</f>
        <v>1.17</v>
      </c>
      <c r="T1384" s="5" t="n">
        <f aca="false">CHOOSE(N1384+1,1.2,1,0.85,0.7)</f>
        <v>1.2</v>
      </c>
      <c r="U1384" s="5" t="n">
        <f aca="false">IF(F1384="PO",0.6,
IF(F1384="CT",0.75,
IF(F1384="LI",0.8,
IF(F1384="LD",0.8,
IF(F1384="MCD",0.85,
IF(F1384="MC",0.95,
IF(F1384="MO",1.05,
IF(F1384="EI",1.1,
IF(F1384="ED",1.1,
IF(F1384="SD",1.15,
IF(F1384="DC",1.2,0)))))))))))</f>
        <v>1.1</v>
      </c>
    </row>
    <row r="1385" customFormat="false" ht="16.4" hidden="false" customHeight="false" outlineLevel="0" collapsed="false">
      <c r="A1385" s="1" t="n">
        <v>1384</v>
      </c>
      <c r="B1385" s="5" t="str">
        <f aca="false">[1]Base_Jugadores!B1385</f>
        <v>Konan N’Dri</v>
      </c>
      <c r="C1385" s="5" t="str">
        <f aca="false">IFERROR(
   _xlfn.XLOOKUP(VALUE(A1385),[1]Fichajes_Realizados!A$2:A$50000,[1]Fichajes_Realizados!D$2:D$50000,,0,-1),
   _xlfn.XLOOKUP(VALUE(A1385),[1]Base_Jugadores!A$2:A$50000,[1]Base_Jugadores!C$2:C$50000)
)</f>
        <v>US Lecce</v>
      </c>
      <c r="D1385" s="5" t="str">
        <f aca="false">[1]Base_Jugadores!D1385</f>
        <v>Costa de Marfil</v>
      </c>
      <c r="E1385" s="3"/>
      <c r="F1385" s="5" t="str">
        <f aca="false">[1]Base_Jugadores!E1385</f>
        <v>ED</v>
      </c>
      <c r="G1385" s="5" t="n">
        <f aca="false">[1]Base_Jugadores!F1385</f>
        <v>68</v>
      </c>
      <c r="H1385" s="5" t="n">
        <f aca="false">[1]Base_Jugadores!G1385</f>
        <v>25</v>
      </c>
      <c r="I1385" s="7" t="n">
        <f aca="false" t="array" ref="I1385:I1385">_xlfn.XLOOKUP(G1385,{55;56;57;58;59;60;61;62;63;64;65;66;67;68;69;70;71;72;73;74;75;76;77;78;79;80;81;82;83;84;85;86;87;88;89;90;91;92;93;94;95;96;97;98;99},{100000;130000;160000;190000;220000;250000;300000;350000;400000;450000;500000;600000;700000;800000;900000;1000000;1500000;2000000;3000000;4000000;5000000;6500000;8000000;10000000;12500000;15000000;20000000;25000000;30000000;35000000;40000000;55000000;70000000;80000000;90000000;110000000;130000000;160000000;190000000;220000000;250000000;280000000;310000000;340000000;400000000})</f>
        <v>800000</v>
      </c>
      <c r="J1385" s="7" t="n">
        <f aca="false">I1385*S1385*T1385*U1385</f>
        <v>1235520</v>
      </c>
      <c r="K1385" s="3"/>
      <c r="L1385" s="3"/>
      <c r="M1385" s="3"/>
      <c r="N1385" s="9" t="n">
        <v>0</v>
      </c>
      <c r="O1385" s="4" t="n">
        <v>0</v>
      </c>
      <c r="P1385" s="5" t="n">
        <f aca="false">IF(COUNTIF([1]Base_Jugadores!J$2:J$500,B1385)&gt;0,1,0)</f>
        <v>0</v>
      </c>
      <c r="Q1385" s="10" t="b">
        <f aca="false">--(COUNTIFS(
   [1]Fichajes_Realizados!A$2:A$5000,A1385,
   [1]Fichajes_Realizados!G$2:G$5000,$X$3
)&gt;0)</f>
        <v>0</v>
      </c>
      <c r="R1385" s="5" t="n">
        <f aca="false">_xlfn.XLOOKUP(C1385, [1]Estado_Equipos!A$2:A$500, [1]Estado_Equipos!J$2:J$500, "")</f>
        <v>69</v>
      </c>
      <c r="S1385" s="5" t="n">
        <f aca="false">IF(H1385&lt;=16,1.45,
IF(H1385&gt;=41,0.3,
CHOOSE(ROUNDDOWN((H1385-16)/2,0)+1,
1.45,1.38,1.3,1.23,1.17,1.15,1.12,1.05,0.95,0.8,0.6,0.4,0.3)))</f>
        <v>1.17</v>
      </c>
      <c r="T1385" s="5" t="n">
        <f aca="false">CHOOSE(N1385+1,1.2,1,0.85,0.7)</f>
        <v>1.2</v>
      </c>
      <c r="U1385" s="5" t="n">
        <f aca="false">IF(F1385="PO",0.6,
IF(F1385="CT",0.75,
IF(F1385="LI",0.8,
IF(F1385="LD",0.8,
IF(F1385="MCD",0.85,
IF(F1385="MC",0.95,
IF(F1385="MO",1.05,
IF(F1385="EI",1.1,
IF(F1385="ED",1.1,
IF(F1385="SD",1.15,
IF(F1385="DC",1.2,0)))))))))))</f>
        <v>1.1</v>
      </c>
    </row>
    <row r="1386" customFormat="false" ht="16.4" hidden="false" customHeight="false" outlineLevel="0" collapsed="false">
      <c r="A1386" s="1" t="n">
        <v>1385</v>
      </c>
      <c r="B1386" s="5" t="str">
        <f aca="false">[1]Base_Jugadores!B1386</f>
        <v>Francesco Camarda</v>
      </c>
      <c r="C1386" s="5" t="str">
        <f aca="false">IFERROR(
   _xlfn.XLOOKUP(VALUE(A1386),[1]Fichajes_Realizados!A$2:A$50000,[1]Fichajes_Realizados!D$2:D$50000,,0,-1),
   _xlfn.XLOOKUP(VALUE(A1386),[1]Base_Jugadores!A$2:A$50000,[1]Base_Jugadores!C$2:C$50000)
)</f>
        <v>US Lecce</v>
      </c>
      <c r="D1386" s="5" t="str">
        <f aca="false">[1]Base_Jugadores!D1386</f>
        <v>Italia</v>
      </c>
      <c r="E1386" s="3"/>
      <c r="F1386" s="5" t="str">
        <f aca="false">[1]Base_Jugadores!E1386</f>
        <v>DC</v>
      </c>
      <c r="G1386" s="5" t="n">
        <f aca="false">[1]Base_Jugadores!F1386</f>
        <v>59</v>
      </c>
      <c r="H1386" s="5" t="n">
        <f aca="false">[1]Base_Jugadores!G1386</f>
        <v>17</v>
      </c>
      <c r="I1386" s="7" t="n">
        <f aca="false" t="array" ref="I1386:I1386">_xlfn.XLOOKUP(G1386,{55;56;57;58;59;60;61;62;63;64;65;66;67;68;69;70;71;72;73;74;75;76;77;78;79;80;81;82;83;84;85;86;87;88;89;90;91;92;93;94;95;96;97;98;99},{100000;130000;160000;190000;220000;250000;300000;350000;400000;450000;500000;600000;700000;800000;900000;1000000;1500000;2000000;3000000;4000000;5000000;6500000;8000000;10000000;12500000;15000000;20000000;25000000;30000000;35000000;40000000;55000000;70000000;80000000;90000000;110000000;130000000;160000000;190000000;220000000;250000000;280000000;310000000;340000000;400000000})</f>
        <v>220000</v>
      </c>
      <c r="J1386" s="7" t="n">
        <f aca="false">I1386*S1386*T1386*U1386</f>
        <v>459360</v>
      </c>
      <c r="K1386" s="3"/>
      <c r="L1386" s="3"/>
      <c r="M1386" s="3"/>
      <c r="N1386" s="9" t="n">
        <v>0</v>
      </c>
      <c r="O1386" s="4" t="n">
        <v>0</v>
      </c>
      <c r="P1386" s="5" t="n">
        <f aca="false">IF(COUNTIF([1]Base_Jugadores!J$2:J$500,B1386)&gt;0,1,0)</f>
        <v>0</v>
      </c>
      <c r="Q1386" s="10" t="b">
        <f aca="false">--(COUNTIFS(
   [1]Fichajes_Realizados!A$2:A$5000,A1386,
   [1]Fichajes_Realizados!G$2:G$5000,$X$3
)&gt;0)</f>
        <v>0</v>
      </c>
      <c r="R1386" s="5" t="n">
        <f aca="false">_xlfn.XLOOKUP(C1386, [1]Estado_Equipos!A$2:A$500, [1]Estado_Equipos!J$2:J$500, "")</f>
        <v>69</v>
      </c>
      <c r="S1386" s="5" t="n">
        <f aca="false">IF(H1386&lt;=16,1.45,
IF(H1386&gt;=41,0.3,
CHOOSE(ROUNDDOWN((H1386-16)/2,0)+1,
1.45,1.38,1.3,1.23,1.17,1.15,1.12,1.05,0.95,0.8,0.6,0.4,0.3)))</f>
        <v>1.45</v>
      </c>
      <c r="T1386" s="5" t="n">
        <f aca="false">CHOOSE(N1386+1,1.2,1,0.85,0.7)</f>
        <v>1.2</v>
      </c>
      <c r="U1386" s="5" t="n">
        <f aca="false">IF(F1386="PO",0.6,
IF(F1386="CT",0.75,
IF(F1386="LI",0.8,
IF(F1386="LD",0.8,
IF(F1386="MCD",0.85,
IF(F1386="MC",0.95,
IF(F1386="MO",1.05,
IF(F1386="EI",1.1,
IF(F1386="ED",1.1,
IF(F1386="SD",1.15,
IF(F1386="DC",1.2,0)))))))))))</f>
        <v>1.2</v>
      </c>
    </row>
    <row r="1387" customFormat="false" ht="16.4" hidden="false" customHeight="false" outlineLevel="0" collapsed="false">
      <c r="A1387" s="1" t="n">
        <v>1386</v>
      </c>
      <c r="B1387" s="5" t="str">
        <f aca="false">[1]Base_Jugadores!B1387</f>
        <v>Nikola Stulic</v>
      </c>
      <c r="C1387" s="5" t="str">
        <f aca="false">IFERROR(
   _xlfn.XLOOKUP(VALUE(A1387),[1]Fichajes_Realizados!A$2:A$50000,[1]Fichajes_Realizados!D$2:D$50000,,0,-1),
   _xlfn.XLOOKUP(VALUE(A1387),[1]Base_Jugadores!A$2:A$50000,[1]Base_Jugadores!C$2:C$50000)
)</f>
        <v>US Lecce</v>
      </c>
      <c r="D1387" s="5" t="str">
        <f aca="false">[1]Base_Jugadores!D1387</f>
        <v>Serbia</v>
      </c>
      <c r="E1387" s="3"/>
      <c r="F1387" s="5" t="str">
        <f aca="false">[1]Base_Jugadores!E1387</f>
        <v>DC</v>
      </c>
      <c r="G1387" s="5" t="n">
        <f aca="false">[1]Base_Jugadores!F1387</f>
        <v>64</v>
      </c>
      <c r="H1387" s="5" t="n">
        <f aca="false">[1]Base_Jugadores!G1387</f>
        <v>24</v>
      </c>
      <c r="I1387" s="7" t="n">
        <f aca="false" t="array" ref="I1387:I1387">_xlfn.XLOOKUP(G1387,{55;56;57;58;59;60;61;62;63;64;65;66;67;68;69;70;71;72;73;74;75;76;77;78;79;80;81;82;83;84;85;86;87;88;89;90;91;92;93;94;95;96;97;98;99},{100000;130000;160000;190000;220000;250000;300000;350000;400000;450000;500000;600000;700000;800000;900000;1000000;1500000;2000000;3000000;4000000;5000000;6500000;8000000;10000000;12500000;15000000;20000000;25000000;30000000;35000000;40000000;55000000;70000000;80000000;90000000;110000000;130000000;160000000;190000000;220000000;250000000;280000000;310000000;340000000;400000000})</f>
        <v>450000</v>
      </c>
      <c r="J1387" s="7" t="n">
        <f aca="false">I1387*S1387*T1387*U1387</f>
        <v>758160</v>
      </c>
      <c r="K1387" s="3"/>
      <c r="L1387" s="3"/>
      <c r="M1387" s="3"/>
      <c r="N1387" s="9" t="n">
        <v>0</v>
      </c>
      <c r="O1387" s="4" t="n">
        <v>0</v>
      </c>
      <c r="P1387" s="5" t="n">
        <f aca="false">IF(COUNTIF([1]Base_Jugadores!J$2:J$500,B1387)&gt;0,1,0)</f>
        <v>0</v>
      </c>
      <c r="Q1387" s="10" t="b">
        <f aca="false">--(COUNTIFS(
   [1]Fichajes_Realizados!A$2:A$5000,A1387,
   [1]Fichajes_Realizados!G$2:G$5000,$X$3
)&gt;0)</f>
        <v>0</v>
      </c>
      <c r="R1387" s="5" t="n">
        <f aca="false">_xlfn.XLOOKUP(C1387, [1]Estado_Equipos!A$2:A$500, [1]Estado_Equipos!J$2:J$500, "")</f>
        <v>69</v>
      </c>
      <c r="S1387" s="5" t="n">
        <f aca="false">IF(H1387&lt;=16,1.45,
IF(H1387&gt;=41,0.3,
CHOOSE(ROUNDDOWN((H1387-16)/2,0)+1,
1.45,1.38,1.3,1.23,1.17,1.15,1.12,1.05,0.95,0.8,0.6,0.4,0.3)))</f>
        <v>1.17</v>
      </c>
      <c r="T1387" s="5" t="n">
        <f aca="false">CHOOSE(N1387+1,1.2,1,0.85,0.7)</f>
        <v>1.2</v>
      </c>
      <c r="U1387" s="5" t="n">
        <f aca="false">IF(F1387="PO",0.6,
IF(F1387="CT",0.75,
IF(F1387="LI",0.8,
IF(F1387="LD",0.8,
IF(F1387="MCD",0.85,
IF(F1387="MC",0.95,
IF(F1387="MO",1.05,
IF(F1387="EI",1.1,
IF(F1387="ED",1.1,
IF(F1387="SD",1.15,
IF(F1387="DC",1.2,0)))))))))))</f>
        <v>1.2</v>
      </c>
    </row>
    <row r="1388" customFormat="false" ht="16.4" hidden="false" customHeight="false" outlineLevel="0" collapsed="false">
      <c r="A1388" s="1" t="n">
        <v>1387</v>
      </c>
      <c r="B1388" s="5" t="str">
        <f aca="false">[1]Base_Jugadores!B1388</f>
        <v>Elijah Scott</v>
      </c>
      <c r="C1388" s="5" t="str">
        <f aca="false">IFERROR(
   _xlfn.XLOOKUP(VALUE(A1388),[1]Fichajes_Realizados!A$2:A$50000,[1]Fichajes_Realizados!D$2:D$50000,,0,-1),
   _xlfn.XLOOKUP(VALUE(A1388),[1]Base_Jugadores!A$2:A$50000,[1]Base_Jugadores!C$2:C$50000)
)</f>
        <v>US Lecce</v>
      </c>
      <c r="D1388" s="5" t="str">
        <f aca="false">[1]Base_Jugadores!D1388</f>
        <v>Alemania</v>
      </c>
      <c r="E1388" s="3"/>
      <c r="F1388" s="5" t="str">
        <f aca="false">[1]Base_Jugadores!E1388</f>
        <v>CT</v>
      </c>
      <c r="G1388" s="5" t="n">
        <f aca="false">[1]Base_Jugadores!F1388</f>
        <v>58</v>
      </c>
      <c r="H1388" s="5" t="n">
        <f aca="false">[1]Base_Jugadores!G1388</f>
        <v>19</v>
      </c>
      <c r="I1388" s="7" t="n">
        <f aca="false" t="array" ref="I1388:I1388">_xlfn.XLOOKUP(G1388,{55;56;57;58;59;60;61;62;63;64;65;66;67;68;69;70;71;72;73;74;75;76;77;78;79;80;81;82;83;84;85;86;87;88;89;90;91;92;93;94;95;96;97;98;99},{100000;130000;160000;190000;220000;250000;300000;350000;400000;450000;500000;600000;700000;800000;900000;1000000;1500000;2000000;3000000;4000000;5000000;6500000;8000000;10000000;12500000;15000000;20000000;25000000;30000000;35000000;40000000;55000000;70000000;80000000;90000000;110000000;130000000;160000000;190000000;220000000;250000000;280000000;310000000;340000000;400000000})</f>
        <v>190000</v>
      </c>
      <c r="J1388" s="7" t="n">
        <f aca="false">I1388*S1388*T1388*U1388</f>
        <v>235980</v>
      </c>
      <c r="K1388" s="3"/>
      <c r="L1388" s="3"/>
      <c r="M1388" s="3"/>
      <c r="N1388" s="9" t="n">
        <v>0</v>
      </c>
      <c r="O1388" s="4" t="n">
        <v>0</v>
      </c>
      <c r="P1388" s="5" t="n">
        <f aca="false">IF(COUNTIF([1]Base_Jugadores!J$2:J$500,B1388)&gt;0,1,0)</f>
        <v>0</v>
      </c>
      <c r="Q1388" s="10" t="b">
        <f aca="false">--(COUNTIFS(
   [1]Fichajes_Realizados!A$2:A$5000,A1388,
   [1]Fichajes_Realizados!G$2:G$5000,$X$3
)&gt;0)</f>
        <v>0</v>
      </c>
      <c r="R1388" s="5" t="n">
        <f aca="false">_xlfn.XLOOKUP(C1388, [1]Estado_Equipos!A$2:A$500, [1]Estado_Equipos!J$2:J$500, "")</f>
        <v>69</v>
      </c>
      <c r="S1388" s="5" t="n">
        <f aca="false">IF(H1388&lt;=16,1.45,
IF(H1388&gt;=41,0.3,
CHOOSE(ROUNDDOWN((H1388-16)/2,0)+1,
1.45,1.38,1.3,1.23,1.17,1.15,1.12,1.05,0.95,0.8,0.6,0.4,0.3)))</f>
        <v>1.38</v>
      </c>
      <c r="T1388" s="5" t="n">
        <f aca="false">CHOOSE(N1388+1,1.2,1,0.85,0.7)</f>
        <v>1.2</v>
      </c>
      <c r="U1388" s="5" t="n">
        <f aca="false">IF(F1388="PO",0.6,
IF(F1388="CT",0.75,
IF(F1388="LI",0.8,
IF(F1388="LD",0.8,
IF(F1388="MCD",0.85,
IF(F1388="MC",0.95,
IF(F1388="MO",1.05,
IF(F1388="EI",1.1,
IF(F1388="ED",1.1,
IF(F1388="SD",1.15,
IF(F1388="DC",1.2,0)))))))))))</f>
        <v>0.75</v>
      </c>
    </row>
    <row r="1389" customFormat="false" ht="16.4" hidden="false" customHeight="false" outlineLevel="0" collapsed="false">
      <c r="A1389" s="1" t="n">
        <v>1388</v>
      </c>
      <c r="B1389" s="5" t="str">
        <f aca="false">[1]Base_Jugadores!B1389</f>
        <v>Mike Maignan</v>
      </c>
      <c r="C1389" s="5" t="str">
        <f aca="false">IFERROR(
   _xlfn.XLOOKUP(VALUE(A1389),[1]Fichajes_Realizados!A$2:A$50000,[1]Fichajes_Realizados!D$2:D$50000,,0,-1),
   _xlfn.XLOOKUP(VALUE(A1389),[1]Base_Jugadores!A$2:A$50000,[1]Base_Jugadores!C$2:C$50000)
)</f>
        <v>AC Milan</v>
      </c>
      <c r="D1389" s="5" t="str">
        <f aca="false">[1]Base_Jugadores!D1389</f>
        <v>Francia</v>
      </c>
      <c r="E1389" s="3"/>
      <c r="F1389" s="5" t="str">
        <f aca="false">[1]Base_Jugadores!E1389</f>
        <v>PO</v>
      </c>
      <c r="G1389" s="5" t="n">
        <f aca="false">[1]Base_Jugadores!F1389</f>
        <v>87</v>
      </c>
      <c r="H1389" s="5" t="n">
        <f aca="false">[1]Base_Jugadores!G1389</f>
        <v>30</v>
      </c>
      <c r="I1389" s="7" t="n">
        <f aca="false" t="array" ref="I1389:I1389">_xlfn.XLOOKUP(G1389,{55;56;57;58;59;60;61;62;63;64;65;66;67;68;69;70;71;72;73;74;75;76;77;78;79;80;81;82;83;84;85;86;87;88;89;90;91;92;93;94;95;96;97;98;99},{100000;130000;160000;190000;220000;250000;300000;350000;400000;450000;500000;600000;700000;800000;900000;1000000;1500000;2000000;3000000;4000000;5000000;6500000;8000000;10000000;12500000;15000000;20000000;25000000;30000000;35000000;40000000;55000000;70000000;80000000;90000000;110000000;130000000;160000000;190000000;220000000;250000000;280000000;310000000;340000000;400000000})</f>
        <v>70000000</v>
      </c>
      <c r="J1389" s="7" t="n">
        <f aca="false">I1389*S1389*T1389*U1389</f>
        <v>52920000</v>
      </c>
      <c r="K1389" s="3"/>
      <c r="L1389" s="3"/>
      <c r="M1389" s="3"/>
      <c r="N1389" s="9" t="n">
        <v>0</v>
      </c>
      <c r="O1389" s="4" t="n">
        <v>0</v>
      </c>
      <c r="P1389" s="5" t="n">
        <f aca="false">IF(COUNTIF([1]Base_Jugadores!J$2:J$500,B1389)&gt;0,1,0)</f>
        <v>0</v>
      </c>
      <c r="Q1389" s="10" t="b">
        <f aca="false">--(COUNTIFS(
   [1]Fichajes_Realizados!A$2:A$5000,A1389,
   [1]Fichajes_Realizados!G$2:G$5000,$X$3
)&gt;0)</f>
        <v>0</v>
      </c>
      <c r="R1389" s="5" t="n">
        <f aca="false">_xlfn.XLOOKUP(C1389, [1]Estado_Equipos!A$2:A$500, [1]Estado_Equipos!J$2:J$500, "")</f>
        <v>77</v>
      </c>
      <c r="S1389" s="5" t="n">
        <f aca="false">IF(H1389&lt;=16,1.45,
IF(H1389&gt;=41,0.3,
CHOOSE(ROUNDDOWN((H1389-16)/2,0)+1,
1.45,1.38,1.3,1.23,1.17,1.15,1.12,1.05,0.95,0.8,0.6,0.4,0.3)))</f>
        <v>1.05</v>
      </c>
      <c r="T1389" s="5" t="n">
        <f aca="false">CHOOSE(N1389+1,1.2,1,0.85,0.7)</f>
        <v>1.2</v>
      </c>
      <c r="U1389" s="5" t="n">
        <f aca="false">IF(F1389="PO",0.6,
IF(F1389="CT",0.75,
IF(F1389="LI",0.8,
IF(F1389="LD",0.8,
IF(F1389="MCD",0.85,
IF(F1389="MC",0.95,
IF(F1389="MO",1.05,
IF(F1389="EI",1.1,
IF(F1389="ED",1.1,
IF(F1389="SD",1.15,
IF(F1389="DC",1.2,0)))))))))))</f>
        <v>0.6</v>
      </c>
    </row>
    <row r="1390" customFormat="false" ht="16.4" hidden="false" customHeight="false" outlineLevel="0" collapsed="false">
      <c r="A1390" s="1" t="n">
        <v>1389</v>
      </c>
      <c r="B1390" s="5" t="str">
        <f aca="false">[1]Base_Jugadores!B1390</f>
        <v>Pietro Terracciano</v>
      </c>
      <c r="C1390" s="5" t="str">
        <f aca="false">IFERROR(
   _xlfn.XLOOKUP(VALUE(A1390),[1]Fichajes_Realizados!A$2:A$50000,[1]Fichajes_Realizados!D$2:D$50000,,0,-1),
   _xlfn.XLOOKUP(VALUE(A1390),[1]Base_Jugadores!A$2:A$50000,[1]Base_Jugadores!C$2:C$50000)
)</f>
        <v>AC Milan</v>
      </c>
      <c r="D1390" s="5" t="str">
        <f aca="false">[1]Base_Jugadores!D1390</f>
        <v>Italia</v>
      </c>
      <c r="E1390" s="3"/>
      <c r="F1390" s="5" t="str">
        <f aca="false">[1]Base_Jugadores!E1390</f>
        <v>PO</v>
      </c>
      <c r="G1390" s="5" t="n">
        <f aca="false">[1]Base_Jugadores!F1390</f>
        <v>79</v>
      </c>
      <c r="H1390" s="5" t="n">
        <f aca="false">[1]Base_Jugadores!G1390</f>
        <v>35</v>
      </c>
      <c r="I1390" s="7" t="n">
        <f aca="false" t="array" ref="I1390:I1390">_xlfn.XLOOKUP(G1390,{55;56;57;58;59;60;61;62;63;64;65;66;67;68;69;70;71;72;73;74;75;76;77;78;79;80;81;82;83;84;85;86;87;88;89;90;91;92;93;94;95;96;97;98;99},{100000;130000;160000;190000;220000;250000;300000;350000;400000;450000;500000;600000;700000;800000;900000;1000000;1500000;2000000;3000000;4000000;5000000;6500000;8000000;10000000;12500000;15000000;20000000;25000000;30000000;35000000;40000000;55000000;70000000;80000000;90000000;110000000;130000000;160000000;190000000;220000000;250000000;280000000;310000000;340000000;400000000})</f>
        <v>12500000</v>
      </c>
      <c r="J1390" s="7" t="n">
        <f aca="false">I1390*S1390*T1390*U1390</f>
        <v>7200000</v>
      </c>
      <c r="K1390" s="3"/>
      <c r="L1390" s="3"/>
      <c r="M1390" s="3"/>
      <c r="N1390" s="9" t="n">
        <v>0</v>
      </c>
      <c r="O1390" s="4" t="n">
        <v>0</v>
      </c>
      <c r="P1390" s="5" t="n">
        <f aca="false">IF(COUNTIF([1]Base_Jugadores!J$2:J$500,B1390)&gt;0,1,0)</f>
        <v>0</v>
      </c>
      <c r="Q1390" s="10" t="b">
        <f aca="false">--(COUNTIFS(
   [1]Fichajes_Realizados!A$2:A$5000,A1390,
   [1]Fichajes_Realizados!G$2:G$5000,$X$3
)&gt;0)</f>
        <v>0</v>
      </c>
      <c r="R1390" s="5" t="n">
        <f aca="false">_xlfn.XLOOKUP(C1390, [1]Estado_Equipos!A$2:A$500, [1]Estado_Equipos!J$2:J$500, "")</f>
        <v>77</v>
      </c>
      <c r="S1390" s="5" t="n">
        <f aca="false">IF(H1390&lt;=16,1.45,
IF(H1390&gt;=41,0.3,
CHOOSE(ROUNDDOWN((H1390-16)/2,0)+1,
1.45,1.38,1.3,1.23,1.17,1.15,1.12,1.05,0.95,0.8,0.6,0.4,0.3)))</f>
        <v>0.8</v>
      </c>
      <c r="T1390" s="5" t="n">
        <f aca="false">CHOOSE(N1390+1,1.2,1,0.85,0.7)</f>
        <v>1.2</v>
      </c>
      <c r="U1390" s="5" t="n">
        <f aca="false">IF(F1390="PO",0.6,
IF(F1390="CT",0.75,
IF(F1390="LI",0.8,
IF(F1390="LD",0.8,
IF(F1390="MCD",0.85,
IF(F1390="MC",0.95,
IF(F1390="MO",1.05,
IF(F1390="EI",1.1,
IF(F1390="ED",1.1,
IF(F1390="SD",1.15,
IF(F1390="DC",1.2,0)))))))))))</f>
        <v>0.6</v>
      </c>
    </row>
    <row r="1391" customFormat="false" ht="16.4" hidden="false" customHeight="false" outlineLevel="0" collapsed="false">
      <c r="A1391" s="1" t="n">
        <v>1390</v>
      </c>
      <c r="B1391" s="5" t="str">
        <f aca="false">[1]Base_Jugadores!B1391</f>
        <v>Lorenzo Torriani</v>
      </c>
      <c r="C1391" s="5" t="str">
        <f aca="false">IFERROR(
   _xlfn.XLOOKUP(VALUE(A1391),[1]Fichajes_Realizados!A$2:A$50000,[1]Fichajes_Realizados!D$2:D$50000,,0,-1),
   _xlfn.XLOOKUP(VALUE(A1391),[1]Base_Jugadores!A$2:A$50000,[1]Base_Jugadores!C$2:C$50000)
)</f>
        <v>AC Milan</v>
      </c>
      <c r="D1391" s="5" t="str">
        <f aca="false">[1]Base_Jugadores!D1391</f>
        <v>Italia</v>
      </c>
      <c r="E1391" s="3"/>
      <c r="F1391" s="5" t="str">
        <f aca="false">[1]Base_Jugadores!E1391</f>
        <v>PO</v>
      </c>
      <c r="G1391" s="5" t="n">
        <f aca="false">[1]Base_Jugadores!F1391</f>
        <v>57</v>
      </c>
      <c r="H1391" s="5" t="n">
        <f aca="false">[1]Base_Jugadores!G1391</f>
        <v>20</v>
      </c>
      <c r="I1391" s="7" t="n">
        <f aca="false" t="array" ref="I1391:I1391">_xlfn.XLOOKUP(G1391,{55;56;57;58;59;60;61;62;63;64;65;66;67;68;69;70;71;72;73;74;75;76;77;78;79;80;81;82;83;84;85;86;87;88;89;90;91;92;93;94;95;96;97;98;99},{100000;130000;160000;190000;220000;250000;300000;350000;400000;450000;500000;600000;700000;800000;900000;1000000;1500000;2000000;3000000;4000000;5000000;6500000;8000000;10000000;12500000;15000000;20000000;25000000;30000000;35000000;40000000;55000000;70000000;80000000;90000000;110000000;130000000;160000000;190000000;220000000;250000000;280000000;310000000;340000000;400000000})</f>
        <v>160000</v>
      </c>
      <c r="J1391" s="7" t="n">
        <f aca="false">I1391*S1391*T1391*U1391</f>
        <v>149760</v>
      </c>
      <c r="K1391" s="3"/>
      <c r="L1391" s="3"/>
      <c r="M1391" s="3"/>
      <c r="N1391" s="9" t="n">
        <v>0</v>
      </c>
      <c r="O1391" s="4" t="n">
        <v>0</v>
      </c>
      <c r="P1391" s="5" t="n">
        <f aca="false">IF(COUNTIF([1]Base_Jugadores!J$2:J$500,B1391)&gt;0,1,0)</f>
        <v>0</v>
      </c>
      <c r="Q1391" s="10" t="b">
        <f aca="false">--(COUNTIFS(
   [1]Fichajes_Realizados!A$2:A$5000,A1391,
   [1]Fichajes_Realizados!G$2:G$5000,$X$3
)&gt;0)</f>
        <v>0</v>
      </c>
      <c r="R1391" s="5" t="n">
        <f aca="false">_xlfn.XLOOKUP(C1391, [1]Estado_Equipos!A$2:A$500, [1]Estado_Equipos!J$2:J$500, "")</f>
        <v>77</v>
      </c>
      <c r="S1391" s="5" t="n">
        <f aca="false">IF(H1391&lt;=16,1.45,
IF(H1391&gt;=41,0.3,
CHOOSE(ROUNDDOWN((H1391-16)/2,0)+1,
1.45,1.38,1.3,1.23,1.17,1.15,1.12,1.05,0.95,0.8,0.6,0.4,0.3)))</f>
        <v>1.3</v>
      </c>
      <c r="T1391" s="5" t="n">
        <f aca="false">CHOOSE(N1391+1,1.2,1,0.85,0.7)</f>
        <v>1.2</v>
      </c>
      <c r="U1391" s="5" t="n">
        <f aca="false">IF(F1391="PO",0.6,
IF(F1391="CT",0.75,
IF(F1391="LI",0.8,
IF(F1391="LD",0.8,
IF(F1391="MCD",0.85,
IF(F1391="MC",0.95,
IF(F1391="MO",1.05,
IF(F1391="EI",1.1,
IF(F1391="ED",1.1,
IF(F1391="SD",1.15,
IF(F1391="DC",1.2,0)))))))))))</f>
        <v>0.6</v>
      </c>
    </row>
    <row r="1392" customFormat="false" ht="16.4" hidden="false" customHeight="false" outlineLevel="0" collapsed="false">
      <c r="A1392" s="1" t="n">
        <v>1391</v>
      </c>
      <c r="B1392" s="5" t="str">
        <f aca="false">[1]Base_Jugadores!B1392</f>
        <v>Koni De Winter</v>
      </c>
      <c r="C1392" s="5" t="str">
        <f aca="false">IFERROR(
   _xlfn.XLOOKUP(VALUE(A1392),[1]Fichajes_Realizados!A$2:A$50000,[1]Fichajes_Realizados!D$2:D$50000,,0,-1),
   _xlfn.XLOOKUP(VALUE(A1392),[1]Base_Jugadores!A$2:A$50000,[1]Base_Jugadores!C$2:C$50000)
)</f>
        <v>AC Milan</v>
      </c>
      <c r="D1392" s="5" t="str">
        <f aca="false">[1]Base_Jugadores!D1392</f>
        <v>Bélgica</v>
      </c>
      <c r="E1392" s="3"/>
      <c r="F1392" s="5" t="str">
        <f aca="false">[1]Base_Jugadores!E1392</f>
        <v>CT</v>
      </c>
      <c r="G1392" s="5" t="n">
        <f aca="false">[1]Base_Jugadores!F1392</f>
        <v>72</v>
      </c>
      <c r="H1392" s="5" t="n">
        <f aca="false">[1]Base_Jugadores!G1392</f>
        <v>23</v>
      </c>
      <c r="I1392" s="7" t="n">
        <f aca="false" t="array" ref="I1392:I1392">_xlfn.XLOOKUP(G1392,{55;56;57;58;59;60;61;62;63;64;65;66;67;68;69;70;71;72;73;74;75;76;77;78;79;80;81;82;83;84;85;86;87;88;89;90;91;92;93;94;95;96;97;98;99},{100000;130000;160000;190000;220000;250000;300000;350000;400000;450000;500000;600000;700000;800000;900000;1000000;1500000;2000000;3000000;4000000;5000000;6500000;8000000;10000000;12500000;15000000;20000000;25000000;30000000;35000000;40000000;55000000;70000000;80000000;90000000;110000000;130000000;160000000;190000000;220000000;250000000;280000000;310000000;340000000;400000000})</f>
        <v>2000000</v>
      </c>
      <c r="J1392" s="7" t="n">
        <f aca="false">I1392*S1392*T1392*U1392</f>
        <v>2214000</v>
      </c>
      <c r="K1392" s="3"/>
      <c r="L1392" s="3"/>
      <c r="M1392" s="3"/>
      <c r="N1392" s="9" t="n">
        <v>0</v>
      </c>
      <c r="O1392" s="4" t="n">
        <v>0</v>
      </c>
      <c r="P1392" s="5" t="n">
        <f aca="false">IF(COUNTIF([1]Base_Jugadores!J$2:J$500,B1392)&gt;0,1,0)</f>
        <v>0</v>
      </c>
      <c r="Q1392" s="10" t="b">
        <f aca="false">--(COUNTIFS(
   [1]Fichajes_Realizados!A$2:A$5000,A1392,
   [1]Fichajes_Realizados!G$2:G$5000,$X$3
)&gt;0)</f>
        <v>0</v>
      </c>
      <c r="R1392" s="5" t="n">
        <f aca="false">_xlfn.XLOOKUP(C1392, [1]Estado_Equipos!A$2:A$500, [1]Estado_Equipos!J$2:J$500, "")</f>
        <v>77</v>
      </c>
      <c r="S1392" s="5" t="n">
        <f aca="false">IF(H1392&lt;=16,1.45,
IF(H1392&gt;=41,0.3,
CHOOSE(ROUNDDOWN((H1392-16)/2,0)+1,
1.45,1.38,1.3,1.23,1.17,1.15,1.12,1.05,0.95,0.8,0.6,0.4,0.3)))</f>
        <v>1.23</v>
      </c>
      <c r="T1392" s="5" t="n">
        <f aca="false">CHOOSE(N1392+1,1.2,1,0.85,0.7)</f>
        <v>1.2</v>
      </c>
      <c r="U1392" s="5" t="n">
        <f aca="false">IF(F1392="PO",0.6,
IF(F1392="CT",0.75,
IF(F1392="LI",0.8,
IF(F1392="LD",0.8,
IF(F1392="MCD",0.85,
IF(F1392="MC",0.95,
IF(F1392="MO",1.05,
IF(F1392="EI",1.1,
IF(F1392="ED",1.1,
IF(F1392="SD",1.15,
IF(F1392="DC",1.2,0)))))))))))</f>
        <v>0.75</v>
      </c>
    </row>
    <row r="1393" customFormat="false" ht="16.4" hidden="false" customHeight="false" outlineLevel="0" collapsed="false">
      <c r="A1393" s="1" t="n">
        <v>1392</v>
      </c>
      <c r="B1393" s="5" t="str">
        <f aca="false">[1]Base_Jugadores!B1393</f>
        <v>Fikayo Tomori</v>
      </c>
      <c r="C1393" s="5" t="str">
        <f aca="false">IFERROR(
   _xlfn.XLOOKUP(VALUE(A1393),[1]Fichajes_Realizados!A$2:A$50000,[1]Fichajes_Realizados!D$2:D$50000,,0,-1),
   _xlfn.XLOOKUP(VALUE(A1393),[1]Base_Jugadores!A$2:A$50000,[1]Base_Jugadores!C$2:C$50000)
)</f>
        <v>AC Milan</v>
      </c>
      <c r="D1393" s="5" t="str">
        <f aca="false">[1]Base_Jugadores!D1393</f>
        <v>Inglaterra</v>
      </c>
      <c r="E1393" s="3"/>
      <c r="F1393" s="5" t="str">
        <f aca="false">[1]Base_Jugadores!E1393</f>
        <v>CT</v>
      </c>
      <c r="G1393" s="5" t="n">
        <f aca="false">[1]Base_Jugadores!F1393</f>
        <v>83</v>
      </c>
      <c r="H1393" s="5" t="n">
        <f aca="false">[1]Base_Jugadores!G1393</f>
        <v>28</v>
      </c>
      <c r="I1393" s="7" t="n">
        <f aca="false" t="array" ref="I1393:I1393">_xlfn.XLOOKUP(G1393,{55;56;57;58;59;60;61;62;63;64;65;66;67;68;69;70;71;72;73;74;75;76;77;78;79;80;81;82;83;84;85;86;87;88;89;90;91;92;93;94;95;96;97;98;99},{100000;130000;160000;190000;220000;250000;300000;350000;400000;450000;500000;600000;700000;800000;900000;1000000;1500000;2000000;3000000;4000000;5000000;6500000;8000000;10000000;12500000;15000000;20000000;25000000;30000000;35000000;40000000;55000000;70000000;80000000;90000000;110000000;130000000;160000000;190000000;220000000;250000000;280000000;310000000;340000000;400000000})</f>
        <v>30000000</v>
      </c>
      <c r="J1393" s="7" t="n">
        <f aca="false">I1393*S1393*T1393*U1393</f>
        <v>30240000</v>
      </c>
      <c r="K1393" s="3"/>
      <c r="L1393" s="3"/>
      <c r="M1393" s="3"/>
      <c r="N1393" s="9" t="n">
        <v>0</v>
      </c>
      <c r="O1393" s="4" t="n">
        <v>0</v>
      </c>
      <c r="P1393" s="5" t="n">
        <f aca="false">IF(COUNTIF([1]Base_Jugadores!J$2:J$500,B1393)&gt;0,1,0)</f>
        <v>0</v>
      </c>
      <c r="Q1393" s="10" t="b">
        <f aca="false">--(COUNTIFS(
   [1]Fichajes_Realizados!A$2:A$5000,A1393,
   [1]Fichajes_Realizados!G$2:G$5000,$X$3
)&gt;0)</f>
        <v>0</v>
      </c>
      <c r="R1393" s="5" t="n">
        <f aca="false">_xlfn.XLOOKUP(C1393, [1]Estado_Equipos!A$2:A$500, [1]Estado_Equipos!J$2:J$500, "")</f>
        <v>77</v>
      </c>
      <c r="S1393" s="5" t="n">
        <f aca="false">IF(H1393&lt;=16,1.45,
IF(H1393&gt;=41,0.3,
CHOOSE(ROUNDDOWN((H1393-16)/2,0)+1,
1.45,1.38,1.3,1.23,1.17,1.15,1.12,1.05,0.95,0.8,0.6,0.4,0.3)))</f>
        <v>1.12</v>
      </c>
      <c r="T1393" s="5" t="n">
        <f aca="false">CHOOSE(N1393+1,1.2,1,0.85,0.7)</f>
        <v>1.2</v>
      </c>
      <c r="U1393" s="5" t="n">
        <f aca="false">IF(F1393="PO",0.6,
IF(F1393="CT",0.75,
IF(F1393="LI",0.8,
IF(F1393="LD",0.8,
IF(F1393="MCD",0.85,
IF(F1393="MC",0.95,
IF(F1393="MO",1.05,
IF(F1393="EI",1.1,
IF(F1393="ED",1.1,
IF(F1393="SD",1.15,
IF(F1393="DC",1.2,0)))))))))))</f>
        <v>0.75</v>
      </c>
    </row>
    <row r="1394" customFormat="false" ht="16.4" hidden="false" customHeight="false" outlineLevel="0" collapsed="false">
      <c r="A1394" s="1" t="n">
        <v>1393</v>
      </c>
      <c r="B1394" s="5" t="str">
        <f aca="false">[1]Base_Jugadores!B1394</f>
        <v>Strahinja Pavlović</v>
      </c>
      <c r="C1394" s="5" t="str">
        <f aca="false">IFERROR(
   _xlfn.XLOOKUP(VALUE(A1394),[1]Fichajes_Realizados!A$2:A$50000,[1]Fichajes_Realizados!D$2:D$50000,,0,-1),
   _xlfn.XLOOKUP(VALUE(A1394),[1]Base_Jugadores!A$2:A$50000,[1]Base_Jugadores!C$2:C$50000)
)</f>
        <v>AC Milan</v>
      </c>
      <c r="D1394" s="5" t="str">
        <f aca="false">[1]Base_Jugadores!D1394</f>
        <v>Serbia</v>
      </c>
      <c r="E1394" s="3"/>
      <c r="F1394" s="5" t="str">
        <f aca="false">[1]Base_Jugadores!E1394</f>
        <v>CT</v>
      </c>
      <c r="G1394" s="5" t="n">
        <f aca="false">[1]Base_Jugadores!F1394</f>
        <v>77</v>
      </c>
      <c r="H1394" s="5" t="n">
        <f aca="false">[1]Base_Jugadores!G1394</f>
        <v>24</v>
      </c>
      <c r="I1394" s="7" t="n">
        <f aca="false" t="array" ref="I1394:I1394">_xlfn.XLOOKUP(G1394,{55;56;57;58;59;60;61;62;63;64;65;66;67;68;69;70;71;72;73;74;75;76;77;78;79;80;81;82;83;84;85;86;87;88;89;90;91;92;93;94;95;96;97;98;99},{100000;130000;160000;190000;220000;250000;300000;350000;400000;450000;500000;600000;700000;800000;900000;1000000;1500000;2000000;3000000;4000000;5000000;6500000;8000000;10000000;12500000;15000000;20000000;25000000;30000000;35000000;40000000;55000000;70000000;80000000;90000000;110000000;130000000;160000000;190000000;220000000;250000000;280000000;310000000;340000000;400000000})</f>
        <v>8000000</v>
      </c>
      <c r="J1394" s="7" t="n">
        <f aca="false">I1394*S1394*T1394*U1394</f>
        <v>8424000</v>
      </c>
      <c r="K1394" s="3"/>
      <c r="L1394" s="3"/>
      <c r="M1394" s="3"/>
      <c r="N1394" s="9" t="n">
        <v>0</v>
      </c>
      <c r="O1394" s="4" t="n">
        <v>0</v>
      </c>
      <c r="P1394" s="5" t="n">
        <f aca="false">IF(COUNTIF([1]Base_Jugadores!J$2:J$500,B1394)&gt;0,1,0)</f>
        <v>0</v>
      </c>
      <c r="Q1394" s="10" t="b">
        <f aca="false">--(COUNTIFS(
   [1]Fichajes_Realizados!A$2:A$5000,A1394,
   [1]Fichajes_Realizados!G$2:G$5000,$X$3
)&gt;0)</f>
        <v>0</v>
      </c>
      <c r="R1394" s="5" t="n">
        <f aca="false">_xlfn.XLOOKUP(C1394, [1]Estado_Equipos!A$2:A$500, [1]Estado_Equipos!J$2:J$500, "")</f>
        <v>77</v>
      </c>
      <c r="S1394" s="5" t="n">
        <f aca="false">IF(H1394&lt;=16,1.45,
IF(H1394&gt;=41,0.3,
CHOOSE(ROUNDDOWN((H1394-16)/2,0)+1,
1.45,1.38,1.3,1.23,1.17,1.15,1.12,1.05,0.95,0.8,0.6,0.4,0.3)))</f>
        <v>1.17</v>
      </c>
      <c r="T1394" s="5" t="n">
        <f aca="false">CHOOSE(N1394+1,1.2,1,0.85,0.7)</f>
        <v>1.2</v>
      </c>
      <c r="U1394" s="5" t="n">
        <f aca="false">IF(F1394="PO",0.6,
IF(F1394="CT",0.75,
IF(F1394="LI",0.8,
IF(F1394="LD",0.8,
IF(F1394="MCD",0.85,
IF(F1394="MC",0.95,
IF(F1394="MO",1.05,
IF(F1394="EI",1.1,
IF(F1394="ED",1.1,
IF(F1394="SD",1.15,
IF(F1394="DC",1.2,0)))))))))))</f>
        <v>0.75</v>
      </c>
    </row>
    <row r="1395" customFormat="false" ht="16.4" hidden="false" customHeight="false" outlineLevel="0" collapsed="false">
      <c r="A1395" s="1" t="n">
        <v>1394</v>
      </c>
      <c r="B1395" s="5" t="str">
        <f aca="false">[1]Base_Jugadores!B1395</f>
        <v>Matteo Gabbia</v>
      </c>
      <c r="C1395" s="5" t="str">
        <f aca="false">IFERROR(
   _xlfn.XLOOKUP(VALUE(A1395),[1]Fichajes_Realizados!A$2:A$50000,[1]Fichajes_Realizados!D$2:D$50000,,0,-1),
   _xlfn.XLOOKUP(VALUE(A1395),[1]Base_Jugadores!A$2:A$50000,[1]Base_Jugadores!C$2:C$50000)
)</f>
        <v>AC Milan</v>
      </c>
      <c r="D1395" s="5" t="str">
        <f aca="false">[1]Base_Jugadores!D1395</f>
        <v>Italia</v>
      </c>
      <c r="E1395" s="3"/>
      <c r="F1395" s="5" t="str">
        <f aca="false">[1]Base_Jugadores!E1395</f>
        <v>CT</v>
      </c>
      <c r="G1395" s="5" t="n">
        <f aca="false">[1]Base_Jugadores!F1395</f>
        <v>78</v>
      </c>
      <c r="H1395" s="5" t="n">
        <f aca="false">[1]Base_Jugadores!G1395</f>
        <v>26</v>
      </c>
      <c r="I1395" s="7" t="n">
        <f aca="false" t="array" ref="I1395:I1395">_xlfn.XLOOKUP(G1395,{55;56;57;58;59;60;61;62;63;64;65;66;67;68;69;70;71;72;73;74;75;76;77;78;79;80;81;82;83;84;85;86;87;88;89;90;91;92;93;94;95;96;97;98;99},{100000;130000;160000;190000;220000;250000;300000;350000;400000;450000;500000;600000;700000;800000;900000;1000000;1500000;2000000;3000000;4000000;5000000;6500000;8000000;10000000;12500000;15000000;20000000;25000000;30000000;35000000;40000000;55000000;70000000;80000000;90000000;110000000;130000000;160000000;190000000;220000000;250000000;280000000;310000000;340000000;400000000})</f>
        <v>10000000</v>
      </c>
      <c r="J1395" s="7" t="n">
        <f aca="false">I1395*S1395*T1395*U1395</f>
        <v>10350000</v>
      </c>
      <c r="K1395" s="3"/>
      <c r="L1395" s="3"/>
      <c r="M1395" s="3"/>
      <c r="N1395" s="9" t="n">
        <v>0</v>
      </c>
      <c r="O1395" s="4" t="n">
        <v>0</v>
      </c>
      <c r="P1395" s="5" t="n">
        <f aca="false">IF(COUNTIF([1]Base_Jugadores!J$2:J$500,B1395)&gt;0,1,0)</f>
        <v>0</v>
      </c>
      <c r="Q1395" s="10" t="b">
        <f aca="false">--(COUNTIFS(
   [1]Fichajes_Realizados!A$2:A$5000,A1395,
   [1]Fichajes_Realizados!G$2:G$5000,$X$3
)&gt;0)</f>
        <v>0</v>
      </c>
      <c r="R1395" s="5" t="n">
        <f aca="false">_xlfn.XLOOKUP(C1395, [1]Estado_Equipos!A$2:A$500, [1]Estado_Equipos!J$2:J$500, "")</f>
        <v>77</v>
      </c>
      <c r="S1395" s="5" t="n">
        <f aca="false">IF(H1395&lt;=16,1.45,
IF(H1395&gt;=41,0.3,
CHOOSE(ROUNDDOWN((H1395-16)/2,0)+1,
1.45,1.38,1.3,1.23,1.17,1.15,1.12,1.05,0.95,0.8,0.6,0.4,0.3)))</f>
        <v>1.15</v>
      </c>
      <c r="T1395" s="5" t="n">
        <f aca="false">CHOOSE(N1395+1,1.2,1,0.85,0.7)</f>
        <v>1.2</v>
      </c>
      <c r="U1395" s="5" t="n">
        <f aca="false">IF(F1395="PO",0.6,
IF(F1395="CT",0.75,
IF(F1395="LI",0.8,
IF(F1395="LD",0.8,
IF(F1395="MCD",0.85,
IF(F1395="MC",0.95,
IF(F1395="MO",1.05,
IF(F1395="EI",1.1,
IF(F1395="ED",1.1,
IF(F1395="SD",1.15,
IF(F1395="DC",1.2,0)))))))))))</f>
        <v>0.75</v>
      </c>
    </row>
    <row r="1396" customFormat="false" ht="16.4" hidden="false" customHeight="false" outlineLevel="0" collapsed="false">
      <c r="A1396" s="1" t="n">
        <v>1395</v>
      </c>
      <c r="B1396" s="5" t="str">
        <f aca="false">[1]Base_Jugadores!B1396</f>
        <v>David Odogu</v>
      </c>
      <c r="C1396" s="5" t="str">
        <f aca="false">IFERROR(
   _xlfn.XLOOKUP(VALUE(A1396),[1]Fichajes_Realizados!A$2:A$50000,[1]Fichajes_Realizados!D$2:D$50000,,0,-1),
   _xlfn.XLOOKUP(VALUE(A1396),[1]Base_Jugadores!A$2:A$50000,[1]Base_Jugadores!C$2:C$50000)
)</f>
        <v>AC Milan</v>
      </c>
      <c r="D1396" s="5" t="str">
        <f aca="false">[1]Base_Jugadores!D1396</f>
        <v>Alemania</v>
      </c>
      <c r="E1396" s="3"/>
      <c r="F1396" s="5" t="str">
        <f aca="false">[1]Base_Jugadores!E1396</f>
        <v>CT</v>
      </c>
      <c r="G1396" s="5" t="n">
        <f aca="false">[1]Base_Jugadores!F1396</f>
        <v>63</v>
      </c>
      <c r="H1396" s="5" t="n">
        <f aca="false">[1]Base_Jugadores!G1396</f>
        <v>19</v>
      </c>
      <c r="I1396" s="7" t="n">
        <f aca="false" t="array" ref="I1396:I1396">_xlfn.XLOOKUP(G1396,{55;56;57;58;59;60;61;62;63;64;65;66;67;68;69;70;71;72;73;74;75;76;77;78;79;80;81;82;83;84;85;86;87;88;89;90;91;92;93;94;95;96;97;98;99},{100000;130000;160000;190000;220000;250000;300000;350000;400000;450000;500000;600000;700000;800000;900000;1000000;1500000;2000000;3000000;4000000;5000000;6500000;8000000;10000000;12500000;15000000;20000000;25000000;30000000;35000000;40000000;55000000;70000000;80000000;90000000;110000000;130000000;160000000;190000000;220000000;250000000;280000000;310000000;340000000;400000000})</f>
        <v>400000</v>
      </c>
      <c r="J1396" s="7" t="n">
        <f aca="false">I1396*S1396*T1396*U1396</f>
        <v>496800</v>
      </c>
      <c r="K1396" s="3"/>
      <c r="L1396" s="3"/>
      <c r="M1396" s="3"/>
      <c r="N1396" s="9" t="n">
        <v>0</v>
      </c>
      <c r="O1396" s="4" t="n">
        <v>0</v>
      </c>
      <c r="P1396" s="5" t="n">
        <f aca="false">IF(COUNTIF([1]Base_Jugadores!J$2:J$500,B1396)&gt;0,1,0)</f>
        <v>0</v>
      </c>
      <c r="Q1396" s="10" t="b">
        <f aca="false">--(COUNTIFS(
   [1]Fichajes_Realizados!A$2:A$5000,A1396,
   [1]Fichajes_Realizados!G$2:G$5000,$X$3
)&gt;0)</f>
        <v>0</v>
      </c>
      <c r="R1396" s="5" t="n">
        <f aca="false">_xlfn.XLOOKUP(C1396, [1]Estado_Equipos!A$2:A$500, [1]Estado_Equipos!J$2:J$500, "")</f>
        <v>77</v>
      </c>
      <c r="S1396" s="5" t="n">
        <f aca="false">IF(H1396&lt;=16,1.45,
IF(H1396&gt;=41,0.3,
CHOOSE(ROUNDDOWN((H1396-16)/2,0)+1,
1.45,1.38,1.3,1.23,1.17,1.15,1.12,1.05,0.95,0.8,0.6,0.4,0.3)))</f>
        <v>1.38</v>
      </c>
      <c r="T1396" s="5" t="n">
        <f aca="false">CHOOSE(N1396+1,1.2,1,0.85,0.7)</f>
        <v>1.2</v>
      </c>
      <c r="U1396" s="5" t="n">
        <f aca="false">IF(F1396="PO",0.6,
IF(F1396="CT",0.75,
IF(F1396="LI",0.8,
IF(F1396="LD",0.8,
IF(F1396="MCD",0.85,
IF(F1396="MC",0.95,
IF(F1396="MO",1.05,
IF(F1396="EI",1.1,
IF(F1396="ED",1.1,
IF(F1396="SD",1.15,
IF(F1396="DC",1.2,0)))))))))))</f>
        <v>0.75</v>
      </c>
    </row>
    <row r="1397" customFormat="false" ht="16.4" hidden="false" customHeight="false" outlineLevel="0" collapsed="false">
      <c r="A1397" s="1" t="n">
        <v>1396</v>
      </c>
      <c r="B1397" s="5" t="str">
        <f aca="false">[1]Base_Jugadores!B1397</f>
        <v>Pervis Estupiñán</v>
      </c>
      <c r="C1397" s="5" t="str">
        <f aca="false">IFERROR(
   _xlfn.XLOOKUP(VALUE(A1397),[1]Fichajes_Realizados!A$2:A$50000,[1]Fichajes_Realizados!D$2:D$50000,,0,-1),
   _xlfn.XLOOKUP(VALUE(A1397),[1]Base_Jugadores!A$2:A$50000,[1]Base_Jugadores!C$2:C$50000)
)</f>
        <v>AC Milan</v>
      </c>
      <c r="D1397" s="5" t="str">
        <f aca="false">[1]Base_Jugadores!D1397</f>
        <v>Ecuador</v>
      </c>
      <c r="E1397" s="3"/>
      <c r="F1397" s="5" t="str">
        <f aca="false">[1]Base_Jugadores!E1397</f>
        <v>LI</v>
      </c>
      <c r="G1397" s="5" t="n">
        <f aca="false">[1]Base_Jugadores!F1397</f>
        <v>80</v>
      </c>
      <c r="H1397" s="5" t="n">
        <f aca="false">[1]Base_Jugadores!G1397</f>
        <v>27</v>
      </c>
      <c r="I1397" s="7" t="n">
        <f aca="false" t="array" ref="I1397:I1397">_xlfn.XLOOKUP(G1397,{55;56;57;58;59;60;61;62;63;64;65;66;67;68;69;70;71;72;73;74;75;76;77;78;79;80;81;82;83;84;85;86;87;88;89;90;91;92;93;94;95;96;97;98;99},{100000;130000;160000;190000;220000;250000;300000;350000;400000;450000;500000;600000;700000;800000;900000;1000000;1500000;2000000;3000000;4000000;5000000;6500000;8000000;10000000;12500000;15000000;20000000;25000000;30000000;35000000;40000000;55000000;70000000;80000000;90000000;110000000;130000000;160000000;190000000;220000000;250000000;280000000;310000000;340000000;400000000})</f>
        <v>15000000</v>
      </c>
      <c r="J1397" s="7" t="n">
        <f aca="false">I1397*S1397*T1397*U1397</f>
        <v>16560000</v>
      </c>
      <c r="K1397" s="3"/>
      <c r="L1397" s="3"/>
      <c r="M1397" s="3"/>
      <c r="N1397" s="9" t="n">
        <v>0</v>
      </c>
      <c r="O1397" s="4" t="n">
        <v>0</v>
      </c>
      <c r="P1397" s="5" t="n">
        <f aca="false">IF(COUNTIF([1]Base_Jugadores!J$2:J$500,B1397)&gt;0,1,0)</f>
        <v>0</v>
      </c>
      <c r="Q1397" s="10" t="b">
        <f aca="false">--(COUNTIFS(
   [1]Fichajes_Realizados!A$2:A$5000,A1397,
   [1]Fichajes_Realizados!G$2:G$5000,$X$3
)&gt;0)</f>
        <v>0</v>
      </c>
      <c r="R1397" s="5" t="n">
        <f aca="false">_xlfn.XLOOKUP(C1397, [1]Estado_Equipos!A$2:A$500, [1]Estado_Equipos!J$2:J$500, "")</f>
        <v>77</v>
      </c>
      <c r="S1397" s="5" t="n">
        <f aca="false">IF(H1397&lt;=16,1.45,
IF(H1397&gt;=41,0.3,
CHOOSE(ROUNDDOWN((H1397-16)/2,0)+1,
1.45,1.38,1.3,1.23,1.17,1.15,1.12,1.05,0.95,0.8,0.6,0.4,0.3)))</f>
        <v>1.15</v>
      </c>
      <c r="T1397" s="5" t="n">
        <f aca="false">CHOOSE(N1397+1,1.2,1,0.85,0.7)</f>
        <v>1.2</v>
      </c>
      <c r="U1397" s="5" t="n">
        <f aca="false">IF(F1397="PO",0.6,
IF(F1397="CT",0.75,
IF(F1397="LI",0.8,
IF(F1397="LD",0.8,
IF(F1397="MCD",0.85,
IF(F1397="MC",0.95,
IF(F1397="MO",1.05,
IF(F1397="EI",1.1,
IF(F1397="ED",1.1,
IF(F1397="SD",1.15,
IF(F1397="DC",1.2,0)))))))))))</f>
        <v>0.8</v>
      </c>
    </row>
    <row r="1398" customFormat="false" ht="16.4" hidden="false" customHeight="false" outlineLevel="0" collapsed="false">
      <c r="A1398" s="1" t="n">
        <v>1397</v>
      </c>
      <c r="B1398" s="5" t="str">
        <f aca="false">[1]Base_Jugadores!B1398</f>
        <v>Davide Bartesaghi</v>
      </c>
      <c r="C1398" s="5" t="str">
        <f aca="false">IFERROR(
   _xlfn.XLOOKUP(VALUE(A1398),[1]Fichajes_Realizados!A$2:A$50000,[1]Fichajes_Realizados!D$2:D$50000,,0,-1),
   _xlfn.XLOOKUP(VALUE(A1398),[1]Base_Jugadores!A$2:A$50000,[1]Base_Jugadores!C$2:C$50000)
)</f>
        <v>AC Milan</v>
      </c>
      <c r="D1398" s="5" t="str">
        <f aca="false">[1]Base_Jugadores!D1398</f>
        <v>Italia</v>
      </c>
      <c r="E1398" s="3"/>
      <c r="F1398" s="5" t="str">
        <f aca="false">[1]Base_Jugadores!E1398</f>
        <v>LI</v>
      </c>
      <c r="G1398" s="5" t="n">
        <f aca="false">[1]Base_Jugadores!F1398</f>
        <v>67</v>
      </c>
      <c r="H1398" s="5" t="n">
        <f aca="false">[1]Base_Jugadores!G1398</f>
        <v>20</v>
      </c>
      <c r="I1398" s="7" t="n">
        <f aca="false" t="array" ref="I1398:I1398">_xlfn.XLOOKUP(G1398,{55;56;57;58;59;60;61;62;63;64;65;66;67;68;69;70;71;72;73;74;75;76;77;78;79;80;81;82;83;84;85;86;87;88;89;90;91;92;93;94;95;96;97;98;99},{100000;130000;160000;190000;220000;250000;300000;350000;400000;450000;500000;600000;700000;800000;900000;1000000;1500000;2000000;3000000;4000000;5000000;6500000;8000000;10000000;12500000;15000000;20000000;25000000;30000000;35000000;40000000;55000000;70000000;80000000;90000000;110000000;130000000;160000000;190000000;220000000;250000000;280000000;310000000;340000000;400000000})</f>
        <v>700000</v>
      </c>
      <c r="J1398" s="7" t="n">
        <f aca="false">I1398*S1398*T1398*U1398</f>
        <v>873600</v>
      </c>
      <c r="K1398" s="3"/>
      <c r="L1398" s="3"/>
      <c r="M1398" s="3"/>
      <c r="N1398" s="9" t="n">
        <v>0</v>
      </c>
      <c r="O1398" s="4" t="n">
        <v>0</v>
      </c>
      <c r="P1398" s="5" t="n">
        <f aca="false">IF(COUNTIF([1]Base_Jugadores!J$2:J$500,B1398)&gt;0,1,0)</f>
        <v>0</v>
      </c>
      <c r="Q1398" s="10" t="b">
        <f aca="false">--(COUNTIFS(
   [1]Fichajes_Realizados!A$2:A$5000,A1398,
   [1]Fichajes_Realizados!G$2:G$5000,$X$3
)&gt;0)</f>
        <v>0</v>
      </c>
      <c r="R1398" s="5" t="n">
        <f aca="false">_xlfn.XLOOKUP(C1398, [1]Estado_Equipos!A$2:A$500, [1]Estado_Equipos!J$2:J$500, "")</f>
        <v>77</v>
      </c>
      <c r="S1398" s="5" t="n">
        <f aca="false">IF(H1398&lt;=16,1.45,
IF(H1398&gt;=41,0.3,
CHOOSE(ROUNDDOWN((H1398-16)/2,0)+1,
1.45,1.38,1.3,1.23,1.17,1.15,1.12,1.05,0.95,0.8,0.6,0.4,0.3)))</f>
        <v>1.3</v>
      </c>
      <c r="T1398" s="5" t="n">
        <f aca="false">CHOOSE(N1398+1,1.2,1,0.85,0.7)</f>
        <v>1.2</v>
      </c>
      <c r="U1398" s="5" t="n">
        <f aca="false">IF(F1398="PO",0.6,
IF(F1398="CT",0.75,
IF(F1398="LI",0.8,
IF(F1398="LD",0.8,
IF(F1398="MCD",0.85,
IF(F1398="MC",0.95,
IF(F1398="MO",1.05,
IF(F1398="EI",1.1,
IF(F1398="ED",1.1,
IF(F1398="SD",1.15,
IF(F1398="DC",1.2,0)))))))))))</f>
        <v>0.8</v>
      </c>
    </row>
    <row r="1399" customFormat="false" ht="16.4" hidden="false" customHeight="false" outlineLevel="0" collapsed="false">
      <c r="A1399" s="1" t="n">
        <v>1398</v>
      </c>
      <c r="B1399" s="5" t="str">
        <f aca="false">[1]Base_Jugadores!B1399</f>
        <v>Zachary Athekame</v>
      </c>
      <c r="C1399" s="5" t="str">
        <f aca="false">IFERROR(
   _xlfn.XLOOKUP(VALUE(A1399),[1]Fichajes_Realizados!A$2:A$50000,[1]Fichajes_Realizados!D$2:D$50000,,0,-1),
   _xlfn.XLOOKUP(VALUE(A1399),[1]Base_Jugadores!A$2:A$50000,[1]Base_Jugadores!C$2:C$50000)
)</f>
        <v>AC Milan</v>
      </c>
      <c r="D1399" s="5" t="str">
        <f aca="false">[1]Base_Jugadores!D1399</f>
        <v>Suiza</v>
      </c>
      <c r="E1399" s="3"/>
      <c r="F1399" s="5" t="str">
        <f aca="false">[1]Base_Jugadores!E1399</f>
        <v>LD</v>
      </c>
      <c r="G1399" s="5" t="n">
        <f aca="false">[1]Base_Jugadores!F1399</f>
        <v>65</v>
      </c>
      <c r="H1399" s="5" t="n">
        <f aca="false">[1]Base_Jugadores!G1399</f>
        <v>21</v>
      </c>
      <c r="I1399" s="7" t="n">
        <f aca="false" t="array" ref="I1399:I1399">_xlfn.XLOOKUP(G1399,{55;56;57;58;59;60;61;62;63;64;65;66;67;68;69;70;71;72;73;74;75;76;77;78;79;80;81;82;83;84;85;86;87;88;89;90;91;92;93;94;95;96;97;98;99},{100000;130000;160000;190000;220000;250000;300000;350000;400000;450000;500000;600000;700000;800000;900000;1000000;1500000;2000000;3000000;4000000;5000000;6500000;8000000;10000000;12500000;15000000;20000000;25000000;30000000;35000000;40000000;55000000;70000000;80000000;90000000;110000000;130000000;160000000;190000000;220000000;250000000;280000000;310000000;340000000;400000000})</f>
        <v>500000</v>
      </c>
      <c r="J1399" s="7" t="n">
        <f aca="false">I1399*S1399*T1399*U1399</f>
        <v>624000</v>
      </c>
      <c r="K1399" s="3"/>
      <c r="L1399" s="3"/>
      <c r="M1399" s="3"/>
      <c r="N1399" s="9" t="n">
        <v>0</v>
      </c>
      <c r="O1399" s="4" t="n">
        <v>0</v>
      </c>
      <c r="P1399" s="5" t="n">
        <f aca="false">IF(COUNTIF([1]Base_Jugadores!J$2:J$500,B1399)&gt;0,1,0)</f>
        <v>0</v>
      </c>
      <c r="Q1399" s="10" t="b">
        <f aca="false">--(COUNTIFS(
   [1]Fichajes_Realizados!A$2:A$5000,A1399,
   [1]Fichajes_Realizados!G$2:G$5000,$X$3
)&gt;0)</f>
        <v>0</v>
      </c>
      <c r="R1399" s="5" t="n">
        <f aca="false">_xlfn.XLOOKUP(C1399, [1]Estado_Equipos!A$2:A$500, [1]Estado_Equipos!J$2:J$500, "")</f>
        <v>77</v>
      </c>
      <c r="S1399" s="5" t="n">
        <f aca="false">IF(H1399&lt;=16,1.45,
IF(H1399&gt;=41,0.3,
CHOOSE(ROUNDDOWN((H1399-16)/2,0)+1,
1.45,1.38,1.3,1.23,1.17,1.15,1.12,1.05,0.95,0.8,0.6,0.4,0.3)))</f>
        <v>1.3</v>
      </c>
      <c r="T1399" s="5" t="n">
        <f aca="false">CHOOSE(N1399+1,1.2,1,0.85,0.7)</f>
        <v>1.2</v>
      </c>
      <c r="U1399" s="5" t="n">
        <f aca="false">IF(F1399="PO",0.6,
IF(F1399="CT",0.75,
IF(F1399="LI",0.8,
IF(F1399="LD",0.8,
IF(F1399="MCD",0.85,
IF(F1399="MC",0.95,
IF(F1399="MO",1.05,
IF(F1399="EI",1.1,
IF(F1399="ED",1.1,
IF(F1399="SD",1.15,
IF(F1399="DC",1.2,0)))))))))))</f>
        <v>0.8</v>
      </c>
    </row>
    <row r="1400" customFormat="false" ht="16.4" hidden="false" customHeight="false" outlineLevel="0" collapsed="false">
      <c r="A1400" s="1" t="n">
        <v>1399</v>
      </c>
      <c r="B1400" s="5" t="str">
        <f aca="false">[1]Base_Jugadores!B1400</f>
        <v>Ardon Jashari</v>
      </c>
      <c r="C1400" s="5" t="str">
        <f aca="false">IFERROR(
   _xlfn.XLOOKUP(VALUE(A1400),[1]Fichajes_Realizados!A$2:A$50000,[1]Fichajes_Realizados!D$2:D$50000,,0,-1),
   _xlfn.XLOOKUP(VALUE(A1400),[1]Base_Jugadores!A$2:A$50000,[1]Base_Jugadores!C$2:C$50000)
)</f>
        <v>AC Milan</v>
      </c>
      <c r="D1400" s="5" t="str">
        <f aca="false">[1]Base_Jugadores!D1400</f>
        <v>Suiza</v>
      </c>
      <c r="E1400" s="3"/>
      <c r="F1400" s="5" t="str">
        <f aca="false">[1]Base_Jugadores!E1400</f>
        <v>MCD</v>
      </c>
      <c r="G1400" s="5" t="n">
        <f aca="false">[1]Base_Jugadores!F1400</f>
        <v>77</v>
      </c>
      <c r="H1400" s="5" t="n">
        <f aca="false">[1]Base_Jugadores!G1400</f>
        <v>23</v>
      </c>
      <c r="I1400" s="7" t="n">
        <f aca="false" t="array" ref="I1400:I1400">_xlfn.XLOOKUP(G1400,{55;56;57;58;59;60;61;62;63;64;65;66;67;68;69;70;71;72;73;74;75;76;77;78;79;80;81;82;83;84;85;86;87;88;89;90;91;92;93;94;95;96;97;98;99},{100000;130000;160000;190000;220000;250000;300000;350000;400000;450000;500000;600000;700000;800000;900000;1000000;1500000;2000000;3000000;4000000;5000000;6500000;8000000;10000000;12500000;15000000;20000000;25000000;30000000;35000000;40000000;55000000;70000000;80000000;90000000;110000000;130000000;160000000;190000000;220000000;250000000;280000000;310000000;340000000;400000000})</f>
        <v>8000000</v>
      </c>
      <c r="J1400" s="7" t="n">
        <f aca="false">I1400*S1400*T1400*U1400</f>
        <v>10036800</v>
      </c>
      <c r="K1400" s="3"/>
      <c r="L1400" s="3"/>
      <c r="M1400" s="3"/>
      <c r="N1400" s="9" t="n">
        <v>0</v>
      </c>
      <c r="O1400" s="4" t="n">
        <v>0</v>
      </c>
      <c r="P1400" s="5" t="n">
        <f aca="false">IF(COUNTIF([1]Base_Jugadores!J$2:J$500,B1400)&gt;0,1,0)</f>
        <v>0</v>
      </c>
      <c r="Q1400" s="10" t="b">
        <f aca="false">--(COUNTIFS(
   [1]Fichajes_Realizados!A$2:A$5000,A1400,
   [1]Fichajes_Realizados!G$2:G$5000,$X$3
)&gt;0)</f>
        <v>0</v>
      </c>
      <c r="R1400" s="5" t="n">
        <f aca="false">_xlfn.XLOOKUP(C1400, [1]Estado_Equipos!A$2:A$500, [1]Estado_Equipos!J$2:J$500, "")</f>
        <v>77</v>
      </c>
      <c r="S1400" s="5" t="n">
        <f aca="false">IF(H1400&lt;=16,1.45,
IF(H1400&gt;=41,0.3,
CHOOSE(ROUNDDOWN((H1400-16)/2,0)+1,
1.45,1.38,1.3,1.23,1.17,1.15,1.12,1.05,0.95,0.8,0.6,0.4,0.3)))</f>
        <v>1.23</v>
      </c>
      <c r="T1400" s="5" t="n">
        <f aca="false">CHOOSE(N1400+1,1.2,1,0.85,0.7)</f>
        <v>1.2</v>
      </c>
      <c r="U1400" s="5" t="n">
        <f aca="false">IF(F1400="PO",0.6,
IF(F1400="CT",0.75,
IF(F1400="LI",0.8,
IF(F1400="LD",0.8,
IF(F1400="MCD",0.85,
IF(F1400="MC",0.95,
IF(F1400="MO",1.05,
IF(F1400="EI",1.1,
IF(F1400="ED",1.1,
IF(F1400="SD",1.15,
IF(F1400="DC",1.2,0)))))))))))</f>
        <v>0.85</v>
      </c>
    </row>
    <row r="1401" customFormat="false" ht="16.4" hidden="false" customHeight="false" outlineLevel="0" collapsed="false">
      <c r="A1401" s="1" t="n">
        <v>1400</v>
      </c>
      <c r="B1401" s="5" t="str">
        <f aca="false">[1]Base_Jugadores!B1401</f>
        <v>Youssouf Fofana</v>
      </c>
      <c r="C1401" s="5" t="str">
        <f aca="false">IFERROR(
   _xlfn.XLOOKUP(VALUE(A1401),[1]Fichajes_Realizados!A$2:A$50000,[1]Fichajes_Realizados!D$2:D$50000,,0,-1),
   _xlfn.XLOOKUP(VALUE(A1401),[1]Base_Jugadores!A$2:A$50000,[1]Base_Jugadores!C$2:C$50000)
)</f>
        <v>AC Milan</v>
      </c>
      <c r="D1401" s="5" t="str">
        <f aca="false">[1]Base_Jugadores!D1401</f>
        <v>Francia</v>
      </c>
      <c r="E1401" s="3"/>
      <c r="F1401" s="5" t="str">
        <f aca="false">[1]Base_Jugadores!E1401</f>
        <v>MCD</v>
      </c>
      <c r="G1401" s="5" t="n">
        <f aca="false">[1]Base_Jugadores!F1401</f>
        <v>82</v>
      </c>
      <c r="H1401" s="5" t="n">
        <f aca="false">[1]Base_Jugadores!G1401</f>
        <v>26</v>
      </c>
      <c r="I1401" s="7" t="n">
        <f aca="false" t="array" ref="I1401:I1401">_xlfn.XLOOKUP(G1401,{55;56;57;58;59;60;61;62;63;64;65;66;67;68;69;70;71;72;73;74;75;76;77;78;79;80;81;82;83;84;85;86;87;88;89;90;91;92;93;94;95;96;97;98;99},{100000;130000;160000;190000;220000;250000;300000;350000;400000;450000;500000;600000;700000;800000;900000;1000000;1500000;2000000;3000000;4000000;5000000;6500000;8000000;10000000;12500000;15000000;20000000;25000000;30000000;35000000;40000000;55000000;70000000;80000000;90000000;110000000;130000000;160000000;190000000;220000000;250000000;280000000;310000000;340000000;400000000})</f>
        <v>25000000</v>
      </c>
      <c r="J1401" s="7" t="n">
        <f aca="false">I1401*S1401*T1401*U1401</f>
        <v>29325000</v>
      </c>
      <c r="K1401" s="3"/>
      <c r="L1401" s="3"/>
      <c r="M1401" s="3"/>
      <c r="N1401" s="9" t="n">
        <v>0</v>
      </c>
      <c r="O1401" s="4" t="n">
        <v>0</v>
      </c>
      <c r="P1401" s="5" t="n">
        <f aca="false">IF(COUNTIF([1]Base_Jugadores!J$2:J$500,B1401)&gt;0,1,0)</f>
        <v>0</v>
      </c>
      <c r="Q1401" s="10" t="b">
        <f aca="false">--(COUNTIFS(
   [1]Fichajes_Realizados!A$2:A$5000,A1401,
   [1]Fichajes_Realizados!G$2:G$5000,$X$3
)&gt;0)</f>
        <v>0</v>
      </c>
      <c r="R1401" s="5" t="n">
        <f aca="false">_xlfn.XLOOKUP(C1401, [1]Estado_Equipos!A$2:A$500, [1]Estado_Equipos!J$2:J$500, "")</f>
        <v>77</v>
      </c>
      <c r="S1401" s="5" t="n">
        <f aca="false">IF(H1401&lt;=16,1.45,
IF(H1401&gt;=41,0.3,
CHOOSE(ROUNDDOWN((H1401-16)/2,0)+1,
1.45,1.38,1.3,1.23,1.17,1.15,1.12,1.05,0.95,0.8,0.6,0.4,0.3)))</f>
        <v>1.15</v>
      </c>
      <c r="T1401" s="5" t="n">
        <f aca="false">CHOOSE(N1401+1,1.2,1,0.85,0.7)</f>
        <v>1.2</v>
      </c>
      <c r="U1401" s="5" t="n">
        <f aca="false">IF(F1401="PO",0.6,
IF(F1401="CT",0.75,
IF(F1401="LI",0.8,
IF(F1401="LD",0.8,
IF(F1401="MCD",0.85,
IF(F1401="MC",0.95,
IF(F1401="MO",1.05,
IF(F1401="EI",1.1,
IF(F1401="ED",1.1,
IF(F1401="SD",1.15,
IF(F1401="DC",1.2,0)))))))))))</f>
        <v>0.85</v>
      </c>
    </row>
    <row r="1402" customFormat="false" ht="16.4" hidden="false" customHeight="false" outlineLevel="0" collapsed="false">
      <c r="A1402" s="1" t="n">
        <v>1401</v>
      </c>
      <c r="B1402" s="5" t="str">
        <f aca="false">[1]Base_Jugadores!B1402</f>
        <v>Samuele Ricci</v>
      </c>
      <c r="C1402" s="5" t="str">
        <f aca="false">IFERROR(
   _xlfn.XLOOKUP(VALUE(A1402),[1]Fichajes_Realizados!A$2:A$50000,[1]Fichajes_Realizados!D$2:D$50000,,0,-1),
   _xlfn.XLOOKUP(VALUE(A1402),[1]Base_Jugadores!A$2:A$50000,[1]Base_Jugadores!C$2:C$50000)
)</f>
        <v>AC Milan</v>
      </c>
      <c r="D1402" s="5" t="str">
        <f aca="false">[1]Base_Jugadores!D1402</f>
        <v>Italia</v>
      </c>
      <c r="E1402" s="3"/>
      <c r="F1402" s="5" t="str">
        <f aca="false">[1]Base_Jugadores!E1402</f>
        <v>MCD</v>
      </c>
      <c r="G1402" s="5" t="n">
        <f aca="false">[1]Base_Jugadores!F1402</f>
        <v>80</v>
      </c>
      <c r="H1402" s="5" t="n">
        <f aca="false">[1]Base_Jugadores!G1402</f>
        <v>24</v>
      </c>
      <c r="I1402" s="7" t="n">
        <f aca="false" t="array" ref="I1402:I1402">_xlfn.XLOOKUP(G1402,{55;56;57;58;59;60;61;62;63;64;65;66;67;68;69;70;71;72;73;74;75;76;77;78;79;80;81;82;83;84;85;86;87;88;89;90;91;92;93;94;95;96;97;98;99},{100000;130000;160000;190000;220000;250000;300000;350000;400000;450000;500000;600000;700000;800000;900000;1000000;1500000;2000000;3000000;4000000;5000000;6500000;8000000;10000000;12500000;15000000;20000000;25000000;30000000;35000000;40000000;55000000;70000000;80000000;90000000;110000000;130000000;160000000;190000000;220000000;250000000;280000000;310000000;340000000;400000000})</f>
        <v>15000000</v>
      </c>
      <c r="J1402" s="7" t="n">
        <f aca="false">I1402*S1402*T1402*U1402</f>
        <v>17901000</v>
      </c>
      <c r="K1402" s="3"/>
      <c r="L1402" s="3"/>
      <c r="M1402" s="3"/>
      <c r="N1402" s="9" t="n">
        <v>0</v>
      </c>
      <c r="O1402" s="4" t="n">
        <v>0</v>
      </c>
      <c r="P1402" s="5" t="n">
        <f aca="false">IF(COUNTIF([1]Base_Jugadores!J$2:J$500,B1402)&gt;0,1,0)</f>
        <v>0</v>
      </c>
      <c r="Q1402" s="10" t="b">
        <f aca="false">--(COUNTIFS(
   [1]Fichajes_Realizados!A$2:A$5000,A1402,
   [1]Fichajes_Realizados!G$2:G$5000,$X$3
)&gt;0)</f>
        <v>0</v>
      </c>
      <c r="R1402" s="5" t="n">
        <f aca="false">_xlfn.XLOOKUP(C1402, [1]Estado_Equipos!A$2:A$500, [1]Estado_Equipos!J$2:J$500, "")</f>
        <v>77</v>
      </c>
      <c r="S1402" s="5" t="n">
        <f aca="false">IF(H1402&lt;=16,1.45,
IF(H1402&gt;=41,0.3,
CHOOSE(ROUNDDOWN((H1402-16)/2,0)+1,
1.45,1.38,1.3,1.23,1.17,1.15,1.12,1.05,0.95,0.8,0.6,0.4,0.3)))</f>
        <v>1.17</v>
      </c>
      <c r="T1402" s="5" t="n">
        <f aca="false">CHOOSE(N1402+1,1.2,1,0.85,0.7)</f>
        <v>1.2</v>
      </c>
      <c r="U1402" s="5" t="n">
        <f aca="false">IF(F1402="PO",0.6,
IF(F1402="CT",0.75,
IF(F1402="LI",0.8,
IF(F1402="LD",0.8,
IF(F1402="MCD",0.85,
IF(F1402="MC",0.95,
IF(F1402="MO",1.05,
IF(F1402="EI",1.1,
IF(F1402="ED",1.1,
IF(F1402="SD",1.15,
IF(F1402="DC",1.2,0)))))))))))</f>
        <v>0.85</v>
      </c>
    </row>
    <row r="1403" customFormat="false" ht="16.4" hidden="false" customHeight="false" outlineLevel="0" collapsed="false">
      <c r="A1403" s="1" t="n">
        <v>1402</v>
      </c>
      <c r="B1403" s="5" t="str">
        <f aca="false">[1]Base_Jugadores!B1403</f>
        <v>Adrien Rabiot</v>
      </c>
      <c r="C1403" s="5" t="str">
        <f aca="false">IFERROR(
   _xlfn.XLOOKUP(VALUE(A1403),[1]Fichajes_Realizados!A$2:A$50000,[1]Fichajes_Realizados!D$2:D$50000,,0,-1),
   _xlfn.XLOOKUP(VALUE(A1403),[1]Base_Jugadores!A$2:A$50000,[1]Base_Jugadores!C$2:C$50000)
)</f>
        <v>AC Milan</v>
      </c>
      <c r="D1403" s="5" t="str">
        <f aca="false">[1]Base_Jugadores!D1403</f>
        <v>Francia</v>
      </c>
      <c r="E1403" s="3"/>
      <c r="F1403" s="5" t="str">
        <f aca="false">[1]Base_Jugadores!E1403</f>
        <v>MC</v>
      </c>
      <c r="G1403" s="5" t="n">
        <f aca="false">[1]Base_Jugadores!F1403</f>
        <v>83</v>
      </c>
      <c r="H1403" s="5" t="n">
        <f aca="false">[1]Base_Jugadores!G1403</f>
        <v>30</v>
      </c>
      <c r="I1403" s="7" t="n">
        <f aca="false" t="array" ref="I1403:I1403">_xlfn.XLOOKUP(G1403,{55;56;57;58;59;60;61;62;63;64;65;66;67;68;69;70;71;72;73;74;75;76;77;78;79;80;81;82;83;84;85;86;87;88;89;90;91;92;93;94;95;96;97;98;99},{100000;130000;160000;190000;220000;250000;300000;350000;400000;450000;500000;600000;700000;800000;900000;1000000;1500000;2000000;3000000;4000000;5000000;6500000;8000000;10000000;12500000;15000000;20000000;25000000;30000000;35000000;40000000;55000000;70000000;80000000;90000000;110000000;130000000;160000000;190000000;220000000;250000000;280000000;310000000;340000000;400000000})</f>
        <v>30000000</v>
      </c>
      <c r="J1403" s="7" t="n">
        <f aca="false">I1403*S1403*T1403*U1403</f>
        <v>35910000</v>
      </c>
      <c r="K1403" s="3"/>
      <c r="L1403" s="3"/>
      <c r="M1403" s="3"/>
      <c r="N1403" s="9" t="n">
        <v>0</v>
      </c>
      <c r="O1403" s="4" t="n">
        <v>0</v>
      </c>
      <c r="P1403" s="5" t="n">
        <f aca="false">IF(COUNTIF([1]Base_Jugadores!J$2:J$500,B1403)&gt;0,1,0)</f>
        <v>0</v>
      </c>
      <c r="Q1403" s="10" t="b">
        <f aca="false">--(COUNTIFS(
   [1]Fichajes_Realizados!A$2:A$5000,A1403,
   [1]Fichajes_Realizados!G$2:G$5000,$X$3
)&gt;0)</f>
        <v>0</v>
      </c>
      <c r="R1403" s="5" t="n">
        <f aca="false">_xlfn.XLOOKUP(C1403, [1]Estado_Equipos!A$2:A$500, [1]Estado_Equipos!J$2:J$500, "")</f>
        <v>77</v>
      </c>
      <c r="S1403" s="5" t="n">
        <f aca="false">IF(H1403&lt;=16,1.45,
IF(H1403&gt;=41,0.3,
CHOOSE(ROUNDDOWN((H1403-16)/2,0)+1,
1.45,1.38,1.3,1.23,1.17,1.15,1.12,1.05,0.95,0.8,0.6,0.4,0.3)))</f>
        <v>1.05</v>
      </c>
      <c r="T1403" s="5" t="n">
        <f aca="false">CHOOSE(N1403+1,1.2,1,0.85,0.7)</f>
        <v>1.2</v>
      </c>
      <c r="U1403" s="5" t="n">
        <f aca="false">IF(F1403="PO",0.6,
IF(F1403="CT",0.75,
IF(F1403="LI",0.8,
IF(F1403="LD",0.8,
IF(F1403="MCD",0.85,
IF(F1403="MC",0.95,
IF(F1403="MO",1.05,
IF(F1403="EI",1.1,
IF(F1403="ED",1.1,
IF(F1403="SD",1.15,
IF(F1403="DC",1.2,0)))))))))))</f>
        <v>0.95</v>
      </c>
    </row>
    <row r="1404" customFormat="false" ht="16.4" hidden="false" customHeight="false" outlineLevel="0" collapsed="false">
      <c r="A1404" s="1" t="n">
        <v>1403</v>
      </c>
      <c r="B1404" s="5" t="str">
        <f aca="false">[1]Base_Jugadores!B1404</f>
        <v>Loftus-Cheek</v>
      </c>
      <c r="C1404" s="5" t="str">
        <f aca="false">IFERROR(
   _xlfn.XLOOKUP(VALUE(A1404),[1]Fichajes_Realizados!A$2:A$50000,[1]Fichajes_Realizados!D$2:D$50000,,0,-1),
   _xlfn.XLOOKUP(VALUE(A1404),[1]Base_Jugadores!A$2:A$50000,[1]Base_Jugadores!C$2:C$50000)
)</f>
        <v>AC Milan</v>
      </c>
      <c r="D1404" s="5" t="str">
        <f aca="false">[1]Base_Jugadores!D1404</f>
        <v>Inglaterra</v>
      </c>
      <c r="E1404" s="3"/>
      <c r="F1404" s="5" t="str">
        <f aca="false">[1]Base_Jugadores!E1404</f>
        <v>MC</v>
      </c>
      <c r="G1404" s="5" t="n">
        <f aca="false">[1]Base_Jugadores!F1404</f>
        <v>81</v>
      </c>
      <c r="H1404" s="5" t="n">
        <f aca="false">[1]Base_Jugadores!G1404</f>
        <v>29</v>
      </c>
      <c r="I1404" s="7" t="n">
        <f aca="false" t="array" ref="I1404:I1404">_xlfn.XLOOKUP(G1404,{55;56;57;58;59;60;61;62;63;64;65;66;67;68;69;70;71;72;73;74;75;76;77;78;79;80;81;82;83;84;85;86;87;88;89;90;91;92;93;94;95;96;97;98;99},{100000;130000;160000;190000;220000;250000;300000;350000;400000;450000;500000;600000;700000;800000;900000;1000000;1500000;2000000;3000000;4000000;5000000;6500000;8000000;10000000;12500000;15000000;20000000;25000000;30000000;35000000;40000000;55000000;70000000;80000000;90000000;110000000;130000000;160000000;190000000;220000000;250000000;280000000;310000000;340000000;400000000})</f>
        <v>20000000</v>
      </c>
      <c r="J1404" s="7" t="n">
        <f aca="false">I1404*S1404*T1404*U1404</f>
        <v>25536000</v>
      </c>
      <c r="K1404" s="3"/>
      <c r="L1404" s="3"/>
      <c r="M1404" s="3"/>
      <c r="N1404" s="9" t="n">
        <v>0</v>
      </c>
      <c r="O1404" s="4" t="n">
        <v>0</v>
      </c>
      <c r="P1404" s="5" t="n">
        <f aca="false">IF(COUNTIF([1]Base_Jugadores!J$2:J$500,B1404)&gt;0,1,0)</f>
        <v>0</v>
      </c>
      <c r="Q1404" s="10" t="b">
        <f aca="false">--(COUNTIFS(
   [1]Fichajes_Realizados!A$2:A$5000,A1404,
   [1]Fichajes_Realizados!G$2:G$5000,$X$3
)&gt;0)</f>
        <v>0</v>
      </c>
      <c r="R1404" s="5" t="n">
        <f aca="false">_xlfn.XLOOKUP(C1404, [1]Estado_Equipos!A$2:A$500, [1]Estado_Equipos!J$2:J$500, "")</f>
        <v>77</v>
      </c>
      <c r="S1404" s="5" t="n">
        <f aca="false">IF(H1404&lt;=16,1.45,
IF(H1404&gt;=41,0.3,
CHOOSE(ROUNDDOWN((H1404-16)/2,0)+1,
1.45,1.38,1.3,1.23,1.17,1.15,1.12,1.05,0.95,0.8,0.6,0.4,0.3)))</f>
        <v>1.12</v>
      </c>
      <c r="T1404" s="5" t="n">
        <f aca="false">CHOOSE(N1404+1,1.2,1,0.85,0.7)</f>
        <v>1.2</v>
      </c>
      <c r="U1404" s="5" t="n">
        <f aca="false">IF(F1404="PO",0.6,
IF(F1404="CT",0.75,
IF(F1404="LI",0.8,
IF(F1404="LD",0.8,
IF(F1404="MCD",0.85,
IF(F1404="MC",0.95,
IF(F1404="MO",1.05,
IF(F1404="EI",1.1,
IF(F1404="ED",1.1,
IF(F1404="SD",1.15,
IF(F1404="DC",1.2,0)))))))))))</f>
        <v>0.95</v>
      </c>
    </row>
    <row r="1405" customFormat="false" ht="16.4" hidden="false" customHeight="false" outlineLevel="0" collapsed="false">
      <c r="A1405" s="1" t="n">
        <v>1404</v>
      </c>
      <c r="B1405" s="5" t="str">
        <f aca="false">[1]Base_Jugadores!B1405</f>
        <v>Luka Modrić</v>
      </c>
      <c r="C1405" s="5" t="str">
        <f aca="false">IFERROR(
   _xlfn.XLOOKUP(VALUE(A1405),[1]Fichajes_Realizados!A$2:A$50000,[1]Fichajes_Realizados!D$2:D$50000,,0,-1),
   _xlfn.XLOOKUP(VALUE(A1405),[1]Base_Jugadores!A$2:A$50000,[1]Base_Jugadores!C$2:C$50000)
)</f>
        <v>AC Milan</v>
      </c>
      <c r="D1405" s="5" t="str">
        <f aca="false">[1]Base_Jugadores!D1405</f>
        <v>Croacia</v>
      </c>
      <c r="E1405" s="3"/>
      <c r="F1405" s="5" t="str">
        <f aca="false">[1]Base_Jugadores!E1405</f>
        <v>MC</v>
      </c>
      <c r="G1405" s="5" t="n">
        <f aca="false">[1]Base_Jugadores!F1405</f>
        <v>85</v>
      </c>
      <c r="H1405" s="5" t="n">
        <f aca="false">[1]Base_Jugadores!G1405</f>
        <v>40</v>
      </c>
      <c r="I1405" s="7" t="n">
        <f aca="false" t="array" ref="I1405:I1405">_xlfn.XLOOKUP(G1405,{55;56;57;58;59;60;61;62;63;64;65;66;67;68;69;70;71;72;73;74;75;76;77;78;79;80;81;82;83;84;85;86;87;88;89;90;91;92;93;94;95;96;97;98;99},{100000;130000;160000;190000;220000;250000;300000;350000;400000;450000;500000;600000;700000;800000;900000;1000000;1500000;2000000;3000000;4000000;5000000;6500000;8000000;10000000;12500000;15000000;20000000;25000000;30000000;35000000;40000000;55000000;70000000;80000000;90000000;110000000;130000000;160000000;190000000;220000000;250000000;280000000;310000000;340000000;400000000})</f>
        <v>40000000</v>
      </c>
      <c r="J1405" s="7" t="n">
        <f aca="false">I1405*S1405*T1405*U1405</f>
        <v>13680000</v>
      </c>
      <c r="K1405" s="3"/>
      <c r="L1405" s="3"/>
      <c r="M1405" s="3"/>
      <c r="N1405" s="9" t="n">
        <v>0</v>
      </c>
      <c r="O1405" s="4" t="n">
        <v>0</v>
      </c>
      <c r="P1405" s="5" t="n">
        <f aca="false">IF(COUNTIF([1]Base_Jugadores!J$2:J$500,B1405)&gt;0,1,0)</f>
        <v>0</v>
      </c>
      <c r="Q1405" s="10" t="b">
        <f aca="false">--(COUNTIFS(
   [1]Fichajes_Realizados!A$2:A$5000,A1405,
   [1]Fichajes_Realizados!G$2:G$5000,$X$3
)&gt;0)</f>
        <v>0</v>
      </c>
      <c r="R1405" s="5" t="n">
        <f aca="false">_xlfn.XLOOKUP(C1405, [1]Estado_Equipos!A$2:A$500, [1]Estado_Equipos!J$2:J$500, "")</f>
        <v>77</v>
      </c>
      <c r="S1405" s="5" t="n">
        <f aca="false">IF(H1405&lt;=16,1.45,
IF(H1405&gt;=41,0.3,
CHOOSE(ROUNDDOWN((H1405-16)/2,0)+1,
1.45,1.38,1.3,1.23,1.17,1.15,1.12,1.05,0.95,0.8,0.6,0.4,0.3)))</f>
        <v>0.3</v>
      </c>
      <c r="T1405" s="5" t="n">
        <f aca="false">CHOOSE(N1405+1,1.2,1,0.85,0.7)</f>
        <v>1.2</v>
      </c>
      <c r="U1405" s="5" t="n">
        <f aca="false">IF(F1405="PO",0.6,
IF(F1405="CT",0.75,
IF(F1405="LI",0.8,
IF(F1405="LD",0.8,
IF(F1405="MCD",0.85,
IF(F1405="MC",0.95,
IF(F1405="MO",1.05,
IF(F1405="EI",1.1,
IF(F1405="ED",1.1,
IF(F1405="SD",1.15,
IF(F1405="DC",1.2,0)))))))))))</f>
        <v>0.95</v>
      </c>
    </row>
    <row r="1406" customFormat="false" ht="16.4" hidden="false" customHeight="false" outlineLevel="0" collapsed="false">
      <c r="A1406" s="1" t="n">
        <v>1405</v>
      </c>
      <c r="B1406" s="5" t="str">
        <f aca="false">[1]Base_Jugadores!B1406</f>
        <v>A. Saelemaekers</v>
      </c>
      <c r="C1406" s="5" t="str">
        <f aca="false">IFERROR(
   _xlfn.XLOOKUP(VALUE(A1406),[1]Fichajes_Realizados!A$2:A$50000,[1]Fichajes_Realizados!D$2:D$50000,,0,-1),
   _xlfn.XLOOKUP(VALUE(A1406),[1]Base_Jugadores!A$2:A$50000,[1]Base_Jugadores!C$2:C$50000)
)</f>
        <v>AC Milan</v>
      </c>
      <c r="D1406" s="5" t="str">
        <f aca="false">[1]Base_Jugadores!D1406</f>
        <v>Bélgica</v>
      </c>
      <c r="E1406" s="3"/>
      <c r="F1406" s="5" t="str">
        <f aca="false">[1]Base_Jugadores!E1406</f>
        <v>ED</v>
      </c>
      <c r="G1406" s="5" t="n">
        <f aca="false">[1]Base_Jugadores!F1406</f>
        <v>79</v>
      </c>
      <c r="H1406" s="5" t="n">
        <f aca="false">[1]Base_Jugadores!G1406</f>
        <v>26</v>
      </c>
      <c r="I1406" s="7" t="n">
        <f aca="false" t="array" ref="I1406:I1406">_xlfn.XLOOKUP(G1406,{55;56;57;58;59;60;61;62;63;64;65;66;67;68;69;70;71;72;73;74;75;76;77;78;79;80;81;82;83;84;85;86;87;88;89;90;91;92;93;94;95;96;97;98;99},{100000;130000;160000;190000;220000;250000;300000;350000;400000;450000;500000;600000;700000;800000;900000;1000000;1500000;2000000;3000000;4000000;5000000;6500000;8000000;10000000;12500000;15000000;20000000;25000000;30000000;35000000;40000000;55000000;70000000;80000000;90000000;110000000;130000000;160000000;190000000;220000000;250000000;280000000;310000000;340000000;400000000})</f>
        <v>12500000</v>
      </c>
      <c r="J1406" s="7" t="n">
        <f aca="false">I1406*S1406*T1406*U1406</f>
        <v>18975000</v>
      </c>
      <c r="K1406" s="3"/>
      <c r="L1406" s="3"/>
      <c r="M1406" s="3"/>
      <c r="N1406" s="9" t="n">
        <v>0</v>
      </c>
      <c r="O1406" s="4" t="n">
        <v>0</v>
      </c>
      <c r="P1406" s="5" t="n">
        <f aca="false">IF(COUNTIF([1]Base_Jugadores!J$2:J$500,B1406)&gt;0,1,0)</f>
        <v>0</v>
      </c>
      <c r="Q1406" s="10" t="b">
        <f aca="false">--(COUNTIFS(
   [1]Fichajes_Realizados!A$2:A$5000,A1406,
   [1]Fichajes_Realizados!G$2:G$5000,$X$3
)&gt;0)</f>
        <v>0</v>
      </c>
      <c r="R1406" s="5" t="n">
        <f aca="false">_xlfn.XLOOKUP(C1406, [1]Estado_Equipos!A$2:A$500, [1]Estado_Equipos!J$2:J$500, "")</f>
        <v>77</v>
      </c>
      <c r="S1406" s="5" t="n">
        <f aca="false">IF(H1406&lt;=16,1.45,
IF(H1406&gt;=41,0.3,
CHOOSE(ROUNDDOWN((H1406-16)/2,0)+1,
1.45,1.38,1.3,1.23,1.17,1.15,1.12,1.05,0.95,0.8,0.6,0.4,0.3)))</f>
        <v>1.15</v>
      </c>
      <c r="T1406" s="5" t="n">
        <f aca="false">CHOOSE(N1406+1,1.2,1,0.85,0.7)</f>
        <v>1.2</v>
      </c>
      <c r="U1406" s="5" t="n">
        <f aca="false">IF(F1406="PO",0.6,
IF(F1406="CT",0.75,
IF(F1406="LI",0.8,
IF(F1406="LD",0.8,
IF(F1406="MCD",0.85,
IF(F1406="MC",0.95,
IF(F1406="MO",1.05,
IF(F1406="EI",1.1,
IF(F1406="ED",1.1,
IF(F1406="SD",1.15,
IF(F1406="DC",1.2,0)))))))))))</f>
        <v>1.1</v>
      </c>
    </row>
    <row r="1407" customFormat="false" ht="16.4" hidden="false" customHeight="false" outlineLevel="0" collapsed="false">
      <c r="A1407" s="1" t="n">
        <v>1406</v>
      </c>
      <c r="B1407" s="5" t="str">
        <f aca="false">[1]Base_Jugadores!B1407</f>
        <v>Rafael Leão</v>
      </c>
      <c r="C1407" s="5" t="str">
        <f aca="false">IFERROR(
   _xlfn.XLOOKUP(VALUE(A1407),[1]Fichajes_Realizados!A$2:A$50000,[1]Fichajes_Realizados!D$2:D$50000,,0,-1),
   _xlfn.XLOOKUP(VALUE(A1407),[1]Base_Jugadores!A$2:A$50000,[1]Base_Jugadores!C$2:C$50000)
)</f>
        <v>AC Milan</v>
      </c>
      <c r="D1407" s="5" t="str">
        <f aca="false">[1]Base_Jugadores!D1407</f>
        <v>Portugal</v>
      </c>
      <c r="E1407" s="3"/>
      <c r="F1407" s="5" t="str">
        <f aca="false">[1]Base_Jugadores!E1407</f>
        <v>EI</v>
      </c>
      <c r="G1407" s="5" t="n">
        <f aca="false">[1]Base_Jugadores!F1407</f>
        <v>85</v>
      </c>
      <c r="H1407" s="5" t="n">
        <f aca="false">[1]Base_Jugadores!G1407</f>
        <v>26</v>
      </c>
      <c r="I1407" s="7" t="n">
        <f aca="false" t="array" ref="I1407:I1407">_xlfn.XLOOKUP(G1407,{55;56;57;58;59;60;61;62;63;64;65;66;67;68;69;70;71;72;73;74;75;76;77;78;79;80;81;82;83;84;85;86;87;88;89;90;91;92;93;94;95;96;97;98;99},{100000;130000;160000;190000;220000;250000;300000;350000;400000;450000;500000;600000;700000;800000;900000;1000000;1500000;2000000;3000000;4000000;5000000;6500000;8000000;10000000;12500000;15000000;20000000;25000000;30000000;35000000;40000000;55000000;70000000;80000000;90000000;110000000;130000000;160000000;190000000;220000000;250000000;280000000;310000000;340000000;400000000})</f>
        <v>40000000</v>
      </c>
      <c r="J1407" s="7" t="n">
        <f aca="false">I1407*S1407*T1407*U1407</f>
        <v>60720000</v>
      </c>
      <c r="K1407" s="3"/>
      <c r="L1407" s="3"/>
      <c r="M1407" s="3"/>
      <c r="N1407" s="9" t="n">
        <v>0</v>
      </c>
      <c r="O1407" s="4" t="n">
        <v>0</v>
      </c>
      <c r="P1407" s="5" t="n">
        <f aca="false">IF(COUNTIF([1]Base_Jugadores!J$2:J$500,B1407)&gt;0,1,0)</f>
        <v>0</v>
      </c>
      <c r="Q1407" s="10" t="b">
        <f aca="false">--(COUNTIFS(
   [1]Fichajes_Realizados!A$2:A$5000,A1407,
   [1]Fichajes_Realizados!G$2:G$5000,$X$3
)&gt;0)</f>
        <v>0</v>
      </c>
      <c r="R1407" s="5" t="n">
        <f aca="false">_xlfn.XLOOKUP(C1407, [1]Estado_Equipos!A$2:A$500, [1]Estado_Equipos!J$2:J$500, "")</f>
        <v>77</v>
      </c>
      <c r="S1407" s="5" t="n">
        <f aca="false">IF(H1407&lt;=16,1.45,
IF(H1407&gt;=41,0.3,
CHOOSE(ROUNDDOWN((H1407-16)/2,0)+1,
1.45,1.38,1.3,1.23,1.17,1.15,1.12,1.05,0.95,0.8,0.6,0.4,0.3)))</f>
        <v>1.15</v>
      </c>
      <c r="T1407" s="5" t="n">
        <f aca="false">CHOOSE(N1407+1,1.2,1,0.85,0.7)</f>
        <v>1.2</v>
      </c>
      <c r="U1407" s="5" t="n">
        <f aca="false">IF(F1407="PO",0.6,
IF(F1407="CT",0.75,
IF(F1407="LI",0.8,
IF(F1407="LD",0.8,
IF(F1407="MCD",0.85,
IF(F1407="MC",0.95,
IF(F1407="MO",1.05,
IF(F1407="EI",1.1,
IF(F1407="ED",1.1,
IF(F1407="SD",1.15,
IF(F1407="DC",1.2,0)))))))))))</f>
        <v>1.1</v>
      </c>
    </row>
    <row r="1408" customFormat="false" ht="16.4" hidden="false" customHeight="false" outlineLevel="0" collapsed="false">
      <c r="A1408" s="1" t="n">
        <v>1407</v>
      </c>
      <c r="B1408" s="5" t="str">
        <f aca="false">[1]Base_Jugadores!B1408</f>
        <v>Christian Pulisic</v>
      </c>
      <c r="C1408" s="5" t="str">
        <f aca="false">IFERROR(
   _xlfn.XLOOKUP(VALUE(A1408),[1]Fichajes_Realizados!A$2:A$50000,[1]Fichajes_Realizados!D$2:D$50000,,0,-1),
   _xlfn.XLOOKUP(VALUE(A1408),[1]Base_Jugadores!A$2:A$50000,[1]Base_Jugadores!C$2:C$50000)
)</f>
        <v>AC Milan</v>
      </c>
      <c r="D1408" s="5" t="str">
        <f aca="false">[1]Base_Jugadores!D1408</f>
        <v>Estados Unidos</v>
      </c>
      <c r="E1408" s="3"/>
      <c r="F1408" s="5" t="str">
        <f aca="false">[1]Base_Jugadores!E1408</f>
        <v>ED</v>
      </c>
      <c r="G1408" s="5" t="n">
        <f aca="false">[1]Base_Jugadores!F1408</f>
        <v>83</v>
      </c>
      <c r="H1408" s="5" t="n">
        <f aca="false">[1]Base_Jugadores!G1408</f>
        <v>27</v>
      </c>
      <c r="I1408" s="7" t="n">
        <f aca="false" t="array" ref="I1408:I1408">_xlfn.XLOOKUP(G1408,{55;56;57;58;59;60;61;62;63;64;65;66;67;68;69;70;71;72;73;74;75;76;77;78;79;80;81;82;83;84;85;86;87;88;89;90;91;92;93;94;95;96;97;98;99},{100000;130000;160000;190000;220000;250000;300000;350000;400000;450000;500000;600000;700000;800000;900000;1000000;1500000;2000000;3000000;4000000;5000000;6500000;8000000;10000000;12500000;15000000;20000000;25000000;30000000;35000000;40000000;55000000;70000000;80000000;90000000;110000000;130000000;160000000;190000000;220000000;250000000;280000000;310000000;340000000;400000000})</f>
        <v>30000000</v>
      </c>
      <c r="J1408" s="7" t="n">
        <f aca="false">I1408*S1408*T1408*U1408</f>
        <v>45540000</v>
      </c>
      <c r="K1408" s="3"/>
      <c r="L1408" s="3"/>
      <c r="M1408" s="3"/>
      <c r="N1408" s="9" t="n">
        <v>0</v>
      </c>
      <c r="O1408" s="4" t="n">
        <v>0</v>
      </c>
      <c r="P1408" s="5" t="n">
        <f aca="false">IF(COUNTIF([1]Base_Jugadores!J$2:J$500,B1408)&gt;0,1,0)</f>
        <v>0</v>
      </c>
      <c r="Q1408" s="10" t="b">
        <f aca="false">--(COUNTIFS(
   [1]Fichajes_Realizados!A$2:A$5000,A1408,
   [1]Fichajes_Realizados!G$2:G$5000,$X$3
)&gt;0)</f>
        <v>0</v>
      </c>
      <c r="R1408" s="5" t="n">
        <f aca="false">_xlfn.XLOOKUP(C1408, [1]Estado_Equipos!A$2:A$500, [1]Estado_Equipos!J$2:J$500, "")</f>
        <v>77</v>
      </c>
      <c r="S1408" s="5" t="n">
        <f aca="false">IF(H1408&lt;=16,1.45,
IF(H1408&gt;=41,0.3,
CHOOSE(ROUNDDOWN((H1408-16)/2,0)+1,
1.45,1.38,1.3,1.23,1.17,1.15,1.12,1.05,0.95,0.8,0.6,0.4,0.3)))</f>
        <v>1.15</v>
      </c>
      <c r="T1408" s="5" t="n">
        <f aca="false">CHOOSE(N1408+1,1.2,1,0.85,0.7)</f>
        <v>1.2</v>
      </c>
      <c r="U1408" s="5" t="n">
        <f aca="false">IF(F1408="PO",0.6,
IF(F1408="CT",0.75,
IF(F1408="LI",0.8,
IF(F1408="LD",0.8,
IF(F1408="MCD",0.85,
IF(F1408="MC",0.95,
IF(F1408="MO",1.05,
IF(F1408="EI",1.1,
IF(F1408="ED",1.1,
IF(F1408="SD",1.15,
IF(F1408="DC",1.2,0)))))))))))</f>
        <v>1.1</v>
      </c>
    </row>
    <row r="1409" customFormat="false" ht="16.4" hidden="false" customHeight="false" outlineLevel="0" collapsed="false">
      <c r="A1409" s="1" t="n">
        <v>1408</v>
      </c>
      <c r="B1409" s="5" t="str">
        <f aca="false">[1]Base_Jugadores!B1409</f>
        <v>Christopher Nkunku</v>
      </c>
      <c r="C1409" s="5" t="str">
        <f aca="false">IFERROR(
   _xlfn.XLOOKUP(VALUE(A1409),[1]Fichajes_Realizados!A$2:A$50000,[1]Fichajes_Realizados!D$2:D$50000,,0,-1),
   _xlfn.XLOOKUP(VALUE(A1409),[1]Base_Jugadores!A$2:A$50000,[1]Base_Jugadores!C$2:C$50000)
)</f>
        <v>AC Milan</v>
      </c>
      <c r="D1409" s="5" t="str">
        <f aca="false">[1]Base_Jugadores!D1409</f>
        <v>Francia</v>
      </c>
      <c r="E1409" s="3"/>
      <c r="F1409" s="5" t="str">
        <f aca="false">[1]Base_Jugadores!E1409</f>
        <v>DC</v>
      </c>
      <c r="G1409" s="5" t="n">
        <f aca="false">[1]Base_Jugadores!F1409</f>
        <v>81</v>
      </c>
      <c r="H1409" s="5" t="n">
        <f aca="false">[1]Base_Jugadores!G1409</f>
        <v>28</v>
      </c>
      <c r="I1409" s="7" t="n">
        <f aca="false" t="array" ref="I1409:I1409">_xlfn.XLOOKUP(G1409,{55;56;57;58;59;60;61;62;63;64;65;66;67;68;69;70;71;72;73;74;75;76;77;78;79;80;81;82;83;84;85;86;87;88;89;90;91;92;93;94;95;96;97;98;99},{100000;130000;160000;190000;220000;250000;300000;350000;400000;450000;500000;600000;700000;800000;900000;1000000;1500000;2000000;3000000;4000000;5000000;6500000;8000000;10000000;12500000;15000000;20000000;25000000;30000000;35000000;40000000;55000000;70000000;80000000;90000000;110000000;130000000;160000000;190000000;220000000;250000000;280000000;310000000;340000000;400000000})</f>
        <v>20000000</v>
      </c>
      <c r="J1409" s="7" t="n">
        <f aca="false">I1409*S1409*T1409*U1409</f>
        <v>32256000</v>
      </c>
      <c r="K1409" s="3"/>
      <c r="L1409" s="3"/>
      <c r="M1409" s="3"/>
      <c r="N1409" s="9" t="n">
        <v>0</v>
      </c>
      <c r="O1409" s="4" t="n">
        <v>0</v>
      </c>
      <c r="P1409" s="5" t="n">
        <f aca="false">IF(COUNTIF([1]Base_Jugadores!J$2:J$500,B1409)&gt;0,1,0)</f>
        <v>0</v>
      </c>
      <c r="Q1409" s="10" t="b">
        <f aca="false">--(COUNTIFS(
   [1]Fichajes_Realizados!A$2:A$5000,A1409,
   [1]Fichajes_Realizados!G$2:G$5000,$X$3
)&gt;0)</f>
        <v>0</v>
      </c>
      <c r="R1409" s="5" t="n">
        <f aca="false">_xlfn.XLOOKUP(C1409, [1]Estado_Equipos!A$2:A$500, [1]Estado_Equipos!J$2:J$500, "")</f>
        <v>77</v>
      </c>
      <c r="S1409" s="5" t="n">
        <f aca="false">IF(H1409&lt;=16,1.45,
IF(H1409&gt;=41,0.3,
CHOOSE(ROUNDDOWN((H1409-16)/2,0)+1,
1.45,1.38,1.3,1.23,1.17,1.15,1.12,1.05,0.95,0.8,0.6,0.4,0.3)))</f>
        <v>1.12</v>
      </c>
      <c r="T1409" s="5" t="n">
        <f aca="false">CHOOSE(N1409+1,1.2,1,0.85,0.7)</f>
        <v>1.2</v>
      </c>
      <c r="U1409" s="5" t="n">
        <f aca="false">IF(F1409="PO",0.6,
IF(F1409="CT",0.75,
IF(F1409="LI",0.8,
IF(F1409="LD",0.8,
IF(F1409="MCD",0.85,
IF(F1409="MC",0.95,
IF(F1409="MO",1.05,
IF(F1409="EI",1.1,
IF(F1409="ED",1.1,
IF(F1409="SD",1.15,
IF(F1409="DC",1.2,0)))))))))))</f>
        <v>1.2</v>
      </c>
    </row>
    <row r="1410" customFormat="false" ht="16.4" hidden="false" customHeight="false" outlineLevel="0" collapsed="false">
      <c r="A1410" s="1" t="n">
        <v>1409</v>
      </c>
      <c r="B1410" s="5" t="str">
        <f aca="false">[1]Base_Jugadores!B1410</f>
        <v>Santiago Gimenez</v>
      </c>
      <c r="C1410" s="5" t="str">
        <f aca="false">IFERROR(
   _xlfn.XLOOKUP(VALUE(A1410),[1]Fichajes_Realizados!A$2:A$50000,[1]Fichajes_Realizados!D$2:D$50000,,0,-1),
   _xlfn.XLOOKUP(VALUE(A1410),[1]Base_Jugadores!A$2:A$50000,[1]Base_Jugadores!C$2:C$50000)
)</f>
        <v>AC Milan</v>
      </c>
      <c r="D1410" s="5" t="str">
        <f aca="false">[1]Base_Jugadores!D1410</f>
        <v>México</v>
      </c>
      <c r="E1410" s="3"/>
      <c r="F1410" s="5" t="str">
        <f aca="false">[1]Base_Jugadores!E1410</f>
        <v>DC</v>
      </c>
      <c r="G1410" s="5" t="n">
        <f aca="false">[1]Base_Jugadores!F1410</f>
        <v>80</v>
      </c>
      <c r="H1410" s="5" t="n">
        <f aca="false">[1]Base_Jugadores!G1410</f>
        <v>24</v>
      </c>
      <c r="I1410" s="7" t="n">
        <f aca="false" t="array" ref="I1410:I1410">_xlfn.XLOOKUP(G1410,{55;56;57;58;59;60;61;62;63;64;65;66;67;68;69;70;71;72;73;74;75;76;77;78;79;80;81;82;83;84;85;86;87;88;89;90;91;92;93;94;95;96;97;98;99},{100000;130000;160000;190000;220000;250000;300000;350000;400000;450000;500000;600000;700000;800000;900000;1000000;1500000;2000000;3000000;4000000;5000000;6500000;8000000;10000000;12500000;15000000;20000000;25000000;30000000;35000000;40000000;55000000;70000000;80000000;90000000;110000000;130000000;160000000;190000000;220000000;250000000;280000000;310000000;340000000;400000000})</f>
        <v>15000000</v>
      </c>
      <c r="J1410" s="7" t="n">
        <f aca="false">I1410*S1410*T1410*U1410</f>
        <v>25272000</v>
      </c>
      <c r="K1410" s="3"/>
      <c r="L1410" s="3"/>
      <c r="M1410" s="3"/>
      <c r="N1410" s="9" t="n">
        <v>0</v>
      </c>
      <c r="O1410" s="4" t="n">
        <v>0</v>
      </c>
      <c r="P1410" s="5" t="n">
        <f aca="false">IF(COUNTIF([1]Base_Jugadores!J$2:J$500,B1410)&gt;0,1,0)</f>
        <v>0</v>
      </c>
      <c r="Q1410" s="10" t="b">
        <f aca="false">--(COUNTIFS(
   [1]Fichajes_Realizados!A$2:A$5000,A1410,
   [1]Fichajes_Realizados!G$2:G$5000,$X$3
)&gt;0)</f>
        <v>0</v>
      </c>
      <c r="R1410" s="5" t="n">
        <f aca="false">_xlfn.XLOOKUP(C1410, [1]Estado_Equipos!A$2:A$500, [1]Estado_Equipos!J$2:J$500, "")</f>
        <v>77</v>
      </c>
      <c r="S1410" s="5" t="n">
        <f aca="false">IF(H1410&lt;=16,1.45,
IF(H1410&gt;=41,0.3,
CHOOSE(ROUNDDOWN((H1410-16)/2,0)+1,
1.45,1.38,1.3,1.23,1.17,1.15,1.12,1.05,0.95,0.8,0.6,0.4,0.3)))</f>
        <v>1.17</v>
      </c>
      <c r="T1410" s="5" t="n">
        <f aca="false">CHOOSE(N1410+1,1.2,1,0.85,0.7)</f>
        <v>1.2</v>
      </c>
      <c r="U1410" s="5" t="n">
        <f aca="false">IF(F1410="PO",0.6,
IF(F1410="CT",0.75,
IF(F1410="LI",0.8,
IF(F1410="LD",0.8,
IF(F1410="MCD",0.85,
IF(F1410="MC",0.95,
IF(F1410="MO",1.05,
IF(F1410="EI",1.1,
IF(F1410="ED",1.1,
IF(F1410="SD",1.15,
IF(F1410="DC",1.2,0)))))))))))</f>
        <v>1.2</v>
      </c>
    </row>
    <row r="1411" customFormat="false" ht="16.4" hidden="false" customHeight="false" outlineLevel="0" collapsed="false">
      <c r="A1411" s="1" t="n">
        <v>1410</v>
      </c>
      <c r="B1411" s="5" t="str">
        <f aca="false">[1]Base_Jugadores!B1411</f>
        <v>Silvano Vos</v>
      </c>
      <c r="C1411" s="5" t="str">
        <f aca="false">IFERROR(
   _xlfn.XLOOKUP(VALUE(A1411),[1]Fichajes_Realizados!A$2:A$50000,[1]Fichajes_Realizados!D$2:D$50000,,0,-1),
   _xlfn.XLOOKUP(VALUE(A1411),[1]Base_Jugadores!A$2:A$50000,[1]Base_Jugadores!C$2:C$50000)
)</f>
        <v>AC Milan</v>
      </c>
      <c r="D1411" s="5" t="str">
        <f aca="false">[1]Base_Jugadores!D1411</f>
        <v>Países Bajos</v>
      </c>
      <c r="E1411" s="3"/>
      <c r="F1411" s="5" t="str">
        <f aca="false">[1]Base_Jugadores!E1411</f>
        <v>MCD</v>
      </c>
      <c r="G1411" s="5" t="n">
        <f aca="false">[1]Base_Jugadores!F1411</f>
        <v>66</v>
      </c>
      <c r="H1411" s="5" t="n">
        <f aca="false">[1]Base_Jugadores!G1411</f>
        <v>20</v>
      </c>
      <c r="I1411" s="7" t="n">
        <f aca="false" t="array" ref="I1411:I1411">_xlfn.XLOOKUP(G1411,{55;56;57;58;59;60;61;62;63;64;65;66;67;68;69;70;71;72;73;74;75;76;77;78;79;80;81;82;83;84;85;86;87;88;89;90;91;92;93;94;95;96;97;98;99},{100000;130000;160000;190000;220000;250000;300000;350000;400000;450000;500000;600000;700000;800000;900000;1000000;1500000;2000000;3000000;4000000;5000000;6500000;8000000;10000000;12500000;15000000;20000000;25000000;30000000;35000000;40000000;55000000;70000000;80000000;90000000;110000000;130000000;160000000;190000000;220000000;250000000;280000000;310000000;340000000;400000000})</f>
        <v>600000</v>
      </c>
      <c r="J1411" s="7" t="n">
        <f aca="false">I1411*S1411*T1411*U1411</f>
        <v>795600</v>
      </c>
      <c r="K1411" s="3"/>
      <c r="L1411" s="3"/>
      <c r="M1411" s="3"/>
      <c r="N1411" s="9" t="n">
        <v>0</v>
      </c>
      <c r="O1411" s="4" t="n">
        <v>0</v>
      </c>
      <c r="P1411" s="5" t="n">
        <f aca="false">IF(COUNTIF([1]Base_Jugadores!J$2:J$500,B1411)&gt;0,1,0)</f>
        <v>0</v>
      </c>
      <c r="Q1411" s="10" t="b">
        <f aca="false">--(COUNTIFS(
   [1]Fichajes_Realizados!A$2:A$5000,A1411,
   [1]Fichajes_Realizados!G$2:G$5000,$X$3
)&gt;0)</f>
        <v>0</v>
      </c>
      <c r="R1411" s="5" t="n">
        <f aca="false">_xlfn.XLOOKUP(C1411, [1]Estado_Equipos!A$2:A$500, [1]Estado_Equipos!J$2:J$500, "")</f>
        <v>77</v>
      </c>
      <c r="S1411" s="5" t="n">
        <f aca="false">IF(H1411&lt;=16,1.45,
IF(H1411&gt;=41,0.3,
CHOOSE(ROUNDDOWN((H1411-16)/2,0)+1,
1.45,1.38,1.3,1.23,1.17,1.15,1.12,1.05,0.95,0.8,0.6,0.4,0.3)))</f>
        <v>1.3</v>
      </c>
      <c r="T1411" s="5" t="n">
        <f aca="false">CHOOSE(N1411+1,1.2,1,0.85,0.7)</f>
        <v>1.2</v>
      </c>
      <c r="U1411" s="5" t="n">
        <f aca="false">IF(F1411="PO",0.6,
IF(F1411="CT",0.75,
IF(F1411="LI",0.8,
IF(F1411="LD",0.8,
IF(F1411="MCD",0.85,
IF(F1411="MC",0.95,
IF(F1411="MO",1.05,
IF(F1411="EI",1.1,
IF(F1411="ED",1.1,
IF(F1411="SD",1.15,
IF(F1411="DC",1.2,0)))))))))))</f>
        <v>0.85</v>
      </c>
    </row>
    <row r="1412" customFormat="false" ht="16.4" hidden="false" customHeight="false" outlineLevel="0" collapsed="false">
      <c r="A1412" s="1" t="n">
        <v>1411</v>
      </c>
      <c r="B1412" s="5" t="str">
        <f aca="false">[1]Base_Jugadores!B1412</f>
        <v>Chaka Traorè</v>
      </c>
      <c r="C1412" s="5" t="str">
        <f aca="false">IFERROR(
   _xlfn.XLOOKUP(VALUE(A1412),[1]Fichajes_Realizados!A$2:A$50000,[1]Fichajes_Realizados!D$2:D$50000,,0,-1),
   _xlfn.XLOOKUP(VALUE(A1412),[1]Base_Jugadores!A$2:A$50000,[1]Base_Jugadores!C$2:C$50000)
)</f>
        <v>AC Milan</v>
      </c>
      <c r="D1412" s="5" t="str">
        <f aca="false">[1]Base_Jugadores!D1412</f>
        <v>Costa de Marfil</v>
      </c>
      <c r="E1412" s="3"/>
      <c r="F1412" s="5" t="str">
        <f aca="false">[1]Base_Jugadores!E1412</f>
        <v>EI</v>
      </c>
      <c r="G1412" s="5" t="n">
        <f aca="false">[1]Base_Jugadores!F1412</f>
        <v>67</v>
      </c>
      <c r="H1412" s="5" t="n">
        <f aca="false">[1]Base_Jugadores!G1412</f>
        <v>21</v>
      </c>
      <c r="I1412" s="7" t="n">
        <f aca="false" t="array" ref="I1412:I1412">_xlfn.XLOOKUP(G1412,{55;56;57;58;59;60;61;62;63;64;65;66;67;68;69;70;71;72;73;74;75;76;77;78;79;80;81;82;83;84;85;86;87;88;89;90;91;92;93;94;95;96;97;98;99},{100000;130000;160000;190000;220000;250000;300000;350000;400000;450000;500000;600000;700000;800000;900000;1000000;1500000;2000000;3000000;4000000;5000000;6500000;8000000;10000000;12500000;15000000;20000000;25000000;30000000;35000000;40000000;55000000;70000000;80000000;90000000;110000000;130000000;160000000;190000000;220000000;250000000;280000000;310000000;340000000;400000000})</f>
        <v>700000</v>
      </c>
      <c r="J1412" s="7" t="n">
        <f aca="false">I1412*S1412*T1412*U1412</f>
        <v>1201200</v>
      </c>
      <c r="K1412" s="3"/>
      <c r="L1412" s="3"/>
      <c r="M1412" s="3"/>
      <c r="N1412" s="9" t="n">
        <v>0</v>
      </c>
      <c r="O1412" s="4" t="n">
        <v>0</v>
      </c>
      <c r="P1412" s="5" t="n">
        <f aca="false">IF(COUNTIF([1]Base_Jugadores!J$2:J$500,B1412)&gt;0,1,0)</f>
        <v>0</v>
      </c>
      <c r="Q1412" s="10" t="b">
        <f aca="false">--(COUNTIFS(
   [1]Fichajes_Realizados!A$2:A$5000,A1412,
   [1]Fichajes_Realizados!G$2:G$5000,$X$3
)&gt;0)</f>
        <v>0</v>
      </c>
      <c r="R1412" s="5" t="n">
        <f aca="false">_xlfn.XLOOKUP(C1412, [1]Estado_Equipos!A$2:A$500, [1]Estado_Equipos!J$2:J$500, "")</f>
        <v>77</v>
      </c>
      <c r="S1412" s="5" t="n">
        <f aca="false">IF(H1412&lt;=16,1.45,
IF(H1412&gt;=41,0.3,
CHOOSE(ROUNDDOWN((H1412-16)/2,0)+1,
1.45,1.38,1.3,1.23,1.17,1.15,1.12,1.05,0.95,0.8,0.6,0.4,0.3)))</f>
        <v>1.3</v>
      </c>
      <c r="T1412" s="5" t="n">
        <f aca="false">CHOOSE(N1412+1,1.2,1,0.85,0.7)</f>
        <v>1.2</v>
      </c>
      <c r="U1412" s="5" t="n">
        <f aca="false">IF(F1412="PO",0.6,
IF(F1412="CT",0.75,
IF(F1412="LI",0.8,
IF(F1412="LD",0.8,
IF(F1412="MCD",0.85,
IF(F1412="MC",0.95,
IF(F1412="MO",1.05,
IF(F1412="EI",1.1,
IF(F1412="ED",1.1,
IF(F1412="SD",1.15,
IF(F1412="DC",1.2,0)))))))))))</f>
        <v>1.1</v>
      </c>
    </row>
    <row r="1413" customFormat="false" ht="16.4" hidden="false" customHeight="false" outlineLevel="0" collapsed="false">
      <c r="A1413" s="1" t="n">
        <v>1412</v>
      </c>
      <c r="B1413" s="5" t="str">
        <f aca="false">[1]Base_Jugadores!B1413</f>
        <v>Alex Meret</v>
      </c>
      <c r="C1413" s="5" t="str">
        <f aca="false">IFERROR(
   _xlfn.XLOOKUP(VALUE(A1413),[1]Fichajes_Realizados!A$2:A$50000,[1]Fichajes_Realizados!D$2:D$50000,,0,-1),
   _xlfn.XLOOKUP(VALUE(A1413),[1]Base_Jugadores!A$2:A$50000,[1]Base_Jugadores!C$2:C$50000)
)</f>
        <v>SSC Nápoles</v>
      </c>
      <c r="D1413" s="5" t="str">
        <f aca="false">[1]Base_Jugadores!D1413</f>
        <v>Italia</v>
      </c>
      <c r="E1413" s="3"/>
      <c r="F1413" s="5" t="str">
        <f aca="false">[1]Base_Jugadores!E1413</f>
        <v>PO</v>
      </c>
      <c r="G1413" s="5" t="n">
        <f aca="false">[1]Base_Jugadores!F1413</f>
        <v>82</v>
      </c>
      <c r="H1413" s="5" t="n">
        <f aca="false">[1]Base_Jugadores!G1413</f>
        <v>28</v>
      </c>
      <c r="I1413" s="7" t="n">
        <f aca="false" t="array" ref="I1413:I1413">_xlfn.XLOOKUP(G1413,{55;56;57;58;59;60;61;62;63;64;65;66;67;68;69;70;71;72;73;74;75;76;77;78;79;80;81;82;83;84;85;86;87;88;89;90;91;92;93;94;95;96;97;98;99},{100000;130000;160000;190000;220000;250000;300000;350000;400000;450000;500000;600000;700000;800000;900000;1000000;1500000;2000000;3000000;4000000;5000000;6500000;8000000;10000000;12500000;15000000;20000000;25000000;30000000;35000000;40000000;55000000;70000000;80000000;90000000;110000000;130000000;160000000;190000000;220000000;250000000;280000000;310000000;340000000;400000000})</f>
        <v>25000000</v>
      </c>
      <c r="J1413" s="7" t="n">
        <f aca="false">I1413*S1413*T1413*U1413</f>
        <v>20160000</v>
      </c>
      <c r="K1413" s="3"/>
      <c r="L1413" s="3"/>
      <c r="M1413" s="3"/>
      <c r="N1413" s="9" t="n">
        <v>0</v>
      </c>
      <c r="O1413" s="4" t="n">
        <v>0</v>
      </c>
      <c r="P1413" s="5" t="n">
        <f aca="false">IF(COUNTIF([1]Base_Jugadores!J$2:J$500,B1413)&gt;0,1,0)</f>
        <v>0</v>
      </c>
      <c r="Q1413" s="10" t="b">
        <f aca="false">--(COUNTIFS(
   [1]Fichajes_Realizados!A$2:A$5000,A1413,
   [1]Fichajes_Realizados!G$2:G$5000,$X$3
)&gt;0)</f>
        <v>0</v>
      </c>
      <c r="R1413" s="5" t="n">
        <f aca="false">_xlfn.XLOOKUP(C1413, [1]Estado_Equipos!A$2:A$500, [1]Estado_Equipos!J$2:J$500, "")</f>
        <v>77</v>
      </c>
      <c r="S1413" s="5" t="n">
        <f aca="false">IF(H1413&lt;=16,1.45,
IF(H1413&gt;=41,0.3,
CHOOSE(ROUNDDOWN((H1413-16)/2,0)+1,
1.45,1.38,1.3,1.23,1.17,1.15,1.12,1.05,0.95,0.8,0.6,0.4,0.3)))</f>
        <v>1.12</v>
      </c>
      <c r="T1413" s="5" t="n">
        <f aca="false">CHOOSE(N1413+1,1.2,1,0.85,0.7)</f>
        <v>1.2</v>
      </c>
      <c r="U1413" s="5" t="n">
        <f aca="false">IF(F1413="PO",0.6,
IF(F1413="CT",0.75,
IF(F1413="LI",0.8,
IF(F1413="LD",0.8,
IF(F1413="MCD",0.85,
IF(F1413="MC",0.95,
IF(F1413="MO",1.05,
IF(F1413="EI",1.1,
IF(F1413="ED",1.1,
IF(F1413="SD",1.15,
IF(F1413="DC",1.2,0)))))))))))</f>
        <v>0.6</v>
      </c>
    </row>
    <row r="1414" customFormat="false" ht="16.4" hidden="false" customHeight="false" outlineLevel="0" collapsed="false">
      <c r="A1414" s="1" t="n">
        <v>1413</v>
      </c>
      <c r="B1414" s="5" t="str">
        <f aca="false">[1]Base_Jugadores!B1414</f>
        <v>V. Milinković-Savić</v>
      </c>
      <c r="C1414" s="5" t="str">
        <f aca="false">IFERROR(
   _xlfn.XLOOKUP(VALUE(A1414),[1]Fichajes_Realizados!A$2:A$50000,[1]Fichajes_Realizados!D$2:D$50000,,0,-1),
   _xlfn.XLOOKUP(VALUE(A1414),[1]Base_Jugadores!A$2:A$50000,[1]Base_Jugadores!C$2:C$50000)
)</f>
        <v>SSC Nápoles</v>
      </c>
      <c r="D1414" s="5" t="str">
        <f aca="false">[1]Base_Jugadores!D1414</f>
        <v>Serbia</v>
      </c>
      <c r="E1414" s="3"/>
      <c r="F1414" s="5" t="str">
        <f aca="false">[1]Base_Jugadores!E1414</f>
        <v>PO</v>
      </c>
      <c r="G1414" s="5" t="n">
        <f aca="false">[1]Base_Jugadores!F1414</f>
        <v>77</v>
      </c>
      <c r="H1414" s="5" t="n">
        <f aca="false">[1]Base_Jugadores!G1414</f>
        <v>28</v>
      </c>
      <c r="I1414" s="7" t="n">
        <f aca="false" t="array" ref="I1414:I1414">_xlfn.XLOOKUP(G1414,{55;56;57;58;59;60;61;62;63;64;65;66;67;68;69;70;71;72;73;74;75;76;77;78;79;80;81;82;83;84;85;86;87;88;89;90;91;92;93;94;95;96;97;98;99},{100000;130000;160000;190000;220000;250000;300000;350000;400000;450000;500000;600000;700000;800000;900000;1000000;1500000;2000000;3000000;4000000;5000000;6500000;8000000;10000000;12500000;15000000;20000000;25000000;30000000;35000000;40000000;55000000;70000000;80000000;90000000;110000000;130000000;160000000;190000000;220000000;250000000;280000000;310000000;340000000;400000000})</f>
        <v>8000000</v>
      </c>
      <c r="J1414" s="7" t="n">
        <f aca="false">I1414*S1414*T1414*U1414</f>
        <v>6451200</v>
      </c>
      <c r="K1414" s="3"/>
      <c r="L1414" s="3"/>
      <c r="M1414" s="3"/>
      <c r="N1414" s="9" t="n">
        <v>0</v>
      </c>
      <c r="O1414" s="4" t="n">
        <v>0</v>
      </c>
      <c r="P1414" s="5" t="n">
        <f aca="false">IF(COUNTIF([1]Base_Jugadores!J$2:J$500,B1414)&gt;0,1,0)</f>
        <v>0</v>
      </c>
      <c r="Q1414" s="10" t="b">
        <f aca="false">--(COUNTIFS(
   [1]Fichajes_Realizados!A$2:A$5000,A1414,
   [1]Fichajes_Realizados!G$2:G$5000,$X$3
)&gt;0)</f>
        <v>0</v>
      </c>
      <c r="R1414" s="5" t="n">
        <f aca="false">_xlfn.XLOOKUP(C1414, [1]Estado_Equipos!A$2:A$500, [1]Estado_Equipos!J$2:J$500, "")</f>
        <v>77</v>
      </c>
      <c r="S1414" s="5" t="n">
        <f aca="false">IF(H1414&lt;=16,1.45,
IF(H1414&gt;=41,0.3,
CHOOSE(ROUNDDOWN((H1414-16)/2,0)+1,
1.45,1.38,1.3,1.23,1.17,1.15,1.12,1.05,0.95,0.8,0.6,0.4,0.3)))</f>
        <v>1.12</v>
      </c>
      <c r="T1414" s="5" t="n">
        <f aca="false">CHOOSE(N1414+1,1.2,1,0.85,0.7)</f>
        <v>1.2</v>
      </c>
      <c r="U1414" s="5" t="n">
        <f aca="false">IF(F1414="PO",0.6,
IF(F1414="CT",0.75,
IF(F1414="LI",0.8,
IF(F1414="LD",0.8,
IF(F1414="MCD",0.85,
IF(F1414="MC",0.95,
IF(F1414="MO",1.05,
IF(F1414="EI",1.1,
IF(F1414="ED",1.1,
IF(F1414="SD",1.15,
IF(F1414="DC",1.2,0)))))))))))</f>
        <v>0.6</v>
      </c>
    </row>
    <row r="1415" customFormat="false" ht="16.4" hidden="false" customHeight="false" outlineLevel="0" collapsed="false">
      <c r="A1415" s="1" t="n">
        <v>1414</v>
      </c>
      <c r="B1415" s="5" t="str">
        <f aca="false">[1]Base_Jugadores!B1415</f>
        <v>Nikita Contini</v>
      </c>
      <c r="C1415" s="5" t="str">
        <f aca="false">IFERROR(
   _xlfn.XLOOKUP(VALUE(A1415),[1]Fichajes_Realizados!A$2:A$50000,[1]Fichajes_Realizados!D$2:D$50000,,0,-1),
   _xlfn.XLOOKUP(VALUE(A1415),[1]Base_Jugadores!A$2:A$50000,[1]Base_Jugadores!C$2:C$50000)
)</f>
        <v>SSC Nápoles</v>
      </c>
      <c r="D1415" s="5" t="str">
        <f aca="false">[1]Base_Jugadores!D1415</f>
        <v>Italia</v>
      </c>
      <c r="E1415" s="3"/>
      <c r="F1415" s="5" t="str">
        <f aca="false">[1]Base_Jugadores!E1415</f>
        <v>PO</v>
      </c>
      <c r="G1415" s="5" t="n">
        <f aca="false">[1]Base_Jugadores!F1415</f>
        <v>68</v>
      </c>
      <c r="H1415" s="5" t="n">
        <f aca="false">[1]Base_Jugadores!G1415</f>
        <v>29</v>
      </c>
      <c r="I1415" s="7" t="n">
        <f aca="false" t="array" ref="I1415:I1415">_xlfn.XLOOKUP(G1415,{55;56;57;58;59;60;61;62;63;64;65;66;67;68;69;70;71;72;73;74;75;76;77;78;79;80;81;82;83;84;85;86;87;88;89;90;91;92;93;94;95;96;97;98;99},{100000;130000;160000;190000;220000;250000;300000;350000;400000;450000;500000;600000;700000;800000;900000;1000000;1500000;2000000;3000000;4000000;5000000;6500000;8000000;10000000;12500000;15000000;20000000;25000000;30000000;35000000;40000000;55000000;70000000;80000000;90000000;110000000;130000000;160000000;190000000;220000000;250000000;280000000;310000000;340000000;400000000})</f>
        <v>800000</v>
      </c>
      <c r="J1415" s="7" t="n">
        <f aca="false">I1415*S1415*T1415*U1415</f>
        <v>645120</v>
      </c>
      <c r="K1415" s="3"/>
      <c r="L1415" s="3"/>
      <c r="M1415" s="3"/>
      <c r="N1415" s="9" t="n">
        <v>0</v>
      </c>
      <c r="O1415" s="4" t="n">
        <v>0</v>
      </c>
      <c r="P1415" s="5" t="n">
        <f aca="false">IF(COUNTIF([1]Base_Jugadores!J$2:J$500,B1415)&gt;0,1,0)</f>
        <v>0</v>
      </c>
      <c r="Q1415" s="10" t="b">
        <f aca="false">--(COUNTIFS(
   [1]Fichajes_Realizados!A$2:A$5000,A1415,
   [1]Fichajes_Realizados!G$2:G$5000,$X$3
)&gt;0)</f>
        <v>0</v>
      </c>
      <c r="R1415" s="5" t="n">
        <f aca="false">_xlfn.XLOOKUP(C1415, [1]Estado_Equipos!A$2:A$500, [1]Estado_Equipos!J$2:J$500, "")</f>
        <v>77</v>
      </c>
      <c r="S1415" s="5" t="n">
        <f aca="false">IF(H1415&lt;=16,1.45,
IF(H1415&gt;=41,0.3,
CHOOSE(ROUNDDOWN((H1415-16)/2,0)+1,
1.45,1.38,1.3,1.23,1.17,1.15,1.12,1.05,0.95,0.8,0.6,0.4,0.3)))</f>
        <v>1.12</v>
      </c>
      <c r="T1415" s="5" t="n">
        <f aca="false">CHOOSE(N1415+1,1.2,1,0.85,0.7)</f>
        <v>1.2</v>
      </c>
      <c r="U1415" s="5" t="n">
        <f aca="false">IF(F1415="PO",0.6,
IF(F1415="CT",0.75,
IF(F1415="LI",0.8,
IF(F1415="LD",0.8,
IF(F1415="MCD",0.85,
IF(F1415="MC",0.95,
IF(F1415="MO",1.05,
IF(F1415="EI",1.1,
IF(F1415="ED",1.1,
IF(F1415="SD",1.15,
IF(F1415="DC",1.2,0)))))))))))</f>
        <v>0.6</v>
      </c>
    </row>
    <row r="1416" customFormat="false" ht="16.4" hidden="false" customHeight="false" outlineLevel="0" collapsed="false">
      <c r="A1416" s="1" t="n">
        <v>1415</v>
      </c>
      <c r="B1416" s="5" t="str">
        <f aca="false">[1]Base_Jugadores!B1416</f>
        <v>A. Buongiorno</v>
      </c>
      <c r="C1416" s="5" t="str">
        <f aca="false">IFERROR(
   _xlfn.XLOOKUP(VALUE(A1416),[1]Fichajes_Realizados!A$2:A$50000,[1]Fichajes_Realizados!D$2:D$50000,,0,-1),
   _xlfn.XLOOKUP(VALUE(A1416),[1]Base_Jugadores!A$2:A$50000,[1]Base_Jugadores!C$2:C$50000)
)</f>
        <v>SSC Nápoles</v>
      </c>
      <c r="D1416" s="5" t="str">
        <f aca="false">[1]Base_Jugadores!D1416</f>
        <v>Italia</v>
      </c>
      <c r="E1416" s="3"/>
      <c r="F1416" s="5" t="str">
        <f aca="false">[1]Base_Jugadores!E1416</f>
        <v>CT</v>
      </c>
      <c r="G1416" s="5" t="n">
        <f aca="false">[1]Base_Jugadores!F1416</f>
        <v>80</v>
      </c>
      <c r="H1416" s="5" t="n">
        <f aca="false">[1]Base_Jugadores!G1416</f>
        <v>26</v>
      </c>
      <c r="I1416" s="7" t="n">
        <f aca="false" t="array" ref="I1416:I1416">_xlfn.XLOOKUP(G1416,{55;56;57;58;59;60;61;62;63;64;65;66;67;68;69;70;71;72;73;74;75;76;77;78;79;80;81;82;83;84;85;86;87;88;89;90;91;92;93;94;95;96;97;98;99},{100000;130000;160000;190000;220000;250000;300000;350000;400000;450000;500000;600000;700000;800000;900000;1000000;1500000;2000000;3000000;4000000;5000000;6500000;8000000;10000000;12500000;15000000;20000000;25000000;30000000;35000000;40000000;55000000;70000000;80000000;90000000;110000000;130000000;160000000;190000000;220000000;250000000;280000000;310000000;340000000;400000000})</f>
        <v>15000000</v>
      </c>
      <c r="J1416" s="7" t="n">
        <f aca="false">I1416*S1416*T1416*U1416</f>
        <v>15525000</v>
      </c>
      <c r="K1416" s="3"/>
      <c r="L1416" s="3"/>
      <c r="M1416" s="3"/>
      <c r="N1416" s="9" t="n">
        <v>0</v>
      </c>
      <c r="O1416" s="4" t="n">
        <v>0</v>
      </c>
      <c r="P1416" s="5" t="n">
        <f aca="false">IF(COUNTIF([1]Base_Jugadores!J$2:J$500,B1416)&gt;0,1,0)</f>
        <v>0</v>
      </c>
      <c r="Q1416" s="10" t="b">
        <f aca="false">--(COUNTIFS(
   [1]Fichajes_Realizados!A$2:A$5000,A1416,
   [1]Fichajes_Realizados!G$2:G$5000,$X$3
)&gt;0)</f>
        <v>0</v>
      </c>
      <c r="R1416" s="5" t="n">
        <f aca="false">_xlfn.XLOOKUP(C1416, [1]Estado_Equipos!A$2:A$500, [1]Estado_Equipos!J$2:J$500, "")</f>
        <v>77</v>
      </c>
      <c r="S1416" s="5" t="n">
        <f aca="false">IF(H1416&lt;=16,1.45,
IF(H1416&gt;=41,0.3,
CHOOSE(ROUNDDOWN((H1416-16)/2,0)+1,
1.45,1.38,1.3,1.23,1.17,1.15,1.12,1.05,0.95,0.8,0.6,0.4,0.3)))</f>
        <v>1.15</v>
      </c>
      <c r="T1416" s="5" t="n">
        <f aca="false">CHOOSE(N1416+1,1.2,1,0.85,0.7)</f>
        <v>1.2</v>
      </c>
      <c r="U1416" s="5" t="n">
        <f aca="false">IF(F1416="PO",0.6,
IF(F1416="CT",0.75,
IF(F1416="LI",0.8,
IF(F1416="LD",0.8,
IF(F1416="MCD",0.85,
IF(F1416="MC",0.95,
IF(F1416="MO",1.05,
IF(F1416="EI",1.1,
IF(F1416="ED",1.1,
IF(F1416="SD",1.15,
IF(F1416="DC",1.2,0)))))))))))</f>
        <v>0.75</v>
      </c>
    </row>
    <row r="1417" customFormat="false" ht="16.4" hidden="false" customHeight="false" outlineLevel="0" collapsed="false">
      <c r="A1417" s="1" t="n">
        <v>1416</v>
      </c>
      <c r="B1417" s="5" t="str">
        <f aca="false">[1]Base_Jugadores!B1417</f>
        <v>Sam Beukema</v>
      </c>
      <c r="C1417" s="5" t="str">
        <f aca="false">IFERROR(
   _xlfn.XLOOKUP(VALUE(A1417),[1]Fichajes_Realizados!A$2:A$50000,[1]Fichajes_Realizados!D$2:D$50000,,0,-1),
   _xlfn.XLOOKUP(VALUE(A1417),[1]Base_Jugadores!A$2:A$50000,[1]Base_Jugadores!C$2:C$50000)
)</f>
        <v>SSC Nápoles</v>
      </c>
      <c r="D1417" s="5" t="str">
        <f aca="false">[1]Base_Jugadores!D1417</f>
        <v>Países Bajos</v>
      </c>
      <c r="E1417" s="3"/>
      <c r="F1417" s="5" t="str">
        <f aca="false">[1]Base_Jugadores!E1417</f>
        <v>CT</v>
      </c>
      <c r="G1417" s="5" t="n">
        <f aca="false">[1]Base_Jugadores!F1417</f>
        <v>77</v>
      </c>
      <c r="H1417" s="5" t="n">
        <f aca="false">[1]Base_Jugadores!G1417</f>
        <v>27</v>
      </c>
      <c r="I1417" s="7" t="n">
        <f aca="false" t="array" ref="I1417:I1417">_xlfn.XLOOKUP(G1417,{55;56;57;58;59;60;61;62;63;64;65;66;67;68;69;70;71;72;73;74;75;76;77;78;79;80;81;82;83;84;85;86;87;88;89;90;91;92;93;94;95;96;97;98;99},{100000;130000;160000;190000;220000;250000;300000;350000;400000;450000;500000;600000;700000;800000;900000;1000000;1500000;2000000;3000000;4000000;5000000;6500000;8000000;10000000;12500000;15000000;20000000;25000000;30000000;35000000;40000000;55000000;70000000;80000000;90000000;110000000;130000000;160000000;190000000;220000000;250000000;280000000;310000000;340000000;400000000})</f>
        <v>8000000</v>
      </c>
      <c r="J1417" s="7" t="n">
        <f aca="false">I1417*S1417*T1417*U1417</f>
        <v>8280000</v>
      </c>
      <c r="K1417" s="3"/>
      <c r="L1417" s="3"/>
      <c r="M1417" s="3"/>
      <c r="N1417" s="9" t="n">
        <v>0</v>
      </c>
      <c r="O1417" s="4" t="n">
        <v>0</v>
      </c>
      <c r="P1417" s="5" t="n">
        <f aca="false">IF(COUNTIF([1]Base_Jugadores!J$2:J$500,B1417)&gt;0,1,0)</f>
        <v>0</v>
      </c>
      <c r="Q1417" s="10" t="b">
        <f aca="false">--(COUNTIFS(
   [1]Fichajes_Realizados!A$2:A$5000,A1417,
   [1]Fichajes_Realizados!G$2:G$5000,$X$3
)&gt;0)</f>
        <v>0</v>
      </c>
      <c r="R1417" s="5" t="n">
        <f aca="false">_xlfn.XLOOKUP(C1417, [1]Estado_Equipos!A$2:A$500, [1]Estado_Equipos!J$2:J$500, "")</f>
        <v>77</v>
      </c>
      <c r="S1417" s="5" t="n">
        <f aca="false">IF(H1417&lt;=16,1.45,
IF(H1417&gt;=41,0.3,
CHOOSE(ROUNDDOWN((H1417-16)/2,0)+1,
1.45,1.38,1.3,1.23,1.17,1.15,1.12,1.05,0.95,0.8,0.6,0.4,0.3)))</f>
        <v>1.15</v>
      </c>
      <c r="T1417" s="5" t="n">
        <f aca="false">CHOOSE(N1417+1,1.2,1,0.85,0.7)</f>
        <v>1.2</v>
      </c>
      <c r="U1417" s="5" t="n">
        <f aca="false">IF(F1417="PO",0.6,
IF(F1417="CT",0.75,
IF(F1417="LI",0.8,
IF(F1417="LD",0.8,
IF(F1417="MCD",0.85,
IF(F1417="MC",0.95,
IF(F1417="MO",1.05,
IF(F1417="EI",1.1,
IF(F1417="ED",1.1,
IF(F1417="SD",1.15,
IF(F1417="DC",1.2,0)))))))))))</f>
        <v>0.75</v>
      </c>
    </row>
    <row r="1418" customFormat="false" ht="16.4" hidden="false" customHeight="false" outlineLevel="0" collapsed="false">
      <c r="A1418" s="1" t="n">
        <v>1417</v>
      </c>
      <c r="B1418" s="5" t="str">
        <f aca="false">[1]Base_Jugadores!B1418</f>
        <v>Amir Rrahmani</v>
      </c>
      <c r="C1418" s="5" t="str">
        <f aca="false">IFERROR(
   _xlfn.XLOOKUP(VALUE(A1418),[1]Fichajes_Realizados!A$2:A$50000,[1]Fichajes_Realizados!D$2:D$50000,,0,-1),
   _xlfn.XLOOKUP(VALUE(A1418),[1]Base_Jugadores!A$2:A$50000,[1]Base_Jugadores!C$2:C$50000)
)</f>
        <v>SSC Nápoles</v>
      </c>
      <c r="D1418" s="5" t="str">
        <f aca="false">[1]Base_Jugadores!D1418</f>
        <v>Kosovo</v>
      </c>
      <c r="E1418" s="3"/>
      <c r="F1418" s="5" t="str">
        <f aca="false">[1]Base_Jugadores!E1418</f>
        <v>CT</v>
      </c>
      <c r="G1418" s="5" t="n">
        <f aca="false">[1]Base_Jugadores!F1418</f>
        <v>80</v>
      </c>
      <c r="H1418" s="5" t="n">
        <f aca="false">[1]Base_Jugadores!G1418</f>
        <v>31</v>
      </c>
      <c r="I1418" s="7" t="n">
        <f aca="false" t="array" ref="I1418:I1418">_xlfn.XLOOKUP(G1418,{55;56;57;58;59;60;61;62;63;64;65;66;67;68;69;70;71;72;73;74;75;76;77;78;79;80;81;82;83;84;85;86;87;88;89;90;91;92;93;94;95;96;97;98;99},{100000;130000;160000;190000;220000;250000;300000;350000;400000;450000;500000;600000;700000;800000;900000;1000000;1500000;2000000;3000000;4000000;5000000;6500000;8000000;10000000;12500000;15000000;20000000;25000000;30000000;35000000;40000000;55000000;70000000;80000000;90000000;110000000;130000000;160000000;190000000;220000000;250000000;280000000;310000000;340000000;400000000})</f>
        <v>15000000</v>
      </c>
      <c r="J1418" s="7" t="n">
        <f aca="false">I1418*S1418*T1418*U1418</f>
        <v>14175000</v>
      </c>
      <c r="K1418" s="3"/>
      <c r="L1418" s="3"/>
      <c r="M1418" s="3"/>
      <c r="N1418" s="9" t="n">
        <v>0</v>
      </c>
      <c r="O1418" s="4" t="n">
        <v>0</v>
      </c>
      <c r="P1418" s="5" t="n">
        <f aca="false">IF(COUNTIF([1]Base_Jugadores!J$2:J$500,B1418)&gt;0,1,0)</f>
        <v>0</v>
      </c>
      <c r="Q1418" s="10" t="b">
        <f aca="false">--(COUNTIFS(
   [1]Fichajes_Realizados!A$2:A$5000,A1418,
   [1]Fichajes_Realizados!G$2:G$5000,$X$3
)&gt;0)</f>
        <v>0</v>
      </c>
      <c r="R1418" s="5" t="n">
        <f aca="false">_xlfn.XLOOKUP(C1418, [1]Estado_Equipos!A$2:A$500, [1]Estado_Equipos!J$2:J$500, "")</f>
        <v>77</v>
      </c>
      <c r="S1418" s="5" t="n">
        <f aca="false">IF(H1418&lt;=16,1.45,
IF(H1418&gt;=41,0.3,
CHOOSE(ROUNDDOWN((H1418-16)/2,0)+1,
1.45,1.38,1.3,1.23,1.17,1.15,1.12,1.05,0.95,0.8,0.6,0.4,0.3)))</f>
        <v>1.05</v>
      </c>
      <c r="T1418" s="5" t="n">
        <f aca="false">CHOOSE(N1418+1,1.2,1,0.85,0.7)</f>
        <v>1.2</v>
      </c>
      <c r="U1418" s="5" t="n">
        <f aca="false">IF(F1418="PO",0.6,
IF(F1418="CT",0.75,
IF(F1418="LI",0.8,
IF(F1418="LD",0.8,
IF(F1418="MCD",0.85,
IF(F1418="MC",0.95,
IF(F1418="MO",1.05,
IF(F1418="EI",1.1,
IF(F1418="ED",1.1,
IF(F1418="SD",1.15,
IF(F1418="DC",1.2,0)))))))))))</f>
        <v>0.75</v>
      </c>
    </row>
    <row r="1419" customFormat="false" ht="16.4" hidden="false" customHeight="false" outlineLevel="0" collapsed="false">
      <c r="A1419" s="1" t="n">
        <v>1418</v>
      </c>
      <c r="B1419" s="5" t="str">
        <f aca="false">[1]Base_Jugadores!B1419</f>
        <v>Luca Marianucci</v>
      </c>
      <c r="C1419" s="5" t="str">
        <f aca="false">IFERROR(
   _xlfn.XLOOKUP(VALUE(A1419),[1]Fichajes_Realizados!A$2:A$50000,[1]Fichajes_Realizados!D$2:D$50000,,0,-1),
   _xlfn.XLOOKUP(VALUE(A1419),[1]Base_Jugadores!A$2:A$50000,[1]Base_Jugadores!C$2:C$50000)
)</f>
        <v>SSC Nápoles</v>
      </c>
      <c r="D1419" s="5" t="str">
        <f aca="false">[1]Base_Jugadores!D1419</f>
        <v>Italia</v>
      </c>
      <c r="E1419" s="3"/>
      <c r="F1419" s="5" t="str">
        <f aca="false">[1]Base_Jugadores!E1419</f>
        <v>CT</v>
      </c>
      <c r="G1419" s="5" t="n">
        <f aca="false">[1]Base_Jugadores!F1419</f>
        <v>60</v>
      </c>
      <c r="H1419" s="5" t="n">
        <f aca="false">[1]Base_Jugadores!G1419</f>
        <v>21</v>
      </c>
      <c r="I1419" s="7" t="n">
        <f aca="false" t="array" ref="I1419:I1419">_xlfn.XLOOKUP(G1419,{55;56;57;58;59;60;61;62;63;64;65;66;67;68;69;70;71;72;73;74;75;76;77;78;79;80;81;82;83;84;85;86;87;88;89;90;91;92;93;94;95;96;97;98;99},{100000;130000;160000;190000;220000;250000;300000;350000;400000;450000;500000;600000;700000;800000;900000;1000000;1500000;2000000;3000000;4000000;5000000;6500000;8000000;10000000;12500000;15000000;20000000;25000000;30000000;35000000;40000000;55000000;70000000;80000000;90000000;110000000;130000000;160000000;190000000;220000000;250000000;280000000;310000000;340000000;400000000})</f>
        <v>250000</v>
      </c>
      <c r="J1419" s="7" t="n">
        <f aca="false">I1419*S1419*T1419*U1419</f>
        <v>292500</v>
      </c>
      <c r="K1419" s="3"/>
      <c r="L1419" s="3"/>
      <c r="M1419" s="3"/>
      <c r="N1419" s="9" t="n">
        <v>0</v>
      </c>
      <c r="O1419" s="4" t="n">
        <v>0</v>
      </c>
      <c r="P1419" s="5" t="n">
        <f aca="false">IF(COUNTIF([1]Base_Jugadores!J$2:J$500,B1419)&gt;0,1,0)</f>
        <v>0</v>
      </c>
      <c r="Q1419" s="10" t="b">
        <f aca="false">--(COUNTIFS(
   [1]Fichajes_Realizados!A$2:A$5000,A1419,
   [1]Fichajes_Realizados!G$2:G$5000,$X$3
)&gt;0)</f>
        <v>0</v>
      </c>
      <c r="R1419" s="5" t="n">
        <f aca="false">_xlfn.XLOOKUP(C1419, [1]Estado_Equipos!A$2:A$500, [1]Estado_Equipos!J$2:J$500, "")</f>
        <v>77</v>
      </c>
      <c r="S1419" s="5" t="n">
        <f aca="false">IF(H1419&lt;=16,1.45,
IF(H1419&gt;=41,0.3,
CHOOSE(ROUNDDOWN((H1419-16)/2,0)+1,
1.45,1.38,1.3,1.23,1.17,1.15,1.12,1.05,0.95,0.8,0.6,0.4,0.3)))</f>
        <v>1.3</v>
      </c>
      <c r="T1419" s="5" t="n">
        <f aca="false">CHOOSE(N1419+1,1.2,1,0.85,0.7)</f>
        <v>1.2</v>
      </c>
      <c r="U1419" s="5" t="n">
        <f aca="false">IF(F1419="PO",0.6,
IF(F1419="CT",0.75,
IF(F1419="LI",0.8,
IF(F1419="LD",0.8,
IF(F1419="MCD",0.85,
IF(F1419="MC",0.95,
IF(F1419="MO",1.05,
IF(F1419="EI",1.1,
IF(F1419="ED",1.1,
IF(F1419="SD",1.15,
IF(F1419="DC",1.2,0)))))))))))</f>
        <v>0.75</v>
      </c>
    </row>
    <row r="1420" customFormat="false" ht="16.4" hidden="false" customHeight="false" outlineLevel="0" collapsed="false">
      <c r="A1420" s="1" t="n">
        <v>1419</v>
      </c>
      <c r="B1420" s="5" t="str">
        <f aca="false">[1]Base_Jugadores!B1420</f>
        <v>Juan Jesus</v>
      </c>
      <c r="C1420" s="5" t="str">
        <f aca="false">IFERROR(
   _xlfn.XLOOKUP(VALUE(A1420),[1]Fichajes_Realizados!A$2:A$50000,[1]Fichajes_Realizados!D$2:D$50000,,0,-1),
   _xlfn.XLOOKUP(VALUE(A1420),[1]Base_Jugadores!A$2:A$50000,[1]Base_Jugadores!C$2:C$50000)
)</f>
        <v>SSC Nápoles</v>
      </c>
      <c r="D1420" s="5" t="str">
        <f aca="false">[1]Base_Jugadores!D1420</f>
        <v>Brasil</v>
      </c>
      <c r="E1420" s="3"/>
      <c r="F1420" s="5" t="str">
        <f aca="false">[1]Base_Jugadores!E1420</f>
        <v>CT</v>
      </c>
      <c r="G1420" s="5" t="n">
        <f aca="false">[1]Base_Jugadores!F1420</f>
        <v>75</v>
      </c>
      <c r="H1420" s="5" t="n">
        <f aca="false">[1]Base_Jugadores!G1420</f>
        <v>34</v>
      </c>
      <c r="I1420" s="7" t="n">
        <f aca="false" t="array" ref="I1420:I1420">_xlfn.XLOOKUP(G1420,{55;56;57;58;59;60;61;62;63;64;65;66;67;68;69;70;71;72;73;74;75;76;77;78;79;80;81;82;83;84;85;86;87;88;89;90;91;92;93;94;95;96;97;98;99},{100000;130000;160000;190000;220000;250000;300000;350000;400000;450000;500000;600000;700000;800000;900000;1000000;1500000;2000000;3000000;4000000;5000000;6500000;8000000;10000000;12500000;15000000;20000000;25000000;30000000;35000000;40000000;55000000;70000000;80000000;90000000;110000000;130000000;160000000;190000000;220000000;250000000;280000000;310000000;340000000;400000000})</f>
        <v>5000000</v>
      </c>
      <c r="J1420" s="7" t="n">
        <f aca="false">I1420*S1420*T1420*U1420</f>
        <v>3600000</v>
      </c>
      <c r="K1420" s="3"/>
      <c r="L1420" s="3"/>
      <c r="M1420" s="3"/>
      <c r="N1420" s="9" t="n">
        <v>0</v>
      </c>
      <c r="O1420" s="4" t="n">
        <v>0</v>
      </c>
      <c r="P1420" s="5" t="n">
        <f aca="false">IF(COUNTIF([1]Base_Jugadores!J$2:J$500,B1420)&gt;0,1,0)</f>
        <v>0</v>
      </c>
      <c r="Q1420" s="10" t="b">
        <f aca="false">--(COUNTIFS(
   [1]Fichajes_Realizados!A$2:A$5000,A1420,
   [1]Fichajes_Realizados!G$2:G$5000,$X$3
)&gt;0)</f>
        <v>0</v>
      </c>
      <c r="R1420" s="5" t="n">
        <f aca="false">_xlfn.XLOOKUP(C1420, [1]Estado_Equipos!A$2:A$500, [1]Estado_Equipos!J$2:J$500, "")</f>
        <v>77</v>
      </c>
      <c r="S1420" s="5" t="n">
        <f aca="false">IF(H1420&lt;=16,1.45,
IF(H1420&gt;=41,0.3,
CHOOSE(ROUNDDOWN((H1420-16)/2,0)+1,
1.45,1.38,1.3,1.23,1.17,1.15,1.12,1.05,0.95,0.8,0.6,0.4,0.3)))</f>
        <v>0.8</v>
      </c>
      <c r="T1420" s="5" t="n">
        <f aca="false">CHOOSE(N1420+1,1.2,1,0.85,0.7)</f>
        <v>1.2</v>
      </c>
      <c r="U1420" s="5" t="n">
        <f aca="false">IF(F1420="PO",0.6,
IF(F1420="CT",0.75,
IF(F1420="LI",0.8,
IF(F1420="LD",0.8,
IF(F1420="MCD",0.85,
IF(F1420="MC",0.95,
IF(F1420="MO",1.05,
IF(F1420="EI",1.1,
IF(F1420="ED",1.1,
IF(F1420="SD",1.15,
IF(F1420="DC",1.2,0)))))))))))</f>
        <v>0.75</v>
      </c>
    </row>
    <row r="1421" customFormat="false" ht="16.4" hidden="false" customHeight="false" outlineLevel="0" collapsed="false">
      <c r="A1421" s="1" t="n">
        <v>1420</v>
      </c>
      <c r="B1421" s="5" t="str">
        <f aca="false">[1]Base_Jugadores!B1421</f>
        <v>Miguel Gutiérrez</v>
      </c>
      <c r="C1421" s="5" t="str">
        <f aca="false">IFERROR(
   _xlfn.XLOOKUP(VALUE(A1421),[1]Fichajes_Realizados!A$2:A$50000,[1]Fichajes_Realizados!D$2:D$50000,,0,-1),
   _xlfn.XLOOKUP(VALUE(A1421),[1]Base_Jugadores!A$2:A$50000,[1]Base_Jugadores!C$2:C$50000)
)</f>
        <v>SSC Nápoles</v>
      </c>
      <c r="D1421" s="5" t="str">
        <f aca="false">[1]Base_Jugadores!D1421</f>
        <v>España</v>
      </c>
      <c r="E1421" s="3"/>
      <c r="F1421" s="5" t="str">
        <f aca="false">[1]Base_Jugadores!E1421</f>
        <v>LI</v>
      </c>
      <c r="G1421" s="5" t="n">
        <f aca="false">[1]Base_Jugadores!F1421</f>
        <v>80</v>
      </c>
      <c r="H1421" s="5" t="n">
        <f aca="false">[1]Base_Jugadores!G1421</f>
        <v>24</v>
      </c>
      <c r="I1421" s="7" t="n">
        <f aca="false" t="array" ref="I1421:I1421">_xlfn.XLOOKUP(G1421,{55;56;57;58;59;60;61;62;63;64;65;66;67;68;69;70;71;72;73;74;75;76;77;78;79;80;81;82;83;84;85;86;87;88;89;90;91;92;93;94;95;96;97;98;99},{100000;130000;160000;190000;220000;250000;300000;350000;400000;450000;500000;600000;700000;800000;900000;1000000;1500000;2000000;3000000;4000000;5000000;6500000;8000000;10000000;12500000;15000000;20000000;25000000;30000000;35000000;40000000;55000000;70000000;80000000;90000000;110000000;130000000;160000000;190000000;220000000;250000000;280000000;310000000;340000000;400000000})</f>
        <v>15000000</v>
      </c>
      <c r="J1421" s="7" t="n">
        <f aca="false">I1421*S1421*T1421*U1421</f>
        <v>16848000</v>
      </c>
      <c r="K1421" s="3"/>
      <c r="L1421" s="3"/>
      <c r="M1421" s="3"/>
      <c r="N1421" s="9" t="n">
        <v>0</v>
      </c>
      <c r="O1421" s="4" t="n">
        <v>0</v>
      </c>
      <c r="P1421" s="5" t="n">
        <f aca="false">IF(COUNTIF([1]Base_Jugadores!J$2:J$500,B1421)&gt;0,1,0)</f>
        <v>0</v>
      </c>
      <c r="Q1421" s="10" t="b">
        <f aca="false">--(COUNTIFS(
   [1]Fichajes_Realizados!A$2:A$5000,A1421,
   [1]Fichajes_Realizados!G$2:G$5000,$X$3
)&gt;0)</f>
        <v>0</v>
      </c>
      <c r="R1421" s="5" t="n">
        <f aca="false">_xlfn.XLOOKUP(C1421, [1]Estado_Equipos!A$2:A$500, [1]Estado_Equipos!J$2:J$500, "")</f>
        <v>77</v>
      </c>
      <c r="S1421" s="5" t="n">
        <f aca="false">IF(H1421&lt;=16,1.45,
IF(H1421&gt;=41,0.3,
CHOOSE(ROUNDDOWN((H1421-16)/2,0)+1,
1.45,1.38,1.3,1.23,1.17,1.15,1.12,1.05,0.95,0.8,0.6,0.4,0.3)))</f>
        <v>1.17</v>
      </c>
      <c r="T1421" s="5" t="n">
        <f aca="false">CHOOSE(N1421+1,1.2,1,0.85,0.7)</f>
        <v>1.2</v>
      </c>
      <c r="U1421" s="5" t="n">
        <f aca="false">IF(F1421="PO",0.6,
IF(F1421="CT",0.75,
IF(F1421="LI",0.8,
IF(F1421="LD",0.8,
IF(F1421="MCD",0.85,
IF(F1421="MC",0.95,
IF(F1421="MO",1.05,
IF(F1421="EI",1.1,
IF(F1421="ED",1.1,
IF(F1421="SD",1.15,
IF(F1421="DC",1.2,0)))))))))))</f>
        <v>0.8</v>
      </c>
    </row>
    <row r="1422" customFormat="false" ht="16.4" hidden="false" customHeight="false" outlineLevel="0" collapsed="false">
      <c r="A1422" s="1" t="n">
        <v>1421</v>
      </c>
      <c r="B1422" s="5" t="str">
        <f aca="false">[1]Base_Jugadores!B1422</f>
        <v>Mathías Olivera</v>
      </c>
      <c r="C1422" s="5" t="str">
        <f aca="false">IFERROR(
   _xlfn.XLOOKUP(VALUE(A1422),[1]Fichajes_Realizados!A$2:A$50000,[1]Fichajes_Realizados!D$2:D$50000,,0,-1),
   _xlfn.XLOOKUP(VALUE(A1422),[1]Base_Jugadores!A$2:A$50000,[1]Base_Jugadores!C$2:C$50000)
)</f>
        <v>SSC Nápoles</v>
      </c>
      <c r="D1422" s="5" t="str">
        <f aca="false">[1]Base_Jugadores!D1422</f>
        <v>Uruguay</v>
      </c>
      <c r="E1422" s="3"/>
      <c r="F1422" s="5" t="str">
        <f aca="false">[1]Base_Jugadores!E1422</f>
        <v>LI</v>
      </c>
      <c r="G1422" s="5" t="n">
        <f aca="false">[1]Base_Jugadores!F1422</f>
        <v>77</v>
      </c>
      <c r="H1422" s="5" t="n">
        <f aca="false">[1]Base_Jugadores!G1422</f>
        <v>28</v>
      </c>
      <c r="I1422" s="7" t="n">
        <f aca="false" t="array" ref="I1422:I1422">_xlfn.XLOOKUP(G1422,{55;56;57;58;59;60;61;62;63;64;65;66;67;68;69;70;71;72;73;74;75;76;77;78;79;80;81;82;83;84;85;86;87;88;89;90;91;92;93;94;95;96;97;98;99},{100000;130000;160000;190000;220000;250000;300000;350000;400000;450000;500000;600000;700000;800000;900000;1000000;1500000;2000000;3000000;4000000;5000000;6500000;8000000;10000000;12500000;15000000;20000000;25000000;30000000;35000000;40000000;55000000;70000000;80000000;90000000;110000000;130000000;160000000;190000000;220000000;250000000;280000000;310000000;340000000;400000000})</f>
        <v>8000000</v>
      </c>
      <c r="J1422" s="7" t="n">
        <f aca="false">I1422*S1422*T1422*U1422</f>
        <v>8601600</v>
      </c>
      <c r="K1422" s="3"/>
      <c r="L1422" s="3"/>
      <c r="M1422" s="3"/>
      <c r="N1422" s="9" t="n">
        <v>0</v>
      </c>
      <c r="O1422" s="4" t="n">
        <v>0</v>
      </c>
      <c r="P1422" s="5" t="n">
        <f aca="false">IF(COUNTIF([1]Base_Jugadores!J$2:J$500,B1422)&gt;0,1,0)</f>
        <v>0</v>
      </c>
      <c r="Q1422" s="10" t="b">
        <f aca="false">--(COUNTIFS(
   [1]Fichajes_Realizados!A$2:A$5000,A1422,
   [1]Fichajes_Realizados!G$2:G$5000,$X$3
)&gt;0)</f>
        <v>0</v>
      </c>
      <c r="R1422" s="5" t="n">
        <f aca="false">_xlfn.XLOOKUP(C1422, [1]Estado_Equipos!A$2:A$500, [1]Estado_Equipos!J$2:J$500, "")</f>
        <v>77</v>
      </c>
      <c r="S1422" s="5" t="n">
        <f aca="false">IF(H1422&lt;=16,1.45,
IF(H1422&gt;=41,0.3,
CHOOSE(ROUNDDOWN((H1422-16)/2,0)+1,
1.45,1.38,1.3,1.23,1.17,1.15,1.12,1.05,0.95,0.8,0.6,0.4,0.3)))</f>
        <v>1.12</v>
      </c>
      <c r="T1422" s="5" t="n">
        <f aca="false">CHOOSE(N1422+1,1.2,1,0.85,0.7)</f>
        <v>1.2</v>
      </c>
      <c r="U1422" s="5" t="n">
        <f aca="false">IF(F1422="PO",0.6,
IF(F1422="CT",0.75,
IF(F1422="LI",0.8,
IF(F1422="LD",0.8,
IF(F1422="MCD",0.85,
IF(F1422="MC",0.95,
IF(F1422="MO",1.05,
IF(F1422="EI",1.1,
IF(F1422="ED",1.1,
IF(F1422="SD",1.15,
IF(F1422="DC",1.2,0)))))))))))</f>
        <v>0.8</v>
      </c>
    </row>
    <row r="1423" customFormat="false" ht="16.4" hidden="false" customHeight="false" outlineLevel="0" collapsed="false">
      <c r="A1423" s="1" t="n">
        <v>1422</v>
      </c>
      <c r="B1423" s="5" t="str">
        <f aca="false">[1]Base_Jugadores!B1423</f>
        <v>Leonardo Spinazzola</v>
      </c>
      <c r="C1423" s="5" t="str">
        <f aca="false">IFERROR(
   _xlfn.XLOOKUP(VALUE(A1423),[1]Fichajes_Realizados!A$2:A$50000,[1]Fichajes_Realizados!D$2:D$50000,,0,-1),
   _xlfn.XLOOKUP(VALUE(A1423),[1]Base_Jugadores!A$2:A$50000,[1]Base_Jugadores!C$2:C$50000)
)</f>
        <v>SSC Nápoles</v>
      </c>
      <c r="D1423" s="5" t="str">
        <f aca="false">[1]Base_Jugadores!D1423</f>
        <v>Italia</v>
      </c>
      <c r="E1423" s="3"/>
      <c r="F1423" s="5" t="str">
        <f aca="false">[1]Base_Jugadores!E1423</f>
        <v>LI</v>
      </c>
      <c r="G1423" s="5" t="n">
        <f aca="false">[1]Base_Jugadores!F1423</f>
        <v>80</v>
      </c>
      <c r="H1423" s="5" t="n">
        <f aca="false">[1]Base_Jugadores!G1423</f>
        <v>32</v>
      </c>
      <c r="I1423" s="7" t="n">
        <f aca="false" t="array" ref="I1423:I1423">_xlfn.XLOOKUP(G1423,{55;56;57;58;59;60;61;62;63;64;65;66;67;68;69;70;71;72;73;74;75;76;77;78;79;80;81;82;83;84;85;86;87;88;89;90;91;92;93;94;95;96;97;98;99},{100000;130000;160000;190000;220000;250000;300000;350000;400000;450000;500000;600000;700000;800000;900000;1000000;1500000;2000000;3000000;4000000;5000000;6500000;8000000;10000000;12500000;15000000;20000000;25000000;30000000;35000000;40000000;55000000;70000000;80000000;90000000;110000000;130000000;160000000;190000000;220000000;250000000;280000000;310000000;340000000;400000000})</f>
        <v>15000000</v>
      </c>
      <c r="J1423" s="7" t="n">
        <f aca="false">I1423*S1423*T1423*U1423</f>
        <v>13680000</v>
      </c>
      <c r="K1423" s="3"/>
      <c r="L1423" s="3"/>
      <c r="M1423" s="3"/>
      <c r="N1423" s="9" t="n">
        <v>0</v>
      </c>
      <c r="O1423" s="4" t="n">
        <v>0</v>
      </c>
      <c r="P1423" s="5" t="n">
        <f aca="false">IF(COUNTIF([1]Base_Jugadores!J$2:J$500,B1423)&gt;0,1,0)</f>
        <v>0</v>
      </c>
      <c r="Q1423" s="10" t="b">
        <f aca="false">--(COUNTIFS(
   [1]Fichajes_Realizados!A$2:A$5000,A1423,
   [1]Fichajes_Realizados!G$2:G$5000,$X$3
)&gt;0)</f>
        <v>0</v>
      </c>
      <c r="R1423" s="5" t="n">
        <f aca="false">_xlfn.XLOOKUP(C1423, [1]Estado_Equipos!A$2:A$500, [1]Estado_Equipos!J$2:J$500, "")</f>
        <v>77</v>
      </c>
      <c r="S1423" s="5" t="n">
        <f aca="false">IF(H1423&lt;=16,1.45,
IF(H1423&gt;=41,0.3,
CHOOSE(ROUNDDOWN((H1423-16)/2,0)+1,
1.45,1.38,1.3,1.23,1.17,1.15,1.12,1.05,0.95,0.8,0.6,0.4,0.3)))</f>
        <v>0.95</v>
      </c>
      <c r="T1423" s="5" t="n">
        <f aca="false">CHOOSE(N1423+1,1.2,1,0.85,0.7)</f>
        <v>1.2</v>
      </c>
      <c r="U1423" s="5" t="n">
        <f aca="false">IF(F1423="PO",0.6,
IF(F1423="CT",0.75,
IF(F1423="LI",0.8,
IF(F1423="LD",0.8,
IF(F1423="MCD",0.85,
IF(F1423="MC",0.95,
IF(F1423="MO",1.05,
IF(F1423="EI",1.1,
IF(F1423="ED",1.1,
IF(F1423="SD",1.15,
IF(F1423="DC",1.2,0)))))))))))</f>
        <v>0.8</v>
      </c>
    </row>
    <row r="1424" customFormat="false" ht="16.4" hidden="false" customHeight="false" outlineLevel="0" collapsed="false">
      <c r="A1424" s="1" t="n">
        <v>1423</v>
      </c>
      <c r="B1424" s="5" t="str">
        <f aca="false">[1]Base_Jugadores!B1424</f>
        <v>Giovanni Di Lorenzo</v>
      </c>
      <c r="C1424" s="5" t="str">
        <f aca="false">IFERROR(
   _xlfn.XLOOKUP(VALUE(A1424),[1]Fichajes_Realizados!A$2:A$50000,[1]Fichajes_Realizados!D$2:D$50000,,0,-1),
   _xlfn.XLOOKUP(VALUE(A1424),[1]Base_Jugadores!A$2:A$50000,[1]Base_Jugadores!C$2:C$50000)
)</f>
        <v>SSC Nápoles</v>
      </c>
      <c r="D1424" s="5" t="str">
        <f aca="false">[1]Base_Jugadores!D1424</f>
        <v>Italia</v>
      </c>
      <c r="E1424" s="3"/>
      <c r="F1424" s="5" t="str">
        <f aca="false">[1]Base_Jugadores!E1424</f>
        <v>LD</v>
      </c>
      <c r="G1424" s="5" t="n">
        <f aca="false">[1]Base_Jugadores!F1424</f>
        <v>83</v>
      </c>
      <c r="H1424" s="5" t="n">
        <f aca="false">[1]Base_Jugadores!G1424</f>
        <v>32</v>
      </c>
      <c r="I1424" s="7" t="n">
        <f aca="false" t="array" ref="I1424:I1424">_xlfn.XLOOKUP(G1424,{55;56;57;58;59;60;61;62;63;64;65;66;67;68;69;70;71;72;73;74;75;76;77;78;79;80;81;82;83;84;85;86;87;88;89;90;91;92;93;94;95;96;97;98;99},{100000;130000;160000;190000;220000;250000;300000;350000;400000;450000;500000;600000;700000;800000;900000;1000000;1500000;2000000;3000000;4000000;5000000;6500000;8000000;10000000;12500000;15000000;20000000;25000000;30000000;35000000;40000000;55000000;70000000;80000000;90000000;110000000;130000000;160000000;190000000;220000000;250000000;280000000;310000000;340000000;400000000})</f>
        <v>30000000</v>
      </c>
      <c r="J1424" s="7" t="n">
        <f aca="false">I1424*S1424*T1424*U1424</f>
        <v>27360000</v>
      </c>
      <c r="K1424" s="3"/>
      <c r="L1424" s="3"/>
      <c r="M1424" s="3"/>
      <c r="N1424" s="9" t="n">
        <v>0</v>
      </c>
      <c r="O1424" s="4" t="n">
        <v>0</v>
      </c>
      <c r="P1424" s="5" t="n">
        <f aca="false">IF(COUNTIF([1]Base_Jugadores!J$2:J$500,B1424)&gt;0,1,0)</f>
        <v>0</v>
      </c>
      <c r="Q1424" s="10" t="b">
        <f aca="false">--(COUNTIFS(
   [1]Fichajes_Realizados!A$2:A$5000,A1424,
   [1]Fichajes_Realizados!G$2:G$5000,$X$3
)&gt;0)</f>
        <v>0</v>
      </c>
      <c r="R1424" s="5" t="n">
        <f aca="false">_xlfn.XLOOKUP(C1424, [1]Estado_Equipos!A$2:A$500, [1]Estado_Equipos!J$2:J$500, "")</f>
        <v>77</v>
      </c>
      <c r="S1424" s="5" t="n">
        <f aca="false">IF(H1424&lt;=16,1.45,
IF(H1424&gt;=41,0.3,
CHOOSE(ROUNDDOWN((H1424-16)/2,0)+1,
1.45,1.38,1.3,1.23,1.17,1.15,1.12,1.05,0.95,0.8,0.6,0.4,0.3)))</f>
        <v>0.95</v>
      </c>
      <c r="T1424" s="5" t="n">
        <f aca="false">CHOOSE(N1424+1,1.2,1,0.85,0.7)</f>
        <v>1.2</v>
      </c>
      <c r="U1424" s="5" t="n">
        <f aca="false">IF(F1424="PO",0.6,
IF(F1424="CT",0.75,
IF(F1424="LI",0.8,
IF(F1424="LD",0.8,
IF(F1424="MCD",0.85,
IF(F1424="MC",0.95,
IF(F1424="MO",1.05,
IF(F1424="EI",1.1,
IF(F1424="ED",1.1,
IF(F1424="SD",1.15,
IF(F1424="DC",1.2,0)))))))))))</f>
        <v>0.8</v>
      </c>
    </row>
    <row r="1425" customFormat="false" ht="16.4" hidden="false" customHeight="false" outlineLevel="0" collapsed="false">
      <c r="A1425" s="1" t="n">
        <v>1424</v>
      </c>
      <c r="B1425" s="5" t="str">
        <f aca="false">[1]Base_Jugadores!B1425</f>
        <v>Pasquale Mazzocchi</v>
      </c>
      <c r="C1425" s="5" t="str">
        <f aca="false">IFERROR(
   _xlfn.XLOOKUP(VALUE(A1425),[1]Fichajes_Realizados!A$2:A$50000,[1]Fichajes_Realizados!D$2:D$50000,,0,-1),
   _xlfn.XLOOKUP(VALUE(A1425),[1]Base_Jugadores!A$2:A$50000,[1]Base_Jugadores!C$2:C$50000)
)</f>
        <v>SSC Nápoles</v>
      </c>
      <c r="D1425" s="5" t="str">
        <f aca="false">[1]Base_Jugadores!D1425</f>
        <v>Italia</v>
      </c>
      <c r="E1425" s="3"/>
      <c r="F1425" s="5" t="str">
        <f aca="false">[1]Base_Jugadores!E1425</f>
        <v>LD</v>
      </c>
      <c r="G1425" s="5" t="n">
        <f aca="false">[1]Base_Jugadores!F1425</f>
        <v>74</v>
      </c>
      <c r="H1425" s="5" t="n">
        <f aca="false">[1]Base_Jugadores!G1425</f>
        <v>30</v>
      </c>
      <c r="I1425" s="7" t="n">
        <f aca="false" t="array" ref="I1425:I1425">_xlfn.XLOOKUP(G1425,{55;56;57;58;59;60;61;62;63;64;65;66;67;68;69;70;71;72;73;74;75;76;77;78;79;80;81;82;83;84;85;86;87;88;89;90;91;92;93;94;95;96;97;98;99},{100000;130000;160000;190000;220000;250000;300000;350000;400000;450000;500000;600000;700000;800000;900000;1000000;1500000;2000000;3000000;4000000;5000000;6500000;8000000;10000000;12500000;15000000;20000000;25000000;30000000;35000000;40000000;55000000;70000000;80000000;90000000;110000000;130000000;160000000;190000000;220000000;250000000;280000000;310000000;340000000;400000000})</f>
        <v>4000000</v>
      </c>
      <c r="J1425" s="7" t="n">
        <f aca="false">I1425*S1425*T1425*U1425</f>
        <v>4032000</v>
      </c>
      <c r="K1425" s="3"/>
      <c r="L1425" s="3"/>
      <c r="M1425" s="3"/>
      <c r="N1425" s="9" t="n">
        <v>0</v>
      </c>
      <c r="O1425" s="4" t="n">
        <v>0</v>
      </c>
      <c r="P1425" s="5" t="n">
        <f aca="false">IF(COUNTIF([1]Base_Jugadores!J$2:J$500,B1425)&gt;0,1,0)</f>
        <v>0</v>
      </c>
      <c r="Q1425" s="10" t="b">
        <f aca="false">--(COUNTIFS(
   [1]Fichajes_Realizados!A$2:A$5000,A1425,
   [1]Fichajes_Realizados!G$2:G$5000,$X$3
)&gt;0)</f>
        <v>0</v>
      </c>
      <c r="R1425" s="5" t="n">
        <f aca="false">_xlfn.XLOOKUP(C1425, [1]Estado_Equipos!A$2:A$500, [1]Estado_Equipos!J$2:J$500, "")</f>
        <v>77</v>
      </c>
      <c r="S1425" s="5" t="n">
        <f aca="false">IF(H1425&lt;=16,1.45,
IF(H1425&gt;=41,0.3,
CHOOSE(ROUNDDOWN((H1425-16)/2,0)+1,
1.45,1.38,1.3,1.23,1.17,1.15,1.12,1.05,0.95,0.8,0.6,0.4,0.3)))</f>
        <v>1.05</v>
      </c>
      <c r="T1425" s="5" t="n">
        <f aca="false">CHOOSE(N1425+1,1.2,1,0.85,0.7)</f>
        <v>1.2</v>
      </c>
      <c r="U1425" s="5" t="n">
        <f aca="false">IF(F1425="PO",0.6,
IF(F1425="CT",0.75,
IF(F1425="LI",0.8,
IF(F1425="LD",0.8,
IF(F1425="MCD",0.85,
IF(F1425="MC",0.95,
IF(F1425="MO",1.05,
IF(F1425="EI",1.1,
IF(F1425="ED",1.1,
IF(F1425="SD",1.15,
IF(F1425="DC",1.2,0)))))))))))</f>
        <v>0.8</v>
      </c>
    </row>
    <row r="1426" customFormat="false" ht="16.4" hidden="false" customHeight="false" outlineLevel="0" collapsed="false">
      <c r="A1426" s="1" t="n">
        <v>1425</v>
      </c>
      <c r="B1426" s="5" t="str">
        <f aca="false">[1]Base_Jugadores!B1426</f>
        <v>Stanislav Lobotka</v>
      </c>
      <c r="C1426" s="5" t="str">
        <f aca="false">IFERROR(
   _xlfn.XLOOKUP(VALUE(A1426),[1]Fichajes_Realizados!A$2:A$50000,[1]Fichajes_Realizados!D$2:D$50000,,0,-1),
   _xlfn.XLOOKUP(VALUE(A1426),[1]Base_Jugadores!A$2:A$50000,[1]Base_Jugadores!C$2:C$50000)
)</f>
        <v>SSC Nápoles</v>
      </c>
      <c r="D1426" s="5" t="str">
        <f aca="false">[1]Base_Jugadores!D1426</f>
        <v>Eslovaquia</v>
      </c>
      <c r="E1426" s="3"/>
      <c r="F1426" s="5" t="str">
        <f aca="false">[1]Base_Jugadores!E1426</f>
        <v>MCD</v>
      </c>
      <c r="G1426" s="5" t="n">
        <f aca="false">[1]Base_Jugadores!F1426</f>
        <v>82</v>
      </c>
      <c r="H1426" s="5" t="n">
        <f aca="false">[1]Base_Jugadores!G1426</f>
        <v>31</v>
      </c>
      <c r="I1426" s="7" t="n">
        <f aca="false" t="array" ref="I1426:I1426">_xlfn.XLOOKUP(G1426,{55;56;57;58;59;60;61;62;63;64;65;66;67;68;69;70;71;72;73;74;75;76;77;78;79;80;81;82;83;84;85;86;87;88;89;90;91;92;93;94;95;96;97;98;99},{100000;130000;160000;190000;220000;250000;300000;350000;400000;450000;500000;600000;700000;800000;900000;1000000;1500000;2000000;3000000;4000000;5000000;6500000;8000000;10000000;12500000;15000000;20000000;25000000;30000000;35000000;40000000;55000000;70000000;80000000;90000000;110000000;130000000;160000000;190000000;220000000;250000000;280000000;310000000;340000000;400000000})</f>
        <v>25000000</v>
      </c>
      <c r="J1426" s="7" t="n">
        <f aca="false">I1426*S1426*T1426*U1426</f>
        <v>26775000</v>
      </c>
      <c r="K1426" s="3"/>
      <c r="L1426" s="3"/>
      <c r="M1426" s="3"/>
      <c r="N1426" s="9" t="n">
        <v>0</v>
      </c>
      <c r="O1426" s="4" t="n">
        <v>0</v>
      </c>
      <c r="P1426" s="5" t="n">
        <f aca="false">IF(COUNTIF([1]Base_Jugadores!J$2:J$500,B1426)&gt;0,1,0)</f>
        <v>0</v>
      </c>
      <c r="Q1426" s="10" t="b">
        <f aca="false">--(COUNTIFS(
   [1]Fichajes_Realizados!A$2:A$5000,A1426,
   [1]Fichajes_Realizados!G$2:G$5000,$X$3
)&gt;0)</f>
        <v>0</v>
      </c>
      <c r="R1426" s="5" t="n">
        <f aca="false">_xlfn.XLOOKUP(C1426, [1]Estado_Equipos!A$2:A$500, [1]Estado_Equipos!J$2:J$500, "")</f>
        <v>77</v>
      </c>
      <c r="S1426" s="5" t="n">
        <f aca="false">IF(H1426&lt;=16,1.45,
IF(H1426&gt;=41,0.3,
CHOOSE(ROUNDDOWN((H1426-16)/2,0)+1,
1.45,1.38,1.3,1.23,1.17,1.15,1.12,1.05,0.95,0.8,0.6,0.4,0.3)))</f>
        <v>1.05</v>
      </c>
      <c r="T1426" s="5" t="n">
        <f aca="false">CHOOSE(N1426+1,1.2,1,0.85,0.7)</f>
        <v>1.2</v>
      </c>
      <c r="U1426" s="5" t="n">
        <f aca="false">IF(F1426="PO",0.6,
IF(F1426="CT",0.75,
IF(F1426="LI",0.8,
IF(F1426="LD",0.8,
IF(F1426="MCD",0.85,
IF(F1426="MC",0.95,
IF(F1426="MO",1.05,
IF(F1426="EI",1.1,
IF(F1426="ED",1.1,
IF(F1426="SD",1.15,
IF(F1426="DC",1.2,0)))))))))))</f>
        <v>0.85</v>
      </c>
    </row>
    <row r="1427" customFormat="false" ht="16.4" hidden="false" customHeight="false" outlineLevel="0" collapsed="false">
      <c r="A1427" s="1" t="n">
        <v>1426</v>
      </c>
      <c r="B1427" s="5" t="str">
        <f aca="false">[1]Base_Jugadores!B1427</f>
        <v>Billy Gilmour</v>
      </c>
      <c r="C1427" s="5" t="str">
        <f aca="false">IFERROR(
   _xlfn.XLOOKUP(VALUE(A1427),[1]Fichajes_Realizados!A$2:A$50000,[1]Fichajes_Realizados!D$2:D$50000,,0,-1),
   _xlfn.XLOOKUP(VALUE(A1427),[1]Base_Jugadores!A$2:A$50000,[1]Base_Jugadores!C$2:C$50000)
)</f>
        <v>SSC Nápoles</v>
      </c>
      <c r="D1427" s="5" t="str">
        <f aca="false">[1]Base_Jugadores!D1427</f>
        <v>Escocia</v>
      </c>
      <c r="E1427" s="3"/>
      <c r="F1427" s="5" t="str">
        <f aca="false">[1]Base_Jugadores!E1427</f>
        <v>MCD</v>
      </c>
      <c r="G1427" s="5" t="n">
        <f aca="false">[1]Base_Jugadores!F1427</f>
        <v>75</v>
      </c>
      <c r="H1427" s="5" t="n">
        <f aca="false">[1]Base_Jugadores!G1427</f>
        <v>24</v>
      </c>
      <c r="I1427" s="7" t="n">
        <f aca="false" t="array" ref="I1427:I1427">_xlfn.XLOOKUP(G1427,{55;56;57;58;59;60;61;62;63;64;65;66;67;68;69;70;71;72;73;74;75;76;77;78;79;80;81;82;83;84;85;86;87;88;89;90;91;92;93;94;95;96;97;98;99},{100000;130000;160000;190000;220000;250000;300000;350000;400000;450000;500000;600000;700000;800000;900000;1000000;1500000;2000000;3000000;4000000;5000000;6500000;8000000;10000000;12500000;15000000;20000000;25000000;30000000;35000000;40000000;55000000;70000000;80000000;90000000;110000000;130000000;160000000;190000000;220000000;250000000;280000000;310000000;340000000;400000000})</f>
        <v>5000000</v>
      </c>
      <c r="J1427" s="7" t="n">
        <f aca="false">I1427*S1427*T1427*U1427</f>
        <v>5967000</v>
      </c>
      <c r="K1427" s="3"/>
      <c r="L1427" s="3"/>
      <c r="M1427" s="3"/>
      <c r="N1427" s="9" t="n">
        <v>0</v>
      </c>
      <c r="O1427" s="4" t="n">
        <v>0</v>
      </c>
      <c r="P1427" s="5" t="n">
        <f aca="false">IF(COUNTIF([1]Base_Jugadores!J$2:J$500,B1427)&gt;0,1,0)</f>
        <v>0</v>
      </c>
      <c r="Q1427" s="10" t="b">
        <f aca="false">--(COUNTIFS(
   [1]Fichajes_Realizados!A$2:A$5000,A1427,
   [1]Fichajes_Realizados!G$2:G$5000,$X$3
)&gt;0)</f>
        <v>0</v>
      </c>
      <c r="R1427" s="5" t="n">
        <f aca="false">_xlfn.XLOOKUP(C1427, [1]Estado_Equipos!A$2:A$500, [1]Estado_Equipos!J$2:J$500, "")</f>
        <v>77</v>
      </c>
      <c r="S1427" s="5" t="n">
        <f aca="false">IF(H1427&lt;=16,1.45,
IF(H1427&gt;=41,0.3,
CHOOSE(ROUNDDOWN((H1427-16)/2,0)+1,
1.45,1.38,1.3,1.23,1.17,1.15,1.12,1.05,0.95,0.8,0.6,0.4,0.3)))</f>
        <v>1.17</v>
      </c>
      <c r="T1427" s="5" t="n">
        <f aca="false">CHOOSE(N1427+1,1.2,1,0.85,0.7)</f>
        <v>1.2</v>
      </c>
      <c r="U1427" s="5" t="n">
        <f aca="false">IF(F1427="PO",0.6,
IF(F1427="CT",0.75,
IF(F1427="LI",0.8,
IF(F1427="LD",0.8,
IF(F1427="MCD",0.85,
IF(F1427="MC",0.95,
IF(F1427="MO",1.05,
IF(F1427="EI",1.1,
IF(F1427="ED",1.1,
IF(F1427="SD",1.15,
IF(F1427="DC",1.2,0)))))))))))</f>
        <v>0.85</v>
      </c>
    </row>
    <row r="1428" customFormat="false" ht="16.4" hidden="false" customHeight="false" outlineLevel="0" collapsed="false">
      <c r="A1428" s="1" t="n">
        <v>1427</v>
      </c>
      <c r="B1428" s="5" t="str">
        <f aca="false">[1]Base_Jugadores!B1428</f>
        <v>Scott McTominay</v>
      </c>
      <c r="C1428" s="5" t="str">
        <f aca="false">IFERROR(
   _xlfn.XLOOKUP(VALUE(A1428),[1]Fichajes_Realizados!A$2:A$50000,[1]Fichajes_Realizados!D$2:D$50000,,0,-1),
   _xlfn.XLOOKUP(VALUE(A1428),[1]Base_Jugadores!A$2:A$50000,[1]Base_Jugadores!C$2:C$50000)
)</f>
        <v>SSC Nápoles</v>
      </c>
      <c r="D1428" s="5" t="str">
        <f aca="false">[1]Base_Jugadores!D1428</f>
        <v>Escocia</v>
      </c>
      <c r="E1428" s="3"/>
      <c r="F1428" s="5" t="str">
        <f aca="false">[1]Base_Jugadores!E1428</f>
        <v>MC</v>
      </c>
      <c r="G1428" s="5" t="n">
        <f aca="false">[1]Base_Jugadores!F1428</f>
        <v>77</v>
      </c>
      <c r="H1428" s="5" t="n">
        <f aca="false">[1]Base_Jugadores!G1428</f>
        <v>29</v>
      </c>
      <c r="I1428" s="7" t="n">
        <f aca="false" t="array" ref="I1428:I1428">_xlfn.XLOOKUP(G1428,{55;56;57;58;59;60;61;62;63;64;65;66;67;68;69;70;71;72;73;74;75;76;77;78;79;80;81;82;83;84;85;86;87;88;89;90;91;92;93;94;95;96;97;98;99},{100000;130000;160000;190000;220000;250000;300000;350000;400000;450000;500000;600000;700000;800000;900000;1000000;1500000;2000000;3000000;4000000;5000000;6500000;8000000;10000000;12500000;15000000;20000000;25000000;30000000;35000000;40000000;55000000;70000000;80000000;90000000;110000000;130000000;160000000;190000000;220000000;250000000;280000000;310000000;340000000;400000000})</f>
        <v>8000000</v>
      </c>
      <c r="J1428" s="7" t="n">
        <f aca="false">I1428*S1428*T1428*U1428</f>
        <v>10214400</v>
      </c>
      <c r="K1428" s="3"/>
      <c r="L1428" s="3"/>
      <c r="M1428" s="3"/>
      <c r="N1428" s="9" t="n">
        <v>0</v>
      </c>
      <c r="O1428" s="4" t="n">
        <v>0</v>
      </c>
      <c r="P1428" s="5" t="n">
        <f aca="false">IF(COUNTIF([1]Base_Jugadores!J$2:J$500,B1428)&gt;0,1,0)</f>
        <v>0</v>
      </c>
      <c r="Q1428" s="10" t="b">
        <f aca="false">--(COUNTIFS(
   [1]Fichajes_Realizados!A$2:A$5000,A1428,
   [1]Fichajes_Realizados!G$2:G$5000,$X$3
)&gt;0)</f>
        <v>0</v>
      </c>
      <c r="R1428" s="5" t="n">
        <f aca="false">_xlfn.XLOOKUP(C1428, [1]Estado_Equipos!A$2:A$500, [1]Estado_Equipos!J$2:J$500, "")</f>
        <v>77</v>
      </c>
      <c r="S1428" s="5" t="n">
        <f aca="false">IF(H1428&lt;=16,1.45,
IF(H1428&gt;=41,0.3,
CHOOSE(ROUNDDOWN((H1428-16)/2,0)+1,
1.45,1.38,1.3,1.23,1.17,1.15,1.12,1.05,0.95,0.8,0.6,0.4,0.3)))</f>
        <v>1.12</v>
      </c>
      <c r="T1428" s="5" t="n">
        <f aca="false">CHOOSE(N1428+1,1.2,1,0.85,0.7)</f>
        <v>1.2</v>
      </c>
      <c r="U1428" s="5" t="n">
        <f aca="false">IF(F1428="PO",0.6,
IF(F1428="CT",0.75,
IF(F1428="LI",0.8,
IF(F1428="LD",0.8,
IF(F1428="MCD",0.85,
IF(F1428="MC",0.95,
IF(F1428="MO",1.05,
IF(F1428="EI",1.1,
IF(F1428="ED",1.1,
IF(F1428="SD",1.15,
IF(F1428="DC",1.2,0)))))))))))</f>
        <v>0.95</v>
      </c>
    </row>
    <row r="1429" customFormat="false" ht="16.4" hidden="false" customHeight="false" outlineLevel="0" collapsed="false">
      <c r="A1429" s="1" t="n">
        <v>1428</v>
      </c>
      <c r="B1429" s="5" t="str">
        <f aca="false">[1]Base_Jugadores!B1429</f>
        <v>Frank Anguissa</v>
      </c>
      <c r="C1429" s="5" t="str">
        <f aca="false">IFERROR(
   _xlfn.XLOOKUP(VALUE(A1429),[1]Fichajes_Realizados!A$2:A$50000,[1]Fichajes_Realizados!D$2:D$50000,,0,-1),
   _xlfn.XLOOKUP(VALUE(A1429),[1]Base_Jugadores!A$2:A$50000,[1]Base_Jugadores!C$2:C$50000)
)</f>
        <v>SSC Nápoles</v>
      </c>
      <c r="D1429" s="5" t="str">
        <f aca="false">[1]Base_Jugadores!D1429</f>
        <v>Camerún</v>
      </c>
      <c r="E1429" s="3"/>
      <c r="F1429" s="5" t="str">
        <f aca="false">[1]Base_Jugadores!E1429</f>
        <v>MC</v>
      </c>
      <c r="G1429" s="5" t="n">
        <f aca="false">[1]Base_Jugadores!F1429</f>
        <v>78</v>
      </c>
      <c r="H1429" s="5" t="n">
        <f aca="false">[1]Base_Jugadores!G1429</f>
        <v>30</v>
      </c>
      <c r="I1429" s="7" t="n">
        <f aca="false" t="array" ref="I1429:I1429">_xlfn.XLOOKUP(G1429,{55;56;57;58;59;60;61;62;63;64;65;66;67;68;69;70;71;72;73;74;75;76;77;78;79;80;81;82;83;84;85;86;87;88;89;90;91;92;93;94;95;96;97;98;99},{100000;130000;160000;190000;220000;250000;300000;350000;400000;450000;500000;600000;700000;800000;900000;1000000;1500000;2000000;3000000;4000000;5000000;6500000;8000000;10000000;12500000;15000000;20000000;25000000;30000000;35000000;40000000;55000000;70000000;80000000;90000000;110000000;130000000;160000000;190000000;220000000;250000000;280000000;310000000;340000000;400000000})</f>
        <v>10000000</v>
      </c>
      <c r="J1429" s="7" t="n">
        <f aca="false">I1429*S1429*T1429*U1429</f>
        <v>11970000</v>
      </c>
      <c r="K1429" s="3"/>
      <c r="L1429" s="3"/>
      <c r="M1429" s="3"/>
      <c r="N1429" s="9" t="n">
        <v>0</v>
      </c>
      <c r="O1429" s="4" t="n">
        <v>0</v>
      </c>
      <c r="P1429" s="5" t="n">
        <f aca="false">IF(COUNTIF([1]Base_Jugadores!J$2:J$500,B1429)&gt;0,1,0)</f>
        <v>0</v>
      </c>
      <c r="Q1429" s="10" t="b">
        <f aca="false">--(COUNTIFS(
   [1]Fichajes_Realizados!A$2:A$5000,A1429,
   [1]Fichajes_Realizados!G$2:G$5000,$X$3
)&gt;0)</f>
        <v>0</v>
      </c>
      <c r="R1429" s="5" t="n">
        <f aca="false">_xlfn.XLOOKUP(C1429, [1]Estado_Equipos!A$2:A$500, [1]Estado_Equipos!J$2:J$500, "")</f>
        <v>77</v>
      </c>
      <c r="S1429" s="5" t="n">
        <f aca="false">IF(H1429&lt;=16,1.45,
IF(H1429&gt;=41,0.3,
CHOOSE(ROUNDDOWN((H1429-16)/2,0)+1,
1.45,1.38,1.3,1.23,1.17,1.15,1.12,1.05,0.95,0.8,0.6,0.4,0.3)))</f>
        <v>1.05</v>
      </c>
      <c r="T1429" s="5" t="n">
        <f aca="false">CHOOSE(N1429+1,1.2,1,0.85,0.7)</f>
        <v>1.2</v>
      </c>
      <c r="U1429" s="5" t="n">
        <f aca="false">IF(F1429="PO",0.6,
IF(F1429="CT",0.75,
IF(F1429="LI",0.8,
IF(F1429="LD",0.8,
IF(F1429="MCD",0.85,
IF(F1429="MC",0.95,
IF(F1429="MO",1.05,
IF(F1429="EI",1.1,
IF(F1429="ED",1.1,
IF(F1429="SD",1.15,
IF(F1429="DC",1.2,0)))))))))))</f>
        <v>0.95</v>
      </c>
    </row>
    <row r="1430" customFormat="false" ht="16.4" hidden="false" customHeight="false" outlineLevel="0" collapsed="false">
      <c r="A1430" s="1" t="n">
        <v>1429</v>
      </c>
      <c r="B1430" s="5" t="str">
        <f aca="false">[1]Base_Jugadores!B1430</f>
        <v>Kevin De Bruyne</v>
      </c>
      <c r="C1430" s="5" t="str">
        <f aca="false">IFERROR(
   _xlfn.XLOOKUP(VALUE(A1430),[1]Fichajes_Realizados!A$2:A$50000,[1]Fichajes_Realizados!D$2:D$50000,,0,-1),
   _xlfn.XLOOKUP(VALUE(A1430),[1]Base_Jugadores!A$2:A$50000,[1]Base_Jugadores!C$2:C$50000)
)</f>
        <v>SSC Nápoles</v>
      </c>
      <c r="D1430" s="5" t="str">
        <f aca="false">[1]Base_Jugadores!D1430</f>
        <v>Bélgica</v>
      </c>
      <c r="E1430" s="3"/>
      <c r="F1430" s="5" t="str">
        <f aca="false">[1]Base_Jugadores!E1430</f>
        <v>MO</v>
      </c>
      <c r="G1430" s="5" t="n">
        <f aca="false">[1]Base_Jugadores!F1430</f>
        <v>88</v>
      </c>
      <c r="H1430" s="5" t="n">
        <f aca="false">[1]Base_Jugadores!G1430</f>
        <v>34</v>
      </c>
      <c r="I1430" s="7" t="n">
        <f aca="false" t="array" ref="I1430:I1430">_xlfn.XLOOKUP(G1430,{55;56;57;58;59;60;61;62;63;64;65;66;67;68;69;70;71;72;73;74;75;76;77;78;79;80;81;82;83;84;85;86;87;88;89;90;91;92;93;94;95;96;97;98;99},{100000;130000;160000;190000;220000;250000;300000;350000;400000;450000;500000;600000;700000;800000;900000;1000000;1500000;2000000;3000000;4000000;5000000;6500000;8000000;10000000;12500000;15000000;20000000;25000000;30000000;35000000;40000000;55000000;70000000;80000000;90000000;110000000;130000000;160000000;190000000;220000000;250000000;280000000;310000000;340000000;400000000})</f>
        <v>80000000</v>
      </c>
      <c r="J1430" s="7" t="n">
        <f aca="false">I1430*S1430*T1430*U1430</f>
        <v>80640000</v>
      </c>
      <c r="K1430" s="3"/>
      <c r="L1430" s="3"/>
      <c r="M1430" s="3"/>
      <c r="N1430" s="9" t="n">
        <v>0</v>
      </c>
      <c r="O1430" s="4" t="n">
        <v>0</v>
      </c>
      <c r="P1430" s="5" t="n">
        <f aca="false">IF(COUNTIF([1]Base_Jugadores!J$2:J$500,B1430)&gt;0,1,0)</f>
        <v>0</v>
      </c>
      <c r="Q1430" s="10" t="b">
        <f aca="false">--(COUNTIFS(
   [1]Fichajes_Realizados!A$2:A$5000,A1430,
   [1]Fichajes_Realizados!G$2:G$5000,$X$3
)&gt;0)</f>
        <v>0</v>
      </c>
      <c r="R1430" s="5" t="n">
        <f aca="false">_xlfn.XLOOKUP(C1430, [1]Estado_Equipos!A$2:A$500, [1]Estado_Equipos!J$2:J$500, "")</f>
        <v>77</v>
      </c>
      <c r="S1430" s="5" t="n">
        <f aca="false">IF(H1430&lt;=16,1.45,
IF(H1430&gt;=41,0.3,
CHOOSE(ROUNDDOWN((H1430-16)/2,0)+1,
1.45,1.38,1.3,1.23,1.17,1.15,1.12,1.05,0.95,0.8,0.6,0.4,0.3)))</f>
        <v>0.8</v>
      </c>
      <c r="T1430" s="5" t="n">
        <f aca="false">CHOOSE(N1430+1,1.2,1,0.85,0.7)</f>
        <v>1.2</v>
      </c>
      <c r="U1430" s="5" t="n">
        <f aca="false">IF(F1430="PO",0.6,
IF(F1430="CT",0.75,
IF(F1430="LI",0.8,
IF(F1430="LD",0.8,
IF(F1430="MCD",0.85,
IF(F1430="MC",0.95,
IF(F1430="MO",1.05,
IF(F1430="EI",1.1,
IF(F1430="ED",1.1,
IF(F1430="SD",1.15,
IF(F1430="DC",1.2,0)))))))))))</f>
        <v>1.05</v>
      </c>
    </row>
    <row r="1431" customFormat="false" ht="16.4" hidden="false" customHeight="false" outlineLevel="0" collapsed="false">
      <c r="A1431" s="1" t="n">
        <v>1430</v>
      </c>
      <c r="B1431" s="5" t="str">
        <f aca="false">[1]Base_Jugadores!B1431</f>
        <v>Eljif Elmas</v>
      </c>
      <c r="C1431" s="5" t="str">
        <f aca="false">IFERROR(
   _xlfn.XLOOKUP(VALUE(A1431),[1]Fichajes_Realizados!A$2:A$50000,[1]Fichajes_Realizados!D$2:D$50000,,0,-1),
   _xlfn.XLOOKUP(VALUE(A1431),[1]Base_Jugadores!A$2:A$50000,[1]Base_Jugadores!C$2:C$50000)
)</f>
        <v>SSC Nápoles</v>
      </c>
      <c r="D1431" s="5" t="str">
        <f aca="false">[1]Base_Jugadores!D1431</f>
        <v>Macedonia del Norte</v>
      </c>
      <c r="E1431" s="3"/>
      <c r="F1431" s="5" t="str">
        <f aca="false">[1]Base_Jugadores!E1431</f>
        <v>MO</v>
      </c>
      <c r="G1431" s="5" t="n">
        <f aca="false">[1]Base_Jugadores!F1431</f>
        <v>78</v>
      </c>
      <c r="H1431" s="5" t="n">
        <f aca="false">[1]Base_Jugadores!G1431</f>
        <v>26</v>
      </c>
      <c r="I1431" s="7" t="n">
        <f aca="false" t="array" ref="I1431:I1431">_xlfn.XLOOKUP(G1431,{55;56;57;58;59;60;61;62;63;64;65;66;67;68;69;70;71;72;73;74;75;76;77;78;79;80;81;82;83;84;85;86;87;88;89;90;91;92;93;94;95;96;97;98;99},{100000;130000;160000;190000;220000;250000;300000;350000;400000;450000;500000;600000;700000;800000;900000;1000000;1500000;2000000;3000000;4000000;5000000;6500000;8000000;10000000;12500000;15000000;20000000;25000000;30000000;35000000;40000000;55000000;70000000;80000000;90000000;110000000;130000000;160000000;190000000;220000000;250000000;280000000;310000000;340000000;400000000})</f>
        <v>10000000</v>
      </c>
      <c r="J1431" s="7" t="n">
        <f aca="false">I1431*S1431*T1431*U1431</f>
        <v>14490000</v>
      </c>
      <c r="K1431" s="3"/>
      <c r="L1431" s="3"/>
      <c r="M1431" s="3"/>
      <c r="N1431" s="9" t="n">
        <v>0</v>
      </c>
      <c r="O1431" s="4" t="n">
        <v>0</v>
      </c>
      <c r="P1431" s="5" t="n">
        <f aca="false">IF(COUNTIF([1]Base_Jugadores!J$2:J$500,B1431)&gt;0,1,0)</f>
        <v>0</v>
      </c>
      <c r="Q1431" s="10" t="b">
        <f aca="false">--(COUNTIFS(
   [1]Fichajes_Realizados!A$2:A$5000,A1431,
   [1]Fichajes_Realizados!G$2:G$5000,$X$3
)&gt;0)</f>
        <v>0</v>
      </c>
      <c r="R1431" s="5" t="n">
        <f aca="false">_xlfn.XLOOKUP(C1431, [1]Estado_Equipos!A$2:A$500, [1]Estado_Equipos!J$2:J$500, "")</f>
        <v>77</v>
      </c>
      <c r="S1431" s="5" t="n">
        <f aca="false">IF(H1431&lt;=16,1.45,
IF(H1431&gt;=41,0.3,
CHOOSE(ROUNDDOWN((H1431-16)/2,0)+1,
1.45,1.38,1.3,1.23,1.17,1.15,1.12,1.05,0.95,0.8,0.6,0.4,0.3)))</f>
        <v>1.15</v>
      </c>
      <c r="T1431" s="5" t="n">
        <f aca="false">CHOOSE(N1431+1,1.2,1,0.85,0.7)</f>
        <v>1.2</v>
      </c>
      <c r="U1431" s="5" t="n">
        <f aca="false">IF(F1431="PO",0.6,
IF(F1431="CT",0.75,
IF(F1431="LI",0.8,
IF(F1431="LD",0.8,
IF(F1431="MCD",0.85,
IF(F1431="MC",0.95,
IF(F1431="MO",1.05,
IF(F1431="EI",1.1,
IF(F1431="ED",1.1,
IF(F1431="SD",1.15,
IF(F1431="DC",1.2,0)))))))))))</f>
        <v>1.05</v>
      </c>
    </row>
    <row r="1432" customFormat="false" ht="16.4" hidden="false" customHeight="false" outlineLevel="0" collapsed="false">
      <c r="A1432" s="1" t="n">
        <v>1431</v>
      </c>
      <c r="B1432" s="5" t="str">
        <f aca="false">[1]Base_Jugadores!B1432</f>
        <v>Antonio Vergara</v>
      </c>
      <c r="C1432" s="5" t="str">
        <f aca="false">IFERROR(
   _xlfn.XLOOKUP(VALUE(A1432),[1]Fichajes_Realizados!A$2:A$50000,[1]Fichajes_Realizados!D$2:D$50000,,0,-1),
   _xlfn.XLOOKUP(VALUE(A1432),[1]Base_Jugadores!A$2:A$50000,[1]Base_Jugadores!C$2:C$50000)
)</f>
        <v>SSC Nápoles</v>
      </c>
      <c r="D1432" s="5" t="str">
        <f aca="false">[1]Base_Jugadores!D1432</f>
        <v>Italia</v>
      </c>
      <c r="E1432" s="3"/>
      <c r="F1432" s="5" t="str">
        <f aca="false">[1]Base_Jugadores!E1432</f>
        <v>MO</v>
      </c>
      <c r="G1432" s="5" t="n">
        <f aca="false">[1]Base_Jugadores!F1432</f>
        <v>64</v>
      </c>
      <c r="H1432" s="5" t="n">
        <f aca="false">[1]Base_Jugadores!G1432</f>
        <v>22</v>
      </c>
      <c r="I1432" s="7" t="n">
        <f aca="false" t="array" ref="I1432:I1432">_xlfn.XLOOKUP(G1432,{55;56;57;58;59;60;61;62;63;64;65;66;67;68;69;70;71;72;73;74;75;76;77;78;79;80;81;82;83;84;85;86;87;88;89;90;91;92;93;94;95;96;97;98;99},{100000;130000;160000;190000;220000;250000;300000;350000;400000;450000;500000;600000;700000;800000;900000;1000000;1500000;2000000;3000000;4000000;5000000;6500000;8000000;10000000;12500000;15000000;20000000;25000000;30000000;35000000;40000000;55000000;70000000;80000000;90000000;110000000;130000000;160000000;190000000;220000000;250000000;280000000;310000000;340000000;400000000})</f>
        <v>450000</v>
      </c>
      <c r="J1432" s="7" t="n">
        <f aca="false">I1432*S1432*T1432*U1432</f>
        <v>697410</v>
      </c>
      <c r="K1432" s="3"/>
      <c r="L1432" s="3"/>
      <c r="M1432" s="3"/>
      <c r="N1432" s="9" t="n">
        <v>0</v>
      </c>
      <c r="O1432" s="4" t="n">
        <v>0</v>
      </c>
      <c r="P1432" s="5" t="n">
        <f aca="false">IF(COUNTIF([1]Base_Jugadores!J$2:J$500,B1432)&gt;0,1,0)</f>
        <v>0</v>
      </c>
      <c r="Q1432" s="10" t="b">
        <f aca="false">--(COUNTIFS(
   [1]Fichajes_Realizados!A$2:A$5000,A1432,
   [1]Fichajes_Realizados!G$2:G$5000,$X$3
)&gt;0)</f>
        <v>0</v>
      </c>
      <c r="R1432" s="5" t="n">
        <f aca="false">_xlfn.XLOOKUP(C1432, [1]Estado_Equipos!A$2:A$500, [1]Estado_Equipos!J$2:J$500, "")</f>
        <v>77</v>
      </c>
      <c r="S1432" s="5" t="n">
        <f aca="false">IF(H1432&lt;=16,1.45,
IF(H1432&gt;=41,0.3,
CHOOSE(ROUNDDOWN((H1432-16)/2,0)+1,
1.45,1.38,1.3,1.23,1.17,1.15,1.12,1.05,0.95,0.8,0.6,0.4,0.3)))</f>
        <v>1.23</v>
      </c>
      <c r="T1432" s="5" t="n">
        <f aca="false">CHOOSE(N1432+1,1.2,1,0.85,0.7)</f>
        <v>1.2</v>
      </c>
      <c r="U1432" s="5" t="n">
        <f aca="false">IF(F1432="PO",0.6,
IF(F1432="CT",0.75,
IF(F1432="LI",0.8,
IF(F1432="LD",0.8,
IF(F1432="MCD",0.85,
IF(F1432="MC",0.95,
IF(F1432="MO",1.05,
IF(F1432="EI",1.1,
IF(F1432="ED",1.1,
IF(F1432="SD",1.15,
IF(F1432="DC",1.2,0)))))))))))</f>
        <v>1.05</v>
      </c>
    </row>
    <row r="1433" customFormat="false" ht="16.4" hidden="false" customHeight="false" outlineLevel="0" collapsed="false">
      <c r="A1433" s="1" t="n">
        <v>1432</v>
      </c>
      <c r="B1433" s="5" t="str">
        <f aca="false">[1]Base_Jugadores!B1433</f>
        <v>Noa Lang</v>
      </c>
      <c r="C1433" s="5" t="str">
        <f aca="false">IFERROR(
   _xlfn.XLOOKUP(VALUE(A1433),[1]Fichajes_Realizados!A$2:A$50000,[1]Fichajes_Realizados!D$2:D$50000,,0,-1),
   _xlfn.XLOOKUP(VALUE(A1433),[1]Base_Jugadores!A$2:A$50000,[1]Base_Jugadores!C$2:C$50000)
)</f>
        <v>SSC Nápoles</v>
      </c>
      <c r="D1433" s="5" t="str">
        <f aca="false">[1]Base_Jugadores!D1433</f>
        <v>Países Bajos</v>
      </c>
      <c r="E1433" s="3"/>
      <c r="F1433" s="5" t="str">
        <f aca="false">[1]Base_Jugadores!E1433</f>
        <v>EI</v>
      </c>
      <c r="G1433" s="5" t="n">
        <f aca="false">[1]Base_Jugadores!F1433</f>
        <v>79</v>
      </c>
      <c r="H1433" s="5" t="n">
        <f aca="false">[1]Base_Jugadores!G1433</f>
        <v>26</v>
      </c>
      <c r="I1433" s="7" t="n">
        <f aca="false" t="array" ref="I1433:I1433">_xlfn.XLOOKUP(G1433,{55;56;57;58;59;60;61;62;63;64;65;66;67;68;69;70;71;72;73;74;75;76;77;78;79;80;81;82;83;84;85;86;87;88;89;90;91;92;93;94;95;96;97;98;99},{100000;130000;160000;190000;220000;250000;300000;350000;400000;450000;500000;600000;700000;800000;900000;1000000;1500000;2000000;3000000;4000000;5000000;6500000;8000000;10000000;12500000;15000000;20000000;25000000;30000000;35000000;40000000;55000000;70000000;80000000;90000000;110000000;130000000;160000000;190000000;220000000;250000000;280000000;310000000;340000000;400000000})</f>
        <v>12500000</v>
      </c>
      <c r="J1433" s="7" t="n">
        <f aca="false">I1433*S1433*T1433*U1433</f>
        <v>18975000</v>
      </c>
      <c r="K1433" s="3"/>
      <c r="L1433" s="3"/>
      <c r="M1433" s="3"/>
      <c r="N1433" s="9" t="n">
        <v>0</v>
      </c>
      <c r="O1433" s="4" t="n">
        <v>0</v>
      </c>
      <c r="P1433" s="5" t="n">
        <f aca="false">IF(COUNTIF([1]Base_Jugadores!J$2:J$500,B1433)&gt;0,1,0)</f>
        <v>0</v>
      </c>
      <c r="Q1433" s="10" t="b">
        <f aca="false">--(COUNTIFS(
   [1]Fichajes_Realizados!A$2:A$5000,A1433,
   [1]Fichajes_Realizados!G$2:G$5000,$X$3
)&gt;0)</f>
        <v>0</v>
      </c>
      <c r="R1433" s="5" t="n">
        <f aca="false">_xlfn.XLOOKUP(C1433, [1]Estado_Equipos!A$2:A$500, [1]Estado_Equipos!J$2:J$500, "")</f>
        <v>77</v>
      </c>
      <c r="S1433" s="5" t="n">
        <f aca="false">IF(H1433&lt;=16,1.45,
IF(H1433&gt;=41,0.3,
CHOOSE(ROUNDDOWN((H1433-16)/2,0)+1,
1.45,1.38,1.3,1.23,1.17,1.15,1.12,1.05,0.95,0.8,0.6,0.4,0.3)))</f>
        <v>1.15</v>
      </c>
      <c r="T1433" s="5" t="n">
        <f aca="false">CHOOSE(N1433+1,1.2,1,0.85,0.7)</f>
        <v>1.2</v>
      </c>
      <c r="U1433" s="5" t="n">
        <f aca="false">IF(F1433="PO",0.6,
IF(F1433="CT",0.75,
IF(F1433="LI",0.8,
IF(F1433="LD",0.8,
IF(F1433="MCD",0.85,
IF(F1433="MC",0.95,
IF(F1433="MO",1.05,
IF(F1433="EI",1.1,
IF(F1433="ED",1.1,
IF(F1433="SD",1.15,
IF(F1433="DC",1.2,0)))))))))))</f>
        <v>1.1</v>
      </c>
    </row>
    <row r="1434" customFormat="false" ht="16.4" hidden="false" customHeight="false" outlineLevel="0" collapsed="false">
      <c r="A1434" s="1" t="n">
        <v>1433</v>
      </c>
      <c r="B1434" s="5" t="str">
        <f aca="false">[1]Base_Jugadores!B1434</f>
        <v>David Neres</v>
      </c>
      <c r="C1434" s="5" t="str">
        <f aca="false">IFERROR(
   _xlfn.XLOOKUP(VALUE(A1434),[1]Fichajes_Realizados!A$2:A$50000,[1]Fichajes_Realizados!D$2:D$50000,,0,-1),
   _xlfn.XLOOKUP(VALUE(A1434),[1]Base_Jugadores!A$2:A$50000,[1]Base_Jugadores!C$2:C$50000)
)</f>
        <v>SSC Nápoles</v>
      </c>
      <c r="D1434" s="5" t="str">
        <f aca="false">[1]Base_Jugadores!D1434</f>
        <v>Brasil</v>
      </c>
      <c r="E1434" s="3"/>
      <c r="F1434" s="5" t="str">
        <f aca="false">[1]Base_Jugadores!E1434</f>
        <v>ED</v>
      </c>
      <c r="G1434" s="5" t="n">
        <f aca="false">[1]Base_Jugadores!F1434</f>
        <v>80</v>
      </c>
      <c r="H1434" s="5" t="n">
        <f aca="false">[1]Base_Jugadores!G1434</f>
        <v>28</v>
      </c>
      <c r="I1434" s="7" t="n">
        <f aca="false" t="array" ref="I1434:I1434">_xlfn.XLOOKUP(G1434,{55;56;57;58;59;60;61;62;63;64;65;66;67;68;69;70;71;72;73;74;75;76;77;78;79;80;81;82;83;84;85;86;87;88;89;90;91;92;93;94;95;96;97;98;99},{100000;130000;160000;190000;220000;250000;300000;350000;400000;450000;500000;600000;700000;800000;900000;1000000;1500000;2000000;3000000;4000000;5000000;6500000;8000000;10000000;12500000;15000000;20000000;25000000;30000000;35000000;40000000;55000000;70000000;80000000;90000000;110000000;130000000;160000000;190000000;220000000;250000000;280000000;310000000;340000000;400000000})</f>
        <v>15000000</v>
      </c>
      <c r="J1434" s="7" t="n">
        <f aca="false">I1434*S1434*T1434*U1434</f>
        <v>22176000</v>
      </c>
      <c r="K1434" s="3"/>
      <c r="L1434" s="3"/>
      <c r="M1434" s="3"/>
      <c r="N1434" s="9" t="n">
        <v>0</v>
      </c>
      <c r="O1434" s="4" t="n">
        <v>0</v>
      </c>
      <c r="P1434" s="5" t="n">
        <f aca="false">IF(COUNTIF([1]Base_Jugadores!J$2:J$500,B1434)&gt;0,1,0)</f>
        <v>0</v>
      </c>
      <c r="Q1434" s="10" t="b">
        <f aca="false">--(COUNTIFS(
   [1]Fichajes_Realizados!A$2:A$5000,A1434,
   [1]Fichajes_Realizados!G$2:G$5000,$X$3
)&gt;0)</f>
        <v>0</v>
      </c>
      <c r="R1434" s="5" t="n">
        <f aca="false">_xlfn.XLOOKUP(C1434, [1]Estado_Equipos!A$2:A$500, [1]Estado_Equipos!J$2:J$500, "")</f>
        <v>77</v>
      </c>
      <c r="S1434" s="5" t="n">
        <f aca="false">IF(H1434&lt;=16,1.45,
IF(H1434&gt;=41,0.3,
CHOOSE(ROUNDDOWN((H1434-16)/2,0)+1,
1.45,1.38,1.3,1.23,1.17,1.15,1.12,1.05,0.95,0.8,0.6,0.4,0.3)))</f>
        <v>1.12</v>
      </c>
      <c r="T1434" s="5" t="n">
        <f aca="false">CHOOSE(N1434+1,1.2,1,0.85,0.7)</f>
        <v>1.2</v>
      </c>
      <c r="U1434" s="5" t="n">
        <f aca="false">IF(F1434="PO",0.6,
IF(F1434="CT",0.75,
IF(F1434="LI",0.8,
IF(F1434="LD",0.8,
IF(F1434="MCD",0.85,
IF(F1434="MC",0.95,
IF(F1434="MO",1.05,
IF(F1434="EI",1.1,
IF(F1434="ED",1.1,
IF(F1434="SD",1.15,
IF(F1434="DC",1.2,0)))))))))))</f>
        <v>1.1</v>
      </c>
    </row>
    <row r="1435" customFormat="false" ht="16.4" hidden="false" customHeight="false" outlineLevel="0" collapsed="false">
      <c r="A1435" s="1" t="n">
        <v>1434</v>
      </c>
      <c r="B1435" s="5" t="str">
        <f aca="false">[1]Base_Jugadores!B1435</f>
        <v>Matteo Politano</v>
      </c>
      <c r="C1435" s="5" t="str">
        <f aca="false">IFERROR(
   _xlfn.XLOOKUP(VALUE(A1435),[1]Fichajes_Realizados!A$2:A$50000,[1]Fichajes_Realizados!D$2:D$50000,,0,-1),
   _xlfn.XLOOKUP(VALUE(A1435),[1]Base_Jugadores!A$2:A$50000,[1]Base_Jugadores!C$2:C$50000)
)</f>
        <v>SSC Nápoles</v>
      </c>
      <c r="D1435" s="5" t="str">
        <f aca="false">[1]Base_Jugadores!D1435</f>
        <v>Italia</v>
      </c>
      <c r="E1435" s="3"/>
      <c r="F1435" s="5" t="str">
        <f aca="false">[1]Base_Jugadores!E1435</f>
        <v>ED</v>
      </c>
      <c r="G1435" s="5" t="n">
        <f aca="false">[1]Base_Jugadores!F1435</f>
        <v>81</v>
      </c>
      <c r="H1435" s="5" t="n">
        <f aca="false">[1]Base_Jugadores!G1435</f>
        <v>32</v>
      </c>
      <c r="I1435" s="7" t="n">
        <f aca="false" t="array" ref="I1435:I1435">_xlfn.XLOOKUP(G1435,{55;56;57;58;59;60;61;62;63;64;65;66;67;68;69;70;71;72;73;74;75;76;77;78;79;80;81;82;83;84;85;86;87;88;89;90;91;92;93;94;95;96;97;98;99},{100000;130000;160000;190000;220000;250000;300000;350000;400000;450000;500000;600000;700000;800000;900000;1000000;1500000;2000000;3000000;4000000;5000000;6500000;8000000;10000000;12500000;15000000;20000000;25000000;30000000;35000000;40000000;55000000;70000000;80000000;90000000;110000000;130000000;160000000;190000000;220000000;250000000;280000000;310000000;340000000;400000000})</f>
        <v>20000000</v>
      </c>
      <c r="J1435" s="7" t="n">
        <f aca="false">I1435*S1435*T1435*U1435</f>
        <v>25080000</v>
      </c>
      <c r="K1435" s="3"/>
      <c r="L1435" s="3"/>
      <c r="M1435" s="3"/>
      <c r="N1435" s="9" t="n">
        <v>0</v>
      </c>
      <c r="O1435" s="4" t="n">
        <v>0</v>
      </c>
      <c r="P1435" s="5" t="n">
        <f aca="false">IF(COUNTIF([1]Base_Jugadores!J$2:J$500,B1435)&gt;0,1,0)</f>
        <v>0</v>
      </c>
      <c r="Q1435" s="10" t="b">
        <f aca="false">--(COUNTIFS(
   [1]Fichajes_Realizados!A$2:A$5000,A1435,
   [1]Fichajes_Realizados!G$2:G$5000,$X$3
)&gt;0)</f>
        <v>0</v>
      </c>
      <c r="R1435" s="5" t="n">
        <f aca="false">_xlfn.XLOOKUP(C1435, [1]Estado_Equipos!A$2:A$500, [1]Estado_Equipos!J$2:J$500, "")</f>
        <v>77</v>
      </c>
      <c r="S1435" s="5" t="n">
        <f aca="false">IF(H1435&lt;=16,1.45,
IF(H1435&gt;=41,0.3,
CHOOSE(ROUNDDOWN((H1435-16)/2,0)+1,
1.45,1.38,1.3,1.23,1.17,1.15,1.12,1.05,0.95,0.8,0.6,0.4,0.3)))</f>
        <v>0.95</v>
      </c>
      <c r="T1435" s="5" t="n">
        <f aca="false">CHOOSE(N1435+1,1.2,1,0.85,0.7)</f>
        <v>1.2</v>
      </c>
      <c r="U1435" s="5" t="n">
        <f aca="false">IF(F1435="PO",0.6,
IF(F1435="CT",0.75,
IF(F1435="LI",0.8,
IF(F1435="LD",0.8,
IF(F1435="MCD",0.85,
IF(F1435="MC",0.95,
IF(F1435="MO",1.05,
IF(F1435="EI",1.1,
IF(F1435="ED",1.1,
IF(F1435="SD",1.15,
IF(F1435="DC",1.2,0)))))))))))</f>
        <v>1.1</v>
      </c>
    </row>
    <row r="1436" customFormat="false" ht="16.4" hidden="false" customHeight="false" outlineLevel="0" collapsed="false">
      <c r="A1436" s="1" t="n">
        <v>1435</v>
      </c>
      <c r="B1436" s="5" t="str">
        <f aca="false">[1]Base_Jugadores!B1436</f>
        <v>Rasmus Højlund</v>
      </c>
      <c r="C1436" s="5" t="str">
        <f aca="false">IFERROR(
   _xlfn.XLOOKUP(VALUE(A1436),[1]Fichajes_Realizados!A$2:A$50000,[1]Fichajes_Realizados!D$2:D$50000,,0,-1),
   _xlfn.XLOOKUP(VALUE(A1436),[1]Base_Jugadores!A$2:A$50000,[1]Base_Jugadores!C$2:C$50000)
)</f>
        <v>SSC Nápoles</v>
      </c>
      <c r="D1436" s="5" t="str">
        <f aca="false">[1]Base_Jugadores!D1436</f>
        <v>Dinamarca</v>
      </c>
      <c r="E1436" s="3"/>
      <c r="F1436" s="5" t="str">
        <f aca="false">[1]Base_Jugadores!E1436</f>
        <v>DC</v>
      </c>
      <c r="G1436" s="5" t="n">
        <f aca="false">[1]Base_Jugadores!F1436</f>
        <v>78</v>
      </c>
      <c r="H1436" s="5" t="n">
        <f aca="false">[1]Base_Jugadores!G1436</f>
        <v>22</v>
      </c>
      <c r="I1436" s="7" t="n">
        <f aca="false" t="array" ref="I1436:I1436">_xlfn.XLOOKUP(G1436,{55;56;57;58;59;60;61;62;63;64;65;66;67;68;69;70;71;72;73;74;75;76;77;78;79;80;81;82;83;84;85;86;87;88;89;90;91;92;93;94;95;96;97;98;99},{100000;130000;160000;190000;220000;250000;300000;350000;400000;450000;500000;600000;700000;800000;900000;1000000;1500000;2000000;3000000;4000000;5000000;6500000;8000000;10000000;12500000;15000000;20000000;25000000;30000000;35000000;40000000;55000000;70000000;80000000;90000000;110000000;130000000;160000000;190000000;220000000;250000000;280000000;310000000;340000000;400000000})</f>
        <v>10000000</v>
      </c>
      <c r="J1436" s="7" t="n">
        <f aca="false">I1436*S1436*T1436*U1436</f>
        <v>17712000</v>
      </c>
      <c r="K1436" s="3"/>
      <c r="L1436" s="3"/>
      <c r="M1436" s="3"/>
      <c r="N1436" s="9" t="n">
        <v>0</v>
      </c>
      <c r="O1436" s="4" t="n">
        <v>0</v>
      </c>
      <c r="P1436" s="5" t="n">
        <f aca="false">IF(COUNTIF([1]Base_Jugadores!J$2:J$500,B1436)&gt;0,1,0)</f>
        <v>0</v>
      </c>
      <c r="Q1436" s="10" t="b">
        <f aca="false">--(COUNTIFS(
   [1]Fichajes_Realizados!A$2:A$5000,A1436,
   [1]Fichajes_Realizados!G$2:G$5000,$X$3
)&gt;0)</f>
        <v>0</v>
      </c>
      <c r="R1436" s="5" t="n">
        <f aca="false">_xlfn.XLOOKUP(C1436, [1]Estado_Equipos!A$2:A$500, [1]Estado_Equipos!J$2:J$500, "")</f>
        <v>77</v>
      </c>
      <c r="S1436" s="5" t="n">
        <f aca="false">IF(H1436&lt;=16,1.45,
IF(H1436&gt;=41,0.3,
CHOOSE(ROUNDDOWN((H1436-16)/2,0)+1,
1.45,1.38,1.3,1.23,1.17,1.15,1.12,1.05,0.95,0.8,0.6,0.4,0.3)))</f>
        <v>1.23</v>
      </c>
      <c r="T1436" s="5" t="n">
        <f aca="false">CHOOSE(N1436+1,1.2,1,0.85,0.7)</f>
        <v>1.2</v>
      </c>
      <c r="U1436" s="5" t="n">
        <f aca="false">IF(F1436="PO",0.6,
IF(F1436="CT",0.75,
IF(F1436="LI",0.8,
IF(F1436="LD",0.8,
IF(F1436="MCD",0.85,
IF(F1436="MC",0.95,
IF(F1436="MO",1.05,
IF(F1436="EI",1.1,
IF(F1436="ED",1.1,
IF(F1436="SD",1.15,
IF(F1436="DC",1.2,0)))))))))))</f>
        <v>1.2</v>
      </c>
    </row>
    <row r="1437" customFormat="false" ht="16.4" hidden="false" customHeight="false" outlineLevel="0" collapsed="false">
      <c r="A1437" s="1" t="n">
        <v>1436</v>
      </c>
      <c r="B1437" s="5" t="str">
        <f aca="false">[1]Base_Jugadores!B1437</f>
        <v>Lorenzo Lucca</v>
      </c>
      <c r="C1437" s="5" t="str">
        <f aca="false">IFERROR(
   _xlfn.XLOOKUP(VALUE(A1437),[1]Fichajes_Realizados!A$2:A$50000,[1]Fichajes_Realizados!D$2:D$50000,,0,-1),
   _xlfn.XLOOKUP(VALUE(A1437),[1]Base_Jugadores!A$2:A$50000,[1]Base_Jugadores!C$2:C$50000)
)</f>
        <v>SSC Nápoles</v>
      </c>
      <c r="D1437" s="5" t="str">
        <f aca="false">[1]Base_Jugadores!D1437</f>
        <v>Italia</v>
      </c>
      <c r="E1437" s="3"/>
      <c r="F1437" s="5" t="str">
        <f aca="false">[1]Base_Jugadores!E1437</f>
        <v>DC</v>
      </c>
      <c r="G1437" s="5" t="n">
        <f aca="false">[1]Base_Jugadores!F1437</f>
        <v>74</v>
      </c>
      <c r="H1437" s="5" t="n">
        <f aca="false">[1]Base_Jugadores!G1437</f>
        <v>25</v>
      </c>
      <c r="I1437" s="7" t="n">
        <f aca="false" t="array" ref="I1437:I1437">_xlfn.XLOOKUP(G1437,{55;56;57;58;59;60;61;62;63;64;65;66;67;68;69;70;71;72;73;74;75;76;77;78;79;80;81;82;83;84;85;86;87;88;89;90;91;92;93;94;95;96;97;98;99},{100000;130000;160000;190000;220000;250000;300000;350000;400000;450000;500000;600000;700000;800000;900000;1000000;1500000;2000000;3000000;4000000;5000000;6500000;8000000;10000000;12500000;15000000;20000000;25000000;30000000;35000000;40000000;55000000;70000000;80000000;90000000;110000000;130000000;160000000;190000000;220000000;250000000;280000000;310000000;340000000;400000000})</f>
        <v>4000000</v>
      </c>
      <c r="J1437" s="7" t="n">
        <f aca="false">I1437*S1437*T1437*U1437</f>
        <v>6739200</v>
      </c>
      <c r="K1437" s="3"/>
      <c r="L1437" s="3"/>
      <c r="M1437" s="3"/>
      <c r="N1437" s="9" t="n">
        <v>0</v>
      </c>
      <c r="O1437" s="4" t="n">
        <v>0</v>
      </c>
      <c r="P1437" s="5" t="n">
        <f aca="false">IF(COUNTIF([1]Base_Jugadores!J$2:J$500,B1437)&gt;0,1,0)</f>
        <v>0</v>
      </c>
      <c r="Q1437" s="10" t="b">
        <f aca="false">--(COUNTIFS(
   [1]Fichajes_Realizados!A$2:A$5000,A1437,
   [1]Fichajes_Realizados!G$2:G$5000,$X$3
)&gt;0)</f>
        <v>0</v>
      </c>
      <c r="R1437" s="5" t="n">
        <f aca="false">_xlfn.XLOOKUP(C1437, [1]Estado_Equipos!A$2:A$500, [1]Estado_Equipos!J$2:J$500, "")</f>
        <v>77</v>
      </c>
      <c r="S1437" s="5" t="n">
        <f aca="false">IF(H1437&lt;=16,1.45,
IF(H1437&gt;=41,0.3,
CHOOSE(ROUNDDOWN((H1437-16)/2,0)+1,
1.45,1.38,1.3,1.23,1.17,1.15,1.12,1.05,0.95,0.8,0.6,0.4,0.3)))</f>
        <v>1.17</v>
      </c>
      <c r="T1437" s="5" t="n">
        <f aca="false">CHOOSE(N1437+1,1.2,1,0.85,0.7)</f>
        <v>1.2</v>
      </c>
      <c r="U1437" s="5" t="n">
        <f aca="false">IF(F1437="PO",0.6,
IF(F1437="CT",0.75,
IF(F1437="LI",0.8,
IF(F1437="LD",0.8,
IF(F1437="MCD",0.85,
IF(F1437="MC",0.95,
IF(F1437="MO",1.05,
IF(F1437="EI",1.1,
IF(F1437="ED",1.1,
IF(F1437="SD",1.15,
IF(F1437="DC",1.2,0)))))))))))</f>
        <v>1.2</v>
      </c>
    </row>
    <row r="1438" customFormat="false" ht="16.4" hidden="false" customHeight="false" outlineLevel="0" collapsed="false">
      <c r="A1438" s="1" t="n">
        <v>1437</v>
      </c>
      <c r="B1438" s="5" t="str">
        <f aca="false">[1]Base_Jugadores!B1438</f>
        <v>Romelu Lukaku</v>
      </c>
      <c r="C1438" s="5" t="str">
        <f aca="false">IFERROR(
   _xlfn.XLOOKUP(VALUE(A1438),[1]Fichajes_Realizados!A$2:A$50000,[1]Fichajes_Realizados!D$2:D$50000,,0,-1),
   _xlfn.XLOOKUP(VALUE(A1438),[1]Base_Jugadores!A$2:A$50000,[1]Base_Jugadores!C$2:C$50000)
)</f>
        <v>SSC Nápoles</v>
      </c>
      <c r="D1438" s="5" t="str">
        <f aca="false">[1]Base_Jugadores!D1438</f>
        <v>Bélgica</v>
      </c>
      <c r="E1438" s="3"/>
      <c r="F1438" s="5" t="str">
        <f aca="false">[1]Base_Jugadores!E1438</f>
        <v>DC</v>
      </c>
      <c r="G1438" s="5" t="n">
        <f aca="false">[1]Base_Jugadores!F1438</f>
        <v>83</v>
      </c>
      <c r="H1438" s="5" t="n">
        <f aca="false">[1]Base_Jugadores!G1438</f>
        <v>32</v>
      </c>
      <c r="I1438" s="7" t="n">
        <f aca="false" t="array" ref="I1438:I1438">_xlfn.XLOOKUP(G1438,{55;56;57;58;59;60;61;62;63;64;65;66;67;68;69;70;71;72;73;74;75;76;77;78;79;80;81;82;83;84;85;86;87;88;89;90;91;92;93;94;95;96;97;98;99},{100000;130000;160000;190000;220000;250000;300000;350000;400000;450000;500000;600000;700000;800000;900000;1000000;1500000;2000000;3000000;4000000;5000000;6500000;8000000;10000000;12500000;15000000;20000000;25000000;30000000;35000000;40000000;55000000;70000000;80000000;90000000;110000000;130000000;160000000;190000000;220000000;250000000;280000000;310000000;340000000;400000000})</f>
        <v>30000000</v>
      </c>
      <c r="J1438" s="7" t="n">
        <f aca="false">I1438*S1438*T1438*U1438</f>
        <v>41040000</v>
      </c>
      <c r="K1438" s="3"/>
      <c r="L1438" s="3"/>
      <c r="M1438" s="3"/>
      <c r="N1438" s="9" t="n">
        <v>0</v>
      </c>
      <c r="O1438" s="4" t="n">
        <v>0</v>
      </c>
      <c r="P1438" s="5" t="n">
        <f aca="false">IF(COUNTIF([1]Base_Jugadores!J$2:J$500,B1438)&gt;0,1,0)</f>
        <v>0</v>
      </c>
      <c r="Q1438" s="10" t="b">
        <f aca="false">--(COUNTIFS(
   [1]Fichajes_Realizados!A$2:A$5000,A1438,
   [1]Fichajes_Realizados!G$2:G$5000,$X$3
)&gt;0)</f>
        <v>0</v>
      </c>
      <c r="R1438" s="5" t="n">
        <f aca="false">_xlfn.XLOOKUP(C1438, [1]Estado_Equipos!A$2:A$500, [1]Estado_Equipos!J$2:J$500, "")</f>
        <v>77</v>
      </c>
      <c r="S1438" s="5" t="n">
        <f aca="false">IF(H1438&lt;=16,1.45,
IF(H1438&gt;=41,0.3,
CHOOSE(ROUNDDOWN((H1438-16)/2,0)+1,
1.45,1.38,1.3,1.23,1.17,1.15,1.12,1.05,0.95,0.8,0.6,0.4,0.3)))</f>
        <v>0.95</v>
      </c>
      <c r="T1438" s="5" t="n">
        <f aca="false">CHOOSE(N1438+1,1.2,1,0.85,0.7)</f>
        <v>1.2</v>
      </c>
      <c r="U1438" s="5" t="n">
        <f aca="false">IF(F1438="PO",0.6,
IF(F1438="CT",0.75,
IF(F1438="LI",0.8,
IF(F1438="LD",0.8,
IF(F1438="MCD",0.85,
IF(F1438="MC",0.95,
IF(F1438="MO",1.05,
IF(F1438="EI",1.1,
IF(F1438="ED",1.1,
IF(F1438="SD",1.15,
IF(F1438="DC",1.2,0)))))))))))</f>
        <v>1.2</v>
      </c>
    </row>
    <row r="1439" customFormat="false" ht="16.4" hidden="false" customHeight="false" outlineLevel="0" collapsed="false">
      <c r="A1439" s="1" t="n">
        <v>1438</v>
      </c>
      <c r="B1439" s="5" t="str">
        <f aca="false">[1]Base_Jugadores!B1439</f>
        <v>Giuseppe Ambrosino</v>
      </c>
      <c r="C1439" s="5" t="str">
        <f aca="false">IFERROR(
   _xlfn.XLOOKUP(VALUE(A1439),[1]Fichajes_Realizados!A$2:A$50000,[1]Fichajes_Realizados!D$2:D$50000,,0,-1),
   _xlfn.XLOOKUP(VALUE(A1439),[1]Base_Jugadores!A$2:A$50000,[1]Base_Jugadores!C$2:C$50000)
)</f>
        <v>SSC Nápoles</v>
      </c>
      <c r="D1439" s="5" t="str">
        <f aca="false">[1]Base_Jugadores!D1439</f>
        <v>Italia</v>
      </c>
      <c r="E1439" s="3"/>
      <c r="F1439" s="5" t="str">
        <f aca="false">[1]Base_Jugadores!E1439</f>
        <v>DC</v>
      </c>
      <c r="G1439" s="5" t="n">
        <f aca="false">[1]Base_Jugadores!F1439</f>
        <v>66</v>
      </c>
      <c r="H1439" s="5" t="n">
        <f aca="false">[1]Base_Jugadores!G1439</f>
        <v>22</v>
      </c>
      <c r="I1439" s="7" t="n">
        <f aca="false" t="array" ref="I1439:I1439">_xlfn.XLOOKUP(G1439,{55;56;57;58;59;60;61;62;63;64;65;66;67;68;69;70;71;72;73;74;75;76;77;78;79;80;81;82;83;84;85;86;87;88;89;90;91;92;93;94;95;96;97;98;99},{100000;130000;160000;190000;220000;250000;300000;350000;400000;450000;500000;600000;700000;800000;900000;1000000;1500000;2000000;3000000;4000000;5000000;6500000;8000000;10000000;12500000;15000000;20000000;25000000;30000000;35000000;40000000;55000000;70000000;80000000;90000000;110000000;130000000;160000000;190000000;220000000;250000000;280000000;310000000;340000000;400000000})</f>
        <v>600000</v>
      </c>
      <c r="J1439" s="7" t="n">
        <f aca="false">I1439*S1439*T1439*U1439</f>
        <v>1062720</v>
      </c>
      <c r="K1439" s="3"/>
      <c r="L1439" s="3"/>
      <c r="M1439" s="3"/>
      <c r="N1439" s="9" t="n">
        <v>0</v>
      </c>
      <c r="O1439" s="4" t="n">
        <v>0</v>
      </c>
      <c r="P1439" s="5" t="n">
        <f aca="false">IF(COUNTIF([1]Base_Jugadores!J$2:J$500,B1439)&gt;0,1,0)</f>
        <v>0</v>
      </c>
      <c r="Q1439" s="10" t="b">
        <f aca="false">--(COUNTIFS(
   [1]Fichajes_Realizados!A$2:A$5000,A1439,
   [1]Fichajes_Realizados!G$2:G$5000,$X$3
)&gt;0)</f>
        <v>0</v>
      </c>
      <c r="R1439" s="5" t="n">
        <f aca="false">_xlfn.XLOOKUP(C1439, [1]Estado_Equipos!A$2:A$500, [1]Estado_Equipos!J$2:J$500, "")</f>
        <v>77</v>
      </c>
      <c r="S1439" s="5" t="n">
        <f aca="false">IF(H1439&lt;=16,1.45,
IF(H1439&gt;=41,0.3,
CHOOSE(ROUNDDOWN((H1439-16)/2,0)+1,
1.45,1.38,1.3,1.23,1.17,1.15,1.12,1.05,0.95,0.8,0.6,0.4,0.3)))</f>
        <v>1.23</v>
      </c>
      <c r="T1439" s="5" t="n">
        <f aca="false">CHOOSE(N1439+1,1.2,1,0.85,0.7)</f>
        <v>1.2</v>
      </c>
      <c r="U1439" s="5" t="n">
        <f aca="false">IF(F1439="PO",0.6,
IF(F1439="CT",0.75,
IF(F1439="LI",0.8,
IF(F1439="LD",0.8,
IF(F1439="MCD",0.85,
IF(F1439="MC",0.95,
IF(F1439="MO",1.05,
IF(F1439="EI",1.1,
IF(F1439="ED",1.1,
IF(F1439="SD",1.15,
IF(F1439="DC",1.2,0)))))))))))</f>
        <v>1.2</v>
      </c>
    </row>
    <row r="1440" customFormat="false" ht="16.4" hidden="false" customHeight="false" outlineLevel="0" collapsed="false">
      <c r="A1440" s="1" t="n">
        <v>1439</v>
      </c>
      <c r="B1440" s="5" t="str">
        <f aca="false">[1]Base_Jugadores!B1440</f>
        <v>Francesco Bardi</v>
      </c>
      <c r="C1440" s="5" t="str">
        <f aca="false">IFERROR(
   _xlfn.XLOOKUP(VALUE(A1440),[1]Fichajes_Realizados!A$2:A$50000,[1]Fichajes_Realizados!D$2:D$50000,,0,-1),
   _xlfn.XLOOKUP(VALUE(A1440),[1]Base_Jugadores!A$2:A$50000,[1]Base_Jugadores!C$2:C$50000)
)</f>
        <v>Palermo</v>
      </c>
      <c r="D1440" s="5" t="str">
        <f aca="false">[1]Base_Jugadores!D1440</f>
        <v>Italia</v>
      </c>
      <c r="E1440" s="3"/>
      <c r="F1440" s="5" t="str">
        <f aca="false">[1]Base_Jugadores!E1440</f>
        <v>PO</v>
      </c>
      <c r="G1440" s="5" t="n">
        <f aca="false">[1]Base_Jugadores!F1440</f>
        <v>74</v>
      </c>
      <c r="H1440" s="5" t="n">
        <f aca="false">[1]Base_Jugadores!G1440</f>
        <v>33</v>
      </c>
      <c r="I1440" s="7" t="n">
        <f aca="false" t="array" ref="I1440:I1440">_xlfn.XLOOKUP(G1440,{55;56;57;58;59;60;61;62;63;64;65;66;67;68;69;70;71;72;73;74;75;76;77;78;79;80;81;82;83;84;85;86;87;88;89;90;91;92;93;94;95;96;97;98;99},{100000;130000;160000;190000;220000;250000;300000;350000;400000;450000;500000;600000;700000;800000;900000;1000000;1500000;2000000;3000000;4000000;5000000;6500000;8000000;10000000;12500000;15000000;20000000;25000000;30000000;35000000;40000000;55000000;70000000;80000000;90000000;110000000;130000000;160000000;190000000;220000000;250000000;280000000;310000000;340000000;400000000})</f>
        <v>4000000</v>
      </c>
      <c r="J1440" s="7" t="n">
        <f aca="false">I1440*S1440*T1440*U1440</f>
        <v>2736000</v>
      </c>
      <c r="K1440" s="3"/>
      <c r="L1440" s="3"/>
      <c r="M1440" s="3"/>
      <c r="N1440" s="9" t="n">
        <v>0</v>
      </c>
      <c r="O1440" s="4" t="n">
        <v>0</v>
      </c>
      <c r="P1440" s="5" t="n">
        <f aca="false">IF(COUNTIF([1]Base_Jugadores!J$2:J$500,B1440)&gt;0,1,0)</f>
        <v>0</v>
      </c>
      <c r="Q1440" s="10" t="b">
        <f aca="false">--(COUNTIFS(
   [1]Fichajes_Realizados!A$2:A$5000,A1440,
   [1]Fichajes_Realizados!G$2:G$5000,$X$3
)&gt;0)</f>
        <v>0</v>
      </c>
      <c r="R1440" s="5" t="n">
        <f aca="false">_xlfn.XLOOKUP(C1440, [1]Estado_Equipos!A$2:A$500, [1]Estado_Equipos!J$2:J$500, "")</f>
        <v>70</v>
      </c>
      <c r="S1440" s="5" t="n">
        <f aca="false">IF(H1440&lt;=16,1.45,
IF(H1440&gt;=41,0.3,
CHOOSE(ROUNDDOWN((H1440-16)/2,0)+1,
1.45,1.38,1.3,1.23,1.17,1.15,1.12,1.05,0.95,0.8,0.6,0.4,0.3)))</f>
        <v>0.95</v>
      </c>
      <c r="T1440" s="5" t="n">
        <f aca="false">CHOOSE(N1440+1,1.2,1,0.85,0.7)</f>
        <v>1.2</v>
      </c>
      <c r="U1440" s="5" t="n">
        <f aca="false">IF(F1440="PO",0.6,
IF(F1440="CT",0.75,
IF(F1440="LI",0.8,
IF(F1440="LD",0.8,
IF(F1440="MCD",0.85,
IF(F1440="MC",0.95,
IF(F1440="MO",1.05,
IF(F1440="EI",1.1,
IF(F1440="ED",1.1,
IF(F1440="SD",1.15,
IF(F1440="DC",1.2,0)))))))))))</f>
        <v>0.6</v>
      </c>
    </row>
    <row r="1441" customFormat="false" ht="16.4" hidden="false" customHeight="false" outlineLevel="0" collapsed="false">
      <c r="A1441" s="1" t="n">
        <v>1440</v>
      </c>
      <c r="B1441" s="5" t="str">
        <f aca="false">[1]Base_Jugadores!B1441</f>
        <v>Jesse Joronen</v>
      </c>
      <c r="C1441" s="5" t="str">
        <f aca="false">IFERROR(
   _xlfn.XLOOKUP(VALUE(A1441),[1]Fichajes_Realizados!A$2:A$50000,[1]Fichajes_Realizados!D$2:D$50000,,0,-1),
   _xlfn.XLOOKUP(VALUE(A1441),[1]Base_Jugadores!A$2:A$50000,[1]Base_Jugadores!C$2:C$50000)
)</f>
        <v>Palermo</v>
      </c>
      <c r="D1441" s="5" t="str">
        <f aca="false">[1]Base_Jugadores!D1441</f>
        <v>Finlandia</v>
      </c>
      <c r="E1441" s="3"/>
      <c r="F1441" s="5" t="str">
        <f aca="false">[1]Base_Jugadores!E1441</f>
        <v>PO</v>
      </c>
      <c r="G1441" s="5" t="n">
        <f aca="false">[1]Base_Jugadores!F1441</f>
        <v>74</v>
      </c>
      <c r="H1441" s="5" t="n">
        <f aca="false">[1]Base_Jugadores!G1441</f>
        <v>32</v>
      </c>
      <c r="I1441" s="7" t="n">
        <f aca="false" t="array" ref="I1441:I1441">_xlfn.XLOOKUP(G1441,{55;56;57;58;59;60;61;62;63;64;65;66;67;68;69;70;71;72;73;74;75;76;77;78;79;80;81;82;83;84;85;86;87;88;89;90;91;92;93;94;95;96;97;98;99},{100000;130000;160000;190000;220000;250000;300000;350000;400000;450000;500000;600000;700000;800000;900000;1000000;1500000;2000000;3000000;4000000;5000000;6500000;8000000;10000000;12500000;15000000;20000000;25000000;30000000;35000000;40000000;55000000;70000000;80000000;90000000;110000000;130000000;160000000;190000000;220000000;250000000;280000000;310000000;340000000;400000000})</f>
        <v>4000000</v>
      </c>
      <c r="J1441" s="7" t="n">
        <f aca="false">I1441*S1441*T1441*U1441</f>
        <v>2736000</v>
      </c>
      <c r="K1441" s="3"/>
      <c r="L1441" s="3"/>
      <c r="M1441" s="3"/>
      <c r="N1441" s="9" t="n">
        <v>0</v>
      </c>
      <c r="O1441" s="4" t="n">
        <v>0</v>
      </c>
      <c r="P1441" s="5" t="n">
        <f aca="false">IF(COUNTIF([1]Base_Jugadores!J$2:J$500,B1441)&gt;0,1,0)</f>
        <v>0</v>
      </c>
      <c r="Q1441" s="10" t="b">
        <f aca="false">--(COUNTIFS(
   [1]Fichajes_Realizados!A$2:A$5000,A1441,
   [1]Fichajes_Realizados!G$2:G$5000,$X$3
)&gt;0)</f>
        <v>0</v>
      </c>
      <c r="R1441" s="5" t="n">
        <f aca="false">_xlfn.XLOOKUP(C1441, [1]Estado_Equipos!A$2:A$500, [1]Estado_Equipos!J$2:J$500, "")</f>
        <v>70</v>
      </c>
      <c r="S1441" s="5" t="n">
        <f aca="false">IF(H1441&lt;=16,1.45,
IF(H1441&gt;=41,0.3,
CHOOSE(ROUNDDOWN((H1441-16)/2,0)+1,
1.45,1.38,1.3,1.23,1.17,1.15,1.12,1.05,0.95,0.8,0.6,0.4,0.3)))</f>
        <v>0.95</v>
      </c>
      <c r="T1441" s="5" t="n">
        <f aca="false">CHOOSE(N1441+1,1.2,1,0.85,0.7)</f>
        <v>1.2</v>
      </c>
      <c r="U1441" s="5" t="n">
        <f aca="false">IF(F1441="PO",0.6,
IF(F1441="CT",0.75,
IF(F1441="LI",0.8,
IF(F1441="LD",0.8,
IF(F1441="MCD",0.85,
IF(F1441="MC",0.95,
IF(F1441="MO",1.05,
IF(F1441="EI",1.1,
IF(F1441="ED",1.1,
IF(F1441="SD",1.15,
IF(F1441="DC",1.2,0)))))))))))</f>
        <v>0.6</v>
      </c>
    </row>
    <row r="1442" customFormat="false" ht="16.4" hidden="false" customHeight="false" outlineLevel="0" collapsed="false">
      <c r="A1442" s="1" t="n">
        <v>1441</v>
      </c>
      <c r="B1442" s="5" t="str">
        <f aca="false">[1]Base_Jugadores!B1442</f>
        <v>Alfred Gomis</v>
      </c>
      <c r="C1442" s="5" t="str">
        <f aca="false">IFERROR(
   _xlfn.XLOOKUP(VALUE(A1442),[1]Fichajes_Realizados!A$2:A$50000,[1]Fichajes_Realizados!D$2:D$50000,,0,-1),
   _xlfn.XLOOKUP(VALUE(A1442),[1]Base_Jugadores!A$2:A$50000,[1]Base_Jugadores!C$2:C$50000)
)</f>
        <v>Palermo</v>
      </c>
      <c r="D1442" s="5" t="str">
        <f aca="false">[1]Base_Jugadores!D1442</f>
        <v>Senegal</v>
      </c>
      <c r="E1442" s="3"/>
      <c r="F1442" s="5" t="str">
        <f aca="false">[1]Base_Jugadores!E1442</f>
        <v>PO</v>
      </c>
      <c r="G1442" s="5" t="n">
        <f aca="false">[1]Base_Jugadores!F1442</f>
        <v>70</v>
      </c>
      <c r="H1442" s="5" t="n">
        <f aca="false">[1]Base_Jugadores!G1442</f>
        <v>32</v>
      </c>
      <c r="I1442" s="7" t="n">
        <f aca="false" t="array" ref="I1442:I1442">_xlfn.XLOOKUP(G1442,{55;56;57;58;59;60;61;62;63;64;65;66;67;68;69;70;71;72;73;74;75;76;77;78;79;80;81;82;83;84;85;86;87;88;89;90;91;92;93;94;95;96;97;98;99},{100000;130000;160000;190000;220000;250000;300000;350000;400000;450000;500000;600000;700000;800000;900000;1000000;1500000;2000000;3000000;4000000;5000000;6500000;8000000;10000000;12500000;15000000;20000000;25000000;30000000;35000000;40000000;55000000;70000000;80000000;90000000;110000000;130000000;160000000;190000000;220000000;250000000;280000000;310000000;340000000;400000000})</f>
        <v>1000000</v>
      </c>
      <c r="J1442" s="7" t="n">
        <f aca="false">I1442*S1442*T1442*U1442</f>
        <v>684000</v>
      </c>
      <c r="K1442" s="3"/>
      <c r="L1442" s="3"/>
      <c r="M1442" s="3"/>
      <c r="N1442" s="9" t="n">
        <v>0</v>
      </c>
      <c r="O1442" s="4" t="n">
        <v>0</v>
      </c>
      <c r="P1442" s="5" t="n">
        <f aca="false">IF(COUNTIF([1]Base_Jugadores!J$2:J$500,B1442)&gt;0,1,0)</f>
        <v>0</v>
      </c>
      <c r="Q1442" s="10" t="b">
        <f aca="false">--(COUNTIFS(
   [1]Fichajes_Realizados!A$2:A$5000,A1442,
   [1]Fichajes_Realizados!G$2:G$5000,$X$3
)&gt;0)</f>
        <v>0</v>
      </c>
      <c r="R1442" s="5" t="n">
        <f aca="false">_xlfn.XLOOKUP(C1442, [1]Estado_Equipos!A$2:A$500, [1]Estado_Equipos!J$2:J$500, "")</f>
        <v>70</v>
      </c>
      <c r="S1442" s="5" t="n">
        <f aca="false">IF(H1442&lt;=16,1.45,
IF(H1442&gt;=41,0.3,
CHOOSE(ROUNDDOWN((H1442-16)/2,0)+1,
1.45,1.38,1.3,1.23,1.17,1.15,1.12,1.05,0.95,0.8,0.6,0.4,0.3)))</f>
        <v>0.95</v>
      </c>
      <c r="T1442" s="5" t="n">
        <f aca="false">CHOOSE(N1442+1,1.2,1,0.85,0.7)</f>
        <v>1.2</v>
      </c>
      <c r="U1442" s="5" t="n">
        <f aca="false">IF(F1442="PO",0.6,
IF(F1442="CT",0.75,
IF(F1442="LI",0.8,
IF(F1442="LD",0.8,
IF(F1442="MCD",0.85,
IF(F1442="MC",0.95,
IF(F1442="MO",1.05,
IF(F1442="EI",1.1,
IF(F1442="ED",1.1,
IF(F1442="SD",1.15,
IF(F1442="DC",1.2,0)))))))))))</f>
        <v>0.6</v>
      </c>
    </row>
    <row r="1443" customFormat="false" ht="16.4" hidden="false" customHeight="false" outlineLevel="0" collapsed="false">
      <c r="A1443" s="1" t="n">
        <v>1442</v>
      </c>
      <c r="B1443" s="5" t="str">
        <f aca="false">[1]Base_Jugadores!B1443</f>
        <v>Michele Avella</v>
      </c>
      <c r="C1443" s="5" t="str">
        <f aca="false">IFERROR(
   _xlfn.XLOOKUP(VALUE(A1443),[1]Fichajes_Realizados!A$2:A$50000,[1]Fichajes_Realizados!D$2:D$50000,,0,-1),
   _xlfn.XLOOKUP(VALUE(A1443),[1]Base_Jugadores!A$2:A$50000,[1]Base_Jugadores!C$2:C$50000)
)</f>
        <v>Palermo</v>
      </c>
      <c r="D1443" s="5" t="str">
        <f aca="false">[1]Base_Jugadores!D1443</f>
        <v>Italia</v>
      </c>
      <c r="E1443" s="3"/>
      <c r="F1443" s="5" t="str">
        <f aca="false">[1]Base_Jugadores!E1443</f>
        <v>PO</v>
      </c>
      <c r="G1443" s="5" t="n">
        <f aca="false">[1]Base_Jugadores!F1443</f>
        <v>59</v>
      </c>
      <c r="H1443" s="5" t="n">
        <f aca="false">[1]Base_Jugadores!G1443</f>
        <v>25</v>
      </c>
      <c r="I1443" s="7" t="n">
        <f aca="false" t="array" ref="I1443:I1443">_xlfn.XLOOKUP(G1443,{55;56;57;58;59;60;61;62;63;64;65;66;67;68;69;70;71;72;73;74;75;76;77;78;79;80;81;82;83;84;85;86;87;88;89;90;91;92;93;94;95;96;97;98;99},{100000;130000;160000;190000;220000;250000;300000;350000;400000;450000;500000;600000;700000;800000;900000;1000000;1500000;2000000;3000000;4000000;5000000;6500000;8000000;10000000;12500000;15000000;20000000;25000000;30000000;35000000;40000000;55000000;70000000;80000000;90000000;110000000;130000000;160000000;190000000;220000000;250000000;280000000;310000000;340000000;400000000})</f>
        <v>220000</v>
      </c>
      <c r="J1443" s="7" t="n">
        <f aca="false">I1443*S1443*T1443*U1443</f>
        <v>185328</v>
      </c>
      <c r="K1443" s="3"/>
      <c r="L1443" s="3"/>
      <c r="M1443" s="3"/>
      <c r="N1443" s="9" t="n">
        <v>0</v>
      </c>
      <c r="O1443" s="4" t="n">
        <v>0</v>
      </c>
      <c r="P1443" s="5" t="n">
        <f aca="false">IF(COUNTIF([1]Base_Jugadores!J$2:J$500,B1443)&gt;0,1,0)</f>
        <v>0</v>
      </c>
      <c r="Q1443" s="10" t="b">
        <f aca="false">--(COUNTIFS(
   [1]Fichajes_Realizados!A$2:A$5000,A1443,
   [1]Fichajes_Realizados!G$2:G$5000,$X$3
)&gt;0)</f>
        <v>0</v>
      </c>
      <c r="R1443" s="5" t="n">
        <f aca="false">_xlfn.XLOOKUP(C1443, [1]Estado_Equipos!A$2:A$500, [1]Estado_Equipos!J$2:J$500, "")</f>
        <v>70</v>
      </c>
      <c r="S1443" s="5" t="n">
        <f aca="false">IF(H1443&lt;=16,1.45,
IF(H1443&gt;=41,0.3,
CHOOSE(ROUNDDOWN((H1443-16)/2,0)+1,
1.45,1.38,1.3,1.23,1.17,1.15,1.12,1.05,0.95,0.8,0.6,0.4,0.3)))</f>
        <v>1.17</v>
      </c>
      <c r="T1443" s="5" t="n">
        <f aca="false">CHOOSE(N1443+1,1.2,1,0.85,0.7)</f>
        <v>1.2</v>
      </c>
      <c r="U1443" s="5" t="n">
        <f aca="false">IF(F1443="PO",0.6,
IF(F1443="CT",0.75,
IF(F1443="LI",0.8,
IF(F1443="LD",0.8,
IF(F1443="MCD",0.85,
IF(F1443="MC",0.95,
IF(F1443="MO",1.05,
IF(F1443="EI",1.1,
IF(F1443="ED",1.1,
IF(F1443="SD",1.15,
IF(F1443="DC",1.2,0)))))))))))</f>
        <v>0.6</v>
      </c>
    </row>
    <row r="1444" customFormat="false" ht="16.4" hidden="false" customHeight="false" outlineLevel="0" collapsed="false">
      <c r="A1444" s="1" t="n">
        <v>1443</v>
      </c>
      <c r="B1444" s="5" t="str">
        <f aca="false">[1]Base_Jugadores!B1444</f>
        <v>Mattia Bani</v>
      </c>
      <c r="C1444" s="5" t="str">
        <f aca="false">IFERROR(
   _xlfn.XLOOKUP(VALUE(A1444),[1]Fichajes_Realizados!A$2:A$50000,[1]Fichajes_Realizados!D$2:D$50000,,0,-1),
   _xlfn.XLOOKUP(VALUE(A1444),[1]Base_Jugadores!A$2:A$50000,[1]Base_Jugadores!C$2:C$50000)
)</f>
        <v>Palermo</v>
      </c>
      <c r="D1444" s="5" t="str">
        <f aca="false">[1]Base_Jugadores!D1444</f>
        <v>Italia</v>
      </c>
      <c r="E1444" s="3"/>
      <c r="F1444" s="5" t="str">
        <f aca="false">[1]Base_Jugadores!E1444</f>
        <v>CT</v>
      </c>
      <c r="G1444" s="5" t="n">
        <f aca="false">[1]Base_Jugadores!F1444</f>
        <v>70</v>
      </c>
      <c r="H1444" s="5" t="n">
        <f aca="false">[1]Base_Jugadores!G1444</f>
        <v>32</v>
      </c>
      <c r="I1444" s="7" t="n">
        <f aca="false" t="array" ref="I1444:I1444">_xlfn.XLOOKUP(G1444,{55;56;57;58;59;60;61;62;63;64;65;66;67;68;69;70;71;72;73;74;75;76;77;78;79;80;81;82;83;84;85;86;87;88;89;90;91;92;93;94;95;96;97;98;99},{100000;130000;160000;190000;220000;250000;300000;350000;400000;450000;500000;600000;700000;800000;900000;1000000;1500000;2000000;3000000;4000000;5000000;6500000;8000000;10000000;12500000;15000000;20000000;25000000;30000000;35000000;40000000;55000000;70000000;80000000;90000000;110000000;130000000;160000000;190000000;220000000;250000000;280000000;310000000;340000000;400000000})</f>
        <v>1000000</v>
      </c>
      <c r="J1444" s="7" t="n">
        <f aca="false">I1444*S1444*T1444*U1444</f>
        <v>855000</v>
      </c>
      <c r="K1444" s="3"/>
      <c r="L1444" s="3"/>
      <c r="M1444" s="3"/>
      <c r="N1444" s="9" t="n">
        <v>0</v>
      </c>
      <c r="O1444" s="4" t="n">
        <v>0</v>
      </c>
      <c r="P1444" s="5" t="n">
        <f aca="false">IF(COUNTIF([1]Base_Jugadores!J$2:J$500,B1444)&gt;0,1,0)</f>
        <v>0</v>
      </c>
      <c r="Q1444" s="10" t="b">
        <f aca="false">--(COUNTIFS(
   [1]Fichajes_Realizados!A$2:A$5000,A1444,
   [1]Fichajes_Realizados!G$2:G$5000,$X$3
)&gt;0)</f>
        <v>0</v>
      </c>
      <c r="R1444" s="5" t="n">
        <f aca="false">_xlfn.XLOOKUP(C1444, [1]Estado_Equipos!A$2:A$500, [1]Estado_Equipos!J$2:J$500, "")</f>
        <v>70</v>
      </c>
      <c r="S1444" s="5" t="n">
        <f aca="false">IF(H1444&lt;=16,1.45,
IF(H1444&gt;=41,0.3,
CHOOSE(ROUNDDOWN((H1444-16)/2,0)+1,
1.45,1.38,1.3,1.23,1.17,1.15,1.12,1.05,0.95,0.8,0.6,0.4,0.3)))</f>
        <v>0.95</v>
      </c>
      <c r="T1444" s="5" t="n">
        <f aca="false">CHOOSE(N1444+1,1.2,1,0.85,0.7)</f>
        <v>1.2</v>
      </c>
      <c r="U1444" s="5" t="n">
        <f aca="false">IF(F1444="PO",0.6,
IF(F1444="CT",0.75,
IF(F1444="LI",0.8,
IF(F1444="LD",0.8,
IF(F1444="MCD",0.85,
IF(F1444="MC",0.95,
IF(F1444="MO",1.05,
IF(F1444="EI",1.1,
IF(F1444="ED",1.1,
IF(F1444="SD",1.15,
IF(F1444="DC",1.2,0)))))))))))</f>
        <v>0.75</v>
      </c>
    </row>
    <row r="1445" customFormat="false" ht="16.4" hidden="false" customHeight="false" outlineLevel="0" collapsed="false">
      <c r="A1445" s="1" t="n">
        <v>1444</v>
      </c>
      <c r="B1445" s="5" t="str">
        <f aca="false">[1]Base_Jugadores!B1445</f>
        <v>Pietro Ceccaroni</v>
      </c>
      <c r="C1445" s="5" t="str">
        <f aca="false">IFERROR(
   _xlfn.XLOOKUP(VALUE(A1445),[1]Fichajes_Realizados!A$2:A$50000,[1]Fichajes_Realizados!D$2:D$50000,,0,-1),
   _xlfn.XLOOKUP(VALUE(A1445),[1]Base_Jugadores!A$2:A$50000,[1]Base_Jugadores!C$2:C$50000)
)</f>
        <v>Palermo</v>
      </c>
      <c r="D1445" s="5" t="str">
        <f aca="false">[1]Base_Jugadores!D1445</f>
        <v>Italia</v>
      </c>
      <c r="E1445" s="3"/>
      <c r="F1445" s="5" t="str">
        <f aca="false">[1]Base_Jugadores!E1445</f>
        <v>CT</v>
      </c>
      <c r="G1445" s="5" t="n">
        <f aca="false">[1]Base_Jugadores!F1445</f>
        <v>71</v>
      </c>
      <c r="H1445" s="5" t="n">
        <f aca="false">[1]Base_Jugadores!G1445</f>
        <v>30</v>
      </c>
      <c r="I1445" s="7" t="n">
        <f aca="false" t="array" ref="I1445:I1445">_xlfn.XLOOKUP(G1445,{55;56;57;58;59;60;61;62;63;64;65;66;67;68;69;70;71;72;73;74;75;76;77;78;79;80;81;82;83;84;85;86;87;88;89;90;91;92;93;94;95;96;97;98;99},{100000;130000;160000;190000;220000;250000;300000;350000;400000;450000;500000;600000;700000;800000;900000;1000000;1500000;2000000;3000000;4000000;5000000;6500000;8000000;10000000;12500000;15000000;20000000;25000000;30000000;35000000;40000000;55000000;70000000;80000000;90000000;110000000;130000000;160000000;190000000;220000000;250000000;280000000;310000000;340000000;400000000})</f>
        <v>1500000</v>
      </c>
      <c r="J1445" s="7" t="n">
        <f aca="false">I1445*S1445*T1445*U1445</f>
        <v>1417500</v>
      </c>
      <c r="K1445" s="3"/>
      <c r="L1445" s="3"/>
      <c r="M1445" s="3"/>
      <c r="N1445" s="9" t="n">
        <v>0</v>
      </c>
      <c r="O1445" s="4" t="n">
        <v>0</v>
      </c>
      <c r="P1445" s="5" t="n">
        <f aca="false">IF(COUNTIF([1]Base_Jugadores!J$2:J$500,B1445)&gt;0,1,0)</f>
        <v>0</v>
      </c>
      <c r="Q1445" s="10" t="b">
        <f aca="false">--(COUNTIFS(
   [1]Fichajes_Realizados!A$2:A$5000,A1445,
   [1]Fichajes_Realizados!G$2:G$5000,$X$3
)&gt;0)</f>
        <v>0</v>
      </c>
      <c r="R1445" s="5" t="n">
        <f aca="false">_xlfn.XLOOKUP(C1445, [1]Estado_Equipos!A$2:A$500, [1]Estado_Equipos!J$2:J$500, "")</f>
        <v>70</v>
      </c>
      <c r="S1445" s="5" t="n">
        <f aca="false">IF(H1445&lt;=16,1.45,
IF(H1445&gt;=41,0.3,
CHOOSE(ROUNDDOWN((H1445-16)/2,0)+1,
1.45,1.38,1.3,1.23,1.17,1.15,1.12,1.05,0.95,0.8,0.6,0.4,0.3)))</f>
        <v>1.05</v>
      </c>
      <c r="T1445" s="5" t="n">
        <f aca="false">CHOOSE(N1445+1,1.2,1,0.85,0.7)</f>
        <v>1.2</v>
      </c>
      <c r="U1445" s="5" t="n">
        <f aca="false">IF(F1445="PO",0.6,
IF(F1445="CT",0.75,
IF(F1445="LI",0.8,
IF(F1445="LD",0.8,
IF(F1445="MCD",0.85,
IF(F1445="MC",0.95,
IF(F1445="MO",1.05,
IF(F1445="EI",1.1,
IF(F1445="ED",1.1,
IF(F1445="SD",1.15,
IF(F1445="DC",1.2,0)))))))))))</f>
        <v>0.75</v>
      </c>
    </row>
    <row r="1446" customFormat="false" ht="16.4" hidden="false" customHeight="false" outlineLevel="0" collapsed="false">
      <c r="A1446" s="1" t="n">
        <v>1445</v>
      </c>
      <c r="B1446" s="5" t="str">
        <f aca="false">[1]Base_Jugadores!B1446</f>
        <v>Salim Diakité</v>
      </c>
      <c r="C1446" s="5" t="str">
        <f aca="false">IFERROR(
   _xlfn.XLOOKUP(VALUE(A1446),[1]Fichajes_Realizados!A$2:A$50000,[1]Fichajes_Realizados!D$2:D$50000,,0,-1),
   _xlfn.XLOOKUP(VALUE(A1446),[1]Base_Jugadores!A$2:A$50000,[1]Base_Jugadores!C$2:C$50000)
)</f>
        <v>Palermo</v>
      </c>
      <c r="D1446" s="5" t="str">
        <f aca="false">[1]Base_Jugadores!D1446</f>
        <v>Malí</v>
      </c>
      <c r="E1446" s="3"/>
      <c r="F1446" s="5" t="str">
        <f aca="false">[1]Base_Jugadores!E1446</f>
        <v>LD</v>
      </c>
      <c r="G1446" s="5" t="n">
        <f aca="false">[1]Base_Jugadores!F1446</f>
        <v>69</v>
      </c>
      <c r="H1446" s="5" t="n">
        <f aca="false">[1]Base_Jugadores!G1446</f>
        <v>25</v>
      </c>
      <c r="I1446" s="7" t="n">
        <f aca="false" t="array" ref="I1446:I1446">_xlfn.XLOOKUP(G1446,{55;56;57;58;59;60;61;62;63;64;65;66;67;68;69;70;71;72;73;74;75;76;77;78;79;80;81;82;83;84;85;86;87;88;89;90;91;92;93;94;95;96;97;98;99},{100000;130000;160000;190000;220000;250000;300000;350000;400000;450000;500000;600000;700000;800000;900000;1000000;1500000;2000000;3000000;4000000;5000000;6500000;8000000;10000000;12500000;15000000;20000000;25000000;30000000;35000000;40000000;55000000;70000000;80000000;90000000;110000000;130000000;160000000;190000000;220000000;250000000;280000000;310000000;340000000;400000000})</f>
        <v>900000</v>
      </c>
      <c r="J1446" s="7" t="n">
        <f aca="false">I1446*S1446*T1446*U1446</f>
        <v>1010880</v>
      </c>
      <c r="K1446" s="3"/>
      <c r="L1446" s="3"/>
      <c r="M1446" s="3"/>
      <c r="N1446" s="9" t="n">
        <v>0</v>
      </c>
      <c r="O1446" s="4" t="n">
        <v>0</v>
      </c>
      <c r="P1446" s="5" t="n">
        <f aca="false">IF(COUNTIF([1]Base_Jugadores!J$2:J$500,B1446)&gt;0,1,0)</f>
        <v>0</v>
      </c>
      <c r="Q1446" s="10" t="b">
        <f aca="false">--(COUNTIFS(
   [1]Fichajes_Realizados!A$2:A$5000,A1446,
   [1]Fichajes_Realizados!G$2:G$5000,$X$3
)&gt;0)</f>
        <v>0</v>
      </c>
      <c r="R1446" s="5" t="n">
        <f aca="false">_xlfn.XLOOKUP(C1446, [1]Estado_Equipos!A$2:A$500, [1]Estado_Equipos!J$2:J$500, "")</f>
        <v>70</v>
      </c>
      <c r="S1446" s="5" t="n">
        <f aca="false">IF(H1446&lt;=16,1.45,
IF(H1446&gt;=41,0.3,
CHOOSE(ROUNDDOWN((H1446-16)/2,0)+1,
1.45,1.38,1.3,1.23,1.17,1.15,1.12,1.05,0.95,0.8,0.6,0.4,0.3)))</f>
        <v>1.17</v>
      </c>
      <c r="T1446" s="5" t="n">
        <f aca="false">CHOOSE(N1446+1,1.2,1,0.85,0.7)</f>
        <v>1.2</v>
      </c>
      <c r="U1446" s="5" t="n">
        <f aca="false">IF(F1446="PO",0.6,
IF(F1446="CT",0.75,
IF(F1446="LI",0.8,
IF(F1446="LD",0.8,
IF(F1446="MCD",0.85,
IF(F1446="MC",0.95,
IF(F1446="MO",1.05,
IF(F1446="EI",1.1,
IF(F1446="ED",1.1,
IF(F1446="SD",1.15,
IF(F1446="DC",1.2,0)))))))))))</f>
        <v>0.8</v>
      </c>
    </row>
    <row r="1447" customFormat="false" ht="16.4" hidden="false" customHeight="false" outlineLevel="0" collapsed="false">
      <c r="A1447" s="1" t="n">
        <v>1446</v>
      </c>
      <c r="B1447" s="5" t="str">
        <f aca="false">[1]Base_Jugadores!B1447</f>
        <v>Patryk Peda</v>
      </c>
      <c r="C1447" s="5" t="str">
        <f aca="false">IFERROR(
   _xlfn.XLOOKUP(VALUE(A1447),[1]Fichajes_Realizados!A$2:A$50000,[1]Fichajes_Realizados!D$2:D$50000,,0,-1),
   _xlfn.XLOOKUP(VALUE(A1447),[1]Base_Jugadores!A$2:A$50000,[1]Base_Jugadores!C$2:C$50000)
)</f>
        <v>Palermo</v>
      </c>
      <c r="D1447" s="5" t="str">
        <f aca="false">[1]Base_Jugadores!D1447</f>
        <v>Polonia</v>
      </c>
      <c r="E1447" s="3"/>
      <c r="F1447" s="5" t="str">
        <f aca="false">[1]Base_Jugadores!E1447</f>
        <v>CT</v>
      </c>
      <c r="G1447" s="5" t="n">
        <f aca="false">[1]Base_Jugadores!F1447</f>
        <v>66</v>
      </c>
      <c r="H1447" s="5" t="n">
        <f aca="false">[1]Base_Jugadores!G1447</f>
        <v>23</v>
      </c>
      <c r="I1447" s="7" t="n">
        <f aca="false" t="array" ref="I1447:I1447">_xlfn.XLOOKUP(G1447,{55;56;57;58;59;60;61;62;63;64;65;66;67;68;69;70;71;72;73;74;75;76;77;78;79;80;81;82;83;84;85;86;87;88;89;90;91;92;93;94;95;96;97;98;99},{100000;130000;160000;190000;220000;250000;300000;350000;400000;450000;500000;600000;700000;800000;900000;1000000;1500000;2000000;3000000;4000000;5000000;6500000;8000000;10000000;12500000;15000000;20000000;25000000;30000000;35000000;40000000;55000000;70000000;80000000;90000000;110000000;130000000;160000000;190000000;220000000;250000000;280000000;310000000;340000000;400000000})</f>
        <v>600000</v>
      </c>
      <c r="J1447" s="7" t="n">
        <f aca="false">I1447*S1447*T1447*U1447</f>
        <v>664200</v>
      </c>
      <c r="K1447" s="3"/>
      <c r="L1447" s="3"/>
      <c r="M1447" s="3"/>
      <c r="N1447" s="9" t="n">
        <v>0</v>
      </c>
      <c r="O1447" s="4" t="n">
        <v>0</v>
      </c>
      <c r="P1447" s="5" t="n">
        <f aca="false">IF(COUNTIF([1]Base_Jugadores!J$2:J$500,B1447)&gt;0,1,0)</f>
        <v>0</v>
      </c>
      <c r="Q1447" s="10" t="b">
        <f aca="false">--(COUNTIFS(
   [1]Fichajes_Realizados!A$2:A$5000,A1447,
   [1]Fichajes_Realizados!G$2:G$5000,$X$3
)&gt;0)</f>
        <v>0</v>
      </c>
      <c r="R1447" s="5" t="n">
        <f aca="false">_xlfn.XLOOKUP(C1447, [1]Estado_Equipos!A$2:A$500, [1]Estado_Equipos!J$2:J$500, "")</f>
        <v>70</v>
      </c>
      <c r="S1447" s="5" t="n">
        <f aca="false">IF(H1447&lt;=16,1.45,
IF(H1447&gt;=41,0.3,
CHOOSE(ROUNDDOWN((H1447-16)/2,0)+1,
1.45,1.38,1.3,1.23,1.17,1.15,1.12,1.05,0.95,0.8,0.6,0.4,0.3)))</f>
        <v>1.23</v>
      </c>
      <c r="T1447" s="5" t="n">
        <f aca="false">CHOOSE(N1447+1,1.2,1,0.85,0.7)</f>
        <v>1.2</v>
      </c>
      <c r="U1447" s="5" t="n">
        <f aca="false">IF(F1447="PO",0.6,
IF(F1447="CT",0.75,
IF(F1447="LI",0.8,
IF(F1447="LD",0.8,
IF(F1447="MCD",0.85,
IF(F1447="MC",0.95,
IF(F1447="MO",1.05,
IF(F1447="EI",1.1,
IF(F1447="ED",1.1,
IF(F1447="SD",1.15,
IF(F1447="DC",1.2,0)))))))))))</f>
        <v>0.75</v>
      </c>
    </row>
    <row r="1448" customFormat="false" ht="16.4" hidden="false" customHeight="false" outlineLevel="0" collapsed="false">
      <c r="A1448" s="1" t="n">
        <v>1447</v>
      </c>
      <c r="B1448" s="5" t="str">
        <f aca="false">[1]Base_Jugadores!B1448</f>
        <v>Davide Veroli</v>
      </c>
      <c r="C1448" s="5" t="str">
        <f aca="false">IFERROR(
   _xlfn.XLOOKUP(VALUE(A1448),[1]Fichajes_Realizados!A$2:A$50000,[1]Fichajes_Realizados!D$2:D$50000,,0,-1),
   _xlfn.XLOOKUP(VALUE(A1448),[1]Base_Jugadores!A$2:A$50000,[1]Base_Jugadores!C$2:C$50000)
)</f>
        <v>Palermo</v>
      </c>
      <c r="D1448" s="5" t="str">
        <f aca="false">[1]Base_Jugadores!D1448</f>
        <v>Italia</v>
      </c>
      <c r="E1448" s="3"/>
      <c r="F1448" s="5" t="str">
        <f aca="false">[1]Base_Jugadores!E1448</f>
        <v>CT</v>
      </c>
      <c r="G1448" s="5" t="n">
        <f aca="false">[1]Base_Jugadores!F1448</f>
        <v>68</v>
      </c>
      <c r="H1448" s="5" t="n">
        <f aca="false">[1]Base_Jugadores!G1448</f>
        <v>22</v>
      </c>
      <c r="I1448" s="7" t="n">
        <f aca="false" t="array" ref="I1448:I1448">_xlfn.XLOOKUP(G1448,{55;56;57;58;59;60;61;62;63;64;65;66;67;68;69;70;71;72;73;74;75;76;77;78;79;80;81;82;83;84;85;86;87;88;89;90;91;92;93;94;95;96;97;98;99},{100000;130000;160000;190000;220000;250000;300000;350000;400000;450000;500000;600000;700000;800000;900000;1000000;1500000;2000000;3000000;4000000;5000000;6500000;8000000;10000000;12500000;15000000;20000000;25000000;30000000;35000000;40000000;55000000;70000000;80000000;90000000;110000000;130000000;160000000;190000000;220000000;250000000;280000000;310000000;340000000;400000000})</f>
        <v>800000</v>
      </c>
      <c r="J1448" s="7" t="n">
        <f aca="false">I1448*S1448*T1448*U1448</f>
        <v>885600</v>
      </c>
      <c r="K1448" s="3"/>
      <c r="L1448" s="3"/>
      <c r="M1448" s="3"/>
      <c r="N1448" s="9" t="n">
        <v>0</v>
      </c>
      <c r="O1448" s="4" t="n">
        <v>0</v>
      </c>
      <c r="P1448" s="5" t="n">
        <f aca="false">IF(COUNTIF([1]Base_Jugadores!J$2:J$500,B1448)&gt;0,1,0)</f>
        <v>0</v>
      </c>
      <c r="Q1448" s="10" t="b">
        <f aca="false">--(COUNTIFS(
   [1]Fichajes_Realizados!A$2:A$5000,A1448,
   [1]Fichajes_Realizados!G$2:G$5000,$X$3
)&gt;0)</f>
        <v>0</v>
      </c>
      <c r="R1448" s="5" t="n">
        <f aca="false">_xlfn.XLOOKUP(C1448, [1]Estado_Equipos!A$2:A$500, [1]Estado_Equipos!J$2:J$500, "")</f>
        <v>70</v>
      </c>
      <c r="S1448" s="5" t="n">
        <f aca="false">IF(H1448&lt;=16,1.45,
IF(H1448&gt;=41,0.3,
CHOOSE(ROUNDDOWN((H1448-16)/2,0)+1,
1.45,1.38,1.3,1.23,1.17,1.15,1.12,1.05,0.95,0.8,0.6,0.4,0.3)))</f>
        <v>1.23</v>
      </c>
      <c r="T1448" s="5" t="n">
        <f aca="false">CHOOSE(N1448+1,1.2,1,0.85,0.7)</f>
        <v>1.2</v>
      </c>
      <c r="U1448" s="5" t="n">
        <f aca="false">IF(F1448="PO",0.6,
IF(F1448="CT",0.75,
IF(F1448="LI",0.8,
IF(F1448="LD",0.8,
IF(F1448="MCD",0.85,
IF(F1448="MC",0.95,
IF(F1448="MO",1.05,
IF(F1448="EI",1.1,
IF(F1448="ED",1.1,
IF(F1448="SD",1.15,
IF(F1448="DC",1.2,0)))))))))))</f>
        <v>0.75</v>
      </c>
    </row>
    <row r="1449" customFormat="false" ht="16.4" hidden="false" customHeight="false" outlineLevel="0" collapsed="false">
      <c r="A1449" s="1" t="n">
        <v>1448</v>
      </c>
      <c r="B1449" s="5" t="str">
        <f aca="false">[1]Base_Jugadores!B1449</f>
        <v>Tommaso Augello</v>
      </c>
      <c r="C1449" s="5" t="str">
        <f aca="false">IFERROR(
   _xlfn.XLOOKUP(VALUE(A1449),[1]Fichajes_Realizados!A$2:A$50000,[1]Fichajes_Realizados!D$2:D$50000,,0,-1),
   _xlfn.XLOOKUP(VALUE(A1449),[1]Base_Jugadores!A$2:A$50000,[1]Base_Jugadores!C$2:C$50000)
)</f>
        <v>Palermo</v>
      </c>
      <c r="D1449" s="5" t="str">
        <f aca="false">[1]Base_Jugadores!D1449</f>
        <v>Italia</v>
      </c>
      <c r="E1449" s="3"/>
      <c r="F1449" s="5" t="str">
        <f aca="false">[1]Base_Jugadores!E1449</f>
        <v>LI</v>
      </c>
      <c r="G1449" s="5" t="n">
        <f aca="false">[1]Base_Jugadores!F1449</f>
        <v>73</v>
      </c>
      <c r="H1449" s="5" t="n">
        <f aca="false">[1]Base_Jugadores!G1449</f>
        <v>31</v>
      </c>
      <c r="I1449" s="7" t="n">
        <f aca="false" t="array" ref="I1449:I1449">_xlfn.XLOOKUP(G1449,{55;56;57;58;59;60;61;62;63;64;65;66;67;68;69;70;71;72;73;74;75;76;77;78;79;80;81;82;83;84;85;86;87;88;89;90;91;92;93;94;95;96;97;98;99},{100000;130000;160000;190000;220000;250000;300000;350000;400000;450000;500000;600000;700000;800000;900000;1000000;1500000;2000000;3000000;4000000;5000000;6500000;8000000;10000000;12500000;15000000;20000000;25000000;30000000;35000000;40000000;55000000;70000000;80000000;90000000;110000000;130000000;160000000;190000000;220000000;250000000;280000000;310000000;340000000;400000000})</f>
        <v>3000000</v>
      </c>
      <c r="J1449" s="7" t="n">
        <f aca="false">I1449*S1449*T1449*U1449</f>
        <v>3024000</v>
      </c>
      <c r="K1449" s="3"/>
      <c r="L1449" s="3"/>
      <c r="M1449" s="3"/>
      <c r="N1449" s="9" t="n">
        <v>0</v>
      </c>
      <c r="O1449" s="4" t="n">
        <v>0</v>
      </c>
      <c r="P1449" s="5" t="n">
        <f aca="false">IF(COUNTIF([1]Base_Jugadores!J$2:J$500,B1449)&gt;0,1,0)</f>
        <v>0</v>
      </c>
      <c r="Q1449" s="10" t="b">
        <f aca="false">--(COUNTIFS(
   [1]Fichajes_Realizados!A$2:A$5000,A1449,
   [1]Fichajes_Realizados!G$2:G$5000,$X$3
)&gt;0)</f>
        <v>0</v>
      </c>
      <c r="R1449" s="5" t="n">
        <f aca="false">_xlfn.XLOOKUP(C1449, [1]Estado_Equipos!A$2:A$500, [1]Estado_Equipos!J$2:J$500, "")</f>
        <v>70</v>
      </c>
      <c r="S1449" s="5" t="n">
        <f aca="false">IF(H1449&lt;=16,1.45,
IF(H1449&gt;=41,0.3,
CHOOSE(ROUNDDOWN((H1449-16)/2,0)+1,
1.45,1.38,1.3,1.23,1.17,1.15,1.12,1.05,0.95,0.8,0.6,0.4,0.3)))</f>
        <v>1.05</v>
      </c>
      <c r="T1449" s="5" t="n">
        <f aca="false">CHOOSE(N1449+1,1.2,1,0.85,0.7)</f>
        <v>1.2</v>
      </c>
      <c r="U1449" s="5" t="n">
        <f aca="false">IF(F1449="PO",0.6,
IF(F1449="CT",0.75,
IF(F1449="LI",0.8,
IF(F1449="LD",0.8,
IF(F1449="MCD",0.85,
IF(F1449="MC",0.95,
IF(F1449="MO",1.05,
IF(F1449="EI",1.1,
IF(F1449="ED",1.1,
IF(F1449="SD",1.15,
IF(F1449="DC",1.2,0)))))))))))</f>
        <v>0.8</v>
      </c>
    </row>
    <row r="1450" customFormat="false" ht="16.4" hidden="false" customHeight="false" outlineLevel="0" collapsed="false">
      <c r="A1450" s="1" t="n">
        <v>1449</v>
      </c>
      <c r="B1450" s="5" t="str">
        <f aca="false">[1]Base_Jugadores!B1450</f>
        <v>Niccolò Pierozzi</v>
      </c>
      <c r="C1450" s="5" t="str">
        <f aca="false">IFERROR(
   _xlfn.XLOOKUP(VALUE(A1450),[1]Fichajes_Realizados!A$2:A$50000,[1]Fichajes_Realizados!D$2:D$50000,,0,-1),
   _xlfn.XLOOKUP(VALUE(A1450),[1]Base_Jugadores!A$2:A$50000,[1]Base_Jugadores!C$2:C$50000)
)</f>
        <v>Palermo</v>
      </c>
      <c r="D1450" s="5" t="str">
        <f aca="false">[1]Base_Jugadores!D1450</f>
        <v>Italia</v>
      </c>
      <c r="E1450" s="3"/>
      <c r="F1450" s="5" t="str">
        <f aca="false">[1]Base_Jugadores!E1450</f>
        <v>LD</v>
      </c>
      <c r="G1450" s="5" t="n">
        <f aca="false">[1]Base_Jugadores!F1450</f>
        <v>69</v>
      </c>
      <c r="H1450" s="5" t="n">
        <f aca="false">[1]Base_Jugadores!G1450</f>
        <v>24</v>
      </c>
      <c r="I1450" s="7" t="n">
        <f aca="false" t="array" ref="I1450:I1450">_xlfn.XLOOKUP(G1450,{55;56;57;58;59;60;61;62;63;64;65;66;67;68;69;70;71;72;73;74;75;76;77;78;79;80;81;82;83;84;85;86;87;88;89;90;91;92;93;94;95;96;97;98;99},{100000;130000;160000;190000;220000;250000;300000;350000;400000;450000;500000;600000;700000;800000;900000;1000000;1500000;2000000;3000000;4000000;5000000;6500000;8000000;10000000;12500000;15000000;20000000;25000000;30000000;35000000;40000000;55000000;70000000;80000000;90000000;110000000;130000000;160000000;190000000;220000000;250000000;280000000;310000000;340000000;400000000})</f>
        <v>900000</v>
      </c>
      <c r="J1450" s="7" t="n">
        <f aca="false">I1450*S1450*T1450*U1450</f>
        <v>1010880</v>
      </c>
      <c r="K1450" s="3"/>
      <c r="L1450" s="3"/>
      <c r="M1450" s="3"/>
      <c r="N1450" s="9" t="n">
        <v>0</v>
      </c>
      <c r="O1450" s="4" t="n">
        <v>0</v>
      </c>
      <c r="P1450" s="5" t="n">
        <f aca="false">IF(COUNTIF([1]Base_Jugadores!J$2:J$500,B1450)&gt;0,1,0)</f>
        <v>0</v>
      </c>
      <c r="Q1450" s="10" t="b">
        <f aca="false">--(COUNTIFS(
   [1]Fichajes_Realizados!A$2:A$5000,A1450,
   [1]Fichajes_Realizados!G$2:G$5000,$X$3
)&gt;0)</f>
        <v>0</v>
      </c>
      <c r="R1450" s="5" t="n">
        <f aca="false">_xlfn.XLOOKUP(C1450, [1]Estado_Equipos!A$2:A$500, [1]Estado_Equipos!J$2:J$500, "")</f>
        <v>70</v>
      </c>
      <c r="S1450" s="5" t="n">
        <f aca="false">IF(H1450&lt;=16,1.45,
IF(H1450&gt;=41,0.3,
CHOOSE(ROUNDDOWN((H1450-16)/2,0)+1,
1.45,1.38,1.3,1.23,1.17,1.15,1.12,1.05,0.95,0.8,0.6,0.4,0.3)))</f>
        <v>1.17</v>
      </c>
      <c r="T1450" s="5" t="n">
        <f aca="false">CHOOSE(N1450+1,1.2,1,0.85,0.7)</f>
        <v>1.2</v>
      </c>
      <c r="U1450" s="5" t="n">
        <f aca="false">IF(F1450="PO",0.6,
IF(F1450="CT",0.75,
IF(F1450="LI",0.8,
IF(F1450="LD",0.8,
IF(F1450="MCD",0.85,
IF(F1450="MC",0.95,
IF(F1450="MO",1.05,
IF(F1450="EI",1.1,
IF(F1450="ED",1.1,
IF(F1450="SD",1.15,
IF(F1450="DC",1.2,0)))))))))))</f>
        <v>0.8</v>
      </c>
    </row>
    <row r="1451" customFormat="false" ht="16.4" hidden="false" customHeight="false" outlineLevel="0" collapsed="false">
      <c r="A1451" s="1" t="n">
        <v>1450</v>
      </c>
      <c r="B1451" s="5" t="str">
        <f aca="false">[1]Base_Jugadores!B1451</f>
        <v>B. Bereszyński</v>
      </c>
      <c r="C1451" s="5" t="str">
        <f aca="false">IFERROR(
   _xlfn.XLOOKUP(VALUE(A1451),[1]Fichajes_Realizados!A$2:A$50000,[1]Fichajes_Realizados!D$2:D$50000,,0,-1),
   _xlfn.XLOOKUP(VALUE(A1451),[1]Base_Jugadores!A$2:A$50000,[1]Base_Jugadores!C$2:C$50000)
)</f>
        <v>Palermo</v>
      </c>
      <c r="D1451" s="5" t="str">
        <f aca="false">[1]Base_Jugadores!D1451</f>
        <v>Polonia</v>
      </c>
      <c r="E1451" s="3"/>
      <c r="F1451" s="5" t="str">
        <f aca="false">[1]Base_Jugadores!E1451</f>
        <v>LD</v>
      </c>
      <c r="G1451" s="5" t="n">
        <f aca="false">[1]Base_Jugadores!F1451</f>
        <v>72</v>
      </c>
      <c r="H1451" s="5" t="n">
        <f aca="false">[1]Base_Jugadores!G1451</f>
        <v>33</v>
      </c>
      <c r="I1451" s="7" t="n">
        <f aca="false" t="array" ref="I1451:I1451">_xlfn.XLOOKUP(G1451,{55;56;57;58;59;60;61;62;63;64;65;66;67;68;69;70;71;72;73;74;75;76;77;78;79;80;81;82;83;84;85;86;87;88;89;90;91;92;93;94;95;96;97;98;99},{100000;130000;160000;190000;220000;250000;300000;350000;400000;450000;500000;600000;700000;800000;900000;1000000;1500000;2000000;3000000;4000000;5000000;6500000;8000000;10000000;12500000;15000000;20000000;25000000;30000000;35000000;40000000;55000000;70000000;80000000;90000000;110000000;130000000;160000000;190000000;220000000;250000000;280000000;310000000;340000000;400000000})</f>
        <v>2000000</v>
      </c>
      <c r="J1451" s="7" t="n">
        <f aca="false">I1451*S1451*T1451*U1451</f>
        <v>1824000</v>
      </c>
      <c r="K1451" s="3"/>
      <c r="L1451" s="3"/>
      <c r="M1451" s="3"/>
      <c r="N1451" s="9" t="n">
        <v>0</v>
      </c>
      <c r="O1451" s="4" t="n">
        <v>0</v>
      </c>
      <c r="P1451" s="5" t="n">
        <f aca="false">IF(COUNTIF([1]Base_Jugadores!J$2:J$500,B1451)&gt;0,1,0)</f>
        <v>0</v>
      </c>
      <c r="Q1451" s="10" t="b">
        <f aca="false">--(COUNTIFS(
   [1]Fichajes_Realizados!A$2:A$5000,A1451,
   [1]Fichajes_Realizados!G$2:G$5000,$X$3
)&gt;0)</f>
        <v>0</v>
      </c>
      <c r="R1451" s="5" t="n">
        <f aca="false">_xlfn.XLOOKUP(C1451, [1]Estado_Equipos!A$2:A$500, [1]Estado_Equipos!J$2:J$500, "")</f>
        <v>70</v>
      </c>
      <c r="S1451" s="5" t="n">
        <f aca="false">IF(H1451&lt;=16,1.45,
IF(H1451&gt;=41,0.3,
CHOOSE(ROUNDDOWN((H1451-16)/2,0)+1,
1.45,1.38,1.3,1.23,1.17,1.15,1.12,1.05,0.95,0.8,0.6,0.4,0.3)))</f>
        <v>0.95</v>
      </c>
      <c r="T1451" s="5" t="n">
        <f aca="false">CHOOSE(N1451+1,1.2,1,0.85,0.7)</f>
        <v>1.2</v>
      </c>
      <c r="U1451" s="5" t="n">
        <f aca="false">IF(F1451="PO",0.6,
IF(F1451="CT",0.75,
IF(F1451="LI",0.8,
IF(F1451="LD",0.8,
IF(F1451="MCD",0.85,
IF(F1451="MC",0.95,
IF(F1451="MO",1.05,
IF(F1451="EI",1.1,
IF(F1451="ED",1.1,
IF(F1451="SD",1.15,
IF(F1451="DC",1.2,0)))))))))))</f>
        <v>0.8</v>
      </c>
    </row>
    <row r="1452" customFormat="false" ht="16.4" hidden="false" customHeight="false" outlineLevel="0" collapsed="false">
      <c r="A1452" s="1" t="n">
        <v>1451</v>
      </c>
      <c r="B1452" s="5" t="str">
        <f aca="false">[1]Base_Jugadores!B1452</f>
        <v>Claudio Gomes</v>
      </c>
      <c r="C1452" s="5" t="str">
        <f aca="false">IFERROR(
   _xlfn.XLOOKUP(VALUE(A1452),[1]Fichajes_Realizados!A$2:A$50000,[1]Fichajes_Realizados!D$2:D$50000,,0,-1),
   _xlfn.XLOOKUP(VALUE(A1452),[1]Base_Jugadores!A$2:A$50000,[1]Base_Jugadores!C$2:C$50000)
)</f>
        <v>Palermo</v>
      </c>
      <c r="D1452" s="5" t="str">
        <f aca="false">[1]Base_Jugadores!D1452</f>
        <v>Francia</v>
      </c>
      <c r="E1452" s="3"/>
      <c r="F1452" s="5" t="str">
        <f aca="false">[1]Base_Jugadores!E1452</f>
        <v>MCD</v>
      </c>
      <c r="G1452" s="5" t="n">
        <f aca="false">[1]Base_Jugadores!F1452</f>
        <v>72</v>
      </c>
      <c r="H1452" s="5" t="n">
        <f aca="false">[1]Base_Jugadores!G1452</f>
        <v>25</v>
      </c>
      <c r="I1452" s="7" t="n">
        <f aca="false" t="array" ref="I1452:I1452">_xlfn.XLOOKUP(G1452,{55;56;57;58;59;60;61;62;63;64;65;66;67;68;69;70;71;72;73;74;75;76;77;78;79;80;81;82;83;84;85;86;87;88;89;90;91;92;93;94;95;96;97;98;99},{100000;130000;160000;190000;220000;250000;300000;350000;400000;450000;500000;600000;700000;800000;900000;1000000;1500000;2000000;3000000;4000000;5000000;6500000;8000000;10000000;12500000;15000000;20000000;25000000;30000000;35000000;40000000;55000000;70000000;80000000;90000000;110000000;130000000;160000000;190000000;220000000;250000000;280000000;310000000;340000000;400000000})</f>
        <v>2000000</v>
      </c>
      <c r="J1452" s="7" t="n">
        <f aca="false">I1452*S1452*T1452*U1452</f>
        <v>2386800</v>
      </c>
      <c r="K1452" s="3"/>
      <c r="L1452" s="3"/>
      <c r="M1452" s="3"/>
      <c r="N1452" s="9" t="n">
        <v>0</v>
      </c>
      <c r="O1452" s="4" t="n">
        <v>0</v>
      </c>
      <c r="P1452" s="5" t="n">
        <f aca="false">IF(COUNTIF([1]Base_Jugadores!J$2:J$500,B1452)&gt;0,1,0)</f>
        <v>0</v>
      </c>
      <c r="Q1452" s="10" t="b">
        <f aca="false">--(COUNTIFS(
   [1]Fichajes_Realizados!A$2:A$5000,A1452,
   [1]Fichajes_Realizados!G$2:G$5000,$X$3
)&gt;0)</f>
        <v>0</v>
      </c>
      <c r="R1452" s="5" t="n">
        <f aca="false">_xlfn.XLOOKUP(C1452, [1]Estado_Equipos!A$2:A$500, [1]Estado_Equipos!J$2:J$500, "")</f>
        <v>70</v>
      </c>
      <c r="S1452" s="5" t="n">
        <f aca="false">IF(H1452&lt;=16,1.45,
IF(H1452&gt;=41,0.3,
CHOOSE(ROUNDDOWN((H1452-16)/2,0)+1,
1.45,1.38,1.3,1.23,1.17,1.15,1.12,1.05,0.95,0.8,0.6,0.4,0.3)))</f>
        <v>1.17</v>
      </c>
      <c r="T1452" s="5" t="n">
        <f aca="false">CHOOSE(N1452+1,1.2,1,0.85,0.7)</f>
        <v>1.2</v>
      </c>
      <c r="U1452" s="5" t="n">
        <f aca="false">IF(F1452="PO",0.6,
IF(F1452="CT",0.75,
IF(F1452="LI",0.8,
IF(F1452="LD",0.8,
IF(F1452="MCD",0.85,
IF(F1452="MC",0.95,
IF(F1452="MO",1.05,
IF(F1452="EI",1.1,
IF(F1452="ED",1.1,
IF(F1452="SD",1.15,
IF(F1452="DC",1.2,0)))))))))))</f>
        <v>0.85</v>
      </c>
    </row>
    <row r="1453" customFormat="false" ht="16.4" hidden="false" customHeight="false" outlineLevel="0" collapsed="false">
      <c r="A1453" s="1" t="n">
        <v>1452</v>
      </c>
      <c r="B1453" s="5" t="str">
        <f aca="false">[1]Base_Jugadores!B1453</f>
        <v>Alexis Blin</v>
      </c>
      <c r="C1453" s="5" t="str">
        <f aca="false">IFERROR(
   _xlfn.XLOOKUP(VALUE(A1453),[1]Fichajes_Realizados!A$2:A$50000,[1]Fichajes_Realizados!D$2:D$50000,,0,-1),
   _xlfn.XLOOKUP(VALUE(A1453),[1]Base_Jugadores!A$2:A$50000,[1]Base_Jugadores!C$2:C$50000)
)</f>
        <v>Palermo</v>
      </c>
      <c r="D1453" s="5" t="str">
        <f aca="false">[1]Base_Jugadores!D1453</f>
        <v>Francia</v>
      </c>
      <c r="E1453" s="3"/>
      <c r="F1453" s="5" t="str">
        <f aca="false">[1]Base_Jugadores!E1453</f>
        <v>MCD</v>
      </c>
      <c r="G1453" s="5" t="n">
        <f aca="false">[1]Base_Jugadores!F1453</f>
        <v>72</v>
      </c>
      <c r="H1453" s="5" t="n">
        <f aca="false">[1]Base_Jugadores!G1453</f>
        <v>29</v>
      </c>
      <c r="I1453" s="7" t="n">
        <f aca="false" t="array" ref="I1453:I1453">_xlfn.XLOOKUP(G1453,{55;56;57;58;59;60;61;62;63;64;65;66;67;68;69;70;71;72;73;74;75;76;77;78;79;80;81;82;83;84;85;86;87;88;89;90;91;92;93;94;95;96;97;98;99},{100000;130000;160000;190000;220000;250000;300000;350000;400000;450000;500000;600000;700000;800000;900000;1000000;1500000;2000000;3000000;4000000;5000000;6500000;8000000;10000000;12500000;15000000;20000000;25000000;30000000;35000000;40000000;55000000;70000000;80000000;90000000;110000000;130000000;160000000;190000000;220000000;250000000;280000000;310000000;340000000;400000000})</f>
        <v>2000000</v>
      </c>
      <c r="J1453" s="7" t="n">
        <f aca="false">I1453*S1453*T1453*U1453</f>
        <v>2284800</v>
      </c>
      <c r="K1453" s="3"/>
      <c r="L1453" s="3"/>
      <c r="M1453" s="3"/>
      <c r="N1453" s="9" t="n">
        <v>0</v>
      </c>
      <c r="O1453" s="4" t="n">
        <v>0</v>
      </c>
      <c r="P1453" s="5" t="n">
        <f aca="false">IF(COUNTIF([1]Base_Jugadores!J$2:J$500,B1453)&gt;0,1,0)</f>
        <v>0</v>
      </c>
      <c r="Q1453" s="10" t="b">
        <f aca="false">--(COUNTIFS(
   [1]Fichajes_Realizados!A$2:A$5000,A1453,
   [1]Fichajes_Realizados!G$2:G$5000,$X$3
)&gt;0)</f>
        <v>0</v>
      </c>
      <c r="R1453" s="5" t="n">
        <f aca="false">_xlfn.XLOOKUP(C1453, [1]Estado_Equipos!A$2:A$500, [1]Estado_Equipos!J$2:J$500, "")</f>
        <v>70</v>
      </c>
      <c r="S1453" s="5" t="n">
        <f aca="false">IF(H1453&lt;=16,1.45,
IF(H1453&gt;=41,0.3,
CHOOSE(ROUNDDOWN((H1453-16)/2,0)+1,
1.45,1.38,1.3,1.23,1.17,1.15,1.12,1.05,0.95,0.8,0.6,0.4,0.3)))</f>
        <v>1.12</v>
      </c>
      <c r="T1453" s="5" t="n">
        <f aca="false">CHOOSE(N1453+1,1.2,1,0.85,0.7)</f>
        <v>1.2</v>
      </c>
      <c r="U1453" s="5" t="n">
        <f aca="false">IF(F1453="PO",0.6,
IF(F1453="CT",0.75,
IF(F1453="LI",0.8,
IF(F1453="LD",0.8,
IF(F1453="MCD",0.85,
IF(F1453="MC",0.95,
IF(F1453="MO",1.05,
IF(F1453="EI",1.1,
IF(F1453="ED",1.1,
IF(F1453="SD",1.15,
IF(F1453="DC",1.2,0)))))))))))</f>
        <v>0.85</v>
      </c>
    </row>
    <row r="1454" customFormat="false" ht="16.4" hidden="false" customHeight="false" outlineLevel="0" collapsed="false">
      <c r="A1454" s="1" t="n">
        <v>1453</v>
      </c>
      <c r="B1454" s="5" t="str">
        <f aca="false">[1]Base_Jugadores!B1454</f>
        <v>Filippo Ranocchia</v>
      </c>
      <c r="C1454" s="5" t="str">
        <f aca="false">IFERROR(
   _xlfn.XLOOKUP(VALUE(A1454),[1]Fichajes_Realizados!A$2:A$50000,[1]Fichajes_Realizados!D$2:D$50000,,0,-1),
   _xlfn.XLOOKUP(VALUE(A1454),[1]Base_Jugadores!A$2:A$50000,[1]Base_Jugadores!C$2:C$50000)
)</f>
        <v>Palermo</v>
      </c>
      <c r="D1454" s="5" t="str">
        <f aca="false">[1]Base_Jugadores!D1454</f>
        <v>Italia</v>
      </c>
      <c r="E1454" s="3"/>
      <c r="F1454" s="5" t="str">
        <f aca="false">[1]Base_Jugadores!E1454</f>
        <v>MC</v>
      </c>
      <c r="G1454" s="5" t="n">
        <f aca="false">[1]Base_Jugadores!F1454</f>
        <v>69</v>
      </c>
      <c r="H1454" s="5" t="n">
        <f aca="false">[1]Base_Jugadores!G1454</f>
        <v>24</v>
      </c>
      <c r="I1454" s="7" t="n">
        <f aca="false" t="array" ref="I1454:I1454">_xlfn.XLOOKUP(G1454,{55;56;57;58;59;60;61;62;63;64;65;66;67;68;69;70;71;72;73;74;75;76;77;78;79;80;81;82;83;84;85;86;87;88;89;90;91;92;93;94;95;96;97;98;99},{100000;130000;160000;190000;220000;250000;300000;350000;400000;450000;500000;600000;700000;800000;900000;1000000;1500000;2000000;3000000;4000000;5000000;6500000;8000000;10000000;12500000;15000000;20000000;25000000;30000000;35000000;40000000;55000000;70000000;80000000;90000000;110000000;130000000;160000000;190000000;220000000;250000000;280000000;310000000;340000000;400000000})</f>
        <v>900000</v>
      </c>
      <c r="J1454" s="7" t="n">
        <f aca="false">I1454*S1454*T1454*U1454</f>
        <v>1200420</v>
      </c>
      <c r="K1454" s="3"/>
      <c r="L1454" s="3"/>
      <c r="M1454" s="3"/>
      <c r="N1454" s="9" t="n">
        <v>0</v>
      </c>
      <c r="O1454" s="4" t="n">
        <v>0</v>
      </c>
      <c r="P1454" s="5" t="n">
        <f aca="false">IF(COUNTIF([1]Base_Jugadores!J$2:J$500,B1454)&gt;0,1,0)</f>
        <v>0</v>
      </c>
      <c r="Q1454" s="10" t="b">
        <f aca="false">--(COUNTIFS(
   [1]Fichajes_Realizados!A$2:A$5000,A1454,
   [1]Fichajes_Realizados!G$2:G$5000,$X$3
)&gt;0)</f>
        <v>0</v>
      </c>
      <c r="R1454" s="5" t="n">
        <f aca="false">_xlfn.XLOOKUP(C1454, [1]Estado_Equipos!A$2:A$500, [1]Estado_Equipos!J$2:J$500, "")</f>
        <v>70</v>
      </c>
      <c r="S1454" s="5" t="n">
        <f aca="false">IF(H1454&lt;=16,1.45,
IF(H1454&gt;=41,0.3,
CHOOSE(ROUNDDOWN((H1454-16)/2,0)+1,
1.45,1.38,1.3,1.23,1.17,1.15,1.12,1.05,0.95,0.8,0.6,0.4,0.3)))</f>
        <v>1.17</v>
      </c>
      <c r="T1454" s="5" t="n">
        <f aca="false">CHOOSE(N1454+1,1.2,1,0.85,0.7)</f>
        <v>1.2</v>
      </c>
      <c r="U1454" s="5" t="n">
        <f aca="false">IF(F1454="PO",0.6,
IF(F1454="CT",0.75,
IF(F1454="LI",0.8,
IF(F1454="LD",0.8,
IF(F1454="MCD",0.85,
IF(F1454="MC",0.95,
IF(F1454="MO",1.05,
IF(F1454="EI",1.1,
IF(F1454="ED",1.1,
IF(F1454="SD",1.15,
IF(F1454="DC",1.2,0)))))))))))</f>
        <v>0.95</v>
      </c>
    </row>
    <row r="1455" customFormat="false" ht="16.4" hidden="false" customHeight="false" outlineLevel="0" collapsed="false">
      <c r="A1455" s="1" t="n">
        <v>1454</v>
      </c>
      <c r="B1455" s="5" t="str">
        <f aca="false">[1]Base_Jugadores!B1455</f>
        <v>Antonio Palumbo</v>
      </c>
      <c r="C1455" s="5" t="str">
        <f aca="false">IFERROR(
   _xlfn.XLOOKUP(VALUE(A1455),[1]Fichajes_Realizados!A$2:A$50000,[1]Fichajes_Realizados!D$2:D$50000,,0,-1),
   _xlfn.XLOOKUP(VALUE(A1455),[1]Base_Jugadores!A$2:A$50000,[1]Base_Jugadores!C$2:C$50000)
)</f>
        <v>Palermo</v>
      </c>
      <c r="D1455" s="5" t="str">
        <f aca="false">[1]Base_Jugadores!D1455</f>
        <v>Italia</v>
      </c>
      <c r="E1455" s="3"/>
      <c r="F1455" s="5" t="str">
        <f aca="false">[1]Base_Jugadores!E1455</f>
        <v>MC</v>
      </c>
      <c r="G1455" s="5" t="n">
        <f aca="false">[1]Base_Jugadores!F1455</f>
        <v>73</v>
      </c>
      <c r="H1455" s="5" t="n">
        <f aca="false">[1]Base_Jugadores!G1455</f>
        <v>29</v>
      </c>
      <c r="I1455" s="7" t="n">
        <f aca="false" t="array" ref="I1455:I1455">_xlfn.XLOOKUP(G1455,{55;56;57;58;59;60;61;62;63;64;65;66;67;68;69;70;71;72;73;74;75;76;77;78;79;80;81;82;83;84;85;86;87;88;89;90;91;92;93;94;95;96;97;98;99},{100000;130000;160000;190000;220000;250000;300000;350000;400000;450000;500000;600000;700000;800000;900000;1000000;1500000;2000000;3000000;4000000;5000000;6500000;8000000;10000000;12500000;15000000;20000000;25000000;30000000;35000000;40000000;55000000;70000000;80000000;90000000;110000000;130000000;160000000;190000000;220000000;250000000;280000000;310000000;340000000;400000000})</f>
        <v>3000000</v>
      </c>
      <c r="J1455" s="7" t="n">
        <f aca="false">I1455*S1455*T1455*U1455</f>
        <v>3830400</v>
      </c>
      <c r="K1455" s="3"/>
      <c r="L1455" s="3"/>
      <c r="M1455" s="3"/>
      <c r="N1455" s="9" t="n">
        <v>0</v>
      </c>
      <c r="O1455" s="4" t="n">
        <v>0</v>
      </c>
      <c r="P1455" s="5" t="n">
        <f aca="false">IF(COUNTIF([1]Base_Jugadores!J$2:J$500,B1455)&gt;0,1,0)</f>
        <v>0</v>
      </c>
      <c r="Q1455" s="10" t="b">
        <f aca="false">--(COUNTIFS(
   [1]Fichajes_Realizados!A$2:A$5000,A1455,
   [1]Fichajes_Realizados!G$2:G$5000,$X$3
)&gt;0)</f>
        <v>0</v>
      </c>
      <c r="R1455" s="5" t="n">
        <f aca="false">_xlfn.XLOOKUP(C1455, [1]Estado_Equipos!A$2:A$500, [1]Estado_Equipos!J$2:J$500, "")</f>
        <v>70</v>
      </c>
      <c r="S1455" s="5" t="n">
        <f aca="false">IF(H1455&lt;=16,1.45,
IF(H1455&gt;=41,0.3,
CHOOSE(ROUNDDOWN((H1455-16)/2,0)+1,
1.45,1.38,1.3,1.23,1.17,1.15,1.12,1.05,0.95,0.8,0.6,0.4,0.3)))</f>
        <v>1.12</v>
      </c>
      <c r="T1455" s="5" t="n">
        <f aca="false">CHOOSE(N1455+1,1.2,1,0.85,0.7)</f>
        <v>1.2</v>
      </c>
      <c r="U1455" s="5" t="n">
        <f aca="false">IF(F1455="PO",0.6,
IF(F1455="CT",0.75,
IF(F1455="LI",0.8,
IF(F1455="LD",0.8,
IF(F1455="MCD",0.85,
IF(F1455="MC",0.95,
IF(F1455="MO",1.05,
IF(F1455="EI",1.1,
IF(F1455="ED",1.1,
IF(F1455="SD",1.15,
IF(F1455="DC",1.2,0)))))))))))</f>
        <v>0.95</v>
      </c>
    </row>
    <row r="1456" customFormat="false" ht="16.4" hidden="false" customHeight="false" outlineLevel="0" collapsed="false">
      <c r="A1456" s="1" t="n">
        <v>1455</v>
      </c>
      <c r="B1456" s="5" t="str">
        <f aca="false">[1]Base_Jugadores!B1456</f>
        <v>Jacopo Segre</v>
      </c>
      <c r="C1456" s="5" t="str">
        <f aca="false">IFERROR(
   _xlfn.XLOOKUP(VALUE(A1456),[1]Fichajes_Realizados!A$2:A$50000,[1]Fichajes_Realizados!D$2:D$50000,,0,-1),
   _xlfn.XLOOKUP(VALUE(A1456),[1]Base_Jugadores!A$2:A$50000,[1]Base_Jugadores!C$2:C$50000)
)</f>
        <v>Palermo</v>
      </c>
      <c r="D1456" s="5" t="str">
        <f aca="false">[1]Base_Jugadores!D1456</f>
        <v>Italia</v>
      </c>
      <c r="E1456" s="3"/>
      <c r="F1456" s="5" t="str">
        <f aca="false">[1]Base_Jugadores!E1456</f>
        <v>MC</v>
      </c>
      <c r="G1456" s="5" t="n">
        <f aca="false">[1]Base_Jugadores!F1456</f>
        <v>69</v>
      </c>
      <c r="H1456" s="5" t="n">
        <f aca="false">[1]Base_Jugadores!G1456</f>
        <v>28</v>
      </c>
      <c r="I1456" s="7" t="n">
        <f aca="false" t="array" ref="I1456:I1456">_xlfn.XLOOKUP(G1456,{55;56;57;58;59;60;61;62;63;64;65;66;67;68;69;70;71;72;73;74;75;76;77;78;79;80;81;82;83;84;85;86;87;88;89;90;91;92;93;94;95;96;97;98;99},{100000;130000;160000;190000;220000;250000;300000;350000;400000;450000;500000;600000;700000;800000;900000;1000000;1500000;2000000;3000000;4000000;5000000;6500000;8000000;10000000;12500000;15000000;20000000;25000000;30000000;35000000;40000000;55000000;70000000;80000000;90000000;110000000;130000000;160000000;190000000;220000000;250000000;280000000;310000000;340000000;400000000})</f>
        <v>900000</v>
      </c>
      <c r="J1456" s="7" t="n">
        <f aca="false">I1456*S1456*T1456*U1456</f>
        <v>1149120</v>
      </c>
      <c r="K1456" s="3"/>
      <c r="L1456" s="3"/>
      <c r="M1456" s="3"/>
      <c r="N1456" s="9" t="n">
        <v>0</v>
      </c>
      <c r="O1456" s="4" t="n">
        <v>0</v>
      </c>
      <c r="P1456" s="5" t="n">
        <f aca="false">IF(COUNTIF([1]Base_Jugadores!J$2:J$500,B1456)&gt;0,1,0)</f>
        <v>0</v>
      </c>
      <c r="Q1456" s="10" t="b">
        <f aca="false">--(COUNTIFS(
   [1]Fichajes_Realizados!A$2:A$5000,A1456,
   [1]Fichajes_Realizados!G$2:G$5000,$X$3
)&gt;0)</f>
        <v>0</v>
      </c>
      <c r="R1456" s="5" t="n">
        <f aca="false">_xlfn.XLOOKUP(C1456, [1]Estado_Equipos!A$2:A$500, [1]Estado_Equipos!J$2:J$500, "")</f>
        <v>70</v>
      </c>
      <c r="S1456" s="5" t="n">
        <f aca="false">IF(H1456&lt;=16,1.45,
IF(H1456&gt;=41,0.3,
CHOOSE(ROUNDDOWN((H1456-16)/2,0)+1,
1.45,1.38,1.3,1.23,1.17,1.15,1.12,1.05,0.95,0.8,0.6,0.4,0.3)))</f>
        <v>1.12</v>
      </c>
      <c r="T1456" s="5" t="n">
        <f aca="false">CHOOSE(N1456+1,1.2,1,0.85,0.7)</f>
        <v>1.2</v>
      </c>
      <c r="U1456" s="5" t="n">
        <f aca="false">IF(F1456="PO",0.6,
IF(F1456="CT",0.75,
IF(F1456="LI",0.8,
IF(F1456="LD",0.8,
IF(F1456="MCD",0.85,
IF(F1456="MC",0.95,
IF(F1456="MO",1.05,
IF(F1456="EI",1.1,
IF(F1456="ED",1.1,
IF(F1456="SD",1.15,
IF(F1456="DC",1.2,0)))))))))))</f>
        <v>0.95</v>
      </c>
    </row>
    <row r="1457" customFormat="false" ht="16.4" hidden="false" customHeight="false" outlineLevel="0" collapsed="false">
      <c r="A1457" s="1" t="n">
        <v>1456</v>
      </c>
      <c r="B1457" s="5" t="str">
        <f aca="false">[1]Base_Jugadores!B1457</f>
        <v>Samuel Giovane</v>
      </c>
      <c r="C1457" s="5" t="str">
        <f aca="false">IFERROR(
   _xlfn.XLOOKUP(VALUE(A1457),[1]Fichajes_Realizados!A$2:A$50000,[1]Fichajes_Realizados!D$2:D$50000,,0,-1),
   _xlfn.XLOOKUP(VALUE(A1457),[1]Base_Jugadores!A$2:A$50000,[1]Base_Jugadores!C$2:C$50000)
)</f>
        <v>Palermo</v>
      </c>
      <c r="D1457" s="5" t="str">
        <f aca="false">[1]Base_Jugadores!D1457</f>
        <v>Italia</v>
      </c>
      <c r="E1457" s="3"/>
      <c r="F1457" s="5" t="str">
        <f aca="false">[1]Base_Jugadores!E1457</f>
        <v>MC</v>
      </c>
      <c r="G1457" s="5" t="n">
        <f aca="false">[1]Base_Jugadores!F1457</f>
        <v>64</v>
      </c>
      <c r="H1457" s="5" t="n">
        <f aca="false">[1]Base_Jugadores!G1457</f>
        <v>22</v>
      </c>
      <c r="I1457" s="7" t="n">
        <f aca="false" t="array" ref="I1457:I1457">_xlfn.XLOOKUP(G1457,{55;56;57;58;59;60;61;62;63;64;65;66;67;68;69;70;71;72;73;74;75;76;77;78;79;80;81;82;83;84;85;86;87;88;89;90;91;92;93;94;95;96;97;98;99},{100000;130000;160000;190000;220000;250000;300000;350000;400000;450000;500000;600000;700000;800000;900000;1000000;1500000;2000000;3000000;4000000;5000000;6500000;8000000;10000000;12500000;15000000;20000000;25000000;30000000;35000000;40000000;55000000;70000000;80000000;90000000;110000000;130000000;160000000;190000000;220000000;250000000;280000000;310000000;340000000;400000000})</f>
        <v>450000</v>
      </c>
      <c r="J1457" s="7" t="n">
        <f aca="false">I1457*S1457*T1457*U1457</f>
        <v>630990</v>
      </c>
      <c r="K1457" s="3"/>
      <c r="L1457" s="3"/>
      <c r="M1457" s="3"/>
      <c r="N1457" s="9" t="n">
        <v>0</v>
      </c>
      <c r="O1457" s="4" t="n">
        <v>0</v>
      </c>
      <c r="P1457" s="5" t="n">
        <f aca="false">IF(COUNTIF([1]Base_Jugadores!J$2:J$500,B1457)&gt;0,1,0)</f>
        <v>0</v>
      </c>
      <c r="Q1457" s="10" t="b">
        <f aca="false">--(COUNTIFS(
   [1]Fichajes_Realizados!A$2:A$5000,A1457,
   [1]Fichajes_Realizados!G$2:G$5000,$X$3
)&gt;0)</f>
        <v>0</v>
      </c>
      <c r="R1457" s="5" t="n">
        <f aca="false">_xlfn.XLOOKUP(C1457, [1]Estado_Equipos!A$2:A$500, [1]Estado_Equipos!J$2:J$500, "")</f>
        <v>70</v>
      </c>
      <c r="S1457" s="5" t="n">
        <f aca="false">IF(H1457&lt;=16,1.45,
IF(H1457&gt;=41,0.3,
CHOOSE(ROUNDDOWN((H1457-16)/2,0)+1,
1.45,1.38,1.3,1.23,1.17,1.15,1.12,1.05,0.95,0.8,0.6,0.4,0.3)))</f>
        <v>1.23</v>
      </c>
      <c r="T1457" s="5" t="n">
        <f aca="false">CHOOSE(N1457+1,1.2,1,0.85,0.7)</f>
        <v>1.2</v>
      </c>
      <c r="U1457" s="5" t="n">
        <f aca="false">IF(F1457="PO",0.6,
IF(F1457="CT",0.75,
IF(F1457="LI",0.8,
IF(F1457="LD",0.8,
IF(F1457="MCD",0.85,
IF(F1457="MC",0.95,
IF(F1457="MO",1.05,
IF(F1457="EI",1.1,
IF(F1457="ED",1.1,
IF(F1457="SD",1.15,
IF(F1457="DC",1.2,0)))))))))))</f>
        <v>0.95</v>
      </c>
    </row>
    <row r="1458" customFormat="false" ht="16.4" hidden="false" customHeight="false" outlineLevel="0" collapsed="false">
      <c r="A1458" s="1" t="n">
        <v>1457</v>
      </c>
      <c r="B1458" s="5" t="str">
        <f aca="false">[1]Base_Jugadores!B1458</f>
        <v>Aljosa Vasic</v>
      </c>
      <c r="C1458" s="5" t="str">
        <f aca="false">IFERROR(
   _xlfn.XLOOKUP(VALUE(A1458),[1]Fichajes_Realizados!A$2:A$50000,[1]Fichajes_Realizados!D$2:D$50000,,0,-1),
   _xlfn.XLOOKUP(VALUE(A1458),[1]Base_Jugadores!A$2:A$50000,[1]Base_Jugadores!C$2:C$50000)
)</f>
        <v>Palermo</v>
      </c>
      <c r="D1458" s="5" t="str">
        <f aca="false">[1]Base_Jugadores!D1458</f>
        <v>Serbia</v>
      </c>
      <c r="E1458" s="3"/>
      <c r="F1458" s="5" t="str">
        <f aca="false">[1]Base_Jugadores!E1458</f>
        <v>MC</v>
      </c>
      <c r="G1458" s="5" t="n">
        <f aca="false">[1]Base_Jugadores!F1458</f>
        <v>67</v>
      </c>
      <c r="H1458" s="5" t="n">
        <f aca="false">[1]Base_Jugadores!G1458</f>
        <v>23</v>
      </c>
      <c r="I1458" s="7" t="n">
        <f aca="false" t="array" ref="I1458:I1458">_xlfn.XLOOKUP(G1458,{55;56;57;58;59;60;61;62;63;64;65;66;67;68;69;70;71;72;73;74;75;76;77;78;79;80;81;82;83;84;85;86;87;88;89;90;91;92;93;94;95;96;97;98;99},{100000;130000;160000;190000;220000;250000;300000;350000;400000;450000;500000;600000;700000;800000;900000;1000000;1500000;2000000;3000000;4000000;5000000;6500000;8000000;10000000;12500000;15000000;20000000;25000000;30000000;35000000;40000000;55000000;70000000;80000000;90000000;110000000;130000000;160000000;190000000;220000000;250000000;280000000;310000000;340000000;400000000})</f>
        <v>700000</v>
      </c>
      <c r="J1458" s="7" t="n">
        <f aca="false">I1458*S1458*T1458*U1458</f>
        <v>981540</v>
      </c>
      <c r="K1458" s="3"/>
      <c r="L1458" s="3"/>
      <c r="M1458" s="3"/>
      <c r="N1458" s="9" t="n">
        <v>0</v>
      </c>
      <c r="O1458" s="4" t="n">
        <v>0</v>
      </c>
      <c r="P1458" s="5" t="n">
        <f aca="false">IF(COUNTIF([1]Base_Jugadores!J$2:J$500,B1458)&gt;0,1,0)</f>
        <v>0</v>
      </c>
      <c r="Q1458" s="10" t="b">
        <f aca="false">--(COUNTIFS(
   [1]Fichajes_Realizados!A$2:A$5000,A1458,
   [1]Fichajes_Realizados!G$2:G$5000,$X$3
)&gt;0)</f>
        <v>0</v>
      </c>
      <c r="R1458" s="5" t="n">
        <f aca="false">_xlfn.XLOOKUP(C1458, [1]Estado_Equipos!A$2:A$500, [1]Estado_Equipos!J$2:J$500, "")</f>
        <v>70</v>
      </c>
      <c r="S1458" s="5" t="n">
        <f aca="false">IF(H1458&lt;=16,1.45,
IF(H1458&gt;=41,0.3,
CHOOSE(ROUNDDOWN((H1458-16)/2,0)+1,
1.45,1.38,1.3,1.23,1.17,1.15,1.12,1.05,0.95,0.8,0.6,0.4,0.3)))</f>
        <v>1.23</v>
      </c>
      <c r="T1458" s="5" t="n">
        <f aca="false">CHOOSE(N1458+1,1.2,1,0.85,0.7)</f>
        <v>1.2</v>
      </c>
      <c r="U1458" s="5" t="n">
        <f aca="false">IF(F1458="PO",0.6,
IF(F1458="CT",0.75,
IF(F1458="LI",0.8,
IF(F1458="LD",0.8,
IF(F1458="MCD",0.85,
IF(F1458="MC",0.95,
IF(F1458="MO",1.05,
IF(F1458="EI",1.1,
IF(F1458="ED",1.1,
IF(F1458="SD",1.15,
IF(F1458="DC",1.2,0)))))))))))</f>
        <v>0.95</v>
      </c>
    </row>
    <row r="1459" customFormat="false" ht="16.4" hidden="false" customHeight="false" outlineLevel="0" collapsed="false">
      <c r="A1459" s="1" t="n">
        <v>1458</v>
      </c>
      <c r="B1459" s="5" t="str">
        <f aca="false">[1]Base_Jugadores!B1459</f>
        <v>Emmanuel Gyasi</v>
      </c>
      <c r="C1459" s="5" t="str">
        <f aca="false">IFERROR(
   _xlfn.XLOOKUP(VALUE(A1459),[1]Fichajes_Realizados!A$2:A$50000,[1]Fichajes_Realizados!D$2:D$50000,,0,-1),
   _xlfn.XLOOKUP(VALUE(A1459),[1]Base_Jugadores!A$2:A$50000,[1]Base_Jugadores!C$2:C$50000)
)</f>
        <v>Palermo</v>
      </c>
      <c r="D1459" s="5" t="str">
        <f aca="false">[1]Base_Jugadores!D1459</f>
        <v>Ghana</v>
      </c>
      <c r="E1459" s="3"/>
      <c r="F1459" s="5" t="str">
        <f aca="false">[1]Base_Jugadores!E1459</f>
        <v>ED</v>
      </c>
      <c r="G1459" s="5" t="n">
        <f aca="false">[1]Base_Jugadores!F1459</f>
        <v>75</v>
      </c>
      <c r="H1459" s="5" t="n">
        <f aca="false">[1]Base_Jugadores!G1459</f>
        <v>31</v>
      </c>
      <c r="I1459" s="7" t="n">
        <f aca="false" t="array" ref="I1459:I1459">_xlfn.XLOOKUP(G1459,{55;56;57;58;59;60;61;62;63;64;65;66;67;68;69;70;71;72;73;74;75;76;77;78;79;80;81;82;83;84;85;86;87;88;89;90;91;92;93;94;95;96;97;98;99},{100000;130000;160000;190000;220000;250000;300000;350000;400000;450000;500000;600000;700000;800000;900000;1000000;1500000;2000000;3000000;4000000;5000000;6500000;8000000;10000000;12500000;15000000;20000000;25000000;30000000;35000000;40000000;55000000;70000000;80000000;90000000;110000000;130000000;160000000;190000000;220000000;250000000;280000000;310000000;340000000;400000000})</f>
        <v>5000000</v>
      </c>
      <c r="J1459" s="7" t="n">
        <f aca="false">I1459*S1459*T1459*U1459</f>
        <v>6930000</v>
      </c>
      <c r="K1459" s="3"/>
      <c r="L1459" s="3"/>
      <c r="M1459" s="3"/>
      <c r="N1459" s="9" t="n">
        <v>0</v>
      </c>
      <c r="O1459" s="4" t="n">
        <v>0</v>
      </c>
      <c r="P1459" s="5" t="n">
        <f aca="false">IF(COUNTIF([1]Base_Jugadores!J$2:J$500,B1459)&gt;0,1,0)</f>
        <v>0</v>
      </c>
      <c r="Q1459" s="10" t="b">
        <f aca="false">--(COUNTIFS(
   [1]Fichajes_Realizados!A$2:A$5000,A1459,
   [1]Fichajes_Realizados!G$2:G$5000,$X$3
)&gt;0)</f>
        <v>0</v>
      </c>
      <c r="R1459" s="5" t="n">
        <f aca="false">_xlfn.XLOOKUP(C1459, [1]Estado_Equipos!A$2:A$500, [1]Estado_Equipos!J$2:J$500, "")</f>
        <v>70</v>
      </c>
      <c r="S1459" s="5" t="n">
        <f aca="false">IF(H1459&lt;=16,1.45,
IF(H1459&gt;=41,0.3,
CHOOSE(ROUNDDOWN((H1459-16)/2,0)+1,
1.45,1.38,1.3,1.23,1.17,1.15,1.12,1.05,0.95,0.8,0.6,0.4,0.3)))</f>
        <v>1.05</v>
      </c>
      <c r="T1459" s="5" t="n">
        <f aca="false">CHOOSE(N1459+1,1.2,1,0.85,0.7)</f>
        <v>1.2</v>
      </c>
      <c r="U1459" s="5" t="n">
        <f aca="false">IF(F1459="PO",0.6,
IF(F1459="CT",0.75,
IF(F1459="LI",0.8,
IF(F1459="LD",0.8,
IF(F1459="MCD",0.85,
IF(F1459="MC",0.95,
IF(F1459="MO",1.05,
IF(F1459="EI",1.1,
IF(F1459="ED",1.1,
IF(F1459="SD",1.15,
IF(F1459="DC",1.2,0)))))))))))</f>
        <v>1.1</v>
      </c>
    </row>
    <row r="1460" customFormat="false" ht="16.4" hidden="false" customHeight="false" outlineLevel="0" collapsed="false">
      <c r="A1460" s="1" t="n">
        <v>1459</v>
      </c>
      <c r="B1460" s="5" t="str">
        <f aca="false">[1]Base_Jugadores!B1460</f>
        <v>Matteo Brunori</v>
      </c>
      <c r="C1460" s="5" t="str">
        <f aca="false">IFERROR(
   _xlfn.XLOOKUP(VALUE(A1460),[1]Fichajes_Realizados!A$2:A$50000,[1]Fichajes_Realizados!D$2:D$50000,,0,-1),
   _xlfn.XLOOKUP(VALUE(A1460),[1]Base_Jugadores!A$2:A$50000,[1]Base_Jugadores!C$2:C$50000)
)</f>
        <v>Palermo</v>
      </c>
      <c r="D1460" s="5" t="str">
        <f aca="false">[1]Base_Jugadores!D1460</f>
        <v>Italia</v>
      </c>
      <c r="E1460" s="3"/>
      <c r="F1460" s="5" t="str">
        <f aca="false">[1]Base_Jugadores!E1460</f>
        <v>DC</v>
      </c>
      <c r="G1460" s="5" t="n">
        <f aca="false">[1]Base_Jugadores!F1460</f>
        <v>74</v>
      </c>
      <c r="H1460" s="5" t="n">
        <f aca="false">[1]Base_Jugadores!G1460</f>
        <v>31</v>
      </c>
      <c r="I1460" s="7" t="n">
        <f aca="false" t="array" ref="I1460:I1460">_xlfn.XLOOKUP(G1460,{55;56;57;58;59;60;61;62;63;64;65;66;67;68;69;70;71;72;73;74;75;76;77;78;79;80;81;82;83;84;85;86;87;88;89;90;91;92;93;94;95;96;97;98;99},{100000;130000;160000;190000;220000;250000;300000;350000;400000;450000;500000;600000;700000;800000;900000;1000000;1500000;2000000;3000000;4000000;5000000;6500000;8000000;10000000;12500000;15000000;20000000;25000000;30000000;35000000;40000000;55000000;70000000;80000000;90000000;110000000;130000000;160000000;190000000;220000000;250000000;280000000;310000000;340000000;400000000})</f>
        <v>4000000</v>
      </c>
      <c r="J1460" s="7" t="n">
        <f aca="false">I1460*S1460*T1460*U1460</f>
        <v>6048000</v>
      </c>
      <c r="K1460" s="3"/>
      <c r="L1460" s="3"/>
      <c r="M1460" s="3"/>
      <c r="N1460" s="9" t="n">
        <v>0</v>
      </c>
      <c r="O1460" s="4" t="n">
        <v>0</v>
      </c>
      <c r="P1460" s="5" t="n">
        <f aca="false">IF(COUNTIF([1]Base_Jugadores!J$2:J$500,B1460)&gt;0,1,0)</f>
        <v>0</v>
      </c>
      <c r="Q1460" s="10" t="b">
        <f aca="false">--(COUNTIFS(
   [1]Fichajes_Realizados!A$2:A$5000,A1460,
   [1]Fichajes_Realizados!G$2:G$5000,$X$3
)&gt;0)</f>
        <v>0</v>
      </c>
      <c r="R1460" s="5" t="n">
        <f aca="false">_xlfn.XLOOKUP(C1460, [1]Estado_Equipos!A$2:A$500, [1]Estado_Equipos!J$2:J$500, "")</f>
        <v>70</v>
      </c>
      <c r="S1460" s="5" t="n">
        <f aca="false">IF(H1460&lt;=16,1.45,
IF(H1460&gt;=41,0.3,
CHOOSE(ROUNDDOWN((H1460-16)/2,0)+1,
1.45,1.38,1.3,1.23,1.17,1.15,1.12,1.05,0.95,0.8,0.6,0.4,0.3)))</f>
        <v>1.05</v>
      </c>
      <c r="T1460" s="5" t="n">
        <f aca="false">CHOOSE(N1460+1,1.2,1,0.85,0.7)</f>
        <v>1.2</v>
      </c>
      <c r="U1460" s="5" t="n">
        <f aca="false">IF(F1460="PO",0.6,
IF(F1460="CT",0.75,
IF(F1460="LI",0.8,
IF(F1460="LD",0.8,
IF(F1460="MCD",0.85,
IF(F1460="MC",0.95,
IF(F1460="MO",1.05,
IF(F1460="EI",1.1,
IF(F1460="ED",1.1,
IF(F1460="SD",1.15,
IF(F1460="DC",1.2,0)))))))))))</f>
        <v>1.2</v>
      </c>
    </row>
    <row r="1461" customFormat="false" ht="16.4" hidden="false" customHeight="false" outlineLevel="0" collapsed="false">
      <c r="A1461" s="1" t="n">
        <v>1460</v>
      </c>
      <c r="B1461" s="5" t="str">
        <f aca="false">[1]Base_Jugadores!B1461</f>
        <v>Joel Pohjanpalo</v>
      </c>
      <c r="C1461" s="5" t="str">
        <f aca="false">IFERROR(
   _xlfn.XLOOKUP(VALUE(A1461),[1]Fichajes_Realizados!A$2:A$50000,[1]Fichajes_Realizados!D$2:D$50000,,0,-1),
   _xlfn.XLOOKUP(VALUE(A1461),[1]Base_Jugadores!A$2:A$50000,[1]Base_Jugadores!C$2:C$50000)
)</f>
        <v>Palermo</v>
      </c>
      <c r="D1461" s="5" t="str">
        <f aca="false">[1]Base_Jugadores!D1461</f>
        <v>Finlandia</v>
      </c>
      <c r="E1461" s="3"/>
      <c r="F1461" s="5" t="str">
        <f aca="false">[1]Base_Jugadores!E1461</f>
        <v>DC</v>
      </c>
      <c r="G1461" s="5" t="n">
        <f aca="false">[1]Base_Jugadores!F1461</f>
        <v>75</v>
      </c>
      <c r="H1461" s="5" t="n">
        <f aca="false">[1]Base_Jugadores!G1461</f>
        <v>31</v>
      </c>
      <c r="I1461" s="7" t="n">
        <f aca="false" t="array" ref="I1461:I1461">_xlfn.XLOOKUP(G1461,{55;56;57;58;59;60;61;62;63;64;65;66;67;68;69;70;71;72;73;74;75;76;77;78;79;80;81;82;83;84;85;86;87;88;89;90;91;92;93;94;95;96;97;98;99},{100000;130000;160000;190000;220000;250000;300000;350000;400000;450000;500000;600000;700000;800000;900000;1000000;1500000;2000000;3000000;4000000;5000000;6500000;8000000;10000000;12500000;15000000;20000000;25000000;30000000;35000000;40000000;55000000;70000000;80000000;90000000;110000000;130000000;160000000;190000000;220000000;250000000;280000000;310000000;340000000;400000000})</f>
        <v>5000000</v>
      </c>
      <c r="J1461" s="7" t="n">
        <f aca="false">I1461*S1461*T1461*U1461</f>
        <v>7560000</v>
      </c>
      <c r="K1461" s="3"/>
      <c r="L1461" s="3"/>
      <c r="M1461" s="3"/>
      <c r="N1461" s="9" t="n">
        <v>0</v>
      </c>
      <c r="O1461" s="4" t="n">
        <v>0</v>
      </c>
      <c r="P1461" s="5" t="n">
        <f aca="false">IF(COUNTIF([1]Base_Jugadores!J$2:J$500,B1461)&gt;0,1,0)</f>
        <v>0</v>
      </c>
      <c r="Q1461" s="10" t="b">
        <f aca="false">--(COUNTIFS(
   [1]Fichajes_Realizados!A$2:A$5000,A1461,
   [1]Fichajes_Realizados!G$2:G$5000,$X$3
)&gt;0)</f>
        <v>0</v>
      </c>
      <c r="R1461" s="5" t="n">
        <f aca="false">_xlfn.XLOOKUP(C1461, [1]Estado_Equipos!A$2:A$500, [1]Estado_Equipos!J$2:J$500, "")</f>
        <v>70</v>
      </c>
      <c r="S1461" s="5" t="n">
        <f aca="false">IF(H1461&lt;=16,1.45,
IF(H1461&gt;=41,0.3,
CHOOSE(ROUNDDOWN((H1461-16)/2,0)+1,
1.45,1.38,1.3,1.23,1.17,1.15,1.12,1.05,0.95,0.8,0.6,0.4,0.3)))</f>
        <v>1.05</v>
      </c>
      <c r="T1461" s="5" t="n">
        <f aca="false">CHOOSE(N1461+1,1.2,1,0.85,0.7)</f>
        <v>1.2</v>
      </c>
      <c r="U1461" s="5" t="n">
        <f aca="false">IF(F1461="PO",0.6,
IF(F1461="CT",0.75,
IF(F1461="LI",0.8,
IF(F1461="LD",0.8,
IF(F1461="MCD",0.85,
IF(F1461="MC",0.95,
IF(F1461="MO",1.05,
IF(F1461="EI",1.1,
IF(F1461="ED",1.1,
IF(F1461="SD",1.15,
IF(F1461="DC",1.2,0)))))))))))</f>
        <v>1.2</v>
      </c>
    </row>
    <row r="1462" customFormat="false" ht="16.4" hidden="false" customHeight="false" outlineLevel="0" collapsed="false">
      <c r="A1462" s="1" t="n">
        <v>1461</v>
      </c>
      <c r="B1462" s="5" t="str">
        <f aca="false">[1]Base_Jugadores!B1462</f>
        <v>Jérémy Le Douaron</v>
      </c>
      <c r="C1462" s="5" t="str">
        <f aca="false">IFERROR(
   _xlfn.XLOOKUP(VALUE(A1462),[1]Fichajes_Realizados!A$2:A$50000,[1]Fichajes_Realizados!D$2:D$50000,,0,-1),
   _xlfn.XLOOKUP(VALUE(A1462),[1]Base_Jugadores!A$2:A$50000,[1]Base_Jugadores!C$2:C$50000)
)</f>
        <v>Palermo</v>
      </c>
      <c r="D1462" s="5" t="str">
        <f aca="false">[1]Base_Jugadores!D1462</f>
        <v>Francia</v>
      </c>
      <c r="E1462" s="3"/>
      <c r="F1462" s="5" t="str">
        <f aca="false">[1]Base_Jugadores!E1462</f>
        <v>DC</v>
      </c>
      <c r="G1462" s="5" t="n">
        <f aca="false">[1]Base_Jugadores!F1462</f>
        <v>74</v>
      </c>
      <c r="H1462" s="5" t="n">
        <f aca="false">[1]Base_Jugadores!G1462</f>
        <v>27</v>
      </c>
      <c r="I1462" s="7" t="n">
        <f aca="false" t="array" ref="I1462:I1462">_xlfn.XLOOKUP(G1462,{55;56;57;58;59;60;61;62;63;64;65;66;67;68;69;70;71;72;73;74;75;76;77;78;79;80;81;82;83;84;85;86;87;88;89;90;91;92;93;94;95;96;97;98;99},{100000;130000;160000;190000;220000;250000;300000;350000;400000;450000;500000;600000;700000;800000;900000;1000000;1500000;2000000;3000000;4000000;5000000;6500000;8000000;10000000;12500000;15000000;20000000;25000000;30000000;35000000;40000000;55000000;70000000;80000000;90000000;110000000;130000000;160000000;190000000;220000000;250000000;280000000;310000000;340000000;400000000})</f>
        <v>4000000</v>
      </c>
      <c r="J1462" s="7" t="n">
        <f aca="false">I1462*S1462*T1462*U1462</f>
        <v>6624000</v>
      </c>
      <c r="K1462" s="3"/>
      <c r="L1462" s="3"/>
      <c r="M1462" s="3"/>
      <c r="N1462" s="9" t="n">
        <v>0</v>
      </c>
      <c r="O1462" s="4" t="n">
        <v>0</v>
      </c>
      <c r="P1462" s="5" t="n">
        <f aca="false">IF(COUNTIF([1]Base_Jugadores!J$2:J$500,B1462)&gt;0,1,0)</f>
        <v>0</v>
      </c>
      <c r="Q1462" s="10" t="b">
        <f aca="false">--(COUNTIFS(
   [1]Fichajes_Realizados!A$2:A$5000,A1462,
   [1]Fichajes_Realizados!G$2:G$5000,$X$3
)&gt;0)</f>
        <v>0</v>
      </c>
      <c r="R1462" s="5" t="n">
        <f aca="false">_xlfn.XLOOKUP(C1462, [1]Estado_Equipos!A$2:A$500, [1]Estado_Equipos!J$2:J$500, "")</f>
        <v>70</v>
      </c>
      <c r="S1462" s="5" t="n">
        <f aca="false">IF(H1462&lt;=16,1.45,
IF(H1462&gt;=41,0.3,
CHOOSE(ROUNDDOWN((H1462-16)/2,0)+1,
1.45,1.38,1.3,1.23,1.17,1.15,1.12,1.05,0.95,0.8,0.6,0.4,0.3)))</f>
        <v>1.15</v>
      </c>
      <c r="T1462" s="5" t="n">
        <f aca="false">CHOOSE(N1462+1,1.2,1,0.85,0.7)</f>
        <v>1.2</v>
      </c>
      <c r="U1462" s="5" t="n">
        <f aca="false">IF(F1462="PO",0.6,
IF(F1462="CT",0.75,
IF(F1462="LI",0.8,
IF(F1462="LD",0.8,
IF(F1462="MCD",0.85,
IF(F1462="MC",0.95,
IF(F1462="MO",1.05,
IF(F1462="EI",1.1,
IF(F1462="ED",1.1,
IF(F1462="SD",1.15,
IF(F1462="DC",1.2,0)))))))))))</f>
        <v>1.2</v>
      </c>
    </row>
    <row r="1463" customFormat="false" ht="16.4" hidden="false" customHeight="false" outlineLevel="0" collapsed="false">
      <c r="A1463" s="1" t="n">
        <v>1462</v>
      </c>
      <c r="B1463" s="5" t="str">
        <f aca="false">[1]Base_Jugadores!B1463</f>
        <v>Giacomo Corona</v>
      </c>
      <c r="C1463" s="5" t="str">
        <f aca="false">IFERROR(
   _xlfn.XLOOKUP(VALUE(A1463),[1]Fichajes_Realizados!A$2:A$50000,[1]Fichajes_Realizados!D$2:D$50000,,0,-1),
   _xlfn.XLOOKUP(VALUE(A1463),[1]Base_Jugadores!A$2:A$50000,[1]Base_Jugadores!C$2:C$50000)
)</f>
        <v>Palermo</v>
      </c>
      <c r="D1463" s="5" t="str">
        <f aca="false">[1]Base_Jugadores!D1463</f>
        <v>Italia</v>
      </c>
      <c r="E1463" s="3"/>
      <c r="F1463" s="5" t="str">
        <f aca="false">[1]Base_Jugadores!E1463</f>
        <v>DC</v>
      </c>
      <c r="G1463" s="5" t="n">
        <f aca="false">[1]Base_Jugadores!F1463</f>
        <v>54</v>
      </c>
      <c r="H1463" s="5" t="n">
        <f aca="false">[1]Base_Jugadores!G1463</f>
        <v>21</v>
      </c>
      <c r="I1463" s="7" t="e">
        <f aca="false" t="array" ref="I1463:I1463">_xlfn.XLOOKUP(G1463,{55;56;57;58;59;60;61;62;63;64;65;66;67;68;69;70;71;72;73;74;75;76;77;78;79;80;81;82;83;84;85;86;87;88;89;90;91;92;93;94;95;96;97;98;99},{100000;130000;160000;190000;220000;250000;300000;350000;400000;450000;500000;600000;700000;800000;900000;1000000;1500000;2000000;3000000;4000000;5000000;6500000;8000000;10000000;12500000;15000000;20000000;25000000;30000000;35000000;40000000;55000000;70000000;80000000;90000000;110000000;130000000;160000000;190000000;220000000;250000000;280000000;310000000;340000000;400000000})</f>
        <v>#N/A</v>
      </c>
      <c r="J1463" s="7" t="e">
        <f aca="false">I1463*S1463*T1463*U1463</f>
        <v>#N/A</v>
      </c>
      <c r="K1463" s="3"/>
      <c r="L1463" s="3"/>
      <c r="M1463" s="3"/>
      <c r="N1463" s="9" t="n">
        <v>0</v>
      </c>
      <c r="O1463" s="4" t="n">
        <v>0</v>
      </c>
      <c r="P1463" s="5" t="n">
        <f aca="false">IF(COUNTIF([1]Base_Jugadores!J$2:J$500,B1463)&gt;0,1,0)</f>
        <v>0</v>
      </c>
      <c r="Q1463" s="10" t="b">
        <f aca="false">--(COUNTIFS(
   [1]Fichajes_Realizados!A$2:A$5000,A1463,
   [1]Fichajes_Realizados!G$2:G$5000,$X$3
)&gt;0)</f>
        <v>0</v>
      </c>
      <c r="R1463" s="5" t="n">
        <f aca="false">_xlfn.XLOOKUP(C1463, [1]Estado_Equipos!A$2:A$500, [1]Estado_Equipos!J$2:J$500, "")</f>
        <v>70</v>
      </c>
      <c r="S1463" s="5" t="n">
        <f aca="false">IF(H1463&lt;=16,1.45,
IF(H1463&gt;=41,0.3,
CHOOSE(ROUNDDOWN((H1463-16)/2,0)+1,
1.45,1.38,1.3,1.23,1.17,1.15,1.12,1.05,0.95,0.8,0.6,0.4,0.3)))</f>
        <v>1.3</v>
      </c>
      <c r="T1463" s="5" t="n">
        <f aca="false">CHOOSE(N1463+1,1.2,1,0.85,0.7)</f>
        <v>1.2</v>
      </c>
      <c r="U1463" s="5" t="n">
        <f aca="false">IF(F1463="PO",0.6,
IF(F1463="CT",0.75,
IF(F1463="LI",0.8,
IF(F1463="LD",0.8,
IF(F1463="MCD",0.85,
IF(F1463="MC",0.95,
IF(F1463="MO",1.05,
IF(F1463="EI",1.1,
IF(F1463="ED",1.1,
IF(F1463="SD",1.15,
IF(F1463="DC",1.2,0)))))))))))</f>
        <v>1.2</v>
      </c>
    </row>
    <row r="1464" customFormat="false" ht="16.4" hidden="false" customHeight="false" outlineLevel="0" collapsed="false">
      <c r="A1464" s="1" t="n">
        <v>1463</v>
      </c>
      <c r="B1464" s="5" t="str">
        <f aca="false">[1]Base_Jugadores!B1464</f>
        <v>Valerio Verre</v>
      </c>
      <c r="C1464" s="5" t="str">
        <f aca="false">IFERROR(
   _xlfn.XLOOKUP(VALUE(A1464),[1]Fichajes_Realizados!A$2:A$50000,[1]Fichajes_Realizados!D$2:D$50000,,0,-1),
   _xlfn.XLOOKUP(VALUE(A1464),[1]Base_Jugadores!A$2:A$50000,[1]Base_Jugadores!C$2:C$50000)
)</f>
        <v>Palermo</v>
      </c>
      <c r="D1464" s="5" t="str">
        <f aca="false">[1]Base_Jugadores!D1464</f>
        <v>Italia</v>
      </c>
      <c r="E1464" s="3"/>
      <c r="F1464" s="5" t="str">
        <f aca="false">[1]Base_Jugadores!E1464</f>
        <v>MC</v>
      </c>
      <c r="G1464" s="5" t="n">
        <f aca="false">[1]Base_Jugadores!F1464</f>
        <v>73</v>
      </c>
      <c r="H1464" s="5" t="n">
        <f aca="false">[1]Base_Jugadores!G1464</f>
        <v>31</v>
      </c>
      <c r="I1464" s="7" t="n">
        <f aca="false" t="array" ref="I1464:I1464">_xlfn.XLOOKUP(G1464,{55;56;57;58;59;60;61;62;63;64;65;66;67;68;69;70;71;72;73;74;75;76;77;78;79;80;81;82;83;84;85;86;87;88;89;90;91;92;93;94;95;96;97;98;99},{100000;130000;160000;190000;220000;250000;300000;350000;400000;450000;500000;600000;700000;800000;900000;1000000;1500000;2000000;3000000;4000000;5000000;6500000;8000000;10000000;12500000;15000000;20000000;25000000;30000000;35000000;40000000;55000000;70000000;80000000;90000000;110000000;130000000;160000000;190000000;220000000;250000000;280000000;310000000;340000000;400000000})</f>
        <v>3000000</v>
      </c>
      <c r="J1464" s="7" t="n">
        <f aca="false">I1464*S1464*T1464*U1464</f>
        <v>3591000</v>
      </c>
      <c r="K1464" s="3"/>
      <c r="L1464" s="3"/>
      <c r="M1464" s="3"/>
      <c r="N1464" s="9" t="n">
        <v>0</v>
      </c>
      <c r="O1464" s="4" t="n">
        <v>0</v>
      </c>
      <c r="P1464" s="5" t="n">
        <f aca="false">IF(COUNTIF([1]Base_Jugadores!J$2:J$500,B1464)&gt;0,1,0)</f>
        <v>0</v>
      </c>
      <c r="Q1464" s="10" t="b">
        <f aca="false">--(COUNTIFS(
   [1]Fichajes_Realizados!A$2:A$5000,A1464,
   [1]Fichajes_Realizados!G$2:G$5000,$X$3
)&gt;0)</f>
        <v>0</v>
      </c>
      <c r="R1464" s="5" t="n">
        <f aca="false">_xlfn.XLOOKUP(C1464, [1]Estado_Equipos!A$2:A$500, [1]Estado_Equipos!J$2:J$500, "")</f>
        <v>70</v>
      </c>
      <c r="S1464" s="5" t="n">
        <f aca="false">IF(H1464&lt;=16,1.45,
IF(H1464&gt;=41,0.3,
CHOOSE(ROUNDDOWN((H1464-16)/2,0)+1,
1.45,1.38,1.3,1.23,1.17,1.15,1.12,1.05,0.95,0.8,0.6,0.4,0.3)))</f>
        <v>1.05</v>
      </c>
      <c r="T1464" s="5" t="n">
        <f aca="false">CHOOSE(N1464+1,1.2,1,0.85,0.7)</f>
        <v>1.2</v>
      </c>
      <c r="U1464" s="5" t="n">
        <f aca="false">IF(F1464="PO",0.6,
IF(F1464="CT",0.75,
IF(F1464="LI",0.8,
IF(F1464="LD",0.8,
IF(F1464="MCD",0.85,
IF(F1464="MC",0.95,
IF(F1464="MO",1.05,
IF(F1464="EI",1.1,
IF(F1464="ED",1.1,
IF(F1464="SD",1.15,
IF(F1464="DC",1.2,0)))))))))))</f>
        <v>0.95</v>
      </c>
    </row>
    <row r="1465" customFormat="false" ht="16.4" hidden="false" customHeight="false" outlineLevel="0" collapsed="false">
      <c r="A1465" s="1" t="n">
        <v>1464</v>
      </c>
      <c r="B1465" s="5" t="str">
        <f aca="false">[1]Base_Jugadores!B1465</f>
        <v>Zion Suzuki</v>
      </c>
      <c r="C1465" s="5" t="str">
        <f aca="false">IFERROR(
   _xlfn.XLOOKUP(VALUE(A1465),[1]Fichajes_Realizados!A$2:A$50000,[1]Fichajes_Realizados!D$2:D$50000,,0,-1),
   _xlfn.XLOOKUP(VALUE(A1465),[1]Base_Jugadores!A$2:A$50000,[1]Base_Jugadores!C$2:C$50000)
)</f>
        <v>Parma</v>
      </c>
      <c r="D1465" s="5" t="str">
        <f aca="false">[1]Base_Jugadores!D1465</f>
        <v>Japón</v>
      </c>
      <c r="E1465" s="3"/>
      <c r="F1465" s="5" t="str">
        <f aca="false">[1]Base_Jugadores!E1465</f>
        <v>PO</v>
      </c>
      <c r="G1465" s="5" t="n">
        <f aca="false">[1]Base_Jugadores!F1465</f>
        <v>73</v>
      </c>
      <c r="H1465" s="5" t="n">
        <f aca="false">[1]Base_Jugadores!G1465</f>
        <v>23</v>
      </c>
      <c r="I1465" s="7" t="n">
        <f aca="false" t="array" ref="I1465:I1465">_xlfn.XLOOKUP(G1465,{55;56;57;58;59;60;61;62;63;64;65;66;67;68;69;70;71;72;73;74;75;76;77;78;79;80;81;82;83;84;85;86;87;88;89;90;91;92;93;94;95;96;97;98;99},{100000;130000;160000;190000;220000;250000;300000;350000;400000;450000;500000;600000;700000;800000;900000;1000000;1500000;2000000;3000000;4000000;5000000;6500000;8000000;10000000;12500000;15000000;20000000;25000000;30000000;35000000;40000000;55000000;70000000;80000000;90000000;110000000;130000000;160000000;190000000;220000000;250000000;280000000;310000000;340000000;400000000})</f>
        <v>3000000</v>
      </c>
      <c r="J1465" s="7" t="n">
        <f aca="false">I1465*S1465*T1465*U1465</f>
        <v>2656800</v>
      </c>
      <c r="K1465" s="3"/>
      <c r="L1465" s="3"/>
      <c r="M1465" s="3"/>
      <c r="N1465" s="9" t="n">
        <v>0</v>
      </c>
      <c r="O1465" s="4" t="n">
        <v>0</v>
      </c>
      <c r="P1465" s="5" t="n">
        <f aca="false">IF(COUNTIF([1]Base_Jugadores!J$2:J$500,B1465)&gt;0,1,0)</f>
        <v>0</v>
      </c>
      <c r="Q1465" s="10" t="b">
        <f aca="false">--(COUNTIFS(
   [1]Fichajes_Realizados!A$2:A$5000,A1465,
   [1]Fichajes_Realizados!G$2:G$5000,$X$3
)&gt;0)</f>
        <v>0</v>
      </c>
      <c r="R1465" s="5" t="n">
        <f aca="false">_xlfn.XLOOKUP(C1465, [1]Estado_Equipos!A$2:A$500, [1]Estado_Equipos!J$2:J$500, "")</f>
        <v>72</v>
      </c>
      <c r="S1465" s="5" t="n">
        <f aca="false">IF(H1465&lt;=16,1.45,
IF(H1465&gt;=41,0.3,
CHOOSE(ROUNDDOWN((H1465-16)/2,0)+1,
1.45,1.38,1.3,1.23,1.17,1.15,1.12,1.05,0.95,0.8,0.6,0.4,0.3)))</f>
        <v>1.23</v>
      </c>
      <c r="T1465" s="5" t="n">
        <f aca="false">CHOOSE(N1465+1,1.2,1,0.85,0.7)</f>
        <v>1.2</v>
      </c>
      <c r="U1465" s="5" t="n">
        <f aca="false">IF(F1465="PO",0.6,
IF(F1465="CT",0.75,
IF(F1465="LI",0.8,
IF(F1465="LD",0.8,
IF(F1465="MCD",0.85,
IF(F1465="MC",0.95,
IF(F1465="MO",1.05,
IF(F1465="EI",1.1,
IF(F1465="ED",1.1,
IF(F1465="SD",1.15,
IF(F1465="DC",1.2,0)))))))))))</f>
        <v>0.6</v>
      </c>
    </row>
    <row r="1466" customFormat="false" ht="16.4" hidden="false" customHeight="false" outlineLevel="0" collapsed="false">
      <c r="A1466" s="1" t="n">
        <v>1465</v>
      </c>
      <c r="B1466" s="5" t="str">
        <f aca="false">[1]Base_Jugadores!B1466</f>
        <v>Vicente Guaita</v>
      </c>
      <c r="C1466" s="5" t="str">
        <f aca="false">IFERROR(
   _xlfn.XLOOKUP(VALUE(A1466),[1]Fichajes_Realizados!A$2:A$50000,[1]Fichajes_Realizados!D$2:D$50000,,0,-1),
   _xlfn.XLOOKUP(VALUE(A1466),[1]Base_Jugadores!A$2:A$50000,[1]Base_Jugadores!C$2:C$50000)
)</f>
        <v>Parma</v>
      </c>
      <c r="D1466" s="5" t="str">
        <f aca="false">[1]Base_Jugadores!D1466</f>
        <v>España</v>
      </c>
      <c r="E1466" s="3"/>
      <c r="F1466" s="5" t="str">
        <f aca="false">[1]Base_Jugadores!E1466</f>
        <v>PO</v>
      </c>
      <c r="G1466" s="5" t="n">
        <f aca="false">[1]Base_Jugadores!F1466</f>
        <v>78</v>
      </c>
      <c r="H1466" s="5" t="n">
        <f aca="false">[1]Base_Jugadores!G1466</f>
        <v>38</v>
      </c>
      <c r="I1466" s="7" t="n">
        <f aca="false" t="array" ref="I1466:I1466">_xlfn.XLOOKUP(G1466,{55;56;57;58;59;60;61;62;63;64;65;66;67;68;69;70;71;72;73;74;75;76;77;78;79;80;81;82;83;84;85;86;87;88;89;90;91;92;93;94;95;96;97;98;99},{100000;130000;160000;190000;220000;250000;300000;350000;400000;450000;500000;600000;700000;800000;900000;1000000;1500000;2000000;3000000;4000000;5000000;6500000;8000000;10000000;12500000;15000000;20000000;25000000;30000000;35000000;40000000;55000000;70000000;80000000;90000000;110000000;130000000;160000000;190000000;220000000;250000000;280000000;310000000;340000000;400000000})</f>
        <v>10000000</v>
      </c>
      <c r="J1466" s="7" t="n">
        <f aca="false">I1466*S1466*T1466*U1466</f>
        <v>2880000</v>
      </c>
      <c r="K1466" s="3"/>
      <c r="L1466" s="3"/>
      <c r="M1466" s="3"/>
      <c r="N1466" s="9" t="n">
        <v>0</v>
      </c>
      <c r="O1466" s="4" t="n">
        <v>0</v>
      </c>
      <c r="P1466" s="5" t="n">
        <f aca="false">IF(COUNTIF([1]Base_Jugadores!J$2:J$500,B1466)&gt;0,1,0)</f>
        <v>0</v>
      </c>
      <c r="Q1466" s="10" t="b">
        <f aca="false">--(COUNTIFS(
   [1]Fichajes_Realizados!A$2:A$5000,A1466,
   [1]Fichajes_Realizados!G$2:G$5000,$X$3
)&gt;0)</f>
        <v>0</v>
      </c>
      <c r="R1466" s="5" t="n">
        <f aca="false">_xlfn.XLOOKUP(C1466, [1]Estado_Equipos!A$2:A$500, [1]Estado_Equipos!J$2:J$500, "")</f>
        <v>72</v>
      </c>
      <c r="S1466" s="5" t="n">
        <f aca="false">IF(H1466&lt;=16,1.45,
IF(H1466&gt;=41,0.3,
CHOOSE(ROUNDDOWN((H1466-16)/2,0)+1,
1.45,1.38,1.3,1.23,1.17,1.15,1.12,1.05,0.95,0.8,0.6,0.4,0.3)))</f>
        <v>0.4</v>
      </c>
      <c r="T1466" s="5" t="n">
        <f aca="false">CHOOSE(N1466+1,1.2,1,0.85,0.7)</f>
        <v>1.2</v>
      </c>
      <c r="U1466" s="5" t="n">
        <f aca="false">IF(F1466="PO",0.6,
IF(F1466="CT",0.75,
IF(F1466="LI",0.8,
IF(F1466="LD",0.8,
IF(F1466="MCD",0.85,
IF(F1466="MC",0.95,
IF(F1466="MO",1.05,
IF(F1466="EI",1.1,
IF(F1466="ED",1.1,
IF(F1466="SD",1.15,
IF(F1466="DC",1.2,0)))))))))))</f>
        <v>0.6</v>
      </c>
    </row>
    <row r="1467" customFormat="false" ht="16.4" hidden="false" customHeight="false" outlineLevel="0" collapsed="false">
      <c r="A1467" s="1" t="n">
        <v>1466</v>
      </c>
      <c r="B1467" s="5" t="str">
        <f aca="false">[1]Base_Jugadores!B1467</f>
        <v>Edoardo Corvi</v>
      </c>
      <c r="C1467" s="5" t="str">
        <f aca="false">IFERROR(
   _xlfn.XLOOKUP(VALUE(A1467),[1]Fichajes_Realizados!A$2:A$50000,[1]Fichajes_Realizados!D$2:D$50000,,0,-1),
   _xlfn.XLOOKUP(VALUE(A1467),[1]Base_Jugadores!A$2:A$50000,[1]Base_Jugadores!C$2:C$50000)
)</f>
        <v>Parma</v>
      </c>
      <c r="D1467" s="5" t="str">
        <f aca="false">[1]Base_Jugadores!D1467</f>
        <v>Italia</v>
      </c>
      <c r="E1467" s="3"/>
      <c r="F1467" s="5" t="str">
        <f aca="false">[1]Base_Jugadores!E1467</f>
        <v>PO</v>
      </c>
      <c r="G1467" s="5" t="n">
        <f aca="false">[1]Base_Jugadores!F1467</f>
        <v>68</v>
      </c>
      <c r="H1467" s="5" t="n">
        <f aca="false">[1]Base_Jugadores!G1467</f>
        <v>24</v>
      </c>
      <c r="I1467" s="7" t="n">
        <f aca="false" t="array" ref="I1467:I1467">_xlfn.XLOOKUP(G1467,{55;56;57;58;59;60;61;62;63;64;65;66;67;68;69;70;71;72;73;74;75;76;77;78;79;80;81;82;83;84;85;86;87;88;89;90;91;92;93;94;95;96;97;98;99},{100000;130000;160000;190000;220000;250000;300000;350000;400000;450000;500000;600000;700000;800000;900000;1000000;1500000;2000000;3000000;4000000;5000000;6500000;8000000;10000000;12500000;15000000;20000000;25000000;30000000;35000000;40000000;55000000;70000000;80000000;90000000;110000000;130000000;160000000;190000000;220000000;250000000;280000000;310000000;340000000;400000000})</f>
        <v>800000</v>
      </c>
      <c r="J1467" s="7" t="n">
        <f aca="false">I1467*S1467*T1467*U1467</f>
        <v>673920</v>
      </c>
      <c r="K1467" s="3"/>
      <c r="L1467" s="3"/>
      <c r="M1467" s="3"/>
      <c r="N1467" s="9" t="n">
        <v>0</v>
      </c>
      <c r="O1467" s="4" t="n">
        <v>0</v>
      </c>
      <c r="P1467" s="5" t="n">
        <f aca="false">IF(COUNTIF([1]Base_Jugadores!J$2:J$500,B1467)&gt;0,1,0)</f>
        <v>0</v>
      </c>
      <c r="Q1467" s="10" t="b">
        <f aca="false">--(COUNTIFS(
   [1]Fichajes_Realizados!A$2:A$5000,A1467,
   [1]Fichajes_Realizados!G$2:G$5000,$X$3
)&gt;0)</f>
        <v>0</v>
      </c>
      <c r="R1467" s="5" t="n">
        <f aca="false">_xlfn.XLOOKUP(C1467, [1]Estado_Equipos!A$2:A$500, [1]Estado_Equipos!J$2:J$500, "")</f>
        <v>72</v>
      </c>
      <c r="S1467" s="5" t="n">
        <f aca="false">IF(H1467&lt;=16,1.45,
IF(H1467&gt;=41,0.3,
CHOOSE(ROUNDDOWN((H1467-16)/2,0)+1,
1.45,1.38,1.3,1.23,1.17,1.15,1.12,1.05,0.95,0.8,0.6,0.4,0.3)))</f>
        <v>1.17</v>
      </c>
      <c r="T1467" s="5" t="n">
        <f aca="false">CHOOSE(N1467+1,1.2,1,0.85,0.7)</f>
        <v>1.2</v>
      </c>
      <c r="U1467" s="5" t="n">
        <f aca="false">IF(F1467="PO",0.6,
IF(F1467="CT",0.75,
IF(F1467="LI",0.8,
IF(F1467="LD",0.8,
IF(F1467="MCD",0.85,
IF(F1467="MC",0.95,
IF(F1467="MO",1.05,
IF(F1467="EI",1.1,
IF(F1467="ED",1.1,
IF(F1467="SD",1.15,
IF(F1467="DC",1.2,0)))))))))))</f>
        <v>0.6</v>
      </c>
    </row>
    <row r="1468" customFormat="false" ht="16.4" hidden="false" customHeight="false" outlineLevel="0" collapsed="false">
      <c r="A1468" s="1" t="n">
        <v>1467</v>
      </c>
      <c r="B1468" s="5" t="str">
        <f aca="false">[1]Base_Jugadores!B1468</f>
        <v>Alessandro Circati</v>
      </c>
      <c r="C1468" s="5" t="str">
        <f aca="false">IFERROR(
   _xlfn.XLOOKUP(VALUE(A1468),[1]Fichajes_Realizados!A$2:A$50000,[1]Fichajes_Realizados!D$2:D$50000,,0,-1),
   _xlfn.XLOOKUP(VALUE(A1468),[1]Base_Jugadores!A$2:A$50000,[1]Base_Jugadores!C$2:C$50000)
)</f>
        <v>Parma</v>
      </c>
      <c r="D1468" s="5" t="str">
        <f aca="false">[1]Base_Jugadores!D1468</f>
        <v>Australia</v>
      </c>
      <c r="E1468" s="3"/>
      <c r="F1468" s="5" t="str">
        <f aca="false">[1]Base_Jugadores!E1468</f>
        <v>CT</v>
      </c>
      <c r="G1468" s="5" t="n">
        <f aca="false">[1]Base_Jugadores!F1468</f>
        <v>73</v>
      </c>
      <c r="H1468" s="5" t="n">
        <f aca="false">[1]Base_Jugadores!G1468</f>
        <v>22</v>
      </c>
      <c r="I1468" s="7" t="n">
        <f aca="false" t="array" ref="I1468:I1468">_xlfn.XLOOKUP(G1468,{55;56;57;58;59;60;61;62;63;64;65;66;67;68;69;70;71;72;73;74;75;76;77;78;79;80;81;82;83;84;85;86;87;88;89;90;91;92;93;94;95;96;97;98;99},{100000;130000;160000;190000;220000;250000;300000;350000;400000;450000;500000;600000;700000;800000;900000;1000000;1500000;2000000;3000000;4000000;5000000;6500000;8000000;10000000;12500000;15000000;20000000;25000000;30000000;35000000;40000000;55000000;70000000;80000000;90000000;110000000;130000000;160000000;190000000;220000000;250000000;280000000;310000000;340000000;400000000})</f>
        <v>3000000</v>
      </c>
      <c r="J1468" s="7" t="n">
        <f aca="false">I1468*S1468*T1468*U1468</f>
        <v>3321000</v>
      </c>
      <c r="K1468" s="3"/>
      <c r="L1468" s="3"/>
      <c r="M1468" s="3"/>
      <c r="N1468" s="9" t="n">
        <v>0</v>
      </c>
      <c r="O1468" s="4" t="n">
        <v>0</v>
      </c>
      <c r="P1468" s="5" t="n">
        <f aca="false">IF(COUNTIF([1]Base_Jugadores!J$2:J$500,B1468)&gt;0,1,0)</f>
        <v>0</v>
      </c>
      <c r="Q1468" s="10" t="b">
        <f aca="false">--(COUNTIFS(
   [1]Fichajes_Realizados!A$2:A$5000,A1468,
   [1]Fichajes_Realizados!G$2:G$5000,$X$3
)&gt;0)</f>
        <v>0</v>
      </c>
      <c r="R1468" s="5" t="n">
        <f aca="false">_xlfn.XLOOKUP(C1468, [1]Estado_Equipos!A$2:A$500, [1]Estado_Equipos!J$2:J$500, "")</f>
        <v>72</v>
      </c>
      <c r="S1468" s="5" t="n">
        <f aca="false">IF(H1468&lt;=16,1.45,
IF(H1468&gt;=41,0.3,
CHOOSE(ROUNDDOWN((H1468-16)/2,0)+1,
1.45,1.38,1.3,1.23,1.17,1.15,1.12,1.05,0.95,0.8,0.6,0.4,0.3)))</f>
        <v>1.23</v>
      </c>
      <c r="T1468" s="5" t="n">
        <f aca="false">CHOOSE(N1468+1,1.2,1,0.85,0.7)</f>
        <v>1.2</v>
      </c>
      <c r="U1468" s="5" t="n">
        <f aca="false">IF(F1468="PO",0.6,
IF(F1468="CT",0.75,
IF(F1468="LI",0.8,
IF(F1468="LD",0.8,
IF(F1468="MCD",0.85,
IF(F1468="MC",0.95,
IF(F1468="MO",1.05,
IF(F1468="EI",1.1,
IF(F1468="ED",1.1,
IF(F1468="SD",1.15,
IF(F1468="DC",1.2,0)))))))))))</f>
        <v>0.75</v>
      </c>
    </row>
    <row r="1469" customFormat="false" ht="16.4" hidden="false" customHeight="false" outlineLevel="0" collapsed="false">
      <c r="A1469" s="1" t="n">
        <v>1468</v>
      </c>
      <c r="B1469" s="5" t="str">
        <f aca="false">[1]Base_Jugadores!B1469</f>
        <v>Abdoulaye Ndiaye</v>
      </c>
      <c r="C1469" s="5" t="str">
        <f aca="false">IFERROR(
   _xlfn.XLOOKUP(VALUE(A1469),[1]Fichajes_Realizados!A$2:A$50000,[1]Fichajes_Realizados!D$2:D$50000,,0,-1),
   _xlfn.XLOOKUP(VALUE(A1469),[1]Base_Jugadores!A$2:A$50000,[1]Base_Jugadores!C$2:C$50000)
)</f>
        <v>Parma</v>
      </c>
      <c r="D1469" s="5" t="str">
        <f aca="false">[1]Base_Jugadores!D1469</f>
        <v>Senegal</v>
      </c>
      <c r="E1469" s="3"/>
      <c r="F1469" s="5" t="str">
        <f aca="false">[1]Base_Jugadores!E1469</f>
        <v>CT</v>
      </c>
      <c r="G1469" s="5" t="n">
        <f aca="false">[1]Base_Jugadores!F1469</f>
        <v>72</v>
      </c>
      <c r="H1469" s="5" t="n">
        <f aca="false">[1]Base_Jugadores!G1469</f>
        <v>23</v>
      </c>
      <c r="I1469" s="7" t="n">
        <f aca="false" t="array" ref="I1469:I1469">_xlfn.XLOOKUP(G1469,{55;56;57;58;59;60;61;62;63;64;65;66;67;68;69;70;71;72;73;74;75;76;77;78;79;80;81;82;83;84;85;86;87;88;89;90;91;92;93;94;95;96;97;98;99},{100000;130000;160000;190000;220000;250000;300000;350000;400000;450000;500000;600000;700000;800000;900000;1000000;1500000;2000000;3000000;4000000;5000000;6500000;8000000;10000000;12500000;15000000;20000000;25000000;30000000;35000000;40000000;55000000;70000000;80000000;90000000;110000000;130000000;160000000;190000000;220000000;250000000;280000000;310000000;340000000;400000000})</f>
        <v>2000000</v>
      </c>
      <c r="J1469" s="7" t="n">
        <f aca="false">I1469*S1469*T1469*U1469</f>
        <v>2214000</v>
      </c>
      <c r="K1469" s="3"/>
      <c r="L1469" s="3"/>
      <c r="M1469" s="3"/>
      <c r="N1469" s="9" t="n">
        <v>0</v>
      </c>
      <c r="O1469" s="4" t="n">
        <v>0</v>
      </c>
      <c r="P1469" s="5" t="n">
        <f aca="false">IF(COUNTIF([1]Base_Jugadores!J$2:J$500,B1469)&gt;0,1,0)</f>
        <v>0</v>
      </c>
      <c r="Q1469" s="10" t="b">
        <f aca="false">--(COUNTIFS(
   [1]Fichajes_Realizados!A$2:A$5000,A1469,
   [1]Fichajes_Realizados!G$2:G$5000,$X$3
)&gt;0)</f>
        <v>0</v>
      </c>
      <c r="R1469" s="5" t="n">
        <f aca="false">_xlfn.XLOOKUP(C1469, [1]Estado_Equipos!A$2:A$500, [1]Estado_Equipos!J$2:J$500, "")</f>
        <v>72</v>
      </c>
      <c r="S1469" s="5" t="n">
        <f aca="false">IF(H1469&lt;=16,1.45,
IF(H1469&gt;=41,0.3,
CHOOSE(ROUNDDOWN((H1469-16)/2,0)+1,
1.45,1.38,1.3,1.23,1.17,1.15,1.12,1.05,0.95,0.8,0.6,0.4,0.3)))</f>
        <v>1.23</v>
      </c>
      <c r="T1469" s="5" t="n">
        <f aca="false">CHOOSE(N1469+1,1.2,1,0.85,0.7)</f>
        <v>1.2</v>
      </c>
      <c r="U1469" s="5" t="n">
        <f aca="false">IF(F1469="PO",0.6,
IF(F1469="CT",0.75,
IF(F1469="LI",0.8,
IF(F1469="LD",0.8,
IF(F1469="MCD",0.85,
IF(F1469="MC",0.95,
IF(F1469="MO",1.05,
IF(F1469="EI",1.1,
IF(F1469="ED",1.1,
IF(F1469="SD",1.15,
IF(F1469="DC",1.2,0)))))))))))</f>
        <v>0.75</v>
      </c>
    </row>
    <row r="1470" customFormat="false" ht="16.4" hidden="false" customHeight="false" outlineLevel="0" collapsed="false">
      <c r="A1470" s="1" t="n">
        <v>1469</v>
      </c>
      <c r="B1470" s="5" t="str">
        <f aca="false">[1]Base_Jugadores!B1470</f>
        <v>Mariano Troilo</v>
      </c>
      <c r="C1470" s="5" t="str">
        <f aca="false">IFERROR(
   _xlfn.XLOOKUP(VALUE(A1470),[1]Fichajes_Realizados!A$2:A$50000,[1]Fichajes_Realizados!D$2:D$50000,,0,-1),
   _xlfn.XLOOKUP(VALUE(A1470),[1]Base_Jugadores!A$2:A$50000,[1]Base_Jugadores!C$2:C$50000)
)</f>
        <v>Parma</v>
      </c>
      <c r="D1470" s="5" t="str">
        <f aca="false">[1]Base_Jugadores!D1470</f>
        <v>Argentina</v>
      </c>
      <c r="E1470" s="3"/>
      <c r="F1470" s="5" t="str">
        <f aca="false">[1]Base_Jugadores!E1470</f>
        <v>CT</v>
      </c>
      <c r="G1470" s="5" t="n">
        <f aca="false">[1]Base_Jugadores!F1470</f>
        <v>67</v>
      </c>
      <c r="H1470" s="5" t="n">
        <f aca="false">[1]Base_Jugadores!G1470</f>
        <v>22</v>
      </c>
      <c r="I1470" s="7" t="n">
        <f aca="false" t="array" ref="I1470:I1470">_xlfn.XLOOKUP(G1470,{55;56;57;58;59;60;61;62;63;64;65;66;67;68;69;70;71;72;73;74;75;76;77;78;79;80;81;82;83;84;85;86;87;88;89;90;91;92;93;94;95;96;97;98;99},{100000;130000;160000;190000;220000;250000;300000;350000;400000;450000;500000;600000;700000;800000;900000;1000000;1500000;2000000;3000000;4000000;5000000;6500000;8000000;10000000;12500000;15000000;20000000;25000000;30000000;35000000;40000000;55000000;70000000;80000000;90000000;110000000;130000000;160000000;190000000;220000000;250000000;280000000;310000000;340000000;400000000})</f>
        <v>700000</v>
      </c>
      <c r="J1470" s="7" t="n">
        <f aca="false">I1470*S1470*T1470*U1470</f>
        <v>774900</v>
      </c>
      <c r="K1470" s="3"/>
      <c r="L1470" s="3"/>
      <c r="M1470" s="3"/>
      <c r="N1470" s="9" t="n">
        <v>0</v>
      </c>
      <c r="O1470" s="4" t="n">
        <v>0</v>
      </c>
      <c r="P1470" s="5" t="n">
        <f aca="false">IF(COUNTIF([1]Base_Jugadores!J$2:J$500,B1470)&gt;0,1,0)</f>
        <v>0</v>
      </c>
      <c r="Q1470" s="10" t="b">
        <f aca="false">--(COUNTIFS(
   [1]Fichajes_Realizados!A$2:A$5000,A1470,
   [1]Fichajes_Realizados!G$2:G$5000,$X$3
)&gt;0)</f>
        <v>0</v>
      </c>
      <c r="R1470" s="5" t="n">
        <f aca="false">_xlfn.XLOOKUP(C1470, [1]Estado_Equipos!A$2:A$500, [1]Estado_Equipos!J$2:J$500, "")</f>
        <v>72</v>
      </c>
      <c r="S1470" s="5" t="n">
        <f aca="false">IF(H1470&lt;=16,1.45,
IF(H1470&gt;=41,0.3,
CHOOSE(ROUNDDOWN((H1470-16)/2,0)+1,
1.45,1.38,1.3,1.23,1.17,1.15,1.12,1.05,0.95,0.8,0.6,0.4,0.3)))</f>
        <v>1.23</v>
      </c>
      <c r="T1470" s="5" t="n">
        <f aca="false">CHOOSE(N1470+1,1.2,1,0.85,0.7)</f>
        <v>1.2</v>
      </c>
      <c r="U1470" s="5" t="n">
        <f aca="false">IF(F1470="PO",0.6,
IF(F1470="CT",0.75,
IF(F1470="LI",0.8,
IF(F1470="LD",0.8,
IF(F1470="MCD",0.85,
IF(F1470="MC",0.95,
IF(F1470="MO",1.05,
IF(F1470="EI",1.1,
IF(F1470="ED",1.1,
IF(F1470="SD",1.15,
IF(F1470="DC",1.2,0)))))))))))</f>
        <v>0.75</v>
      </c>
    </row>
    <row r="1471" customFormat="false" ht="16.4" hidden="false" customHeight="false" outlineLevel="0" collapsed="false">
      <c r="A1471" s="1" t="n">
        <v>1470</v>
      </c>
      <c r="B1471" s="5" t="str">
        <f aca="false">[1]Base_Jugadores!B1471</f>
        <v>Lautaro Valenti</v>
      </c>
      <c r="C1471" s="5" t="str">
        <f aca="false">IFERROR(
   _xlfn.XLOOKUP(VALUE(A1471),[1]Fichajes_Realizados!A$2:A$50000,[1]Fichajes_Realizados!D$2:D$50000,,0,-1),
   _xlfn.XLOOKUP(VALUE(A1471),[1]Base_Jugadores!A$2:A$50000,[1]Base_Jugadores!C$2:C$50000)
)</f>
        <v>Parma</v>
      </c>
      <c r="D1471" s="5" t="str">
        <f aca="false">[1]Base_Jugadores!D1471</f>
        <v>Argentina</v>
      </c>
      <c r="E1471" s="3"/>
      <c r="F1471" s="5" t="str">
        <f aca="false">[1]Base_Jugadores!E1471</f>
        <v>CT</v>
      </c>
      <c r="G1471" s="5" t="n">
        <f aca="false">[1]Base_Jugadores!F1471</f>
        <v>70</v>
      </c>
      <c r="H1471" s="5" t="n">
        <f aca="false">[1]Base_Jugadores!G1471</f>
        <v>26</v>
      </c>
      <c r="I1471" s="7" t="n">
        <f aca="false" t="array" ref="I1471:I1471">_xlfn.XLOOKUP(G1471,{55;56;57;58;59;60;61;62;63;64;65;66;67;68;69;70;71;72;73;74;75;76;77;78;79;80;81;82;83;84;85;86;87;88;89;90;91;92;93;94;95;96;97;98;99},{100000;130000;160000;190000;220000;250000;300000;350000;400000;450000;500000;600000;700000;800000;900000;1000000;1500000;2000000;3000000;4000000;5000000;6500000;8000000;10000000;12500000;15000000;20000000;25000000;30000000;35000000;40000000;55000000;70000000;80000000;90000000;110000000;130000000;160000000;190000000;220000000;250000000;280000000;310000000;340000000;400000000})</f>
        <v>1000000</v>
      </c>
      <c r="J1471" s="7" t="n">
        <f aca="false">I1471*S1471*T1471*U1471</f>
        <v>1035000</v>
      </c>
      <c r="K1471" s="3"/>
      <c r="L1471" s="3"/>
      <c r="M1471" s="3"/>
      <c r="N1471" s="9" t="n">
        <v>0</v>
      </c>
      <c r="O1471" s="4" t="n">
        <v>0</v>
      </c>
      <c r="P1471" s="5" t="n">
        <f aca="false">IF(COUNTIF([1]Base_Jugadores!J$2:J$500,B1471)&gt;0,1,0)</f>
        <v>0</v>
      </c>
      <c r="Q1471" s="10" t="b">
        <f aca="false">--(COUNTIFS(
   [1]Fichajes_Realizados!A$2:A$5000,A1471,
   [1]Fichajes_Realizados!G$2:G$5000,$X$3
)&gt;0)</f>
        <v>0</v>
      </c>
      <c r="R1471" s="5" t="n">
        <f aca="false">_xlfn.XLOOKUP(C1471, [1]Estado_Equipos!A$2:A$500, [1]Estado_Equipos!J$2:J$500, "")</f>
        <v>72</v>
      </c>
      <c r="S1471" s="5" t="n">
        <f aca="false">IF(H1471&lt;=16,1.45,
IF(H1471&gt;=41,0.3,
CHOOSE(ROUNDDOWN((H1471-16)/2,0)+1,
1.45,1.38,1.3,1.23,1.17,1.15,1.12,1.05,0.95,0.8,0.6,0.4,0.3)))</f>
        <v>1.15</v>
      </c>
      <c r="T1471" s="5" t="n">
        <f aca="false">CHOOSE(N1471+1,1.2,1,0.85,0.7)</f>
        <v>1.2</v>
      </c>
      <c r="U1471" s="5" t="n">
        <f aca="false">IF(F1471="PO",0.6,
IF(F1471="CT",0.75,
IF(F1471="LI",0.8,
IF(F1471="LD",0.8,
IF(F1471="MCD",0.85,
IF(F1471="MC",0.95,
IF(F1471="MO",1.05,
IF(F1471="EI",1.1,
IF(F1471="ED",1.1,
IF(F1471="SD",1.15,
IF(F1471="DC",1.2,0)))))))))))</f>
        <v>0.75</v>
      </c>
    </row>
    <row r="1472" customFormat="false" ht="16.4" hidden="false" customHeight="false" outlineLevel="0" collapsed="false">
      <c r="A1472" s="1" t="n">
        <v>1471</v>
      </c>
      <c r="B1472" s="5" t="str">
        <f aca="false">[1]Base_Jugadores!B1472</f>
        <v>Mathias Løvik</v>
      </c>
      <c r="C1472" s="5" t="str">
        <f aca="false">IFERROR(
   _xlfn.XLOOKUP(VALUE(A1472),[1]Fichajes_Realizados!A$2:A$50000,[1]Fichajes_Realizados!D$2:D$50000,,0,-1),
   _xlfn.XLOOKUP(VALUE(A1472),[1]Base_Jugadores!A$2:A$50000,[1]Base_Jugadores!C$2:C$50000)
)</f>
        <v>Parma</v>
      </c>
      <c r="D1472" s="5" t="str">
        <f aca="false">[1]Base_Jugadores!D1472</f>
        <v>Noruega</v>
      </c>
      <c r="E1472" s="3"/>
      <c r="F1472" s="5" t="str">
        <f aca="false">[1]Base_Jugadores!E1472</f>
        <v>LI</v>
      </c>
      <c r="G1472" s="5" t="n">
        <f aca="false">[1]Base_Jugadores!F1472</f>
        <v>67</v>
      </c>
      <c r="H1472" s="5" t="n">
        <f aca="false">[1]Base_Jugadores!G1472</f>
        <v>22</v>
      </c>
      <c r="I1472" s="7" t="n">
        <f aca="false" t="array" ref="I1472:I1472">_xlfn.XLOOKUP(G1472,{55;56;57;58;59;60;61;62;63;64;65;66;67;68;69;70;71;72;73;74;75;76;77;78;79;80;81;82;83;84;85;86;87;88;89;90;91;92;93;94;95;96;97;98;99},{100000;130000;160000;190000;220000;250000;300000;350000;400000;450000;500000;600000;700000;800000;900000;1000000;1500000;2000000;3000000;4000000;5000000;6500000;8000000;10000000;12500000;15000000;20000000;25000000;30000000;35000000;40000000;55000000;70000000;80000000;90000000;110000000;130000000;160000000;190000000;220000000;250000000;280000000;310000000;340000000;400000000})</f>
        <v>700000</v>
      </c>
      <c r="J1472" s="7" t="n">
        <f aca="false">I1472*S1472*T1472*U1472</f>
        <v>826560</v>
      </c>
      <c r="K1472" s="3"/>
      <c r="L1472" s="3"/>
      <c r="M1472" s="3"/>
      <c r="N1472" s="9" t="n">
        <v>0</v>
      </c>
      <c r="O1472" s="4" t="n">
        <v>0</v>
      </c>
      <c r="P1472" s="5" t="n">
        <f aca="false">IF(COUNTIF([1]Base_Jugadores!J$2:J$500,B1472)&gt;0,1,0)</f>
        <v>0</v>
      </c>
      <c r="Q1472" s="10" t="b">
        <f aca="false">--(COUNTIFS(
   [1]Fichajes_Realizados!A$2:A$5000,A1472,
   [1]Fichajes_Realizados!G$2:G$5000,$X$3
)&gt;0)</f>
        <v>0</v>
      </c>
      <c r="R1472" s="5" t="n">
        <f aca="false">_xlfn.XLOOKUP(C1472, [1]Estado_Equipos!A$2:A$500, [1]Estado_Equipos!J$2:J$500, "")</f>
        <v>72</v>
      </c>
      <c r="S1472" s="5" t="n">
        <f aca="false">IF(H1472&lt;=16,1.45,
IF(H1472&gt;=41,0.3,
CHOOSE(ROUNDDOWN((H1472-16)/2,0)+1,
1.45,1.38,1.3,1.23,1.17,1.15,1.12,1.05,0.95,0.8,0.6,0.4,0.3)))</f>
        <v>1.23</v>
      </c>
      <c r="T1472" s="5" t="n">
        <f aca="false">CHOOSE(N1472+1,1.2,1,0.85,0.7)</f>
        <v>1.2</v>
      </c>
      <c r="U1472" s="5" t="n">
        <f aca="false">IF(F1472="PO",0.6,
IF(F1472="CT",0.75,
IF(F1472="LI",0.8,
IF(F1472="LD",0.8,
IF(F1472="MCD",0.85,
IF(F1472="MC",0.95,
IF(F1472="MO",1.05,
IF(F1472="EI",1.1,
IF(F1472="ED",1.1,
IF(F1472="SD",1.15,
IF(F1472="DC",1.2,0)))))))))))</f>
        <v>0.8</v>
      </c>
    </row>
    <row r="1473" customFormat="false" ht="16.4" hidden="false" customHeight="false" outlineLevel="0" collapsed="false">
      <c r="A1473" s="1" t="n">
        <v>1472</v>
      </c>
      <c r="B1473" s="5" t="str">
        <f aca="false">[1]Base_Jugadores!B1473</f>
        <v>Emanuele Valeri</v>
      </c>
      <c r="C1473" s="5" t="str">
        <f aca="false">IFERROR(
   _xlfn.XLOOKUP(VALUE(A1473),[1]Fichajes_Realizados!A$2:A$50000,[1]Fichajes_Realizados!D$2:D$50000,,0,-1),
   _xlfn.XLOOKUP(VALUE(A1473),[1]Base_Jugadores!A$2:A$50000,[1]Base_Jugadores!C$2:C$50000)
)</f>
        <v>Parma</v>
      </c>
      <c r="D1473" s="5" t="str">
        <f aca="false">[1]Base_Jugadores!D1473</f>
        <v>Italia</v>
      </c>
      <c r="E1473" s="3"/>
      <c r="F1473" s="5" t="str">
        <f aca="false">[1]Base_Jugadores!E1473</f>
        <v>LI</v>
      </c>
      <c r="G1473" s="5" t="n">
        <f aca="false">[1]Base_Jugadores!F1473</f>
        <v>73</v>
      </c>
      <c r="H1473" s="5" t="n">
        <f aca="false">[1]Base_Jugadores!G1473</f>
        <v>27</v>
      </c>
      <c r="I1473" s="7" t="n">
        <f aca="false" t="array" ref="I1473:I1473">_xlfn.XLOOKUP(G1473,{55;56;57;58;59;60;61;62;63;64;65;66;67;68;69;70;71;72;73;74;75;76;77;78;79;80;81;82;83;84;85;86;87;88;89;90;91;92;93;94;95;96;97;98;99},{100000;130000;160000;190000;220000;250000;300000;350000;400000;450000;500000;600000;700000;800000;900000;1000000;1500000;2000000;3000000;4000000;5000000;6500000;8000000;10000000;12500000;15000000;20000000;25000000;30000000;35000000;40000000;55000000;70000000;80000000;90000000;110000000;130000000;160000000;190000000;220000000;250000000;280000000;310000000;340000000;400000000})</f>
        <v>3000000</v>
      </c>
      <c r="J1473" s="7" t="n">
        <f aca="false">I1473*S1473*T1473*U1473</f>
        <v>3312000</v>
      </c>
      <c r="K1473" s="3"/>
      <c r="L1473" s="3"/>
      <c r="M1473" s="3"/>
      <c r="N1473" s="9" t="n">
        <v>0</v>
      </c>
      <c r="O1473" s="4" t="n">
        <v>0</v>
      </c>
      <c r="P1473" s="5" t="n">
        <f aca="false">IF(COUNTIF([1]Base_Jugadores!J$2:J$500,B1473)&gt;0,1,0)</f>
        <v>0</v>
      </c>
      <c r="Q1473" s="10" t="b">
        <f aca="false">--(COUNTIFS(
   [1]Fichajes_Realizados!A$2:A$5000,A1473,
   [1]Fichajes_Realizados!G$2:G$5000,$X$3
)&gt;0)</f>
        <v>0</v>
      </c>
      <c r="R1473" s="5" t="n">
        <f aca="false">_xlfn.XLOOKUP(C1473, [1]Estado_Equipos!A$2:A$500, [1]Estado_Equipos!J$2:J$500, "")</f>
        <v>72</v>
      </c>
      <c r="S1473" s="5" t="n">
        <f aca="false">IF(H1473&lt;=16,1.45,
IF(H1473&gt;=41,0.3,
CHOOSE(ROUNDDOWN((H1473-16)/2,0)+1,
1.45,1.38,1.3,1.23,1.17,1.15,1.12,1.05,0.95,0.8,0.6,0.4,0.3)))</f>
        <v>1.15</v>
      </c>
      <c r="T1473" s="5" t="n">
        <f aca="false">CHOOSE(N1473+1,1.2,1,0.85,0.7)</f>
        <v>1.2</v>
      </c>
      <c r="U1473" s="5" t="n">
        <f aca="false">IF(F1473="PO",0.6,
IF(F1473="CT",0.75,
IF(F1473="LI",0.8,
IF(F1473="LD",0.8,
IF(F1473="MCD",0.85,
IF(F1473="MC",0.95,
IF(F1473="MO",1.05,
IF(F1473="EI",1.1,
IF(F1473="ED",1.1,
IF(F1473="SD",1.15,
IF(F1473="DC",1.2,0)))))))))))</f>
        <v>0.8</v>
      </c>
    </row>
    <row r="1474" customFormat="false" ht="16.4" hidden="false" customHeight="false" outlineLevel="0" collapsed="false">
      <c r="A1474" s="1" t="n">
        <v>1473</v>
      </c>
      <c r="B1474" s="5" t="str">
        <f aca="false">[1]Base_Jugadores!B1474</f>
        <v>Enrico Del Prato</v>
      </c>
      <c r="C1474" s="5" t="str">
        <f aca="false">IFERROR(
   _xlfn.XLOOKUP(VALUE(A1474),[1]Fichajes_Realizados!A$2:A$50000,[1]Fichajes_Realizados!D$2:D$50000,,0,-1),
   _xlfn.XLOOKUP(VALUE(A1474),[1]Base_Jugadores!A$2:A$50000,[1]Base_Jugadores!C$2:C$50000)
)</f>
        <v>Parma</v>
      </c>
      <c r="D1474" s="5" t="str">
        <f aca="false">[1]Base_Jugadores!D1474</f>
        <v>Italia</v>
      </c>
      <c r="E1474" s="3"/>
      <c r="F1474" s="5" t="str">
        <f aca="false">[1]Base_Jugadores!E1474</f>
        <v>LD</v>
      </c>
      <c r="G1474" s="5" t="n">
        <f aca="false">[1]Base_Jugadores!F1474</f>
        <v>75</v>
      </c>
      <c r="H1474" s="5" t="n">
        <f aca="false">[1]Base_Jugadores!G1474</f>
        <v>26</v>
      </c>
      <c r="I1474" s="7" t="n">
        <f aca="false" t="array" ref="I1474:I1474">_xlfn.XLOOKUP(G1474,{55;56;57;58;59;60;61;62;63;64;65;66;67;68;69;70;71;72;73;74;75;76;77;78;79;80;81;82;83;84;85;86;87;88;89;90;91;92;93;94;95;96;97;98;99},{100000;130000;160000;190000;220000;250000;300000;350000;400000;450000;500000;600000;700000;800000;900000;1000000;1500000;2000000;3000000;4000000;5000000;6500000;8000000;10000000;12500000;15000000;20000000;25000000;30000000;35000000;40000000;55000000;70000000;80000000;90000000;110000000;130000000;160000000;190000000;220000000;250000000;280000000;310000000;340000000;400000000})</f>
        <v>5000000</v>
      </c>
      <c r="J1474" s="7" t="n">
        <f aca="false">I1474*S1474*T1474*U1474</f>
        <v>5520000</v>
      </c>
      <c r="K1474" s="3"/>
      <c r="L1474" s="3"/>
      <c r="M1474" s="3"/>
      <c r="N1474" s="9" t="n">
        <v>0</v>
      </c>
      <c r="O1474" s="4" t="n">
        <v>0</v>
      </c>
      <c r="P1474" s="5" t="n">
        <f aca="false">IF(COUNTIF([1]Base_Jugadores!J$2:J$500,B1474)&gt;0,1,0)</f>
        <v>0</v>
      </c>
      <c r="Q1474" s="10" t="b">
        <f aca="false">--(COUNTIFS(
   [1]Fichajes_Realizados!A$2:A$5000,A1474,
   [1]Fichajes_Realizados!G$2:G$5000,$X$3
)&gt;0)</f>
        <v>0</v>
      </c>
      <c r="R1474" s="5" t="n">
        <f aca="false">_xlfn.XLOOKUP(C1474, [1]Estado_Equipos!A$2:A$500, [1]Estado_Equipos!J$2:J$500, "")</f>
        <v>72</v>
      </c>
      <c r="S1474" s="5" t="n">
        <f aca="false">IF(H1474&lt;=16,1.45,
IF(H1474&gt;=41,0.3,
CHOOSE(ROUNDDOWN((H1474-16)/2,0)+1,
1.45,1.38,1.3,1.23,1.17,1.15,1.12,1.05,0.95,0.8,0.6,0.4,0.3)))</f>
        <v>1.15</v>
      </c>
      <c r="T1474" s="5" t="n">
        <f aca="false">CHOOSE(N1474+1,1.2,1,0.85,0.7)</f>
        <v>1.2</v>
      </c>
      <c r="U1474" s="5" t="n">
        <f aca="false">IF(F1474="PO",0.6,
IF(F1474="CT",0.75,
IF(F1474="LI",0.8,
IF(F1474="LD",0.8,
IF(F1474="MCD",0.85,
IF(F1474="MC",0.95,
IF(F1474="MO",1.05,
IF(F1474="EI",1.1,
IF(F1474="ED",1.1,
IF(F1474="SD",1.15,
IF(F1474="DC",1.2,0)))))))))))</f>
        <v>0.8</v>
      </c>
    </row>
    <row r="1475" customFormat="false" ht="16.4" hidden="false" customHeight="false" outlineLevel="0" collapsed="false">
      <c r="A1475" s="1" t="n">
        <v>1474</v>
      </c>
      <c r="B1475" s="5" t="str">
        <f aca="false">[1]Base_Jugadores!B1475</f>
        <v>Mandela Keita</v>
      </c>
      <c r="C1475" s="5" t="str">
        <f aca="false">IFERROR(
   _xlfn.XLOOKUP(VALUE(A1475),[1]Fichajes_Realizados!A$2:A$50000,[1]Fichajes_Realizados!D$2:D$50000,,0,-1),
   _xlfn.XLOOKUP(VALUE(A1475),[1]Base_Jugadores!A$2:A$50000,[1]Base_Jugadores!C$2:C$50000)
)</f>
        <v>Parma</v>
      </c>
      <c r="D1475" s="5" t="str">
        <f aca="false">[1]Base_Jugadores!D1475</f>
        <v>Bélgica</v>
      </c>
      <c r="E1475" s="3"/>
      <c r="F1475" s="5" t="str">
        <f aca="false">[1]Base_Jugadores!E1475</f>
        <v>MCD</v>
      </c>
      <c r="G1475" s="5" t="n">
        <f aca="false">[1]Base_Jugadores!F1475</f>
        <v>76</v>
      </c>
      <c r="H1475" s="5" t="n">
        <f aca="false">[1]Base_Jugadores!G1475</f>
        <v>23</v>
      </c>
      <c r="I1475" s="7" t="n">
        <f aca="false" t="array" ref="I1475:I1475">_xlfn.XLOOKUP(G1475,{55;56;57;58;59;60;61;62;63;64;65;66;67;68;69;70;71;72;73;74;75;76;77;78;79;80;81;82;83;84;85;86;87;88;89;90;91;92;93;94;95;96;97;98;99},{100000;130000;160000;190000;220000;250000;300000;350000;400000;450000;500000;600000;700000;800000;900000;1000000;1500000;2000000;3000000;4000000;5000000;6500000;8000000;10000000;12500000;15000000;20000000;25000000;30000000;35000000;40000000;55000000;70000000;80000000;90000000;110000000;130000000;160000000;190000000;220000000;250000000;280000000;310000000;340000000;400000000})</f>
        <v>6500000</v>
      </c>
      <c r="J1475" s="7" t="n">
        <f aca="false">I1475*S1475*T1475*U1475</f>
        <v>8154900</v>
      </c>
      <c r="K1475" s="3"/>
      <c r="L1475" s="3"/>
      <c r="M1475" s="3"/>
      <c r="N1475" s="9" t="n">
        <v>0</v>
      </c>
      <c r="O1475" s="4" t="n">
        <v>0</v>
      </c>
      <c r="P1475" s="5" t="n">
        <f aca="false">IF(COUNTIF([1]Base_Jugadores!J$2:J$500,B1475)&gt;0,1,0)</f>
        <v>0</v>
      </c>
      <c r="Q1475" s="10" t="b">
        <f aca="false">--(COUNTIFS(
   [1]Fichajes_Realizados!A$2:A$5000,A1475,
   [1]Fichajes_Realizados!G$2:G$5000,$X$3
)&gt;0)</f>
        <v>0</v>
      </c>
      <c r="R1475" s="5" t="n">
        <f aca="false">_xlfn.XLOOKUP(C1475, [1]Estado_Equipos!A$2:A$500, [1]Estado_Equipos!J$2:J$500, "")</f>
        <v>72</v>
      </c>
      <c r="S1475" s="5" t="n">
        <f aca="false">IF(H1475&lt;=16,1.45,
IF(H1475&gt;=41,0.3,
CHOOSE(ROUNDDOWN((H1475-16)/2,0)+1,
1.45,1.38,1.3,1.23,1.17,1.15,1.12,1.05,0.95,0.8,0.6,0.4,0.3)))</f>
        <v>1.23</v>
      </c>
      <c r="T1475" s="5" t="n">
        <f aca="false">CHOOSE(N1475+1,1.2,1,0.85,0.7)</f>
        <v>1.2</v>
      </c>
      <c r="U1475" s="5" t="n">
        <f aca="false">IF(F1475="PO",0.6,
IF(F1475="CT",0.75,
IF(F1475="LI",0.8,
IF(F1475="LD",0.8,
IF(F1475="MCD",0.85,
IF(F1475="MC",0.95,
IF(F1475="MO",1.05,
IF(F1475="EI",1.1,
IF(F1475="ED",1.1,
IF(F1475="SD",1.15,
IF(F1475="DC",1.2,0)))))))))))</f>
        <v>0.85</v>
      </c>
    </row>
    <row r="1476" customFormat="false" ht="16.4" hidden="false" customHeight="false" outlineLevel="0" collapsed="false">
      <c r="A1476" s="1" t="n">
        <v>1475</v>
      </c>
      <c r="B1476" s="5" t="str">
        <f aca="false">[1]Base_Jugadores!B1476</f>
        <v>Nahuel Estévez</v>
      </c>
      <c r="C1476" s="5" t="str">
        <f aca="false">IFERROR(
   _xlfn.XLOOKUP(VALUE(A1476),[1]Fichajes_Realizados!A$2:A$50000,[1]Fichajes_Realizados!D$2:D$50000,,0,-1),
   _xlfn.XLOOKUP(VALUE(A1476),[1]Base_Jugadores!A$2:A$50000,[1]Base_Jugadores!C$2:C$50000)
)</f>
        <v>Parma</v>
      </c>
      <c r="D1476" s="5" t="str">
        <f aca="false">[1]Base_Jugadores!D1476</f>
        <v>Argentina</v>
      </c>
      <c r="E1476" s="3"/>
      <c r="F1476" s="5" t="str">
        <f aca="false">[1]Base_Jugadores!E1476</f>
        <v>MCD</v>
      </c>
      <c r="G1476" s="5" t="n">
        <f aca="false">[1]Base_Jugadores!F1476</f>
        <v>74</v>
      </c>
      <c r="H1476" s="5" t="n">
        <f aca="false">[1]Base_Jugadores!G1476</f>
        <v>30</v>
      </c>
      <c r="I1476" s="7" t="n">
        <f aca="false" t="array" ref="I1476:I1476">_xlfn.XLOOKUP(G1476,{55;56;57;58;59;60;61;62;63;64;65;66;67;68;69;70;71;72;73;74;75;76;77;78;79;80;81;82;83;84;85;86;87;88;89;90;91;92;93;94;95;96;97;98;99},{100000;130000;160000;190000;220000;250000;300000;350000;400000;450000;500000;600000;700000;800000;900000;1000000;1500000;2000000;3000000;4000000;5000000;6500000;8000000;10000000;12500000;15000000;20000000;25000000;30000000;35000000;40000000;55000000;70000000;80000000;90000000;110000000;130000000;160000000;190000000;220000000;250000000;280000000;310000000;340000000;400000000})</f>
        <v>4000000</v>
      </c>
      <c r="J1476" s="7" t="n">
        <f aca="false">I1476*S1476*T1476*U1476</f>
        <v>4284000</v>
      </c>
      <c r="K1476" s="3"/>
      <c r="L1476" s="3"/>
      <c r="M1476" s="3"/>
      <c r="N1476" s="9" t="n">
        <v>0</v>
      </c>
      <c r="O1476" s="4" t="n">
        <v>0</v>
      </c>
      <c r="P1476" s="5" t="n">
        <f aca="false">IF(COUNTIF([1]Base_Jugadores!J$2:J$500,B1476)&gt;0,1,0)</f>
        <v>0</v>
      </c>
      <c r="Q1476" s="10" t="b">
        <f aca="false">--(COUNTIFS(
   [1]Fichajes_Realizados!A$2:A$5000,A1476,
   [1]Fichajes_Realizados!G$2:G$5000,$X$3
)&gt;0)</f>
        <v>0</v>
      </c>
      <c r="R1476" s="5" t="n">
        <f aca="false">_xlfn.XLOOKUP(C1476, [1]Estado_Equipos!A$2:A$500, [1]Estado_Equipos!J$2:J$500, "")</f>
        <v>72</v>
      </c>
      <c r="S1476" s="5" t="n">
        <f aca="false">IF(H1476&lt;=16,1.45,
IF(H1476&gt;=41,0.3,
CHOOSE(ROUNDDOWN((H1476-16)/2,0)+1,
1.45,1.38,1.3,1.23,1.17,1.15,1.12,1.05,0.95,0.8,0.6,0.4,0.3)))</f>
        <v>1.05</v>
      </c>
      <c r="T1476" s="5" t="n">
        <f aca="false">CHOOSE(N1476+1,1.2,1,0.85,0.7)</f>
        <v>1.2</v>
      </c>
      <c r="U1476" s="5" t="n">
        <f aca="false">IF(F1476="PO",0.6,
IF(F1476="CT",0.75,
IF(F1476="LI",0.8,
IF(F1476="LD",0.8,
IF(F1476="MCD",0.85,
IF(F1476="MC",0.95,
IF(F1476="MO",1.05,
IF(F1476="EI",1.1,
IF(F1476="ED",1.1,
IF(F1476="SD",1.15,
IF(F1476="DC",1.2,0)))))))))))</f>
        <v>0.85</v>
      </c>
    </row>
    <row r="1477" customFormat="false" ht="16.4" hidden="false" customHeight="false" outlineLevel="0" collapsed="false">
      <c r="A1477" s="1" t="n">
        <v>1476</v>
      </c>
      <c r="B1477" s="5" t="str">
        <f aca="false">[1]Base_Jugadores!B1477</f>
        <v>Adrián Bernabé</v>
      </c>
      <c r="C1477" s="5" t="str">
        <f aca="false">IFERROR(
   _xlfn.XLOOKUP(VALUE(A1477),[1]Fichajes_Realizados!A$2:A$50000,[1]Fichajes_Realizados!D$2:D$50000,,0,-1),
   _xlfn.XLOOKUP(VALUE(A1477),[1]Base_Jugadores!A$2:A$50000,[1]Base_Jugadores!C$2:C$50000)
)</f>
        <v>Parma</v>
      </c>
      <c r="D1477" s="5" t="str">
        <f aca="false">[1]Base_Jugadores!D1477</f>
        <v>España</v>
      </c>
      <c r="E1477" s="3"/>
      <c r="F1477" s="5" t="str">
        <f aca="false">[1]Base_Jugadores!E1477</f>
        <v>MC</v>
      </c>
      <c r="G1477" s="5" t="n">
        <f aca="false">[1]Base_Jugadores!F1477</f>
        <v>75</v>
      </c>
      <c r="H1477" s="5" t="n">
        <f aca="false">[1]Base_Jugadores!G1477</f>
        <v>24</v>
      </c>
      <c r="I1477" s="7" t="n">
        <f aca="false" t="array" ref="I1477:I1477">_xlfn.XLOOKUP(G1477,{55;56;57;58;59;60;61;62;63;64;65;66;67;68;69;70;71;72;73;74;75;76;77;78;79;80;81;82;83;84;85;86;87;88;89;90;91;92;93;94;95;96;97;98;99},{100000;130000;160000;190000;220000;250000;300000;350000;400000;450000;500000;600000;700000;800000;900000;1000000;1500000;2000000;3000000;4000000;5000000;6500000;8000000;10000000;12500000;15000000;20000000;25000000;30000000;35000000;40000000;55000000;70000000;80000000;90000000;110000000;130000000;160000000;190000000;220000000;250000000;280000000;310000000;340000000;400000000})</f>
        <v>5000000</v>
      </c>
      <c r="J1477" s="7" t="n">
        <f aca="false">I1477*S1477*T1477*U1477</f>
        <v>6669000</v>
      </c>
      <c r="K1477" s="3"/>
      <c r="L1477" s="3"/>
      <c r="M1477" s="3"/>
      <c r="N1477" s="9" t="n">
        <v>0</v>
      </c>
      <c r="O1477" s="4" t="n">
        <v>0</v>
      </c>
      <c r="P1477" s="5" t="n">
        <f aca="false">IF(COUNTIF([1]Base_Jugadores!J$2:J$500,B1477)&gt;0,1,0)</f>
        <v>0</v>
      </c>
      <c r="Q1477" s="10" t="b">
        <f aca="false">--(COUNTIFS(
   [1]Fichajes_Realizados!A$2:A$5000,A1477,
   [1]Fichajes_Realizados!G$2:G$5000,$X$3
)&gt;0)</f>
        <v>0</v>
      </c>
      <c r="R1477" s="5" t="n">
        <f aca="false">_xlfn.XLOOKUP(C1477, [1]Estado_Equipos!A$2:A$500, [1]Estado_Equipos!J$2:J$500, "")</f>
        <v>72</v>
      </c>
      <c r="S1477" s="5" t="n">
        <f aca="false">IF(H1477&lt;=16,1.45,
IF(H1477&gt;=41,0.3,
CHOOSE(ROUNDDOWN((H1477-16)/2,0)+1,
1.45,1.38,1.3,1.23,1.17,1.15,1.12,1.05,0.95,0.8,0.6,0.4,0.3)))</f>
        <v>1.17</v>
      </c>
      <c r="T1477" s="5" t="n">
        <f aca="false">CHOOSE(N1477+1,1.2,1,0.85,0.7)</f>
        <v>1.2</v>
      </c>
      <c r="U1477" s="5" t="n">
        <f aca="false">IF(F1477="PO",0.6,
IF(F1477="CT",0.75,
IF(F1477="LI",0.8,
IF(F1477="LD",0.8,
IF(F1477="MCD",0.85,
IF(F1477="MC",0.95,
IF(F1477="MO",1.05,
IF(F1477="EI",1.1,
IF(F1477="ED",1.1,
IF(F1477="SD",1.15,
IF(F1477="DC",1.2,0)))))))))))</f>
        <v>0.95</v>
      </c>
    </row>
    <row r="1478" customFormat="false" ht="16.4" hidden="false" customHeight="false" outlineLevel="0" collapsed="false">
      <c r="A1478" s="1" t="n">
        <v>1477</v>
      </c>
      <c r="B1478" s="5" t="str">
        <f aca="false">[1]Base_Jugadores!B1478</f>
        <v>Oliver Sørensen</v>
      </c>
      <c r="C1478" s="5" t="str">
        <f aca="false">IFERROR(
   _xlfn.XLOOKUP(VALUE(A1478),[1]Fichajes_Realizados!A$2:A$50000,[1]Fichajes_Realizados!D$2:D$50000,,0,-1),
   _xlfn.XLOOKUP(VALUE(A1478),[1]Base_Jugadores!A$2:A$50000,[1]Base_Jugadores!C$2:C$50000)
)</f>
        <v>Parma</v>
      </c>
      <c r="D1478" s="5" t="str">
        <f aca="false">[1]Base_Jugadores!D1478</f>
        <v>Dinamarca</v>
      </c>
      <c r="E1478" s="3"/>
      <c r="F1478" s="5" t="str">
        <f aca="false">[1]Base_Jugadores!E1478</f>
        <v>MC</v>
      </c>
      <c r="G1478" s="5" t="n">
        <f aca="false">[1]Base_Jugadores!F1478</f>
        <v>73</v>
      </c>
      <c r="H1478" s="5" t="n">
        <f aca="false">[1]Base_Jugadores!G1478</f>
        <v>23</v>
      </c>
      <c r="I1478" s="7" t="n">
        <f aca="false" t="array" ref="I1478:I1478">_xlfn.XLOOKUP(G1478,{55;56;57;58;59;60;61;62;63;64;65;66;67;68;69;70;71;72;73;74;75;76;77;78;79;80;81;82;83;84;85;86;87;88;89;90;91;92;93;94;95;96;97;98;99},{100000;130000;160000;190000;220000;250000;300000;350000;400000;450000;500000;600000;700000;800000;900000;1000000;1500000;2000000;3000000;4000000;5000000;6500000;8000000;10000000;12500000;15000000;20000000;25000000;30000000;35000000;40000000;55000000;70000000;80000000;90000000;110000000;130000000;160000000;190000000;220000000;250000000;280000000;310000000;340000000;400000000})</f>
        <v>3000000</v>
      </c>
      <c r="J1478" s="7" t="n">
        <f aca="false">I1478*S1478*T1478*U1478</f>
        <v>4206600</v>
      </c>
      <c r="K1478" s="3"/>
      <c r="L1478" s="3"/>
      <c r="M1478" s="3"/>
      <c r="N1478" s="9" t="n">
        <v>0</v>
      </c>
      <c r="O1478" s="4" t="n">
        <v>0</v>
      </c>
      <c r="P1478" s="5" t="n">
        <f aca="false">IF(COUNTIF([1]Base_Jugadores!J$2:J$500,B1478)&gt;0,1,0)</f>
        <v>0</v>
      </c>
      <c r="Q1478" s="10" t="b">
        <f aca="false">--(COUNTIFS(
   [1]Fichajes_Realizados!A$2:A$5000,A1478,
   [1]Fichajes_Realizados!G$2:G$5000,$X$3
)&gt;0)</f>
        <v>0</v>
      </c>
      <c r="R1478" s="5" t="n">
        <f aca="false">_xlfn.XLOOKUP(C1478, [1]Estado_Equipos!A$2:A$500, [1]Estado_Equipos!J$2:J$500, "")</f>
        <v>72</v>
      </c>
      <c r="S1478" s="5" t="n">
        <f aca="false">IF(H1478&lt;=16,1.45,
IF(H1478&gt;=41,0.3,
CHOOSE(ROUNDDOWN((H1478-16)/2,0)+1,
1.45,1.38,1.3,1.23,1.17,1.15,1.12,1.05,0.95,0.8,0.6,0.4,0.3)))</f>
        <v>1.23</v>
      </c>
      <c r="T1478" s="5" t="n">
        <f aca="false">CHOOSE(N1478+1,1.2,1,0.85,0.7)</f>
        <v>1.2</v>
      </c>
      <c r="U1478" s="5" t="n">
        <f aca="false">IF(F1478="PO",0.6,
IF(F1478="CT",0.75,
IF(F1478="LI",0.8,
IF(F1478="LD",0.8,
IF(F1478="MCD",0.85,
IF(F1478="MC",0.95,
IF(F1478="MO",1.05,
IF(F1478="EI",1.1,
IF(F1478="ED",1.1,
IF(F1478="SD",1.15,
IF(F1478="DC",1.2,0)))))))))))</f>
        <v>0.95</v>
      </c>
    </row>
    <row r="1479" customFormat="false" ht="16.4" hidden="false" customHeight="false" outlineLevel="0" collapsed="false">
      <c r="A1479" s="1" t="n">
        <v>1478</v>
      </c>
      <c r="B1479" s="5" t="str">
        <f aca="false">[1]Base_Jugadores!B1479</f>
        <v>Christian Ordóñez</v>
      </c>
      <c r="C1479" s="5" t="str">
        <f aca="false">IFERROR(
   _xlfn.XLOOKUP(VALUE(A1479),[1]Fichajes_Realizados!A$2:A$50000,[1]Fichajes_Realizados!D$2:D$50000,,0,-1),
   _xlfn.XLOOKUP(VALUE(A1479),[1]Base_Jugadores!A$2:A$50000,[1]Base_Jugadores!C$2:C$50000)
)</f>
        <v>Parma</v>
      </c>
      <c r="D1479" s="5" t="str">
        <f aca="false">[1]Base_Jugadores!D1479</f>
        <v>Argentina</v>
      </c>
      <c r="E1479" s="3"/>
      <c r="F1479" s="5" t="str">
        <f aca="false">[1]Base_Jugadores!E1479</f>
        <v>MC</v>
      </c>
      <c r="G1479" s="5" t="n">
        <f aca="false">[1]Base_Jugadores!F1479</f>
        <v>74</v>
      </c>
      <c r="H1479" s="5" t="n">
        <f aca="false">[1]Base_Jugadores!G1479</f>
        <v>21</v>
      </c>
      <c r="I1479" s="7" t="n">
        <f aca="false" t="array" ref="I1479:I1479">_xlfn.XLOOKUP(G1479,{55;56;57;58;59;60;61;62;63;64;65;66;67;68;69;70;71;72;73;74;75;76;77;78;79;80;81;82;83;84;85;86;87;88;89;90;91;92;93;94;95;96;97;98;99},{100000;130000;160000;190000;220000;250000;300000;350000;400000;450000;500000;600000;700000;800000;900000;1000000;1500000;2000000;3000000;4000000;5000000;6500000;8000000;10000000;12500000;15000000;20000000;25000000;30000000;35000000;40000000;55000000;70000000;80000000;90000000;110000000;130000000;160000000;190000000;220000000;250000000;280000000;310000000;340000000;400000000})</f>
        <v>4000000</v>
      </c>
      <c r="J1479" s="7" t="n">
        <f aca="false">I1479*S1479*T1479*U1479</f>
        <v>5928000</v>
      </c>
      <c r="K1479" s="3"/>
      <c r="L1479" s="3"/>
      <c r="M1479" s="3"/>
      <c r="N1479" s="9" t="n">
        <v>0</v>
      </c>
      <c r="O1479" s="4" t="n">
        <v>0</v>
      </c>
      <c r="P1479" s="5" t="n">
        <f aca="false">IF(COUNTIF([1]Base_Jugadores!J$2:J$500,B1479)&gt;0,1,0)</f>
        <v>0</v>
      </c>
      <c r="Q1479" s="10" t="b">
        <f aca="false">--(COUNTIFS(
   [1]Fichajes_Realizados!A$2:A$5000,A1479,
   [1]Fichajes_Realizados!G$2:G$5000,$X$3
)&gt;0)</f>
        <v>0</v>
      </c>
      <c r="R1479" s="5" t="n">
        <f aca="false">_xlfn.XLOOKUP(C1479, [1]Estado_Equipos!A$2:A$500, [1]Estado_Equipos!J$2:J$500, "")</f>
        <v>72</v>
      </c>
      <c r="S1479" s="5" t="n">
        <f aca="false">IF(H1479&lt;=16,1.45,
IF(H1479&gt;=41,0.3,
CHOOSE(ROUNDDOWN((H1479-16)/2,0)+1,
1.45,1.38,1.3,1.23,1.17,1.15,1.12,1.05,0.95,0.8,0.6,0.4,0.3)))</f>
        <v>1.3</v>
      </c>
      <c r="T1479" s="5" t="n">
        <f aca="false">CHOOSE(N1479+1,1.2,1,0.85,0.7)</f>
        <v>1.2</v>
      </c>
      <c r="U1479" s="5" t="n">
        <f aca="false">IF(F1479="PO",0.6,
IF(F1479="CT",0.75,
IF(F1479="LI",0.8,
IF(F1479="LD",0.8,
IF(F1479="MCD",0.85,
IF(F1479="MC",0.95,
IF(F1479="MO",1.05,
IF(F1479="EI",1.1,
IF(F1479="ED",1.1,
IF(F1479="SD",1.15,
IF(F1479="DC",1.2,0)))))))))))</f>
        <v>0.95</v>
      </c>
    </row>
    <row r="1480" customFormat="false" ht="16.4" hidden="false" customHeight="false" outlineLevel="0" collapsed="false">
      <c r="A1480" s="1" t="n">
        <v>1479</v>
      </c>
      <c r="B1480" s="5" t="str">
        <f aca="false">[1]Base_Jugadores!B1480</f>
        <v>Benja Cremaschi</v>
      </c>
      <c r="C1480" s="5" t="str">
        <f aca="false">IFERROR(
   _xlfn.XLOOKUP(VALUE(A1480),[1]Fichajes_Realizados!A$2:A$50000,[1]Fichajes_Realizados!D$2:D$50000,,0,-1),
   _xlfn.XLOOKUP(VALUE(A1480),[1]Base_Jugadores!A$2:A$50000,[1]Base_Jugadores!C$2:C$50000)
)</f>
        <v>Parma</v>
      </c>
      <c r="D1480" s="5" t="str">
        <f aca="false">[1]Base_Jugadores!D1480</f>
        <v>Estados Unidos</v>
      </c>
      <c r="E1480" s="3"/>
      <c r="F1480" s="5" t="str">
        <f aca="false">[1]Base_Jugadores!E1480</f>
        <v>MC</v>
      </c>
      <c r="G1480" s="5" t="n">
        <f aca="false">[1]Base_Jugadores!F1480</f>
        <v>69</v>
      </c>
      <c r="H1480" s="5" t="n">
        <f aca="false">[1]Base_Jugadores!G1480</f>
        <v>20</v>
      </c>
      <c r="I1480" s="7" t="n">
        <f aca="false" t="array" ref="I1480:I1480">_xlfn.XLOOKUP(G1480,{55;56;57;58;59;60;61;62;63;64;65;66;67;68;69;70;71;72;73;74;75;76;77;78;79;80;81;82;83;84;85;86;87;88;89;90;91;92;93;94;95;96;97;98;99},{100000;130000;160000;190000;220000;250000;300000;350000;400000;450000;500000;600000;700000;800000;900000;1000000;1500000;2000000;3000000;4000000;5000000;6500000;8000000;10000000;12500000;15000000;20000000;25000000;30000000;35000000;40000000;55000000;70000000;80000000;90000000;110000000;130000000;160000000;190000000;220000000;250000000;280000000;310000000;340000000;400000000})</f>
        <v>900000</v>
      </c>
      <c r="J1480" s="7" t="n">
        <f aca="false">I1480*S1480*T1480*U1480</f>
        <v>1333800</v>
      </c>
      <c r="K1480" s="3"/>
      <c r="L1480" s="3"/>
      <c r="M1480" s="3"/>
      <c r="N1480" s="9" t="n">
        <v>0</v>
      </c>
      <c r="O1480" s="4" t="n">
        <v>0</v>
      </c>
      <c r="P1480" s="5" t="n">
        <f aca="false">IF(COUNTIF([1]Base_Jugadores!J$2:J$500,B1480)&gt;0,1,0)</f>
        <v>0</v>
      </c>
      <c r="Q1480" s="10" t="b">
        <f aca="false">--(COUNTIFS(
   [1]Fichajes_Realizados!A$2:A$5000,A1480,
   [1]Fichajes_Realizados!G$2:G$5000,$X$3
)&gt;0)</f>
        <v>0</v>
      </c>
      <c r="R1480" s="5" t="n">
        <f aca="false">_xlfn.XLOOKUP(C1480, [1]Estado_Equipos!A$2:A$500, [1]Estado_Equipos!J$2:J$500, "")</f>
        <v>72</v>
      </c>
      <c r="S1480" s="5" t="n">
        <f aca="false">IF(H1480&lt;=16,1.45,
IF(H1480&gt;=41,0.3,
CHOOSE(ROUNDDOWN((H1480-16)/2,0)+1,
1.45,1.38,1.3,1.23,1.17,1.15,1.12,1.05,0.95,0.8,0.6,0.4,0.3)))</f>
        <v>1.3</v>
      </c>
      <c r="T1480" s="5" t="n">
        <f aca="false">CHOOSE(N1480+1,1.2,1,0.85,0.7)</f>
        <v>1.2</v>
      </c>
      <c r="U1480" s="5" t="n">
        <f aca="false">IF(F1480="PO",0.6,
IF(F1480="CT",0.75,
IF(F1480="LI",0.8,
IF(F1480="LD",0.8,
IF(F1480="MCD",0.85,
IF(F1480="MC",0.95,
IF(F1480="MO",1.05,
IF(F1480="EI",1.1,
IF(F1480="ED",1.1,
IF(F1480="SD",1.15,
IF(F1480="DC",1.2,0)))))))))))</f>
        <v>0.95</v>
      </c>
    </row>
    <row r="1481" customFormat="false" ht="16.4" hidden="false" customHeight="false" outlineLevel="0" collapsed="false">
      <c r="A1481" s="1" t="n">
        <v>1480</v>
      </c>
      <c r="B1481" s="5" t="str">
        <f aca="false">[1]Base_Jugadores!B1481</f>
        <v>Hernani Azevedo</v>
      </c>
      <c r="C1481" s="5" t="str">
        <f aca="false">IFERROR(
   _xlfn.XLOOKUP(VALUE(A1481),[1]Fichajes_Realizados!A$2:A$50000,[1]Fichajes_Realizados!D$2:D$50000,,0,-1),
   _xlfn.XLOOKUP(VALUE(A1481),[1]Base_Jugadores!A$2:A$50000,[1]Base_Jugadores!C$2:C$50000)
)</f>
        <v>Parma</v>
      </c>
      <c r="D1481" s="5" t="str">
        <f aca="false">[1]Base_Jugadores!D1481</f>
        <v>Brasil</v>
      </c>
      <c r="E1481" s="3"/>
      <c r="F1481" s="5" t="str">
        <f aca="false">[1]Base_Jugadores!E1481</f>
        <v>MC</v>
      </c>
      <c r="G1481" s="5" t="n">
        <f aca="false">[1]Base_Jugadores!F1481</f>
        <v>74</v>
      </c>
      <c r="H1481" s="5" t="n">
        <f aca="false">[1]Base_Jugadores!G1481</f>
        <v>31</v>
      </c>
      <c r="I1481" s="7" t="n">
        <f aca="false" t="array" ref="I1481:I1481">_xlfn.XLOOKUP(G1481,{55;56;57;58;59;60;61;62;63;64;65;66;67;68;69;70;71;72;73;74;75;76;77;78;79;80;81;82;83;84;85;86;87;88;89;90;91;92;93;94;95;96;97;98;99},{100000;130000;160000;190000;220000;250000;300000;350000;400000;450000;500000;600000;700000;800000;900000;1000000;1500000;2000000;3000000;4000000;5000000;6500000;8000000;10000000;12500000;15000000;20000000;25000000;30000000;35000000;40000000;55000000;70000000;80000000;90000000;110000000;130000000;160000000;190000000;220000000;250000000;280000000;310000000;340000000;400000000})</f>
        <v>4000000</v>
      </c>
      <c r="J1481" s="7" t="n">
        <f aca="false">I1481*S1481*T1481*U1481</f>
        <v>4788000</v>
      </c>
      <c r="K1481" s="3"/>
      <c r="L1481" s="3"/>
      <c r="M1481" s="3"/>
      <c r="N1481" s="9" t="n">
        <v>0</v>
      </c>
      <c r="O1481" s="4" t="n">
        <v>0</v>
      </c>
      <c r="P1481" s="5" t="n">
        <f aca="false">IF(COUNTIF([1]Base_Jugadores!J$2:J$500,B1481)&gt;0,1,0)</f>
        <v>0</v>
      </c>
      <c r="Q1481" s="10" t="b">
        <f aca="false">--(COUNTIFS(
   [1]Fichajes_Realizados!A$2:A$5000,A1481,
   [1]Fichajes_Realizados!G$2:G$5000,$X$3
)&gt;0)</f>
        <v>0</v>
      </c>
      <c r="R1481" s="5" t="n">
        <f aca="false">_xlfn.XLOOKUP(C1481, [1]Estado_Equipos!A$2:A$500, [1]Estado_Equipos!J$2:J$500, "")</f>
        <v>72</v>
      </c>
      <c r="S1481" s="5" t="n">
        <f aca="false">IF(H1481&lt;=16,1.45,
IF(H1481&gt;=41,0.3,
CHOOSE(ROUNDDOWN((H1481-16)/2,0)+1,
1.45,1.38,1.3,1.23,1.17,1.15,1.12,1.05,0.95,0.8,0.6,0.4,0.3)))</f>
        <v>1.05</v>
      </c>
      <c r="T1481" s="5" t="n">
        <f aca="false">CHOOSE(N1481+1,1.2,1,0.85,0.7)</f>
        <v>1.2</v>
      </c>
      <c r="U1481" s="5" t="n">
        <f aca="false">IF(F1481="PO",0.6,
IF(F1481="CT",0.75,
IF(F1481="LI",0.8,
IF(F1481="LD",0.8,
IF(F1481="MCD",0.85,
IF(F1481="MC",0.95,
IF(F1481="MO",1.05,
IF(F1481="EI",1.1,
IF(F1481="ED",1.1,
IF(F1481="SD",1.15,
IF(F1481="DC",1.2,0)))))))))))</f>
        <v>0.95</v>
      </c>
    </row>
    <row r="1482" customFormat="false" ht="16.4" hidden="false" customHeight="false" outlineLevel="0" collapsed="false">
      <c r="A1482" s="1" t="n">
        <v>1481</v>
      </c>
      <c r="B1482" s="5" t="str">
        <f aca="false">[1]Base_Jugadores!B1482</f>
        <v>Gaetano Oristanio</v>
      </c>
      <c r="C1482" s="5" t="str">
        <f aca="false">IFERROR(
   _xlfn.XLOOKUP(VALUE(A1482),[1]Fichajes_Realizados!A$2:A$50000,[1]Fichajes_Realizados!D$2:D$50000,,0,-1),
   _xlfn.XLOOKUP(VALUE(A1482),[1]Base_Jugadores!A$2:A$50000,[1]Base_Jugadores!C$2:C$50000)
)</f>
        <v>Parma</v>
      </c>
      <c r="D1482" s="5" t="str">
        <f aca="false">[1]Base_Jugadores!D1482</f>
        <v>Italia</v>
      </c>
      <c r="E1482" s="3"/>
      <c r="F1482" s="5" t="str">
        <f aca="false">[1]Base_Jugadores!E1482</f>
        <v>MO</v>
      </c>
      <c r="G1482" s="5" t="n">
        <f aca="false">[1]Base_Jugadores!F1482</f>
        <v>71</v>
      </c>
      <c r="H1482" s="5" t="n">
        <f aca="false">[1]Base_Jugadores!G1482</f>
        <v>23</v>
      </c>
      <c r="I1482" s="7" t="n">
        <f aca="false" t="array" ref="I1482:I1482">_xlfn.XLOOKUP(G1482,{55;56;57;58;59;60;61;62;63;64;65;66;67;68;69;70;71;72;73;74;75;76;77;78;79;80;81;82;83;84;85;86;87;88;89;90;91;92;93;94;95;96;97;98;99},{100000;130000;160000;190000;220000;250000;300000;350000;400000;450000;500000;600000;700000;800000;900000;1000000;1500000;2000000;3000000;4000000;5000000;6500000;8000000;10000000;12500000;15000000;20000000;25000000;30000000;35000000;40000000;55000000;70000000;80000000;90000000;110000000;130000000;160000000;190000000;220000000;250000000;280000000;310000000;340000000;400000000})</f>
        <v>1500000</v>
      </c>
      <c r="J1482" s="7" t="n">
        <f aca="false">I1482*S1482*T1482*U1482</f>
        <v>2324700</v>
      </c>
      <c r="K1482" s="3"/>
      <c r="L1482" s="3"/>
      <c r="M1482" s="3"/>
      <c r="N1482" s="9" t="n">
        <v>0</v>
      </c>
      <c r="O1482" s="4" t="n">
        <v>0</v>
      </c>
      <c r="P1482" s="5" t="n">
        <f aca="false">IF(COUNTIF([1]Base_Jugadores!J$2:J$500,B1482)&gt;0,1,0)</f>
        <v>0</v>
      </c>
      <c r="Q1482" s="10" t="b">
        <f aca="false">--(COUNTIFS(
   [1]Fichajes_Realizados!A$2:A$5000,A1482,
   [1]Fichajes_Realizados!G$2:G$5000,$X$3
)&gt;0)</f>
        <v>0</v>
      </c>
      <c r="R1482" s="5" t="n">
        <f aca="false">_xlfn.XLOOKUP(C1482, [1]Estado_Equipos!A$2:A$500, [1]Estado_Equipos!J$2:J$500, "")</f>
        <v>72</v>
      </c>
      <c r="S1482" s="5" t="n">
        <f aca="false">IF(H1482&lt;=16,1.45,
IF(H1482&gt;=41,0.3,
CHOOSE(ROUNDDOWN((H1482-16)/2,0)+1,
1.45,1.38,1.3,1.23,1.17,1.15,1.12,1.05,0.95,0.8,0.6,0.4,0.3)))</f>
        <v>1.23</v>
      </c>
      <c r="T1482" s="5" t="n">
        <f aca="false">CHOOSE(N1482+1,1.2,1,0.85,0.7)</f>
        <v>1.2</v>
      </c>
      <c r="U1482" s="5" t="n">
        <f aca="false">IF(F1482="PO",0.6,
IF(F1482="CT",0.75,
IF(F1482="LI",0.8,
IF(F1482="LD",0.8,
IF(F1482="MCD",0.85,
IF(F1482="MC",0.95,
IF(F1482="MO",1.05,
IF(F1482="EI",1.1,
IF(F1482="ED",1.1,
IF(F1482="SD",1.15,
IF(F1482="DC",1.2,0)))))))))))</f>
        <v>1.05</v>
      </c>
    </row>
    <row r="1483" customFormat="false" ht="16.4" hidden="false" customHeight="false" outlineLevel="0" collapsed="false">
      <c r="A1483" s="1" t="n">
        <v>1482</v>
      </c>
      <c r="B1483" s="5" t="str">
        <f aca="false">[1]Base_Jugadores!B1483</f>
        <v>Jacob Ondrejka</v>
      </c>
      <c r="C1483" s="5" t="str">
        <f aca="false">IFERROR(
   _xlfn.XLOOKUP(VALUE(A1483),[1]Fichajes_Realizados!A$2:A$50000,[1]Fichajes_Realizados!D$2:D$50000,,0,-1),
   _xlfn.XLOOKUP(VALUE(A1483),[1]Base_Jugadores!A$2:A$50000,[1]Base_Jugadores!C$2:C$50000)
)</f>
        <v>Parma</v>
      </c>
      <c r="D1483" s="5" t="str">
        <f aca="false">[1]Base_Jugadores!D1483</f>
        <v>Suecia</v>
      </c>
      <c r="E1483" s="3"/>
      <c r="F1483" s="5" t="str">
        <f aca="false">[1]Base_Jugadores!E1483</f>
        <v>EI</v>
      </c>
      <c r="G1483" s="5" t="n">
        <f aca="false">[1]Base_Jugadores!F1483</f>
        <v>74</v>
      </c>
      <c r="H1483" s="5" t="n">
        <f aca="false">[1]Base_Jugadores!G1483</f>
        <v>23</v>
      </c>
      <c r="I1483" s="7" t="n">
        <f aca="false" t="array" ref="I1483:I1483">_xlfn.XLOOKUP(G1483,{55;56;57;58;59;60;61;62;63;64;65;66;67;68;69;70;71;72;73;74;75;76;77;78;79;80;81;82;83;84;85;86;87;88;89;90;91;92;93;94;95;96;97;98;99},{100000;130000;160000;190000;220000;250000;300000;350000;400000;450000;500000;600000;700000;800000;900000;1000000;1500000;2000000;3000000;4000000;5000000;6500000;8000000;10000000;12500000;15000000;20000000;25000000;30000000;35000000;40000000;55000000;70000000;80000000;90000000;110000000;130000000;160000000;190000000;220000000;250000000;280000000;310000000;340000000;400000000})</f>
        <v>4000000</v>
      </c>
      <c r="J1483" s="7" t="n">
        <f aca="false">I1483*S1483*T1483*U1483</f>
        <v>6494400</v>
      </c>
      <c r="K1483" s="3"/>
      <c r="L1483" s="3"/>
      <c r="M1483" s="3"/>
      <c r="N1483" s="9" t="n">
        <v>0</v>
      </c>
      <c r="O1483" s="4" t="n">
        <v>0</v>
      </c>
      <c r="P1483" s="5" t="n">
        <f aca="false">IF(COUNTIF([1]Base_Jugadores!J$2:J$500,B1483)&gt;0,1,0)</f>
        <v>0</v>
      </c>
      <c r="Q1483" s="10" t="b">
        <f aca="false">--(COUNTIFS(
   [1]Fichajes_Realizados!A$2:A$5000,A1483,
   [1]Fichajes_Realizados!G$2:G$5000,$X$3
)&gt;0)</f>
        <v>0</v>
      </c>
      <c r="R1483" s="5" t="n">
        <f aca="false">_xlfn.XLOOKUP(C1483, [1]Estado_Equipos!A$2:A$500, [1]Estado_Equipos!J$2:J$500, "")</f>
        <v>72</v>
      </c>
      <c r="S1483" s="5" t="n">
        <f aca="false">IF(H1483&lt;=16,1.45,
IF(H1483&gt;=41,0.3,
CHOOSE(ROUNDDOWN((H1483-16)/2,0)+1,
1.45,1.38,1.3,1.23,1.17,1.15,1.12,1.05,0.95,0.8,0.6,0.4,0.3)))</f>
        <v>1.23</v>
      </c>
      <c r="T1483" s="5" t="n">
        <f aca="false">CHOOSE(N1483+1,1.2,1,0.85,0.7)</f>
        <v>1.2</v>
      </c>
      <c r="U1483" s="5" t="n">
        <f aca="false">IF(F1483="PO",0.6,
IF(F1483="CT",0.75,
IF(F1483="LI",0.8,
IF(F1483="LD",0.8,
IF(F1483="MCD",0.85,
IF(F1483="MC",0.95,
IF(F1483="MO",1.05,
IF(F1483="EI",1.1,
IF(F1483="ED",1.1,
IF(F1483="SD",1.15,
IF(F1483="DC",1.2,0)))))))))))</f>
        <v>1.1</v>
      </c>
    </row>
    <row r="1484" customFormat="false" ht="16.4" hidden="false" customHeight="false" outlineLevel="0" collapsed="false">
      <c r="A1484" s="1" t="n">
        <v>1483</v>
      </c>
      <c r="B1484" s="5" t="str">
        <f aca="false">[1]Base_Jugadores!B1484</f>
        <v>Adrian Benedyczak</v>
      </c>
      <c r="C1484" s="5" t="str">
        <f aca="false">IFERROR(
   _xlfn.XLOOKUP(VALUE(A1484),[1]Fichajes_Realizados!A$2:A$50000,[1]Fichajes_Realizados!D$2:D$50000,,0,-1),
   _xlfn.XLOOKUP(VALUE(A1484),[1]Base_Jugadores!A$2:A$50000,[1]Base_Jugadores!C$2:C$50000)
)</f>
        <v>Parma</v>
      </c>
      <c r="D1484" s="5" t="str">
        <f aca="false">[1]Base_Jugadores!D1484</f>
        <v>Polonia</v>
      </c>
      <c r="E1484" s="3"/>
      <c r="F1484" s="5" t="str">
        <f aca="false">[1]Base_Jugadores!E1484</f>
        <v>EI</v>
      </c>
      <c r="G1484" s="5" t="n">
        <f aca="false">[1]Base_Jugadores!F1484</f>
        <v>72</v>
      </c>
      <c r="H1484" s="5" t="n">
        <f aca="false">[1]Base_Jugadores!G1484</f>
        <v>25</v>
      </c>
      <c r="I1484" s="7" t="n">
        <f aca="false" t="array" ref="I1484:I1484">_xlfn.XLOOKUP(G1484,{55;56;57;58;59;60;61;62;63;64;65;66;67;68;69;70;71;72;73;74;75;76;77;78;79;80;81;82;83;84;85;86;87;88;89;90;91;92;93;94;95;96;97;98;99},{100000;130000;160000;190000;220000;250000;300000;350000;400000;450000;500000;600000;700000;800000;900000;1000000;1500000;2000000;3000000;4000000;5000000;6500000;8000000;10000000;12500000;15000000;20000000;25000000;30000000;35000000;40000000;55000000;70000000;80000000;90000000;110000000;130000000;160000000;190000000;220000000;250000000;280000000;310000000;340000000;400000000})</f>
        <v>2000000</v>
      </c>
      <c r="J1484" s="7" t="n">
        <f aca="false">I1484*S1484*T1484*U1484</f>
        <v>3088800</v>
      </c>
      <c r="K1484" s="3"/>
      <c r="L1484" s="3"/>
      <c r="M1484" s="3"/>
      <c r="N1484" s="9" t="n">
        <v>0</v>
      </c>
      <c r="O1484" s="4" t="n">
        <v>0</v>
      </c>
      <c r="P1484" s="5" t="n">
        <f aca="false">IF(COUNTIF([1]Base_Jugadores!J$2:J$500,B1484)&gt;0,1,0)</f>
        <v>0</v>
      </c>
      <c r="Q1484" s="10" t="b">
        <f aca="false">--(COUNTIFS(
   [1]Fichajes_Realizados!A$2:A$5000,A1484,
   [1]Fichajes_Realizados!G$2:G$5000,$X$3
)&gt;0)</f>
        <v>0</v>
      </c>
      <c r="R1484" s="5" t="n">
        <f aca="false">_xlfn.XLOOKUP(C1484, [1]Estado_Equipos!A$2:A$500, [1]Estado_Equipos!J$2:J$500, "")</f>
        <v>72</v>
      </c>
      <c r="S1484" s="5" t="n">
        <f aca="false">IF(H1484&lt;=16,1.45,
IF(H1484&gt;=41,0.3,
CHOOSE(ROUNDDOWN((H1484-16)/2,0)+1,
1.45,1.38,1.3,1.23,1.17,1.15,1.12,1.05,0.95,0.8,0.6,0.4,0.3)))</f>
        <v>1.17</v>
      </c>
      <c r="T1484" s="5" t="n">
        <f aca="false">CHOOSE(N1484+1,1.2,1,0.85,0.7)</f>
        <v>1.2</v>
      </c>
      <c r="U1484" s="5" t="n">
        <f aca="false">IF(F1484="PO",0.6,
IF(F1484="CT",0.75,
IF(F1484="LI",0.8,
IF(F1484="LD",0.8,
IF(F1484="MCD",0.85,
IF(F1484="MC",0.95,
IF(F1484="MO",1.05,
IF(F1484="EI",1.1,
IF(F1484="ED",1.1,
IF(F1484="SD",1.15,
IF(F1484="DC",1.2,0)))))))))))</f>
        <v>1.1</v>
      </c>
    </row>
    <row r="1485" customFormat="false" ht="16.4" hidden="false" customHeight="false" outlineLevel="0" collapsed="false">
      <c r="A1485" s="1" t="n">
        <v>1484</v>
      </c>
      <c r="B1485" s="5" t="str">
        <f aca="false">[1]Base_Jugadores!B1485</f>
        <v>Tjas Begic</v>
      </c>
      <c r="C1485" s="5" t="str">
        <f aca="false">IFERROR(
   _xlfn.XLOOKUP(VALUE(A1485),[1]Fichajes_Realizados!A$2:A$50000,[1]Fichajes_Realizados!D$2:D$50000,,0,-1),
   _xlfn.XLOOKUP(VALUE(A1485),[1]Base_Jugadores!A$2:A$50000,[1]Base_Jugadores!C$2:C$50000)
)</f>
        <v>Parma</v>
      </c>
      <c r="D1485" s="5" t="str">
        <f aca="false">[1]Base_Jugadores!D1485</f>
        <v>Eslovenia</v>
      </c>
      <c r="E1485" s="3"/>
      <c r="F1485" s="5" t="str">
        <f aca="false">[1]Base_Jugadores!E1485</f>
        <v>EI</v>
      </c>
      <c r="G1485" s="5" t="n">
        <f aca="false">[1]Base_Jugadores!F1485</f>
        <v>64</v>
      </c>
      <c r="H1485" s="5" t="n">
        <f aca="false">[1]Base_Jugadores!G1485</f>
        <v>22</v>
      </c>
      <c r="I1485" s="7" t="n">
        <f aca="false" t="array" ref="I1485:I1485">_xlfn.XLOOKUP(G1485,{55;56;57;58;59;60;61;62;63;64;65;66;67;68;69;70;71;72;73;74;75;76;77;78;79;80;81;82;83;84;85;86;87;88;89;90;91;92;93;94;95;96;97;98;99},{100000;130000;160000;190000;220000;250000;300000;350000;400000;450000;500000;600000;700000;800000;900000;1000000;1500000;2000000;3000000;4000000;5000000;6500000;8000000;10000000;12500000;15000000;20000000;25000000;30000000;35000000;40000000;55000000;70000000;80000000;90000000;110000000;130000000;160000000;190000000;220000000;250000000;280000000;310000000;340000000;400000000})</f>
        <v>450000</v>
      </c>
      <c r="J1485" s="7" t="n">
        <f aca="false">I1485*S1485*T1485*U1485</f>
        <v>730620</v>
      </c>
      <c r="K1485" s="3"/>
      <c r="L1485" s="3"/>
      <c r="M1485" s="3"/>
      <c r="N1485" s="9" t="n">
        <v>0</v>
      </c>
      <c r="O1485" s="4" t="n">
        <v>0</v>
      </c>
      <c r="P1485" s="5" t="n">
        <f aca="false">IF(COUNTIF([1]Base_Jugadores!J$2:J$500,B1485)&gt;0,1,0)</f>
        <v>0</v>
      </c>
      <c r="Q1485" s="10" t="b">
        <f aca="false">--(COUNTIFS(
   [1]Fichajes_Realizados!A$2:A$5000,A1485,
   [1]Fichajes_Realizados!G$2:G$5000,$X$3
)&gt;0)</f>
        <v>0</v>
      </c>
      <c r="R1485" s="5" t="n">
        <f aca="false">_xlfn.XLOOKUP(C1485, [1]Estado_Equipos!A$2:A$500, [1]Estado_Equipos!J$2:J$500, "")</f>
        <v>72</v>
      </c>
      <c r="S1485" s="5" t="n">
        <f aca="false">IF(H1485&lt;=16,1.45,
IF(H1485&gt;=41,0.3,
CHOOSE(ROUNDDOWN((H1485-16)/2,0)+1,
1.45,1.38,1.3,1.23,1.17,1.15,1.12,1.05,0.95,0.8,0.6,0.4,0.3)))</f>
        <v>1.23</v>
      </c>
      <c r="T1485" s="5" t="n">
        <f aca="false">CHOOSE(N1485+1,1.2,1,0.85,0.7)</f>
        <v>1.2</v>
      </c>
      <c r="U1485" s="5" t="n">
        <f aca="false">IF(F1485="PO",0.6,
IF(F1485="CT",0.75,
IF(F1485="LI",0.8,
IF(F1485="LD",0.8,
IF(F1485="MCD",0.85,
IF(F1485="MC",0.95,
IF(F1485="MO",1.05,
IF(F1485="EI",1.1,
IF(F1485="ED",1.1,
IF(F1485="SD",1.15,
IF(F1485="DC",1.2,0)))))))))))</f>
        <v>1.1</v>
      </c>
    </row>
    <row r="1486" customFormat="false" ht="16.4" hidden="false" customHeight="false" outlineLevel="0" collapsed="false">
      <c r="A1486" s="1" t="n">
        <v>1485</v>
      </c>
      <c r="B1486" s="5" t="str">
        <f aca="false">[1]Base_Jugadores!B1486</f>
        <v>Pontus Almqvist</v>
      </c>
      <c r="C1486" s="5" t="str">
        <f aca="false">IFERROR(
   _xlfn.XLOOKUP(VALUE(A1486),[1]Fichajes_Realizados!A$2:A$50000,[1]Fichajes_Realizados!D$2:D$50000,,0,-1),
   _xlfn.XLOOKUP(VALUE(A1486),[1]Base_Jugadores!A$2:A$50000,[1]Base_Jugadores!C$2:C$50000)
)</f>
        <v>Parma</v>
      </c>
      <c r="D1486" s="5" t="str">
        <f aca="false">[1]Base_Jugadores!D1486</f>
        <v>Suecia</v>
      </c>
      <c r="E1486" s="3"/>
      <c r="F1486" s="5" t="str">
        <f aca="false">[1]Base_Jugadores!E1486</f>
        <v>ED</v>
      </c>
      <c r="G1486" s="5" t="n">
        <f aca="false">[1]Base_Jugadores!F1486</f>
        <v>74</v>
      </c>
      <c r="H1486" s="5" t="n">
        <f aca="false">[1]Base_Jugadores!G1486</f>
        <v>26</v>
      </c>
      <c r="I1486" s="7" t="n">
        <f aca="false" t="array" ref="I1486:I1486">_xlfn.XLOOKUP(G1486,{55;56;57;58;59;60;61;62;63;64;65;66;67;68;69;70;71;72;73;74;75;76;77;78;79;80;81;82;83;84;85;86;87;88;89;90;91;92;93;94;95;96;97;98;99},{100000;130000;160000;190000;220000;250000;300000;350000;400000;450000;500000;600000;700000;800000;900000;1000000;1500000;2000000;3000000;4000000;5000000;6500000;8000000;10000000;12500000;15000000;20000000;25000000;30000000;35000000;40000000;55000000;70000000;80000000;90000000;110000000;130000000;160000000;190000000;220000000;250000000;280000000;310000000;340000000;400000000})</f>
        <v>4000000</v>
      </c>
      <c r="J1486" s="7" t="n">
        <f aca="false">I1486*S1486*T1486*U1486</f>
        <v>6072000</v>
      </c>
      <c r="K1486" s="3"/>
      <c r="L1486" s="3"/>
      <c r="M1486" s="3"/>
      <c r="N1486" s="9" t="n">
        <v>0</v>
      </c>
      <c r="O1486" s="4" t="n">
        <v>0</v>
      </c>
      <c r="P1486" s="5" t="n">
        <f aca="false">IF(COUNTIF([1]Base_Jugadores!J$2:J$500,B1486)&gt;0,1,0)</f>
        <v>0</v>
      </c>
      <c r="Q1486" s="10" t="b">
        <f aca="false">--(COUNTIFS(
   [1]Fichajes_Realizados!A$2:A$5000,A1486,
   [1]Fichajes_Realizados!G$2:G$5000,$X$3
)&gt;0)</f>
        <v>0</v>
      </c>
      <c r="R1486" s="5" t="n">
        <f aca="false">_xlfn.XLOOKUP(C1486, [1]Estado_Equipos!A$2:A$500, [1]Estado_Equipos!J$2:J$500, "")</f>
        <v>72</v>
      </c>
      <c r="S1486" s="5" t="n">
        <f aca="false">IF(H1486&lt;=16,1.45,
IF(H1486&gt;=41,0.3,
CHOOSE(ROUNDDOWN((H1486-16)/2,0)+1,
1.45,1.38,1.3,1.23,1.17,1.15,1.12,1.05,0.95,0.8,0.6,0.4,0.3)))</f>
        <v>1.15</v>
      </c>
      <c r="T1486" s="5" t="n">
        <f aca="false">CHOOSE(N1486+1,1.2,1,0.85,0.7)</f>
        <v>1.2</v>
      </c>
      <c r="U1486" s="5" t="n">
        <f aca="false">IF(F1486="PO",0.6,
IF(F1486="CT",0.75,
IF(F1486="LI",0.8,
IF(F1486="LD",0.8,
IF(F1486="MCD",0.85,
IF(F1486="MC",0.95,
IF(F1486="MO",1.05,
IF(F1486="EI",1.1,
IF(F1486="ED",1.1,
IF(F1486="SD",1.15,
IF(F1486="DC",1.2,0)))))))))))</f>
        <v>1.1</v>
      </c>
    </row>
    <row r="1487" customFormat="false" ht="16.4" hidden="false" customHeight="false" outlineLevel="0" collapsed="false">
      <c r="A1487" s="1" t="n">
        <v>1486</v>
      </c>
      <c r="B1487" s="5" t="str">
        <f aca="false">[1]Base_Jugadores!B1487</f>
        <v>Matija Frigan</v>
      </c>
      <c r="C1487" s="5" t="str">
        <f aca="false">IFERROR(
   _xlfn.XLOOKUP(VALUE(A1487),[1]Fichajes_Realizados!A$2:A$50000,[1]Fichajes_Realizados!D$2:D$50000,,0,-1),
   _xlfn.XLOOKUP(VALUE(A1487),[1]Base_Jugadores!A$2:A$50000,[1]Base_Jugadores!C$2:C$50000)
)</f>
        <v>Parma</v>
      </c>
      <c r="D1487" s="5" t="str">
        <f aca="false">[1]Base_Jugadores!D1487</f>
        <v>Croacia</v>
      </c>
      <c r="E1487" s="3"/>
      <c r="F1487" s="5" t="str">
        <f aca="false">[1]Base_Jugadores!E1487</f>
        <v>DC</v>
      </c>
      <c r="G1487" s="5" t="n">
        <f aca="false">[1]Base_Jugadores!F1487</f>
        <v>70</v>
      </c>
      <c r="H1487" s="5" t="n">
        <f aca="false">[1]Base_Jugadores!G1487</f>
        <v>22</v>
      </c>
      <c r="I1487" s="7" t="n">
        <f aca="false" t="array" ref="I1487:I1487">_xlfn.XLOOKUP(G1487,{55;56;57;58;59;60;61;62;63;64;65;66;67;68;69;70;71;72;73;74;75;76;77;78;79;80;81;82;83;84;85;86;87;88;89;90;91;92;93;94;95;96;97;98;99},{100000;130000;160000;190000;220000;250000;300000;350000;400000;450000;500000;600000;700000;800000;900000;1000000;1500000;2000000;3000000;4000000;5000000;6500000;8000000;10000000;12500000;15000000;20000000;25000000;30000000;35000000;40000000;55000000;70000000;80000000;90000000;110000000;130000000;160000000;190000000;220000000;250000000;280000000;310000000;340000000;400000000})</f>
        <v>1000000</v>
      </c>
      <c r="J1487" s="7" t="n">
        <f aca="false">I1487*S1487*T1487*U1487</f>
        <v>1771200</v>
      </c>
      <c r="K1487" s="3"/>
      <c r="L1487" s="3"/>
      <c r="M1487" s="3"/>
      <c r="N1487" s="9" t="n">
        <v>0</v>
      </c>
      <c r="O1487" s="4" t="n">
        <v>0</v>
      </c>
      <c r="P1487" s="5" t="n">
        <f aca="false">IF(COUNTIF([1]Base_Jugadores!J$2:J$500,B1487)&gt;0,1,0)</f>
        <v>0</v>
      </c>
      <c r="Q1487" s="10" t="b">
        <f aca="false">--(COUNTIFS(
   [1]Fichajes_Realizados!A$2:A$5000,A1487,
   [1]Fichajes_Realizados!G$2:G$5000,$X$3
)&gt;0)</f>
        <v>0</v>
      </c>
      <c r="R1487" s="5" t="n">
        <f aca="false">_xlfn.XLOOKUP(C1487, [1]Estado_Equipos!A$2:A$500, [1]Estado_Equipos!J$2:J$500, "")</f>
        <v>72</v>
      </c>
      <c r="S1487" s="5" t="n">
        <f aca="false">IF(H1487&lt;=16,1.45,
IF(H1487&gt;=41,0.3,
CHOOSE(ROUNDDOWN((H1487-16)/2,0)+1,
1.45,1.38,1.3,1.23,1.17,1.15,1.12,1.05,0.95,0.8,0.6,0.4,0.3)))</f>
        <v>1.23</v>
      </c>
      <c r="T1487" s="5" t="n">
        <f aca="false">CHOOSE(N1487+1,1.2,1,0.85,0.7)</f>
        <v>1.2</v>
      </c>
      <c r="U1487" s="5" t="n">
        <f aca="false">IF(F1487="PO",0.6,
IF(F1487="CT",0.75,
IF(F1487="LI",0.8,
IF(F1487="LD",0.8,
IF(F1487="MCD",0.85,
IF(F1487="MC",0.95,
IF(F1487="MO",1.05,
IF(F1487="EI",1.1,
IF(F1487="ED",1.1,
IF(F1487="SD",1.15,
IF(F1487="DC",1.2,0)))))))))))</f>
        <v>1.2</v>
      </c>
    </row>
    <row r="1488" customFormat="false" ht="16.4" hidden="false" customHeight="false" outlineLevel="0" collapsed="false">
      <c r="A1488" s="1" t="n">
        <v>1487</v>
      </c>
      <c r="B1488" s="5" t="str">
        <f aca="false">[1]Base_Jugadores!B1488</f>
        <v>Mateo Pellegrino</v>
      </c>
      <c r="C1488" s="5" t="str">
        <f aca="false">IFERROR(
   _xlfn.XLOOKUP(VALUE(A1488),[1]Fichajes_Realizados!A$2:A$50000,[1]Fichajes_Realizados!D$2:D$50000,,0,-1),
   _xlfn.XLOOKUP(VALUE(A1488),[1]Base_Jugadores!A$2:A$50000,[1]Base_Jugadores!C$2:C$50000)
)</f>
        <v>Parma</v>
      </c>
      <c r="D1488" s="5" t="str">
        <f aca="false">[1]Base_Jugadores!D1488</f>
        <v>Argentina</v>
      </c>
      <c r="E1488" s="3"/>
      <c r="F1488" s="5" t="str">
        <f aca="false">[1]Base_Jugadores!E1488</f>
        <v>DC</v>
      </c>
      <c r="G1488" s="5" t="n">
        <f aca="false">[1]Base_Jugadores!F1488</f>
        <v>67</v>
      </c>
      <c r="H1488" s="5" t="n">
        <f aca="false">[1]Base_Jugadores!G1488</f>
        <v>24</v>
      </c>
      <c r="I1488" s="7" t="n">
        <f aca="false" t="array" ref="I1488:I1488">_xlfn.XLOOKUP(G1488,{55;56;57;58;59;60;61;62;63;64;65;66;67;68;69;70;71;72;73;74;75;76;77;78;79;80;81;82;83;84;85;86;87;88;89;90;91;92;93;94;95;96;97;98;99},{100000;130000;160000;190000;220000;250000;300000;350000;400000;450000;500000;600000;700000;800000;900000;1000000;1500000;2000000;3000000;4000000;5000000;6500000;8000000;10000000;12500000;15000000;20000000;25000000;30000000;35000000;40000000;55000000;70000000;80000000;90000000;110000000;130000000;160000000;190000000;220000000;250000000;280000000;310000000;340000000;400000000})</f>
        <v>700000</v>
      </c>
      <c r="J1488" s="7" t="n">
        <f aca="false">I1488*S1488*T1488*U1488</f>
        <v>1179360</v>
      </c>
      <c r="K1488" s="3"/>
      <c r="L1488" s="3"/>
      <c r="M1488" s="3"/>
      <c r="N1488" s="9" t="n">
        <v>0</v>
      </c>
      <c r="O1488" s="4" t="n">
        <v>0</v>
      </c>
      <c r="P1488" s="5" t="n">
        <f aca="false">IF(COUNTIF([1]Base_Jugadores!J$2:J$500,B1488)&gt;0,1,0)</f>
        <v>0</v>
      </c>
      <c r="Q1488" s="10" t="b">
        <f aca="false">--(COUNTIFS(
   [1]Fichajes_Realizados!A$2:A$5000,A1488,
   [1]Fichajes_Realizados!G$2:G$5000,$X$3
)&gt;0)</f>
        <v>0</v>
      </c>
      <c r="R1488" s="5" t="n">
        <f aca="false">_xlfn.XLOOKUP(C1488, [1]Estado_Equipos!A$2:A$500, [1]Estado_Equipos!J$2:J$500, "")</f>
        <v>72</v>
      </c>
      <c r="S1488" s="5" t="n">
        <f aca="false">IF(H1488&lt;=16,1.45,
IF(H1488&gt;=41,0.3,
CHOOSE(ROUNDDOWN((H1488-16)/2,0)+1,
1.45,1.38,1.3,1.23,1.17,1.15,1.12,1.05,0.95,0.8,0.6,0.4,0.3)))</f>
        <v>1.17</v>
      </c>
      <c r="T1488" s="5" t="n">
        <f aca="false">CHOOSE(N1488+1,1.2,1,0.85,0.7)</f>
        <v>1.2</v>
      </c>
      <c r="U1488" s="5" t="n">
        <f aca="false">IF(F1488="PO",0.6,
IF(F1488="CT",0.75,
IF(F1488="LI",0.8,
IF(F1488="LD",0.8,
IF(F1488="MCD",0.85,
IF(F1488="MC",0.95,
IF(F1488="MO",1.05,
IF(F1488="EI",1.1,
IF(F1488="ED",1.1,
IF(F1488="SD",1.15,
IF(F1488="DC",1.2,0)))))))))))</f>
        <v>1.2</v>
      </c>
    </row>
    <row r="1489" customFormat="false" ht="16.4" hidden="false" customHeight="false" outlineLevel="0" collapsed="false">
      <c r="A1489" s="1" t="n">
        <v>1488</v>
      </c>
      <c r="B1489" s="5" t="str">
        <f aca="false">[1]Base_Jugadores!B1489</f>
        <v>Patrick Cutrone</v>
      </c>
      <c r="C1489" s="5" t="str">
        <f aca="false">IFERROR(
   _xlfn.XLOOKUP(VALUE(A1489),[1]Fichajes_Realizados!A$2:A$50000,[1]Fichajes_Realizados!D$2:D$50000,,0,-1),
   _xlfn.XLOOKUP(VALUE(A1489),[1]Base_Jugadores!A$2:A$50000,[1]Base_Jugadores!C$2:C$50000)
)</f>
        <v>Parma</v>
      </c>
      <c r="D1489" s="5" t="str">
        <f aca="false">[1]Base_Jugadores!D1489</f>
        <v>Italia</v>
      </c>
      <c r="E1489" s="3"/>
      <c r="F1489" s="5" t="str">
        <f aca="false">[1]Base_Jugadores!E1489</f>
        <v>DC</v>
      </c>
      <c r="G1489" s="5" t="n">
        <f aca="false">[1]Base_Jugadores!F1489</f>
        <v>75</v>
      </c>
      <c r="H1489" s="5" t="n">
        <f aca="false">[1]Base_Jugadores!G1489</f>
        <v>27</v>
      </c>
      <c r="I1489" s="7" t="n">
        <f aca="false" t="array" ref="I1489:I1489">_xlfn.XLOOKUP(G1489,{55;56;57;58;59;60;61;62;63;64;65;66;67;68;69;70;71;72;73;74;75;76;77;78;79;80;81;82;83;84;85;86;87;88;89;90;91;92;93;94;95;96;97;98;99},{100000;130000;160000;190000;220000;250000;300000;350000;400000;450000;500000;600000;700000;800000;900000;1000000;1500000;2000000;3000000;4000000;5000000;6500000;8000000;10000000;12500000;15000000;20000000;25000000;30000000;35000000;40000000;55000000;70000000;80000000;90000000;110000000;130000000;160000000;190000000;220000000;250000000;280000000;310000000;340000000;400000000})</f>
        <v>5000000</v>
      </c>
      <c r="J1489" s="7" t="n">
        <f aca="false">I1489*S1489*T1489*U1489</f>
        <v>8280000</v>
      </c>
      <c r="K1489" s="3"/>
      <c r="L1489" s="3"/>
      <c r="M1489" s="3"/>
      <c r="N1489" s="9" t="n">
        <v>0</v>
      </c>
      <c r="O1489" s="4" t="n">
        <v>0</v>
      </c>
      <c r="P1489" s="5" t="n">
        <f aca="false">IF(COUNTIF([1]Base_Jugadores!J$2:J$500,B1489)&gt;0,1,0)</f>
        <v>0</v>
      </c>
      <c r="Q1489" s="10" t="b">
        <f aca="false">--(COUNTIFS(
   [1]Fichajes_Realizados!A$2:A$5000,A1489,
   [1]Fichajes_Realizados!G$2:G$5000,$X$3
)&gt;0)</f>
        <v>0</v>
      </c>
      <c r="R1489" s="5" t="n">
        <f aca="false">_xlfn.XLOOKUP(C1489, [1]Estado_Equipos!A$2:A$500, [1]Estado_Equipos!J$2:J$500, "")</f>
        <v>72</v>
      </c>
      <c r="S1489" s="5" t="n">
        <f aca="false">IF(H1489&lt;=16,1.45,
IF(H1489&gt;=41,0.3,
CHOOSE(ROUNDDOWN((H1489-16)/2,0)+1,
1.45,1.38,1.3,1.23,1.17,1.15,1.12,1.05,0.95,0.8,0.6,0.4,0.3)))</f>
        <v>1.15</v>
      </c>
      <c r="T1489" s="5" t="n">
        <f aca="false">CHOOSE(N1489+1,1.2,1,0.85,0.7)</f>
        <v>1.2</v>
      </c>
      <c r="U1489" s="5" t="n">
        <f aca="false">IF(F1489="PO",0.6,
IF(F1489="CT",0.75,
IF(F1489="LI",0.8,
IF(F1489="LD",0.8,
IF(F1489="MCD",0.85,
IF(F1489="MC",0.95,
IF(F1489="MO",1.05,
IF(F1489="EI",1.1,
IF(F1489="ED",1.1,
IF(F1489="SD",1.15,
IF(F1489="DC",1.2,0)))))))))))</f>
        <v>1.2</v>
      </c>
    </row>
    <row r="1490" customFormat="false" ht="16.4" hidden="false" customHeight="false" outlineLevel="0" collapsed="false">
      <c r="A1490" s="1" t="n">
        <v>1489</v>
      </c>
      <c r="B1490" s="5" t="str">
        <f aca="false">[1]Base_Jugadores!B1490</f>
        <v>Milan Djuric</v>
      </c>
      <c r="C1490" s="5" t="str">
        <f aca="false">IFERROR(
   _xlfn.XLOOKUP(VALUE(A1490),[1]Fichajes_Realizados!A$2:A$50000,[1]Fichajes_Realizados!D$2:D$50000,,0,-1),
   _xlfn.XLOOKUP(VALUE(A1490),[1]Base_Jugadores!A$2:A$50000,[1]Base_Jugadores!C$2:C$50000)
)</f>
        <v>Parma</v>
      </c>
      <c r="D1490" s="5" t="str">
        <f aca="false">[1]Base_Jugadores!D1490</f>
        <v>Bosnia y Herzegovina</v>
      </c>
      <c r="E1490" s="3"/>
      <c r="F1490" s="5" t="str">
        <f aca="false">[1]Base_Jugadores!E1490</f>
        <v>DC</v>
      </c>
      <c r="G1490" s="5" t="n">
        <f aca="false">[1]Base_Jugadores!F1490</f>
        <v>72</v>
      </c>
      <c r="H1490" s="5" t="n">
        <f aca="false">[1]Base_Jugadores!G1490</f>
        <v>35</v>
      </c>
      <c r="I1490" s="7" t="n">
        <f aca="false" t="array" ref="I1490:I1490">_xlfn.XLOOKUP(G1490,{55;56;57;58;59;60;61;62;63;64;65;66;67;68;69;70;71;72;73;74;75;76;77;78;79;80;81;82;83;84;85;86;87;88;89;90;91;92;93;94;95;96;97;98;99},{100000;130000;160000;190000;220000;250000;300000;350000;400000;450000;500000;600000;700000;800000;900000;1000000;1500000;2000000;3000000;4000000;5000000;6500000;8000000;10000000;12500000;15000000;20000000;25000000;30000000;35000000;40000000;55000000;70000000;80000000;90000000;110000000;130000000;160000000;190000000;220000000;250000000;280000000;310000000;340000000;400000000})</f>
        <v>2000000</v>
      </c>
      <c r="J1490" s="7" t="n">
        <f aca="false">I1490*S1490*T1490*U1490</f>
        <v>2304000</v>
      </c>
      <c r="K1490" s="3"/>
      <c r="L1490" s="3"/>
      <c r="M1490" s="3"/>
      <c r="N1490" s="9" t="n">
        <v>0</v>
      </c>
      <c r="O1490" s="4" t="n">
        <v>0</v>
      </c>
      <c r="P1490" s="5" t="n">
        <f aca="false">IF(COUNTIF([1]Base_Jugadores!J$2:J$500,B1490)&gt;0,1,0)</f>
        <v>0</v>
      </c>
      <c r="Q1490" s="10" t="b">
        <f aca="false">--(COUNTIFS(
   [1]Fichajes_Realizados!A$2:A$5000,A1490,
   [1]Fichajes_Realizados!G$2:G$5000,$X$3
)&gt;0)</f>
        <v>0</v>
      </c>
      <c r="R1490" s="5" t="n">
        <f aca="false">_xlfn.XLOOKUP(C1490, [1]Estado_Equipos!A$2:A$500, [1]Estado_Equipos!J$2:J$500, "")</f>
        <v>72</v>
      </c>
      <c r="S1490" s="5" t="n">
        <f aca="false">IF(H1490&lt;=16,1.45,
IF(H1490&gt;=41,0.3,
CHOOSE(ROUNDDOWN((H1490-16)/2,0)+1,
1.45,1.38,1.3,1.23,1.17,1.15,1.12,1.05,0.95,0.8,0.6,0.4,0.3)))</f>
        <v>0.8</v>
      </c>
      <c r="T1490" s="5" t="n">
        <f aca="false">CHOOSE(N1490+1,1.2,1,0.85,0.7)</f>
        <v>1.2</v>
      </c>
      <c r="U1490" s="5" t="n">
        <f aca="false">IF(F1490="PO",0.6,
IF(F1490="CT",0.75,
IF(F1490="LI",0.8,
IF(F1490="LD",0.8,
IF(F1490="MCD",0.85,
IF(F1490="MC",0.95,
IF(F1490="MO",1.05,
IF(F1490="EI",1.1,
IF(F1490="ED",1.1,
IF(F1490="SD",1.15,
IF(F1490="DC",1.2,0)))))))))))</f>
        <v>1.2</v>
      </c>
    </row>
    <row r="1491" customFormat="false" ht="16.4" hidden="false" customHeight="false" outlineLevel="0" collapsed="false">
      <c r="A1491" s="1" t="n">
        <v>1490</v>
      </c>
      <c r="B1491" s="5" t="str">
        <f aca="false">[1]Base_Jugadores!B1491</f>
        <v>Mile Svilar</v>
      </c>
      <c r="C1491" s="5" t="str">
        <f aca="false">IFERROR(
   _xlfn.XLOOKUP(VALUE(A1491),[1]Fichajes_Realizados!A$2:A$50000,[1]Fichajes_Realizados!D$2:D$50000,,0,-1),
   _xlfn.XLOOKUP(VALUE(A1491),[1]Base_Jugadores!A$2:A$50000,[1]Base_Jugadores!C$2:C$50000)
)</f>
        <v>AS Roma</v>
      </c>
      <c r="D1491" s="5" t="str">
        <f aca="false">[1]Base_Jugadores!D1491</f>
        <v>Serbia</v>
      </c>
      <c r="E1491" s="3"/>
      <c r="F1491" s="5" t="str">
        <f aca="false">[1]Base_Jugadores!E1491</f>
        <v>PO</v>
      </c>
      <c r="G1491" s="5" t="n">
        <f aca="false">[1]Base_Jugadores!F1491</f>
        <v>80</v>
      </c>
      <c r="H1491" s="5" t="n">
        <f aca="false">[1]Base_Jugadores!G1491</f>
        <v>26</v>
      </c>
      <c r="I1491" s="7" t="n">
        <f aca="false" t="array" ref="I1491:I1491">_xlfn.XLOOKUP(G1491,{55;56;57;58;59;60;61;62;63;64;65;66;67;68;69;70;71;72;73;74;75;76;77;78;79;80;81;82;83;84;85;86;87;88;89;90;91;92;93;94;95;96;97;98;99},{100000;130000;160000;190000;220000;250000;300000;350000;400000;450000;500000;600000;700000;800000;900000;1000000;1500000;2000000;3000000;4000000;5000000;6500000;8000000;10000000;12500000;15000000;20000000;25000000;30000000;35000000;40000000;55000000;70000000;80000000;90000000;110000000;130000000;160000000;190000000;220000000;250000000;280000000;310000000;340000000;400000000})</f>
        <v>15000000</v>
      </c>
      <c r="J1491" s="7" t="n">
        <f aca="false">I1491*S1491*T1491*U1491</f>
        <v>12420000</v>
      </c>
      <c r="K1491" s="3"/>
      <c r="L1491" s="3"/>
      <c r="M1491" s="3"/>
      <c r="N1491" s="9" t="n">
        <v>0</v>
      </c>
      <c r="O1491" s="4" t="n">
        <v>0</v>
      </c>
      <c r="P1491" s="5" t="n">
        <f aca="false">IF(COUNTIF([1]Base_Jugadores!J$2:J$500,B1491)&gt;0,1,0)</f>
        <v>0</v>
      </c>
      <c r="Q1491" s="10" t="b">
        <f aca="false">--(COUNTIFS(
   [1]Fichajes_Realizados!A$2:A$5000,A1491,
   [1]Fichajes_Realizados!G$2:G$5000,$X$3
)&gt;0)</f>
        <v>0</v>
      </c>
      <c r="R1491" s="5" t="n">
        <f aca="false">_xlfn.XLOOKUP(C1491, [1]Estado_Equipos!A$2:A$500, [1]Estado_Equipos!J$2:J$500, "")</f>
        <v>76</v>
      </c>
      <c r="S1491" s="5" t="n">
        <f aca="false">IF(H1491&lt;=16,1.45,
IF(H1491&gt;=41,0.3,
CHOOSE(ROUNDDOWN((H1491-16)/2,0)+1,
1.45,1.38,1.3,1.23,1.17,1.15,1.12,1.05,0.95,0.8,0.6,0.4,0.3)))</f>
        <v>1.15</v>
      </c>
      <c r="T1491" s="5" t="n">
        <f aca="false">CHOOSE(N1491+1,1.2,1,0.85,0.7)</f>
        <v>1.2</v>
      </c>
      <c r="U1491" s="5" t="n">
        <f aca="false">IF(F1491="PO",0.6,
IF(F1491="CT",0.75,
IF(F1491="LI",0.8,
IF(F1491="LD",0.8,
IF(F1491="MCD",0.85,
IF(F1491="MC",0.95,
IF(F1491="MO",1.05,
IF(F1491="EI",1.1,
IF(F1491="ED",1.1,
IF(F1491="SD",1.15,
IF(F1491="DC",1.2,0)))))))))))</f>
        <v>0.6</v>
      </c>
    </row>
    <row r="1492" customFormat="false" ht="16.4" hidden="false" customHeight="false" outlineLevel="0" collapsed="false">
      <c r="A1492" s="1" t="n">
        <v>1491</v>
      </c>
      <c r="B1492" s="5" t="str">
        <f aca="false">[1]Base_Jugadores!B1492</f>
        <v>Devis Vásquez</v>
      </c>
      <c r="C1492" s="5" t="str">
        <f aca="false">IFERROR(
   _xlfn.XLOOKUP(VALUE(A1492),[1]Fichajes_Realizados!A$2:A$50000,[1]Fichajes_Realizados!D$2:D$50000,,0,-1),
   _xlfn.XLOOKUP(VALUE(A1492),[1]Base_Jugadores!A$2:A$50000,[1]Base_Jugadores!C$2:C$50000)
)</f>
        <v>AS Roma</v>
      </c>
      <c r="D1492" s="5" t="str">
        <f aca="false">[1]Base_Jugadores!D1492</f>
        <v>Colombia</v>
      </c>
      <c r="E1492" s="3"/>
      <c r="F1492" s="5" t="str">
        <f aca="false">[1]Base_Jugadores!E1492</f>
        <v>PO</v>
      </c>
      <c r="G1492" s="5" t="n">
        <f aca="false">[1]Base_Jugadores!F1492</f>
        <v>73</v>
      </c>
      <c r="H1492" s="5" t="n">
        <f aca="false">[1]Base_Jugadores!G1492</f>
        <v>27</v>
      </c>
      <c r="I1492" s="7" t="n">
        <f aca="false" t="array" ref="I1492:I1492">_xlfn.XLOOKUP(G1492,{55;56;57;58;59;60;61;62;63;64;65;66;67;68;69;70;71;72;73;74;75;76;77;78;79;80;81;82;83;84;85;86;87;88;89;90;91;92;93;94;95;96;97;98;99},{100000;130000;160000;190000;220000;250000;300000;350000;400000;450000;500000;600000;700000;800000;900000;1000000;1500000;2000000;3000000;4000000;5000000;6500000;8000000;10000000;12500000;15000000;20000000;25000000;30000000;35000000;40000000;55000000;70000000;80000000;90000000;110000000;130000000;160000000;190000000;220000000;250000000;280000000;310000000;340000000;400000000})</f>
        <v>3000000</v>
      </c>
      <c r="J1492" s="7" t="n">
        <f aca="false">I1492*S1492*T1492*U1492</f>
        <v>2484000</v>
      </c>
      <c r="K1492" s="3"/>
      <c r="L1492" s="3"/>
      <c r="M1492" s="3"/>
      <c r="N1492" s="9" t="n">
        <v>0</v>
      </c>
      <c r="O1492" s="4" t="n">
        <v>0</v>
      </c>
      <c r="P1492" s="5" t="n">
        <f aca="false">IF(COUNTIF([1]Base_Jugadores!J$2:J$500,B1492)&gt;0,1,0)</f>
        <v>0</v>
      </c>
      <c r="Q1492" s="10" t="b">
        <f aca="false">--(COUNTIFS(
   [1]Fichajes_Realizados!A$2:A$5000,A1492,
   [1]Fichajes_Realizados!G$2:G$5000,$X$3
)&gt;0)</f>
        <v>0</v>
      </c>
      <c r="R1492" s="5" t="n">
        <f aca="false">_xlfn.XLOOKUP(C1492, [1]Estado_Equipos!A$2:A$500, [1]Estado_Equipos!J$2:J$500, "")</f>
        <v>76</v>
      </c>
      <c r="S1492" s="5" t="n">
        <f aca="false">IF(H1492&lt;=16,1.45,
IF(H1492&gt;=41,0.3,
CHOOSE(ROUNDDOWN((H1492-16)/2,0)+1,
1.45,1.38,1.3,1.23,1.17,1.15,1.12,1.05,0.95,0.8,0.6,0.4,0.3)))</f>
        <v>1.15</v>
      </c>
      <c r="T1492" s="5" t="n">
        <f aca="false">CHOOSE(N1492+1,1.2,1,0.85,0.7)</f>
        <v>1.2</v>
      </c>
      <c r="U1492" s="5" t="n">
        <f aca="false">IF(F1492="PO",0.6,
IF(F1492="CT",0.75,
IF(F1492="LI",0.8,
IF(F1492="LD",0.8,
IF(F1492="MCD",0.85,
IF(F1492="MC",0.95,
IF(F1492="MO",1.05,
IF(F1492="EI",1.1,
IF(F1492="ED",1.1,
IF(F1492="SD",1.15,
IF(F1492="DC",1.2,0)))))))))))</f>
        <v>0.6</v>
      </c>
    </row>
    <row r="1493" customFormat="false" ht="16.4" hidden="false" customHeight="false" outlineLevel="0" collapsed="false">
      <c r="A1493" s="1" t="n">
        <v>1492</v>
      </c>
      <c r="B1493" s="5" t="str">
        <f aca="false">[1]Base_Jugadores!B1493</f>
        <v>Pierluigi Gollini</v>
      </c>
      <c r="C1493" s="5" t="str">
        <f aca="false">IFERROR(
   _xlfn.XLOOKUP(VALUE(A1493),[1]Fichajes_Realizados!A$2:A$50000,[1]Fichajes_Realizados!D$2:D$50000,,0,-1),
   _xlfn.XLOOKUP(VALUE(A1493),[1]Base_Jugadores!A$2:A$50000,[1]Base_Jugadores!C$2:C$50000)
)</f>
        <v>AS Roma</v>
      </c>
      <c r="D1493" s="5" t="str">
        <f aca="false">[1]Base_Jugadores!D1493</f>
        <v>Italia</v>
      </c>
      <c r="E1493" s="3"/>
      <c r="F1493" s="5" t="str">
        <f aca="false">[1]Base_Jugadores!E1493</f>
        <v>PO</v>
      </c>
      <c r="G1493" s="5" t="n">
        <f aca="false">[1]Base_Jugadores!F1493</f>
        <v>75</v>
      </c>
      <c r="H1493" s="5" t="n">
        <f aca="false">[1]Base_Jugadores!G1493</f>
        <v>30</v>
      </c>
      <c r="I1493" s="7" t="n">
        <f aca="false" t="array" ref="I1493:I1493">_xlfn.XLOOKUP(G1493,{55;56;57;58;59;60;61;62;63;64;65;66;67;68;69;70;71;72;73;74;75;76;77;78;79;80;81;82;83;84;85;86;87;88;89;90;91;92;93;94;95;96;97;98;99},{100000;130000;160000;190000;220000;250000;300000;350000;400000;450000;500000;600000;700000;800000;900000;1000000;1500000;2000000;3000000;4000000;5000000;6500000;8000000;10000000;12500000;15000000;20000000;25000000;30000000;35000000;40000000;55000000;70000000;80000000;90000000;110000000;130000000;160000000;190000000;220000000;250000000;280000000;310000000;340000000;400000000})</f>
        <v>5000000</v>
      </c>
      <c r="J1493" s="7" t="n">
        <f aca="false">I1493*S1493*T1493*U1493</f>
        <v>3780000</v>
      </c>
      <c r="K1493" s="3"/>
      <c r="L1493" s="3"/>
      <c r="M1493" s="3"/>
      <c r="N1493" s="9" t="n">
        <v>0</v>
      </c>
      <c r="O1493" s="4" t="n">
        <v>0</v>
      </c>
      <c r="P1493" s="5" t="n">
        <f aca="false">IF(COUNTIF([1]Base_Jugadores!J$2:J$500,B1493)&gt;0,1,0)</f>
        <v>0</v>
      </c>
      <c r="Q1493" s="10" t="b">
        <f aca="false">--(COUNTIFS(
   [1]Fichajes_Realizados!A$2:A$5000,A1493,
   [1]Fichajes_Realizados!G$2:G$5000,$X$3
)&gt;0)</f>
        <v>0</v>
      </c>
      <c r="R1493" s="5" t="n">
        <f aca="false">_xlfn.XLOOKUP(C1493, [1]Estado_Equipos!A$2:A$500, [1]Estado_Equipos!J$2:J$500, "")</f>
        <v>76</v>
      </c>
      <c r="S1493" s="5" t="n">
        <f aca="false">IF(H1493&lt;=16,1.45,
IF(H1493&gt;=41,0.3,
CHOOSE(ROUNDDOWN((H1493-16)/2,0)+1,
1.45,1.38,1.3,1.23,1.17,1.15,1.12,1.05,0.95,0.8,0.6,0.4,0.3)))</f>
        <v>1.05</v>
      </c>
      <c r="T1493" s="5" t="n">
        <f aca="false">CHOOSE(N1493+1,1.2,1,0.85,0.7)</f>
        <v>1.2</v>
      </c>
      <c r="U1493" s="5" t="n">
        <f aca="false">IF(F1493="PO",0.6,
IF(F1493="CT",0.75,
IF(F1493="LI",0.8,
IF(F1493="LD",0.8,
IF(F1493="MCD",0.85,
IF(F1493="MC",0.95,
IF(F1493="MO",1.05,
IF(F1493="EI",1.1,
IF(F1493="ED",1.1,
IF(F1493="SD",1.15,
IF(F1493="DC",1.2,0)))))))))))</f>
        <v>0.6</v>
      </c>
    </row>
    <row r="1494" customFormat="false" ht="16.4" hidden="false" customHeight="false" outlineLevel="0" collapsed="false">
      <c r="A1494" s="1" t="n">
        <v>1493</v>
      </c>
      <c r="B1494" s="5" t="str">
        <f aca="false">[1]Base_Jugadores!B1494</f>
        <v>Evan Ndicka</v>
      </c>
      <c r="C1494" s="5" t="str">
        <f aca="false">IFERROR(
   _xlfn.XLOOKUP(VALUE(A1494),[1]Fichajes_Realizados!A$2:A$50000,[1]Fichajes_Realizados!D$2:D$50000,,0,-1),
   _xlfn.XLOOKUP(VALUE(A1494),[1]Base_Jugadores!A$2:A$50000,[1]Base_Jugadores!C$2:C$50000)
)</f>
        <v>AS Roma</v>
      </c>
      <c r="D1494" s="5" t="str">
        <f aca="false">[1]Base_Jugadores!D1494</f>
        <v>Costa de Marfil</v>
      </c>
      <c r="E1494" s="3"/>
      <c r="F1494" s="5" t="str">
        <f aca="false">[1]Base_Jugadores!E1494</f>
        <v>CT</v>
      </c>
      <c r="G1494" s="5" t="n">
        <f aca="false">[1]Base_Jugadores!F1494</f>
        <v>80</v>
      </c>
      <c r="H1494" s="5" t="n">
        <f aca="false">[1]Base_Jugadores!G1494</f>
        <v>26</v>
      </c>
      <c r="I1494" s="7" t="n">
        <f aca="false" t="array" ref="I1494:I1494">_xlfn.XLOOKUP(G1494,{55;56;57;58;59;60;61;62;63;64;65;66;67;68;69;70;71;72;73;74;75;76;77;78;79;80;81;82;83;84;85;86;87;88;89;90;91;92;93;94;95;96;97;98;99},{100000;130000;160000;190000;220000;250000;300000;350000;400000;450000;500000;600000;700000;800000;900000;1000000;1500000;2000000;3000000;4000000;5000000;6500000;8000000;10000000;12500000;15000000;20000000;25000000;30000000;35000000;40000000;55000000;70000000;80000000;90000000;110000000;130000000;160000000;190000000;220000000;250000000;280000000;310000000;340000000;400000000})</f>
        <v>15000000</v>
      </c>
      <c r="J1494" s="7" t="n">
        <f aca="false">I1494*S1494*T1494*U1494</f>
        <v>15525000</v>
      </c>
      <c r="K1494" s="3"/>
      <c r="L1494" s="3"/>
      <c r="M1494" s="3"/>
      <c r="N1494" s="9" t="n">
        <v>0</v>
      </c>
      <c r="O1494" s="4" t="n">
        <v>0</v>
      </c>
      <c r="P1494" s="5" t="n">
        <f aca="false">IF(COUNTIF([1]Base_Jugadores!J$2:J$500,B1494)&gt;0,1,0)</f>
        <v>0</v>
      </c>
      <c r="Q1494" s="10" t="b">
        <f aca="false">--(COUNTIFS(
   [1]Fichajes_Realizados!A$2:A$5000,A1494,
   [1]Fichajes_Realizados!G$2:G$5000,$X$3
)&gt;0)</f>
        <v>0</v>
      </c>
      <c r="R1494" s="5" t="n">
        <f aca="false">_xlfn.XLOOKUP(C1494, [1]Estado_Equipos!A$2:A$500, [1]Estado_Equipos!J$2:J$500, "")</f>
        <v>76</v>
      </c>
      <c r="S1494" s="5" t="n">
        <f aca="false">IF(H1494&lt;=16,1.45,
IF(H1494&gt;=41,0.3,
CHOOSE(ROUNDDOWN((H1494-16)/2,0)+1,
1.45,1.38,1.3,1.23,1.17,1.15,1.12,1.05,0.95,0.8,0.6,0.4,0.3)))</f>
        <v>1.15</v>
      </c>
      <c r="T1494" s="5" t="n">
        <f aca="false">CHOOSE(N1494+1,1.2,1,0.85,0.7)</f>
        <v>1.2</v>
      </c>
      <c r="U1494" s="5" t="n">
        <f aca="false">IF(F1494="PO",0.6,
IF(F1494="CT",0.75,
IF(F1494="LI",0.8,
IF(F1494="LD",0.8,
IF(F1494="MCD",0.85,
IF(F1494="MC",0.95,
IF(F1494="MO",1.05,
IF(F1494="EI",1.1,
IF(F1494="ED",1.1,
IF(F1494="SD",1.15,
IF(F1494="DC",1.2,0)))))))))))</f>
        <v>0.75</v>
      </c>
    </row>
    <row r="1495" customFormat="false" ht="16.4" hidden="false" customHeight="false" outlineLevel="0" collapsed="false">
      <c r="A1495" s="1" t="n">
        <v>1494</v>
      </c>
      <c r="B1495" s="5" t="str">
        <f aca="false">[1]Base_Jugadores!B1495</f>
        <v>Gianluca Mancini</v>
      </c>
      <c r="C1495" s="5" t="str">
        <f aca="false">IFERROR(
   _xlfn.XLOOKUP(VALUE(A1495),[1]Fichajes_Realizados!A$2:A$50000,[1]Fichajes_Realizados!D$2:D$50000,,0,-1),
   _xlfn.XLOOKUP(VALUE(A1495),[1]Base_Jugadores!A$2:A$50000,[1]Base_Jugadores!C$2:C$50000)
)</f>
        <v>AS Roma</v>
      </c>
      <c r="D1495" s="5" t="str">
        <f aca="false">[1]Base_Jugadores!D1495</f>
        <v>Italia</v>
      </c>
      <c r="E1495" s="3"/>
      <c r="F1495" s="5" t="str">
        <f aca="false">[1]Base_Jugadores!E1495</f>
        <v>CT</v>
      </c>
      <c r="G1495" s="5" t="n">
        <f aca="false">[1]Base_Jugadores!F1495</f>
        <v>83</v>
      </c>
      <c r="H1495" s="5" t="n">
        <f aca="false">[1]Base_Jugadores!G1495</f>
        <v>29</v>
      </c>
      <c r="I1495" s="7" t="n">
        <f aca="false" t="array" ref="I1495:I1495">_xlfn.XLOOKUP(G1495,{55;56;57;58;59;60;61;62;63;64;65;66;67;68;69;70;71;72;73;74;75;76;77;78;79;80;81;82;83;84;85;86;87;88;89;90;91;92;93;94;95;96;97;98;99},{100000;130000;160000;190000;220000;250000;300000;350000;400000;450000;500000;600000;700000;800000;900000;1000000;1500000;2000000;3000000;4000000;5000000;6500000;8000000;10000000;12500000;15000000;20000000;25000000;30000000;35000000;40000000;55000000;70000000;80000000;90000000;110000000;130000000;160000000;190000000;220000000;250000000;280000000;310000000;340000000;400000000})</f>
        <v>30000000</v>
      </c>
      <c r="J1495" s="7" t="n">
        <f aca="false">I1495*S1495*T1495*U1495</f>
        <v>30240000</v>
      </c>
      <c r="K1495" s="3"/>
      <c r="L1495" s="3"/>
      <c r="M1495" s="3"/>
      <c r="N1495" s="9" t="n">
        <v>0</v>
      </c>
      <c r="O1495" s="4" t="n">
        <v>0</v>
      </c>
      <c r="P1495" s="5" t="n">
        <f aca="false">IF(COUNTIF([1]Base_Jugadores!J$2:J$500,B1495)&gt;0,1,0)</f>
        <v>0</v>
      </c>
      <c r="Q1495" s="10" t="b">
        <f aca="false">--(COUNTIFS(
   [1]Fichajes_Realizados!A$2:A$5000,A1495,
   [1]Fichajes_Realizados!G$2:G$5000,$X$3
)&gt;0)</f>
        <v>0</v>
      </c>
      <c r="R1495" s="5" t="n">
        <f aca="false">_xlfn.XLOOKUP(C1495, [1]Estado_Equipos!A$2:A$500, [1]Estado_Equipos!J$2:J$500, "")</f>
        <v>76</v>
      </c>
      <c r="S1495" s="5" t="n">
        <f aca="false">IF(H1495&lt;=16,1.45,
IF(H1495&gt;=41,0.3,
CHOOSE(ROUNDDOWN((H1495-16)/2,0)+1,
1.45,1.38,1.3,1.23,1.17,1.15,1.12,1.05,0.95,0.8,0.6,0.4,0.3)))</f>
        <v>1.12</v>
      </c>
      <c r="T1495" s="5" t="n">
        <f aca="false">CHOOSE(N1495+1,1.2,1,0.85,0.7)</f>
        <v>1.2</v>
      </c>
      <c r="U1495" s="5" t="n">
        <f aca="false">IF(F1495="PO",0.6,
IF(F1495="CT",0.75,
IF(F1495="LI",0.8,
IF(F1495="LD",0.8,
IF(F1495="MCD",0.85,
IF(F1495="MC",0.95,
IF(F1495="MO",1.05,
IF(F1495="EI",1.1,
IF(F1495="ED",1.1,
IF(F1495="SD",1.15,
IF(F1495="DC",1.2,0)))))))))))</f>
        <v>0.75</v>
      </c>
    </row>
    <row r="1496" customFormat="false" ht="16.4" hidden="false" customHeight="false" outlineLevel="0" collapsed="false">
      <c r="A1496" s="1" t="n">
        <v>1495</v>
      </c>
      <c r="B1496" s="5" t="str">
        <f aca="false">[1]Base_Jugadores!B1496</f>
        <v>Daniele Ghilardi</v>
      </c>
      <c r="C1496" s="5" t="str">
        <f aca="false">IFERROR(
   _xlfn.XLOOKUP(VALUE(A1496),[1]Fichajes_Realizados!A$2:A$50000,[1]Fichajes_Realizados!D$2:D$50000,,0,-1),
   _xlfn.XLOOKUP(VALUE(A1496),[1]Base_Jugadores!A$2:A$50000,[1]Base_Jugadores!C$2:C$50000)
)</f>
        <v>AS Roma</v>
      </c>
      <c r="D1496" s="5" t="str">
        <f aca="false">[1]Base_Jugadores!D1496</f>
        <v>Italia</v>
      </c>
      <c r="E1496" s="3"/>
      <c r="F1496" s="5" t="str">
        <f aca="false">[1]Base_Jugadores!E1496</f>
        <v>CT</v>
      </c>
      <c r="G1496" s="5" t="n">
        <f aca="false">[1]Base_Jugadores!F1496</f>
        <v>69</v>
      </c>
      <c r="H1496" s="5" t="n">
        <f aca="false">[1]Base_Jugadores!G1496</f>
        <v>22</v>
      </c>
      <c r="I1496" s="7" t="n">
        <f aca="false" t="array" ref="I1496:I1496">_xlfn.XLOOKUP(G1496,{55;56;57;58;59;60;61;62;63;64;65;66;67;68;69;70;71;72;73;74;75;76;77;78;79;80;81;82;83;84;85;86;87;88;89;90;91;92;93;94;95;96;97;98;99},{100000;130000;160000;190000;220000;250000;300000;350000;400000;450000;500000;600000;700000;800000;900000;1000000;1500000;2000000;3000000;4000000;5000000;6500000;8000000;10000000;12500000;15000000;20000000;25000000;30000000;35000000;40000000;55000000;70000000;80000000;90000000;110000000;130000000;160000000;190000000;220000000;250000000;280000000;310000000;340000000;400000000})</f>
        <v>900000</v>
      </c>
      <c r="J1496" s="7" t="n">
        <f aca="false">I1496*S1496*T1496*U1496</f>
        <v>996300</v>
      </c>
      <c r="K1496" s="3"/>
      <c r="L1496" s="3"/>
      <c r="M1496" s="3"/>
      <c r="N1496" s="9" t="n">
        <v>0</v>
      </c>
      <c r="O1496" s="4" t="n">
        <v>0</v>
      </c>
      <c r="P1496" s="5" t="n">
        <f aca="false">IF(COUNTIF([1]Base_Jugadores!J$2:J$500,B1496)&gt;0,1,0)</f>
        <v>0</v>
      </c>
      <c r="Q1496" s="10" t="b">
        <f aca="false">--(COUNTIFS(
   [1]Fichajes_Realizados!A$2:A$5000,A1496,
   [1]Fichajes_Realizados!G$2:G$5000,$X$3
)&gt;0)</f>
        <v>0</v>
      </c>
      <c r="R1496" s="5" t="n">
        <f aca="false">_xlfn.XLOOKUP(C1496, [1]Estado_Equipos!A$2:A$500, [1]Estado_Equipos!J$2:J$500, "")</f>
        <v>76</v>
      </c>
      <c r="S1496" s="5" t="n">
        <f aca="false">IF(H1496&lt;=16,1.45,
IF(H1496&gt;=41,0.3,
CHOOSE(ROUNDDOWN((H1496-16)/2,0)+1,
1.45,1.38,1.3,1.23,1.17,1.15,1.12,1.05,0.95,0.8,0.6,0.4,0.3)))</f>
        <v>1.23</v>
      </c>
      <c r="T1496" s="5" t="n">
        <f aca="false">CHOOSE(N1496+1,1.2,1,0.85,0.7)</f>
        <v>1.2</v>
      </c>
      <c r="U1496" s="5" t="n">
        <f aca="false">IF(F1496="PO",0.6,
IF(F1496="CT",0.75,
IF(F1496="LI",0.8,
IF(F1496="LD",0.8,
IF(F1496="MCD",0.85,
IF(F1496="MC",0.95,
IF(F1496="MO",1.05,
IF(F1496="EI",1.1,
IF(F1496="ED",1.1,
IF(F1496="SD",1.15,
IF(F1496="DC",1.2,0)))))))))))</f>
        <v>0.75</v>
      </c>
    </row>
    <row r="1497" customFormat="false" ht="16.4" hidden="false" customHeight="false" outlineLevel="0" collapsed="false">
      <c r="A1497" s="1" t="n">
        <v>1496</v>
      </c>
      <c r="B1497" s="5" t="str">
        <f aca="false">[1]Base_Jugadores!B1497</f>
        <v>Mario Hermoso</v>
      </c>
      <c r="C1497" s="5" t="str">
        <f aca="false">IFERROR(
   _xlfn.XLOOKUP(VALUE(A1497),[1]Fichajes_Realizados!A$2:A$50000,[1]Fichajes_Realizados!D$2:D$50000,,0,-1),
   _xlfn.XLOOKUP(VALUE(A1497),[1]Base_Jugadores!A$2:A$50000,[1]Base_Jugadores!C$2:C$50000)
)</f>
        <v>AS Roma</v>
      </c>
      <c r="D1497" s="5" t="str">
        <f aca="false">[1]Base_Jugadores!D1497</f>
        <v>España</v>
      </c>
      <c r="E1497" s="3"/>
      <c r="F1497" s="5" t="str">
        <f aca="false">[1]Base_Jugadores!E1497</f>
        <v>CT</v>
      </c>
      <c r="G1497" s="5" t="n">
        <f aca="false">[1]Base_Jugadores!F1497</f>
        <v>81</v>
      </c>
      <c r="H1497" s="5" t="n">
        <f aca="false">[1]Base_Jugadores!G1497</f>
        <v>30</v>
      </c>
      <c r="I1497" s="7" t="n">
        <f aca="false" t="array" ref="I1497:I1497">_xlfn.XLOOKUP(G1497,{55;56;57;58;59;60;61;62;63;64;65;66;67;68;69;70;71;72;73;74;75;76;77;78;79;80;81;82;83;84;85;86;87;88;89;90;91;92;93;94;95;96;97;98;99},{100000;130000;160000;190000;220000;250000;300000;350000;400000;450000;500000;600000;700000;800000;900000;1000000;1500000;2000000;3000000;4000000;5000000;6500000;8000000;10000000;12500000;15000000;20000000;25000000;30000000;35000000;40000000;55000000;70000000;80000000;90000000;110000000;130000000;160000000;190000000;220000000;250000000;280000000;310000000;340000000;400000000})</f>
        <v>20000000</v>
      </c>
      <c r="J1497" s="7" t="n">
        <f aca="false">I1497*S1497*T1497*U1497</f>
        <v>18900000</v>
      </c>
      <c r="K1497" s="3"/>
      <c r="L1497" s="3"/>
      <c r="M1497" s="3"/>
      <c r="N1497" s="9" t="n">
        <v>0</v>
      </c>
      <c r="O1497" s="4" t="n">
        <v>0</v>
      </c>
      <c r="P1497" s="5" t="n">
        <f aca="false">IF(COUNTIF([1]Base_Jugadores!J$2:J$500,B1497)&gt;0,1,0)</f>
        <v>0</v>
      </c>
      <c r="Q1497" s="10" t="b">
        <f aca="false">--(COUNTIFS(
   [1]Fichajes_Realizados!A$2:A$5000,A1497,
   [1]Fichajes_Realizados!G$2:G$5000,$X$3
)&gt;0)</f>
        <v>0</v>
      </c>
      <c r="R1497" s="5" t="n">
        <f aca="false">_xlfn.XLOOKUP(C1497, [1]Estado_Equipos!A$2:A$500, [1]Estado_Equipos!J$2:J$500, "")</f>
        <v>76</v>
      </c>
      <c r="S1497" s="5" t="n">
        <f aca="false">IF(H1497&lt;=16,1.45,
IF(H1497&gt;=41,0.3,
CHOOSE(ROUNDDOWN((H1497-16)/2,0)+1,
1.45,1.38,1.3,1.23,1.17,1.15,1.12,1.05,0.95,0.8,0.6,0.4,0.3)))</f>
        <v>1.05</v>
      </c>
      <c r="T1497" s="5" t="n">
        <f aca="false">CHOOSE(N1497+1,1.2,1,0.85,0.7)</f>
        <v>1.2</v>
      </c>
      <c r="U1497" s="5" t="n">
        <f aca="false">IF(F1497="PO",0.6,
IF(F1497="CT",0.75,
IF(F1497="LI",0.8,
IF(F1497="LD",0.8,
IF(F1497="MCD",0.85,
IF(F1497="MC",0.95,
IF(F1497="MO",1.05,
IF(F1497="EI",1.1,
IF(F1497="ED",1.1,
IF(F1497="SD",1.15,
IF(F1497="DC",1.2,0)))))))))))</f>
        <v>0.75</v>
      </c>
    </row>
    <row r="1498" customFormat="false" ht="16.4" hidden="false" customHeight="false" outlineLevel="0" collapsed="false">
      <c r="A1498" s="1" t="n">
        <v>1497</v>
      </c>
      <c r="B1498" s="5" t="str">
        <f aca="false">[1]Base_Jugadores!B1498</f>
        <v>Jan Ziolkowski</v>
      </c>
      <c r="C1498" s="5" t="str">
        <f aca="false">IFERROR(
   _xlfn.XLOOKUP(VALUE(A1498),[1]Fichajes_Realizados!A$2:A$50000,[1]Fichajes_Realizados!D$2:D$50000,,0,-1),
   _xlfn.XLOOKUP(VALUE(A1498),[1]Base_Jugadores!A$2:A$50000,[1]Base_Jugadores!C$2:C$50000)
)</f>
        <v>AS Roma</v>
      </c>
      <c r="D1498" s="5" t="str">
        <f aca="false">[1]Base_Jugadores!D1498</f>
        <v>Polonia</v>
      </c>
      <c r="E1498" s="3"/>
      <c r="F1498" s="5" t="str">
        <f aca="false">[1]Base_Jugadores!E1498</f>
        <v>CT</v>
      </c>
      <c r="G1498" s="5" t="n">
        <f aca="false">[1]Base_Jugadores!F1498</f>
        <v>59</v>
      </c>
      <c r="H1498" s="5" t="n">
        <f aca="false">[1]Base_Jugadores!G1498</f>
        <v>20</v>
      </c>
      <c r="I1498" s="7" t="n">
        <f aca="false" t="array" ref="I1498:I1498">_xlfn.XLOOKUP(G1498,{55;56;57;58;59;60;61;62;63;64;65;66;67;68;69;70;71;72;73;74;75;76;77;78;79;80;81;82;83;84;85;86;87;88;89;90;91;92;93;94;95;96;97;98;99},{100000;130000;160000;190000;220000;250000;300000;350000;400000;450000;500000;600000;700000;800000;900000;1000000;1500000;2000000;3000000;4000000;5000000;6500000;8000000;10000000;12500000;15000000;20000000;25000000;30000000;35000000;40000000;55000000;70000000;80000000;90000000;110000000;130000000;160000000;190000000;220000000;250000000;280000000;310000000;340000000;400000000})</f>
        <v>220000</v>
      </c>
      <c r="J1498" s="7" t="n">
        <f aca="false">I1498*S1498*T1498*U1498</f>
        <v>257400</v>
      </c>
      <c r="K1498" s="3"/>
      <c r="L1498" s="3"/>
      <c r="M1498" s="3"/>
      <c r="N1498" s="9" t="n">
        <v>0</v>
      </c>
      <c r="O1498" s="4" t="n">
        <v>0</v>
      </c>
      <c r="P1498" s="5" t="n">
        <f aca="false">IF(COUNTIF([1]Base_Jugadores!J$2:J$500,B1498)&gt;0,1,0)</f>
        <v>0</v>
      </c>
      <c r="Q1498" s="10" t="b">
        <f aca="false">--(COUNTIFS(
   [1]Fichajes_Realizados!A$2:A$5000,A1498,
   [1]Fichajes_Realizados!G$2:G$5000,$X$3
)&gt;0)</f>
        <v>0</v>
      </c>
      <c r="R1498" s="5" t="n">
        <f aca="false">_xlfn.XLOOKUP(C1498, [1]Estado_Equipos!A$2:A$500, [1]Estado_Equipos!J$2:J$500, "")</f>
        <v>76</v>
      </c>
      <c r="S1498" s="5" t="n">
        <f aca="false">IF(H1498&lt;=16,1.45,
IF(H1498&gt;=41,0.3,
CHOOSE(ROUNDDOWN((H1498-16)/2,0)+1,
1.45,1.38,1.3,1.23,1.17,1.15,1.12,1.05,0.95,0.8,0.6,0.4,0.3)))</f>
        <v>1.3</v>
      </c>
      <c r="T1498" s="5" t="n">
        <f aca="false">CHOOSE(N1498+1,1.2,1,0.85,0.7)</f>
        <v>1.2</v>
      </c>
      <c r="U1498" s="5" t="n">
        <f aca="false">IF(F1498="PO",0.6,
IF(F1498="CT",0.75,
IF(F1498="LI",0.8,
IF(F1498="LD",0.8,
IF(F1498="MCD",0.85,
IF(F1498="MC",0.95,
IF(F1498="MO",1.05,
IF(F1498="EI",1.1,
IF(F1498="ED",1.1,
IF(F1498="SD",1.15,
IF(F1498="DC",1.2,0)))))))))))</f>
        <v>0.75</v>
      </c>
    </row>
    <row r="1499" customFormat="false" ht="16.4" hidden="false" customHeight="false" outlineLevel="0" collapsed="false">
      <c r="A1499" s="1" t="n">
        <v>1498</v>
      </c>
      <c r="B1499" s="5" t="str">
        <f aca="false">[1]Base_Jugadores!B1499</f>
        <v>Angeliño</v>
      </c>
      <c r="C1499" s="5" t="str">
        <f aca="false">IFERROR(
   _xlfn.XLOOKUP(VALUE(A1499),[1]Fichajes_Realizados!A$2:A$50000,[1]Fichajes_Realizados!D$2:D$50000,,0,-1),
   _xlfn.XLOOKUP(VALUE(A1499),[1]Base_Jugadores!A$2:A$50000,[1]Base_Jugadores!C$2:C$50000)
)</f>
        <v>AS Roma</v>
      </c>
      <c r="D1499" s="5" t="str">
        <f aca="false">[1]Base_Jugadores!D1499</f>
        <v>España</v>
      </c>
      <c r="E1499" s="3"/>
      <c r="F1499" s="5" t="str">
        <f aca="false">[1]Base_Jugadores!E1499</f>
        <v>LI</v>
      </c>
      <c r="G1499" s="5" t="n">
        <f aca="false">[1]Base_Jugadores!F1499</f>
        <v>77</v>
      </c>
      <c r="H1499" s="5" t="n">
        <f aca="false">[1]Base_Jugadores!G1499</f>
        <v>28</v>
      </c>
      <c r="I1499" s="7" t="n">
        <f aca="false" t="array" ref="I1499:I1499">_xlfn.XLOOKUP(G1499,{55;56;57;58;59;60;61;62;63;64;65;66;67;68;69;70;71;72;73;74;75;76;77;78;79;80;81;82;83;84;85;86;87;88;89;90;91;92;93;94;95;96;97;98;99},{100000;130000;160000;190000;220000;250000;300000;350000;400000;450000;500000;600000;700000;800000;900000;1000000;1500000;2000000;3000000;4000000;5000000;6500000;8000000;10000000;12500000;15000000;20000000;25000000;30000000;35000000;40000000;55000000;70000000;80000000;90000000;110000000;130000000;160000000;190000000;220000000;250000000;280000000;310000000;340000000;400000000})</f>
        <v>8000000</v>
      </c>
      <c r="J1499" s="7" t="n">
        <f aca="false">I1499*S1499*T1499*U1499</f>
        <v>8601600</v>
      </c>
      <c r="K1499" s="3"/>
      <c r="L1499" s="3"/>
      <c r="M1499" s="3"/>
      <c r="N1499" s="9" t="n">
        <v>0</v>
      </c>
      <c r="O1499" s="4" t="n">
        <v>0</v>
      </c>
      <c r="P1499" s="5" t="n">
        <f aca="false">IF(COUNTIF([1]Base_Jugadores!J$2:J$500,B1499)&gt;0,1,0)</f>
        <v>0</v>
      </c>
      <c r="Q1499" s="10" t="b">
        <f aca="false">--(COUNTIFS(
   [1]Fichajes_Realizados!A$2:A$5000,A1499,
   [1]Fichajes_Realizados!G$2:G$5000,$X$3
)&gt;0)</f>
        <v>0</v>
      </c>
      <c r="R1499" s="5" t="n">
        <f aca="false">_xlfn.XLOOKUP(C1499, [1]Estado_Equipos!A$2:A$500, [1]Estado_Equipos!J$2:J$500, "")</f>
        <v>76</v>
      </c>
      <c r="S1499" s="5" t="n">
        <f aca="false">IF(H1499&lt;=16,1.45,
IF(H1499&gt;=41,0.3,
CHOOSE(ROUNDDOWN((H1499-16)/2,0)+1,
1.45,1.38,1.3,1.23,1.17,1.15,1.12,1.05,0.95,0.8,0.6,0.4,0.3)))</f>
        <v>1.12</v>
      </c>
      <c r="T1499" s="5" t="n">
        <f aca="false">CHOOSE(N1499+1,1.2,1,0.85,0.7)</f>
        <v>1.2</v>
      </c>
      <c r="U1499" s="5" t="n">
        <f aca="false">IF(F1499="PO",0.6,
IF(F1499="CT",0.75,
IF(F1499="LI",0.8,
IF(F1499="LD",0.8,
IF(F1499="MCD",0.85,
IF(F1499="MC",0.95,
IF(F1499="MO",1.05,
IF(F1499="EI",1.1,
IF(F1499="ED",1.1,
IF(F1499="SD",1.15,
IF(F1499="DC",1.2,0)))))))))))</f>
        <v>0.8</v>
      </c>
    </row>
    <row r="1500" customFormat="false" ht="16.4" hidden="false" customHeight="false" outlineLevel="0" collapsed="false">
      <c r="A1500" s="1" t="n">
        <v>1499</v>
      </c>
      <c r="B1500" s="5" t="str">
        <f aca="false">[1]Base_Jugadores!B1500</f>
        <v>K. Tsimikas</v>
      </c>
      <c r="C1500" s="5" t="str">
        <f aca="false">IFERROR(
   _xlfn.XLOOKUP(VALUE(A1500),[1]Fichajes_Realizados!A$2:A$50000,[1]Fichajes_Realizados!D$2:D$50000,,0,-1),
   _xlfn.XLOOKUP(VALUE(A1500),[1]Base_Jugadores!A$2:A$50000,[1]Base_Jugadores!C$2:C$50000)
)</f>
        <v>AS Roma</v>
      </c>
      <c r="D1500" s="5" t="str">
        <f aca="false">[1]Base_Jugadores!D1500</f>
        <v>Grecia</v>
      </c>
      <c r="E1500" s="3"/>
      <c r="F1500" s="5" t="str">
        <f aca="false">[1]Base_Jugadores!E1500</f>
        <v>LI</v>
      </c>
      <c r="G1500" s="5" t="n">
        <f aca="false">[1]Base_Jugadores!F1500</f>
        <v>77</v>
      </c>
      <c r="H1500" s="5" t="n">
        <f aca="false">[1]Base_Jugadores!G1500</f>
        <v>29</v>
      </c>
      <c r="I1500" s="7" t="n">
        <f aca="false" t="array" ref="I1500:I1500">_xlfn.XLOOKUP(G1500,{55;56;57;58;59;60;61;62;63;64;65;66;67;68;69;70;71;72;73;74;75;76;77;78;79;80;81;82;83;84;85;86;87;88;89;90;91;92;93;94;95;96;97;98;99},{100000;130000;160000;190000;220000;250000;300000;350000;400000;450000;500000;600000;700000;800000;900000;1000000;1500000;2000000;3000000;4000000;5000000;6500000;8000000;10000000;12500000;15000000;20000000;25000000;30000000;35000000;40000000;55000000;70000000;80000000;90000000;110000000;130000000;160000000;190000000;220000000;250000000;280000000;310000000;340000000;400000000})</f>
        <v>8000000</v>
      </c>
      <c r="J1500" s="7" t="n">
        <f aca="false">I1500*S1500*T1500*U1500</f>
        <v>8601600</v>
      </c>
      <c r="K1500" s="3"/>
      <c r="L1500" s="3"/>
      <c r="M1500" s="3"/>
      <c r="N1500" s="9" t="n">
        <v>0</v>
      </c>
      <c r="O1500" s="4" t="n">
        <v>0</v>
      </c>
      <c r="P1500" s="5" t="n">
        <f aca="false">IF(COUNTIF([1]Base_Jugadores!J$2:J$500,B1500)&gt;0,1,0)</f>
        <v>0</v>
      </c>
      <c r="Q1500" s="10" t="b">
        <f aca="false">--(COUNTIFS(
   [1]Fichajes_Realizados!A$2:A$5000,A1500,
   [1]Fichajes_Realizados!G$2:G$5000,$X$3
)&gt;0)</f>
        <v>0</v>
      </c>
      <c r="R1500" s="5" t="n">
        <f aca="false">_xlfn.XLOOKUP(C1500, [1]Estado_Equipos!A$2:A$500, [1]Estado_Equipos!J$2:J$500, "")</f>
        <v>76</v>
      </c>
      <c r="S1500" s="5" t="n">
        <f aca="false">IF(H1500&lt;=16,1.45,
IF(H1500&gt;=41,0.3,
CHOOSE(ROUNDDOWN((H1500-16)/2,0)+1,
1.45,1.38,1.3,1.23,1.17,1.15,1.12,1.05,0.95,0.8,0.6,0.4,0.3)))</f>
        <v>1.12</v>
      </c>
      <c r="T1500" s="5" t="n">
        <f aca="false">CHOOSE(N1500+1,1.2,1,0.85,0.7)</f>
        <v>1.2</v>
      </c>
      <c r="U1500" s="5" t="n">
        <f aca="false">IF(F1500="PO",0.6,
IF(F1500="CT",0.75,
IF(F1500="LI",0.8,
IF(F1500="LD",0.8,
IF(F1500="MCD",0.85,
IF(F1500="MC",0.95,
IF(F1500="MO",1.05,
IF(F1500="EI",1.1,
IF(F1500="ED",1.1,
IF(F1500="SD",1.15,
IF(F1500="DC",1.2,0)))))))))))</f>
        <v>0.8</v>
      </c>
    </row>
    <row r="1501" customFormat="false" ht="16.4" hidden="false" customHeight="false" outlineLevel="0" collapsed="false">
      <c r="A1501" s="1" t="n">
        <v>1500</v>
      </c>
      <c r="B1501" s="5" t="str">
        <f aca="false">[1]Base_Jugadores!B1501</f>
        <v>Wesley França</v>
      </c>
      <c r="C1501" s="5" t="str">
        <f aca="false">IFERROR(
   _xlfn.XLOOKUP(VALUE(A1501),[1]Fichajes_Realizados!A$2:A$50000,[1]Fichajes_Realizados!D$2:D$50000,,0,-1),
   _xlfn.XLOOKUP(VALUE(A1501),[1]Base_Jugadores!A$2:A$50000,[1]Base_Jugadores!C$2:C$50000)
)</f>
        <v>AS Roma</v>
      </c>
      <c r="D1501" s="5" t="str">
        <f aca="false">[1]Base_Jugadores!D1501</f>
        <v>Brasil</v>
      </c>
      <c r="E1501" s="3"/>
      <c r="F1501" s="5" t="str">
        <f aca="false">[1]Base_Jugadores!E1501</f>
        <v>LD</v>
      </c>
      <c r="G1501" s="5" t="n">
        <f aca="false">[1]Base_Jugadores!F1501</f>
        <v>77</v>
      </c>
      <c r="H1501" s="5" t="n">
        <f aca="false">[1]Base_Jugadores!G1501</f>
        <v>22</v>
      </c>
      <c r="I1501" s="7" t="n">
        <f aca="false" t="array" ref="I1501:I1501">_xlfn.XLOOKUP(G1501,{55;56;57;58;59;60;61;62;63;64;65;66;67;68;69;70;71;72;73;74;75;76;77;78;79;80;81;82;83;84;85;86;87;88;89;90;91;92;93;94;95;96;97;98;99},{100000;130000;160000;190000;220000;250000;300000;350000;400000;450000;500000;600000;700000;800000;900000;1000000;1500000;2000000;3000000;4000000;5000000;6500000;8000000;10000000;12500000;15000000;20000000;25000000;30000000;35000000;40000000;55000000;70000000;80000000;90000000;110000000;130000000;160000000;190000000;220000000;250000000;280000000;310000000;340000000;400000000})</f>
        <v>8000000</v>
      </c>
      <c r="J1501" s="7" t="n">
        <f aca="false">I1501*S1501*T1501*U1501</f>
        <v>9446400</v>
      </c>
      <c r="K1501" s="3"/>
      <c r="L1501" s="3"/>
      <c r="M1501" s="3"/>
      <c r="N1501" s="9" t="n">
        <v>0</v>
      </c>
      <c r="O1501" s="4" t="n">
        <v>0</v>
      </c>
      <c r="P1501" s="5" t="n">
        <f aca="false">IF(COUNTIF([1]Base_Jugadores!J$2:J$500,B1501)&gt;0,1,0)</f>
        <v>0</v>
      </c>
      <c r="Q1501" s="10" t="b">
        <f aca="false">--(COUNTIFS(
   [1]Fichajes_Realizados!A$2:A$5000,A1501,
   [1]Fichajes_Realizados!G$2:G$5000,$X$3
)&gt;0)</f>
        <v>0</v>
      </c>
      <c r="R1501" s="5" t="n">
        <f aca="false">_xlfn.XLOOKUP(C1501, [1]Estado_Equipos!A$2:A$500, [1]Estado_Equipos!J$2:J$500, "")</f>
        <v>76</v>
      </c>
      <c r="S1501" s="5" t="n">
        <f aca="false">IF(H1501&lt;=16,1.45,
IF(H1501&gt;=41,0.3,
CHOOSE(ROUNDDOWN((H1501-16)/2,0)+1,
1.45,1.38,1.3,1.23,1.17,1.15,1.12,1.05,0.95,0.8,0.6,0.4,0.3)))</f>
        <v>1.23</v>
      </c>
      <c r="T1501" s="5" t="n">
        <f aca="false">CHOOSE(N1501+1,1.2,1,0.85,0.7)</f>
        <v>1.2</v>
      </c>
      <c r="U1501" s="5" t="n">
        <f aca="false">IF(F1501="PO",0.6,
IF(F1501="CT",0.75,
IF(F1501="LI",0.8,
IF(F1501="LD",0.8,
IF(F1501="MCD",0.85,
IF(F1501="MC",0.95,
IF(F1501="MO",1.05,
IF(F1501="EI",1.1,
IF(F1501="ED",1.1,
IF(F1501="SD",1.15,
IF(F1501="DC",1.2,0)))))))))))</f>
        <v>0.8</v>
      </c>
    </row>
    <row r="1502" customFormat="false" ht="16.4" hidden="false" customHeight="false" outlineLevel="0" collapsed="false">
      <c r="A1502" s="1" t="n">
        <v>1501</v>
      </c>
      <c r="B1502" s="5" t="str">
        <f aca="false">[1]Base_Jugadores!B1502</f>
        <v>Devyne Rensch</v>
      </c>
      <c r="C1502" s="5" t="str">
        <f aca="false">IFERROR(
   _xlfn.XLOOKUP(VALUE(A1502),[1]Fichajes_Realizados!A$2:A$50000,[1]Fichajes_Realizados!D$2:D$50000,,0,-1),
   _xlfn.XLOOKUP(VALUE(A1502),[1]Base_Jugadores!A$2:A$50000,[1]Base_Jugadores!C$2:C$50000)
)</f>
        <v>AS Roma</v>
      </c>
      <c r="D1502" s="5" t="str">
        <f aca="false">[1]Base_Jugadores!D1502</f>
        <v>Países Bajos</v>
      </c>
      <c r="E1502" s="3"/>
      <c r="F1502" s="5" t="str">
        <f aca="false">[1]Base_Jugadores!E1502</f>
        <v>LD</v>
      </c>
      <c r="G1502" s="5" t="n">
        <f aca="false">[1]Base_Jugadores!F1502</f>
        <v>75</v>
      </c>
      <c r="H1502" s="5" t="n">
        <f aca="false">[1]Base_Jugadores!G1502</f>
        <v>22</v>
      </c>
      <c r="I1502" s="7" t="n">
        <f aca="false" t="array" ref="I1502:I1502">_xlfn.XLOOKUP(G1502,{55;56;57;58;59;60;61;62;63;64;65;66;67;68;69;70;71;72;73;74;75;76;77;78;79;80;81;82;83;84;85;86;87;88;89;90;91;92;93;94;95;96;97;98;99},{100000;130000;160000;190000;220000;250000;300000;350000;400000;450000;500000;600000;700000;800000;900000;1000000;1500000;2000000;3000000;4000000;5000000;6500000;8000000;10000000;12500000;15000000;20000000;25000000;30000000;35000000;40000000;55000000;70000000;80000000;90000000;110000000;130000000;160000000;190000000;220000000;250000000;280000000;310000000;340000000;400000000})</f>
        <v>5000000</v>
      </c>
      <c r="J1502" s="7" t="n">
        <f aca="false">I1502*S1502*T1502*U1502</f>
        <v>5904000</v>
      </c>
      <c r="K1502" s="3"/>
      <c r="L1502" s="3"/>
      <c r="M1502" s="3"/>
      <c r="N1502" s="9" t="n">
        <v>0</v>
      </c>
      <c r="O1502" s="4" t="n">
        <v>0</v>
      </c>
      <c r="P1502" s="5" t="n">
        <f aca="false">IF(COUNTIF([1]Base_Jugadores!J$2:J$500,B1502)&gt;0,1,0)</f>
        <v>0</v>
      </c>
      <c r="Q1502" s="10" t="b">
        <f aca="false">--(COUNTIFS(
   [1]Fichajes_Realizados!A$2:A$5000,A1502,
   [1]Fichajes_Realizados!G$2:G$5000,$X$3
)&gt;0)</f>
        <v>0</v>
      </c>
      <c r="R1502" s="5" t="n">
        <f aca="false">_xlfn.XLOOKUP(C1502, [1]Estado_Equipos!A$2:A$500, [1]Estado_Equipos!J$2:J$500, "")</f>
        <v>76</v>
      </c>
      <c r="S1502" s="5" t="n">
        <f aca="false">IF(H1502&lt;=16,1.45,
IF(H1502&gt;=41,0.3,
CHOOSE(ROUNDDOWN((H1502-16)/2,0)+1,
1.45,1.38,1.3,1.23,1.17,1.15,1.12,1.05,0.95,0.8,0.6,0.4,0.3)))</f>
        <v>1.23</v>
      </c>
      <c r="T1502" s="5" t="n">
        <f aca="false">CHOOSE(N1502+1,1.2,1,0.85,0.7)</f>
        <v>1.2</v>
      </c>
      <c r="U1502" s="5" t="n">
        <f aca="false">IF(F1502="PO",0.6,
IF(F1502="CT",0.75,
IF(F1502="LI",0.8,
IF(F1502="LD",0.8,
IF(F1502="MCD",0.85,
IF(F1502="MC",0.95,
IF(F1502="MO",1.05,
IF(F1502="EI",1.1,
IF(F1502="ED",1.1,
IF(F1502="SD",1.15,
IF(F1502="DC",1.2,0)))))))))))</f>
        <v>0.8</v>
      </c>
    </row>
    <row r="1503" customFormat="false" ht="16.4" hidden="false" customHeight="false" outlineLevel="0" collapsed="false">
      <c r="A1503" s="1" t="n">
        <v>1502</v>
      </c>
      <c r="B1503" s="5" t="str">
        <f aca="false">[1]Base_Jugadores!B1503</f>
        <v>Zeki Çelik</v>
      </c>
      <c r="C1503" s="5" t="str">
        <f aca="false">IFERROR(
   _xlfn.XLOOKUP(VALUE(A1503),[1]Fichajes_Realizados!A$2:A$50000,[1]Fichajes_Realizados!D$2:D$50000,,0,-1),
   _xlfn.XLOOKUP(VALUE(A1503),[1]Base_Jugadores!A$2:A$50000,[1]Base_Jugadores!C$2:C$50000)
)</f>
        <v>AS Roma</v>
      </c>
      <c r="D1503" s="5" t="str">
        <f aca="false">[1]Base_Jugadores!D1503</f>
        <v>Turquía</v>
      </c>
      <c r="E1503" s="3"/>
      <c r="F1503" s="5" t="str">
        <f aca="false">[1]Base_Jugadores!E1503</f>
        <v>LD</v>
      </c>
      <c r="G1503" s="5" t="n">
        <f aca="false">[1]Base_Jugadores!F1503</f>
        <v>76</v>
      </c>
      <c r="H1503" s="5" t="n">
        <f aca="false">[1]Base_Jugadores!G1503</f>
        <v>28</v>
      </c>
      <c r="I1503" s="7" t="n">
        <f aca="false" t="array" ref="I1503:I1503">_xlfn.XLOOKUP(G1503,{55;56;57;58;59;60;61;62;63;64;65;66;67;68;69;70;71;72;73;74;75;76;77;78;79;80;81;82;83;84;85;86;87;88;89;90;91;92;93;94;95;96;97;98;99},{100000;130000;160000;190000;220000;250000;300000;350000;400000;450000;500000;600000;700000;800000;900000;1000000;1500000;2000000;3000000;4000000;5000000;6500000;8000000;10000000;12500000;15000000;20000000;25000000;30000000;35000000;40000000;55000000;70000000;80000000;90000000;110000000;130000000;160000000;190000000;220000000;250000000;280000000;310000000;340000000;400000000})</f>
        <v>6500000</v>
      </c>
      <c r="J1503" s="7" t="n">
        <f aca="false">I1503*S1503*T1503*U1503</f>
        <v>6988800</v>
      </c>
      <c r="K1503" s="3"/>
      <c r="L1503" s="3"/>
      <c r="M1503" s="3"/>
      <c r="N1503" s="9" t="n">
        <v>0</v>
      </c>
      <c r="O1503" s="4" t="n">
        <v>0</v>
      </c>
      <c r="P1503" s="5" t="n">
        <f aca="false">IF(COUNTIF([1]Base_Jugadores!J$2:J$500,B1503)&gt;0,1,0)</f>
        <v>0</v>
      </c>
      <c r="Q1503" s="10" t="b">
        <f aca="false">--(COUNTIFS(
   [1]Fichajes_Realizados!A$2:A$5000,A1503,
   [1]Fichajes_Realizados!G$2:G$5000,$X$3
)&gt;0)</f>
        <v>0</v>
      </c>
      <c r="R1503" s="5" t="n">
        <f aca="false">_xlfn.XLOOKUP(C1503, [1]Estado_Equipos!A$2:A$500, [1]Estado_Equipos!J$2:J$500, "")</f>
        <v>76</v>
      </c>
      <c r="S1503" s="5" t="n">
        <f aca="false">IF(H1503&lt;=16,1.45,
IF(H1503&gt;=41,0.3,
CHOOSE(ROUNDDOWN((H1503-16)/2,0)+1,
1.45,1.38,1.3,1.23,1.17,1.15,1.12,1.05,0.95,0.8,0.6,0.4,0.3)))</f>
        <v>1.12</v>
      </c>
      <c r="T1503" s="5" t="n">
        <f aca="false">CHOOSE(N1503+1,1.2,1,0.85,0.7)</f>
        <v>1.2</v>
      </c>
      <c r="U1503" s="5" t="n">
        <f aca="false">IF(F1503="PO",0.6,
IF(F1503="CT",0.75,
IF(F1503="LI",0.8,
IF(F1503="LD",0.8,
IF(F1503="MCD",0.85,
IF(F1503="MC",0.95,
IF(F1503="MO",1.05,
IF(F1503="EI",1.1,
IF(F1503="ED",1.1,
IF(F1503="SD",1.15,
IF(F1503="DC",1.2,0)))))))))))</f>
        <v>0.8</v>
      </c>
    </row>
    <row r="1504" customFormat="false" ht="16.4" hidden="false" customHeight="false" outlineLevel="0" collapsed="false">
      <c r="A1504" s="1" t="n">
        <v>1503</v>
      </c>
      <c r="B1504" s="5" t="str">
        <f aca="false">[1]Base_Jugadores!B1504</f>
        <v>Buba Sangaré</v>
      </c>
      <c r="C1504" s="5" t="str">
        <f aca="false">IFERROR(
   _xlfn.XLOOKUP(VALUE(A1504),[1]Fichajes_Realizados!A$2:A$50000,[1]Fichajes_Realizados!D$2:D$50000,,0,-1),
   _xlfn.XLOOKUP(VALUE(A1504),[1]Base_Jugadores!A$2:A$50000,[1]Base_Jugadores!C$2:C$50000)
)</f>
        <v>AS Roma</v>
      </c>
      <c r="D1504" s="5" t="str">
        <f aca="false">[1]Base_Jugadores!D1504</f>
        <v>España</v>
      </c>
      <c r="E1504" s="3"/>
      <c r="F1504" s="5" t="str">
        <f aca="false">[1]Base_Jugadores!E1504</f>
        <v>LD</v>
      </c>
      <c r="G1504" s="5" t="n">
        <f aca="false">[1]Base_Jugadores!F1504</f>
        <v>64</v>
      </c>
      <c r="H1504" s="5" t="n">
        <f aca="false">[1]Base_Jugadores!G1504</f>
        <v>18</v>
      </c>
      <c r="I1504" s="7" t="n">
        <f aca="false" t="array" ref="I1504:I1504">_xlfn.XLOOKUP(G1504,{55;56;57;58;59;60;61;62;63;64;65;66;67;68;69;70;71;72;73;74;75;76;77;78;79;80;81;82;83;84;85;86;87;88;89;90;91;92;93;94;95;96;97;98;99},{100000;130000;160000;190000;220000;250000;300000;350000;400000;450000;500000;600000;700000;800000;900000;1000000;1500000;2000000;3000000;4000000;5000000;6500000;8000000;10000000;12500000;15000000;20000000;25000000;30000000;35000000;40000000;55000000;70000000;80000000;90000000;110000000;130000000;160000000;190000000;220000000;250000000;280000000;310000000;340000000;400000000})</f>
        <v>450000</v>
      </c>
      <c r="J1504" s="7" t="n">
        <f aca="false">I1504*S1504*T1504*U1504</f>
        <v>596160</v>
      </c>
      <c r="K1504" s="3"/>
      <c r="L1504" s="3"/>
      <c r="M1504" s="3"/>
      <c r="N1504" s="9" t="n">
        <v>0</v>
      </c>
      <c r="O1504" s="4" t="n">
        <v>0</v>
      </c>
      <c r="P1504" s="5" t="n">
        <f aca="false">IF(COUNTIF([1]Base_Jugadores!J$2:J$500,B1504)&gt;0,1,0)</f>
        <v>0</v>
      </c>
      <c r="Q1504" s="10" t="b">
        <f aca="false">--(COUNTIFS(
   [1]Fichajes_Realizados!A$2:A$5000,A1504,
   [1]Fichajes_Realizados!G$2:G$5000,$X$3
)&gt;0)</f>
        <v>0</v>
      </c>
      <c r="R1504" s="5" t="n">
        <f aca="false">_xlfn.XLOOKUP(C1504, [1]Estado_Equipos!A$2:A$500, [1]Estado_Equipos!J$2:J$500, "")</f>
        <v>76</v>
      </c>
      <c r="S1504" s="5" t="n">
        <f aca="false">IF(H1504&lt;=16,1.45,
IF(H1504&gt;=41,0.3,
CHOOSE(ROUNDDOWN((H1504-16)/2,0)+1,
1.45,1.38,1.3,1.23,1.17,1.15,1.12,1.05,0.95,0.8,0.6,0.4,0.3)))</f>
        <v>1.38</v>
      </c>
      <c r="T1504" s="5" t="n">
        <f aca="false">CHOOSE(N1504+1,1.2,1,0.85,0.7)</f>
        <v>1.2</v>
      </c>
      <c r="U1504" s="5" t="n">
        <f aca="false">IF(F1504="PO",0.6,
IF(F1504="CT",0.75,
IF(F1504="LI",0.8,
IF(F1504="LD",0.8,
IF(F1504="MCD",0.85,
IF(F1504="MC",0.95,
IF(F1504="MO",1.05,
IF(F1504="EI",1.1,
IF(F1504="ED",1.1,
IF(F1504="SD",1.15,
IF(F1504="DC",1.2,0)))))))))))</f>
        <v>0.8</v>
      </c>
    </row>
    <row r="1505" customFormat="false" ht="16.4" hidden="false" customHeight="false" outlineLevel="0" collapsed="false">
      <c r="A1505" s="1" t="n">
        <v>1504</v>
      </c>
      <c r="B1505" s="5" t="str">
        <f aca="false">[1]Base_Jugadores!B1505</f>
        <v>Bryan Cristante</v>
      </c>
      <c r="C1505" s="5" t="str">
        <f aca="false">IFERROR(
   _xlfn.XLOOKUP(VALUE(A1505),[1]Fichajes_Realizados!A$2:A$50000,[1]Fichajes_Realizados!D$2:D$50000,,0,-1),
   _xlfn.XLOOKUP(VALUE(A1505),[1]Base_Jugadores!A$2:A$50000,[1]Base_Jugadores!C$2:C$50000)
)</f>
        <v>AS Roma</v>
      </c>
      <c r="D1505" s="5" t="str">
        <f aca="false">[1]Base_Jugadores!D1505</f>
        <v>Italia</v>
      </c>
      <c r="E1505" s="3"/>
      <c r="F1505" s="5" t="str">
        <f aca="false">[1]Base_Jugadores!E1505</f>
        <v>MCD</v>
      </c>
      <c r="G1505" s="5" t="n">
        <f aca="false">[1]Base_Jugadores!F1505</f>
        <v>80</v>
      </c>
      <c r="H1505" s="5" t="n">
        <f aca="false">[1]Base_Jugadores!G1505</f>
        <v>30</v>
      </c>
      <c r="I1505" s="7" t="n">
        <f aca="false" t="array" ref="I1505:I1505">_xlfn.XLOOKUP(G1505,{55;56;57;58;59;60;61;62;63;64;65;66;67;68;69;70;71;72;73;74;75;76;77;78;79;80;81;82;83;84;85;86;87;88;89;90;91;92;93;94;95;96;97;98;99},{100000;130000;160000;190000;220000;250000;300000;350000;400000;450000;500000;600000;700000;800000;900000;1000000;1500000;2000000;3000000;4000000;5000000;6500000;8000000;10000000;12500000;15000000;20000000;25000000;30000000;35000000;40000000;55000000;70000000;80000000;90000000;110000000;130000000;160000000;190000000;220000000;250000000;280000000;310000000;340000000;400000000})</f>
        <v>15000000</v>
      </c>
      <c r="J1505" s="7" t="n">
        <f aca="false">I1505*S1505*T1505*U1505</f>
        <v>16065000</v>
      </c>
      <c r="K1505" s="3"/>
      <c r="L1505" s="3"/>
      <c r="M1505" s="3"/>
      <c r="N1505" s="9" t="n">
        <v>0</v>
      </c>
      <c r="O1505" s="4" t="n">
        <v>0</v>
      </c>
      <c r="P1505" s="5" t="n">
        <f aca="false">IF(COUNTIF([1]Base_Jugadores!J$2:J$500,B1505)&gt;0,1,0)</f>
        <v>0</v>
      </c>
      <c r="Q1505" s="10" t="b">
        <f aca="false">--(COUNTIFS(
   [1]Fichajes_Realizados!A$2:A$5000,A1505,
   [1]Fichajes_Realizados!G$2:G$5000,$X$3
)&gt;0)</f>
        <v>0</v>
      </c>
      <c r="R1505" s="5" t="n">
        <f aca="false">_xlfn.XLOOKUP(C1505, [1]Estado_Equipos!A$2:A$500, [1]Estado_Equipos!J$2:J$500, "")</f>
        <v>76</v>
      </c>
      <c r="S1505" s="5" t="n">
        <f aca="false">IF(H1505&lt;=16,1.45,
IF(H1505&gt;=41,0.3,
CHOOSE(ROUNDDOWN((H1505-16)/2,0)+1,
1.45,1.38,1.3,1.23,1.17,1.15,1.12,1.05,0.95,0.8,0.6,0.4,0.3)))</f>
        <v>1.05</v>
      </c>
      <c r="T1505" s="5" t="n">
        <f aca="false">CHOOSE(N1505+1,1.2,1,0.85,0.7)</f>
        <v>1.2</v>
      </c>
      <c r="U1505" s="5" t="n">
        <f aca="false">IF(F1505="PO",0.6,
IF(F1505="CT",0.75,
IF(F1505="LI",0.8,
IF(F1505="LD",0.8,
IF(F1505="MCD",0.85,
IF(F1505="MC",0.95,
IF(F1505="MO",1.05,
IF(F1505="EI",1.1,
IF(F1505="ED",1.1,
IF(F1505="SD",1.15,
IF(F1505="DC",1.2,0)))))))))))</f>
        <v>0.85</v>
      </c>
    </row>
    <row r="1506" customFormat="false" ht="16.4" hidden="false" customHeight="false" outlineLevel="0" collapsed="false">
      <c r="A1506" s="1" t="n">
        <v>1505</v>
      </c>
      <c r="B1506" s="5" t="str">
        <f aca="false">[1]Base_Jugadores!B1506</f>
        <v>Manu Koné</v>
      </c>
      <c r="C1506" s="5" t="str">
        <f aca="false">IFERROR(
   _xlfn.XLOOKUP(VALUE(A1506),[1]Fichajes_Realizados!A$2:A$50000,[1]Fichajes_Realizados!D$2:D$50000,,0,-1),
   _xlfn.XLOOKUP(VALUE(A1506),[1]Base_Jugadores!A$2:A$50000,[1]Base_Jugadores!C$2:C$50000)
)</f>
        <v>AS Roma</v>
      </c>
      <c r="D1506" s="5" t="str">
        <f aca="false">[1]Base_Jugadores!D1506</f>
        <v>Francia</v>
      </c>
      <c r="E1506" s="3"/>
      <c r="F1506" s="5" t="str">
        <f aca="false">[1]Base_Jugadores!E1506</f>
        <v>MC</v>
      </c>
      <c r="G1506" s="5" t="n">
        <f aca="false">[1]Base_Jugadores!F1506</f>
        <v>78</v>
      </c>
      <c r="H1506" s="5" t="n">
        <f aca="false">[1]Base_Jugadores!G1506</f>
        <v>24</v>
      </c>
      <c r="I1506" s="7" t="n">
        <f aca="false" t="array" ref="I1506:I1506">_xlfn.XLOOKUP(G1506,{55;56;57;58;59;60;61;62;63;64;65;66;67;68;69;70;71;72;73;74;75;76;77;78;79;80;81;82;83;84;85;86;87;88;89;90;91;92;93;94;95;96;97;98;99},{100000;130000;160000;190000;220000;250000;300000;350000;400000;450000;500000;600000;700000;800000;900000;1000000;1500000;2000000;3000000;4000000;5000000;6500000;8000000;10000000;12500000;15000000;20000000;25000000;30000000;35000000;40000000;55000000;70000000;80000000;90000000;110000000;130000000;160000000;190000000;220000000;250000000;280000000;310000000;340000000;400000000})</f>
        <v>10000000</v>
      </c>
      <c r="J1506" s="7" t="n">
        <f aca="false">I1506*S1506*T1506*U1506</f>
        <v>13338000</v>
      </c>
      <c r="K1506" s="3"/>
      <c r="L1506" s="3"/>
      <c r="M1506" s="3"/>
      <c r="N1506" s="9" t="n">
        <v>0</v>
      </c>
      <c r="O1506" s="4" t="n">
        <v>0</v>
      </c>
      <c r="P1506" s="5" t="n">
        <f aca="false">IF(COUNTIF([1]Base_Jugadores!J$2:J$500,B1506)&gt;0,1,0)</f>
        <v>0</v>
      </c>
      <c r="Q1506" s="10" t="b">
        <f aca="false">--(COUNTIFS(
   [1]Fichajes_Realizados!A$2:A$5000,A1506,
   [1]Fichajes_Realizados!G$2:G$5000,$X$3
)&gt;0)</f>
        <v>0</v>
      </c>
      <c r="R1506" s="5" t="n">
        <f aca="false">_xlfn.XLOOKUP(C1506, [1]Estado_Equipos!A$2:A$500, [1]Estado_Equipos!J$2:J$500, "")</f>
        <v>76</v>
      </c>
      <c r="S1506" s="5" t="n">
        <f aca="false">IF(H1506&lt;=16,1.45,
IF(H1506&gt;=41,0.3,
CHOOSE(ROUNDDOWN((H1506-16)/2,0)+1,
1.45,1.38,1.3,1.23,1.17,1.15,1.12,1.05,0.95,0.8,0.6,0.4,0.3)))</f>
        <v>1.17</v>
      </c>
      <c r="T1506" s="5" t="n">
        <f aca="false">CHOOSE(N1506+1,1.2,1,0.85,0.7)</f>
        <v>1.2</v>
      </c>
      <c r="U1506" s="5" t="n">
        <f aca="false">IF(F1506="PO",0.6,
IF(F1506="CT",0.75,
IF(F1506="LI",0.8,
IF(F1506="LD",0.8,
IF(F1506="MCD",0.85,
IF(F1506="MC",0.95,
IF(F1506="MO",1.05,
IF(F1506="EI",1.1,
IF(F1506="ED",1.1,
IF(F1506="SD",1.15,
IF(F1506="DC",1.2,0)))))))))))</f>
        <v>0.95</v>
      </c>
    </row>
    <row r="1507" customFormat="false" ht="16.4" hidden="false" customHeight="false" outlineLevel="0" collapsed="false">
      <c r="A1507" s="1" t="n">
        <v>1506</v>
      </c>
      <c r="B1507" s="5" t="str">
        <f aca="false">[1]Base_Jugadores!B1507</f>
        <v>Neil El Aynaoui</v>
      </c>
      <c r="C1507" s="5" t="str">
        <f aca="false">IFERROR(
   _xlfn.XLOOKUP(VALUE(A1507),[1]Fichajes_Realizados!A$2:A$50000,[1]Fichajes_Realizados!D$2:D$50000,,0,-1),
   _xlfn.XLOOKUP(VALUE(A1507),[1]Base_Jugadores!A$2:A$50000,[1]Base_Jugadores!C$2:C$50000)
)</f>
        <v>AS Roma</v>
      </c>
      <c r="D1507" s="5" t="str">
        <f aca="false">[1]Base_Jugadores!D1507</f>
        <v>Marruecos</v>
      </c>
      <c r="E1507" s="3"/>
      <c r="F1507" s="5" t="str">
        <f aca="false">[1]Base_Jugadores!E1507</f>
        <v>MC</v>
      </c>
      <c r="G1507" s="5" t="n">
        <f aca="false">[1]Base_Jugadores!F1507</f>
        <v>76</v>
      </c>
      <c r="H1507" s="5" t="n">
        <f aca="false">[1]Base_Jugadores!G1507</f>
        <v>24</v>
      </c>
      <c r="I1507" s="7" t="n">
        <f aca="false" t="array" ref="I1507:I1507">_xlfn.XLOOKUP(G1507,{55;56;57;58;59;60;61;62;63;64;65;66;67;68;69;70;71;72;73;74;75;76;77;78;79;80;81;82;83;84;85;86;87;88;89;90;91;92;93;94;95;96;97;98;99},{100000;130000;160000;190000;220000;250000;300000;350000;400000;450000;500000;600000;700000;800000;900000;1000000;1500000;2000000;3000000;4000000;5000000;6500000;8000000;10000000;12500000;15000000;20000000;25000000;30000000;35000000;40000000;55000000;70000000;80000000;90000000;110000000;130000000;160000000;190000000;220000000;250000000;280000000;310000000;340000000;400000000})</f>
        <v>6500000</v>
      </c>
      <c r="J1507" s="7" t="n">
        <f aca="false">I1507*S1507*T1507*U1507</f>
        <v>8669700</v>
      </c>
      <c r="K1507" s="3"/>
      <c r="L1507" s="3"/>
      <c r="M1507" s="3"/>
      <c r="N1507" s="9" t="n">
        <v>0</v>
      </c>
      <c r="O1507" s="4" t="n">
        <v>0</v>
      </c>
      <c r="P1507" s="5" t="n">
        <f aca="false">IF(COUNTIF([1]Base_Jugadores!J$2:J$500,B1507)&gt;0,1,0)</f>
        <v>0</v>
      </c>
      <c r="Q1507" s="10" t="b">
        <f aca="false">--(COUNTIFS(
   [1]Fichajes_Realizados!A$2:A$5000,A1507,
   [1]Fichajes_Realizados!G$2:G$5000,$X$3
)&gt;0)</f>
        <v>0</v>
      </c>
      <c r="R1507" s="5" t="n">
        <f aca="false">_xlfn.XLOOKUP(C1507, [1]Estado_Equipos!A$2:A$500, [1]Estado_Equipos!J$2:J$500, "")</f>
        <v>76</v>
      </c>
      <c r="S1507" s="5" t="n">
        <f aca="false">IF(H1507&lt;=16,1.45,
IF(H1507&gt;=41,0.3,
CHOOSE(ROUNDDOWN((H1507-16)/2,0)+1,
1.45,1.38,1.3,1.23,1.17,1.15,1.12,1.05,0.95,0.8,0.6,0.4,0.3)))</f>
        <v>1.17</v>
      </c>
      <c r="T1507" s="5" t="n">
        <f aca="false">CHOOSE(N1507+1,1.2,1,0.85,0.7)</f>
        <v>1.2</v>
      </c>
      <c r="U1507" s="5" t="n">
        <f aca="false">IF(F1507="PO",0.6,
IF(F1507="CT",0.75,
IF(F1507="LI",0.8,
IF(F1507="LD",0.8,
IF(F1507="MCD",0.85,
IF(F1507="MC",0.95,
IF(F1507="MO",1.05,
IF(F1507="EI",1.1,
IF(F1507="ED",1.1,
IF(F1507="SD",1.15,
IF(F1507="DC",1.2,0)))))))))))</f>
        <v>0.95</v>
      </c>
    </row>
    <row r="1508" customFormat="false" ht="16.4" hidden="false" customHeight="false" outlineLevel="0" collapsed="false">
      <c r="A1508" s="1" t="n">
        <v>1507</v>
      </c>
      <c r="B1508" s="5" t="str">
        <f aca="false">[1]Base_Jugadores!B1508</f>
        <v>Niccolò Pisilli</v>
      </c>
      <c r="C1508" s="5" t="str">
        <f aca="false">IFERROR(
   _xlfn.XLOOKUP(VALUE(A1508),[1]Fichajes_Realizados!A$2:A$50000,[1]Fichajes_Realizados!D$2:D$50000,,0,-1),
   _xlfn.XLOOKUP(VALUE(A1508),[1]Base_Jugadores!A$2:A$50000,[1]Base_Jugadores!C$2:C$50000)
)</f>
        <v>AS Roma</v>
      </c>
      <c r="D1508" s="5" t="str">
        <f aca="false">[1]Base_Jugadores!D1508</f>
        <v>Italia</v>
      </c>
      <c r="E1508" s="3"/>
      <c r="F1508" s="5" t="str">
        <f aca="false">[1]Base_Jugadores!E1508</f>
        <v>MC</v>
      </c>
      <c r="G1508" s="5" t="n">
        <f aca="false">[1]Base_Jugadores!F1508</f>
        <v>69</v>
      </c>
      <c r="H1508" s="5" t="n">
        <f aca="false">[1]Base_Jugadores!G1508</f>
        <v>21</v>
      </c>
      <c r="I1508" s="7" t="n">
        <f aca="false" t="array" ref="I1508:I1508">_xlfn.XLOOKUP(G1508,{55;56;57;58;59;60;61;62;63;64;65;66;67;68;69;70;71;72;73;74;75;76;77;78;79;80;81;82;83;84;85;86;87;88;89;90;91;92;93;94;95;96;97;98;99},{100000;130000;160000;190000;220000;250000;300000;350000;400000;450000;500000;600000;700000;800000;900000;1000000;1500000;2000000;3000000;4000000;5000000;6500000;8000000;10000000;12500000;15000000;20000000;25000000;30000000;35000000;40000000;55000000;70000000;80000000;90000000;110000000;130000000;160000000;190000000;220000000;250000000;280000000;310000000;340000000;400000000})</f>
        <v>900000</v>
      </c>
      <c r="J1508" s="7" t="n">
        <f aca="false">I1508*S1508*T1508*U1508</f>
        <v>1333800</v>
      </c>
      <c r="K1508" s="3"/>
      <c r="L1508" s="3"/>
      <c r="M1508" s="3"/>
      <c r="N1508" s="9" t="n">
        <v>0</v>
      </c>
      <c r="O1508" s="4" t="n">
        <v>0</v>
      </c>
      <c r="P1508" s="5" t="n">
        <f aca="false">IF(COUNTIF([1]Base_Jugadores!J$2:J$500,B1508)&gt;0,1,0)</f>
        <v>0</v>
      </c>
      <c r="Q1508" s="10" t="b">
        <f aca="false">--(COUNTIFS(
   [1]Fichajes_Realizados!A$2:A$5000,A1508,
   [1]Fichajes_Realizados!G$2:G$5000,$X$3
)&gt;0)</f>
        <v>0</v>
      </c>
      <c r="R1508" s="5" t="n">
        <f aca="false">_xlfn.XLOOKUP(C1508, [1]Estado_Equipos!A$2:A$500, [1]Estado_Equipos!J$2:J$500, "")</f>
        <v>76</v>
      </c>
      <c r="S1508" s="5" t="n">
        <f aca="false">IF(H1508&lt;=16,1.45,
IF(H1508&gt;=41,0.3,
CHOOSE(ROUNDDOWN((H1508-16)/2,0)+1,
1.45,1.38,1.3,1.23,1.17,1.15,1.12,1.05,0.95,0.8,0.6,0.4,0.3)))</f>
        <v>1.3</v>
      </c>
      <c r="T1508" s="5" t="n">
        <f aca="false">CHOOSE(N1508+1,1.2,1,0.85,0.7)</f>
        <v>1.2</v>
      </c>
      <c r="U1508" s="5" t="n">
        <f aca="false">IF(F1508="PO",0.6,
IF(F1508="CT",0.75,
IF(F1508="LI",0.8,
IF(F1508="LD",0.8,
IF(F1508="MCD",0.85,
IF(F1508="MC",0.95,
IF(F1508="MO",1.05,
IF(F1508="EI",1.1,
IF(F1508="ED",1.1,
IF(F1508="SD",1.15,
IF(F1508="DC",1.2,0)))))))))))</f>
        <v>0.95</v>
      </c>
    </row>
    <row r="1509" customFormat="false" ht="16.4" hidden="false" customHeight="false" outlineLevel="0" collapsed="false">
      <c r="A1509" s="1" t="n">
        <v>1508</v>
      </c>
      <c r="B1509" s="5" t="str">
        <f aca="false">[1]Base_Jugadores!B1509</f>
        <v>Edoardo Bove</v>
      </c>
      <c r="C1509" s="5" t="str">
        <f aca="false">IFERROR(
   _xlfn.XLOOKUP(VALUE(A1509),[1]Fichajes_Realizados!A$2:A$50000,[1]Fichajes_Realizados!D$2:D$50000,,0,-1),
   _xlfn.XLOOKUP(VALUE(A1509),[1]Base_Jugadores!A$2:A$50000,[1]Base_Jugadores!C$2:C$50000)
)</f>
        <v>AS Roma</v>
      </c>
      <c r="D1509" s="5" t="str">
        <f aca="false">[1]Base_Jugadores!D1509</f>
        <v>Italia</v>
      </c>
      <c r="E1509" s="3"/>
      <c r="F1509" s="5" t="str">
        <f aca="false">[1]Base_Jugadores!E1509</f>
        <v>MC</v>
      </c>
      <c r="G1509" s="5" t="n">
        <f aca="false">[1]Base_Jugadores!F1509</f>
        <v>75</v>
      </c>
      <c r="H1509" s="5" t="n">
        <f aca="false">[1]Base_Jugadores!G1509</f>
        <v>23</v>
      </c>
      <c r="I1509" s="7" t="n">
        <f aca="false" t="array" ref="I1509:I1509">_xlfn.XLOOKUP(G1509,{55;56;57;58;59;60;61;62;63;64;65;66;67;68;69;70;71;72;73;74;75;76;77;78;79;80;81;82;83;84;85;86;87;88;89;90;91;92;93;94;95;96;97;98;99},{100000;130000;160000;190000;220000;250000;300000;350000;400000;450000;500000;600000;700000;800000;900000;1000000;1500000;2000000;3000000;4000000;5000000;6500000;8000000;10000000;12500000;15000000;20000000;25000000;30000000;35000000;40000000;55000000;70000000;80000000;90000000;110000000;130000000;160000000;190000000;220000000;250000000;280000000;310000000;340000000;400000000})</f>
        <v>5000000</v>
      </c>
      <c r="J1509" s="7" t="n">
        <f aca="false">I1509*S1509*T1509*U1509</f>
        <v>7011000</v>
      </c>
      <c r="K1509" s="3"/>
      <c r="L1509" s="3"/>
      <c r="M1509" s="3"/>
      <c r="N1509" s="9" t="n">
        <v>0</v>
      </c>
      <c r="O1509" s="4" t="n">
        <v>0</v>
      </c>
      <c r="P1509" s="5" t="n">
        <f aca="false">IF(COUNTIF([1]Base_Jugadores!J$2:J$500,B1509)&gt;0,1,0)</f>
        <v>0</v>
      </c>
      <c r="Q1509" s="10" t="b">
        <f aca="false">--(COUNTIFS(
   [1]Fichajes_Realizados!A$2:A$5000,A1509,
   [1]Fichajes_Realizados!G$2:G$5000,$X$3
)&gt;0)</f>
        <v>0</v>
      </c>
      <c r="R1509" s="5" t="n">
        <f aca="false">_xlfn.XLOOKUP(C1509, [1]Estado_Equipos!A$2:A$500, [1]Estado_Equipos!J$2:J$500, "")</f>
        <v>76</v>
      </c>
      <c r="S1509" s="5" t="n">
        <f aca="false">IF(H1509&lt;=16,1.45,
IF(H1509&gt;=41,0.3,
CHOOSE(ROUNDDOWN((H1509-16)/2,0)+1,
1.45,1.38,1.3,1.23,1.17,1.15,1.12,1.05,0.95,0.8,0.6,0.4,0.3)))</f>
        <v>1.23</v>
      </c>
      <c r="T1509" s="5" t="n">
        <f aca="false">CHOOSE(N1509+1,1.2,1,0.85,0.7)</f>
        <v>1.2</v>
      </c>
      <c r="U1509" s="5" t="n">
        <f aca="false">IF(F1509="PO",0.6,
IF(F1509="CT",0.75,
IF(F1509="LI",0.8,
IF(F1509="LD",0.8,
IF(F1509="MCD",0.85,
IF(F1509="MC",0.95,
IF(F1509="MO",1.05,
IF(F1509="EI",1.1,
IF(F1509="ED",1.1,
IF(F1509="SD",1.15,
IF(F1509="DC",1.2,0)))))))))))</f>
        <v>0.95</v>
      </c>
    </row>
    <row r="1510" customFormat="false" ht="16.4" hidden="false" customHeight="false" outlineLevel="0" collapsed="false">
      <c r="A1510" s="1" t="n">
        <v>1509</v>
      </c>
      <c r="B1510" s="5" t="str">
        <f aca="false">[1]Base_Jugadores!B1510</f>
        <v>Tommaso Baldanzi</v>
      </c>
      <c r="C1510" s="5" t="str">
        <f aca="false">IFERROR(
   _xlfn.XLOOKUP(VALUE(A1510),[1]Fichajes_Realizados!A$2:A$50000,[1]Fichajes_Realizados!D$2:D$50000,,0,-1),
   _xlfn.XLOOKUP(VALUE(A1510),[1]Base_Jugadores!A$2:A$50000,[1]Base_Jugadores!C$2:C$50000)
)</f>
        <v>AS Roma</v>
      </c>
      <c r="D1510" s="5" t="str">
        <f aca="false">[1]Base_Jugadores!D1510</f>
        <v>Italia</v>
      </c>
      <c r="E1510" s="3"/>
      <c r="F1510" s="5" t="str">
        <f aca="false">[1]Base_Jugadores!E1510</f>
        <v>MO</v>
      </c>
      <c r="G1510" s="5" t="n">
        <f aca="false">[1]Base_Jugadores!F1510</f>
        <v>76</v>
      </c>
      <c r="H1510" s="5" t="n">
        <f aca="false">[1]Base_Jugadores!G1510</f>
        <v>22</v>
      </c>
      <c r="I1510" s="7" t="n">
        <f aca="false" t="array" ref="I1510:I1510">_xlfn.XLOOKUP(G1510,{55;56;57;58;59;60;61;62;63;64;65;66;67;68;69;70;71;72;73;74;75;76;77;78;79;80;81;82;83;84;85;86;87;88;89;90;91;92;93;94;95;96;97;98;99},{100000;130000;160000;190000;220000;250000;300000;350000;400000;450000;500000;600000;700000;800000;900000;1000000;1500000;2000000;3000000;4000000;5000000;6500000;8000000;10000000;12500000;15000000;20000000;25000000;30000000;35000000;40000000;55000000;70000000;80000000;90000000;110000000;130000000;160000000;190000000;220000000;250000000;280000000;310000000;340000000;400000000})</f>
        <v>6500000</v>
      </c>
      <c r="J1510" s="7" t="n">
        <f aca="false">I1510*S1510*T1510*U1510</f>
        <v>10073700</v>
      </c>
      <c r="K1510" s="3"/>
      <c r="L1510" s="3"/>
      <c r="M1510" s="3"/>
      <c r="N1510" s="9" t="n">
        <v>0</v>
      </c>
      <c r="O1510" s="4" t="n">
        <v>0</v>
      </c>
      <c r="P1510" s="5" t="n">
        <f aca="false">IF(COUNTIF([1]Base_Jugadores!J$2:J$500,B1510)&gt;0,1,0)</f>
        <v>0</v>
      </c>
      <c r="Q1510" s="10" t="b">
        <f aca="false">--(COUNTIFS(
   [1]Fichajes_Realizados!A$2:A$5000,A1510,
   [1]Fichajes_Realizados!G$2:G$5000,$X$3
)&gt;0)</f>
        <v>0</v>
      </c>
      <c r="R1510" s="5" t="n">
        <f aca="false">_xlfn.XLOOKUP(C1510, [1]Estado_Equipos!A$2:A$500, [1]Estado_Equipos!J$2:J$500, "")</f>
        <v>76</v>
      </c>
      <c r="S1510" s="5" t="n">
        <f aca="false">IF(H1510&lt;=16,1.45,
IF(H1510&gt;=41,0.3,
CHOOSE(ROUNDDOWN((H1510-16)/2,0)+1,
1.45,1.38,1.3,1.23,1.17,1.15,1.12,1.05,0.95,0.8,0.6,0.4,0.3)))</f>
        <v>1.23</v>
      </c>
      <c r="T1510" s="5" t="n">
        <f aca="false">CHOOSE(N1510+1,1.2,1,0.85,0.7)</f>
        <v>1.2</v>
      </c>
      <c r="U1510" s="5" t="n">
        <f aca="false">IF(F1510="PO",0.6,
IF(F1510="CT",0.75,
IF(F1510="LI",0.8,
IF(F1510="LD",0.8,
IF(F1510="MCD",0.85,
IF(F1510="MC",0.95,
IF(F1510="MO",1.05,
IF(F1510="EI",1.1,
IF(F1510="ED",1.1,
IF(F1510="SD",1.15,
IF(F1510="DC",1.2,0)))))))))))</f>
        <v>1.05</v>
      </c>
    </row>
    <row r="1511" customFormat="false" ht="16.4" hidden="false" customHeight="false" outlineLevel="0" collapsed="false">
      <c r="A1511" s="1" t="n">
        <v>1510</v>
      </c>
      <c r="B1511" s="5" t="str">
        <f aca="false">[1]Base_Jugadores!B1511</f>
        <v>Lorenzo Pellegrini</v>
      </c>
      <c r="C1511" s="5" t="str">
        <f aca="false">IFERROR(
   _xlfn.XLOOKUP(VALUE(A1511),[1]Fichajes_Realizados!A$2:A$50000,[1]Fichajes_Realizados!D$2:D$50000,,0,-1),
   _xlfn.XLOOKUP(VALUE(A1511),[1]Base_Jugadores!A$2:A$50000,[1]Base_Jugadores!C$2:C$50000)
)</f>
        <v>AS Roma</v>
      </c>
      <c r="D1511" s="5" t="str">
        <f aca="false">[1]Base_Jugadores!D1511</f>
        <v>Italia</v>
      </c>
      <c r="E1511" s="3"/>
      <c r="F1511" s="5" t="str">
        <f aca="false">[1]Base_Jugadores!E1511</f>
        <v>MO</v>
      </c>
      <c r="G1511" s="5" t="n">
        <f aca="false">[1]Base_Jugadores!F1511</f>
        <v>81</v>
      </c>
      <c r="H1511" s="5" t="n">
        <f aca="false">[1]Base_Jugadores!G1511</f>
        <v>29</v>
      </c>
      <c r="I1511" s="7" t="n">
        <f aca="false" t="array" ref="I1511:I1511">_xlfn.XLOOKUP(G1511,{55;56;57;58;59;60;61;62;63;64;65;66;67;68;69;70;71;72;73;74;75;76;77;78;79;80;81;82;83;84;85;86;87;88;89;90;91;92;93;94;95;96;97;98;99},{100000;130000;160000;190000;220000;250000;300000;350000;400000;450000;500000;600000;700000;800000;900000;1000000;1500000;2000000;3000000;4000000;5000000;6500000;8000000;10000000;12500000;15000000;20000000;25000000;30000000;35000000;40000000;55000000;70000000;80000000;90000000;110000000;130000000;160000000;190000000;220000000;250000000;280000000;310000000;340000000;400000000})</f>
        <v>20000000</v>
      </c>
      <c r="J1511" s="7" t="n">
        <f aca="false">I1511*S1511*T1511*U1511</f>
        <v>28224000</v>
      </c>
      <c r="K1511" s="3"/>
      <c r="L1511" s="3"/>
      <c r="M1511" s="3"/>
      <c r="N1511" s="9" t="n">
        <v>0</v>
      </c>
      <c r="O1511" s="4" t="n">
        <v>0</v>
      </c>
      <c r="P1511" s="5" t="n">
        <f aca="false">IF(COUNTIF([1]Base_Jugadores!J$2:J$500,B1511)&gt;0,1,0)</f>
        <v>0</v>
      </c>
      <c r="Q1511" s="10" t="b">
        <f aca="false">--(COUNTIFS(
   [1]Fichajes_Realizados!A$2:A$5000,A1511,
   [1]Fichajes_Realizados!G$2:G$5000,$X$3
)&gt;0)</f>
        <v>0</v>
      </c>
      <c r="R1511" s="5" t="n">
        <f aca="false">_xlfn.XLOOKUP(C1511, [1]Estado_Equipos!A$2:A$500, [1]Estado_Equipos!J$2:J$500, "")</f>
        <v>76</v>
      </c>
      <c r="S1511" s="5" t="n">
        <f aca="false">IF(H1511&lt;=16,1.45,
IF(H1511&gt;=41,0.3,
CHOOSE(ROUNDDOWN((H1511-16)/2,0)+1,
1.45,1.38,1.3,1.23,1.17,1.15,1.12,1.05,0.95,0.8,0.6,0.4,0.3)))</f>
        <v>1.12</v>
      </c>
      <c r="T1511" s="5" t="n">
        <f aca="false">CHOOSE(N1511+1,1.2,1,0.85,0.7)</f>
        <v>1.2</v>
      </c>
      <c r="U1511" s="5" t="n">
        <f aca="false">IF(F1511="PO",0.6,
IF(F1511="CT",0.75,
IF(F1511="LI",0.8,
IF(F1511="LD",0.8,
IF(F1511="MCD",0.85,
IF(F1511="MC",0.95,
IF(F1511="MO",1.05,
IF(F1511="EI",1.1,
IF(F1511="ED",1.1,
IF(F1511="SD",1.15,
IF(F1511="DC",1.2,0)))))))))))</f>
        <v>1.05</v>
      </c>
    </row>
    <row r="1512" customFormat="false" ht="16.4" hidden="false" customHeight="false" outlineLevel="0" collapsed="false">
      <c r="A1512" s="1" t="n">
        <v>1511</v>
      </c>
      <c r="B1512" s="5" t="str">
        <f aca="false">[1]Base_Jugadores!B1512</f>
        <v>El Shaarawy</v>
      </c>
      <c r="C1512" s="5" t="str">
        <f aca="false">IFERROR(
   _xlfn.XLOOKUP(VALUE(A1512),[1]Fichajes_Realizados!A$2:A$50000,[1]Fichajes_Realizados!D$2:D$50000,,0,-1),
   _xlfn.XLOOKUP(VALUE(A1512),[1]Base_Jugadores!A$2:A$50000,[1]Base_Jugadores!C$2:C$50000)
)</f>
        <v>AS Roma</v>
      </c>
      <c r="D1512" s="5" t="str">
        <f aca="false">[1]Base_Jugadores!D1512</f>
        <v>Italia</v>
      </c>
      <c r="E1512" s="3"/>
      <c r="F1512" s="5" t="str">
        <f aca="false">[1]Base_Jugadores!E1512</f>
        <v>EI</v>
      </c>
      <c r="G1512" s="5" t="n">
        <f aca="false">[1]Base_Jugadores!F1512</f>
        <v>79</v>
      </c>
      <c r="H1512" s="5" t="n">
        <f aca="false">[1]Base_Jugadores!G1512</f>
        <v>33</v>
      </c>
      <c r="I1512" s="7" t="n">
        <f aca="false" t="array" ref="I1512:I1512">_xlfn.XLOOKUP(G1512,{55;56;57;58;59;60;61;62;63;64;65;66;67;68;69;70;71;72;73;74;75;76;77;78;79;80;81;82;83;84;85;86;87;88;89;90;91;92;93;94;95;96;97;98;99},{100000;130000;160000;190000;220000;250000;300000;350000;400000;450000;500000;600000;700000;800000;900000;1000000;1500000;2000000;3000000;4000000;5000000;6500000;8000000;10000000;12500000;15000000;20000000;25000000;30000000;35000000;40000000;55000000;70000000;80000000;90000000;110000000;130000000;160000000;190000000;220000000;250000000;280000000;310000000;340000000;400000000})</f>
        <v>12500000</v>
      </c>
      <c r="J1512" s="7" t="n">
        <f aca="false">I1512*S1512*T1512*U1512</f>
        <v>15675000</v>
      </c>
      <c r="K1512" s="3"/>
      <c r="L1512" s="3"/>
      <c r="M1512" s="3"/>
      <c r="N1512" s="9" t="n">
        <v>0</v>
      </c>
      <c r="O1512" s="4" t="n">
        <v>0</v>
      </c>
      <c r="P1512" s="5" t="n">
        <f aca="false">IF(COUNTIF([1]Base_Jugadores!J$2:J$500,B1512)&gt;0,1,0)</f>
        <v>0</v>
      </c>
      <c r="Q1512" s="10" t="b">
        <f aca="false">--(COUNTIFS(
   [1]Fichajes_Realizados!A$2:A$5000,A1512,
   [1]Fichajes_Realizados!G$2:G$5000,$X$3
)&gt;0)</f>
        <v>0</v>
      </c>
      <c r="R1512" s="5" t="n">
        <f aca="false">_xlfn.XLOOKUP(C1512, [1]Estado_Equipos!A$2:A$500, [1]Estado_Equipos!J$2:J$500, "")</f>
        <v>76</v>
      </c>
      <c r="S1512" s="5" t="n">
        <f aca="false">IF(H1512&lt;=16,1.45,
IF(H1512&gt;=41,0.3,
CHOOSE(ROUNDDOWN((H1512-16)/2,0)+1,
1.45,1.38,1.3,1.23,1.17,1.15,1.12,1.05,0.95,0.8,0.6,0.4,0.3)))</f>
        <v>0.95</v>
      </c>
      <c r="T1512" s="5" t="n">
        <f aca="false">CHOOSE(N1512+1,1.2,1,0.85,0.7)</f>
        <v>1.2</v>
      </c>
      <c r="U1512" s="5" t="n">
        <f aca="false">IF(F1512="PO",0.6,
IF(F1512="CT",0.75,
IF(F1512="LI",0.8,
IF(F1512="LD",0.8,
IF(F1512="MCD",0.85,
IF(F1512="MC",0.95,
IF(F1512="MO",1.05,
IF(F1512="EI",1.1,
IF(F1512="ED",1.1,
IF(F1512="SD",1.15,
IF(F1512="DC",1.2,0)))))))))))</f>
        <v>1.1</v>
      </c>
    </row>
    <row r="1513" customFormat="false" ht="16.4" hidden="false" customHeight="false" outlineLevel="0" collapsed="false">
      <c r="A1513" s="1" t="n">
        <v>1512</v>
      </c>
      <c r="B1513" s="5" t="str">
        <f aca="false">[1]Base_Jugadores!B1513</f>
        <v>Matías Soulé</v>
      </c>
      <c r="C1513" s="5" t="str">
        <f aca="false">IFERROR(
   _xlfn.XLOOKUP(VALUE(A1513),[1]Fichajes_Realizados!A$2:A$50000,[1]Fichajes_Realizados!D$2:D$50000,,0,-1),
   _xlfn.XLOOKUP(VALUE(A1513),[1]Base_Jugadores!A$2:A$50000,[1]Base_Jugadores!C$2:C$50000)
)</f>
        <v>AS Roma</v>
      </c>
      <c r="D1513" s="5" t="str">
        <f aca="false">[1]Base_Jugadores!D1513</f>
        <v>Argentina</v>
      </c>
      <c r="E1513" s="3"/>
      <c r="F1513" s="5" t="str">
        <f aca="false">[1]Base_Jugadores!E1513</f>
        <v>ED</v>
      </c>
      <c r="G1513" s="5" t="n">
        <f aca="false">[1]Base_Jugadores!F1513</f>
        <v>78</v>
      </c>
      <c r="H1513" s="5" t="n">
        <f aca="false">[1]Base_Jugadores!G1513</f>
        <v>22</v>
      </c>
      <c r="I1513" s="7" t="n">
        <f aca="false" t="array" ref="I1513:I1513">_xlfn.XLOOKUP(G1513,{55;56;57;58;59;60;61;62;63;64;65;66;67;68;69;70;71;72;73;74;75;76;77;78;79;80;81;82;83;84;85;86;87;88;89;90;91;92;93;94;95;96;97;98;99},{100000;130000;160000;190000;220000;250000;300000;350000;400000;450000;500000;600000;700000;800000;900000;1000000;1500000;2000000;3000000;4000000;5000000;6500000;8000000;10000000;12500000;15000000;20000000;25000000;30000000;35000000;40000000;55000000;70000000;80000000;90000000;110000000;130000000;160000000;190000000;220000000;250000000;280000000;310000000;340000000;400000000})</f>
        <v>10000000</v>
      </c>
      <c r="J1513" s="7" t="n">
        <f aca="false">I1513*S1513*T1513*U1513</f>
        <v>16236000</v>
      </c>
      <c r="K1513" s="3"/>
      <c r="L1513" s="3"/>
      <c r="M1513" s="3"/>
      <c r="N1513" s="9" t="n">
        <v>0</v>
      </c>
      <c r="O1513" s="4" t="n">
        <v>0</v>
      </c>
      <c r="P1513" s="5" t="n">
        <f aca="false">IF(COUNTIF([1]Base_Jugadores!J$2:J$500,B1513)&gt;0,1,0)</f>
        <v>0</v>
      </c>
      <c r="Q1513" s="10" t="b">
        <f aca="false">--(COUNTIFS(
   [1]Fichajes_Realizados!A$2:A$5000,A1513,
   [1]Fichajes_Realizados!G$2:G$5000,$X$3
)&gt;0)</f>
        <v>0</v>
      </c>
      <c r="R1513" s="5" t="n">
        <f aca="false">_xlfn.XLOOKUP(C1513, [1]Estado_Equipos!A$2:A$500, [1]Estado_Equipos!J$2:J$500, "")</f>
        <v>76</v>
      </c>
      <c r="S1513" s="5" t="n">
        <f aca="false">IF(H1513&lt;=16,1.45,
IF(H1513&gt;=41,0.3,
CHOOSE(ROUNDDOWN((H1513-16)/2,0)+1,
1.45,1.38,1.3,1.23,1.17,1.15,1.12,1.05,0.95,0.8,0.6,0.4,0.3)))</f>
        <v>1.23</v>
      </c>
      <c r="T1513" s="5" t="n">
        <f aca="false">CHOOSE(N1513+1,1.2,1,0.85,0.7)</f>
        <v>1.2</v>
      </c>
      <c r="U1513" s="5" t="n">
        <f aca="false">IF(F1513="PO",0.6,
IF(F1513="CT",0.75,
IF(F1513="LI",0.8,
IF(F1513="LD",0.8,
IF(F1513="MCD",0.85,
IF(F1513="MC",0.95,
IF(F1513="MO",1.05,
IF(F1513="EI",1.1,
IF(F1513="ED",1.1,
IF(F1513="SD",1.15,
IF(F1513="DC",1.2,0)))))))))))</f>
        <v>1.1</v>
      </c>
    </row>
    <row r="1514" customFormat="false" ht="16.4" hidden="false" customHeight="false" outlineLevel="0" collapsed="false">
      <c r="A1514" s="1" t="n">
        <v>1513</v>
      </c>
      <c r="B1514" s="5" t="str">
        <f aca="false">[1]Base_Jugadores!B1514</f>
        <v>Leon Bailey</v>
      </c>
      <c r="C1514" s="5" t="str">
        <f aca="false">IFERROR(
   _xlfn.XLOOKUP(VALUE(A1514),[1]Fichajes_Realizados!A$2:A$50000,[1]Fichajes_Realizados!D$2:D$50000,,0,-1),
   _xlfn.XLOOKUP(VALUE(A1514),[1]Base_Jugadores!A$2:A$50000,[1]Base_Jugadores!C$2:C$50000)
)</f>
        <v>AS Roma</v>
      </c>
      <c r="D1514" s="5" t="str">
        <f aca="false">[1]Base_Jugadores!D1514</f>
        <v>Jamaica</v>
      </c>
      <c r="E1514" s="3"/>
      <c r="F1514" s="5" t="str">
        <f aca="false">[1]Base_Jugadores!E1514</f>
        <v>ED</v>
      </c>
      <c r="G1514" s="5" t="n">
        <f aca="false">[1]Base_Jugadores!F1514</f>
        <v>81</v>
      </c>
      <c r="H1514" s="5" t="n">
        <f aca="false">[1]Base_Jugadores!G1514</f>
        <v>28</v>
      </c>
      <c r="I1514" s="7" t="n">
        <f aca="false" t="array" ref="I1514:I1514">_xlfn.XLOOKUP(G1514,{55;56;57;58;59;60;61;62;63;64;65;66;67;68;69;70;71;72;73;74;75;76;77;78;79;80;81;82;83;84;85;86;87;88;89;90;91;92;93;94;95;96;97;98;99},{100000;130000;160000;190000;220000;250000;300000;350000;400000;450000;500000;600000;700000;800000;900000;1000000;1500000;2000000;3000000;4000000;5000000;6500000;8000000;10000000;12500000;15000000;20000000;25000000;30000000;35000000;40000000;55000000;70000000;80000000;90000000;110000000;130000000;160000000;190000000;220000000;250000000;280000000;310000000;340000000;400000000})</f>
        <v>20000000</v>
      </c>
      <c r="J1514" s="7" t="n">
        <f aca="false">I1514*S1514*T1514*U1514</f>
        <v>29568000</v>
      </c>
      <c r="K1514" s="3"/>
      <c r="L1514" s="3"/>
      <c r="M1514" s="3"/>
      <c r="N1514" s="9" t="n">
        <v>0</v>
      </c>
      <c r="O1514" s="4" t="n">
        <v>0</v>
      </c>
      <c r="P1514" s="5" t="n">
        <f aca="false">IF(COUNTIF([1]Base_Jugadores!J$2:J$500,B1514)&gt;0,1,0)</f>
        <v>0</v>
      </c>
      <c r="Q1514" s="10" t="b">
        <f aca="false">--(COUNTIFS(
   [1]Fichajes_Realizados!A$2:A$5000,A1514,
   [1]Fichajes_Realizados!G$2:G$5000,$X$3
)&gt;0)</f>
        <v>0</v>
      </c>
      <c r="R1514" s="5" t="n">
        <f aca="false">_xlfn.XLOOKUP(C1514, [1]Estado_Equipos!A$2:A$500, [1]Estado_Equipos!J$2:J$500, "")</f>
        <v>76</v>
      </c>
      <c r="S1514" s="5" t="n">
        <f aca="false">IF(H1514&lt;=16,1.45,
IF(H1514&gt;=41,0.3,
CHOOSE(ROUNDDOWN((H1514-16)/2,0)+1,
1.45,1.38,1.3,1.23,1.17,1.15,1.12,1.05,0.95,0.8,0.6,0.4,0.3)))</f>
        <v>1.12</v>
      </c>
      <c r="T1514" s="5" t="n">
        <f aca="false">CHOOSE(N1514+1,1.2,1,0.85,0.7)</f>
        <v>1.2</v>
      </c>
      <c r="U1514" s="5" t="n">
        <f aca="false">IF(F1514="PO",0.6,
IF(F1514="CT",0.75,
IF(F1514="LI",0.8,
IF(F1514="LD",0.8,
IF(F1514="MCD",0.85,
IF(F1514="MC",0.95,
IF(F1514="MO",1.05,
IF(F1514="EI",1.1,
IF(F1514="ED",1.1,
IF(F1514="SD",1.15,
IF(F1514="DC",1.2,0)))))))))))</f>
        <v>1.1</v>
      </c>
    </row>
    <row r="1515" customFormat="false" ht="16.4" hidden="false" customHeight="false" outlineLevel="0" collapsed="false">
      <c r="A1515" s="1" t="n">
        <v>1514</v>
      </c>
      <c r="B1515" s="5" t="str">
        <f aca="false">[1]Base_Jugadores!B1515</f>
        <v>Paulo Dybala</v>
      </c>
      <c r="C1515" s="5" t="str">
        <f aca="false">IFERROR(
   _xlfn.XLOOKUP(VALUE(A1515),[1]Fichajes_Realizados!A$2:A$50000,[1]Fichajes_Realizados!D$2:D$50000,,0,-1),
   _xlfn.XLOOKUP(VALUE(A1515),[1]Base_Jugadores!A$2:A$50000,[1]Base_Jugadores!C$2:C$50000)
)</f>
        <v>AS Roma</v>
      </c>
      <c r="D1515" s="5" t="str">
        <f aca="false">[1]Base_Jugadores!D1515</f>
        <v>Argentina</v>
      </c>
      <c r="E1515" s="3"/>
      <c r="F1515" s="5" t="str">
        <f aca="false">[1]Base_Jugadores!E1515</f>
        <v>SD</v>
      </c>
      <c r="G1515" s="5" t="n">
        <f aca="false">[1]Base_Jugadores!F1515</f>
        <v>87</v>
      </c>
      <c r="H1515" s="5" t="n">
        <f aca="false">[1]Base_Jugadores!G1515</f>
        <v>32</v>
      </c>
      <c r="I1515" s="7" t="n">
        <f aca="false" t="array" ref="I1515:I1515">_xlfn.XLOOKUP(G1515,{55;56;57;58;59;60;61;62;63;64;65;66;67;68;69;70;71;72;73;74;75;76;77;78;79;80;81;82;83;84;85;86;87;88;89;90;91;92;93;94;95;96;97;98;99},{100000;130000;160000;190000;220000;250000;300000;350000;400000;450000;500000;600000;700000;800000;900000;1000000;1500000;2000000;3000000;4000000;5000000;6500000;8000000;10000000;12500000;15000000;20000000;25000000;30000000;35000000;40000000;55000000;70000000;80000000;90000000;110000000;130000000;160000000;190000000;220000000;250000000;280000000;310000000;340000000;400000000})</f>
        <v>70000000</v>
      </c>
      <c r="J1515" s="7" t="n">
        <f aca="false">I1515*S1515*T1515*U1515</f>
        <v>91770000</v>
      </c>
      <c r="K1515" s="3"/>
      <c r="L1515" s="3"/>
      <c r="M1515" s="3"/>
      <c r="N1515" s="9" t="n">
        <v>0</v>
      </c>
      <c r="O1515" s="4" t="n">
        <v>0</v>
      </c>
      <c r="P1515" s="5" t="n">
        <f aca="false">IF(COUNTIF([1]Base_Jugadores!J$2:J$500,B1515)&gt;0,1,0)</f>
        <v>0</v>
      </c>
      <c r="Q1515" s="10" t="b">
        <f aca="false">--(COUNTIFS(
   [1]Fichajes_Realizados!A$2:A$5000,A1515,
   [1]Fichajes_Realizados!G$2:G$5000,$X$3
)&gt;0)</f>
        <v>0</v>
      </c>
      <c r="R1515" s="5" t="n">
        <f aca="false">_xlfn.XLOOKUP(C1515, [1]Estado_Equipos!A$2:A$500, [1]Estado_Equipos!J$2:J$500, "")</f>
        <v>76</v>
      </c>
      <c r="S1515" s="5" t="n">
        <f aca="false">IF(H1515&lt;=16,1.45,
IF(H1515&gt;=41,0.3,
CHOOSE(ROUNDDOWN((H1515-16)/2,0)+1,
1.45,1.38,1.3,1.23,1.17,1.15,1.12,1.05,0.95,0.8,0.6,0.4,0.3)))</f>
        <v>0.95</v>
      </c>
      <c r="T1515" s="5" t="n">
        <f aca="false">CHOOSE(N1515+1,1.2,1,0.85,0.7)</f>
        <v>1.2</v>
      </c>
      <c r="U1515" s="5" t="n">
        <f aca="false">IF(F1515="PO",0.6,
IF(F1515="CT",0.75,
IF(F1515="LI",0.8,
IF(F1515="LD",0.8,
IF(F1515="MCD",0.85,
IF(F1515="MC",0.95,
IF(F1515="MO",1.05,
IF(F1515="EI",1.1,
IF(F1515="ED",1.1,
IF(F1515="SD",1.15,
IF(F1515="DC",1.2,0)))))))))))</f>
        <v>1.15</v>
      </c>
    </row>
    <row r="1516" customFormat="false" ht="16.4" hidden="false" customHeight="false" outlineLevel="0" collapsed="false">
      <c r="A1516" s="1" t="n">
        <v>1515</v>
      </c>
      <c r="B1516" s="5" t="str">
        <f aca="false">[1]Base_Jugadores!B1516</f>
        <v>Artem Dovbyk</v>
      </c>
      <c r="C1516" s="5" t="str">
        <f aca="false">IFERROR(
   _xlfn.XLOOKUP(VALUE(A1516),[1]Fichajes_Realizados!A$2:A$50000,[1]Fichajes_Realizados!D$2:D$50000,,0,-1),
   _xlfn.XLOOKUP(VALUE(A1516),[1]Base_Jugadores!A$2:A$50000,[1]Base_Jugadores!C$2:C$50000)
)</f>
        <v>AS Roma</v>
      </c>
      <c r="D1516" s="5" t="str">
        <f aca="false">[1]Base_Jugadores!D1516</f>
        <v>Ucrania</v>
      </c>
      <c r="E1516" s="3"/>
      <c r="F1516" s="5" t="str">
        <f aca="false">[1]Base_Jugadores!E1516</f>
        <v>DC</v>
      </c>
      <c r="G1516" s="5" t="n">
        <f aca="false">[1]Base_Jugadores!F1516</f>
        <v>83</v>
      </c>
      <c r="H1516" s="5" t="n">
        <f aca="false">[1]Base_Jugadores!G1516</f>
        <v>28</v>
      </c>
      <c r="I1516" s="7" t="n">
        <f aca="false" t="array" ref="I1516:I1516">_xlfn.XLOOKUP(G1516,{55;56;57;58;59;60;61;62;63;64;65;66;67;68;69;70;71;72;73;74;75;76;77;78;79;80;81;82;83;84;85;86;87;88;89;90;91;92;93;94;95;96;97;98;99},{100000;130000;160000;190000;220000;250000;300000;350000;400000;450000;500000;600000;700000;800000;900000;1000000;1500000;2000000;3000000;4000000;5000000;6500000;8000000;10000000;12500000;15000000;20000000;25000000;30000000;35000000;40000000;55000000;70000000;80000000;90000000;110000000;130000000;160000000;190000000;220000000;250000000;280000000;310000000;340000000;400000000})</f>
        <v>30000000</v>
      </c>
      <c r="J1516" s="7" t="n">
        <f aca="false">I1516*S1516*T1516*U1516</f>
        <v>48384000</v>
      </c>
      <c r="K1516" s="3"/>
      <c r="L1516" s="3"/>
      <c r="M1516" s="3"/>
      <c r="N1516" s="9" t="n">
        <v>0</v>
      </c>
      <c r="O1516" s="4" t="n">
        <v>0</v>
      </c>
      <c r="P1516" s="5" t="n">
        <f aca="false">IF(COUNTIF([1]Base_Jugadores!J$2:J$500,B1516)&gt;0,1,0)</f>
        <v>0</v>
      </c>
      <c r="Q1516" s="10" t="b">
        <f aca="false">--(COUNTIFS(
   [1]Fichajes_Realizados!A$2:A$5000,A1516,
   [1]Fichajes_Realizados!G$2:G$5000,$X$3
)&gt;0)</f>
        <v>0</v>
      </c>
      <c r="R1516" s="5" t="n">
        <f aca="false">_xlfn.XLOOKUP(C1516, [1]Estado_Equipos!A$2:A$500, [1]Estado_Equipos!J$2:J$500, "")</f>
        <v>76</v>
      </c>
      <c r="S1516" s="5" t="n">
        <f aca="false">IF(H1516&lt;=16,1.45,
IF(H1516&gt;=41,0.3,
CHOOSE(ROUNDDOWN((H1516-16)/2,0)+1,
1.45,1.38,1.3,1.23,1.17,1.15,1.12,1.05,0.95,0.8,0.6,0.4,0.3)))</f>
        <v>1.12</v>
      </c>
      <c r="T1516" s="5" t="n">
        <f aca="false">CHOOSE(N1516+1,1.2,1,0.85,0.7)</f>
        <v>1.2</v>
      </c>
      <c r="U1516" s="5" t="n">
        <f aca="false">IF(F1516="PO",0.6,
IF(F1516="CT",0.75,
IF(F1516="LI",0.8,
IF(F1516="LD",0.8,
IF(F1516="MCD",0.85,
IF(F1516="MC",0.95,
IF(F1516="MO",1.05,
IF(F1516="EI",1.1,
IF(F1516="ED",1.1,
IF(F1516="SD",1.15,
IF(F1516="DC",1.2,0)))))))))))</f>
        <v>1.2</v>
      </c>
    </row>
    <row r="1517" customFormat="false" ht="16.4" hidden="false" customHeight="false" outlineLevel="0" collapsed="false">
      <c r="A1517" s="1" t="n">
        <v>1516</v>
      </c>
      <c r="B1517" s="5" t="str">
        <f aca="false">[1]Base_Jugadores!B1517</f>
        <v>Evan Ferguson</v>
      </c>
      <c r="C1517" s="5" t="str">
        <f aca="false">IFERROR(
   _xlfn.XLOOKUP(VALUE(A1517),[1]Fichajes_Realizados!A$2:A$50000,[1]Fichajes_Realizados!D$2:D$50000,,0,-1),
   _xlfn.XLOOKUP(VALUE(A1517),[1]Base_Jugadores!A$2:A$50000,[1]Base_Jugadores!C$2:C$50000)
)</f>
        <v>AS Roma</v>
      </c>
      <c r="D1517" s="5" t="str">
        <f aca="false">[1]Base_Jugadores!D1517</f>
        <v>Irlanda</v>
      </c>
      <c r="E1517" s="3"/>
      <c r="F1517" s="5" t="str">
        <f aca="false">[1]Base_Jugadores!E1517</f>
        <v>DC</v>
      </c>
      <c r="G1517" s="5" t="n">
        <f aca="false">[1]Base_Jugadores!F1517</f>
        <v>75</v>
      </c>
      <c r="H1517" s="5" t="n">
        <f aca="false">[1]Base_Jugadores!G1517</f>
        <v>21</v>
      </c>
      <c r="I1517" s="7" t="n">
        <f aca="false" t="array" ref="I1517:I1517">_xlfn.XLOOKUP(G1517,{55;56;57;58;59;60;61;62;63;64;65;66;67;68;69;70;71;72;73;74;75;76;77;78;79;80;81;82;83;84;85;86;87;88;89;90;91;92;93;94;95;96;97;98;99},{100000;130000;160000;190000;220000;250000;300000;350000;400000;450000;500000;600000;700000;800000;900000;1000000;1500000;2000000;3000000;4000000;5000000;6500000;8000000;10000000;12500000;15000000;20000000;25000000;30000000;35000000;40000000;55000000;70000000;80000000;90000000;110000000;130000000;160000000;190000000;220000000;250000000;280000000;310000000;340000000;400000000})</f>
        <v>5000000</v>
      </c>
      <c r="J1517" s="7" t="n">
        <f aca="false">I1517*S1517*T1517*U1517</f>
        <v>9360000</v>
      </c>
      <c r="K1517" s="3"/>
      <c r="L1517" s="3"/>
      <c r="M1517" s="3"/>
      <c r="N1517" s="9" t="n">
        <v>0</v>
      </c>
      <c r="O1517" s="4" t="n">
        <v>0</v>
      </c>
      <c r="P1517" s="5" t="n">
        <f aca="false">IF(COUNTIF([1]Base_Jugadores!J$2:J$500,B1517)&gt;0,1,0)</f>
        <v>0</v>
      </c>
      <c r="Q1517" s="10" t="b">
        <f aca="false">--(COUNTIFS(
   [1]Fichajes_Realizados!A$2:A$5000,A1517,
   [1]Fichajes_Realizados!G$2:G$5000,$X$3
)&gt;0)</f>
        <v>0</v>
      </c>
      <c r="R1517" s="5" t="n">
        <f aca="false">_xlfn.XLOOKUP(C1517, [1]Estado_Equipos!A$2:A$500, [1]Estado_Equipos!J$2:J$500, "")</f>
        <v>76</v>
      </c>
      <c r="S1517" s="5" t="n">
        <f aca="false">IF(H1517&lt;=16,1.45,
IF(H1517&gt;=41,0.3,
CHOOSE(ROUNDDOWN((H1517-16)/2,0)+1,
1.45,1.38,1.3,1.23,1.17,1.15,1.12,1.05,0.95,0.8,0.6,0.4,0.3)))</f>
        <v>1.3</v>
      </c>
      <c r="T1517" s="5" t="n">
        <f aca="false">CHOOSE(N1517+1,1.2,1,0.85,0.7)</f>
        <v>1.2</v>
      </c>
      <c r="U1517" s="5" t="n">
        <f aca="false">IF(F1517="PO",0.6,
IF(F1517="CT",0.75,
IF(F1517="LI",0.8,
IF(F1517="LD",0.8,
IF(F1517="MCD",0.85,
IF(F1517="MC",0.95,
IF(F1517="MO",1.05,
IF(F1517="EI",1.1,
IF(F1517="ED",1.1,
IF(F1517="SD",1.15,
IF(F1517="DC",1.2,0)))))))))))</f>
        <v>1.2</v>
      </c>
    </row>
    <row r="1518" customFormat="false" ht="16.4" hidden="false" customHeight="false" outlineLevel="0" collapsed="false">
      <c r="A1518" s="1" t="n">
        <v>1517</v>
      </c>
      <c r="B1518" s="5" t="str">
        <f aca="false">[1]Base_Jugadores!B1518</f>
        <v>Federico Nardin</v>
      </c>
      <c r="C1518" s="5" t="str">
        <f aca="false">IFERROR(
   _xlfn.XLOOKUP(VALUE(A1518),[1]Fichajes_Realizados!A$2:A$50000,[1]Fichajes_Realizados!D$2:D$50000,,0,-1),
   _xlfn.XLOOKUP(VALUE(A1518),[1]Base_Jugadores!A$2:A$50000,[1]Base_Jugadores!C$2:C$50000)
)</f>
        <v>AS Roma</v>
      </c>
      <c r="D1518" s="5" t="str">
        <f aca="false">[1]Base_Jugadores!D1518</f>
        <v>Italia</v>
      </c>
      <c r="E1518" s="3"/>
      <c r="F1518" s="5" t="str">
        <f aca="false">[1]Base_Jugadores!E1518</f>
        <v>CT</v>
      </c>
      <c r="G1518" s="5" t="n">
        <f aca="false">[1]Base_Jugadores!F1518</f>
        <v>56</v>
      </c>
      <c r="H1518" s="5" t="n">
        <f aca="false">[1]Base_Jugadores!G1518</f>
        <v>18</v>
      </c>
      <c r="I1518" s="7" t="n">
        <f aca="false" t="array" ref="I1518:I1518">_xlfn.XLOOKUP(G1518,{55;56;57;58;59;60;61;62;63;64;65;66;67;68;69;70;71;72;73;74;75;76;77;78;79;80;81;82;83;84;85;86;87;88;89;90;91;92;93;94;95;96;97;98;99},{100000;130000;160000;190000;220000;250000;300000;350000;400000;450000;500000;600000;700000;800000;900000;1000000;1500000;2000000;3000000;4000000;5000000;6500000;8000000;10000000;12500000;15000000;20000000;25000000;30000000;35000000;40000000;55000000;70000000;80000000;90000000;110000000;130000000;160000000;190000000;220000000;250000000;280000000;310000000;340000000;400000000})</f>
        <v>130000</v>
      </c>
      <c r="J1518" s="7" t="n">
        <f aca="false">I1518*S1518*T1518*U1518</f>
        <v>161460</v>
      </c>
      <c r="K1518" s="3"/>
      <c r="L1518" s="3"/>
      <c r="M1518" s="3"/>
      <c r="N1518" s="9" t="n">
        <v>0</v>
      </c>
      <c r="O1518" s="4" t="n">
        <v>0</v>
      </c>
      <c r="P1518" s="5" t="n">
        <f aca="false">IF(COUNTIF([1]Base_Jugadores!J$2:J$500,B1518)&gt;0,1,0)</f>
        <v>0</v>
      </c>
      <c r="Q1518" s="10" t="b">
        <f aca="false">--(COUNTIFS(
   [1]Fichajes_Realizados!A$2:A$5000,A1518,
   [1]Fichajes_Realizados!G$2:G$5000,$X$3
)&gt;0)</f>
        <v>0</v>
      </c>
      <c r="R1518" s="5" t="n">
        <f aca="false">_xlfn.XLOOKUP(C1518, [1]Estado_Equipos!A$2:A$500, [1]Estado_Equipos!J$2:J$500, "")</f>
        <v>76</v>
      </c>
      <c r="S1518" s="5" t="n">
        <f aca="false">IF(H1518&lt;=16,1.45,
IF(H1518&gt;=41,0.3,
CHOOSE(ROUNDDOWN((H1518-16)/2,0)+1,
1.45,1.38,1.3,1.23,1.17,1.15,1.12,1.05,0.95,0.8,0.6,0.4,0.3)))</f>
        <v>1.38</v>
      </c>
      <c r="T1518" s="5" t="n">
        <f aca="false">CHOOSE(N1518+1,1.2,1,0.85,0.7)</f>
        <v>1.2</v>
      </c>
      <c r="U1518" s="5" t="n">
        <f aca="false">IF(F1518="PO",0.6,
IF(F1518="CT",0.75,
IF(F1518="LI",0.8,
IF(F1518="LD",0.8,
IF(F1518="MCD",0.85,
IF(F1518="MC",0.95,
IF(F1518="MO",1.05,
IF(F1518="EI",1.1,
IF(F1518="ED",1.1,
IF(F1518="SD",1.15,
IF(F1518="DC",1.2,0)))))))))))</f>
        <v>0.75</v>
      </c>
    </row>
    <row r="1519" customFormat="false" ht="16.4" hidden="false" customHeight="false" outlineLevel="0" collapsed="false">
      <c r="A1519" s="1" t="n">
        <v>1518</v>
      </c>
      <c r="B1519" s="5" t="str">
        <f aca="false">[1]Base_Jugadores!B1519</f>
        <v>Arijanet Murić</v>
      </c>
      <c r="C1519" s="5" t="str">
        <f aca="false">IFERROR(
   _xlfn.XLOOKUP(VALUE(A1519),[1]Fichajes_Realizados!A$2:A$50000,[1]Fichajes_Realizados!D$2:D$50000,,0,-1),
   _xlfn.XLOOKUP(VALUE(A1519),[1]Base_Jugadores!A$2:A$50000,[1]Base_Jugadores!C$2:C$50000)
)</f>
        <v>US Sassuolo</v>
      </c>
      <c r="D1519" s="5" t="str">
        <f aca="false">[1]Base_Jugadores!D1519</f>
        <v>Kosovo</v>
      </c>
      <c r="E1519" s="3"/>
      <c r="F1519" s="5" t="str">
        <f aca="false">[1]Base_Jugadores!E1519</f>
        <v>PO</v>
      </c>
      <c r="G1519" s="5" t="n">
        <f aca="false">[1]Base_Jugadores!F1519</f>
        <v>75</v>
      </c>
      <c r="H1519" s="5" t="n">
        <f aca="false">[1]Base_Jugadores!G1519</f>
        <v>27</v>
      </c>
      <c r="I1519" s="7" t="n">
        <f aca="false" t="array" ref="I1519:I1519">_xlfn.XLOOKUP(G1519,{55;56;57;58;59;60;61;62;63;64;65;66;67;68;69;70;71;72;73;74;75;76;77;78;79;80;81;82;83;84;85;86;87;88;89;90;91;92;93;94;95;96;97;98;99},{100000;130000;160000;190000;220000;250000;300000;350000;400000;450000;500000;600000;700000;800000;900000;1000000;1500000;2000000;3000000;4000000;5000000;6500000;8000000;10000000;12500000;15000000;20000000;25000000;30000000;35000000;40000000;55000000;70000000;80000000;90000000;110000000;130000000;160000000;190000000;220000000;250000000;280000000;310000000;340000000;400000000})</f>
        <v>5000000</v>
      </c>
      <c r="J1519" s="7" t="n">
        <f aca="false">I1519*S1519*T1519*U1519</f>
        <v>4140000</v>
      </c>
      <c r="K1519" s="3"/>
      <c r="L1519" s="3"/>
      <c r="M1519" s="3"/>
      <c r="N1519" s="9" t="n">
        <v>0</v>
      </c>
      <c r="O1519" s="4" t="n">
        <v>0</v>
      </c>
      <c r="P1519" s="5" t="n">
        <f aca="false">IF(COUNTIF([1]Base_Jugadores!J$2:J$500,B1519)&gt;0,1,0)</f>
        <v>0</v>
      </c>
      <c r="Q1519" s="10" t="b">
        <f aca="false">--(COUNTIFS(
   [1]Fichajes_Realizados!A$2:A$5000,A1519,
   [1]Fichajes_Realizados!G$2:G$5000,$X$3
)&gt;0)</f>
        <v>0</v>
      </c>
      <c r="R1519" s="5" t="n">
        <f aca="false">_xlfn.XLOOKUP(C1519, [1]Estado_Equipos!A$2:A$500, [1]Estado_Equipos!J$2:J$500, "")</f>
        <v>71</v>
      </c>
      <c r="S1519" s="5" t="n">
        <f aca="false">IF(H1519&lt;=16,1.45,
IF(H1519&gt;=41,0.3,
CHOOSE(ROUNDDOWN((H1519-16)/2,0)+1,
1.45,1.38,1.3,1.23,1.17,1.15,1.12,1.05,0.95,0.8,0.6,0.4,0.3)))</f>
        <v>1.15</v>
      </c>
      <c r="T1519" s="5" t="n">
        <f aca="false">CHOOSE(N1519+1,1.2,1,0.85,0.7)</f>
        <v>1.2</v>
      </c>
      <c r="U1519" s="5" t="n">
        <f aca="false">IF(F1519="PO",0.6,
IF(F1519="CT",0.75,
IF(F1519="LI",0.8,
IF(F1519="LD",0.8,
IF(F1519="MCD",0.85,
IF(F1519="MC",0.95,
IF(F1519="MO",1.05,
IF(F1519="EI",1.1,
IF(F1519="ED",1.1,
IF(F1519="SD",1.15,
IF(F1519="DC",1.2,0)))))))))))</f>
        <v>0.6</v>
      </c>
    </row>
    <row r="1520" customFormat="false" ht="16.4" hidden="false" customHeight="false" outlineLevel="0" collapsed="false">
      <c r="A1520" s="1" t="n">
        <v>1519</v>
      </c>
      <c r="B1520" s="5" t="str">
        <f aca="false">[1]Base_Jugadores!B1520</f>
        <v>Stefano Turati</v>
      </c>
      <c r="C1520" s="5" t="str">
        <f aca="false">IFERROR(
   _xlfn.XLOOKUP(VALUE(A1520),[1]Fichajes_Realizados!A$2:A$50000,[1]Fichajes_Realizados!D$2:D$50000,,0,-1),
   _xlfn.XLOOKUP(VALUE(A1520),[1]Base_Jugadores!A$2:A$50000,[1]Base_Jugadores!C$2:C$50000)
)</f>
        <v>US Sassuolo</v>
      </c>
      <c r="D1520" s="5" t="str">
        <f aca="false">[1]Base_Jugadores!D1520</f>
        <v>Italia</v>
      </c>
      <c r="E1520" s="3"/>
      <c r="F1520" s="5" t="str">
        <f aca="false">[1]Base_Jugadores!E1520</f>
        <v>PO</v>
      </c>
      <c r="G1520" s="5" t="n">
        <f aca="false">[1]Base_Jugadores!F1520</f>
        <v>75</v>
      </c>
      <c r="H1520" s="5" t="n">
        <f aca="false">[1]Base_Jugadores!G1520</f>
        <v>24</v>
      </c>
      <c r="I1520" s="7" t="n">
        <f aca="false" t="array" ref="I1520:I1520">_xlfn.XLOOKUP(G1520,{55;56;57;58;59;60;61;62;63;64;65;66;67;68;69;70;71;72;73;74;75;76;77;78;79;80;81;82;83;84;85;86;87;88;89;90;91;92;93;94;95;96;97;98;99},{100000;130000;160000;190000;220000;250000;300000;350000;400000;450000;500000;600000;700000;800000;900000;1000000;1500000;2000000;3000000;4000000;5000000;6500000;8000000;10000000;12500000;15000000;20000000;25000000;30000000;35000000;40000000;55000000;70000000;80000000;90000000;110000000;130000000;160000000;190000000;220000000;250000000;280000000;310000000;340000000;400000000})</f>
        <v>5000000</v>
      </c>
      <c r="J1520" s="7" t="n">
        <f aca="false">I1520*S1520*T1520*U1520</f>
        <v>4212000</v>
      </c>
      <c r="K1520" s="3"/>
      <c r="L1520" s="3"/>
      <c r="M1520" s="3"/>
      <c r="N1520" s="9" t="n">
        <v>0</v>
      </c>
      <c r="O1520" s="4" t="n">
        <v>0</v>
      </c>
      <c r="P1520" s="5" t="n">
        <f aca="false">IF(COUNTIF([1]Base_Jugadores!J$2:J$500,B1520)&gt;0,1,0)</f>
        <v>0</v>
      </c>
      <c r="Q1520" s="10" t="b">
        <f aca="false">--(COUNTIFS(
   [1]Fichajes_Realizados!A$2:A$5000,A1520,
   [1]Fichajes_Realizados!G$2:G$5000,$X$3
)&gt;0)</f>
        <v>0</v>
      </c>
      <c r="R1520" s="5" t="n">
        <f aca="false">_xlfn.XLOOKUP(C1520, [1]Estado_Equipos!A$2:A$500, [1]Estado_Equipos!J$2:J$500, "")</f>
        <v>71</v>
      </c>
      <c r="S1520" s="5" t="n">
        <f aca="false">IF(H1520&lt;=16,1.45,
IF(H1520&gt;=41,0.3,
CHOOSE(ROUNDDOWN((H1520-16)/2,0)+1,
1.45,1.38,1.3,1.23,1.17,1.15,1.12,1.05,0.95,0.8,0.6,0.4,0.3)))</f>
        <v>1.17</v>
      </c>
      <c r="T1520" s="5" t="n">
        <f aca="false">CHOOSE(N1520+1,1.2,1,0.85,0.7)</f>
        <v>1.2</v>
      </c>
      <c r="U1520" s="5" t="n">
        <f aca="false">IF(F1520="PO",0.6,
IF(F1520="CT",0.75,
IF(F1520="LI",0.8,
IF(F1520="LD",0.8,
IF(F1520="MCD",0.85,
IF(F1520="MC",0.95,
IF(F1520="MO",1.05,
IF(F1520="EI",1.1,
IF(F1520="ED",1.1,
IF(F1520="SD",1.15,
IF(F1520="DC",1.2,0)))))))))))</f>
        <v>0.6</v>
      </c>
    </row>
    <row r="1521" customFormat="false" ht="16.4" hidden="false" customHeight="false" outlineLevel="0" collapsed="false">
      <c r="A1521" s="1" t="n">
        <v>1520</v>
      </c>
      <c r="B1521" s="5" t="str">
        <f aca="false">[1]Base_Jugadores!B1521</f>
        <v>Gioele Zacchi</v>
      </c>
      <c r="C1521" s="5" t="str">
        <f aca="false">IFERROR(
   _xlfn.XLOOKUP(VALUE(A1521),[1]Fichajes_Realizados!A$2:A$50000,[1]Fichajes_Realizados!D$2:D$50000,,0,-1),
   _xlfn.XLOOKUP(VALUE(A1521),[1]Base_Jugadores!A$2:A$50000,[1]Base_Jugadores!C$2:C$50000)
)</f>
        <v>US Sassuolo</v>
      </c>
      <c r="D1521" s="5" t="str">
        <f aca="false">[1]Base_Jugadores!D1521</f>
        <v>Italia</v>
      </c>
      <c r="E1521" s="3"/>
      <c r="F1521" s="5" t="str">
        <f aca="false">[1]Base_Jugadores!E1521</f>
        <v>PO</v>
      </c>
      <c r="G1521" s="5" t="n">
        <f aca="false">[1]Base_Jugadores!F1521</f>
        <v>61</v>
      </c>
      <c r="H1521" s="5" t="n">
        <f aca="false">[1]Base_Jugadores!G1521</f>
        <v>22</v>
      </c>
      <c r="I1521" s="7" t="n">
        <f aca="false" t="array" ref="I1521:I1521">_xlfn.XLOOKUP(G1521,{55;56;57;58;59;60;61;62;63;64;65;66;67;68;69;70;71;72;73;74;75;76;77;78;79;80;81;82;83;84;85;86;87;88;89;90;91;92;93;94;95;96;97;98;99},{100000;130000;160000;190000;220000;250000;300000;350000;400000;450000;500000;600000;700000;800000;900000;1000000;1500000;2000000;3000000;4000000;5000000;6500000;8000000;10000000;12500000;15000000;20000000;25000000;30000000;35000000;40000000;55000000;70000000;80000000;90000000;110000000;130000000;160000000;190000000;220000000;250000000;280000000;310000000;340000000;400000000})</f>
        <v>300000</v>
      </c>
      <c r="J1521" s="7" t="n">
        <f aca="false">I1521*S1521*T1521*U1521</f>
        <v>265680</v>
      </c>
      <c r="K1521" s="3"/>
      <c r="L1521" s="3"/>
      <c r="M1521" s="3"/>
      <c r="N1521" s="9" t="n">
        <v>0</v>
      </c>
      <c r="O1521" s="4" t="n">
        <v>0</v>
      </c>
      <c r="P1521" s="5" t="n">
        <f aca="false">IF(COUNTIF([1]Base_Jugadores!J$2:J$500,B1521)&gt;0,1,0)</f>
        <v>0</v>
      </c>
      <c r="Q1521" s="10" t="b">
        <f aca="false">--(COUNTIFS(
   [1]Fichajes_Realizados!A$2:A$5000,A1521,
   [1]Fichajes_Realizados!G$2:G$5000,$X$3
)&gt;0)</f>
        <v>0</v>
      </c>
      <c r="R1521" s="5" t="n">
        <f aca="false">_xlfn.XLOOKUP(C1521, [1]Estado_Equipos!A$2:A$500, [1]Estado_Equipos!J$2:J$500, "")</f>
        <v>71</v>
      </c>
      <c r="S1521" s="5" t="n">
        <f aca="false">IF(H1521&lt;=16,1.45,
IF(H1521&gt;=41,0.3,
CHOOSE(ROUNDDOWN((H1521-16)/2,0)+1,
1.45,1.38,1.3,1.23,1.17,1.15,1.12,1.05,0.95,0.8,0.6,0.4,0.3)))</f>
        <v>1.23</v>
      </c>
      <c r="T1521" s="5" t="n">
        <f aca="false">CHOOSE(N1521+1,1.2,1,0.85,0.7)</f>
        <v>1.2</v>
      </c>
      <c r="U1521" s="5" t="n">
        <f aca="false">IF(F1521="PO",0.6,
IF(F1521="CT",0.75,
IF(F1521="LI",0.8,
IF(F1521="LD",0.8,
IF(F1521="MCD",0.85,
IF(F1521="MC",0.95,
IF(F1521="MO",1.05,
IF(F1521="EI",1.1,
IF(F1521="ED",1.1,
IF(F1521="SD",1.15,
IF(F1521="DC",1.2,0)))))))))))</f>
        <v>0.6</v>
      </c>
    </row>
    <row r="1522" customFormat="false" ht="16.4" hidden="false" customHeight="false" outlineLevel="0" collapsed="false">
      <c r="A1522" s="1" t="n">
        <v>1521</v>
      </c>
      <c r="B1522" s="5" t="str">
        <f aca="false">[1]Base_Jugadores!B1522</f>
        <v>Giacomo Satalino</v>
      </c>
      <c r="C1522" s="5" t="str">
        <f aca="false">IFERROR(
   _xlfn.XLOOKUP(VALUE(A1522),[1]Fichajes_Realizados!A$2:A$50000,[1]Fichajes_Realizados!D$2:D$50000,,0,-1),
   _xlfn.XLOOKUP(VALUE(A1522),[1]Base_Jugadores!A$2:A$50000,[1]Base_Jugadores!C$2:C$50000)
)</f>
        <v>US Sassuolo</v>
      </c>
      <c r="D1522" s="5" t="str">
        <f aca="false">[1]Base_Jugadores!D1522</f>
        <v>Italia</v>
      </c>
      <c r="E1522" s="3"/>
      <c r="F1522" s="5" t="str">
        <f aca="false">[1]Base_Jugadores!E1522</f>
        <v>PO</v>
      </c>
      <c r="G1522" s="5" t="n">
        <f aca="false">[1]Base_Jugadores!F1522</f>
        <v>66</v>
      </c>
      <c r="H1522" s="5" t="n">
        <f aca="false">[1]Base_Jugadores!G1522</f>
        <v>26</v>
      </c>
      <c r="I1522" s="7" t="n">
        <f aca="false" t="array" ref="I1522:I1522">_xlfn.XLOOKUP(G1522,{55;56;57;58;59;60;61;62;63;64;65;66;67;68;69;70;71;72;73;74;75;76;77;78;79;80;81;82;83;84;85;86;87;88;89;90;91;92;93;94;95;96;97;98;99},{100000;130000;160000;190000;220000;250000;300000;350000;400000;450000;500000;600000;700000;800000;900000;1000000;1500000;2000000;3000000;4000000;5000000;6500000;8000000;10000000;12500000;15000000;20000000;25000000;30000000;35000000;40000000;55000000;70000000;80000000;90000000;110000000;130000000;160000000;190000000;220000000;250000000;280000000;310000000;340000000;400000000})</f>
        <v>600000</v>
      </c>
      <c r="J1522" s="7" t="n">
        <f aca="false">I1522*S1522*T1522*U1522</f>
        <v>496800</v>
      </c>
      <c r="K1522" s="3"/>
      <c r="L1522" s="3"/>
      <c r="M1522" s="3"/>
      <c r="N1522" s="9" t="n">
        <v>0</v>
      </c>
      <c r="O1522" s="4" t="n">
        <v>0</v>
      </c>
      <c r="P1522" s="5" t="n">
        <f aca="false">IF(COUNTIF([1]Base_Jugadores!J$2:J$500,B1522)&gt;0,1,0)</f>
        <v>0</v>
      </c>
      <c r="Q1522" s="10" t="b">
        <f aca="false">--(COUNTIFS(
   [1]Fichajes_Realizados!A$2:A$5000,A1522,
   [1]Fichajes_Realizados!G$2:G$5000,$X$3
)&gt;0)</f>
        <v>0</v>
      </c>
      <c r="R1522" s="5" t="n">
        <f aca="false">_xlfn.XLOOKUP(C1522, [1]Estado_Equipos!A$2:A$500, [1]Estado_Equipos!J$2:J$500, "")</f>
        <v>71</v>
      </c>
      <c r="S1522" s="5" t="n">
        <f aca="false">IF(H1522&lt;=16,1.45,
IF(H1522&gt;=41,0.3,
CHOOSE(ROUNDDOWN((H1522-16)/2,0)+1,
1.45,1.38,1.3,1.23,1.17,1.15,1.12,1.05,0.95,0.8,0.6,0.4,0.3)))</f>
        <v>1.15</v>
      </c>
      <c r="T1522" s="5" t="n">
        <f aca="false">CHOOSE(N1522+1,1.2,1,0.85,0.7)</f>
        <v>1.2</v>
      </c>
      <c r="U1522" s="5" t="n">
        <f aca="false">IF(F1522="PO",0.6,
IF(F1522="CT",0.75,
IF(F1522="LI",0.8,
IF(F1522="LD",0.8,
IF(F1522="MCD",0.85,
IF(F1522="MC",0.95,
IF(F1522="MO",1.05,
IF(F1522="EI",1.1,
IF(F1522="ED",1.1,
IF(F1522="SD",1.15,
IF(F1522="DC",1.2,0)))))))))))</f>
        <v>0.6</v>
      </c>
    </row>
    <row r="1523" customFormat="false" ht="16.4" hidden="false" customHeight="false" outlineLevel="0" collapsed="false">
      <c r="A1523" s="1" t="n">
        <v>1522</v>
      </c>
      <c r="B1523" s="5" t="str">
        <f aca="false">[1]Base_Jugadores!B1523</f>
        <v>Tarik Muharemović</v>
      </c>
      <c r="C1523" s="5" t="str">
        <f aca="false">IFERROR(
   _xlfn.XLOOKUP(VALUE(A1523),[1]Fichajes_Realizados!A$2:A$50000,[1]Fichajes_Realizados!D$2:D$50000,,0,-1),
   _xlfn.XLOOKUP(VALUE(A1523),[1]Base_Jugadores!A$2:A$50000,[1]Base_Jugadores!C$2:C$50000)
)</f>
        <v>US Sassuolo</v>
      </c>
      <c r="D1523" s="5" t="str">
        <f aca="false">[1]Base_Jugadores!D1523</f>
        <v>Bosnia y Herzegovina</v>
      </c>
      <c r="E1523" s="3"/>
      <c r="F1523" s="5" t="str">
        <f aca="false">[1]Base_Jugadores!E1523</f>
        <v>CT</v>
      </c>
      <c r="G1523" s="5" t="n">
        <f aca="false">[1]Base_Jugadores!F1523</f>
        <v>68</v>
      </c>
      <c r="H1523" s="5" t="n">
        <f aca="false">[1]Base_Jugadores!G1523</f>
        <v>22</v>
      </c>
      <c r="I1523" s="7" t="n">
        <f aca="false" t="array" ref="I1523:I1523">_xlfn.XLOOKUP(G1523,{55;56;57;58;59;60;61;62;63;64;65;66;67;68;69;70;71;72;73;74;75;76;77;78;79;80;81;82;83;84;85;86;87;88;89;90;91;92;93;94;95;96;97;98;99},{100000;130000;160000;190000;220000;250000;300000;350000;400000;450000;500000;600000;700000;800000;900000;1000000;1500000;2000000;3000000;4000000;5000000;6500000;8000000;10000000;12500000;15000000;20000000;25000000;30000000;35000000;40000000;55000000;70000000;80000000;90000000;110000000;130000000;160000000;190000000;220000000;250000000;280000000;310000000;340000000;400000000})</f>
        <v>800000</v>
      </c>
      <c r="J1523" s="7" t="n">
        <f aca="false">I1523*S1523*T1523*U1523</f>
        <v>885600</v>
      </c>
      <c r="K1523" s="3"/>
      <c r="L1523" s="3"/>
      <c r="M1523" s="3"/>
      <c r="N1523" s="9" t="n">
        <v>0</v>
      </c>
      <c r="O1523" s="4" t="n">
        <v>0</v>
      </c>
      <c r="P1523" s="5" t="n">
        <f aca="false">IF(COUNTIF([1]Base_Jugadores!J$2:J$500,B1523)&gt;0,1,0)</f>
        <v>0</v>
      </c>
      <c r="Q1523" s="10" t="b">
        <f aca="false">--(COUNTIFS(
   [1]Fichajes_Realizados!A$2:A$5000,A1523,
   [1]Fichajes_Realizados!G$2:G$5000,$X$3
)&gt;0)</f>
        <v>0</v>
      </c>
      <c r="R1523" s="5" t="n">
        <f aca="false">_xlfn.XLOOKUP(C1523, [1]Estado_Equipos!A$2:A$500, [1]Estado_Equipos!J$2:J$500, "")</f>
        <v>71</v>
      </c>
      <c r="S1523" s="5" t="n">
        <f aca="false">IF(H1523&lt;=16,1.45,
IF(H1523&gt;=41,0.3,
CHOOSE(ROUNDDOWN((H1523-16)/2,0)+1,
1.45,1.38,1.3,1.23,1.17,1.15,1.12,1.05,0.95,0.8,0.6,0.4,0.3)))</f>
        <v>1.23</v>
      </c>
      <c r="T1523" s="5" t="n">
        <f aca="false">CHOOSE(N1523+1,1.2,1,0.85,0.7)</f>
        <v>1.2</v>
      </c>
      <c r="U1523" s="5" t="n">
        <f aca="false">IF(F1523="PO",0.6,
IF(F1523="CT",0.75,
IF(F1523="LI",0.8,
IF(F1523="LD",0.8,
IF(F1523="MCD",0.85,
IF(F1523="MC",0.95,
IF(F1523="MO",1.05,
IF(F1523="EI",1.1,
IF(F1523="ED",1.1,
IF(F1523="SD",1.15,
IF(F1523="DC",1.2,0)))))))))))</f>
        <v>0.75</v>
      </c>
    </row>
    <row r="1524" customFormat="false" ht="16.4" hidden="false" customHeight="false" outlineLevel="0" collapsed="false">
      <c r="A1524" s="1" t="n">
        <v>1523</v>
      </c>
      <c r="B1524" s="5" t="str">
        <f aca="false">[1]Base_Jugadores!B1524</f>
        <v>Fali Candé</v>
      </c>
      <c r="C1524" s="5" t="str">
        <f aca="false">IFERROR(
   _xlfn.XLOOKUP(VALUE(A1524),[1]Fichajes_Realizados!A$2:A$50000,[1]Fichajes_Realizados!D$2:D$50000,,0,-1),
   _xlfn.XLOOKUP(VALUE(A1524),[1]Base_Jugadores!A$2:A$50000,[1]Base_Jugadores!C$2:C$50000)
)</f>
        <v>US Sassuolo</v>
      </c>
      <c r="D1524" s="5" t="str">
        <f aca="false">[1]Base_Jugadores!D1524</f>
        <v>Guinea-Bissau</v>
      </c>
      <c r="E1524" s="3"/>
      <c r="F1524" s="5" t="str">
        <f aca="false">[1]Base_Jugadores!E1524</f>
        <v>CT</v>
      </c>
      <c r="G1524" s="5" t="n">
        <f aca="false">[1]Base_Jugadores!F1524</f>
        <v>70</v>
      </c>
      <c r="H1524" s="5" t="n">
        <f aca="false">[1]Base_Jugadores!G1524</f>
        <v>27</v>
      </c>
      <c r="I1524" s="7" t="n">
        <f aca="false" t="array" ref="I1524:I1524">_xlfn.XLOOKUP(G1524,{55;56;57;58;59;60;61;62;63;64;65;66;67;68;69;70;71;72;73;74;75;76;77;78;79;80;81;82;83;84;85;86;87;88;89;90;91;92;93;94;95;96;97;98;99},{100000;130000;160000;190000;220000;250000;300000;350000;400000;450000;500000;600000;700000;800000;900000;1000000;1500000;2000000;3000000;4000000;5000000;6500000;8000000;10000000;12500000;15000000;20000000;25000000;30000000;35000000;40000000;55000000;70000000;80000000;90000000;110000000;130000000;160000000;190000000;220000000;250000000;280000000;310000000;340000000;400000000})</f>
        <v>1000000</v>
      </c>
      <c r="J1524" s="7" t="n">
        <f aca="false">I1524*S1524*T1524*U1524</f>
        <v>1035000</v>
      </c>
      <c r="K1524" s="3"/>
      <c r="L1524" s="3"/>
      <c r="M1524" s="3"/>
      <c r="N1524" s="9" t="n">
        <v>0</v>
      </c>
      <c r="O1524" s="4" t="n">
        <v>0</v>
      </c>
      <c r="P1524" s="5" t="n">
        <f aca="false">IF(COUNTIF([1]Base_Jugadores!J$2:J$500,B1524)&gt;0,1,0)</f>
        <v>0</v>
      </c>
      <c r="Q1524" s="10" t="b">
        <f aca="false">--(COUNTIFS(
   [1]Fichajes_Realizados!A$2:A$5000,A1524,
   [1]Fichajes_Realizados!G$2:G$5000,$X$3
)&gt;0)</f>
        <v>0</v>
      </c>
      <c r="R1524" s="5" t="n">
        <f aca="false">_xlfn.XLOOKUP(C1524, [1]Estado_Equipos!A$2:A$500, [1]Estado_Equipos!J$2:J$500, "")</f>
        <v>71</v>
      </c>
      <c r="S1524" s="5" t="n">
        <f aca="false">IF(H1524&lt;=16,1.45,
IF(H1524&gt;=41,0.3,
CHOOSE(ROUNDDOWN((H1524-16)/2,0)+1,
1.45,1.38,1.3,1.23,1.17,1.15,1.12,1.05,0.95,0.8,0.6,0.4,0.3)))</f>
        <v>1.15</v>
      </c>
      <c r="T1524" s="5" t="n">
        <f aca="false">CHOOSE(N1524+1,1.2,1,0.85,0.7)</f>
        <v>1.2</v>
      </c>
      <c r="U1524" s="5" t="n">
        <f aca="false">IF(F1524="PO",0.6,
IF(F1524="CT",0.75,
IF(F1524="LI",0.8,
IF(F1524="LD",0.8,
IF(F1524="MCD",0.85,
IF(F1524="MC",0.95,
IF(F1524="MO",1.05,
IF(F1524="EI",1.1,
IF(F1524="ED",1.1,
IF(F1524="SD",1.15,
IF(F1524="DC",1.2,0)))))))))))</f>
        <v>0.75</v>
      </c>
    </row>
    <row r="1525" customFormat="false" ht="16.4" hidden="false" customHeight="false" outlineLevel="0" collapsed="false">
      <c r="A1525" s="1" t="n">
        <v>1524</v>
      </c>
      <c r="B1525" s="5" t="str">
        <f aca="false">[1]Base_Jugadores!B1525</f>
        <v>Cas Odenthal</v>
      </c>
      <c r="C1525" s="5" t="str">
        <f aca="false">IFERROR(
   _xlfn.XLOOKUP(VALUE(A1525),[1]Fichajes_Realizados!A$2:A$50000,[1]Fichajes_Realizados!D$2:D$50000,,0,-1),
   _xlfn.XLOOKUP(VALUE(A1525),[1]Base_Jugadores!A$2:A$50000,[1]Base_Jugadores!C$2:C$50000)
)</f>
        <v>US Sassuolo</v>
      </c>
      <c r="D1525" s="5" t="str">
        <f aca="false">[1]Base_Jugadores!D1525</f>
        <v>Países Bajos</v>
      </c>
      <c r="E1525" s="3"/>
      <c r="F1525" s="5" t="str">
        <f aca="false">[1]Base_Jugadores!E1525</f>
        <v>CT</v>
      </c>
      <c r="G1525" s="5" t="n">
        <f aca="false">[1]Base_Jugadores!F1525</f>
        <v>71</v>
      </c>
      <c r="H1525" s="5" t="n">
        <f aca="false">[1]Base_Jugadores!G1525</f>
        <v>25</v>
      </c>
      <c r="I1525" s="7" t="n">
        <f aca="false" t="array" ref="I1525:I1525">_xlfn.XLOOKUP(G1525,{55;56;57;58;59;60;61;62;63;64;65;66;67;68;69;70;71;72;73;74;75;76;77;78;79;80;81;82;83;84;85;86;87;88;89;90;91;92;93;94;95;96;97;98;99},{100000;130000;160000;190000;220000;250000;300000;350000;400000;450000;500000;600000;700000;800000;900000;1000000;1500000;2000000;3000000;4000000;5000000;6500000;8000000;10000000;12500000;15000000;20000000;25000000;30000000;35000000;40000000;55000000;70000000;80000000;90000000;110000000;130000000;160000000;190000000;220000000;250000000;280000000;310000000;340000000;400000000})</f>
        <v>1500000</v>
      </c>
      <c r="J1525" s="7" t="n">
        <f aca="false">I1525*S1525*T1525*U1525</f>
        <v>1579500</v>
      </c>
      <c r="K1525" s="3"/>
      <c r="L1525" s="3"/>
      <c r="M1525" s="3"/>
      <c r="N1525" s="9" t="n">
        <v>0</v>
      </c>
      <c r="O1525" s="4" t="n">
        <v>0</v>
      </c>
      <c r="P1525" s="5" t="n">
        <f aca="false">IF(COUNTIF([1]Base_Jugadores!J$2:J$500,B1525)&gt;0,1,0)</f>
        <v>0</v>
      </c>
      <c r="Q1525" s="10" t="b">
        <f aca="false">--(COUNTIFS(
   [1]Fichajes_Realizados!A$2:A$5000,A1525,
   [1]Fichajes_Realizados!G$2:G$5000,$X$3
)&gt;0)</f>
        <v>0</v>
      </c>
      <c r="R1525" s="5" t="n">
        <f aca="false">_xlfn.XLOOKUP(C1525, [1]Estado_Equipos!A$2:A$500, [1]Estado_Equipos!J$2:J$500, "")</f>
        <v>71</v>
      </c>
      <c r="S1525" s="5" t="n">
        <f aca="false">IF(H1525&lt;=16,1.45,
IF(H1525&gt;=41,0.3,
CHOOSE(ROUNDDOWN((H1525-16)/2,0)+1,
1.45,1.38,1.3,1.23,1.17,1.15,1.12,1.05,0.95,0.8,0.6,0.4,0.3)))</f>
        <v>1.17</v>
      </c>
      <c r="T1525" s="5" t="n">
        <f aca="false">CHOOSE(N1525+1,1.2,1,0.85,0.7)</f>
        <v>1.2</v>
      </c>
      <c r="U1525" s="5" t="n">
        <f aca="false">IF(F1525="PO",0.6,
IF(F1525="CT",0.75,
IF(F1525="LI",0.8,
IF(F1525="LD",0.8,
IF(F1525="MCD",0.85,
IF(F1525="MC",0.95,
IF(F1525="MO",1.05,
IF(F1525="EI",1.1,
IF(F1525="ED",1.1,
IF(F1525="SD",1.15,
IF(F1525="DC",1.2,0)))))))))))</f>
        <v>0.75</v>
      </c>
    </row>
    <row r="1526" customFormat="false" ht="16.4" hidden="false" customHeight="false" outlineLevel="0" collapsed="false">
      <c r="A1526" s="1" t="n">
        <v>1525</v>
      </c>
      <c r="B1526" s="5" t="str">
        <f aca="false">[1]Base_Jugadores!B1526</f>
        <v>Filippo Romagna</v>
      </c>
      <c r="C1526" s="5" t="str">
        <f aca="false">IFERROR(
   _xlfn.XLOOKUP(VALUE(A1526),[1]Fichajes_Realizados!A$2:A$50000,[1]Fichajes_Realizados!D$2:D$50000,,0,-1),
   _xlfn.XLOOKUP(VALUE(A1526),[1]Base_Jugadores!A$2:A$50000,[1]Base_Jugadores!C$2:C$50000)
)</f>
        <v>US Sassuolo</v>
      </c>
      <c r="D1526" s="5" t="str">
        <f aca="false">[1]Base_Jugadores!D1526</f>
        <v>Italia</v>
      </c>
      <c r="E1526" s="3"/>
      <c r="F1526" s="5" t="str">
        <f aca="false">[1]Base_Jugadores!E1526</f>
        <v>CT</v>
      </c>
      <c r="G1526" s="5" t="n">
        <f aca="false">[1]Base_Jugadores!F1526</f>
        <v>70</v>
      </c>
      <c r="H1526" s="5" t="n">
        <f aca="false">[1]Base_Jugadores!G1526</f>
        <v>28</v>
      </c>
      <c r="I1526" s="7" t="n">
        <f aca="false" t="array" ref="I1526:I1526">_xlfn.XLOOKUP(G1526,{55;56;57;58;59;60;61;62;63;64;65;66;67;68;69;70;71;72;73;74;75;76;77;78;79;80;81;82;83;84;85;86;87;88;89;90;91;92;93;94;95;96;97;98;99},{100000;130000;160000;190000;220000;250000;300000;350000;400000;450000;500000;600000;700000;800000;900000;1000000;1500000;2000000;3000000;4000000;5000000;6500000;8000000;10000000;12500000;15000000;20000000;25000000;30000000;35000000;40000000;55000000;70000000;80000000;90000000;110000000;130000000;160000000;190000000;220000000;250000000;280000000;310000000;340000000;400000000})</f>
        <v>1000000</v>
      </c>
      <c r="J1526" s="7" t="n">
        <f aca="false">I1526*S1526*T1526*U1526</f>
        <v>1008000</v>
      </c>
      <c r="K1526" s="3"/>
      <c r="L1526" s="3"/>
      <c r="M1526" s="3"/>
      <c r="N1526" s="9" t="n">
        <v>0</v>
      </c>
      <c r="O1526" s="4" t="n">
        <v>0</v>
      </c>
      <c r="P1526" s="5" t="n">
        <f aca="false">IF(COUNTIF([1]Base_Jugadores!J$2:J$500,B1526)&gt;0,1,0)</f>
        <v>0</v>
      </c>
      <c r="Q1526" s="10" t="b">
        <f aca="false">--(COUNTIFS(
   [1]Fichajes_Realizados!A$2:A$5000,A1526,
   [1]Fichajes_Realizados!G$2:G$5000,$X$3
)&gt;0)</f>
        <v>0</v>
      </c>
      <c r="R1526" s="5" t="n">
        <f aca="false">_xlfn.XLOOKUP(C1526, [1]Estado_Equipos!A$2:A$500, [1]Estado_Equipos!J$2:J$500, "")</f>
        <v>71</v>
      </c>
      <c r="S1526" s="5" t="n">
        <f aca="false">IF(H1526&lt;=16,1.45,
IF(H1526&gt;=41,0.3,
CHOOSE(ROUNDDOWN((H1526-16)/2,0)+1,
1.45,1.38,1.3,1.23,1.17,1.15,1.12,1.05,0.95,0.8,0.6,0.4,0.3)))</f>
        <v>1.12</v>
      </c>
      <c r="T1526" s="5" t="n">
        <f aca="false">CHOOSE(N1526+1,1.2,1,0.85,0.7)</f>
        <v>1.2</v>
      </c>
      <c r="U1526" s="5" t="n">
        <f aca="false">IF(F1526="PO",0.6,
IF(F1526="CT",0.75,
IF(F1526="LI",0.8,
IF(F1526="LD",0.8,
IF(F1526="MCD",0.85,
IF(F1526="MC",0.95,
IF(F1526="MO",1.05,
IF(F1526="EI",1.1,
IF(F1526="ED",1.1,
IF(F1526="SD",1.15,
IF(F1526="DC",1.2,0)))))))))))</f>
        <v>0.75</v>
      </c>
    </row>
    <row r="1527" customFormat="false" ht="16.4" hidden="false" customHeight="false" outlineLevel="0" collapsed="false">
      <c r="A1527" s="1" t="n">
        <v>1526</v>
      </c>
      <c r="B1527" s="5" t="str">
        <f aca="false">[1]Base_Jugadores!B1527</f>
        <v>Josh Doig</v>
      </c>
      <c r="C1527" s="5" t="str">
        <f aca="false">IFERROR(
   _xlfn.XLOOKUP(VALUE(A1527),[1]Fichajes_Realizados!A$2:A$50000,[1]Fichajes_Realizados!D$2:D$50000,,0,-1),
   _xlfn.XLOOKUP(VALUE(A1527),[1]Base_Jugadores!A$2:A$50000,[1]Base_Jugadores!C$2:C$50000)
)</f>
        <v>US Sassuolo</v>
      </c>
      <c r="D1527" s="5" t="str">
        <f aca="false">[1]Base_Jugadores!D1527</f>
        <v>Escocia</v>
      </c>
      <c r="E1527" s="3"/>
      <c r="F1527" s="5" t="str">
        <f aca="false">[1]Base_Jugadores!E1527</f>
        <v>LI</v>
      </c>
      <c r="G1527" s="5" t="n">
        <f aca="false">[1]Base_Jugadores!F1527</f>
        <v>73</v>
      </c>
      <c r="H1527" s="5" t="n">
        <f aca="false">[1]Base_Jugadores!G1527</f>
        <v>23</v>
      </c>
      <c r="I1527" s="7" t="n">
        <f aca="false" t="array" ref="I1527:I1527">_xlfn.XLOOKUP(G1527,{55;56;57;58;59;60;61;62;63;64;65;66;67;68;69;70;71;72;73;74;75;76;77;78;79;80;81;82;83;84;85;86;87;88;89;90;91;92;93;94;95;96;97;98;99},{100000;130000;160000;190000;220000;250000;300000;350000;400000;450000;500000;600000;700000;800000;900000;1000000;1500000;2000000;3000000;4000000;5000000;6500000;8000000;10000000;12500000;15000000;20000000;25000000;30000000;35000000;40000000;55000000;70000000;80000000;90000000;110000000;130000000;160000000;190000000;220000000;250000000;280000000;310000000;340000000;400000000})</f>
        <v>3000000</v>
      </c>
      <c r="J1527" s="7" t="n">
        <f aca="false">I1527*S1527*T1527*U1527</f>
        <v>3542400</v>
      </c>
      <c r="K1527" s="3"/>
      <c r="L1527" s="3"/>
      <c r="M1527" s="3"/>
      <c r="N1527" s="9" t="n">
        <v>0</v>
      </c>
      <c r="O1527" s="4" t="n">
        <v>0</v>
      </c>
      <c r="P1527" s="5" t="n">
        <f aca="false">IF(COUNTIF([1]Base_Jugadores!J$2:J$500,B1527)&gt;0,1,0)</f>
        <v>0</v>
      </c>
      <c r="Q1527" s="10" t="b">
        <f aca="false">--(COUNTIFS(
   [1]Fichajes_Realizados!A$2:A$5000,A1527,
   [1]Fichajes_Realizados!G$2:G$5000,$X$3
)&gt;0)</f>
        <v>0</v>
      </c>
      <c r="R1527" s="5" t="n">
        <f aca="false">_xlfn.XLOOKUP(C1527, [1]Estado_Equipos!A$2:A$500, [1]Estado_Equipos!J$2:J$500, "")</f>
        <v>71</v>
      </c>
      <c r="S1527" s="5" t="n">
        <f aca="false">IF(H1527&lt;=16,1.45,
IF(H1527&gt;=41,0.3,
CHOOSE(ROUNDDOWN((H1527-16)/2,0)+1,
1.45,1.38,1.3,1.23,1.17,1.15,1.12,1.05,0.95,0.8,0.6,0.4,0.3)))</f>
        <v>1.23</v>
      </c>
      <c r="T1527" s="5" t="n">
        <f aca="false">CHOOSE(N1527+1,1.2,1,0.85,0.7)</f>
        <v>1.2</v>
      </c>
      <c r="U1527" s="5" t="n">
        <f aca="false">IF(F1527="PO",0.6,
IF(F1527="CT",0.75,
IF(F1527="LI",0.8,
IF(F1527="LD",0.8,
IF(F1527="MCD",0.85,
IF(F1527="MC",0.95,
IF(F1527="MO",1.05,
IF(F1527="EI",1.1,
IF(F1527="ED",1.1,
IF(F1527="SD",1.15,
IF(F1527="DC",1.2,0)))))))))))</f>
        <v>0.8</v>
      </c>
    </row>
    <row r="1528" customFormat="false" ht="16.4" hidden="false" customHeight="false" outlineLevel="0" collapsed="false">
      <c r="A1528" s="1" t="n">
        <v>1527</v>
      </c>
      <c r="B1528" s="5" t="str">
        <f aca="false">[1]Base_Jugadores!B1528</f>
        <v>Edoardo Pieragnolo</v>
      </c>
      <c r="C1528" s="5" t="str">
        <f aca="false">IFERROR(
   _xlfn.XLOOKUP(VALUE(A1528),[1]Fichajes_Realizados!A$2:A$50000,[1]Fichajes_Realizados!D$2:D$50000,,0,-1),
   _xlfn.XLOOKUP(VALUE(A1528),[1]Base_Jugadores!A$2:A$50000,[1]Base_Jugadores!C$2:C$50000)
)</f>
        <v>US Sassuolo</v>
      </c>
      <c r="D1528" s="5" t="str">
        <f aca="false">[1]Base_Jugadores!D1528</f>
        <v>Italia</v>
      </c>
      <c r="E1528" s="3"/>
      <c r="F1528" s="5" t="str">
        <f aca="false">[1]Base_Jugadores!E1528</f>
        <v>LI</v>
      </c>
      <c r="G1528" s="5" t="n">
        <f aca="false">[1]Base_Jugadores!F1528</f>
        <v>66</v>
      </c>
      <c r="H1528" s="5" t="n">
        <f aca="false">[1]Base_Jugadores!G1528</f>
        <v>22</v>
      </c>
      <c r="I1528" s="7" t="n">
        <f aca="false" t="array" ref="I1528:I1528">_xlfn.XLOOKUP(G1528,{55;56;57;58;59;60;61;62;63;64;65;66;67;68;69;70;71;72;73;74;75;76;77;78;79;80;81;82;83;84;85;86;87;88;89;90;91;92;93;94;95;96;97;98;99},{100000;130000;160000;190000;220000;250000;300000;350000;400000;450000;500000;600000;700000;800000;900000;1000000;1500000;2000000;3000000;4000000;5000000;6500000;8000000;10000000;12500000;15000000;20000000;25000000;30000000;35000000;40000000;55000000;70000000;80000000;90000000;110000000;130000000;160000000;190000000;220000000;250000000;280000000;310000000;340000000;400000000})</f>
        <v>600000</v>
      </c>
      <c r="J1528" s="7" t="n">
        <f aca="false">I1528*S1528*T1528*U1528</f>
        <v>708480</v>
      </c>
      <c r="K1528" s="3"/>
      <c r="L1528" s="3"/>
      <c r="M1528" s="3"/>
      <c r="N1528" s="9" t="n">
        <v>0</v>
      </c>
      <c r="O1528" s="4" t="n">
        <v>0</v>
      </c>
      <c r="P1528" s="5" t="n">
        <f aca="false">IF(COUNTIF([1]Base_Jugadores!J$2:J$500,B1528)&gt;0,1,0)</f>
        <v>0</v>
      </c>
      <c r="Q1528" s="10" t="b">
        <f aca="false">--(COUNTIFS(
   [1]Fichajes_Realizados!A$2:A$5000,A1528,
   [1]Fichajes_Realizados!G$2:G$5000,$X$3
)&gt;0)</f>
        <v>0</v>
      </c>
      <c r="R1528" s="5" t="n">
        <f aca="false">_xlfn.XLOOKUP(C1528, [1]Estado_Equipos!A$2:A$500, [1]Estado_Equipos!J$2:J$500, "")</f>
        <v>71</v>
      </c>
      <c r="S1528" s="5" t="n">
        <f aca="false">IF(H1528&lt;=16,1.45,
IF(H1528&gt;=41,0.3,
CHOOSE(ROUNDDOWN((H1528-16)/2,0)+1,
1.45,1.38,1.3,1.23,1.17,1.15,1.12,1.05,0.95,0.8,0.6,0.4,0.3)))</f>
        <v>1.23</v>
      </c>
      <c r="T1528" s="5" t="n">
        <f aca="false">CHOOSE(N1528+1,1.2,1,0.85,0.7)</f>
        <v>1.2</v>
      </c>
      <c r="U1528" s="5" t="n">
        <f aca="false">IF(F1528="PO",0.6,
IF(F1528="CT",0.75,
IF(F1528="LI",0.8,
IF(F1528="LD",0.8,
IF(F1528="MCD",0.85,
IF(F1528="MC",0.95,
IF(F1528="MO",1.05,
IF(F1528="EI",1.1,
IF(F1528="ED",1.1,
IF(F1528="SD",1.15,
IF(F1528="DC",1.2,0)))))))))))</f>
        <v>0.8</v>
      </c>
    </row>
    <row r="1529" customFormat="false" ht="16.4" hidden="false" customHeight="false" outlineLevel="0" collapsed="false">
      <c r="A1529" s="1" t="n">
        <v>1528</v>
      </c>
      <c r="B1529" s="5" t="str">
        <f aca="false">[1]Base_Jugadores!B1529</f>
        <v>S. Walukiewicz</v>
      </c>
      <c r="C1529" s="5" t="str">
        <f aca="false">IFERROR(
   _xlfn.XLOOKUP(VALUE(A1529),[1]Fichajes_Realizados!A$2:A$50000,[1]Fichajes_Realizados!D$2:D$50000,,0,-1),
   _xlfn.XLOOKUP(VALUE(A1529),[1]Base_Jugadores!A$2:A$50000,[1]Base_Jugadores!C$2:C$50000)
)</f>
        <v>US Sassuolo</v>
      </c>
      <c r="D1529" s="5" t="str">
        <f aca="false">[1]Base_Jugadores!D1529</f>
        <v>Polonia</v>
      </c>
      <c r="E1529" s="3"/>
      <c r="F1529" s="5" t="str">
        <f aca="false">[1]Base_Jugadores!E1529</f>
        <v>LD</v>
      </c>
      <c r="G1529" s="5" t="n">
        <f aca="false">[1]Base_Jugadores!F1529</f>
        <v>70</v>
      </c>
      <c r="H1529" s="5" t="n">
        <f aca="false">[1]Base_Jugadores!G1529</f>
        <v>25</v>
      </c>
      <c r="I1529" s="7" t="n">
        <f aca="false" t="array" ref="I1529:I1529">_xlfn.XLOOKUP(G1529,{55;56;57;58;59;60;61;62;63;64;65;66;67;68;69;70;71;72;73;74;75;76;77;78;79;80;81;82;83;84;85;86;87;88;89;90;91;92;93;94;95;96;97;98;99},{100000;130000;160000;190000;220000;250000;300000;350000;400000;450000;500000;600000;700000;800000;900000;1000000;1500000;2000000;3000000;4000000;5000000;6500000;8000000;10000000;12500000;15000000;20000000;25000000;30000000;35000000;40000000;55000000;70000000;80000000;90000000;110000000;130000000;160000000;190000000;220000000;250000000;280000000;310000000;340000000;400000000})</f>
        <v>1000000</v>
      </c>
      <c r="J1529" s="7" t="n">
        <f aca="false">I1529*S1529*T1529*U1529</f>
        <v>1123200</v>
      </c>
      <c r="K1529" s="3"/>
      <c r="L1529" s="3"/>
      <c r="M1529" s="3"/>
      <c r="N1529" s="9" t="n">
        <v>0</v>
      </c>
      <c r="O1529" s="4" t="n">
        <v>0</v>
      </c>
      <c r="P1529" s="5" t="n">
        <f aca="false">IF(COUNTIF([1]Base_Jugadores!J$2:J$500,B1529)&gt;0,1,0)</f>
        <v>0</v>
      </c>
      <c r="Q1529" s="10" t="b">
        <f aca="false">--(COUNTIFS(
   [1]Fichajes_Realizados!A$2:A$5000,A1529,
   [1]Fichajes_Realizados!G$2:G$5000,$X$3
)&gt;0)</f>
        <v>0</v>
      </c>
      <c r="R1529" s="5" t="n">
        <f aca="false">_xlfn.XLOOKUP(C1529, [1]Estado_Equipos!A$2:A$500, [1]Estado_Equipos!J$2:J$500, "")</f>
        <v>71</v>
      </c>
      <c r="S1529" s="5" t="n">
        <f aca="false">IF(H1529&lt;=16,1.45,
IF(H1529&gt;=41,0.3,
CHOOSE(ROUNDDOWN((H1529-16)/2,0)+1,
1.45,1.38,1.3,1.23,1.17,1.15,1.12,1.05,0.95,0.8,0.6,0.4,0.3)))</f>
        <v>1.17</v>
      </c>
      <c r="T1529" s="5" t="n">
        <f aca="false">CHOOSE(N1529+1,1.2,1,0.85,0.7)</f>
        <v>1.2</v>
      </c>
      <c r="U1529" s="5" t="n">
        <f aca="false">IF(F1529="PO",0.6,
IF(F1529="CT",0.75,
IF(F1529="LI",0.8,
IF(F1529="LD",0.8,
IF(F1529="MCD",0.85,
IF(F1529="MC",0.95,
IF(F1529="MO",1.05,
IF(F1529="EI",1.1,
IF(F1529="ED",1.1,
IF(F1529="SD",1.15,
IF(F1529="DC",1.2,0)))))))))))</f>
        <v>0.8</v>
      </c>
    </row>
    <row r="1530" customFormat="false" ht="16.4" hidden="false" customHeight="false" outlineLevel="0" collapsed="false">
      <c r="A1530" s="1" t="n">
        <v>1529</v>
      </c>
      <c r="B1530" s="5" t="str">
        <f aca="false">[1]Base_Jugadores!B1530</f>
        <v>Woyo Coulibaly</v>
      </c>
      <c r="C1530" s="5" t="str">
        <f aca="false">IFERROR(
   _xlfn.XLOOKUP(VALUE(A1530),[1]Fichajes_Realizados!A$2:A$50000,[1]Fichajes_Realizados!D$2:D$50000,,0,-1),
   _xlfn.XLOOKUP(VALUE(A1530),[1]Base_Jugadores!A$2:A$50000,[1]Base_Jugadores!C$2:C$50000)
)</f>
        <v>US Sassuolo</v>
      </c>
      <c r="D1530" s="5" t="str">
        <f aca="false">[1]Base_Jugadores!D1530</f>
        <v>Malí</v>
      </c>
      <c r="E1530" s="3"/>
      <c r="F1530" s="5" t="str">
        <f aca="false">[1]Base_Jugadores!E1530</f>
        <v>LD</v>
      </c>
      <c r="G1530" s="5" t="n">
        <f aca="false">[1]Base_Jugadores!F1530</f>
        <v>73</v>
      </c>
      <c r="H1530" s="5" t="n">
        <f aca="false">[1]Base_Jugadores!G1530</f>
        <v>26</v>
      </c>
      <c r="I1530" s="7" t="n">
        <f aca="false" t="array" ref="I1530:I1530">_xlfn.XLOOKUP(G1530,{55;56;57;58;59;60;61;62;63;64;65;66;67;68;69;70;71;72;73;74;75;76;77;78;79;80;81;82;83;84;85;86;87;88;89;90;91;92;93;94;95;96;97;98;99},{100000;130000;160000;190000;220000;250000;300000;350000;400000;450000;500000;600000;700000;800000;900000;1000000;1500000;2000000;3000000;4000000;5000000;6500000;8000000;10000000;12500000;15000000;20000000;25000000;30000000;35000000;40000000;55000000;70000000;80000000;90000000;110000000;130000000;160000000;190000000;220000000;250000000;280000000;310000000;340000000;400000000})</f>
        <v>3000000</v>
      </c>
      <c r="J1530" s="7" t="n">
        <f aca="false">I1530*S1530*T1530*U1530</f>
        <v>3312000</v>
      </c>
      <c r="K1530" s="3"/>
      <c r="L1530" s="3"/>
      <c r="M1530" s="3"/>
      <c r="N1530" s="9" t="n">
        <v>0</v>
      </c>
      <c r="O1530" s="4" t="n">
        <v>0</v>
      </c>
      <c r="P1530" s="5" t="n">
        <f aca="false">IF(COUNTIF([1]Base_Jugadores!J$2:J$500,B1530)&gt;0,1,0)</f>
        <v>0</v>
      </c>
      <c r="Q1530" s="10" t="b">
        <f aca="false">--(COUNTIFS(
   [1]Fichajes_Realizados!A$2:A$5000,A1530,
   [1]Fichajes_Realizados!G$2:G$5000,$X$3
)&gt;0)</f>
        <v>0</v>
      </c>
      <c r="R1530" s="5" t="n">
        <f aca="false">_xlfn.XLOOKUP(C1530, [1]Estado_Equipos!A$2:A$500, [1]Estado_Equipos!J$2:J$500, "")</f>
        <v>71</v>
      </c>
      <c r="S1530" s="5" t="n">
        <f aca="false">IF(H1530&lt;=16,1.45,
IF(H1530&gt;=41,0.3,
CHOOSE(ROUNDDOWN((H1530-16)/2,0)+1,
1.45,1.38,1.3,1.23,1.17,1.15,1.12,1.05,0.95,0.8,0.6,0.4,0.3)))</f>
        <v>1.15</v>
      </c>
      <c r="T1530" s="5" t="n">
        <f aca="false">CHOOSE(N1530+1,1.2,1,0.85,0.7)</f>
        <v>1.2</v>
      </c>
      <c r="U1530" s="5" t="n">
        <f aca="false">IF(F1530="PO",0.6,
IF(F1530="CT",0.75,
IF(F1530="LI",0.8,
IF(F1530="LD",0.8,
IF(F1530="MCD",0.85,
IF(F1530="MC",0.95,
IF(F1530="MO",1.05,
IF(F1530="EI",1.1,
IF(F1530="ED",1.1,
IF(F1530="SD",1.15,
IF(F1530="DC",1.2,0)))))))))))</f>
        <v>0.8</v>
      </c>
    </row>
    <row r="1531" customFormat="false" ht="16.4" hidden="false" customHeight="false" outlineLevel="0" collapsed="false">
      <c r="A1531" s="1" t="n">
        <v>1530</v>
      </c>
      <c r="B1531" s="5" t="str">
        <f aca="false">[1]Base_Jugadores!B1531</f>
        <v>Yeferson Paz</v>
      </c>
      <c r="C1531" s="5" t="str">
        <f aca="false">IFERROR(
   _xlfn.XLOOKUP(VALUE(A1531),[1]Fichajes_Realizados!A$2:A$50000,[1]Fichajes_Realizados!D$2:D$50000,,0,-1),
   _xlfn.XLOOKUP(VALUE(A1531),[1]Base_Jugadores!A$2:A$50000,[1]Base_Jugadores!C$2:C$50000)
)</f>
        <v>US Sassuolo</v>
      </c>
      <c r="D1531" s="5" t="str">
        <f aca="false">[1]Base_Jugadores!D1531</f>
        <v>Colombia</v>
      </c>
      <c r="E1531" s="3"/>
      <c r="F1531" s="5" t="str">
        <f aca="false">[1]Base_Jugadores!E1531</f>
        <v>LD</v>
      </c>
      <c r="G1531" s="5" t="n">
        <f aca="false">[1]Base_Jugadores!F1531</f>
        <v>67</v>
      </c>
      <c r="H1531" s="5" t="n">
        <f aca="false">[1]Base_Jugadores!G1531</f>
        <v>23</v>
      </c>
      <c r="I1531" s="7" t="n">
        <f aca="false" t="array" ref="I1531:I1531">_xlfn.XLOOKUP(G1531,{55;56;57;58;59;60;61;62;63;64;65;66;67;68;69;70;71;72;73;74;75;76;77;78;79;80;81;82;83;84;85;86;87;88;89;90;91;92;93;94;95;96;97;98;99},{100000;130000;160000;190000;220000;250000;300000;350000;400000;450000;500000;600000;700000;800000;900000;1000000;1500000;2000000;3000000;4000000;5000000;6500000;8000000;10000000;12500000;15000000;20000000;25000000;30000000;35000000;40000000;55000000;70000000;80000000;90000000;110000000;130000000;160000000;190000000;220000000;250000000;280000000;310000000;340000000;400000000})</f>
        <v>700000</v>
      </c>
      <c r="J1531" s="7" t="n">
        <f aca="false">I1531*S1531*T1531*U1531</f>
        <v>826560</v>
      </c>
      <c r="K1531" s="3"/>
      <c r="L1531" s="3"/>
      <c r="M1531" s="3"/>
      <c r="N1531" s="9" t="n">
        <v>0</v>
      </c>
      <c r="O1531" s="4" t="n">
        <v>0</v>
      </c>
      <c r="P1531" s="5" t="n">
        <f aca="false">IF(COUNTIF([1]Base_Jugadores!J$2:J$500,B1531)&gt;0,1,0)</f>
        <v>0</v>
      </c>
      <c r="Q1531" s="10" t="b">
        <f aca="false">--(COUNTIFS(
   [1]Fichajes_Realizados!A$2:A$5000,A1531,
   [1]Fichajes_Realizados!G$2:G$5000,$X$3
)&gt;0)</f>
        <v>0</v>
      </c>
      <c r="R1531" s="5" t="n">
        <f aca="false">_xlfn.XLOOKUP(C1531, [1]Estado_Equipos!A$2:A$500, [1]Estado_Equipos!J$2:J$500, "")</f>
        <v>71</v>
      </c>
      <c r="S1531" s="5" t="n">
        <f aca="false">IF(H1531&lt;=16,1.45,
IF(H1531&gt;=41,0.3,
CHOOSE(ROUNDDOWN((H1531-16)/2,0)+1,
1.45,1.38,1.3,1.23,1.17,1.15,1.12,1.05,0.95,0.8,0.6,0.4,0.3)))</f>
        <v>1.23</v>
      </c>
      <c r="T1531" s="5" t="n">
        <f aca="false">CHOOSE(N1531+1,1.2,1,0.85,0.7)</f>
        <v>1.2</v>
      </c>
      <c r="U1531" s="5" t="n">
        <f aca="false">IF(F1531="PO",0.6,
IF(F1531="CT",0.75,
IF(F1531="LI",0.8,
IF(F1531="LD",0.8,
IF(F1531="MCD",0.85,
IF(F1531="MC",0.95,
IF(F1531="MO",1.05,
IF(F1531="EI",1.1,
IF(F1531="ED",1.1,
IF(F1531="SD",1.15,
IF(F1531="DC",1.2,0)))))))))))</f>
        <v>0.8</v>
      </c>
    </row>
    <row r="1532" customFormat="false" ht="16.4" hidden="false" customHeight="false" outlineLevel="0" collapsed="false">
      <c r="A1532" s="1" t="n">
        <v>1531</v>
      </c>
      <c r="B1532" s="5" t="str">
        <f aca="false">[1]Base_Jugadores!B1532</f>
        <v>Daniel Boloca</v>
      </c>
      <c r="C1532" s="5" t="str">
        <f aca="false">IFERROR(
   _xlfn.XLOOKUP(VALUE(A1532),[1]Fichajes_Realizados!A$2:A$50000,[1]Fichajes_Realizados!D$2:D$50000,,0,-1),
   _xlfn.XLOOKUP(VALUE(A1532),[1]Base_Jugadores!A$2:A$50000,[1]Base_Jugadores!C$2:C$50000)
)</f>
        <v>US Sassuolo</v>
      </c>
      <c r="D1532" s="5" t="str">
        <f aca="false">[1]Base_Jugadores!D1532</f>
        <v>Italia</v>
      </c>
      <c r="E1532" s="3"/>
      <c r="F1532" s="5" t="str">
        <f aca="false">[1]Base_Jugadores!E1532</f>
        <v>MCD</v>
      </c>
      <c r="G1532" s="5" t="n">
        <f aca="false">[1]Base_Jugadores!F1532</f>
        <v>74</v>
      </c>
      <c r="H1532" s="5" t="n">
        <f aca="false">[1]Base_Jugadores!G1532</f>
        <v>27</v>
      </c>
      <c r="I1532" s="7" t="n">
        <f aca="false" t="array" ref="I1532:I1532">_xlfn.XLOOKUP(G1532,{55;56;57;58;59;60;61;62;63;64;65;66;67;68;69;70;71;72;73;74;75;76;77;78;79;80;81;82;83;84;85;86;87;88;89;90;91;92;93;94;95;96;97;98;99},{100000;130000;160000;190000;220000;250000;300000;350000;400000;450000;500000;600000;700000;800000;900000;1000000;1500000;2000000;3000000;4000000;5000000;6500000;8000000;10000000;12500000;15000000;20000000;25000000;30000000;35000000;40000000;55000000;70000000;80000000;90000000;110000000;130000000;160000000;190000000;220000000;250000000;280000000;310000000;340000000;400000000})</f>
        <v>4000000</v>
      </c>
      <c r="J1532" s="7" t="n">
        <f aca="false">I1532*S1532*T1532*U1532</f>
        <v>4692000</v>
      </c>
      <c r="K1532" s="3"/>
      <c r="L1532" s="3"/>
      <c r="M1532" s="3"/>
      <c r="N1532" s="9" t="n">
        <v>0</v>
      </c>
      <c r="O1532" s="4" t="n">
        <v>0</v>
      </c>
      <c r="P1532" s="5" t="n">
        <f aca="false">IF(COUNTIF([1]Base_Jugadores!J$2:J$500,B1532)&gt;0,1,0)</f>
        <v>0</v>
      </c>
      <c r="Q1532" s="10" t="b">
        <f aca="false">--(COUNTIFS(
   [1]Fichajes_Realizados!A$2:A$5000,A1532,
   [1]Fichajes_Realizados!G$2:G$5000,$X$3
)&gt;0)</f>
        <v>0</v>
      </c>
      <c r="R1532" s="5" t="n">
        <f aca="false">_xlfn.XLOOKUP(C1532, [1]Estado_Equipos!A$2:A$500, [1]Estado_Equipos!J$2:J$500, "")</f>
        <v>71</v>
      </c>
      <c r="S1532" s="5" t="n">
        <f aca="false">IF(H1532&lt;=16,1.45,
IF(H1532&gt;=41,0.3,
CHOOSE(ROUNDDOWN((H1532-16)/2,0)+1,
1.45,1.38,1.3,1.23,1.17,1.15,1.12,1.05,0.95,0.8,0.6,0.4,0.3)))</f>
        <v>1.15</v>
      </c>
      <c r="T1532" s="5" t="n">
        <f aca="false">CHOOSE(N1532+1,1.2,1,0.85,0.7)</f>
        <v>1.2</v>
      </c>
      <c r="U1532" s="5" t="n">
        <f aca="false">IF(F1532="PO",0.6,
IF(F1532="CT",0.75,
IF(F1532="LI",0.8,
IF(F1532="LD",0.8,
IF(F1532="MCD",0.85,
IF(F1532="MC",0.95,
IF(F1532="MO",1.05,
IF(F1532="EI",1.1,
IF(F1532="ED",1.1,
IF(F1532="SD",1.15,
IF(F1532="DC",1.2,0)))))))))))</f>
        <v>0.85</v>
      </c>
    </row>
    <row r="1533" customFormat="false" ht="16.4" hidden="false" customHeight="false" outlineLevel="0" collapsed="false">
      <c r="A1533" s="1" t="n">
        <v>1532</v>
      </c>
      <c r="B1533" s="5" t="str">
        <f aca="false">[1]Base_Jugadores!B1533</f>
        <v>Luca Lipani</v>
      </c>
      <c r="C1533" s="5" t="str">
        <f aca="false">IFERROR(
   _xlfn.XLOOKUP(VALUE(A1533),[1]Fichajes_Realizados!A$2:A$50000,[1]Fichajes_Realizados!D$2:D$50000,,0,-1),
   _xlfn.XLOOKUP(VALUE(A1533),[1]Base_Jugadores!A$2:A$50000,[1]Base_Jugadores!C$2:C$50000)
)</f>
        <v>US Sassuolo</v>
      </c>
      <c r="D1533" s="5" t="str">
        <f aca="false">[1]Base_Jugadores!D1533</f>
        <v>Italia</v>
      </c>
      <c r="E1533" s="3"/>
      <c r="F1533" s="5" t="str">
        <f aca="false">[1]Base_Jugadores!E1533</f>
        <v>MCD</v>
      </c>
      <c r="G1533" s="5" t="n">
        <f aca="false">[1]Base_Jugadores!F1533</f>
        <v>65</v>
      </c>
      <c r="H1533" s="5" t="n">
        <f aca="false">[1]Base_Jugadores!G1533</f>
        <v>20</v>
      </c>
      <c r="I1533" s="7" t="n">
        <f aca="false" t="array" ref="I1533:I1533">_xlfn.XLOOKUP(G1533,{55;56;57;58;59;60;61;62;63;64;65;66;67;68;69;70;71;72;73;74;75;76;77;78;79;80;81;82;83;84;85;86;87;88;89;90;91;92;93;94;95;96;97;98;99},{100000;130000;160000;190000;220000;250000;300000;350000;400000;450000;500000;600000;700000;800000;900000;1000000;1500000;2000000;3000000;4000000;5000000;6500000;8000000;10000000;12500000;15000000;20000000;25000000;30000000;35000000;40000000;55000000;70000000;80000000;90000000;110000000;130000000;160000000;190000000;220000000;250000000;280000000;310000000;340000000;400000000})</f>
        <v>500000</v>
      </c>
      <c r="J1533" s="7" t="n">
        <f aca="false">I1533*S1533*T1533*U1533</f>
        <v>663000</v>
      </c>
      <c r="K1533" s="3"/>
      <c r="L1533" s="3"/>
      <c r="M1533" s="3"/>
      <c r="N1533" s="9" t="n">
        <v>0</v>
      </c>
      <c r="O1533" s="4" t="n">
        <v>0</v>
      </c>
      <c r="P1533" s="5" t="n">
        <f aca="false">IF(COUNTIF([1]Base_Jugadores!J$2:J$500,B1533)&gt;0,1,0)</f>
        <v>0</v>
      </c>
      <c r="Q1533" s="10" t="b">
        <f aca="false">--(COUNTIFS(
   [1]Fichajes_Realizados!A$2:A$5000,A1533,
   [1]Fichajes_Realizados!G$2:G$5000,$X$3
)&gt;0)</f>
        <v>0</v>
      </c>
      <c r="R1533" s="5" t="n">
        <f aca="false">_xlfn.XLOOKUP(C1533, [1]Estado_Equipos!A$2:A$500, [1]Estado_Equipos!J$2:J$500, "")</f>
        <v>71</v>
      </c>
      <c r="S1533" s="5" t="n">
        <f aca="false">IF(H1533&lt;=16,1.45,
IF(H1533&gt;=41,0.3,
CHOOSE(ROUNDDOWN((H1533-16)/2,0)+1,
1.45,1.38,1.3,1.23,1.17,1.15,1.12,1.05,0.95,0.8,0.6,0.4,0.3)))</f>
        <v>1.3</v>
      </c>
      <c r="T1533" s="5" t="n">
        <f aca="false">CHOOSE(N1533+1,1.2,1,0.85,0.7)</f>
        <v>1.2</v>
      </c>
      <c r="U1533" s="5" t="n">
        <f aca="false">IF(F1533="PO",0.6,
IF(F1533="CT",0.75,
IF(F1533="LI",0.8,
IF(F1533="LD",0.8,
IF(F1533="MCD",0.85,
IF(F1533="MC",0.95,
IF(F1533="MO",1.05,
IF(F1533="EI",1.1,
IF(F1533="ED",1.1,
IF(F1533="SD",1.15,
IF(F1533="DC",1.2,0)))))))))))</f>
        <v>0.85</v>
      </c>
    </row>
    <row r="1534" customFormat="false" ht="16.4" hidden="false" customHeight="false" outlineLevel="0" collapsed="false">
      <c r="A1534" s="1" t="n">
        <v>1533</v>
      </c>
      <c r="B1534" s="5" t="str">
        <f aca="false">[1]Base_Jugadores!B1534</f>
        <v>Nemanja Matić</v>
      </c>
      <c r="C1534" s="5" t="str">
        <f aca="false">IFERROR(
   _xlfn.XLOOKUP(VALUE(A1534),[1]Fichajes_Realizados!A$2:A$50000,[1]Fichajes_Realizados!D$2:D$50000,,0,-1),
   _xlfn.XLOOKUP(VALUE(A1534),[1]Base_Jugadores!A$2:A$50000,[1]Base_Jugadores!C$2:C$50000)
)</f>
        <v>US Sassuolo</v>
      </c>
      <c r="D1534" s="5" t="str">
        <f aca="false">[1]Base_Jugadores!D1534</f>
        <v>Serbia</v>
      </c>
      <c r="E1534" s="3"/>
      <c r="F1534" s="5" t="str">
        <f aca="false">[1]Base_Jugadores!E1534</f>
        <v>MCD</v>
      </c>
      <c r="G1534" s="5" t="n">
        <f aca="false">[1]Base_Jugadores!F1534</f>
        <v>79</v>
      </c>
      <c r="H1534" s="5" t="n">
        <f aca="false">[1]Base_Jugadores!G1534</f>
        <v>37</v>
      </c>
      <c r="I1534" s="7" t="n">
        <f aca="false" t="array" ref="I1534:I1534">_xlfn.XLOOKUP(G1534,{55;56;57;58;59;60;61;62;63;64;65;66;67;68;69;70;71;72;73;74;75;76;77;78;79;80;81;82;83;84;85;86;87;88;89;90;91;92;93;94;95;96;97;98;99},{100000;130000;160000;190000;220000;250000;300000;350000;400000;450000;500000;600000;700000;800000;900000;1000000;1500000;2000000;3000000;4000000;5000000;6500000;8000000;10000000;12500000;15000000;20000000;25000000;30000000;35000000;40000000;55000000;70000000;80000000;90000000;110000000;130000000;160000000;190000000;220000000;250000000;280000000;310000000;340000000;400000000})</f>
        <v>12500000</v>
      </c>
      <c r="J1534" s="7" t="n">
        <f aca="false">I1534*S1534*T1534*U1534</f>
        <v>7650000</v>
      </c>
      <c r="K1534" s="3"/>
      <c r="L1534" s="3"/>
      <c r="M1534" s="3"/>
      <c r="N1534" s="9" t="n">
        <v>0</v>
      </c>
      <c r="O1534" s="4" t="n">
        <v>0</v>
      </c>
      <c r="P1534" s="5" t="n">
        <f aca="false">IF(COUNTIF([1]Base_Jugadores!J$2:J$500,B1534)&gt;0,1,0)</f>
        <v>0</v>
      </c>
      <c r="Q1534" s="10" t="b">
        <f aca="false">--(COUNTIFS(
   [1]Fichajes_Realizados!A$2:A$5000,A1534,
   [1]Fichajes_Realizados!G$2:G$5000,$X$3
)&gt;0)</f>
        <v>0</v>
      </c>
      <c r="R1534" s="5" t="n">
        <f aca="false">_xlfn.XLOOKUP(C1534, [1]Estado_Equipos!A$2:A$500, [1]Estado_Equipos!J$2:J$500, "")</f>
        <v>71</v>
      </c>
      <c r="S1534" s="5" t="n">
        <f aca="false">IF(H1534&lt;=16,1.45,
IF(H1534&gt;=41,0.3,
CHOOSE(ROUNDDOWN((H1534-16)/2,0)+1,
1.45,1.38,1.3,1.23,1.17,1.15,1.12,1.05,0.95,0.8,0.6,0.4,0.3)))</f>
        <v>0.6</v>
      </c>
      <c r="T1534" s="5" t="n">
        <f aca="false">CHOOSE(N1534+1,1.2,1,0.85,0.7)</f>
        <v>1.2</v>
      </c>
      <c r="U1534" s="5" t="n">
        <f aca="false">IF(F1534="PO",0.6,
IF(F1534="CT",0.75,
IF(F1534="LI",0.8,
IF(F1534="LD",0.8,
IF(F1534="MCD",0.85,
IF(F1534="MC",0.95,
IF(F1534="MO",1.05,
IF(F1534="EI",1.1,
IF(F1534="ED",1.1,
IF(F1534="SD",1.15,
IF(F1534="DC",1.2,0)))))))))))</f>
        <v>0.85</v>
      </c>
    </row>
    <row r="1535" customFormat="false" ht="16.4" hidden="false" customHeight="false" outlineLevel="0" collapsed="false">
      <c r="A1535" s="1" t="n">
        <v>1534</v>
      </c>
      <c r="B1535" s="5" t="str">
        <f aca="false">[1]Base_Jugadores!B1535</f>
        <v>Ismaël Koné</v>
      </c>
      <c r="C1535" s="5" t="str">
        <f aca="false">IFERROR(
   _xlfn.XLOOKUP(VALUE(A1535),[1]Fichajes_Realizados!A$2:A$50000,[1]Fichajes_Realizados!D$2:D$50000,,0,-1),
   _xlfn.XLOOKUP(VALUE(A1535),[1]Base_Jugadores!A$2:A$50000,[1]Base_Jugadores!C$2:C$50000)
)</f>
        <v>US Sassuolo</v>
      </c>
      <c r="D1535" s="5" t="str">
        <f aca="false">[1]Base_Jugadores!D1535</f>
        <v>Canadá</v>
      </c>
      <c r="E1535" s="3"/>
      <c r="F1535" s="5" t="str">
        <f aca="false">[1]Base_Jugadores!E1535</f>
        <v>MC</v>
      </c>
      <c r="G1535" s="5" t="n">
        <f aca="false">[1]Base_Jugadores!F1535</f>
        <v>73</v>
      </c>
      <c r="H1535" s="5" t="n">
        <f aca="false">[1]Base_Jugadores!G1535</f>
        <v>23</v>
      </c>
      <c r="I1535" s="7" t="n">
        <f aca="false" t="array" ref="I1535:I1535">_xlfn.XLOOKUP(G1535,{55;56;57;58;59;60;61;62;63;64;65;66;67;68;69;70;71;72;73;74;75;76;77;78;79;80;81;82;83;84;85;86;87;88;89;90;91;92;93;94;95;96;97;98;99},{100000;130000;160000;190000;220000;250000;300000;350000;400000;450000;500000;600000;700000;800000;900000;1000000;1500000;2000000;3000000;4000000;5000000;6500000;8000000;10000000;12500000;15000000;20000000;25000000;30000000;35000000;40000000;55000000;70000000;80000000;90000000;110000000;130000000;160000000;190000000;220000000;250000000;280000000;310000000;340000000;400000000})</f>
        <v>3000000</v>
      </c>
      <c r="J1535" s="7" t="n">
        <f aca="false">I1535*S1535*T1535*U1535</f>
        <v>4206600</v>
      </c>
      <c r="K1535" s="3"/>
      <c r="L1535" s="3"/>
      <c r="M1535" s="3"/>
      <c r="N1535" s="9" t="n">
        <v>0</v>
      </c>
      <c r="O1535" s="4" t="n">
        <v>0</v>
      </c>
      <c r="P1535" s="5" t="n">
        <f aca="false">IF(COUNTIF([1]Base_Jugadores!J$2:J$500,B1535)&gt;0,1,0)</f>
        <v>0</v>
      </c>
      <c r="Q1535" s="10" t="b">
        <f aca="false">--(COUNTIFS(
   [1]Fichajes_Realizados!A$2:A$5000,A1535,
   [1]Fichajes_Realizados!G$2:G$5000,$X$3
)&gt;0)</f>
        <v>0</v>
      </c>
      <c r="R1535" s="5" t="n">
        <f aca="false">_xlfn.XLOOKUP(C1535, [1]Estado_Equipos!A$2:A$500, [1]Estado_Equipos!J$2:J$500, "")</f>
        <v>71</v>
      </c>
      <c r="S1535" s="5" t="n">
        <f aca="false">IF(H1535&lt;=16,1.45,
IF(H1535&gt;=41,0.3,
CHOOSE(ROUNDDOWN((H1535-16)/2,0)+1,
1.45,1.38,1.3,1.23,1.17,1.15,1.12,1.05,0.95,0.8,0.6,0.4,0.3)))</f>
        <v>1.23</v>
      </c>
      <c r="T1535" s="5" t="n">
        <f aca="false">CHOOSE(N1535+1,1.2,1,0.85,0.7)</f>
        <v>1.2</v>
      </c>
      <c r="U1535" s="5" t="n">
        <f aca="false">IF(F1535="PO",0.6,
IF(F1535="CT",0.75,
IF(F1535="LI",0.8,
IF(F1535="LD",0.8,
IF(F1535="MCD",0.85,
IF(F1535="MC",0.95,
IF(F1535="MO",1.05,
IF(F1535="EI",1.1,
IF(F1535="ED",1.1,
IF(F1535="SD",1.15,
IF(F1535="DC",1.2,0)))))))))))</f>
        <v>0.95</v>
      </c>
    </row>
    <row r="1536" customFormat="false" ht="16.4" hidden="false" customHeight="false" outlineLevel="0" collapsed="false">
      <c r="A1536" s="1" t="n">
        <v>1535</v>
      </c>
      <c r="B1536" s="5" t="str">
        <f aca="false">[1]Base_Jugadores!B1536</f>
        <v>Kristian Thorstvedt</v>
      </c>
      <c r="C1536" s="5" t="str">
        <f aca="false">IFERROR(
   _xlfn.XLOOKUP(VALUE(A1536),[1]Fichajes_Realizados!A$2:A$50000,[1]Fichajes_Realizados!D$2:D$50000,,0,-1),
   _xlfn.XLOOKUP(VALUE(A1536),[1]Base_Jugadores!A$2:A$50000,[1]Base_Jugadores!C$2:C$50000)
)</f>
        <v>US Sassuolo</v>
      </c>
      <c r="D1536" s="5" t="str">
        <f aca="false">[1]Base_Jugadores!D1536</f>
        <v>Noruega</v>
      </c>
      <c r="E1536" s="3"/>
      <c r="F1536" s="5" t="str">
        <f aca="false">[1]Base_Jugadores!E1536</f>
        <v>MC</v>
      </c>
      <c r="G1536" s="5" t="n">
        <f aca="false">[1]Base_Jugadores!F1536</f>
        <v>74</v>
      </c>
      <c r="H1536" s="5" t="n">
        <f aca="false">[1]Base_Jugadores!G1536</f>
        <v>26</v>
      </c>
      <c r="I1536" s="7" t="n">
        <f aca="false" t="array" ref="I1536:I1536">_xlfn.XLOOKUP(G1536,{55;56;57;58;59;60;61;62;63;64;65;66;67;68;69;70;71;72;73;74;75;76;77;78;79;80;81;82;83;84;85;86;87;88;89;90;91;92;93;94;95;96;97;98;99},{100000;130000;160000;190000;220000;250000;300000;350000;400000;450000;500000;600000;700000;800000;900000;1000000;1500000;2000000;3000000;4000000;5000000;6500000;8000000;10000000;12500000;15000000;20000000;25000000;30000000;35000000;40000000;55000000;70000000;80000000;90000000;110000000;130000000;160000000;190000000;220000000;250000000;280000000;310000000;340000000;400000000})</f>
        <v>4000000</v>
      </c>
      <c r="J1536" s="7" t="n">
        <f aca="false">I1536*S1536*T1536*U1536</f>
        <v>5244000</v>
      </c>
      <c r="K1536" s="3"/>
      <c r="L1536" s="3"/>
      <c r="M1536" s="3"/>
      <c r="N1536" s="9" t="n">
        <v>0</v>
      </c>
      <c r="O1536" s="4" t="n">
        <v>0</v>
      </c>
      <c r="P1536" s="5" t="n">
        <f aca="false">IF(COUNTIF([1]Base_Jugadores!J$2:J$500,B1536)&gt;0,1,0)</f>
        <v>0</v>
      </c>
      <c r="Q1536" s="10" t="b">
        <f aca="false">--(COUNTIFS(
   [1]Fichajes_Realizados!A$2:A$5000,A1536,
   [1]Fichajes_Realizados!G$2:G$5000,$X$3
)&gt;0)</f>
        <v>0</v>
      </c>
      <c r="R1536" s="5" t="n">
        <f aca="false">_xlfn.XLOOKUP(C1536, [1]Estado_Equipos!A$2:A$500, [1]Estado_Equipos!J$2:J$500, "")</f>
        <v>71</v>
      </c>
      <c r="S1536" s="5" t="n">
        <f aca="false">IF(H1536&lt;=16,1.45,
IF(H1536&gt;=41,0.3,
CHOOSE(ROUNDDOWN((H1536-16)/2,0)+1,
1.45,1.38,1.3,1.23,1.17,1.15,1.12,1.05,0.95,0.8,0.6,0.4,0.3)))</f>
        <v>1.15</v>
      </c>
      <c r="T1536" s="5" t="n">
        <f aca="false">CHOOSE(N1536+1,1.2,1,0.85,0.7)</f>
        <v>1.2</v>
      </c>
      <c r="U1536" s="5" t="n">
        <f aca="false">IF(F1536="PO",0.6,
IF(F1536="CT",0.75,
IF(F1536="LI",0.8,
IF(F1536="LD",0.8,
IF(F1536="MCD",0.85,
IF(F1536="MC",0.95,
IF(F1536="MO",1.05,
IF(F1536="EI",1.1,
IF(F1536="ED",1.1,
IF(F1536="SD",1.15,
IF(F1536="DC",1.2,0)))))))))))</f>
        <v>0.95</v>
      </c>
    </row>
    <row r="1537" customFormat="false" ht="16.4" hidden="false" customHeight="false" outlineLevel="0" collapsed="false">
      <c r="A1537" s="1" t="n">
        <v>1536</v>
      </c>
      <c r="B1537" s="5" t="str">
        <f aca="false">[1]Base_Jugadores!B1537</f>
        <v>Aster Vranckx</v>
      </c>
      <c r="C1537" s="5" t="str">
        <f aca="false">IFERROR(
   _xlfn.XLOOKUP(VALUE(A1537),[1]Fichajes_Realizados!A$2:A$50000,[1]Fichajes_Realizados!D$2:D$50000,,0,-1),
   _xlfn.XLOOKUP(VALUE(A1537),[1]Base_Jugadores!A$2:A$50000,[1]Base_Jugadores!C$2:C$50000)
)</f>
        <v>US Sassuolo</v>
      </c>
      <c r="D1537" s="5" t="str">
        <f aca="false">[1]Base_Jugadores!D1537</f>
        <v>Bélgica</v>
      </c>
      <c r="E1537" s="3"/>
      <c r="F1537" s="5" t="str">
        <f aca="false">[1]Base_Jugadores!E1537</f>
        <v>MC</v>
      </c>
      <c r="G1537" s="5" t="n">
        <f aca="false">[1]Base_Jugadores!F1537</f>
        <v>74</v>
      </c>
      <c r="H1537" s="5" t="n">
        <f aca="false">[1]Base_Jugadores!G1537</f>
        <v>23</v>
      </c>
      <c r="I1537" s="7" t="n">
        <f aca="false" t="array" ref="I1537:I1537">_xlfn.XLOOKUP(G1537,{55;56;57;58;59;60;61;62;63;64;65;66;67;68;69;70;71;72;73;74;75;76;77;78;79;80;81;82;83;84;85;86;87;88;89;90;91;92;93;94;95;96;97;98;99},{100000;130000;160000;190000;220000;250000;300000;350000;400000;450000;500000;600000;700000;800000;900000;1000000;1500000;2000000;3000000;4000000;5000000;6500000;8000000;10000000;12500000;15000000;20000000;25000000;30000000;35000000;40000000;55000000;70000000;80000000;90000000;110000000;130000000;160000000;190000000;220000000;250000000;280000000;310000000;340000000;400000000})</f>
        <v>4000000</v>
      </c>
      <c r="J1537" s="7" t="n">
        <f aca="false">I1537*S1537*T1537*U1537</f>
        <v>5608800</v>
      </c>
      <c r="K1537" s="3"/>
      <c r="L1537" s="3"/>
      <c r="M1537" s="3"/>
      <c r="N1537" s="9" t="n">
        <v>0</v>
      </c>
      <c r="O1537" s="4" t="n">
        <v>0</v>
      </c>
      <c r="P1537" s="5" t="n">
        <f aca="false">IF(COUNTIF([1]Base_Jugadores!J$2:J$500,B1537)&gt;0,1,0)</f>
        <v>0</v>
      </c>
      <c r="Q1537" s="10" t="b">
        <f aca="false">--(COUNTIFS(
   [1]Fichajes_Realizados!A$2:A$5000,A1537,
   [1]Fichajes_Realizados!G$2:G$5000,$X$3
)&gt;0)</f>
        <v>0</v>
      </c>
      <c r="R1537" s="5" t="n">
        <f aca="false">_xlfn.XLOOKUP(C1537, [1]Estado_Equipos!A$2:A$500, [1]Estado_Equipos!J$2:J$500, "")</f>
        <v>71</v>
      </c>
      <c r="S1537" s="5" t="n">
        <f aca="false">IF(H1537&lt;=16,1.45,
IF(H1537&gt;=41,0.3,
CHOOSE(ROUNDDOWN((H1537-16)/2,0)+1,
1.45,1.38,1.3,1.23,1.17,1.15,1.12,1.05,0.95,0.8,0.6,0.4,0.3)))</f>
        <v>1.23</v>
      </c>
      <c r="T1537" s="5" t="n">
        <f aca="false">CHOOSE(N1537+1,1.2,1,0.85,0.7)</f>
        <v>1.2</v>
      </c>
      <c r="U1537" s="5" t="n">
        <f aca="false">IF(F1537="PO",0.6,
IF(F1537="CT",0.75,
IF(F1537="LI",0.8,
IF(F1537="LD",0.8,
IF(F1537="MCD",0.85,
IF(F1537="MC",0.95,
IF(F1537="MO",1.05,
IF(F1537="EI",1.1,
IF(F1537="ED",1.1,
IF(F1537="SD",1.15,
IF(F1537="DC",1.2,0)))))))))))</f>
        <v>0.95</v>
      </c>
    </row>
    <row r="1538" customFormat="false" ht="16.4" hidden="false" customHeight="false" outlineLevel="0" collapsed="false">
      <c r="A1538" s="1" t="n">
        <v>1537</v>
      </c>
      <c r="B1538" s="5" t="str">
        <f aca="false">[1]Base_Jugadores!B1538</f>
        <v>Edoardo Iannoni</v>
      </c>
      <c r="C1538" s="5" t="str">
        <f aca="false">IFERROR(
   _xlfn.XLOOKUP(VALUE(A1538),[1]Fichajes_Realizados!A$2:A$50000,[1]Fichajes_Realizados!D$2:D$50000,,0,-1),
   _xlfn.XLOOKUP(VALUE(A1538),[1]Base_Jugadores!A$2:A$50000,[1]Base_Jugadores!C$2:C$50000)
)</f>
        <v>US Sassuolo</v>
      </c>
      <c r="D1538" s="5" t="str">
        <f aca="false">[1]Base_Jugadores!D1538</f>
        <v>Italia</v>
      </c>
      <c r="E1538" s="3"/>
      <c r="F1538" s="5" t="str">
        <f aca="false">[1]Base_Jugadores!E1538</f>
        <v>MC</v>
      </c>
      <c r="G1538" s="5" t="n">
        <f aca="false">[1]Base_Jugadores!F1538</f>
        <v>67</v>
      </c>
      <c r="H1538" s="5" t="n">
        <f aca="false">[1]Base_Jugadores!G1538</f>
        <v>24</v>
      </c>
      <c r="I1538" s="7" t="n">
        <f aca="false" t="array" ref="I1538:I1538">_xlfn.XLOOKUP(G1538,{55;56;57;58;59;60;61;62;63;64;65;66;67;68;69;70;71;72;73;74;75;76;77;78;79;80;81;82;83;84;85;86;87;88;89;90;91;92;93;94;95;96;97;98;99},{100000;130000;160000;190000;220000;250000;300000;350000;400000;450000;500000;600000;700000;800000;900000;1000000;1500000;2000000;3000000;4000000;5000000;6500000;8000000;10000000;12500000;15000000;20000000;25000000;30000000;35000000;40000000;55000000;70000000;80000000;90000000;110000000;130000000;160000000;190000000;220000000;250000000;280000000;310000000;340000000;400000000})</f>
        <v>700000</v>
      </c>
      <c r="J1538" s="7" t="n">
        <f aca="false">I1538*S1538*T1538*U1538</f>
        <v>933660</v>
      </c>
      <c r="K1538" s="3"/>
      <c r="L1538" s="3"/>
      <c r="M1538" s="3"/>
      <c r="N1538" s="9" t="n">
        <v>0</v>
      </c>
      <c r="O1538" s="4" t="n">
        <v>0</v>
      </c>
      <c r="P1538" s="5" t="n">
        <f aca="false">IF(COUNTIF([1]Base_Jugadores!J$2:J$500,B1538)&gt;0,1,0)</f>
        <v>0</v>
      </c>
      <c r="Q1538" s="10" t="b">
        <f aca="false">--(COUNTIFS(
   [1]Fichajes_Realizados!A$2:A$5000,A1538,
   [1]Fichajes_Realizados!G$2:G$5000,$X$3
)&gt;0)</f>
        <v>0</v>
      </c>
      <c r="R1538" s="5" t="n">
        <f aca="false">_xlfn.XLOOKUP(C1538, [1]Estado_Equipos!A$2:A$500, [1]Estado_Equipos!J$2:J$500, "")</f>
        <v>71</v>
      </c>
      <c r="S1538" s="5" t="n">
        <f aca="false">IF(H1538&lt;=16,1.45,
IF(H1538&gt;=41,0.3,
CHOOSE(ROUNDDOWN((H1538-16)/2,0)+1,
1.45,1.38,1.3,1.23,1.17,1.15,1.12,1.05,0.95,0.8,0.6,0.4,0.3)))</f>
        <v>1.17</v>
      </c>
      <c r="T1538" s="5" t="n">
        <f aca="false">CHOOSE(N1538+1,1.2,1,0.85,0.7)</f>
        <v>1.2</v>
      </c>
      <c r="U1538" s="5" t="n">
        <f aca="false">IF(F1538="PO",0.6,
IF(F1538="CT",0.75,
IF(F1538="LI",0.8,
IF(F1538="LD",0.8,
IF(F1538="MCD",0.85,
IF(F1538="MC",0.95,
IF(F1538="MO",1.05,
IF(F1538="EI",1.1,
IF(F1538="ED",1.1,
IF(F1538="SD",1.15,
IF(F1538="DC",1.2,0)))))))))))</f>
        <v>0.95</v>
      </c>
    </row>
    <row r="1539" customFormat="false" ht="16.4" hidden="false" customHeight="false" outlineLevel="0" collapsed="false">
      <c r="A1539" s="1" t="n">
        <v>1538</v>
      </c>
      <c r="B1539" s="5" t="str">
        <f aca="false">[1]Base_Jugadores!B1539</f>
        <v>Cristian Volpato</v>
      </c>
      <c r="C1539" s="5" t="str">
        <f aca="false">IFERROR(
   _xlfn.XLOOKUP(VALUE(A1539),[1]Fichajes_Realizados!A$2:A$50000,[1]Fichajes_Realizados!D$2:D$50000,,0,-1),
   _xlfn.XLOOKUP(VALUE(A1539),[1]Base_Jugadores!A$2:A$50000,[1]Base_Jugadores!C$2:C$50000)
)</f>
        <v>US Sassuolo</v>
      </c>
      <c r="D1539" s="5" t="str">
        <f aca="false">[1]Base_Jugadores!D1539</f>
        <v>Italia</v>
      </c>
      <c r="E1539" s="3"/>
      <c r="F1539" s="5" t="str">
        <f aca="false">[1]Base_Jugadores!E1539</f>
        <v>MO</v>
      </c>
      <c r="G1539" s="5" t="n">
        <f aca="false">[1]Base_Jugadores!F1539</f>
        <v>68</v>
      </c>
      <c r="H1539" s="5" t="n">
        <f aca="false">[1]Base_Jugadores!G1539</f>
        <v>22</v>
      </c>
      <c r="I1539" s="7" t="n">
        <f aca="false" t="array" ref="I1539:I1539">_xlfn.XLOOKUP(G1539,{55;56;57;58;59;60;61;62;63;64;65;66;67;68;69;70;71;72;73;74;75;76;77;78;79;80;81;82;83;84;85;86;87;88;89;90;91;92;93;94;95;96;97;98;99},{100000;130000;160000;190000;220000;250000;300000;350000;400000;450000;500000;600000;700000;800000;900000;1000000;1500000;2000000;3000000;4000000;5000000;6500000;8000000;10000000;12500000;15000000;20000000;25000000;30000000;35000000;40000000;55000000;70000000;80000000;90000000;110000000;130000000;160000000;190000000;220000000;250000000;280000000;310000000;340000000;400000000})</f>
        <v>800000</v>
      </c>
      <c r="J1539" s="7" t="n">
        <f aca="false">I1539*S1539*T1539*U1539</f>
        <v>1239840</v>
      </c>
      <c r="K1539" s="3"/>
      <c r="L1539" s="3"/>
      <c r="M1539" s="3"/>
      <c r="N1539" s="9" t="n">
        <v>0</v>
      </c>
      <c r="O1539" s="4" t="n">
        <v>0</v>
      </c>
      <c r="P1539" s="5" t="n">
        <f aca="false">IF(COUNTIF([1]Base_Jugadores!J$2:J$500,B1539)&gt;0,1,0)</f>
        <v>0</v>
      </c>
      <c r="Q1539" s="10" t="b">
        <f aca="false">--(COUNTIFS(
   [1]Fichajes_Realizados!A$2:A$5000,A1539,
   [1]Fichajes_Realizados!G$2:G$5000,$X$3
)&gt;0)</f>
        <v>0</v>
      </c>
      <c r="R1539" s="5" t="n">
        <f aca="false">_xlfn.XLOOKUP(C1539, [1]Estado_Equipos!A$2:A$500, [1]Estado_Equipos!J$2:J$500, "")</f>
        <v>71</v>
      </c>
      <c r="S1539" s="5" t="n">
        <f aca="false">IF(H1539&lt;=16,1.45,
IF(H1539&gt;=41,0.3,
CHOOSE(ROUNDDOWN((H1539-16)/2,0)+1,
1.45,1.38,1.3,1.23,1.17,1.15,1.12,1.05,0.95,0.8,0.6,0.4,0.3)))</f>
        <v>1.23</v>
      </c>
      <c r="T1539" s="5" t="n">
        <f aca="false">CHOOSE(N1539+1,1.2,1,0.85,0.7)</f>
        <v>1.2</v>
      </c>
      <c r="U1539" s="5" t="n">
        <f aca="false">IF(F1539="PO",0.6,
IF(F1539="CT",0.75,
IF(F1539="LI",0.8,
IF(F1539="LD",0.8,
IF(F1539="MCD",0.85,
IF(F1539="MC",0.95,
IF(F1539="MO",1.05,
IF(F1539="EI",1.1,
IF(F1539="ED",1.1,
IF(F1539="SD",1.15,
IF(F1539="DC",1.2,0)))))))))))</f>
        <v>1.05</v>
      </c>
    </row>
    <row r="1540" customFormat="false" ht="16.4" hidden="false" customHeight="false" outlineLevel="0" collapsed="false">
      <c r="A1540" s="1" t="n">
        <v>1539</v>
      </c>
      <c r="B1540" s="5" t="str">
        <f aca="false">[1]Base_Jugadores!B1540</f>
        <v>Armand Laurienté</v>
      </c>
      <c r="C1540" s="5" t="str">
        <f aca="false">IFERROR(
   _xlfn.XLOOKUP(VALUE(A1540),[1]Fichajes_Realizados!A$2:A$50000,[1]Fichajes_Realizados!D$2:D$50000,,0,-1),
   _xlfn.XLOOKUP(VALUE(A1540),[1]Base_Jugadores!A$2:A$50000,[1]Base_Jugadores!C$2:C$50000)
)</f>
        <v>US Sassuolo</v>
      </c>
      <c r="D1540" s="5" t="str">
        <f aca="false">[1]Base_Jugadores!D1540</f>
        <v>Francia</v>
      </c>
      <c r="E1540" s="3"/>
      <c r="F1540" s="5" t="str">
        <f aca="false">[1]Base_Jugadores!E1540</f>
        <v>EI</v>
      </c>
      <c r="G1540" s="5" t="n">
        <f aca="false">[1]Base_Jugadores!F1540</f>
        <v>80</v>
      </c>
      <c r="H1540" s="5" t="n">
        <f aca="false">[1]Base_Jugadores!G1540</f>
        <v>27</v>
      </c>
      <c r="I1540" s="7" t="n">
        <f aca="false" t="array" ref="I1540:I1540">_xlfn.XLOOKUP(G1540,{55;56;57;58;59;60;61;62;63;64;65;66;67;68;69;70;71;72;73;74;75;76;77;78;79;80;81;82;83;84;85;86;87;88;89;90;91;92;93;94;95;96;97;98;99},{100000;130000;160000;190000;220000;250000;300000;350000;400000;450000;500000;600000;700000;800000;900000;1000000;1500000;2000000;3000000;4000000;5000000;6500000;8000000;10000000;12500000;15000000;20000000;25000000;30000000;35000000;40000000;55000000;70000000;80000000;90000000;110000000;130000000;160000000;190000000;220000000;250000000;280000000;310000000;340000000;400000000})</f>
        <v>15000000</v>
      </c>
      <c r="J1540" s="7" t="n">
        <f aca="false">I1540*S1540*T1540*U1540</f>
        <v>22770000</v>
      </c>
      <c r="K1540" s="3"/>
      <c r="L1540" s="3"/>
      <c r="M1540" s="3"/>
      <c r="N1540" s="9" t="n">
        <v>0</v>
      </c>
      <c r="O1540" s="4" t="n">
        <v>0</v>
      </c>
      <c r="P1540" s="5" t="n">
        <f aca="false">IF(COUNTIF([1]Base_Jugadores!J$2:J$500,B1540)&gt;0,1,0)</f>
        <v>0</v>
      </c>
      <c r="Q1540" s="10" t="b">
        <f aca="false">--(COUNTIFS(
   [1]Fichajes_Realizados!A$2:A$5000,A1540,
   [1]Fichajes_Realizados!G$2:G$5000,$X$3
)&gt;0)</f>
        <v>0</v>
      </c>
      <c r="R1540" s="5" t="n">
        <f aca="false">_xlfn.XLOOKUP(C1540, [1]Estado_Equipos!A$2:A$500, [1]Estado_Equipos!J$2:J$500, "")</f>
        <v>71</v>
      </c>
      <c r="S1540" s="5" t="n">
        <f aca="false">IF(H1540&lt;=16,1.45,
IF(H1540&gt;=41,0.3,
CHOOSE(ROUNDDOWN((H1540-16)/2,0)+1,
1.45,1.38,1.3,1.23,1.17,1.15,1.12,1.05,0.95,0.8,0.6,0.4,0.3)))</f>
        <v>1.15</v>
      </c>
      <c r="T1540" s="5" t="n">
        <f aca="false">CHOOSE(N1540+1,1.2,1,0.85,0.7)</f>
        <v>1.2</v>
      </c>
      <c r="U1540" s="5" t="n">
        <f aca="false">IF(F1540="PO",0.6,
IF(F1540="CT",0.75,
IF(F1540="LI",0.8,
IF(F1540="LD",0.8,
IF(F1540="MCD",0.85,
IF(F1540="MC",0.95,
IF(F1540="MO",1.05,
IF(F1540="EI",1.1,
IF(F1540="ED",1.1,
IF(F1540="SD",1.15,
IF(F1540="DC",1.2,0)))))))))))</f>
        <v>1.1</v>
      </c>
    </row>
    <row r="1541" customFormat="false" ht="16.4" hidden="false" customHeight="false" outlineLevel="0" collapsed="false">
      <c r="A1541" s="1" t="n">
        <v>1540</v>
      </c>
      <c r="B1541" s="5" t="str">
        <f aca="false">[1]Base_Jugadores!B1541</f>
        <v>Alieu Fadera</v>
      </c>
      <c r="C1541" s="5" t="str">
        <f aca="false">IFERROR(
   _xlfn.XLOOKUP(VALUE(A1541),[1]Fichajes_Realizados!A$2:A$50000,[1]Fichajes_Realizados!D$2:D$50000,,0,-1),
   _xlfn.XLOOKUP(VALUE(A1541),[1]Base_Jugadores!A$2:A$50000,[1]Base_Jugadores!C$2:C$50000)
)</f>
        <v>US Sassuolo</v>
      </c>
      <c r="D1541" s="5" t="str">
        <f aca="false">[1]Base_Jugadores!D1541</f>
        <v>Gambia</v>
      </c>
      <c r="E1541" s="3"/>
      <c r="F1541" s="5" t="str">
        <f aca="false">[1]Base_Jugadores!E1541</f>
        <v>EI</v>
      </c>
      <c r="G1541" s="5" t="n">
        <f aca="false">[1]Base_Jugadores!F1541</f>
        <v>71</v>
      </c>
      <c r="H1541" s="5" t="n">
        <f aca="false">[1]Base_Jugadores!G1541</f>
        <v>24</v>
      </c>
      <c r="I1541" s="7" t="n">
        <f aca="false" t="array" ref="I1541:I1541">_xlfn.XLOOKUP(G1541,{55;56;57;58;59;60;61;62;63;64;65;66;67;68;69;70;71;72;73;74;75;76;77;78;79;80;81;82;83;84;85;86;87;88;89;90;91;92;93;94;95;96;97;98;99},{100000;130000;160000;190000;220000;250000;300000;350000;400000;450000;500000;600000;700000;800000;900000;1000000;1500000;2000000;3000000;4000000;5000000;6500000;8000000;10000000;12500000;15000000;20000000;25000000;30000000;35000000;40000000;55000000;70000000;80000000;90000000;110000000;130000000;160000000;190000000;220000000;250000000;280000000;310000000;340000000;400000000})</f>
        <v>1500000</v>
      </c>
      <c r="J1541" s="7" t="n">
        <f aca="false">I1541*S1541*T1541*U1541</f>
        <v>2316600</v>
      </c>
      <c r="K1541" s="3"/>
      <c r="L1541" s="3"/>
      <c r="M1541" s="3"/>
      <c r="N1541" s="9" t="n">
        <v>0</v>
      </c>
      <c r="O1541" s="4" t="n">
        <v>0</v>
      </c>
      <c r="P1541" s="5" t="n">
        <f aca="false">IF(COUNTIF([1]Base_Jugadores!J$2:J$500,B1541)&gt;0,1,0)</f>
        <v>0</v>
      </c>
      <c r="Q1541" s="10" t="b">
        <f aca="false">--(COUNTIFS(
   [1]Fichajes_Realizados!A$2:A$5000,A1541,
   [1]Fichajes_Realizados!G$2:G$5000,$X$3
)&gt;0)</f>
        <v>0</v>
      </c>
      <c r="R1541" s="5" t="n">
        <f aca="false">_xlfn.XLOOKUP(C1541, [1]Estado_Equipos!A$2:A$500, [1]Estado_Equipos!J$2:J$500, "")</f>
        <v>71</v>
      </c>
      <c r="S1541" s="5" t="n">
        <f aca="false">IF(H1541&lt;=16,1.45,
IF(H1541&gt;=41,0.3,
CHOOSE(ROUNDDOWN((H1541-16)/2,0)+1,
1.45,1.38,1.3,1.23,1.17,1.15,1.12,1.05,0.95,0.8,0.6,0.4,0.3)))</f>
        <v>1.17</v>
      </c>
      <c r="T1541" s="5" t="n">
        <f aca="false">CHOOSE(N1541+1,1.2,1,0.85,0.7)</f>
        <v>1.2</v>
      </c>
      <c r="U1541" s="5" t="n">
        <f aca="false">IF(F1541="PO",0.6,
IF(F1541="CT",0.75,
IF(F1541="LI",0.8,
IF(F1541="LD",0.8,
IF(F1541="MCD",0.85,
IF(F1541="MC",0.95,
IF(F1541="MO",1.05,
IF(F1541="EI",1.1,
IF(F1541="ED",1.1,
IF(F1541="SD",1.15,
IF(F1541="DC",1.2,0)))))))))))</f>
        <v>1.1</v>
      </c>
    </row>
    <row r="1542" customFormat="false" ht="16.4" hidden="false" customHeight="false" outlineLevel="0" collapsed="false">
      <c r="A1542" s="1" t="n">
        <v>1541</v>
      </c>
      <c r="B1542" s="5" t="str">
        <f aca="false">[1]Base_Jugadores!B1542</f>
        <v>Domenico Berardi</v>
      </c>
      <c r="C1542" s="5" t="str">
        <f aca="false">IFERROR(
   _xlfn.XLOOKUP(VALUE(A1542),[1]Fichajes_Realizados!A$2:A$50000,[1]Fichajes_Realizados!D$2:D$50000,,0,-1),
   _xlfn.XLOOKUP(VALUE(A1542),[1]Base_Jugadores!A$2:A$50000,[1]Base_Jugadores!C$2:C$50000)
)</f>
        <v>US Sassuolo</v>
      </c>
      <c r="D1542" s="5" t="str">
        <f aca="false">[1]Base_Jugadores!D1542</f>
        <v>Italia</v>
      </c>
      <c r="E1542" s="3"/>
      <c r="F1542" s="5" t="str">
        <f aca="false">[1]Base_Jugadores!E1542</f>
        <v>ED</v>
      </c>
      <c r="G1542" s="5" t="n">
        <f aca="false">[1]Base_Jugadores!F1542</f>
        <v>82</v>
      </c>
      <c r="H1542" s="5" t="n">
        <f aca="false">[1]Base_Jugadores!G1542</f>
        <v>31</v>
      </c>
      <c r="I1542" s="7" t="n">
        <f aca="false" t="array" ref="I1542:I1542">_xlfn.XLOOKUP(G1542,{55;56;57;58;59;60;61;62;63;64;65;66;67;68;69;70;71;72;73;74;75;76;77;78;79;80;81;82;83;84;85;86;87;88;89;90;91;92;93;94;95;96;97;98;99},{100000;130000;160000;190000;220000;250000;300000;350000;400000;450000;500000;600000;700000;800000;900000;1000000;1500000;2000000;3000000;4000000;5000000;6500000;8000000;10000000;12500000;15000000;20000000;25000000;30000000;35000000;40000000;55000000;70000000;80000000;90000000;110000000;130000000;160000000;190000000;220000000;250000000;280000000;310000000;340000000;400000000})</f>
        <v>25000000</v>
      </c>
      <c r="J1542" s="7" t="n">
        <f aca="false">I1542*S1542*T1542*U1542</f>
        <v>34650000</v>
      </c>
      <c r="K1542" s="3"/>
      <c r="L1542" s="3"/>
      <c r="M1542" s="3"/>
      <c r="N1542" s="9" t="n">
        <v>0</v>
      </c>
      <c r="O1542" s="4" t="n">
        <v>0</v>
      </c>
      <c r="P1542" s="5" t="n">
        <f aca="false">IF(COUNTIF([1]Base_Jugadores!J$2:J$500,B1542)&gt;0,1,0)</f>
        <v>0</v>
      </c>
      <c r="Q1542" s="10" t="b">
        <f aca="false">--(COUNTIFS(
   [1]Fichajes_Realizados!A$2:A$5000,A1542,
   [1]Fichajes_Realizados!G$2:G$5000,$X$3
)&gt;0)</f>
        <v>0</v>
      </c>
      <c r="R1542" s="5" t="n">
        <f aca="false">_xlfn.XLOOKUP(C1542, [1]Estado_Equipos!A$2:A$500, [1]Estado_Equipos!J$2:J$500, "")</f>
        <v>71</v>
      </c>
      <c r="S1542" s="5" t="n">
        <f aca="false">IF(H1542&lt;=16,1.45,
IF(H1542&gt;=41,0.3,
CHOOSE(ROUNDDOWN((H1542-16)/2,0)+1,
1.45,1.38,1.3,1.23,1.17,1.15,1.12,1.05,0.95,0.8,0.6,0.4,0.3)))</f>
        <v>1.05</v>
      </c>
      <c r="T1542" s="5" t="n">
        <f aca="false">CHOOSE(N1542+1,1.2,1,0.85,0.7)</f>
        <v>1.2</v>
      </c>
      <c r="U1542" s="5" t="n">
        <f aca="false">IF(F1542="PO",0.6,
IF(F1542="CT",0.75,
IF(F1542="LI",0.8,
IF(F1542="LD",0.8,
IF(F1542="MCD",0.85,
IF(F1542="MC",0.95,
IF(F1542="MO",1.05,
IF(F1542="EI",1.1,
IF(F1542="ED",1.1,
IF(F1542="SD",1.15,
IF(F1542="DC",1.2,0)))))))))))</f>
        <v>1.1</v>
      </c>
    </row>
    <row r="1543" customFormat="false" ht="16.4" hidden="false" customHeight="false" outlineLevel="0" collapsed="false">
      <c r="A1543" s="1" t="n">
        <v>1542</v>
      </c>
      <c r="B1543" s="5" t="str">
        <f aca="false">[1]Base_Jugadores!B1543</f>
        <v>Nicholas Pierini</v>
      </c>
      <c r="C1543" s="5" t="str">
        <f aca="false">IFERROR(
   _xlfn.XLOOKUP(VALUE(A1543),[1]Fichajes_Realizados!A$2:A$50000,[1]Fichajes_Realizados!D$2:D$50000,,0,-1),
   _xlfn.XLOOKUP(VALUE(A1543),[1]Base_Jugadores!A$2:A$50000,[1]Base_Jugadores!C$2:C$50000)
)</f>
        <v>US Sassuolo</v>
      </c>
      <c r="D1543" s="5" t="str">
        <f aca="false">[1]Base_Jugadores!D1543</f>
        <v>Italia</v>
      </c>
      <c r="E1543" s="3"/>
      <c r="F1543" s="5" t="str">
        <f aca="false">[1]Base_Jugadores!E1543</f>
        <v>ED</v>
      </c>
      <c r="G1543" s="5" t="n">
        <f aca="false">[1]Base_Jugadores!F1543</f>
        <v>69</v>
      </c>
      <c r="H1543" s="5" t="n">
        <f aca="false">[1]Base_Jugadores!G1543</f>
        <v>27</v>
      </c>
      <c r="I1543" s="7" t="n">
        <f aca="false" t="array" ref="I1543:I1543">_xlfn.XLOOKUP(G1543,{55;56;57;58;59;60;61;62;63;64;65;66;67;68;69;70;71;72;73;74;75;76;77;78;79;80;81;82;83;84;85;86;87;88;89;90;91;92;93;94;95;96;97;98;99},{100000;130000;160000;190000;220000;250000;300000;350000;400000;450000;500000;600000;700000;800000;900000;1000000;1500000;2000000;3000000;4000000;5000000;6500000;8000000;10000000;12500000;15000000;20000000;25000000;30000000;35000000;40000000;55000000;70000000;80000000;90000000;110000000;130000000;160000000;190000000;220000000;250000000;280000000;310000000;340000000;400000000})</f>
        <v>900000</v>
      </c>
      <c r="J1543" s="7" t="n">
        <f aca="false">I1543*S1543*T1543*U1543</f>
        <v>1366200</v>
      </c>
      <c r="K1543" s="3"/>
      <c r="L1543" s="3"/>
      <c r="M1543" s="3"/>
      <c r="N1543" s="9" t="n">
        <v>0</v>
      </c>
      <c r="O1543" s="4" t="n">
        <v>0</v>
      </c>
      <c r="P1543" s="5" t="n">
        <f aca="false">IF(COUNTIF([1]Base_Jugadores!J$2:J$500,B1543)&gt;0,1,0)</f>
        <v>0</v>
      </c>
      <c r="Q1543" s="10" t="b">
        <f aca="false">--(COUNTIFS(
   [1]Fichajes_Realizados!A$2:A$5000,A1543,
   [1]Fichajes_Realizados!G$2:G$5000,$X$3
)&gt;0)</f>
        <v>0</v>
      </c>
      <c r="R1543" s="5" t="n">
        <f aca="false">_xlfn.XLOOKUP(C1543, [1]Estado_Equipos!A$2:A$500, [1]Estado_Equipos!J$2:J$500, "")</f>
        <v>71</v>
      </c>
      <c r="S1543" s="5" t="n">
        <f aca="false">IF(H1543&lt;=16,1.45,
IF(H1543&gt;=41,0.3,
CHOOSE(ROUNDDOWN((H1543-16)/2,0)+1,
1.45,1.38,1.3,1.23,1.17,1.15,1.12,1.05,0.95,0.8,0.6,0.4,0.3)))</f>
        <v>1.15</v>
      </c>
      <c r="T1543" s="5" t="n">
        <f aca="false">CHOOSE(N1543+1,1.2,1,0.85,0.7)</f>
        <v>1.2</v>
      </c>
      <c r="U1543" s="5" t="n">
        <f aca="false">IF(F1543="PO",0.6,
IF(F1543="CT",0.75,
IF(F1543="LI",0.8,
IF(F1543="LD",0.8,
IF(F1543="MCD",0.85,
IF(F1543="MC",0.95,
IF(F1543="MO",1.05,
IF(F1543="EI",1.1,
IF(F1543="ED",1.1,
IF(F1543="SD",1.15,
IF(F1543="DC",1.2,0)))))))))))</f>
        <v>1.1</v>
      </c>
    </row>
    <row r="1544" customFormat="false" ht="16.4" hidden="false" customHeight="false" outlineLevel="0" collapsed="false">
      <c r="A1544" s="1" t="n">
        <v>1543</v>
      </c>
      <c r="B1544" s="5" t="str">
        <f aca="false">[1]Base_Jugadores!B1544</f>
        <v>Andrea Pinamonti</v>
      </c>
      <c r="C1544" s="5" t="str">
        <f aca="false">IFERROR(
   _xlfn.XLOOKUP(VALUE(A1544),[1]Fichajes_Realizados!A$2:A$50000,[1]Fichajes_Realizados!D$2:D$50000,,0,-1),
   _xlfn.XLOOKUP(VALUE(A1544),[1]Base_Jugadores!A$2:A$50000,[1]Base_Jugadores!C$2:C$50000)
)</f>
        <v>US Sassuolo</v>
      </c>
      <c r="D1544" s="5" t="str">
        <f aca="false">[1]Base_Jugadores!D1544</f>
        <v>Italia</v>
      </c>
      <c r="E1544" s="3"/>
      <c r="F1544" s="5" t="str">
        <f aca="false">[1]Base_Jugadores!E1544</f>
        <v>DC</v>
      </c>
      <c r="G1544" s="5" t="n">
        <f aca="false">[1]Base_Jugadores!F1544</f>
        <v>75</v>
      </c>
      <c r="H1544" s="5" t="n">
        <f aca="false">[1]Base_Jugadores!G1544</f>
        <v>26</v>
      </c>
      <c r="I1544" s="7" t="n">
        <f aca="false" t="array" ref="I1544:I1544">_xlfn.XLOOKUP(G1544,{55;56;57;58;59;60;61;62;63;64;65;66;67;68;69;70;71;72;73;74;75;76;77;78;79;80;81;82;83;84;85;86;87;88;89;90;91;92;93;94;95;96;97;98;99},{100000;130000;160000;190000;220000;250000;300000;350000;400000;450000;500000;600000;700000;800000;900000;1000000;1500000;2000000;3000000;4000000;5000000;6500000;8000000;10000000;12500000;15000000;20000000;25000000;30000000;35000000;40000000;55000000;70000000;80000000;90000000;110000000;130000000;160000000;190000000;220000000;250000000;280000000;310000000;340000000;400000000})</f>
        <v>5000000</v>
      </c>
      <c r="J1544" s="7" t="n">
        <f aca="false">I1544*S1544*T1544*U1544</f>
        <v>8280000</v>
      </c>
      <c r="K1544" s="3"/>
      <c r="L1544" s="3"/>
      <c r="M1544" s="3"/>
      <c r="N1544" s="9" t="n">
        <v>0</v>
      </c>
      <c r="O1544" s="4" t="n">
        <v>0</v>
      </c>
      <c r="P1544" s="5" t="n">
        <f aca="false">IF(COUNTIF([1]Base_Jugadores!J$2:J$500,B1544)&gt;0,1,0)</f>
        <v>0</v>
      </c>
      <c r="Q1544" s="10" t="b">
        <f aca="false">--(COUNTIFS(
   [1]Fichajes_Realizados!A$2:A$5000,A1544,
   [1]Fichajes_Realizados!G$2:G$5000,$X$3
)&gt;0)</f>
        <v>0</v>
      </c>
      <c r="R1544" s="5" t="n">
        <f aca="false">_xlfn.XLOOKUP(C1544, [1]Estado_Equipos!A$2:A$500, [1]Estado_Equipos!J$2:J$500, "")</f>
        <v>71</v>
      </c>
      <c r="S1544" s="5" t="n">
        <f aca="false">IF(H1544&lt;=16,1.45,
IF(H1544&gt;=41,0.3,
CHOOSE(ROUNDDOWN((H1544-16)/2,0)+1,
1.45,1.38,1.3,1.23,1.17,1.15,1.12,1.05,0.95,0.8,0.6,0.4,0.3)))</f>
        <v>1.15</v>
      </c>
      <c r="T1544" s="5" t="n">
        <f aca="false">CHOOSE(N1544+1,1.2,1,0.85,0.7)</f>
        <v>1.2</v>
      </c>
      <c r="U1544" s="5" t="n">
        <f aca="false">IF(F1544="PO",0.6,
IF(F1544="CT",0.75,
IF(F1544="LI",0.8,
IF(F1544="LD",0.8,
IF(F1544="MCD",0.85,
IF(F1544="MC",0.95,
IF(F1544="MO",1.05,
IF(F1544="EI",1.1,
IF(F1544="ED",1.1,
IF(F1544="SD",1.15,
IF(F1544="DC",1.2,0)))))))))))</f>
        <v>1.2</v>
      </c>
    </row>
    <row r="1545" customFormat="false" ht="16.4" hidden="false" customHeight="false" outlineLevel="0" collapsed="false">
      <c r="A1545" s="1" t="n">
        <v>1544</v>
      </c>
      <c r="B1545" s="5" t="str">
        <f aca="false">[1]Base_Jugadores!B1545</f>
        <v>Laurs Skjellerup</v>
      </c>
      <c r="C1545" s="5" t="str">
        <f aca="false">IFERROR(
   _xlfn.XLOOKUP(VALUE(A1545),[1]Fichajes_Realizados!A$2:A$50000,[1]Fichajes_Realizados!D$2:D$50000,,0,-1),
   _xlfn.XLOOKUP(VALUE(A1545),[1]Base_Jugadores!A$2:A$50000,[1]Base_Jugadores!C$2:C$50000)
)</f>
        <v>US Sassuolo</v>
      </c>
      <c r="D1545" s="5" t="str">
        <f aca="false">[1]Base_Jugadores!D1545</f>
        <v>Dinamarca</v>
      </c>
      <c r="E1545" s="3"/>
      <c r="F1545" s="5" t="str">
        <f aca="false">[1]Base_Jugadores!E1545</f>
        <v>DC</v>
      </c>
      <c r="G1545" s="5" t="n">
        <f aca="false">[1]Base_Jugadores!F1545</f>
        <v>64</v>
      </c>
      <c r="H1545" s="5" t="n">
        <f aca="false">[1]Base_Jugadores!G1545</f>
        <v>23</v>
      </c>
      <c r="I1545" s="7" t="n">
        <f aca="false" t="array" ref="I1545:I1545">_xlfn.XLOOKUP(G1545,{55;56;57;58;59;60;61;62;63;64;65;66;67;68;69;70;71;72;73;74;75;76;77;78;79;80;81;82;83;84;85;86;87;88;89;90;91;92;93;94;95;96;97;98;99},{100000;130000;160000;190000;220000;250000;300000;350000;400000;450000;500000;600000;700000;800000;900000;1000000;1500000;2000000;3000000;4000000;5000000;6500000;8000000;10000000;12500000;15000000;20000000;25000000;30000000;35000000;40000000;55000000;70000000;80000000;90000000;110000000;130000000;160000000;190000000;220000000;250000000;280000000;310000000;340000000;400000000})</f>
        <v>450000</v>
      </c>
      <c r="J1545" s="7" t="n">
        <f aca="false">I1545*S1545*T1545*U1545</f>
        <v>797040</v>
      </c>
      <c r="K1545" s="3"/>
      <c r="L1545" s="3"/>
      <c r="M1545" s="3"/>
      <c r="N1545" s="9" t="n">
        <v>0</v>
      </c>
      <c r="O1545" s="4" t="n">
        <v>0</v>
      </c>
      <c r="P1545" s="5" t="n">
        <f aca="false">IF(COUNTIF([1]Base_Jugadores!J$2:J$500,B1545)&gt;0,1,0)</f>
        <v>0</v>
      </c>
      <c r="Q1545" s="10" t="b">
        <f aca="false">--(COUNTIFS(
   [1]Fichajes_Realizados!A$2:A$5000,A1545,
   [1]Fichajes_Realizados!G$2:G$5000,$X$3
)&gt;0)</f>
        <v>0</v>
      </c>
      <c r="R1545" s="5" t="n">
        <f aca="false">_xlfn.XLOOKUP(C1545, [1]Estado_Equipos!A$2:A$500, [1]Estado_Equipos!J$2:J$500, "")</f>
        <v>71</v>
      </c>
      <c r="S1545" s="5" t="n">
        <f aca="false">IF(H1545&lt;=16,1.45,
IF(H1545&gt;=41,0.3,
CHOOSE(ROUNDDOWN((H1545-16)/2,0)+1,
1.45,1.38,1.3,1.23,1.17,1.15,1.12,1.05,0.95,0.8,0.6,0.4,0.3)))</f>
        <v>1.23</v>
      </c>
      <c r="T1545" s="5" t="n">
        <f aca="false">CHOOSE(N1545+1,1.2,1,0.85,0.7)</f>
        <v>1.2</v>
      </c>
      <c r="U1545" s="5" t="n">
        <f aca="false">IF(F1545="PO",0.6,
IF(F1545="CT",0.75,
IF(F1545="LI",0.8,
IF(F1545="LD",0.8,
IF(F1545="MCD",0.85,
IF(F1545="MC",0.95,
IF(F1545="MO",1.05,
IF(F1545="EI",1.1,
IF(F1545="ED",1.1,
IF(F1545="SD",1.15,
IF(F1545="DC",1.2,0)))))))))))</f>
        <v>1.2</v>
      </c>
    </row>
    <row r="1546" customFormat="false" ht="16.4" hidden="false" customHeight="false" outlineLevel="0" collapsed="false">
      <c r="A1546" s="1" t="n">
        <v>1545</v>
      </c>
      <c r="B1546" s="5" t="str">
        <f aca="false">[1]Base_Jugadores!B1546</f>
        <v>Walid Cheddira</v>
      </c>
      <c r="C1546" s="5" t="str">
        <f aca="false">IFERROR(
   _xlfn.XLOOKUP(VALUE(A1546),[1]Fichajes_Realizados!A$2:A$50000,[1]Fichajes_Realizados!D$2:D$50000,,0,-1),
   _xlfn.XLOOKUP(VALUE(A1546),[1]Base_Jugadores!A$2:A$50000,[1]Base_Jugadores!C$2:C$50000)
)</f>
        <v>US Sassuolo</v>
      </c>
      <c r="D1546" s="5" t="str">
        <f aca="false">[1]Base_Jugadores!D1546</f>
        <v>Marruecos</v>
      </c>
      <c r="E1546" s="3"/>
      <c r="F1546" s="5" t="str">
        <f aca="false">[1]Base_Jugadores!E1546</f>
        <v>DC</v>
      </c>
      <c r="G1546" s="5" t="n">
        <f aca="false">[1]Base_Jugadores!F1546</f>
        <v>75</v>
      </c>
      <c r="H1546" s="5" t="n">
        <f aca="false">[1]Base_Jugadores!G1546</f>
        <v>27</v>
      </c>
      <c r="I1546" s="7" t="n">
        <f aca="false" t="array" ref="I1546:I1546">_xlfn.XLOOKUP(G1546,{55;56;57;58;59;60;61;62;63;64;65;66;67;68;69;70;71;72;73;74;75;76;77;78;79;80;81;82;83;84;85;86;87;88;89;90;91;92;93;94;95;96;97;98;99},{100000;130000;160000;190000;220000;250000;300000;350000;400000;450000;500000;600000;700000;800000;900000;1000000;1500000;2000000;3000000;4000000;5000000;6500000;8000000;10000000;12500000;15000000;20000000;25000000;30000000;35000000;40000000;55000000;70000000;80000000;90000000;110000000;130000000;160000000;190000000;220000000;250000000;280000000;310000000;340000000;400000000})</f>
        <v>5000000</v>
      </c>
      <c r="J1546" s="7" t="n">
        <f aca="false">I1546*S1546*T1546*U1546</f>
        <v>8280000</v>
      </c>
      <c r="K1546" s="3"/>
      <c r="L1546" s="3"/>
      <c r="M1546" s="3"/>
      <c r="N1546" s="9" t="n">
        <v>0</v>
      </c>
      <c r="O1546" s="4" t="n">
        <v>0</v>
      </c>
      <c r="P1546" s="5" t="n">
        <f aca="false">IF(COUNTIF([1]Base_Jugadores!J$2:J$500,B1546)&gt;0,1,0)</f>
        <v>0</v>
      </c>
      <c r="Q1546" s="10" t="b">
        <f aca="false">--(COUNTIFS(
   [1]Fichajes_Realizados!A$2:A$5000,A1546,
   [1]Fichajes_Realizados!G$2:G$5000,$X$3
)&gt;0)</f>
        <v>0</v>
      </c>
      <c r="R1546" s="5" t="n">
        <f aca="false">_xlfn.XLOOKUP(C1546, [1]Estado_Equipos!A$2:A$500, [1]Estado_Equipos!J$2:J$500, "")</f>
        <v>71</v>
      </c>
      <c r="S1546" s="5" t="n">
        <f aca="false">IF(H1546&lt;=16,1.45,
IF(H1546&gt;=41,0.3,
CHOOSE(ROUNDDOWN((H1546-16)/2,0)+1,
1.45,1.38,1.3,1.23,1.17,1.15,1.12,1.05,0.95,0.8,0.6,0.4,0.3)))</f>
        <v>1.15</v>
      </c>
      <c r="T1546" s="5" t="n">
        <f aca="false">CHOOSE(N1546+1,1.2,1,0.85,0.7)</f>
        <v>1.2</v>
      </c>
      <c r="U1546" s="5" t="n">
        <f aca="false">IF(F1546="PO",0.6,
IF(F1546="CT",0.75,
IF(F1546="LI",0.8,
IF(F1546="LD",0.8,
IF(F1546="MCD",0.85,
IF(F1546="MC",0.95,
IF(F1546="MO",1.05,
IF(F1546="EI",1.1,
IF(F1546="ED",1.1,
IF(F1546="SD",1.15,
IF(F1546="DC",1.2,0)))))))))))</f>
        <v>1.2</v>
      </c>
    </row>
    <row r="1547" customFormat="false" ht="16.4" hidden="false" customHeight="false" outlineLevel="0" collapsed="false">
      <c r="A1547" s="1" t="n">
        <v>1546</v>
      </c>
      <c r="B1547" s="5" t="str">
        <f aca="false">[1]Base_Jugadores!B1547</f>
        <v>Luca Moro</v>
      </c>
      <c r="C1547" s="5" t="str">
        <f aca="false">IFERROR(
   _xlfn.XLOOKUP(VALUE(A1547),[1]Fichajes_Realizados!A$2:A$50000,[1]Fichajes_Realizados!D$2:D$50000,,0,-1),
   _xlfn.XLOOKUP(VALUE(A1547),[1]Base_Jugadores!A$2:A$50000,[1]Base_Jugadores!C$2:C$50000)
)</f>
        <v>US Sassuolo</v>
      </c>
      <c r="D1547" s="5" t="str">
        <f aca="false">[1]Base_Jugadores!D1547</f>
        <v>Italia</v>
      </c>
      <c r="E1547" s="3"/>
      <c r="F1547" s="5" t="str">
        <f aca="false">[1]Base_Jugadores!E1547</f>
        <v>DC</v>
      </c>
      <c r="G1547" s="5" t="n">
        <f aca="false">[1]Base_Jugadores!F1547</f>
        <v>66</v>
      </c>
      <c r="H1547" s="5" t="n">
        <f aca="false">[1]Base_Jugadores!G1547</f>
        <v>24</v>
      </c>
      <c r="I1547" s="7" t="n">
        <f aca="false" t="array" ref="I1547:I1547">_xlfn.XLOOKUP(G1547,{55;56;57;58;59;60;61;62;63;64;65;66;67;68;69;70;71;72;73;74;75;76;77;78;79;80;81;82;83;84;85;86;87;88;89;90;91;92;93;94;95;96;97;98;99},{100000;130000;160000;190000;220000;250000;300000;350000;400000;450000;500000;600000;700000;800000;900000;1000000;1500000;2000000;3000000;4000000;5000000;6500000;8000000;10000000;12500000;15000000;20000000;25000000;30000000;35000000;40000000;55000000;70000000;80000000;90000000;110000000;130000000;160000000;190000000;220000000;250000000;280000000;310000000;340000000;400000000})</f>
        <v>600000</v>
      </c>
      <c r="J1547" s="7" t="n">
        <f aca="false">I1547*S1547*T1547*U1547</f>
        <v>1010880</v>
      </c>
      <c r="K1547" s="3"/>
      <c r="L1547" s="3"/>
      <c r="M1547" s="3"/>
      <c r="N1547" s="9" t="n">
        <v>0</v>
      </c>
      <c r="O1547" s="4" t="n">
        <v>0</v>
      </c>
      <c r="P1547" s="5" t="n">
        <f aca="false">IF(COUNTIF([1]Base_Jugadores!J$2:J$500,B1547)&gt;0,1,0)</f>
        <v>0</v>
      </c>
      <c r="Q1547" s="10" t="b">
        <f aca="false">--(COUNTIFS(
   [1]Fichajes_Realizados!A$2:A$5000,A1547,
   [1]Fichajes_Realizados!G$2:G$5000,$X$3
)&gt;0)</f>
        <v>0</v>
      </c>
      <c r="R1547" s="5" t="n">
        <f aca="false">_xlfn.XLOOKUP(C1547, [1]Estado_Equipos!A$2:A$500, [1]Estado_Equipos!J$2:J$500, "")</f>
        <v>71</v>
      </c>
      <c r="S1547" s="5" t="n">
        <f aca="false">IF(H1547&lt;=16,1.45,
IF(H1547&gt;=41,0.3,
CHOOSE(ROUNDDOWN((H1547-16)/2,0)+1,
1.45,1.38,1.3,1.23,1.17,1.15,1.12,1.05,0.95,0.8,0.6,0.4,0.3)))</f>
        <v>1.17</v>
      </c>
      <c r="T1547" s="5" t="n">
        <f aca="false">CHOOSE(N1547+1,1.2,1,0.85,0.7)</f>
        <v>1.2</v>
      </c>
      <c r="U1547" s="5" t="n">
        <f aca="false">IF(F1547="PO",0.6,
IF(F1547="CT",0.75,
IF(F1547="LI",0.8,
IF(F1547="LD",0.8,
IF(F1547="MCD",0.85,
IF(F1547="MC",0.95,
IF(F1547="MO",1.05,
IF(F1547="EI",1.1,
IF(F1547="ED",1.1,
IF(F1547="SD",1.15,
IF(F1547="DC",1.2,0)))))))))))</f>
        <v>1.2</v>
      </c>
    </row>
    <row r="1548" customFormat="false" ht="16.4" hidden="false" customHeight="false" outlineLevel="0" collapsed="false">
      <c r="A1548" s="1" t="n">
        <v>1547</v>
      </c>
      <c r="B1548" s="5" t="str">
        <f aca="false">[1]Base_Jugadores!B1548</f>
        <v>Franco Israel</v>
      </c>
      <c r="C1548" s="5" t="str">
        <f aca="false">IFERROR(
   _xlfn.XLOOKUP(VALUE(A1548),[1]Fichajes_Realizados!A$2:A$50000,[1]Fichajes_Realizados!D$2:D$50000,,0,-1),
   _xlfn.XLOOKUP(VALUE(A1548),[1]Base_Jugadores!A$2:A$50000,[1]Base_Jugadores!C$2:C$50000)
)</f>
        <v>Torino FC</v>
      </c>
      <c r="D1548" s="5" t="str">
        <f aca="false">[1]Base_Jugadores!D1548</f>
        <v>Uruguay</v>
      </c>
      <c r="E1548" s="3"/>
      <c r="F1548" s="5" t="str">
        <f aca="false">[1]Base_Jugadores!E1548</f>
        <v>PO</v>
      </c>
      <c r="G1548" s="5" t="n">
        <f aca="false">[1]Base_Jugadores!F1548</f>
        <v>75</v>
      </c>
      <c r="H1548" s="5" t="n">
        <f aca="false">[1]Base_Jugadores!G1548</f>
        <v>25</v>
      </c>
      <c r="I1548" s="7" t="n">
        <f aca="false" t="array" ref="I1548:I1548">_xlfn.XLOOKUP(G1548,{55;56;57;58;59;60;61;62;63;64;65;66;67;68;69;70;71;72;73;74;75;76;77;78;79;80;81;82;83;84;85;86;87;88;89;90;91;92;93;94;95;96;97;98;99},{100000;130000;160000;190000;220000;250000;300000;350000;400000;450000;500000;600000;700000;800000;900000;1000000;1500000;2000000;3000000;4000000;5000000;6500000;8000000;10000000;12500000;15000000;20000000;25000000;30000000;35000000;40000000;55000000;70000000;80000000;90000000;110000000;130000000;160000000;190000000;220000000;250000000;280000000;310000000;340000000;400000000})</f>
        <v>5000000</v>
      </c>
      <c r="J1548" s="7" t="n">
        <f aca="false">I1548*S1548*T1548*U1548</f>
        <v>4212000</v>
      </c>
      <c r="K1548" s="3"/>
      <c r="L1548" s="3"/>
      <c r="M1548" s="3"/>
      <c r="N1548" s="9" t="n">
        <v>0</v>
      </c>
      <c r="O1548" s="4" t="n">
        <v>0</v>
      </c>
      <c r="P1548" s="5" t="n">
        <f aca="false">IF(COUNTIF([1]Base_Jugadores!J$2:J$500,B1548)&gt;0,1,0)</f>
        <v>0</v>
      </c>
      <c r="Q1548" s="10" t="b">
        <f aca="false">--(COUNTIFS(
   [1]Fichajes_Realizados!A$2:A$5000,A1548,
   [1]Fichajes_Realizados!G$2:G$5000,$X$3
)&gt;0)</f>
        <v>0</v>
      </c>
      <c r="R1548" s="5" t="n">
        <f aca="false">_xlfn.XLOOKUP(C1548, [1]Estado_Equipos!A$2:A$500, [1]Estado_Equipos!J$2:J$500, "")</f>
        <v>73</v>
      </c>
      <c r="S1548" s="5" t="n">
        <f aca="false">IF(H1548&lt;=16,1.45,
IF(H1548&gt;=41,0.3,
CHOOSE(ROUNDDOWN((H1548-16)/2,0)+1,
1.45,1.38,1.3,1.23,1.17,1.15,1.12,1.05,0.95,0.8,0.6,0.4,0.3)))</f>
        <v>1.17</v>
      </c>
      <c r="T1548" s="5" t="n">
        <f aca="false">CHOOSE(N1548+1,1.2,1,0.85,0.7)</f>
        <v>1.2</v>
      </c>
      <c r="U1548" s="5" t="n">
        <f aca="false">IF(F1548="PO",0.6,
IF(F1548="CT",0.75,
IF(F1548="LI",0.8,
IF(F1548="LD",0.8,
IF(F1548="MCD",0.85,
IF(F1548="MC",0.95,
IF(F1548="MO",1.05,
IF(F1548="EI",1.1,
IF(F1548="ED",1.1,
IF(F1548="SD",1.15,
IF(F1548="DC",1.2,0)))))))))))</f>
        <v>0.6</v>
      </c>
    </row>
    <row r="1549" customFormat="false" ht="16.4" hidden="false" customHeight="false" outlineLevel="0" collapsed="false">
      <c r="A1549" s="1" t="n">
        <v>1548</v>
      </c>
      <c r="B1549" s="5" t="str">
        <f aca="false">[1]Base_Jugadores!B1549</f>
        <v>Mihai Popa</v>
      </c>
      <c r="C1549" s="5" t="str">
        <f aca="false">IFERROR(
   _xlfn.XLOOKUP(VALUE(A1549),[1]Fichajes_Realizados!A$2:A$50000,[1]Fichajes_Realizados!D$2:D$50000,,0,-1),
   _xlfn.XLOOKUP(VALUE(A1549),[1]Base_Jugadores!A$2:A$50000,[1]Base_Jugadores!C$2:C$50000)
)</f>
        <v>Torino FC</v>
      </c>
      <c r="D1549" s="5" t="str">
        <f aca="false">[1]Base_Jugadores!D1549</f>
        <v>Rumania</v>
      </c>
      <c r="E1549" s="3"/>
      <c r="F1549" s="5" t="str">
        <f aca="false">[1]Base_Jugadores!E1549</f>
        <v>PO</v>
      </c>
      <c r="G1549" s="5" t="n">
        <f aca="false">[1]Base_Jugadores!F1549</f>
        <v>72</v>
      </c>
      <c r="H1549" s="5" t="n">
        <f aca="false">[1]Base_Jugadores!G1549</f>
        <v>25</v>
      </c>
      <c r="I1549" s="7" t="n">
        <f aca="false" t="array" ref="I1549:I1549">_xlfn.XLOOKUP(G1549,{55;56;57;58;59;60;61;62;63;64;65;66;67;68;69;70;71;72;73;74;75;76;77;78;79;80;81;82;83;84;85;86;87;88;89;90;91;92;93;94;95;96;97;98;99},{100000;130000;160000;190000;220000;250000;300000;350000;400000;450000;500000;600000;700000;800000;900000;1000000;1500000;2000000;3000000;4000000;5000000;6500000;8000000;10000000;12500000;15000000;20000000;25000000;30000000;35000000;40000000;55000000;70000000;80000000;90000000;110000000;130000000;160000000;190000000;220000000;250000000;280000000;310000000;340000000;400000000})</f>
        <v>2000000</v>
      </c>
      <c r="J1549" s="7" t="n">
        <f aca="false">I1549*S1549*T1549*U1549</f>
        <v>1684800</v>
      </c>
      <c r="K1549" s="3"/>
      <c r="L1549" s="3"/>
      <c r="M1549" s="3"/>
      <c r="N1549" s="9" t="n">
        <v>0</v>
      </c>
      <c r="O1549" s="4" t="n">
        <v>0</v>
      </c>
      <c r="P1549" s="5" t="n">
        <f aca="false">IF(COUNTIF([1]Base_Jugadores!J$2:J$500,B1549)&gt;0,1,0)</f>
        <v>0</v>
      </c>
      <c r="Q1549" s="10" t="b">
        <f aca="false">--(COUNTIFS(
   [1]Fichajes_Realizados!A$2:A$5000,A1549,
   [1]Fichajes_Realizados!G$2:G$5000,$X$3
)&gt;0)</f>
        <v>0</v>
      </c>
      <c r="R1549" s="5" t="n">
        <f aca="false">_xlfn.XLOOKUP(C1549, [1]Estado_Equipos!A$2:A$500, [1]Estado_Equipos!J$2:J$500, "")</f>
        <v>73</v>
      </c>
      <c r="S1549" s="5" t="n">
        <f aca="false">IF(H1549&lt;=16,1.45,
IF(H1549&gt;=41,0.3,
CHOOSE(ROUNDDOWN((H1549-16)/2,0)+1,
1.45,1.38,1.3,1.23,1.17,1.15,1.12,1.05,0.95,0.8,0.6,0.4,0.3)))</f>
        <v>1.17</v>
      </c>
      <c r="T1549" s="5" t="n">
        <f aca="false">CHOOSE(N1549+1,1.2,1,0.85,0.7)</f>
        <v>1.2</v>
      </c>
      <c r="U1549" s="5" t="n">
        <f aca="false">IF(F1549="PO",0.6,
IF(F1549="CT",0.75,
IF(F1549="LI",0.8,
IF(F1549="LD",0.8,
IF(F1549="MCD",0.85,
IF(F1549="MC",0.95,
IF(F1549="MO",1.05,
IF(F1549="EI",1.1,
IF(F1549="ED",1.1,
IF(F1549="SD",1.15,
IF(F1549="DC",1.2,0)))))))))))</f>
        <v>0.6</v>
      </c>
    </row>
    <row r="1550" customFormat="false" ht="16.4" hidden="false" customHeight="false" outlineLevel="0" collapsed="false">
      <c r="A1550" s="1" t="n">
        <v>1549</v>
      </c>
      <c r="B1550" s="5" t="str">
        <f aca="false">[1]Base_Jugadores!B1550</f>
        <v>Alberto Paleari</v>
      </c>
      <c r="C1550" s="5" t="str">
        <f aca="false">IFERROR(
   _xlfn.XLOOKUP(VALUE(A1550),[1]Fichajes_Realizados!A$2:A$50000,[1]Fichajes_Realizados!D$2:D$50000,,0,-1),
   _xlfn.XLOOKUP(VALUE(A1550),[1]Base_Jugadores!A$2:A$50000,[1]Base_Jugadores!C$2:C$50000)
)</f>
        <v>Torino FC</v>
      </c>
      <c r="D1550" s="5" t="str">
        <f aca="false">[1]Base_Jugadores!D1550</f>
        <v>Italia</v>
      </c>
      <c r="E1550" s="3"/>
      <c r="F1550" s="5" t="str">
        <f aca="false">[1]Base_Jugadores!E1550</f>
        <v>PO</v>
      </c>
      <c r="G1550" s="5" t="n">
        <f aca="false">[1]Base_Jugadores!F1550</f>
        <v>71</v>
      </c>
      <c r="H1550" s="5" t="n">
        <f aca="false">[1]Base_Jugadores!G1550</f>
        <v>33</v>
      </c>
      <c r="I1550" s="7" t="n">
        <f aca="false" t="array" ref="I1550:I1550">_xlfn.XLOOKUP(G1550,{55;56;57;58;59;60;61;62;63;64;65;66;67;68;69;70;71;72;73;74;75;76;77;78;79;80;81;82;83;84;85;86;87;88;89;90;91;92;93;94;95;96;97;98;99},{100000;130000;160000;190000;220000;250000;300000;350000;400000;450000;500000;600000;700000;800000;900000;1000000;1500000;2000000;3000000;4000000;5000000;6500000;8000000;10000000;12500000;15000000;20000000;25000000;30000000;35000000;40000000;55000000;70000000;80000000;90000000;110000000;130000000;160000000;190000000;220000000;250000000;280000000;310000000;340000000;400000000})</f>
        <v>1500000</v>
      </c>
      <c r="J1550" s="7" t="n">
        <f aca="false">I1550*S1550*T1550*U1550</f>
        <v>1026000</v>
      </c>
      <c r="K1550" s="3"/>
      <c r="L1550" s="3"/>
      <c r="M1550" s="3"/>
      <c r="N1550" s="9" t="n">
        <v>0</v>
      </c>
      <c r="O1550" s="4" t="n">
        <v>0</v>
      </c>
      <c r="P1550" s="5" t="n">
        <f aca="false">IF(COUNTIF([1]Base_Jugadores!J$2:J$500,B1550)&gt;0,1,0)</f>
        <v>0</v>
      </c>
      <c r="Q1550" s="10" t="b">
        <f aca="false">--(COUNTIFS(
   [1]Fichajes_Realizados!A$2:A$5000,A1550,
   [1]Fichajes_Realizados!G$2:G$5000,$X$3
)&gt;0)</f>
        <v>0</v>
      </c>
      <c r="R1550" s="5" t="n">
        <f aca="false">_xlfn.XLOOKUP(C1550, [1]Estado_Equipos!A$2:A$500, [1]Estado_Equipos!J$2:J$500, "")</f>
        <v>73</v>
      </c>
      <c r="S1550" s="5" t="n">
        <f aca="false">IF(H1550&lt;=16,1.45,
IF(H1550&gt;=41,0.3,
CHOOSE(ROUNDDOWN((H1550-16)/2,0)+1,
1.45,1.38,1.3,1.23,1.17,1.15,1.12,1.05,0.95,0.8,0.6,0.4,0.3)))</f>
        <v>0.95</v>
      </c>
      <c r="T1550" s="5" t="n">
        <f aca="false">CHOOSE(N1550+1,1.2,1,0.85,0.7)</f>
        <v>1.2</v>
      </c>
      <c r="U1550" s="5" t="n">
        <f aca="false">IF(F1550="PO",0.6,
IF(F1550="CT",0.75,
IF(F1550="LI",0.8,
IF(F1550="LD",0.8,
IF(F1550="MCD",0.85,
IF(F1550="MC",0.95,
IF(F1550="MO",1.05,
IF(F1550="EI",1.1,
IF(F1550="ED",1.1,
IF(F1550="SD",1.15,
IF(F1550="DC",1.2,0)))))))))))</f>
        <v>0.6</v>
      </c>
    </row>
    <row r="1551" customFormat="false" ht="16.4" hidden="false" customHeight="false" outlineLevel="0" collapsed="false">
      <c r="A1551" s="1" t="n">
        <v>1550</v>
      </c>
      <c r="B1551" s="5" t="str">
        <f aca="false">[1]Base_Jugadores!B1551</f>
        <v>Saúl Coco</v>
      </c>
      <c r="C1551" s="5" t="str">
        <f aca="false">IFERROR(
   _xlfn.XLOOKUP(VALUE(A1551),[1]Fichajes_Realizados!A$2:A$50000,[1]Fichajes_Realizados!D$2:D$50000,,0,-1),
   _xlfn.XLOOKUP(VALUE(A1551),[1]Base_Jugadores!A$2:A$50000,[1]Base_Jugadores!C$2:C$50000)
)</f>
        <v>Torino FC</v>
      </c>
      <c r="D1551" s="5" t="str">
        <f aca="false">[1]Base_Jugadores!D1551</f>
        <v>Guinea Ecuatorial</v>
      </c>
      <c r="E1551" s="3"/>
      <c r="F1551" s="5" t="str">
        <f aca="false">[1]Base_Jugadores!E1551</f>
        <v>CT</v>
      </c>
      <c r="G1551" s="5" t="n">
        <f aca="false">[1]Base_Jugadores!F1551</f>
        <v>75</v>
      </c>
      <c r="H1551" s="5" t="n">
        <f aca="false">[1]Base_Jugadores!G1551</f>
        <v>26</v>
      </c>
      <c r="I1551" s="7" t="n">
        <f aca="false" t="array" ref="I1551:I1551">_xlfn.XLOOKUP(G1551,{55;56;57;58;59;60;61;62;63;64;65;66;67;68;69;70;71;72;73;74;75;76;77;78;79;80;81;82;83;84;85;86;87;88;89;90;91;92;93;94;95;96;97;98;99},{100000;130000;160000;190000;220000;250000;300000;350000;400000;450000;500000;600000;700000;800000;900000;1000000;1500000;2000000;3000000;4000000;5000000;6500000;8000000;10000000;12500000;15000000;20000000;25000000;30000000;35000000;40000000;55000000;70000000;80000000;90000000;110000000;130000000;160000000;190000000;220000000;250000000;280000000;310000000;340000000;400000000})</f>
        <v>5000000</v>
      </c>
      <c r="J1551" s="7" t="n">
        <f aca="false">I1551*S1551*T1551*U1551</f>
        <v>5175000</v>
      </c>
      <c r="K1551" s="3"/>
      <c r="L1551" s="3"/>
      <c r="M1551" s="3"/>
      <c r="N1551" s="9" t="n">
        <v>0</v>
      </c>
      <c r="O1551" s="4" t="n">
        <v>0</v>
      </c>
      <c r="P1551" s="5" t="n">
        <f aca="false">IF(COUNTIF([1]Base_Jugadores!J$2:J$500,B1551)&gt;0,1,0)</f>
        <v>0</v>
      </c>
      <c r="Q1551" s="10" t="b">
        <f aca="false">--(COUNTIFS(
   [1]Fichajes_Realizados!A$2:A$5000,A1551,
   [1]Fichajes_Realizados!G$2:G$5000,$X$3
)&gt;0)</f>
        <v>0</v>
      </c>
      <c r="R1551" s="5" t="n">
        <f aca="false">_xlfn.XLOOKUP(C1551, [1]Estado_Equipos!A$2:A$500, [1]Estado_Equipos!J$2:J$500, "")</f>
        <v>73</v>
      </c>
      <c r="S1551" s="5" t="n">
        <f aca="false">IF(H1551&lt;=16,1.45,
IF(H1551&gt;=41,0.3,
CHOOSE(ROUNDDOWN((H1551-16)/2,0)+1,
1.45,1.38,1.3,1.23,1.17,1.15,1.12,1.05,0.95,0.8,0.6,0.4,0.3)))</f>
        <v>1.15</v>
      </c>
      <c r="T1551" s="5" t="n">
        <f aca="false">CHOOSE(N1551+1,1.2,1,0.85,0.7)</f>
        <v>1.2</v>
      </c>
      <c r="U1551" s="5" t="n">
        <f aca="false">IF(F1551="PO",0.6,
IF(F1551="CT",0.75,
IF(F1551="LI",0.8,
IF(F1551="LD",0.8,
IF(F1551="MCD",0.85,
IF(F1551="MC",0.95,
IF(F1551="MO",1.05,
IF(F1551="EI",1.1,
IF(F1551="ED",1.1,
IF(F1551="SD",1.15,
IF(F1551="DC",1.2,0)))))))))))</f>
        <v>0.75</v>
      </c>
    </row>
    <row r="1552" customFormat="false" ht="16.4" hidden="false" customHeight="false" outlineLevel="0" collapsed="false">
      <c r="A1552" s="1" t="n">
        <v>1551</v>
      </c>
      <c r="B1552" s="5" t="str">
        <f aca="false">[1]Base_Jugadores!B1552</f>
        <v>Ardian Ismajli</v>
      </c>
      <c r="C1552" s="5" t="str">
        <f aca="false">IFERROR(
   _xlfn.XLOOKUP(VALUE(A1552),[1]Fichajes_Realizados!A$2:A$50000,[1]Fichajes_Realizados!D$2:D$50000,,0,-1),
   _xlfn.XLOOKUP(VALUE(A1552),[1]Base_Jugadores!A$2:A$50000,[1]Base_Jugadores!C$2:C$50000)
)</f>
        <v>Torino FC</v>
      </c>
      <c r="D1552" s="5" t="str">
        <f aca="false">[1]Base_Jugadores!D1552</f>
        <v>Albania</v>
      </c>
      <c r="E1552" s="3"/>
      <c r="F1552" s="5" t="str">
        <f aca="false">[1]Base_Jugadores!E1552</f>
        <v>CT</v>
      </c>
      <c r="G1552" s="5" t="n">
        <f aca="false">[1]Base_Jugadores!F1552</f>
        <v>73</v>
      </c>
      <c r="H1552" s="5" t="n">
        <f aca="false">[1]Base_Jugadores!G1552</f>
        <v>29</v>
      </c>
      <c r="I1552" s="7" t="n">
        <f aca="false" t="array" ref="I1552:I1552">_xlfn.XLOOKUP(G1552,{55;56;57;58;59;60;61;62;63;64;65;66;67;68;69;70;71;72;73;74;75;76;77;78;79;80;81;82;83;84;85;86;87;88;89;90;91;92;93;94;95;96;97;98;99},{100000;130000;160000;190000;220000;250000;300000;350000;400000;450000;500000;600000;700000;800000;900000;1000000;1500000;2000000;3000000;4000000;5000000;6500000;8000000;10000000;12500000;15000000;20000000;25000000;30000000;35000000;40000000;55000000;70000000;80000000;90000000;110000000;130000000;160000000;190000000;220000000;250000000;280000000;310000000;340000000;400000000})</f>
        <v>3000000</v>
      </c>
      <c r="J1552" s="7" t="n">
        <f aca="false">I1552*S1552*T1552*U1552</f>
        <v>3024000</v>
      </c>
      <c r="K1552" s="3"/>
      <c r="L1552" s="3"/>
      <c r="M1552" s="3"/>
      <c r="N1552" s="9" t="n">
        <v>0</v>
      </c>
      <c r="O1552" s="4" t="n">
        <v>0</v>
      </c>
      <c r="P1552" s="5" t="n">
        <f aca="false">IF(COUNTIF([1]Base_Jugadores!J$2:J$500,B1552)&gt;0,1,0)</f>
        <v>0</v>
      </c>
      <c r="Q1552" s="10" t="b">
        <f aca="false">--(COUNTIFS(
   [1]Fichajes_Realizados!A$2:A$5000,A1552,
   [1]Fichajes_Realizados!G$2:G$5000,$X$3
)&gt;0)</f>
        <v>0</v>
      </c>
      <c r="R1552" s="5" t="n">
        <f aca="false">_xlfn.XLOOKUP(C1552, [1]Estado_Equipos!A$2:A$500, [1]Estado_Equipos!J$2:J$500, "")</f>
        <v>73</v>
      </c>
      <c r="S1552" s="5" t="n">
        <f aca="false">IF(H1552&lt;=16,1.45,
IF(H1552&gt;=41,0.3,
CHOOSE(ROUNDDOWN((H1552-16)/2,0)+1,
1.45,1.38,1.3,1.23,1.17,1.15,1.12,1.05,0.95,0.8,0.6,0.4,0.3)))</f>
        <v>1.12</v>
      </c>
      <c r="T1552" s="5" t="n">
        <f aca="false">CHOOSE(N1552+1,1.2,1,0.85,0.7)</f>
        <v>1.2</v>
      </c>
      <c r="U1552" s="5" t="n">
        <f aca="false">IF(F1552="PO",0.6,
IF(F1552="CT",0.75,
IF(F1552="LI",0.8,
IF(F1552="LD",0.8,
IF(F1552="MCD",0.85,
IF(F1552="MC",0.95,
IF(F1552="MO",1.05,
IF(F1552="EI",1.1,
IF(F1552="ED",1.1,
IF(F1552="SD",1.15,
IF(F1552="DC",1.2,0)))))))))))</f>
        <v>0.75</v>
      </c>
    </row>
    <row r="1553" customFormat="false" ht="16.4" hidden="false" customHeight="false" outlineLevel="0" collapsed="false">
      <c r="A1553" s="1" t="n">
        <v>1552</v>
      </c>
      <c r="B1553" s="5" t="str">
        <f aca="false">[1]Base_Jugadores!B1553</f>
        <v>Guillermo Maripán</v>
      </c>
      <c r="C1553" s="5" t="str">
        <f aca="false">IFERROR(
   _xlfn.XLOOKUP(VALUE(A1553),[1]Fichajes_Realizados!A$2:A$50000,[1]Fichajes_Realizados!D$2:D$50000,,0,-1),
   _xlfn.XLOOKUP(VALUE(A1553),[1]Base_Jugadores!A$2:A$50000,[1]Base_Jugadores!C$2:C$50000)
)</f>
        <v>Torino FC</v>
      </c>
      <c r="D1553" s="5" t="str">
        <f aca="false">[1]Base_Jugadores!D1553</f>
        <v>Chile</v>
      </c>
      <c r="E1553" s="3"/>
      <c r="F1553" s="5" t="str">
        <f aca="false">[1]Base_Jugadores!E1553</f>
        <v>CT</v>
      </c>
      <c r="G1553" s="5" t="n">
        <f aca="false">[1]Base_Jugadores!F1553</f>
        <v>77</v>
      </c>
      <c r="H1553" s="5" t="n">
        <f aca="false">[1]Base_Jugadores!G1553</f>
        <v>31</v>
      </c>
      <c r="I1553" s="7" t="n">
        <f aca="false" t="array" ref="I1553:I1553">_xlfn.XLOOKUP(G1553,{55;56;57;58;59;60;61;62;63;64;65;66;67;68;69;70;71;72;73;74;75;76;77;78;79;80;81;82;83;84;85;86;87;88;89;90;91;92;93;94;95;96;97;98;99},{100000;130000;160000;190000;220000;250000;300000;350000;400000;450000;500000;600000;700000;800000;900000;1000000;1500000;2000000;3000000;4000000;5000000;6500000;8000000;10000000;12500000;15000000;20000000;25000000;30000000;35000000;40000000;55000000;70000000;80000000;90000000;110000000;130000000;160000000;190000000;220000000;250000000;280000000;310000000;340000000;400000000})</f>
        <v>8000000</v>
      </c>
      <c r="J1553" s="7" t="n">
        <f aca="false">I1553*S1553*T1553*U1553</f>
        <v>7560000</v>
      </c>
      <c r="K1553" s="3"/>
      <c r="L1553" s="3"/>
      <c r="M1553" s="3"/>
      <c r="N1553" s="9" t="n">
        <v>0</v>
      </c>
      <c r="O1553" s="4" t="n">
        <v>0</v>
      </c>
      <c r="P1553" s="5" t="n">
        <f aca="false">IF(COUNTIF([1]Base_Jugadores!J$2:J$500,B1553)&gt;0,1,0)</f>
        <v>0</v>
      </c>
      <c r="Q1553" s="10" t="b">
        <f aca="false">--(COUNTIFS(
   [1]Fichajes_Realizados!A$2:A$5000,A1553,
   [1]Fichajes_Realizados!G$2:G$5000,$X$3
)&gt;0)</f>
        <v>0</v>
      </c>
      <c r="R1553" s="5" t="n">
        <f aca="false">_xlfn.XLOOKUP(C1553, [1]Estado_Equipos!A$2:A$500, [1]Estado_Equipos!J$2:J$500, "")</f>
        <v>73</v>
      </c>
      <c r="S1553" s="5" t="n">
        <f aca="false">IF(H1553&lt;=16,1.45,
IF(H1553&gt;=41,0.3,
CHOOSE(ROUNDDOWN((H1553-16)/2,0)+1,
1.45,1.38,1.3,1.23,1.17,1.15,1.12,1.05,0.95,0.8,0.6,0.4,0.3)))</f>
        <v>1.05</v>
      </c>
      <c r="T1553" s="5" t="n">
        <f aca="false">CHOOSE(N1553+1,1.2,1,0.85,0.7)</f>
        <v>1.2</v>
      </c>
      <c r="U1553" s="5" t="n">
        <f aca="false">IF(F1553="PO",0.6,
IF(F1553="CT",0.75,
IF(F1553="LI",0.8,
IF(F1553="LD",0.8,
IF(F1553="MCD",0.85,
IF(F1553="MC",0.95,
IF(F1553="MO",1.05,
IF(F1553="EI",1.1,
IF(F1553="ED",1.1,
IF(F1553="SD",1.15,
IF(F1553="DC",1.2,0)))))))))))</f>
        <v>0.75</v>
      </c>
    </row>
    <row r="1554" customFormat="false" ht="16.4" hidden="false" customHeight="false" outlineLevel="0" collapsed="false">
      <c r="A1554" s="1" t="n">
        <v>1553</v>
      </c>
      <c r="B1554" s="5" t="str">
        <f aca="false">[1]Base_Jugadores!B1554</f>
        <v>Perr Schuurs</v>
      </c>
      <c r="C1554" s="5" t="str">
        <f aca="false">IFERROR(
   _xlfn.XLOOKUP(VALUE(A1554),[1]Fichajes_Realizados!A$2:A$50000,[1]Fichajes_Realizados!D$2:D$50000,,0,-1),
   _xlfn.XLOOKUP(VALUE(A1554),[1]Base_Jugadores!A$2:A$50000,[1]Base_Jugadores!C$2:C$50000)
)</f>
        <v>Torino FC</v>
      </c>
      <c r="D1554" s="5" t="str">
        <f aca="false">[1]Base_Jugadores!D1554</f>
        <v>Países Bajos</v>
      </c>
      <c r="E1554" s="3"/>
      <c r="F1554" s="5" t="str">
        <f aca="false">[1]Base_Jugadores!E1554</f>
        <v>CT</v>
      </c>
      <c r="G1554" s="5" t="n">
        <f aca="false">[1]Base_Jugadores!F1554</f>
        <v>79</v>
      </c>
      <c r="H1554" s="5" t="n">
        <f aca="false">[1]Base_Jugadores!G1554</f>
        <v>26</v>
      </c>
      <c r="I1554" s="7" t="n">
        <f aca="false" t="array" ref="I1554:I1554">_xlfn.XLOOKUP(G1554,{55;56;57;58;59;60;61;62;63;64;65;66;67;68;69;70;71;72;73;74;75;76;77;78;79;80;81;82;83;84;85;86;87;88;89;90;91;92;93;94;95;96;97;98;99},{100000;130000;160000;190000;220000;250000;300000;350000;400000;450000;500000;600000;700000;800000;900000;1000000;1500000;2000000;3000000;4000000;5000000;6500000;8000000;10000000;12500000;15000000;20000000;25000000;30000000;35000000;40000000;55000000;70000000;80000000;90000000;110000000;130000000;160000000;190000000;220000000;250000000;280000000;310000000;340000000;400000000})</f>
        <v>12500000</v>
      </c>
      <c r="J1554" s="7" t="n">
        <f aca="false">I1554*S1554*T1554*U1554</f>
        <v>12937500</v>
      </c>
      <c r="K1554" s="3"/>
      <c r="L1554" s="3"/>
      <c r="M1554" s="3"/>
      <c r="N1554" s="9" t="n">
        <v>0</v>
      </c>
      <c r="O1554" s="4" t="n">
        <v>0</v>
      </c>
      <c r="P1554" s="5" t="n">
        <f aca="false">IF(COUNTIF([1]Base_Jugadores!J$2:J$500,B1554)&gt;0,1,0)</f>
        <v>0</v>
      </c>
      <c r="Q1554" s="10" t="b">
        <f aca="false">--(COUNTIFS(
   [1]Fichajes_Realizados!A$2:A$5000,A1554,
   [1]Fichajes_Realizados!G$2:G$5000,$X$3
)&gt;0)</f>
        <v>0</v>
      </c>
      <c r="R1554" s="5" t="n">
        <f aca="false">_xlfn.XLOOKUP(C1554, [1]Estado_Equipos!A$2:A$500, [1]Estado_Equipos!J$2:J$500, "")</f>
        <v>73</v>
      </c>
      <c r="S1554" s="5" t="n">
        <f aca="false">IF(H1554&lt;=16,1.45,
IF(H1554&gt;=41,0.3,
CHOOSE(ROUNDDOWN((H1554-16)/2,0)+1,
1.45,1.38,1.3,1.23,1.17,1.15,1.12,1.05,0.95,0.8,0.6,0.4,0.3)))</f>
        <v>1.15</v>
      </c>
      <c r="T1554" s="5" t="n">
        <f aca="false">CHOOSE(N1554+1,1.2,1,0.85,0.7)</f>
        <v>1.2</v>
      </c>
      <c r="U1554" s="5" t="n">
        <f aca="false">IF(F1554="PO",0.6,
IF(F1554="CT",0.75,
IF(F1554="LI",0.8,
IF(F1554="LD",0.8,
IF(F1554="MCD",0.85,
IF(F1554="MC",0.95,
IF(F1554="MO",1.05,
IF(F1554="EI",1.1,
IF(F1554="ED",1.1,
IF(F1554="SD",1.15,
IF(F1554="DC",1.2,0)))))))))))</f>
        <v>0.75</v>
      </c>
    </row>
    <row r="1555" customFormat="false" ht="16.4" hidden="false" customHeight="false" outlineLevel="0" collapsed="false">
      <c r="A1555" s="1" t="n">
        <v>1554</v>
      </c>
      <c r="B1555" s="5" t="str">
        <f aca="false">[1]Base_Jugadores!B1555</f>
        <v>Adam Masina</v>
      </c>
      <c r="C1555" s="5" t="str">
        <f aca="false">IFERROR(
   _xlfn.XLOOKUP(VALUE(A1555),[1]Fichajes_Realizados!A$2:A$50000,[1]Fichajes_Realizados!D$2:D$50000,,0,-1),
   _xlfn.XLOOKUP(VALUE(A1555),[1]Base_Jugadores!A$2:A$50000,[1]Base_Jugadores!C$2:C$50000)
)</f>
        <v>Torino FC</v>
      </c>
      <c r="D1555" s="5" t="str">
        <f aca="false">[1]Base_Jugadores!D1555</f>
        <v>Marruecos</v>
      </c>
      <c r="E1555" s="3"/>
      <c r="F1555" s="5" t="str">
        <f aca="false">[1]Base_Jugadores!E1555</f>
        <v>CT</v>
      </c>
      <c r="G1555" s="5" t="n">
        <f aca="false">[1]Base_Jugadores!F1555</f>
        <v>69</v>
      </c>
      <c r="H1555" s="5" t="n">
        <f aca="false">[1]Base_Jugadores!G1555</f>
        <v>31</v>
      </c>
      <c r="I1555" s="7" t="n">
        <f aca="false" t="array" ref="I1555:I1555">_xlfn.XLOOKUP(G1555,{55;56;57;58;59;60;61;62;63;64;65;66;67;68;69;70;71;72;73;74;75;76;77;78;79;80;81;82;83;84;85;86;87;88;89;90;91;92;93;94;95;96;97;98;99},{100000;130000;160000;190000;220000;250000;300000;350000;400000;450000;500000;600000;700000;800000;900000;1000000;1500000;2000000;3000000;4000000;5000000;6500000;8000000;10000000;12500000;15000000;20000000;25000000;30000000;35000000;40000000;55000000;70000000;80000000;90000000;110000000;130000000;160000000;190000000;220000000;250000000;280000000;310000000;340000000;400000000})</f>
        <v>900000</v>
      </c>
      <c r="J1555" s="7" t="n">
        <f aca="false">I1555*S1555*T1555*U1555</f>
        <v>850500</v>
      </c>
      <c r="K1555" s="3"/>
      <c r="L1555" s="3"/>
      <c r="M1555" s="3"/>
      <c r="N1555" s="9" t="n">
        <v>0</v>
      </c>
      <c r="O1555" s="4" t="n">
        <v>0</v>
      </c>
      <c r="P1555" s="5" t="n">
        <f aca="false">IF(COUNTIF([1]Base_Jugadores!J$2:J$500,B1555)&gt;0,1,0)</f>
        <v>0</v>
      </c>
      <c r="Q1555" s="10" t="b">
        <f aca="false">--(COUNTIFS(
   [1]Fichajes_Realizados!A$2:A$5000,A1555,
   [1]Fichajes_Realizados!G$2:G$5000,$X$3
)&gt;0)</f>
        <v>0</v>
      </c>
      <c r="R1555" s="5" t="n">
        <f aca="false">_xlfn.XLOOKUP(C1555, [1]Estado_Equipos!A$2:A$500, [1]Estado_Equipos!J$2:J$500, "")</f>
        <v>73</v>
      </c>
      <c r="S1555" s="5" t="n">
        <f aca="false">IF(H1555&lt;=16,1.45,
IF(H1555&gt;=41,0.3,
CHOOSE(ROUNDDOWN((H1555-16)/2,0)+1,
1.45,1.38,1.3,1.23,1.17,1.15,1.12,1.05,0.95,0.8,0.6,0.4,0.3)))</f>
        <v>1.05</v>
      </c>
      <c r="T1555" s="5" t="n">
        <f aca="false">CHOOSE(N1555+1,1.2,1,0.85,0.7)</f>
        <v>1.2</v>
      </c>
      <c r="U1555" s="5" t="n">
        <f aca="false">IF(F1555="PO",0.6,
IF(F1555="CT",0.75,
IF(F1555="LI",0.8,
IF(F1555="LD",0.8,
IF(F1555="MCD",0.85,
IF(F1555="MC",0.95,
IF(F1555="MO",1.05,
IF(F1555="EI",1.1,
IF(F1555="ED",1.1,
IF(F1555="SD",1.15,
IF(F1555="DC",1.2,0)))))))))))</f>
        <v>0.75</v>
      </c>
    </row>
    <row r="1556" customFormat="false" ht="16.4" hidden="false" customHeight="false" outlineLevel="0" collapsed="false">
      <c r="A1556" s="1" t="n">
        <v>1555</v>
      </c>
      <c r="B1556" s="5" t="str">
        <f aca="false">[1]Base_Jugadores!B1556</f>
        <v>Saba Sazonov</v>
      </c>
      <c r="C1556" s="5" t="str">
        <f aca="false">IFERROR(
   _xlfn.XLOOKUP(VALUE(A1556),[1]Fichajes_Realizados!A$2:A$50000,[1]Fichajes_Realizados!D$2:D$50000,,0,-1),
   _xlfn.XLOOKUP(VALUE(A1556),[1]Base_Jugadores!A$2:A$50000,[1]Base_Jugadores!C$2:C$50000)
)</f>
        <v>Torino FC</v>
      </c>
      <c r="D1556" s="5" t="str">
        <f aca="false">[1]Base_Jugadores!D1556</f>
        <v>Georgia</v>
      </c>
      <c r="E1556" s="3"/>
      <c r="F1556" s="5" t="str">
        <f aca="false">[1]Base_Jugadores!E1556</f>
        <v>CT</v>
      </c>
      <c r="G1556" s="5" t="n">
        <f aca="false">[1]Base_Jugadores!F1556</f>
        <v>75</v>
      </c>
      <c r="H1556" s="5" t="n">
        <f aca="false">[1]Base_Jugadores!G1556</f>
        <v>23</v>
      </c>
      <c r="I1556" s="7" t="n">
        <f aca="false" t="array" ref="I1556:I1556">_xlfn.XLOOKUP(G1556,{55;56;57;58;59;60;61;62;63;64;65;66;67;68;69;70;71;72;73;74;75;76;77;78;79;80;81;82;83;84;85;86;87;88;89;90;91;92;93;94;95;96;97;98;99},{100000;130000;160000;190000;220000;250000;300000;350000;400000;450000;500000;600000;700000;800000;900000;1000000;1500000;2000000;3000000;4000000;5000000;6500000;8000000;10000000;12500000;15000000;20000000;25000000;30000000;35000000;40000000;55000000;70000000;80000000;90000000;110000000;130000000;160000000;190000000;220000000;250000000;280000000;310000000;340000000;400000000})</f>
        <v>5000000</v>
      </c>
      <c r="J1556" s="7" t="n">
        <f aca="false">I1556*S1556*T1556*U1556</f>
        <v>5535000</v>
      </c>
      <c r="K1556" s="3"/>
      <c r="L1556" s="3"/>
      <c r="M1556" s="3"/>
      <c r="N1556" s="9" t="n">
        <v>0</v>
      </c>
      <c r="O1556" s="4" t="n">
        <v>0</v>
      </c>
      <c r="P1556" s="5" t="n">
        <f aca="false">IF(COUNTIF([1]Base_Jugadores!J$2:J$500,B1556)&gt;0,1,0)</f>
        <v>0</v>
      </c>
      <c r="Q1556" s="10" t="b">
        <f aca="false">--(COUNTIFS(
   [1]Fichajes_Realizados!A$2:A$5000,A1556,
   [1]Fichajes_Realizados!G$2:G$5000,$X$3
)&gt;0)</f>
        <v>0</v>
      </c>
      <c r="R1556" s="5" t="n">
        <f aca="false">_xlfn.XLOOKUP(C1556, [1]Estado_Equipos!A$2:A$500, [1]Estado_Equipos!J$2:J$500, "")</f>
        <v>73</v>
      </c>
      <c r="S1556" s="5" t="n">
        <f aca="false">IF(H1556&lt;=16,1.45,
IF(H1556&gt;=41,0.3,
CHOOSE(ROUNDDOWN((H1556-16)/2,0)+1,
1.45,1.38,1.3,1.23,1.17,1.15,1.12,1.05,0.95,0.8,0.6,0.4,0.3)))</f>
        <v>1.23</v>
      </c>
      <c r="T1556" s="5" t="n">
        <f aca="false">CHOOSE(N1556+1,1.2,1,0.85,0.7)</f>
        <v>1.2</v>
      </c>
      <c r="U1556" s="5" t="n">
        <f aca="false">IF(F1556="PO",0.6,
IF(F1556="CT",0.75,
IF(F1556="LI",0.8,
IF(F1556="LD",0.8,
IF(F1556="MCD",0.85,
IF(F1556="MC",0.95,
IF(F1556="MO",1.05,
IF(F1556="EI",1.1,
IF(F1556="ED",1.1,
IF(F1556="SD",1.15,
IF(F1556="DC",1.2,0)))))))))))</f>
        <v>0.75</v>
      </c>
    </row>
    <row r="1557" customFormat="false" ht="16.4" hidden="false" customHeight="false" outlineLevel="0" collapsed="false">
      <c r="A1557" s="1" t="n">
        <v>1556</v>
      </c>
      <c r="B1557" s="5" t="str">
        <f aca="false">[1]Base_Jugadores!B1557</f>
        <v>Niels Nkounkou</v>
      </c>
      <c r="C1557" s="5" t="str">
        <f aca="false">IFERROR(
   _xlfn.XLOOKUP(VALUE(A1557),[1]Fichajes_Realizados!A$2:A$50000,[1]Fichajes_Realizados!D$2:D$50000,,0,-1),
   _xlfn.XLOOKUP(VALUE(A1557),[1]Base_Jugadores!A$2:A$50000,[1]Base_Jugadores!C$2:C$50000)
)</f>
        <v>Torino FC</v>
      </c>
      <c r="D1557" s="5" t="str">
        <f aca="false">[1]Base_Jugadores!D1557</f>
        <v>Francia</v>
      </c>
      <c r="E1557" s="3"/>
      <c r="F1557" s="5" t="str">
        <f aca="false">[1]Base_Jugadores!E1557</f>
        <v>LI</v>
      </c>
      <c r="G1557" s="5" t="n">
        <f aca="false">[1]Base_Jugadores!F1557</f>
        <v>72</v>
      </c>
      <c r="H1557" s="5" t="n">
        <f aca="false">[1]Base_Jugadores!G1557</f>
        <v>25</v>
      </c>
      <c r="I1557" s="7" t="n">
        <f aca="false" t="array" ref="I1557:I1557">_xlfn.XLOOKUP(G1557,{55;56;57;58;59;60;61;62;63;64;65;66;67;68;69;70;71;72;73;74;75;76;77;78;79;80;81;82;83;84;85;86;87;88;89;90;91;92;93;94;95;96;97;98;99},{100000;130000;160000;190000;220000;250000;300000;350000;400000;450000;500000;600000;700000;800000;900000;1000000;1500000;2000000;3000000;4000000;5000000;6500000;8000000;10000000;12500000;15000000;20000000;25000000;30000000;35000000;40000000;55000000;70000000;80000000;90000000;110000000;130000000;160000000;190000000;220000000;250000000;280000000;310000000;340000000;400000000})</f>
        <v>2000000</v>
      </c>
      <c r="J1557" s="7" t="n">
        <f aca="false">I1557*S1557*T1557*U1557</f>
        <v>2246400</v>
      </c>
      <c r="K1557" s="3"/>
      <c r="L1557" s="3"/>
      <c r="M1557" s="3"/>
      <c r="N1557" s="9" t="n">
        <v>0</v>
      </c>
      <c r="O1557" s="4" t="n">
        <v>0</v>
      </c>
      <c r="P1557" s="5" t="n">
        <f aca="false">IF(COUNTIF([1]Base_Jugadores!J$2:J$500,B1557)&gt;0,1,0)</f>
        <v>0</v>
      </c>
      <c r="Q1557" s="10" t="b">
        <f aca="false">--(COUNTIFS(
   [1]Fichajes_Realizados!A$2:A$5000,A1557,
   [1]Fichajes_Realizados!G$2:G$5000,$X$3
)&gt;0)</f>
        <v>0</v>
      </c>
      <c r="R1557" s="5" t="n">
        <f aca="false">_xlfn.XLOOKUP(C1557, [1]Estado_Equipos!A$2:A$500, [1]Estado_Equipos!J$2:J$500, "")</f>
        <v>73</v>
      </c>
      <c r="S1557" s="5" t="n">
        <f aca="false">IF(H1557&lt;=16,1.45,
IF(H1557&gt;=41,0.3,
CHOOSE(ROUNDDOWN((H1557-16)/2,0)+1,
1.45,1.38,1.3,1.23,1.17,1.15,1.12,1.05,0.95,0.8,0.6,0.4,0.3)))</f>
        <v>1.17</v>
      </c>
      <c r="T1557" s="5" t="n">
        <f aca="false">CHOOSE(N1557+1,1.2,1,0.85,0.7)</f>
        <v>1.2</v>
      </c>
      <c r="U1557" s="5" t="n">
        <f aca="false">IF(F1557="PO",0.6,
IF(F1557="CT",0.75,
IF(F1557="LI",0.8,
IF(F1557="LD",0.8,
IF(F1557="MCD",0.85,
IF(F1557="MC",0.95,
IF(F1557="MO",1.05,
IF(F1557="EI",1.1,
IF(F1557="ED",1.1,
IF(F1557="SD",1.15,
IF(F1557="DC",1.2,0)))))))))))</f>
        <v>0.8</v>
      </c>
    </row>
    <row r="1558" customFormat="false" ht="16.4" hidden="false" customHeight="false" outlineLevel="0" collapsed="false">
      <c r="A1558" s="1" t="n">
        <v>1557</v>
      </c>
      <c r="B1558" s="5" t="str">
        <f aca="false">[1]Base_Jugadores!B1558</f>
        <v>Cristiano Biraghi</v>
      </c>
      <c r="C1558" s="5" t="str">
        <f aca="false">IFERROR(
   _xlfn.XLOOKUP(VALUE(A1558),[1]Fichajes_Realizados!A$2:A$50000,[1]Fichajes_Realizados!D$2:D$50000,,0,-1),
   _xlfn.XLOOKUP(VALUE(A1558),[1]Base_Jugadores!A$2:A$50000,[1]Base_Jugadores!C$2:C$50000)
)</f>
        <v>Torino FC</v>
      </c>
      <c r="D1558" s="5" t="str">
        <f aca="false">[1]Base_Jugadores!D1558</f>
        <v>Italia</v>
      </c>
      <c r="E1558" s="3"/>
      <c r="F1558" s="5" t="str">
        <f aca="false">[1]Base_Jugadores!E1558</f>
        <v>LI</v>
      </c>
      <c r="G1558" s="5" t="n">
        <f aca="false">[1]Base_Jugadores!F1558</f>
        <v>79</v>
      </c>
      <c r="H1558" s="5" t="n">
        <f aca="false">[1]Base_Jugadores!G1558</f>
        <v>33</v>
      </c>
      <c r="I1558" s="7" t="n">
        <f aca="false" t="array" ref="I1558:I1558">_xlfn.XLOOKUP(G1558,{55;56;57;58;59;60;61;62;63;64;65;66;67;68;69;70;71;72;73;74;75;76;77;78;79;80;81;82;83;84;85;86;87;88;89;90;91;92;93;94;95;96;97;98;99},{100000;130000;160000;190000;220000;250000;300000;350000;400000;450000;500000;600000;700000;800000;900000;1000000;1500000;2000000;3000000;4000000;5000000;6500000;8000000;10000000;12500000;15000000;20000000;25000000;30000000;35000000;40000000;55000000;70000000;80000000;90000000;110000000;130000000;160000000;190000000;220000000;250000000;280000000;310000000;340000000;400000000})</f>
        <v>12500000</v>
      </c>
      <c r="J1558" s="7" t="n">
        <f aca="false">I1558*S1558*T1558*U1558</f>
        <v>11400000</v>
      </c>
      <c r="K1558" s="3"/>
      <c r="L1558" s="3"/>
      <c r="M1558" s="3"/>
      <c r="N1558" s="9" t="n">
        <v>0</v>
      </c>
      <c r="O1558" s="4" t="n">
        <v>0</v>
      </c>
      <c r="P1558" s="5" t="n">
        <f aca="false">IF(COUNTIF([1]Base_Jugadores!J$2:J$500,B1558)&gt;0,1,0)</f>
        <v>0</v>
      </c>
      <c r="Q1558" s="10" t="b">
        <f aca="false">--(COUNTIFS(
   [1]Fichajes_Realizados!A$2:A$5000,A1558,
   [1]Fichajes_Realizados!G$2:G$5000,$X$3
)&gt;0)</f>
        <v>0</v>
      </c>
      <c r="R1558" s="5" t="n">
        <f aca="false">_xlfn.XLOOKUP(C1558, [1]Estado_Equipos!A$2:A$500, [1]Estado_Equipos!J$2:J$500, "")</f>
        <v>73</v>
      </c>
      <c r="S1558" s="5" t="n">
        <f aca="false">IF(H1558&lt;=16,1.45,
IF(H1558&gt;=41,0.3,
CHOOSE(ROUNDDOWN((H1558-16)/2,0)+1,
1.45,1.38,1.3,1.23,1.17,1.15,1.12,1.05,0.95,0.8,0.6,0.4,0.3)))</f>
        <v>0.95</v>
      </c>
      <c r="T1558" s="5" t="n">
        <f aca="false">CHOOSE(N1558+1,1.2,1,0.85,0.7)</f>
        <v>1.2</v>
      </c>
      <c r="U1558" s="5" t="n">
        <f aca="false">IF(F1558="PO",0.6,
IF(F1558="CT",0.75,
IF(F1558="LI",0.8,
IF(F1558="LD",0.8,
IF(F1558="MCD",0.85,
IF(F1558="MC",0.95,
IF(F1558="MO",1.05,
IF(F1558="EI",1.1,
IF(F1558="ED",1.1,
IF(F1558="SD",1.15,
IF(F1558="DC",1.2,0)))))))))))</f>
        <v>0.8</v>
      </c>
    </row>
    <row r="1559" customFormat="false" ht="16.4" hidden="false" customHeight="false" outlineLevel="0" collapsed="false">
      <c r="A1559" s="1" t="n">
        <v>1558</v>
      </c>
      <c r="B1559" s="5" t="str">
        <f aca="false">[1]Base_Jugadores!B1559</f>
        <v>Valentino Lazaro</v>
      </c>
      <c r="C1559" s="5" t="str">
        <f aca="false">IFERROR(
   _xlfn.XLOOKUP(VALUE(A1559),[1]Fichajes_Realizados!A$2:A$50000,[1]Fichajes_Realizados!D$2:D$50000,,0,-1),
   _xlfn.XLOOKUP(VALUE(A1559),[1]Base_Jugadores!A$2:A$50000,[1]Base_Jugadores!C$2:C$50000)
)</f>
        <v>Torino FC</v>
      </c>
      <c r="D1559" s="5" t="str">
        <f aca="false">[1]Base_Jugadores!D1559</f>
        <v>Austria</v>
      </c>
      <c r="E1559" s="3"/>
      <c r="F1559" s="5" t="str">
        <f aca="false">[1]Base_Jugadores!E1559</f>
        <v>ED</v>
      </c>
      <c r="G1559" s="5" t="n">
        <f aca="false">[1]Base_Jugadores!F1559</f>
        <v>74</v>
      </c>
      <c r="H1559" s="5" t="n">
        <f aca="false">[1]Base_Jugadores!G1559</f>
        <v>29</v>
      </c>
      <c r="I1559" s="7" t="n">
        <f aca="false" t="array" ref="I1559:I1559">_xlfn.XLOOKUP(G1559,{55;56;57;58;59;60;61;62;63;64;65;66;67;68;69;70;71;72;73;74;75;76;77;78;79;80;81;82;83;84;85;86;87;88;89;90;91;92;93;94;95;96;97;98;99},{100000;130000;160000;190000;220000;250000;300000;350000;400000;450000;500000;600000;700000;800000;900000;1000000;1500000;2000000;3000000;4000000;5000000;6500000;8000000;10000000;12500000;15000000;20000000;25000000;30000000;35000000;40000000;55000000;70000000;80000000;90000000;110000000;130000000;160000000;190000000;220000000;250000000;280000000;310000000;340000000;400000000})</f>
        <v>4000000</v>
      </c>
      <c r="J1559" s="7" t="n">
        <f aca="false">I1559*S1559*T1559*U1559</f>
        <v>5913600</v>
      </c>
      <c r="K1559" s="3"/>
      <c r="L1559" s="3"/>
      <c r="M1559" s="3"/>
      <c r="N1559" s="9" t="n">
        <v>0</v>
      </c>
      <c r="O1559" s="4" t="n">
        <v>0</v>
      </c>
      <c r="P1559" s="5" t="n">
        <f aca="false">IF(COUNTIF([1]Base_Jugadores!J$2:J$500,B1559)&gt;0,1,0)</f>
        <v>0</v>
      </c>
      <c r="Q1559" s="10" t="b">
        <f aca="false">--(COUNTIFS(
   [1]Fichajes_Realizados!A$2:A$5000,A1559,
   [1]Fichajes_Realizados!G$2:G$5000,$X$3
)&gt;0)</f>
        <v>0</v>
      </c>
      <c r="R1559" s="5" t="n">
        <f aca="false">_xlfn.XLOOKUP(C1559, [1]Estado_Equipos!A$2:A$500, [1]Estado_Equipos!J$2:J$500, "")</f>
        <v>73</v>
      </c>
      <c r="S1559" s="5" t="n">
        <f aca="false">IF(H1559&lt;=16,1.45,
IF(H1559&gt;=41,0.3,
CHOOSE(ROUNDDOWN((H1559-16)/2,0)+1,
1.45,1.38,1.3,1.23,1.17,1.15,1.12,1.05,0.95,0.8,0.6,0.4,0.3)))</f>
        <v>1.12</v>
      </c>
      <c r="T1559" s="5" t="n">
        <f aca="false">CHOOSE(N1559+1,1.2,1,0.85,0.7)</f>
        <v>1.2</v>
      </c>
      <c r="U1559" s="5" t="n">
        <f aca="false">IF(F1559="PO",0.6,
IF(F1559="CT",0.75,
IF(F1559="LI",0.8,
IF(F1559="LD",0.8,
IF(F1559="MCD",0.85,
IF(F1559="MC",0.95,
IF(F1559="MO",1.05,
IF(F1559="EI",1.1,
IF(F1559="ED",1.1,
IF(F1559="SD",1.15,
IF(F1559="DC",1.2,0)))))))))))</f>
        <v>1.1</v>
      </c>
    </row>
    <row r="1560" customFormat="false" ht="16.4" hidden="false" customHeight="false" outlineLevel="0" collapsed="false">
      <c r="A1560" s="1" t="n">
        <v>1559</v>
      </c>
      <c r="B1560" s="5" t="str">
        <f aca="false">[1]Base_Jugadores!B1560</f>
        <v>Marcus Pedersen</v>
      </c>
      <c r="C1560" s="5" t="str">
        <f aca="false">IFERROR(
   _xlfn.XLOOKUP(VALUE(A1560),[1]Fichajes_Realizados!A$2:A$50000,[1]Fichajes_Realizados!D$2:D$50000,,0,-1),
   _xlfn.XLOOKUP(VALUE(A1560),[1]Base_Jugadores!A$2:A$50000,[1]Base_Jugadores!C$2:C$50000)
)</f>
        <v>Torino FC</v>
      </c>
      <c r="D1560" s="5" t="str">
        <f aca="false">[1]Base_Jugadores!D1560</f>
        <v>Noruega</v>
      </c>
      <c r="E1560" s="3"/>
      <c r="F1560" s="5" t="str">
        <f aca="false">[1]Base_Jugadores!E1560</f>
        <v>LD</v>
      </c>
      <c r="G1560" s="5" t="n">
        <f aca="false">[1]Base_Jugadores!F1560</f>
        <v>74</v>
      </c>
      <c r="H1560" s="5" t="n">
        <f aca="false">[1]Base_Jugadores!G1560</f>
        <v>25</v>
      </c>
      <c r="I1560" s="7" t="n">
        <f aca="false" t="array" ref="I1560:I1560">_xlfn.XLOOKUP(G1560,{55;56;57;58;59;60;61;62;63;64;65;66;67;68;69;70;71;72;73;74;75;76;77;78;79;80;81;82;83;84;85;86;87;88;89;90;91;92;93;94;95;96;97;98;99},{100000;130000;160000;190000;220000;250000;300000;350000;400000;450000;500000;600000;700000;800000;900000;1000000;1500000;2000000;3000000;4000000;5000000;6500000;8000000;10000000;12500000;15000000;20000000;25000000;30000000;35000000;40000000;55000000;70000000;80000000;90000000;110000000;130000000;160000000;190000000;220000000;250000000;280000000;310000000;340000000;400000000})</f>
        <v>4000000</v>
      </c>
      <c r="J1560" s="7" t="n">
        <f aca="false">I1560*S1560*T1560*U1560</f>
        <v>4492800</v>
      </c>
      <c r="K1560" s="3"/>
      <c r="L1560" s="3"/>
      <c r="M1560" s="3"/>
      <c r="N1560" s="9" t="n">
        <v>0</v>
      </c>
      <c r="O1560" s="4" t="n">
        <v>0</v>
      </c>
      <c r="P1560" s="5" t="n">
        <f aca="false">IF(COUNTIF([1]Base_Jugadores!J$2:J$500,B1560)&gt;0,1,0)</f>
        <v>0</v>
      </c>
      <c r="Q1560" s="10" t="b">
        <f aca="false">--(COUNTIFS(
   [1]Fichajes_Realizados!A$2:A$5000,A1560,
   [1]Fichajes_Realizados!G$2:G$5000,$X$3
)&gt;0)</f>
        <v>0</v>
      </c>
      <c r="R1560" s="5" t="n">
        <f aca="false">_xlfn.XLOOKUP(C1560, [1]Estado_Equipos!A$2:A$500, [1]Estado_Equipos!J$2:J$500, "")</f>
        <v>73</v>
      </c>
      <c r="S1560" s="5" t="n">
        <f aca="false">IF(H1560&lt;=16,1.45,
IF(H1560&gt;=41,0.3,
CHOOSE(ROUNDDOWN((H1560-16)/2,0)+1,
1.45,1.38,1.3,1.23,1.17,1.15,1.12,1.05,0.95,0.8,0.6,0.4,0.3)))</f>
        <v>1.17</v>
      </c>
      <c r="T1560" s="5" t="n">
        <f aca="false">CHOOSE(N1560+1,1.2,1,0.85,0.7)</f>
        <v>1.2</v>
      </c>
      <c r="U1560" s="5" t="n">
        <f aca="false">IF(F1560="PO",0.6,
IF(F1560="CT",0.75,
IF(F1560="LI",0.8,
IF(F1560="LD",0.8,
IF(F1560="MCD",0.85,
IF(F1560="MC",0.95,
IF(F1560="MO",1.05,
IF(F1560="EI",1.1,
IF(F1560="ED",1.1,
IF(F1560="SD",1.15,
IF(F1560="DC",1.2,0)))))))))))</f>
        <v>0.8</v>
      </c>
    </row>
    <row r="1561" customFormat="false" ht="16.4" hidden="false" customHeight="false" outlineLevel="0" collapsed="false">
      <c r="A1561" s="1" t="n">
        <v>1560</v>
      </c>
      <c r="B1561" s="5" t="str">
        <f aca="false">[1]Base_Jugadores!B1561</f>
        <v>Ali Dembélé</v>
      </c>
      <c r="C1561" s="5" t="str">
        <f aca="false">IFERROR(
   _xlfn.XLOOKUP(VALUE(A1561),[1]Fichajes_Realizados!A$2:A$50000,[1]Fichajes_Realizados!D$2:D$50000,,0,-1),
   _xlfn.XLOOKUP(VALUE(A1561),[1]Base_Jugadores!A$2:A$50000,[1]Base_Jugadores!C$2:C$50000)
)</f>
        <v>Torino FC</v>
      </c>
      <c r="D1561" s="5" t="str">
        <f aca="false">[1]Base_Jugadores!D1561</f>
        <v>Francia</v>
      </c>
      <c r="E1561" s="3"/>
      <c r="F1561" s="5" t="str">
        <f aca="false">[1]Base_Jugadores!E1561</f>
        <v>LD</v>
      </c>
      <c r="G1561" s="5" t="n">
        <f aca="false">[1]Base_Jugadores!F1561</f>
        <v>62</v>
      </c>
      <c r="H1561" s="5" t="n">
        <f aca="false">[1]Base_Jugadores!G1561</f>
        <v>21</v>
      </c>
      <c r="I1561" s="7" t="n">
        <f aca="false" t="array" ref="I1561:I1561">_xlfn.XLOOKUP(G1561,{55;56;57;58;59;60;61;62;63;64;65;66;67;68;69;70;71;72;73;74;75;76;77;78;79;80;81;82;83;84;85;86;87;88;89;90;91;92;93;94;95;96;97;98;99},{100000;130000;160000;190000;220000;250000;300000;350000;400000;450000;500000;600000;700000;800000;900000;1000000;1500000;2000000;3000000;4000000;5000000;6500000;8000000;10000000;12500000;15000000;20000000;25000000;30000000;35000000;40000000;55000000;70000000;80000000;90000000;110000000;130000000;160000000;190000000;220000000;250000000;280000000;310000000;340000000;400000000})</f>
        <v>350000</v>
      </c>
      <c r="J1561" s="7" t="n">
        <f aca="false">I1561*S1561*T1561*U1561</f>
        <v>436800</v>
      </c>
      <c r="K1561" s="3"/>
      <c r="L1561" s="3"/>
      <c r="M1561" s="3"/>
      <c r="N1561" s="9" t="n">
        <v>0</v>
      </c>
      <c r="O1561" s="4" t="n">
        <v>0</v>
      </c>
      <c r="P1561" s="5" t="n">
        <f aca="false">IF(COUNTIF([1]Base_Jugadores!J$2:J$500,B1561)&gt;0,1,0)</f>
        <v>0</v>
      </c>
      <c r="Q1561" s="10" t="b">
        <f aca="false">--(COUNTIFS(
   [1]Fichajes_Realizados!A$2:A$5000,A1561,
   [1]Fichajes_Realizados!G$2:G$5000,$X$3
)&gt;0)</f>
        <v>0</v>
      </c>
      <c r="R1561" s="5" t="n">
        <f aca="false">_xlfn.XLOOKUP(C1561, [1]Estado_Equipos!A$2:A$500, [1]Estado_Equipos!J$2:J$500, "")</f>
        <v>73</v>
      </c>
      <c r="S1561" s="5" t="n">
        <f aca="false">IF(H1561&lt;=16,1.45,
IF(H1561&gt;=41,0.3,
CHOOSE(ROUNDDOWN((H1561-16)/2,0)+1,
1.45,1.38,1.3,1.23,1.17,1.15,1.12,1.05,0.95,0.8,0.6,0.4,0.3)))</f>
        <v>1.3</v>
      </c>
      <c r="T1561" s="5" t="n">
        <f aca="false">CHOOSE(N1561+1,1.2,1,0.85,0.7)</f>
        <v>1.2</v>
      </c>
      <c r="U1561" s="5" t="n">
        <f aca="false">IF(F1561="PO",0.6,
IF(F1561="CT",0.75,
IF(F1561="LI",0.8,
IF(F1561="LD",0.8,
IF(F1561="MCD",0.85,
IF(F1561="MC",0.95,
IF(F1561="MO",1.05,
IF(F1561="EI",1.1,
IF(F1561="ED",1.1,
IF(F1561="SD",1.15,
IF(F1561="DC",1.2,0)))))))))))</f>
        <v>0.8</v>
      </c>
    </row>
    <row r="1562" customFormat="false" ht="16.4" hidden="false" customHeight="false" outlineLevel="0" collapsed="false">
      <c r="A1562" s="1" t="n">
        <v>1561</v>
      </c>
      <c r="B1562" s="5" t="str">
        <f aca="false">[1]Base_Jugadores!B1562</f>
        <v>Kristjan Asllani</v>
      </c>
      <c r="C1562" s="5" t="str">
        <f aca="false">IFERROR(
   _xlfn.XLOOKUP(VALUE(A1562),[1]Fichajes_Realizados!A$2:A$50000,[1]Fichajes_Realizados!D$2:D$50000,,0,-1),
   _xlfn.XLOOKUP(VALUE(A1562),[1]Base_Jugadores!A$2:A$50000,[1]Base_Jugadores!C$2:C$50000)
)</f>
        <v>Torino FC</v>
      </c>
      <c r="D1562" s="5" t="str">
        <f aca="false">[1]Base_Jugadores!D1562</f>
        <v>Albania</v>
      </c>
      <c r="E1562" s="3"/>
      <c r="F1562" s="5" t="str">
        <f aca="false">[1]Base_Jugadores!E1562</f>
        <v>MCD</v>
      </c>
      <c r="G1562" s="5" t="n">
        <f aca="false">[1]Base_Jugadores!F1562</f>
        <v>76</v>
      </c>
      <c r="H1562" s="5" t="n">
        <f aca="false">[1]Base_Jugadores!G1562</f>
        <v>23</v>
      </c>
      <c r="I1562" s="7" t="n">
        <f aca="false" t="array" ref="I1562:I1562">_xlfn.XLOOKUP(G1562,{55;56;57;58;59;60;61;62;63;64;65;66;67;68;69;70;71;72;73;74;75;76;77;78;79;80;81;82;83;84;85;86;87;88;89;90;91;92;93;94;95;96;97;98;99},{100000;130000;160000;190000;220000;250000;300000;350000;400000;450000;500000;600000;700000;800000;900000;1000000;1500000;2000000;3000000;4000000;5000000;6500000;8000000;10000000;12500000;15000000;20000000;25000000;30000000;35000000;40000000;55000000;70000000;80000000;90000000;110000000;130000000;160000000;190000000;220000000;250000000;280000000;310000000;340000000;400000000})</f>
        <v>6500000</v>
      </c>
      <c r="J1562" s="7" t="n">
        <f aca="false">I1562*S1562*T1562*U1562</f>
        <v>8154900</v>
      </c>
      <c r="K1562" s="3"/>
      <c r="L1562" s="3"/>
      <c r="M1562" s="3"/>
      <c r="N1562" s="9" t="n">
        <v>0</v>
      </c>
      <c r="O1562" s="4" t="n">
        <v>0</v>
      </c>
      <c r="P1562" s="5" t="n">
        <f aca="false">IF(COUNTIF([1]Base_Jugadores!J$2:J$500,B1562)&gt;0,1,0)</f>
        <v>0</v>
      </c>
      <c r="Q1562" s="10" t="b">
        <f aca="false">--(COUNTIFS(
   [1]Fichajes_Realizados!A$2:A$5000,A1562,
   [1]Fichajes_Realizados!G$2:G$5000,$X$3
)&gt;0)</f>
        <v>0</v>
      </c>
      <c r="R1562" s="5" t="n">
        <f aca="false">_xlfn.XLOOKUP(C1562, [1]Estado_Equipos!A$2:A$500, [1]Estado_Equipos!J$2:J$500, "")</f>
        <v>73</v>
      </c>
      <c r="S1562" s="5" t="n">
        <f aca="false">IF(H1562&lt;=16,1.45,
IF(H1562&gt;=41,0.3,
CHOOSE(ROUNDDOWN((H1562-16)/2,0)+1,
1.45,1.38,1.3,1.23,1.17,1.15,1.12,1.05,0.95,0.8,0.6,0.4,0.3)))</f>
        <v>1.23</v>
      </c>
      <c r="T1562" s="5" t="n">
        <f aca="false">CHOOSE(N1562+1,1.2,1,0.85,0.7)</f>
        <v>1.2</v>
      </c>
      <c r="U1562" s="5" t="n">
        <f aca="false">IF(F1562="PO",0.6,
IF(F1562="CT",0.75,
IF(F1562="LI",0.8,
IF(F1562="LD",0.8,
IF(F1562="MCD",0.85,
IF(F1562="MC",0.95,
IF(F1562="MO",1.05,
IF(F1562="EI",1.1,
IF(F1562="ED",1.1,
IF(F1562="SD",1.15,
IF(F1562="DC",1.2,0)))))))))))</f>
        <v>0.85</v>
      </c>
    </row>
    <row r="1563" customFormat="false" ht="16.4" hidden="false" customHeight="false" outlineLevel="0" collapsed="false">
      <c r="A1563" s="1" t="n">
        <v>1562</v>
      </c>
      <c r="B1563" s="5" t="str">
        <f aca="false">[1]Base_Jugadores!B1563</f>
        <v>Adrien Tamèze</v>
      </c>
      <c r="C1563" s="5" t="str">
        <f aca="false">IFERROR(
   _xlfn.XLOOKUP(VALUE(A1563),[1]Fichajes_Realizados!A$2:A$50000,[1]Fichajes_Realizados!D$2:D$50000,,0,-1),
   _xlfn.XLOOKUP(VALUE(A1563),[1]Base_Jugadores!A$2:A$50000,[1]Base_Jugadores!C$2:C$50000)
)</f>
        <v>Torino FC</v>
      </c>
      <c r="D1563" s="5" t="str">
        <f aca="false">[1]Base_Jugadores!D1563</f>
        <v>Francia</v>
      </c>
      <c r="E1563" s="3"/>
      <c r="F1563" s="5" t="str">
        <f aca="false">[1]Base_Jugadores!E1563</f>
        <v>MCD</v>
      </c>
      <c r="G1563" s="5" t="n">
        <f aca="false">[1]Base_Jugadores!F1563</f>
        <v>76</v>
      </c>
      <c r="H1563" s="5" t="n">
        <f aca="false">[1]Base_Jugadores!G1563</f>
        <v>31</v>
      </c>
      <c r="I1563" s="7" t="n">
        <f aca="false" t="array" ref="I1563:I1563">_xlfn.XLOOKUP(G1563,{55;56;57;58;59;60;61;62;63;64;65;66;67;68;69;70;71;72;73;74;75;76;77;78;79;80;81;82;83;84;85;86;87;88;89;90;91;92;93;94;95;96;97;98;99},{100000;130000;160000;190000;220000;250000;300000;350000;400000;450000;500000;600000;700000;800000;900000;1000000;1500000;2000000;3000000;4000000;5000000;6500000;8000000;10000000;12500000;15000000;20000000;25000000;30000000;35000000;40000000;55000000;70000000;80000000;90000000;110000000;130000000;160000000;190000000;220000000;250000000;280000000;310000000;340000000;400000000})</f>
        <v>6500000</v>
      </c>
      <c r="J1563" s="7" t="n">
        <f aca="false">I1563*S1563*T1563*U1563</f>
        <v>6961500</v>
      </c>
      <c r="K1563" s="3"/>
      <c r="L1563" s="3"/>
      <c r="M1563" s="3"/>
      <c r="N1563" s="9" t="n">
        <v>0</v>
      </c>
      <c r="O1563" s="4" t="n">
        <v>0</v>
      </c>
      <c r="P1563" s="5" t="n">
        <f aca="false">IF(COUNTIF([1]Base_Jugadores!J$2:J$500,B1563)&gt;0,1,0)</f>
        <v>0</v>
      </c>
      <c r="Q1563" s="10" t="b">
        <f aca="false">--(COUNTIFS(
   [1]Fichajes_Realizados!A$2:A$5000,A1563,
   [1]Fichajes_Realizados!G$2:G$5000,$X$3
)&gt;0)</f>
        <v>0</v>
      </c>
      <c r="R1563" s="5" t="n">
        <f aca="false">_xlfn.XLOOKUP(C1563, [1]Estado_Equipos!A$2:A$500, [1]Estado_Equipos!J$2:J$500, "")</f>
        <v>73</v>
      </c>
      <c r="S1563" s="5" t="n">
        <f aca="false">IF(H1563&lt;=16,1.45,
IF(H1563&gt;=41,0.3,
CHOOSE(ROUNDDOWN((H1563-16)/2,0)+1,
1.45,1.38,1.3,1.23,1.17,1.15,1.12,1.05,0.95,0.8,0.6,0.4,0.3)))</f>
        <v>1.05</v>
      </c>
      <c r="T1563" s="5" t="n">
        <f aca="false">CHOOSE(N1563+1,1.2,1,0.85,0.7)</f>
        <v>1.2</v>
      </c>
      <c r="U1563" s="5" t="n">
        <f aca="false">IF(F1563="PO",0.6,
IF(F1563="CT",0.75,
IF(F1563="LI",0.8,
IF(F1563="LD",0.8,
IF(F1563="MCD",0.85,
IF(F1563="MC",0.95,
IF(F1563="MO",1.05,
IF(F1563="EI",1.1,
IF(F1563="ED",1.1,
IF(F1563="SD",1.15,
IF(F1563="DC",1.2,0)))))))))))</f>
        <v>0.85</v>
      </c>
    </row>
    <row r="1564" customFormat="false" ht="16.4" hidden="false" customHeight="false" outlineLevel="0" collapsed="false">
      <c r="A1564" s="1" t="n">
        <v>1563</v>
      </c>
      <c r="B1564" s="5" t="str">
        <f aca="false">[1]Base_Jugadores!B1564</f>
        <v>Cesare Casadei</v>
      </c>
      <c r="C1564" s="5" t="str">
        <f aca="false">IFERROR(
   _xlfn.XLOOKUP(VALUE(A1564),[1]Fichajes_Realizados!A$2:A$50000,[1]Fichajes_Realizados!D$2:D$50000,,0,-1),
   _xlfn.XLOOKUP(VALUE(A1564),[1]Base_Jugadores!A$2:A$50000,[1]Base_Jugadores!C$2:C$50000)
)</f>
        <v>Torino FC</v>
      </c>
      <c r="D1564" s="5" t="str">
        <f aca="false">[1]Base_Jugadores!D1564</f>
        <v>Italia</v>
      </c>
      <c r="E1564" s="3"/>
      <c r="F1564" s="5" t="str">
        <f aca="false">[1]Base_Jugadores!E1564</f>
        <v>MC</v>
      </c>
      <c r="G1564" s="5" t="n">
        <f aca="false">[1]Base_Jugadores!F1564</f>
        <v>73</v>
      </c>
      <c r="H1564" s="5" t="n">
        <f aca="false">[1]Base_Jugadores!G1564</f>
        <v>22</v>
      </c>
      <c r="I1564" s="7" t="n">
        <f aca="false" t="array" ref="I1564:I1564">_xlfn.XLOOKUP(G1564,{55;56;57;58;59;60;61;62;63;64;65;66;67;68;69;70;71;72;73;74;75;76;77;78;79;80;81;82;83;84;85;86;87;88;89;90;91;92;93;94;95;96;97;98;99},{100000;130000;160000;190000;220000;250000;300000;350000;400000;450000;500000;600000;700000;800000;900000;1000000;1500000;2000000;3000000;4000000;5000000;6500000;8000000;10000000;12500000;15000000;20000000;25000000;30000000;35000000;40000000;55000000;70000000;80000000;90000000;110000000;130000000;160000000;190000000;220000000;250000000;280000000;310000000;340000000;400000000})</f>
        <v>3000000</v>
      </c>
      <c r="J1564" s="7" t="n">
        <f aca="false">I1564*S1564*T1564*U1564</f>
        <v>4206600</v>
      </c>
      <c r="K1564" s="3"/>
      <c r="L1564" s="3"/>
      <c r="M1564" s="3"/>
      <c r="N1564" s="9" t="n">
        <v>0</v>
      </c>
      <c r="O1564" s="4" t="n">
        <v>0</v>
      </c>
      <c r="P1564" s="5" t="n">
        <f aca="false">IF(COUNTIF([1]Base_Jugadores!J$2:J$500,B1564)&gt;0,1,0)</f>
        <v>0</v>
      </c>
      <c r="Q1564" s="10" t="b">
        <f aca="false">--(COUNTIFS(
   [1]Fichajes_Realizados!A$2:A$5000,A1564,
   [1]Fichajes_Realizados!G$2:G$5000,$X$3
)&gt;0)</f>
        <v>0</v>
      </c>
      <c r="R1564" s="5" t="n">
        <f aca="false">_xlfn.XLOOKUP(C1564, [1]Estado_Equipos!A$2:A$500, [1]Estado_Equipos!J$2:J$500, "")</f>
        <v>73</v>
      </c>
      <c r="S1564" s="5" t="n">
        <f aca="false">IF(H1564&lt;=16,1.45,
IF(H1564&gt;=41,0.3,
CHOOSE(ROUNDDOWN((H1564-16)/2,0)+1,
1.45,1.38,1.3,1.23,1.17,1.15,1.12,1.05,0.95,0.8,0.6,0.4,0.3)))</f>
        <v>1.23</v>
      </c>
      <c r="T1564" s="5" t="n">
        <f aca="false">CHOOSE(N1564+1,1.2,1,0.85,0.7)</f>
        <v>1.2</v>
      </c>
      <c r="U1564" s="5" t="n">
        <f aca="false">IF(F1564="PO",0.6,
IF(F1564="CT",0.75,
IF(F1564="LI",0.8,
IF(F1564="LD",0.8,
IF(F1564="MCD",0.85,
IF(F1564="MC",0.95,
IF(F1564="MO",1.05,
IF(F1564="EI",1.1,
IF(F1564="ED",1.1,
IF(F1564="SD",1.15,
IF(F1564="DC",1.2,0)))))))))))</f>
        <v>0.95</v>
      </c>
    </row>
    <row r="1565" customFormat="false" ht="16.4" hidden="false" customHeight="false" outlineLevel="0" collapsed="false">
      <c r="A1565" s="1" t="n">
        <v>1564</v>
      </c>
      <c r="B1565" s="5" t="str">
        <f aca="false">[1]Base_Jugadores!B1565</f>
        <v>Ivan Ilić</v>
      </c>
      <c r="C1565" s="5" t="str">
        <f aca="false">IFERROR(
   _xlfn.XLOOKUP(VALUE(A1565),[1]Fichajes_Realizados!A$2:A$50000,[1]Fichajes_Realizados!D$2:D$50000,,0,-1),
   _xlfn.XLOOKUP(VALUE(A1565),[1]Base_Jugadores!A$2:A$50000,[1]Base_Jugadores!C$2:C$50000)
)</f>
        <v>Torino FC</v>
      </c>
      <c r="D1565" s="5" t="str">
        <f aca="false">[1]Base_Jugadores!D1565</f>
        <v>Serbia</v>
      </c>
      <c r="E1565" s="3"/>
      <c r="F1565" s="5" t="str">
        <f aca="false">[1]Base_Jugadores!E1565</f>
        <v>MC</v>
      </c>
      <c r="G1565" s="5" t="n">
        <f aca="false">[1]Base_Jugadores!F1565</f>
        <v>77</v>
      </c>
      <c r="H1565" s="5" t="n">
        <f aca="false">[1]Base_Jugadores!G1565</f>
        <v>24</v>
      </c>
      <c r="I1565" s="7" t="n">
        <f aca="false" t="array" ref="I1565:I1565">_xlfn.XLOOKUP(G1565,{55;56;57;58;59;60;61;62;63;64;65;66;67;68;69;70;71;72;73;74;75;76;77;78;79;80;81;82;83;84;85;86;87;88;89;90;91;92;93;94;95;96;97;98;99},{100000;130000;160000;190000;220000;250000;300000;350000;400000;450000;500000;600000;700000;800000;900000;1000000;1500000;2000000;3000000;4000000;5000000;6500000;8000000;10000000;12500000;15000000;20000000;25000000;30000000;35000000;40000000;55000000;70000000;80000000;90000000;110000000;130000000;160000000;190000000;220000000;250000000;280000000;310000000;340000000;400000000})</f>
        <v>8000000</v>
      </c>
      <c r="J1565" s="7" t="n">
        <f aca="false">I1565*S1565*T1565*U1565</f>
        <v>10670400</v>
      </c>
      <c r="K1565" s="3"/>
      <c r="L1565" s="3"/>
      <c r="M1565" s="3"/>
      <c r="N1565" s="9" t="n">
        <v>0</v>
      </c>
      <c r="O1565" s="4" t="n">
        <v>0</v>
      </c>
      <c r="P1565" s="5" t="n">
        <f aca="false">IF(COUNTIF([1]Base_Jugadores!J$2:J$500,B1565)&gt;0,1,0)</f>
        <v>0</v>
      </c>
      <c r="Q1565" s="10" t="b">
        <f aca="false">--(COUNTIFS(
   [1]Fichajes_Realizados!A$2:A$5000,A1565,
   [1]Fichajes_Realizados!G$2:G$5000,$X$3
)&gt;0)</f>
        <v>0</v>
      </c>
      <c r="R1565" s="5" t="n">
        <f aca="false">_xlfn.XLOOKUP(C1565, [1]Estado_Equipos!A$2:A$500, [1]Estado_Equipos!J$2:J$500, "")</f>
        <v>73</v>
      </c>
      <c r="S1565" s="5" t="n">
        <f aca="false">IF(H1565&lt;=16,1.45,
IF(H1565&gt;=41,0.3,
CHOOSE(ROUNDDOWN((H1565-16)/2,0)+1,
1.45,1.38,1.3,1.23,1.17,1.15,1.12,1.05,0.95,0.8,0.6,0.4,0.3)))</f>
        <v>1.17</v>
      </c>
      <c r="T1565" s="5" t="n">
        <f aca="false">CHOOSE(N1565+1,1.2,1,0.85,0.7)</f>
        <v>1.2</v>
      </c>
      <c r="U1565" s="5" t="n">
        <f aca="false">IF(F1565="PO",0.6,
IF(F1565="CT",0.75,
IF(F1565="LI",0.8,
IF(F1565="LD",0.8,
IF(F1565="MCD",0.85,
IF(F1565="MC",0.95,
IF(F1565="MO",1.05,
IF(F1565="EI",1.1,
IF(F1565="ED",1.1,
IF(F1565="SD",1.15,
IF(F1565="DC",1.2,0)))))))))))</f>
        <v>0.95</v>
      </c>
    </row>
    <row r="1566" customFormat="false" ht="16.4" hidden="false" customHeight="false" outlineLevel="0" collapsed="false">
      <c r="A1566" s="1" t="n">
        <v>1565</v>
      </c>
      <c r="B1566" s="5" t="str">
        <f aca="false">[1]Base_Jugadores!B1566</f>
        <v>Gvidas Gineitis</v>
      </c>
      <c r="C1566" s="5" t="str">
        <f aca="false">IFERROR(
   _xlfn.XLOOKUP(VALUE(A1566),[1]Fichajes_Realizados!A$2:A$50000,[1]Fichajes_Realizados!D$2:D$50000,,0,-1),
   _xlfn.XLOOKUP(VALUE(A1566),[1]Base_Jugadores!A$2:A$50000,[1]Base_Jugadores!C$2:C$50000)
)</f>
        <v>Torino FC</v>
      </c>
      <c r="D1566" s="5" t="str">
        <f aca="false">[1]Base_Jugadores!D1566</f>
        <v>Lituania</v>
      </c>
      <c r="E1566" s="3"/>
      <c r="F1566" s="5" t="str">
        <f aca="false">[1]Base_Jugadores!E1566</f>
        <v>MC</v>
      </c>
      <c r="G1566" s="5" t="n">
        <f aca="false">[1]Base_Jugadores!F1566</f>
        <v>67</v>
      </c>
      <c r="H1566" s="5" t="n">
        <f aca="false">[1]Base_Jugadores!G1566</f>
        <v>21</v>
      </c>
      <c r="I1566" s="7" t="n">
        <f aca="false" t="array" ref="I1566:I1566">_xlfn.XLOOKUP(G1566,{55;56;57;58;59;60;61;62;63;64;65;66;67;68;69;70;71;72;73;74;75;76;77;78;79;80;81;82;83;84;85;86;87;88;89;90;91;92;93;94;95;96;97;98;99},{100000;130000;160000;190000;220000;250000;300000;350000;400000;450000;500000;600000;700000;800000;900000;1000000;1500000;2000000;3000000;4000000;5000000;6500000;8000000;10000000;12500000;15000000;20000000;25000000;30000000;35000000;40000000;55000000;70000000;80000000;90000000;110000000;130000000;160000000;190000000;220000000;250000000;280000000;310000000;340000000;400000000})</f>
        <v>700000</v>
      </c>
      <c r="J1566" s="7" t="n">
        <f aca="false">I1566*S1566*T1566*U1566</f>
        <v>1037400</v>
      </c>
      <c r="K1566" s="3"/>
      <c r="L1566" s="3"/>
      <c r="M1566" s="3"/>
      <c r="N1566" s="9" t="n">
        <v>0</v>
      </c>
      <c r="O1566" s="4" t="n">
        <v>0</v>
      </c>
      <c r="P1566" s="5" t="n">
        <f aca="false">IF(COUNTIF([1]Base_Jugadores!J$2:J$500,B1566)&gt;0,1,0)</f>
        <v>0</v>
      </c>
      <c r="Q1566" s="10" t="b">
        <f aca="false">--(COUNTIFS(
   [1]Fichajes_Realizados!A$2:A$5000,A1566,
   [1]Fichajes_Realizados!G$2:G$5000,$X$3
)&gt;0)</f>
        <v>0</v>
      </c>
      <c r="R1566" s="5" t="n">
        <f aca="false">_xlfn.XLOOKUP(C1566, [1]Estado_Equipos!A$2:A$500, [1]Estado_Equipos!J$2:J$500, "")</f>
        <v>73</v>
      </c>
      <c r="S1566" s="5" t="n">
        <f aca="false">IF(H1566&lt;=16,1.45,
IF(H1566&gt;=41,0.3,
CHOOSE(ROUNDDOWN((H1566-16)/2,0)+1,
1.45,1.38,1.3,1.23,1.17,1.15,1.12,1.05,0.95,0.8,0.6,0.4,0.3)))</f>
        <v>1.3</v>
      </c>
      <c r="T1566" s="5" t="n">
        <f aca="false">CHOOSE(N1566+1,1.2,1,0.85,0.7)</f>
        <v>1.2</v>
      </c>
      <c r="U1566" s="5" t="n">
        <f aca="false">IF(F1566="PO",0.6,
IF(F1566="CT",0.75,
IF(F1566="LI",0.8,
IF(F1566="LD",0.8,
IF(F1566="MCD",0.85,
IF(F1566="MC",0.95,
IF(F1566="MO",1.05,
IF(F1566="EI",1.1,
IF(F1566="ED",1.1,
IF(F1566="SD",1.15,
IF(F1566="DC",1.2,0)))))))))))</f>
        <v>0.95</v>
      </c>
    </row>
    <row r="1567" customFormat="false" ht="16.4" hidden="false" customHeight="false" outlineLevel="0" collapsed="false">
      <c r="A1567" s="1" t="n">
        <v>1566</v>
      </c>
      <c r="B1567" s="5" t="str">
        <f aca="false">[1]Base_Jugadores!B1567</f>
        <v>Emirhan İlkhan</v>
      </c>
      <c r="C1567" s="5" t="str">
        <f aca="false">IFERROR(
   _xlfn.XLOOKUP(VALUE(A1567),[1]Fichajes_Realizados!A$2:A$50000,[1]Fichajes_Realizados!D$2:D$50000,,0,-1),
   _xlfn.XLOOKUP(VALUE(A1567),[1]Base_Jugadores!A$2:A$50000,[1]Base_Jugadores!C$2:C$50000)
)</f>
        <v>Torino FC</v>
      </c>
      <c r="D1567" s="5" t="str">
        <f aca="false">[1]Base_Jugadores!D1567</f>
        <v>Turquía</v>
      </c>
      <c r="E1567" s="3"/>
      <c r="F1567" s="5" t="str">
        <f aca="false">[1]Base_Jugadores!E1567</f>
        <v>MC</v>
      </c>
      <c r="G1567" s="5" t="n">
        <f aca="false">[1]Base_Jugadores!F1567</f>
        <v>64</v>
      </c>
      <c r="H1567" s="5" t="n">
        <f aca="false">[1]Base_Jugadores!G1567</f>
        <v>21</v>
      </c>
      <c r="I1567" s="7" t="n">
        <f aca="false" t="array" ref="I1567:I1567">_xlfn.XLOOKUP(G1567,{55;56;57;58;59;60;61;62;63;64;65;66;67;68;69;70;71;72;73;74;75;76;77;78;79;80;81;82;83;84;85;86;87;88;89;90;91;92;93;94;95;96;97;98;99},{100000;130000;160000;190000;220000;250000;300000;350000;400000;450000;500000;600000;700000;800000;900000;1000000;1500000;2000000;3000000;4000000;5000000;6500000;8000000;10000000;12500000;15000000;20000000;25000000;30000000;35000000;40000000;55000000;70000000;80000000;90000000;110000000;130000000;160000000;190000000;220000000;250000000;280000000;310000000;340000000;400000000})</f>
        <v>450000</v>
      </c>
      <c r="J1567" s="7" t="n">
        <f aca="false">I1567*S1567*T1567*U1567</f>
        <v>666900</v>
      </c>
      <c r="K1567" s="3"/>
      <c r="L1567" s="3"/>
      <c r="M1567" s="3"/>
      <c r="N1567" s="9" t="n">
        <v>0</v>
      </c>
      <c r="O1567" s="4" t="n">
        <v>0</v>
      </c>
      <c r="P1567" s="5" t="n">
        <f aca="false">IF(COUNTIF([1]Base_Jugadores!J$2:J$500,B1567)&gt;0,1,0)</f>
        <v>0</v>
      </c>
      <c r="Q1567" s="10" t="b">
        <f aca="false">--(COUNTIFS(
   [1]Fichajes_Realizados!A$2:A$5000,A1567,
   [1]Fichajes_Realizados!G$2:G$5000,$X$3
)&gt;0)</f>
        <v>0</v>
      </c>
      <c r="R1567" s="5" t="n">
        <f aca="false">_xlfn.XLOOKUP(C1567, [1]Estado_Equipos!A$2:A$500, [1]Estado_Equipos!J$2:J$500, "")</f>
        <v>73</v>
      </c>
      <c r="S1567" s="5" t="n">
        <f aca="false">IF(H1567&lt;=16,1.45,
IF(H1567&gt;=41,0.3,
CHOOSE(ROUNDDOWN((H1567-16)/2,0)+1,
1.45,1.38,1.3,1.23,1.17,1.15,1.12,1.05,0.95,0.8,0.6,0.4,0.3)))</f>
        <v>1.3</v>
      </c>
      <c r="T1567" s="5" t="n">
        <f aca="false">CHOOSE(N1567+1,1.2,1,0.85,0.7)</f>
        <v>1.2</v>
      </c>
      <c r="U1567" s="5" t="n">
        <f aca="false">IF(F1567="PO",0.6,
IF(F1567="CT",0.75,
IF(F1567="LI",0.8,
IF(F1567="LD",0.8,
IF(F1567="MCD",0.85,
IF(F1567="MC",0.95,
IF(F1567="MO",1.05,
IF(F1567="EI",1.1,
IF(F1567="ED",1.1,
IF(F1567="SD",1.15,
IF(F1567="DC",1.2,0)))))))))))</f>
        <v>0.95</v>
      </c>
    </row>
    <row r="1568" customFormat="false" ht="16.4" hidden="false" customHeight="false" outlineLevel="0" collapsed="false">
      <c r="A1568" s="1" t="n">
        <v>1567</v>
      </c>
      <c r="B1568" s="5" t="str">
        <f aca="false">[1]Base_Jugadores!B1568</f>
        <v>Nikola Vlašić</v>
      </c>
      <c r="C1568" s="5" t="str">
        <f aca="false">IFERROR(
   _xlfn.XLOOKUP(VALUE(A1568),[1]Fichajes_Realizados!A$2:A$50000,[1]Fichajes_Realizados!D$2:D$50000,,0,-1),
   _xlfn.XLOOKUP(VALUE(A1568),[1]Base_Jugadores!A$2:A$50000,[1]Base_Jugadores!C$2:C$50000)
)</f>
        <v>Torino FC</v>
      </c>
      <c r="D1568" s="5" t="str">
        <f aca="false">[1]Base_Jugadores!D1568</f>
        <v>Croacia</v>
      </c>
      <c r="E1568" s="3"/>
      <c r="F1568" s="5" t="str">
        <f aca="false">[1]Base_Jugadores!E1568</f>
        <v>MO</v>
      </c>
      <c r="G1568" s="5" t="n">
        <f aca="false">[1]Base_Jugadores!F1568</f>
        <v>78</v>
      </c>
      <c r="H1568" s="5" t="n">
        <f aca="false">[1]Base_Jugadores!G1568</f>
        <v>28</v>
      </c>
      <c r="I1568" s="7" t="n">
        <f aca="false" t="array" ref="I1568:I1568">_xlfn.XLOOKUP(G1568,{55;56;57;58;59;60;61;62;63;64;65;66;67;68;69;70;71;72;73;74;75;76;77;78;79;80;81;82;83;84;85;86;87;88;89;90;91;92;93;94;95;96;97;98;99},{100000;130000;160000;190000;220000;250000;300000;350000;400000;450000;500000;600000;700000;800000;900000;1000000;1500000;2000000;3000000;4000000;5000000;6500000;8000000;10000000;12500000;15000000;20000000;25000000;30000000;35000000;40000000;55000000;70000000;80000000;90000000;110000000;130000000;160000000;190000000;220000000;250000000;280000000;310000000;340000000;400000000})</f>
        <v>10000000</v>
      </c>
      <c r="J1568" s="7" t="n">
        <f aca="false">I1568*S1568*T1568*U1568</f>
        <v>14112000</v>
      </c>
      <c r="K1568" s="3"/>
      <c r="L1568" s="3"/>
      <c r="M1568" s="3"/>
      <c r="N1568" s="9" t="n">
        <v>0</v>
      </c>
      <c r="O1568" s="4" t="n">
        <v>0</v>
      </c>
      <c r="P1568" s="5" t="n">
        <f aca="false">IF(COUNTIF([1]Base_Jugadores!J$2:J$500,B1568)&gt;0,1,0)</f>
        <v>0</v>
      </c>
      <c r="Q1568" s="10" t="b">
        <f aca="false">--(COUNTIFS(
   [1]Fichajes_Realizados!A$2:A$5000,A1568,
   [1]Fichajes_Realizados!G$2:G$5000,$X$3
)&gt;0)</f>
        <v>0</v>
      </c>
      <c r="R1568" s="5" t="n">
        <f aca="false">_xlfn.XLOOKUP(C1568, [1]Estado_Equipos!A$2:A$500, [1]Estado_Equipos!J$2:J$500, "")</f>
        <v>73</v>
      </c>
      <c r="S1568" s="5" t="n">
        <f aca="false">IF(H1568&lt;=16,1.45,
IF(H1568&gt;=41,0.3,
CHOOSE(ROUNDDOWN((H1568-16)/2,0)+1,
1.45,1.38,1.3,1.23,1.17,1.15,1.12,1.05,0.95,0.8,0.6,0.4,0.3)))</f>
        <v>1.12</v>
      </c>
      <c r="T1568" s="5" t="n">
        <f aca="false">CHOOSE(N1568+1,1.2,1,0.85,0.7)</f>
        <v>1.2</v>
      </c>
      <c r="U1568" s="5" t="n">
        <f aca="false">IF(F1568="PO",0.6,
IF(F1568="CT",0.75,
IF(F1568="LI",0.8,
IF(F1568="LD",0.8,
IF(F1568="MCD",0.85,
IF(F1568="MC",0.95,
IF(F1568="MO",1.05,
IF(F1568="EI",1.1,
IF(F1568="ED",1.1,
IF(F1568="SD",1.15,
IF(F1568="DC",1.2,0)))))))))))</f>
        <v>1.05</v>
      </c>
    </row>
    <row r="1569" customFormat="false" ht="16.4" hidden="false" customHeight="false" outlineLevel="0" collapsed="false">
      <c r="A1569" s="1" t="n">
        <v>1568</v>
      </c>
      <c r="B1569" s="5" t="str">
        <f aca="false">[1]Base_Jugadores!B1569</f>
        <v>Tino Anjorin</v>
      </c>
      <c r="C1569" s="5" t="str">
        <f aca="false">IFERROR(
   _xlfn.XLOOKUP(VALUE(A1569),[1]Fichajes_Realizados!A$2:A$50000,[1]Fichajes_Realizados!D$2:D$50000,,0,-1),
   _xlfn.XLOOKUP(VALUE(A1569),[1]Base_Jugadores!A$2:A$50000,[1]Base_Jugadores!C$2:C$50000)
)</f>
        <v>Torino FC</v>
      </c>
      <c r="D1569" s="5" t="str">
        <f aca="false">[1]Base_Jugadores!D1569</f>
        <v>Inglaterra</v>
      </c>
      <c r="E1569" s="3"/>
      <c r="F1569" s="5" t="str">
        <f aca="false">[1]Base_Jugadores!E1569</f>
        <v>MO</v>
      </c>
      <c r="G1569" s="5" t="n">
        <f aca="false">[1]Base_Jugadores!F1569</f>
        <v>69</v>
      </c>
      <c r="H1569" s="5" t="n">
        <f aca="false">[1]Base_Jugadores!G1569</f>
        <v>24</v>
      </c>
      <c r="I1569" s="7" t="n">
        <f aca="false" t="array" ref="I1569:I1569">_xlfn.XLOOKUP(G1569,{55;56;57;58;59;60;61;62;63;64;65;66;67;68;69;70;71;72;73;74;75;76;77;78;79;80;81;82;83;84;85;86;87;88;89;90;91;92;93;94;95;96;97;98;99},{100000;130000;160000;190000;220000;250000;300000;350000;400000;450000;500000;600000;700000;800000;900000;1000000;1500000;2000000;3000000;4000000;5000000;6500000;8000000;10000000;12500000;15000000;20000000;25000000;30000000;35000000;40000000;55000000;70000000;80000000;90000000;110000000;130000000;160000000;190000000;220000000;250000000;280000000;310000000;340000000;400000000})</f>
        <v>900000</v>
      </c>
      <c r="J1569" s="7" t="n">
        <f aca="false">I1569*S1569*T1569*U1569</f>
        <v>1326780</v>
      </c>
      <c r="K1569" s="3"/>
      <c r="L1569" s="3"/>
      <c r="M1569" s="3"/>
      <c r="N1569" s="9" t="n">
        <v>0</v>
      </c>
      <c r="O1569" s="4" t="n">
        <v>0</v>
      </c>
      <c r="P1569" s="5" t="n">
        <f aca="false">IF(COUNTIF([1]Base_Jugadores!J$2:J$500,B1569)&gt;0,1,0)</f>
        <v>0</v>
      </c>
      <c r="Q1569" s="10" t="b">
        <f aca="false">--(COUNTIFS(
   [1]Fichajes_Realizados!A$2:A$5000,A1569,
   [1]Fichajes_Realizados!G$2:G$5000,$X$3
)&gt;0)</f>
        <v>0</v>
      </c>
      <c r="R1569" s="5" t="n">
        <f aca="false">_xlfn.XLOOKUP(C1569, [1]Estado_Equipos!A$2:A$500, [1]Estado_Equipos!J$2:J$500, "")</f>
        <v>73</v>
      </c>
      <c r="S1569" s="5" t="n">
        <f aca="false">IF(H1569&lt;=16,1.45,
IF(H1569&gt;=41,0.3,
CHOOSE(ROUNDDOWN((H1569-16)/2,0)+1,
1.45,1.38,1.3,1.23,1.17,1.15,1.12,1.05,0.95,0.8,0.6,0.4,0.3)))</f>
        <v>1.17</v>
      </c>
      <c r="T1569" s="5" t="n">
        <f aca="false">CHOOSE(N1569+1,1.2,1,0.85,0.7)</f>
        <v>1.2</v>
      </c>
      <c r="U1569" s="5" t="n">
        <f aca="false">IF(F1569="PO",0.6,
IF(F1569="CT",0.75,
IF(F1569="LI",0.8,
IF(F1569="LD",0.8,
IF(F1569="MCD",0.85,
IF(F1569="MC",0.95,
IF(F1569="MO",1.05,
IF(F1569="EI",1.1,
IF(F1569="ED",1.1,
IF(F1569="SD",1.15,
IF(F1569="DC",1.2,0)))))))))))</f>
        <v>1.05</v>
      </c>
    </row>
    <row r="1570" customFormat="false" ht="16.4" hidden="false" customHeight="false" outlineLevel="0" collapsed="false">
      <c r="A1570" s="1" t="n">
        <v>1569</v>
      </c>
      <c r="B1570" s="5" t="str">
        <f aca="false">[1]Base_Jugadores!B1570</f>
        <v>Alieu Njie</v>
      </c>
      <c r="C1570" s="5" t="str">
        <f aca="false">IFERROR(
   _xlfn.XLOOKUP(VALUE(A1570),[1]Fichajes_Realizados!A$2:A$50000,[1]Fichajes_Realizados!D$2:D$50000,,0,-1),
   _xlfn.XLOOKUP(VALUE(A1570),[1]Base_Jugadores!A$2:A$50000,[1]Base_Jugadores!C$2:C$50000)
)</f>
        <v>Torino FC</v>
      </c>
      <c r="D1570" s="5" t="str">
        <f aca="false">[1]Base_Jugadores!D1570</f>
        <v>Suecia</v>
      </c>
      <c r="E1570" s="3"/>
      <c r="F1570" s="5" t="str">
        <f aca="false">[1]Base_Jugadores!E1570</f>
        <v>EI</v>
      </c>
      <c r="G1570" s="5" t="n">
        <f aca="false">[1]Base_Jugadores!F1570</f>
        <v>64</v>
      </c>
      <c r="H1570" s="5" t="n">
        <f aca="false">[1]Base_Jugadores!G1570</f>
        <v>20</v>
      </c>
      <c r="I1570" s="7" t="n">
        <f aca="false" t="array" ref="I1570:I1570">_xlfn.XLOOKUP(G1570,{55;56;57;58;59;60;61;62;63;64;65;66;67;68;69;70;71;72;73;74;75;76;77;78;79;80;81;82;83;84;85;86;87;88;89;90;91;92;93;94;95;96;97;98;99},{100000;130000;160000;190000;220000;250000;300000;350000;400000;450000;500000;600000;700000;800000;900000;1000000;1500000;2000000;3000000;4000000;5000000;6500000;8000000;10000000;12500000;15000000;20000000;25000000;30000000;35000000;40000000;55000000;70000000;80000000;90000000;110000000;130000000;160000000;190000000;220000000;250000000;280000000;310000000;340000000;400000000})</f>
        <v>450000</v>
      </c>
      <c r="J1570" s="7" t="n">
        <f aca="false">I1570*S1570*T1570*U1570</f>
        <v>772200</v>
      </c>
      <c r="K1570" s="3"/>
      <c r="L1570" s="3"/>
      <c r="M1570" s="3"/>
      <c r="N1570" s="9" t="n">
        <v>0</v>
      </c>
      <c r="O1570" s="4" t="n">
        <v>0</v>
      </c>
      <c r="P1570" s="5" t="n">
        <f aca="false">IF(COUNTIF([1]Base_Jugadores!J$2:J$500,B1570)&gt;0,1,0)</f>
        <v>0</v>
      </c>
      <c r="Q1570" s="10" t="b">
        <f aca="false">--(COUNTIFS(
   [1]Fichajes_Realizados!A$2:A$5000,A1570,
   [1]Fichajes_Realizados!G$2:G$5000,$X$3
)&gt;0)</f>
        <v>0</v>
      </c>
      <c r="R1570" s="5" t="n">
        <f aca="false">_xlfn.XLOOKUP(C1570, [1]Estado_Equipos!A$2:A$500, [1]Estado_Equipos!J$2:J$500, "")</f>
        <v>73</v>
      </c>
      <c r="S1570" s="5" t="n">
        <f aca="false">IF(H1570&lt;=16,1.45,
IF(H1570&gt;=41,0.3,
CHOOSE(ROUNDDOWN((H1570-16)/2,0)+1,
1.45,1.38,1.3,1.23,1.17,1.15,1.12,1.05,0.95,0.8,0.6,0.4,0.3)))</f>
        <v>1.3</v>
      </c>
      <c r="T1570" s="5" t="n">
        <f aca="false">CHOOSE(N1570+1,1.2,1,0.85,0.7)</f>
        <v>1.2</v>
      </c>
      <c r="U1570" s="5" t="n">
        <f aca="false">IF(F1570="PO",0.6,
IF(F1570="CT",0.75,
IF(F1570="LI",0.8,
IF(F1570="LD",0.8,
IF(F1570="MCD",0.85,
IF(F1570="MC",0.95,
IF(F1570="MO",1.05,
IF(F1570="EI",1.1,
IF(F1570="ED",1.1,
IF(F1570="SD",1.15,
IF(F1570="DC",1.2,0)))))))))))</f>
        <v>1.1</v>
      </c>
    </row>
    <row r="1571" customFormat="false" ht="16.4" hidden="false" customHeight="false" outlineLevel="0" collapsed="false">
      <c r="A1571" s="1" t="n">
        <v>1570</v>
      </c>
      <c r="B1571" s="5" t="str">
        <f aca="false">[1]Base_Jugadores!B1571</f>
        <v>Zakaria Aboukhlal</v>
      </c>
      <c r="C1571" s="5" t="str">
        <f aca="false">IFERROR(
   _xlfn.XLOOKUP(VALUE(A1571),[1]Fichajes_Realizados!A$2:A$50000,[1]Fichajes_Realizados!D$2:D$50000,,0,-1),
   _xlfn.XLOOKUP(VALUE(A1571),[1]Base_Jugadores!A$2:A$50000,[1]Base_Jugadores!C$2:C$50000)
)</f>
        <v>Torino FC</v>
      </c>
      <c r="D1571" s="5" t="str">
        <f aca="false">[1]Base_Jugadores!D1571</f>
        <v>Marruecos</v>
      </c>
      <c r="E1571" s="3"/>
      <c r="F1571" s="5" t="str">
        <f aca="false">[1]Base_Jugadores!E1571</f>
        <v>ED</v>
      </c>
      <c r="G1571" s="5" t="n">
        <f aca="false">[1]Base_Jugadores!F1571</f>
        <v>75</v>
      </c>
      <c r="H1571" s="5" t="n">
        <f aca="false">[1]Base_Jugadores!G1571</f>
        <v>25</v>
      </c>
      <c r="I1571" s="7" t="n">
        <f aca="false" t="array" ref="I1571:I1571">_xlfn.XLOOKUP(G1571,{55;56;57;58;59;60;61;62;63;64;65;66;67;68;69;70;71;72;73;74;75;76;77;78;79;80;81;82;83;84;85;86;87;88;89;90;91;92;93;94;95;96;97;98;99},{100000;130000;160000;190000;220000;250000;300000;350000;400000;450000;500000;600000;700000;800000;900000;1000000;1500000;2000000;3000000;4000000;5000000;6500000;8000000;10000000;12500000;15000000;20000000;25000000;30000000;35000000;40000000;55000000;70000000;80000000;90000000;110000000;130000000;160000000;190000000;220000000;250000000;280000000;310000000;340000000;400000000})</f>
        <v>5000000</v>
      </c>
      <c r="J1571" s="7" t="n">
        <f aca="false">I1571*S1571*T1571*U1571</f>
        <v>7722000</v>
      </c>
      <c r="K1571" s="3"/>
      <c r="L1571" s="3"/>
      <c r="M1571" s="3"/>
      <c r="N1571" s="9" t="n">
        <v>0</v>
      </c>
      <c r="O1571" s="4" t="n">
        <v>0</v>
      </c>
      <c r="P1571" s="5" t="n">
        <f aca="false">IF(COUNTIF([1]Base_Jugadores!J$2:J$500,B1571)&gt;0,1,0)</f>
        <v>0</v>
      </c>
      <c r="Q1571" s="10" t="b">
        <f aca="false">--(COUNTIFS(
   [1]Fichajes_Realizados!A$2:A$5000,A1571,
   [1]Fichajes_Realizados!G$2:G$5000,$X$3
)&gt;0)</f>
        <v>0</v>
      </c>
      <c r="R1571" s="5" t="n">
        <f aca="false">_xlfn.XLOOKUP(C1571, [1]Estado_Equipos!A$2:A$500, [1]Estado_Equipos!J$2:J$500, "")</f>
        <v>73</v>
      </c>
      <c r="S1571" s="5" t="n">
        <f aca="false">IF(H1571&lt;=16,1.45,
IF(H1571&gt;=41,0.3,
CHOOSE(ROUNDDOWN((H1571-16)/2,0)+1,
1.45,1.38,1.3,1.23,1.17,1.15,1.12,1.05,0.95,0.8,0.6,0.4,0.3)))</f>
        <v>1.17</v>
      </c>
      <c r="T1571" s="5" t="n">
        <f aca="false">CHOOSE(N1571+1,1.2,1,0.85,0.7)</f>
        <v>1.2</v>
      </c>
      <c r="U1571" s="5" t="n">
        <f aca="false">IF(F1571="PO",0.6,
IF(F1571="CT",0.75,
IF(F1571="LI",0.8,
IF(F1571="LD",0.8,
IF(F1571="MCD",0.85,
IF(F1571="MC",0.95,
IF(F1571="MO",1.05,
IF(F1571="EI",1.1,
IF(F1571="ED",1.1,
IF(F1571="SD",1.15,
IF(F1571="DC",1.2,0)))))))))))</f>
        <v>1.1</v>
      </c>
    </row>
    <row r="1572" customFormat="false" ht="16.4" hidden="false" customHeight="false" outlineLevel="0" collapsed="false">
      <c r="A1572" s="1" t="n">
        <v>1571</v>
      </c>
      <c r="B1572" s="5" t="str">
        <f aca="false">[1]Base_Jugadores!B1572</f>
        <v>Cyril Ngonge</v>
      </c>
      <c r="C1572" s="5" t="str">
        <f aca="false">IFERROR(
   _xlfn.XLOOKUP(VALUE(A1572),[1]Fichajes_Realizados!A$2:A$50000,[1]Fichajes_Realizados!D$2:D$50000,,0,-1),
   _xlfn.XLOOKUP(VALUE(A1572),[1]Base_Jugadores!A$2:A$50000,[1]Base_Jugadores!C$2:C$50000)
)</f>
        <v>Torino FC</v>
      </c>
      <c r="D1572" s="5" t="str">
        <f aca="false">[1]Base_Jugadores!D1572</f>
        <v>Bélgica</v>
      </c>
      <c r="E1572" s="3"/>
      <c r="F1572" s="5" t="str">
        <f aca="false">[1]Base_Jugadores!E1572</f>
        <v>ED</v>
      </c>
      <c r="G1572" s="5" t="n">
        <f aca="false">[1]Base_Jugadores!F1572</f>
        <v>74</v>
      </c>
      <c r="H1572" s="5" t="n">
        <f aca="false">[1]Base_Jugadores!G1572</f>
        <v>25</v>
      </c>
      <c r="I1572" s="7" t="n">
        <f aca="false" t="array" ref="I1572:I1572">_xlfn.XLOOKUP(G1572,{55;56;57;58;59;60;61;62;63;64;65;66;67;68;69;70;71;72;73;74;75;76;77;78;79;80;81;82;83;84;85;86;87;88;89;90;91;92;93;94;95;96;97;98;99},{100000;130000;160000;190000;220000;250000;300000;350000;400000;450000;500000;600000;700000;800000;900000;1000000;1500000;2000000;3000000;4000000;5000000;6500000;8000000;10000000;12500000;15000000;20000000;25000000;30000000;35000000;40000000;55000000;70000000;80000000;90000000;110000000;130000000;160000000;190000000;220000000;250000000;280000000;310000000;340000000;400000000})</f>
        <v>4000000</v>
      </c>
      <c r="J1572" s="7" t="n">
        <f aca="false">I1572*S1572*T1572*U1572</f>
        <v>6177600</v>
      </c>
      <c r="K1572" s="3"/>
      <c r="L1572" s="3"/>
      <c r="M1572" s="3"/>
      <c r="N1572" s="9" t="n">
        <v>0</v>
      </c>
      <c r="O1572" s="4" t="n">
        <v>0</v>
      </c>
      <c r="P1572" s="5" t="n">
        <f aca="false">IF(COUNTIF([1]Base_Jugadores!J$2:J$500,B1572)&gt;0,1,0)</f>
        <v>0</v>
      </c>
      <c r="Q1572" s="10" t="b">
        <f aca="false">--(COUNTIFS(
   [1]Fichajes_Realizados!A$2:A$5000,A1572,
   [1]Fichajes_Realizados!G$2:G$5000,$X$3
)&gt;0)</f>
        <v>0</v>
      </c>
      <c r="R1572" s="5" t="n">
        <f aca="false">_xlfn.XLOOKUP(C1572, [1]Estado_Equipos!A$2:A$500, [1]Estado_Equipos!J$2:J$500, "")</f>
        <v>73</v>
      </c>
      <c r="S1572" s="5" t="n">
        <f aca="false">IF(H1572&lt;=16,1.45,
IF(H1572&gt;=41,0.3,
CHOOSE(ROUNDDOWN((H1572-16)/2,0)+1,
1.45,1.38,1.3,1.23,1.17,1.15,1.12,1.05,0.95,0.8,0.6,0.4,0.3)))</f>
        <v>1.17</v>
      </c>
      <c r="T1572" s="5" t="n">
        <f aca="false">CHOOSE(N1572+1,1.2,1,0.85,0.7)</f>
        <v>1.2</v>
      </c>
      <c r="U1572" s="5" t="n">
        <f aca="false">IF(F1572="PO",0.6,
IF(F1572="CT",0.75,
IF(F1572="LI",0.8,
IF(F1572="LD",0.8,
IF(F1572="MCD",0.85,
IF(F1572="MC",0.95,
IF(F1572="MO",1.05,
IF(F1572="EI",1.1,
IF(F1572="ED",1.1,
IF(F1572="SD",1.15,
IF(F1572="DC",1.2,0)))))))))))</f>
        <v>1.1</v>
      </c>
    </row>
    <row r="1573" customFormat="false" ht="16.4" hidden="false" customHeight="false" outlineLevel="0" collapsed="false">
      <c r="A1573" s="1" t="n">
        <v>1572</v>
      </c>
      <c r="B1573" s="5" t="str">
        <f aca="false">[1]Base_Jugadores!B1573</f>
        <v>Zanos Savva</v>
      </c>
      <c r="C1573" s="5" t="str">
        <f aca="false">IFERROR(
   _xlfn.XLOOKUP(VALUE(A1573),[1]Fichajes_Realizados!A$2:A$50000,[1]Fichajes_Realizados!D$2:D$50000,,0,-1),
   _xlfn.XLOOKUP(VALUE(A1573),[1]Base_Jugadores!A$2:A$50000,[1]Base_Jugadores!C$2:C$50000)
)</f>
        <v>Torino FC</v>
      </c>
      <c r="D1573" s="5" t="str">
        <f aca="false">[1]Base_Jugadores!D1573</f>
        <v>Chipre</v>
      </c>
      <c r="E1573" s="3"/>
      <c r="F1573" s="5" t="str">
        <f aca="false">[1]Base_Jugadores!E1573</f>
        <v>ED</v>
      </c>
      <c r="G1573" s="5" t="n">
        <f aca="false">[1]Base_Jugadores!F1573</f>
        <v>67</v>
      </c>
      <c r="H1573" s="5" t="n">
        <f aca="false">[1]Base_Jugadores!G1573</f>
        <v>20</v>
      </c>
      <c r="I1573" s="7" t="n">
        <f aca="false" t="array" ref="I1573:I1573">_xlfn.XLOOKUP(G1573,{55;56;57;58;59;60;61;62;63;64;65;66;67;68;69;70;71;72;73;74;75;76;77;78;79;80;81;82;83;84;85;86;87;88;89;90;91;92;93;94;95;96;97;98;99},{100000;130000;160000;190000;220000;250000;300000;350000;400000;450000;500000;600000;700000;800000;900000;1000000;1500000;2000000;3000000;4000000;5000000;6500000;8000000;10000000;12500000;15000000;20000000;25000000;30000000;35000000;40000000;55000000;70000000;80000000;90000000;110000000;130000000;160000000;190000000;220000000;250000000;280000000;310000000;340000000;400000000})</f>
        <v>700000</v>
      </c>
      <c r="J1573" s="7" t="n">
        <f aca="false">I1573*S1573*T1573*U1573</f>
        <v>1201200</v>
      </c>
      <c r="K1573" s="3"/>
      <c r="L1573" s="3"/>
      <c r="M1573" s="3"/>
      <c r="N1573" s="9" t="n">
        <v>0</v>
      </c>
      <c r="O1573" s="4" t="n">
        <v>0</v>
      </c>
      <c r="P1573" s="5" t="n">
        <f aca="false">IF(COUNTIF([1]Base_Jugadores!J$2:J$500,B1573)&gt;0,1,0)</f>
        <v>0</v>
      </c>
      <c r="Q1573" s="10" t="b">
        <f aca="false">--(COUNTIFS(
   [1]Fichajes_Realizados!A$2:A$5000,A1573,
   [1]Fichajes_Realizados!G$2:G$5000,$X$3
)&gt;0)</f>
        <v>0</v>
      </c>
      <c r="R1573" s="5" t="n">
        <f aca="false">_xlfn.XLOOKUP(C1573, [1]Estado_Equipos!A$2:A$500, [1]Estado_Equipos!J$2:J$500, "")</f>
        <v>73</v>
      </c>
      <c r="S1573" s="5" t="n">
        <f aca="false">IF(H1573&lt;=16,1.45,
IF(H1573&gt;=41,0.3,
CHOOSE(ROUNDDOWN((H1573-16)/2,0)+1,
1.45,1.38,1.3,1.23,1.17,1.15,1.12,1.05,0.95,0.8,0.6,0.4,0.3)))</f>
        <v>1.3</v>
      </c>
      <c r="T1573" s="5" t="n">
        <f aca="false">CHOOSE(N1573+1,1.2,1,0.85,0.7)</f>
        <v>1.2</v>
      </c>
      <c r="U1573" s="5" t="n">
        <f aca="false">IF(F1573="PO",0.6,
IF(F1573="CT",0.75,
IF(F1573="LI",0.8,
IF(F1573="LD",0.8,
IF(F1573="MCD",0.85,
IF(F1573="MC",0.95,
IF(F1573="MO",1.05,
IF(F1573="EI",1.1,
IF(F1573="ED",1.1,
IF(F1573="SD",1.15,
IF(F1573="DC",1.2,0)))))))))))</f>
        <v>1.1</v>
      </c>
    </row>
    <row r="1574" customFormat="false" ht="16.4" hidden="false" customHeight="false" outlineLevel="0" collapsed="false">
      <c r="A1574" s="1" t="n">
        <v>1573</v>
      </c>
      <c r="B1574" s="5" t="str">
        <f aca="false">[1]Base_Jugadores!B1574</f>
        <v>Ché Adams</v>
      </c>
      <c r="C1574" s="5" t="str">
        <f aca="false">IFERROR(
   _xlfn.XLOOKUP(VALUE(A1574),[1]Fichajes_Realizados!A$2:A$50000,[1]Fichajes_Realizados!D$2:D$50000,,0,-1),
   _xlfn.XLOOKUP(VALUE(A1574),[1]Base_Jugadores!A$2:A$50000,[1]Base_Jugadores!C$2:C$50000)
)</f>
        <v>Torino FC</v>
      </c>
      <c r="D1574" s="5" t="str">
        <f aca="false">[1]Base_Jugadores!D1574</f>
        <v>Escocia</v>
      </c>
      <c r="E1574" s="3"/>
      <c r="F1574" s="5" t="str">
        <f aca="false">[1]Base_Jugadores!E1574</f>
        <v>DC</v>
      </c>
      <c r="G1574" s="5" t="n">
        <f aca="false">[1]Base_Jugadores!F1574</f>
        <v>76</v>
      </c>
      <c r="H1574" s="5" t="n">
        <f aca="false">[1]Base_Jugadores!G1574</f>
        <v>29</v>
      </c>
      <c r="I1574" s="7" t="n">
        <f aca="false" t="array" ref="I1574:I1574">_xlfn.XLOOKUP(G1574,{55;56;57;58;59;60;61;62;63;64;65;66;67;68;69;70;71;72;73;74;75;76;77;78;79;80;81;82;83;84;85;86;87;88;89;90;91;92;93;94;95;96;97;98;99},{100000;130000;160000;190000;220000;250000;300000;350000;400000;450000;500000;600000;700000;800000;900000;1000000;1500000;2000000;3000000;4000000;5000000;6500000;8000000;10000000;12500000;15000000;20000000;25000000;30000000;35000000;40000000;55000000;70000000;80000000;90000000;110000000;130000000;160000000;190000000;220000000;250000000;280000000;310000000;340000000;400000000})</f>
        <v>6500000</v>
      </c>
      <c r="J1574" s="7" t="n">
        <f aca="false">I1574*S1574*T1574*U1574</f>
        <v>10483200</v>
      </c>
      <c r="K1574" s="3"/>
      <c r="L1574" s="3"/>
      <c r="M1574" s="3"/>
      <c r="N1574" s="9" t="n">
        <v>0</v>
      </c>
      <c r="O1574" s="4" t="n">
        <v>0</v>
      </c>
      <c r="P1574" s="5" t="n">
        <f aca="false">IF(COUNTIF([1]Base_Jugadores!J$2:J$500,B1574)&gt;0,1,0)</f>
        <v>0</v>
      </c>
      <c r="Q1574" s="10" t="b">
        <f aca="false">--(COUNTIFS(
   [1]Fichajes_Realizados!A$2:A$5000,A1574,
   [1]Fichajes_Realizados!G$2:G$5000,$X$3
)&gt;0)</f>
        <v>0</v>
      </c>
      <c r="R1574" s="5" t="n">
        <f aca="false">_xlfn.XLOOKUP(C1574, [1]Estado_Equipos!A$2:A$500, [1]Estado_Equipos!J$2:J$500, "")</f>
        <v>73</v>
      </c>
      <c r="S1574" s="5" t="n">
        <f aca="false">IF(H1574&lt;=16,1.45,
IF(H1574&gt;=41,0.3,
CHOOSE(ROUNDDOWN((H1574-16)/2,0)+1,
1.45,1.38,1.3,1.23,1.17,1.15,1.12,1.05,0.95,0.8,0.6,0.4,0.3)))</f>
        <v>1.12</v>
      </c>
      <c r="T1574" s="5" t="n">
        <f aca="false">CHOOSE(N1574+1,1.2,1,0.85,0.7)</f>
        <v>1.2</v>
      </c>
      <c r="U1574" s="5" t="n">
        <f aca="false">IF(F1574="PO",0.6,
IF(F1574="CT",0.75,
IF(F1574="LI",0.8,
IF(F1574="LD",0.8,
IF(F1574="MCD",0.85,
IF(F1574="MC",0.95,
IF(F1574="MO",1.05,
IF(F1574="EI",1.1,
IF(F1574="ED",1.1,
IF(F1574="SD",1.15,
IF(F1574="DC",1.2,0)))))))))))</f>
        <v>1.2</v>
      </c>
    </row>
    <row r="1575" customFormat="false" ht="16.4" hidden="false" customHeight="false" outlineLevel="0" collapsed="false">
      <c r="A1575" s="1" t="n">
        <v>1574</v>
      </c>
      <c r="B1575" s="5" t="str">
        <f aca="false">[1]Base_Jugadores!B1575</f>
        <v>Giovanni Simeone</v>
      </c>
      <c r="C1575" s="5" t="str">
        <f aca="false">IFERROR(
   _xlfn.XLOOKUP(VALUE(A1575),[1]Fichajes_Realizados!A$2:A$50000,[1]Fichajes_Realizados!D$2:D$50000,,0,-1),
   _xlfn.XLOOKUP(VALUE(A1575),[1]Base_Jugadores!A$2:A$50000,[1]Base_Jugadores!C$2:C$50000)
)</f>
        <v>Torino FC</v>
      </c>
      <c r="D1575" s="5" t="str">
        <f aca="false">[1]Base_Jugadores!D1575</f>
        <v>Argentina</v>
      </c>
      <c r="E1575" s="3"/>
      <c r="F1575" s="5" t="str">
        <f aca="false">[1]Base_Jugadores!E1575</f>
        <v>DC</v>
      </c>
      <c r="G1575" s="5" t="n">
        <f aca="false">[1]Base_Jugadores!F1575</f>
        <v>78</v>
      </c>
      <c r="H1575" s="5" t="n">
        <f aca="false">[1]Base_Jugadores!G1575</f>
        <v>30</v>
      </c>
      <c r="I1575" s="7" t="n">
        <f aca="false" t="array" ref="I1575:I1575">_xlfn.XLOOKUP(G1575,{55;56;57;58;59;60;61;62;63;64;65;66;67;68;69;70;71;72;73;74;75;76;77;78;79;80;81;82;83;84;85;86;87;88;89;90;91;92;93;94;95;96;97;98;99},{100000;130000;160000;190000;220000;250000;300000;350000;400000;450000;500000;600000;700000;800000;900000;1000000;1500000;2000000;3000000;4000000;5000000;6500000;8000000;10000000;12500000;15000000;20000000;25000000;30000000;35000000;40000000;55000000;70000000;80000000;90000000;110000000;130000000;160000000;190000000;220000000;250000000;280000000;310000000;340000000;400000000})</f>
        <v>10000000</v>
      </c>
      <c r="J1575" s="7" t="n">
        <f aca="false">I1575*S1575*T1575*U1575</f>
        <v>15120000</v>
      </c>
      <c r="K1575" s="3"/>
      <c r="L1575" s="3"/>
      <c r="M1575" s="3"/>
      <c r="N1575" s="9" t="n">
        <v>0</v>
      </c>
      <c r="O1575" s="4" t="n">
        <v>0</v>
      </c>
      <c r="P1575" s="5" t="n">
        <f aca="false">IF(COUNTIF([1]Base_Jugadores!J$2:J$500,B1575)&gt;0,1,0)</f>
        <v>0</v>
      </c>
      <c r="Q1575" s="10" t="b">
        <f aca="false">--(COUNTIFS(
   [1]Fichajes_Realizados!A$2:A$5000,A1575,
   [1]Fichajes_Realizados!G$2:G$5000,$X$3
)&gt;0)</f>
        <v>0</v>
      </c>
      <c r="R1575" s="5" t="n">
        <f aca="false">_xlfn.XLOOKUP(C1575, [1]Estado_Equipos!A$2:A$500, [1]Estado_Equipos!J$2:J$500, "")</f>
        <v>73</v>
      </c>
      <c r="S1575" s="5" t="n">
        <f aca="false">IF(H1575&lt;=16,1.45,
IF(H1575&gt;=41,0.3,
CHOOSE(ROUNDDOWN((H1575-16)/2,0)+1,
1.45,1.38,1.3,1.23,1.17,1.15,1.12,1.05,0.95,0.8,0.6,0.4,0.3)))</f>
        <v>1.05</v>
      </c>
      <c r="T1575" s="5" t="n">
        <f aca="false">CHOOSE(N1575+1,1.2,1,0.85,0.7)</f>
        <v>1.2</v>
      </c>
      <c r="U1575" s="5" t="n">
        <f aca="false">IF(F1575="PO",0.6,
IF(F1575="CT",0.75,
IF(F1575="LI",0.8,
IF(F1575="LD",0.8,
IF(F1575="MCD",0.85,
IF(F1575="MC",0.95,
IF(F1575="MO",1.05,
IF(F1575="EI",1.1,
IF(F1575="ED",1.1,
IF(F1575="SD",1.15,
IF(F1575="DC",1.2,0)))))))))))</f>
        <v>1.2</v>
      </c>
    </row>
    <row r="1576" customFormat="false" ht="16.4" hidden="false" customHeight="false" outlineLevel="0" collapsed="false">
      <c r="A1576" s="1" t="n">
        <v>1575</v>
      </c>
      <c r="B1576" s="5" t="str">
        <f aca="false">[1]Base_Jugadores!B1576</f>
        <v>Duván Zapata</v>
      </c>
      <c r="C1576" s="5" t="str">
        <f aca="false">IFERROR(
   _xlfn.XLOOKUP(VALUE(A1576),[1]Fichajes_Realizados!A$2:A$50000,[1]Fichajes_Realizados!D$2:D$50000,,0,-1),
   _xlfn.XLOOKUP(VALUE(A1576),[1]Base_Jugadores!A$2:A$50000,[1]Base_Jugadores!C$2:C$50000)
)</f>
        <v>Torino FC</v>
      </c>
      <c r="D1576" s="5" t="str">
        <f aca="false">[1]Base_Jugadores!D1576</f>
        <v>Colombia</v>
      </c>
      <c r="E1576" s="3"/>
      <c r="F1576" s="5" t="str">
        <f aca="false">[1]Base_Jugadores!E1576</f>
        <v>DC</v>
      </c>
      <c r="G1576" s="5" t="n">
        <f aca="false">[1]Base_Jugadores!F1576</f>
        <v>83</v>
      </c>
      <c r="H1576" s="5" t="n">
        <f aca="false">[1]Base_Jugadores!G1576</f>
        <v>34</v>
      </c>
      <c r="I1576" s="7" t="n">
        <f aca="false" t="array" ref="I1576:I1576">_xlfn.XLOOKUP(G1576,{55;56;57;58;59;60;61;62;63;64;65;66;67;68;69;70;71;72;73;74;75;76;77;78;79;80;81;82;83;84;85;86;87;88;89;90;91;92;93;94;95;96;97;98;99},{100000;130000;160000;190000;220000;250000;300000;350000;400000;450000;500000;600000;700000;800000;900000;1000000;1500000;2000000;3000000;4000000;5000000;6500000;8000000;10000000;12500000;15000000;20000000;25000000;30000000;35000000;40000000;55000000;70000000;80000000;90000000;110000000;130000000;160000000;190000000;220000000;250000000;280000000;310000000;340000000;400000000})</f>
        <v>30000000</v>
      </c>
      <c r="J1576" s="7" t="n">
        <f aca="false">I1576*S1576*T1576*U1576</f>
        <v>34560000</v>
      </c>
      <c r="K1576" s="3"/>
      <c r="L1576" s="3"/>
      <c r="M1576" s="3"/>
      <c r="N1576" s="9" t="n">
        <v>0</v>
      </c>
      <c r="O1576" s="4" t="n">
        <v>0</v>
      </c>
      <c r="P1576" s="5" t="n">
        <f aca="false">IF(COUNTIF([1]Base_Jugadores!J$2:J$500,B1576)&gt;0,1,0)</f>
        <v>0</v>
      </c>
      <c r="Q1576" s="10" t="b">
        <f aca="false">--(COUNTIFS(
   [1]Fichajes_Realizados!A$2:A$5000,A1576,
   [1]Fichajes_Realizados!G$2:G$5000,$X$3
)&gt;0)</f>
        <v>0</v>
      </c>
      <c r="R1576" s="5" t="n">
        <f aca="false">_xlfn.XLOOKUP(C1576, [1]Estado_Equipos!A$2:A$500, [1]Estado_Equipos!J$2:J$500, "")</f>
        <v>73</v>
      </c>
      <c r="S1576" s="5" t="n">
        <f aca="false">IF(H1576&lt;=16,1.45,
IF(H1576&gt;=41,0.3,
CHOOSE(ROUNDDOWN((H1576-16)/2,0)+1,
1.45,1.38,1.3,1.23,1.17,1.15,1.12,1.05,0.95,0.8,0.6,0.4,0.3)))</f>
        <v>0.8</v>
      </c>
      <c r="T1576" s="5" t="n">
        <f aca="false">CHOOSE(N1576+1,1.2,1,0.85,0.7)</f>
        <v>1.2</v>
      </c>
      <c r="U1576" s="5" t="n">
        <f aca="false">IF(F1576="PO",0.6,
IF(F1576="CT",0.75,
IF(F1576="LI",0.8,
IF(F1576="LD",0.8,
IF(F1576="MCD",0.85,
IF(F1576="MC",0.95,
IF(F1576="MO",1.05,
IF(F1576="EI",1.1,
IF(F1576="ED",1.1,
IF(F1576="SD",1.15,
IF(F1576="DC",1.2,0)))))))))))</f>
        <v>1.2</v>
      </c>
    </row>
    <row r="1577" customFormat="false" ht="16.4" hidden="false" customHeight="false" outlineLevel="0" collapsed="false">
      <c r="A1577" s="1" t="n">
        <v>1576</v>
      </c>
      <c r="B1577" s="5" t="str">
        <f aca="false">[1]Base_Jugadores!B1577</f>
        <v>Maduka Okoye</v>
      </c>
      <c r="C1577" s="5" t="str">
        <f aca="false">IFERROR(
   _xlfn.XLOOKUP(VALUE(A1577),[1]Fichajes_Realizados!A$2:A$50000,[1]Fichajes_Realizados!D$2:D$50000,,0,-1),
   _xlfn.XLOOKUP(VALUE(A1577),[1]Base_Jugadores!A$2:A$50000,[1]Base_Jugadores!C$2:C$50000)
)</f>
        <v>Udinese</v>
      </c>
      <c r="D1577" s="5" t="str">
        <f aca="false">[1]Base_Jugadores!D1577</f>
        <v>Nigeria</v>
      </c>
      <c r="E1577" s="3"/>
      <c r="F1577" s="5" t="str">
        <f aca="false">[1]Base_Jugadores!E1577</f>
        <v>PO</v>
      </c>
      <c r="G1577" s="5" t="n">
        <f aca="false">[1]Base_Jugadores!F1577</f>
        <v>75</v>
      </c>
      <c r="H1577" s="5" t="n">
        <f aca="false">[1]Base_Jugadores!G1577</f>
        <v>26</v>
      </c>
      <c r="I1577" s="7" t="n">
        <f aca="false" t="array" ref="I1577:I1577">_xlfn.XLOOKUP(G1577,{55;56;57;58;59;60;61;62;63;64;65;66;67;68;69;70;71;72;73;74;75;76;77;78;79;80;81;82;83;84;85;86;87;88;89;90;91;92;93;94;95;96;97;98;99},{100000;130000;160000;190000;220000;250000;300000;350000;400000;450000;500000;600000;700000;800000;900000;1000000;1500000;2000000;3000000;4000000;5000000;6500000;8000000;10000000;12500000;15000000;20000000;25000000;30000000;35000000;40000000;55000000;70000000;80000000;90000000;110000000;130000000;160000000;190000000;220000000;250000000;280000000;310000000;340000000;400000000})</f>
        <v>5000000</v>
      </c>
      <c r="J1577" s="7" t="n">
        <f aca="false">I1577*S1577*T1577*U1577</f>
        <v>4140000</v>
      </c>
      <c r="K1577" s="3"/>
      <c r="L1577" s="3"/>
      <c r="M1577" s="3"/>
      <c r="N1577" s="9" t="n">
        <v>0</v>
      </c>
      <c r="O1577" s="4" t="n">
        <v>0</v>
      </c>
      <c r="P1577" s="5" t="n">
        <f aca="false">IF(COUNTIF([1]Base_Jugadores!J$2:J$500,B1577)&gt;0,1,0)</f>
        <v>0</v>
      </c>
      <c r="Q1577" s="10" t="b">
        <f aca="false">--(COUNTIFS(
   [1]Fichajes_Realizados!A$2:A$5000,A1577,
   [1]Fichajes_Realizados!G$2:G$5000,$X$3
)&gt;0)</f>
        <v>0</v>
      </c>
      <c r="R1577" s="5" t="n">
        <f aca="false">_xlfn.XLOOKUP(C1577, [1]Estado_Equipos!A$2:A$500, [1]Estado_Equipos!J$2:J$500, "")</f>
        <v>70</v>
      </c>
      <c r="S1577" s="5" t="n">
        <f aca="false">IF(H1577&lt;=16,1.45,
IF(H1577&gt;=41,0.3,
CHOOSE(ROUNDDOWN((H1577-16)/2,0)+1,
1.45,1.38,1.3,1.23,1.17,1.15,1.12,1.05,0.95,0.8,0.6,0.4,0.3)))</f>
        <v>1.15</v>
      </c>
      <c r="T1577" s="5" t="n">
        <f aca="false">CHOOSE(N1577+1,1.2,1,0.85,0.7)</f>
        <v>1.2</v>
      </c>
      <c r="U1577" s="5" t="n">
        <f aca="false">IF(F1577="PO",0.6,
IF(F1577="CT",0.75,
IF(F1577="LI",0.8,
IF(F1577="LD",0.8,
IF(F1577="MCD",0.85,
IF(F1577="MC",0.95,
IF(F1577="MO",1.05,
IF(F1577="EI",1.1,
IF(F1577="ED",1.1,
IF(F1577="SD",1.15,
IF(F1577="DC",1.2,0)))))))))))</f>
        <v>0.6</v>
      </c>
    </row>
    <row r="1578" customFormat="false" ht="16.4" hidden="false" customHeight="false" outlineLevel="0" collapsed="false">
      <c r="A1578" s="1" t="n">
        <v>1577</v>
      </c>
      <c r="B1578" s="5" t="str">
        <f aca="false">[1]Base_Jugadores!B1578</f>
        <v>Răzvan Sava</v>
      </c>
      <c r="C1578" s="5" t="str">
        <f aca="false">IFERROR(
   _xlfn.XLOOKUP(VALUE(A1578),[1]Fichajes_Realizados!A$2:A$50000,[1]Fichajes_Realizados!D$2:D$50000,,0,-1),
   _xlfn.XLOOKUP(VALUE(A1578),[1]Base_Jugadores!A$2:A$50000,[1]Base_Jugadores!C$2:C$50000)
)</f>
        <v>Udinese</v>
      </c>
      <c r="D1578" s="5" t="str">
        <f aca="false">[1]Base_Jugadores!D1578</f>
        <v>Rumania</v>
      </c>
      <c r="E1578" s="3"/>
      <c r="F1578" s="5" t="str">
        <f aca="false">[1]Base_Jugadores!E1578</f>
        <v>PO</v>
      </c>
      <c r="G1578" s="5" t="n">
        <f aca="false">[1]Base_Jugadores!F1578</f>
        <v>69</v>
      </c>
      <c r="H1578" s="5" t="n">
        <f aca="false">[1]Base_Jugadores!G1578</f>
        <v>23</v>
      </c>
      <c r="I1578" s="7" t="n">
        <f aca="false" t="array" ref="I1578:I1578">_xlfn.XLOOKUP(G1578,{55;56;57;58;59;60;61;62;63;64;65;66;67;68;69;70;71;72;73;74;75;76;77;78;79;80;81;82;83;84;85;86;87;88;89;90;91;92;93;94;95;96;97;98;99},{100000;130000;160000;190000;220000;250000;300000;350000;400000;450000;500000;600000;700000;800000;900000;1000000;1500000;2000000;3000000;4000000;5000000;6500000;8000000;10000000;12500000;15000000;20000000;25000000;30000000;35000000;40000000;55000000;70000000;80000000;90000000;110000000;130000000;160000000;190000000;220000000;250000000;280000000;310000000;340000000;400000000})</f>
        <v>900000</v>
      </c>
      <c r="J1578" s="7" t="n">
        <f aca="false">I1578*S1578*T1578*U1578</f>
        <v>797040</v>
      </c>
      <c r="K1578" s="3"/>
      <c r="L1578" s="3"/>
      <c r="M1578" s="3"/>
      <c r="N1578" s="9" t="n">
        <v>0</v>
      </c>
      <c r="O1578" s="4" t="n">
        <v>0</v>
      </c>
      <c r="P1578" s="5" t="n">
        <f aca="false">IF(COUNTIF([1]Base_Jugadores!J$2:J$500,B1578)&gt;0,1,0)</f>
        <v>0</v>
      </c>
      <c r="Q1578" s="10" t="b">
        <f aca="false">--(COUNTIFS(
   [1]Fichajes_Realizados!A$2:A$5000,A1578,
   [1]Fichajes_Realizados!G$2:G$5000,$X$3
)&gt;0)</f>
        <v>0</v>
      </c>
      <c r="R1578" s="5" t="n">
        <f aca="false">_xlfn.XLOOKUP(C1578, [1]Estado_Equipos!A$2:A$500, [1]Estado_Equipos!J$2:J$500, "")</f>
        <v>70</v>
      </c>
      <c r="S1578" s="5" t="n">
        <f aca="false">IF(H1578&lt;=16,1.45,
IF(H1578&gt;=41,0.3,
CHOOSE(ROUNDDOWN((H1578-16)/2,0)+1,
1.45,1.38,1.3,1.23,1.17,1.15,1.12,1.05,0.95,0.8,0.6,0.4,0.3)))</f>
        <v>1.23</v>
      </c>
      <c r="T1578" s="5" t="n">
        <f aca="false">CHOOSE(N1578+1,1.2,1,0.85,0.7)</f>
        <v>1.2</v>
      </c>
      <c r="U1578" s="5" t="n">
        <f aca="false">IF(F1578="PO",0.6,
IF(F1578="CT",0.75,
IF(F1578="LI",0.8,
IF(F1578="LD",0.8,
IF(F1578="MCD",0.85,
IF(F1578="MC",0.95,
IF(F1578="MO",1.05,
IF(F1578="EI",1.1,
IF(F1578="ED",1.1,
IF(F1578="SD",1.15,
IF(F1578="DC",1.2,0)))))))))))</f>
        <v>0.6</v>
      </c>
    </row>
    <row r="1579" customFormat="false" ht="16.4" hidden="false" customHeight="false" outlineLevel="0" collapsed="false">
      <c r="A1579" s="1" t="n">
        <v>1578</v>
      </c>
      <c r="B1579" s="5" t="str">
        <f aca="false">[1]Base_Jugadores!B1579</f>
        <v>Daniele Padelli</v>
      </c>
      <c r="C1579" s="5" t="str">
        <f aca="false">IFERROR(
   _xlfn.XLOOKUP(VALUE(A1579),[1]Fichajes_Realizados!A$2:A$50000,[1]Fichajes_Realizados!D$2:D$50000,,0,-1),
   _xlfn.XLOOKUP(VALUE(A1579),[1]Base_Jugadores!A$2:A$50000,[1]Base_Jugadores!C$2:C$50000)
)</f>
        <v>Udinese</v>
      </c>
      <c r="D1579" s="5" t="str">
        <f aca="false">[1]Base_Jugadores!D1579</f>
        <v>Italia</v>
      </c>
      <c r="E1579" s="3"/>
      <c r="F1579" s="5" t="str">
        <f aca="false">[1]Base_Jugadores!E1579</f>
        <v>PO</v>
      </c>
      <c r="G1579" s="5" t="n">
        <f aca="false">[1]Base_Jugadores!F1579</f>
        <v>68</v>
      </c>
      <c r="H1579" s="5" t="n">
        <f aca="false">[1]Base_Jugadores!G1579</f>
        <v>40</v>
      </c>
      <c r="I1579" s="7" t="n">
        <f aca="false" t="array" ref="I1579:I1579">_xlfn.XLOOKUP(G1579,{55;56;57;58;59;60;61;62;63;64;65;66;67;68;69;70;71;72;73;74;75;76;77;78;79;80;81;82;83;84;85;86;87;88;89;90;91;92;93;94;95;96;97;98;99},{100000;130000;160000;190000;220000;250000;300000;350000;400000;450000;500000;600000;700000;800000;900000;1000000;1500000;2000000;3000000;4000000;5000000;6500000;8000000;10000000;12500000;15000000;20000000;25000000;30000000;35000000;40000000;55000000;70000000;80000000;90000000;110000000;130000000;160000000;190000000;220000000;250000000;280000000;310000000;340000000;400000000})</f>
        <v>800000</v>
      </c>
      <c r="J1579" s="7" t="n">
        <f aca="false">I1579*S1579*T1579*U1579</f>
        <v>172800</v>
      </c>
      <c r="K1579" s="3"/>
      <c r="L1579" s="3"/>
      <c r="M1579" s="3"/>
      <c r="N1579" s="9" t="n">
        <v>0</v>
      </c>
      <c r="O1579" s="4" t="n">
        <v>0</v>
      </c>
      <c r="P1579" s="5" t="n">
        <f aca="false">IF(COUNTIF([1]Base_Jugadores!J$2:J$500,B1579)&gt;0,1,0)</f>
        <v>0</v>
      </c>
      <c r="Q1579" s="10" t="b">
        <f aca="false">--(COUNTIFS(
   [1]Fichajes_Realizados!A$2:A$5000,A1579,
   [1]Fichajes_Realizados!G$2:G$5000,$X$3
)&gt;0)</f>
        <v>0</v>
      </c>
      <c r="R1579" s="5" t="n">
        <f aca="false">_xlfn.XLOOKUP(C1579, [1]Estado_Equipos!A$2:A$500, [1]Estado_Equipos!J$2:J$500, "")</f>
        <v>70</v>
      </c>
      <c r="S1579" s="5" t="n">
        <f aca="false">IF(H1579&lt;=16,1.45,
IF(H1579&gt;=41,0.3,
CHOOSE(ROUNDDOWN((H1579-16)/2,0)+1,
1.45,1.38,1.3,1.23,1.17,1.15,1.12,1.05,0.95,0.8,0.6,0.4,0.3)))</f>
        <v>0.3</v>
      </c>
      <c r="T1579" s="5" t="n">
        <f aca="false">CHOOSE(N1579+1,1.2,1,0.85,0.7)</f>
        <v>1.2</v>
      </c>
      <c r="U1579" s="5" t="n">
        <f aca="false">IF(F1579="PO",0.6,
IF(F1579="CT",0.75,
IF(F1579="LI",0.8,
IF(F1579="LD",0.8,
IF(F1579="MCD",0.85,
IF(F1579="MC",0.95,
IF(F1579="MO",1.05,
IF(F1579="EI",1.1,
IF(F1579="ED",1.1,
IF(F1579="SD",1.15,
IF(F1579="DC",1.2,0)))))))))))</f>
        <v>0.6</v>
      </c>
    </row>
    <row r="1580" customFormat="false" ht="16.4" hidden="false" customHeight="false" outlineLevel="0" collapsed="false">
      <c r="A1580" s="1" t="n">
        <v>1579</v>
      </c>
      <c r="B1580" s="5" t="str">
        <f aca="false">[1]Base_Jugadores!B1580</f>
        <v>Oumar Solet</v>
      </c>
      <c r="C1580" s="5" t="str">
        <f aca="false">IFERROR(
   _xlfn.XLOOKUP(VALUE(A1580),[1]Fichajes_Realizados!A$2:A$50000,[1]Fichajes_Realizados!D$2:D$50000,,0,-1),
   _xlfn.XLOOKUP(VALUE(A1580),[1]Base_Jugadores!A$2:A$50000,[1]Base_Jugadores!C$2:C$50000)
)</f>
        <v>Udinese</v>
      </c>
      <c r="D1580" s="5" t="str">
        <f aca="false">[1]Base_Jugadores!D1580</f>
        <v>Francia</v>
      </c>
      <c r="E1580" s="3"/>
      <c r="F1580" s="5" t="str">
        <f aca="false">[1]Base_Jugadores!E1580</f>
        <v>CT</v>
      </c>
      <c r="G1580" s="5" t="n">
        <f aca="false">[1]Base_Jugadores!F1580</f>
        <v>72</v>
      </c>
      <c r="H1580" s="5" t="n">
        <f aca="false">[1]Base_Jugadores!G1580</f>
        <v>25</v>
      </c>
      <c r="I1580" s="7" t="n">
        <f aca="false" t="array" ref="I1580:I1580">_xlfn.XLOOKUP(G1580,{55;56;57;58;59;60;61;62;63;64;65;66;67;68;69;70;71;72;73;74;75;76;77;78;79;80;81;82;83;84;85;86;87;88;89;90;91;92;93;94;95;96;97;98;99},{100000;130000;160000;190000;220000;250000;300000;350000;400000;450000;500000;600000;700000;800000;900000;1000000;1500000;2000000;3000000;4000000;5000000;6500000;8000000;10000000;12500000;15000000;20000000;25000000;30000000;35000000;40000000;55000000;70000000;80000000;90000000;110000000;130000000;160000000;190000000;220000000;250000000;280000000;310000000;340000000;400000000})</f>
        <v>2000000</v>
      </c>
      <c r="J1580" s="7" t="n">
        <f aca="false">I1580*S1580*T1580*U1580</f>
        <v>2106000</v>
      </c>
      <c r="K1580" s="3"/>
      <c r="L1580" s="3"/>
      <c r="M1580" s="3"/>
      <c r="N1580" s="9" t="n">
        <v>0</v>
      </c>
      <c r="O1580" s="4" t="n">
        <v>0</v>
      </c>
      <c r="P1580" s="5" t="n">
        <f aca="false">IF(COUNTIF([1]Base_Jugadores!J$2:J$500,B1580)&gt;0,1,0)</f>
        <v>0</v>
      </c>
      <c r="Q1580" s="10" t="b">
        <f aca="false">--(COUNTIFS(
   [1]Fichajes_Realizados!A$2:A$5000,A1580,
   [1]Fichajes_Realizados!G$2:G$5000,$X$3
)&gt;0)</f>
        <v>0</v>
      </c>
      <c r="R1580" s="5" t="n">
        <f aca="false">_xlfn.XLOOKUP(C1580, [1]Estado_Equipos!A$2:A$500, [1]Estado_Equipos!J$2:J$500, "")</f>
        <v>70</v>
      </c>
      <c r="S1580" s="5" t="n">
        <f aca="false">IF(H1580&lt;=16,1.45,
IF(H1580&gt;=41,0.3,
CHOOSE(ROUNDDOWN((H1580-16)/2,0)+1,
1.45,1.38,1.3,1.23,1.17,1.15,1.12,1.05,0.95,0.8,0.6,0.4,0.3)))</f>
        <v>1.17</v>
      </c>
      <c r="T1580" s="5" t="n">
        <f aca="false">CHOOSE(N1580+1,1.2,1,0.85,0.7)</f>
        <v>1.2</v>
      </c>
      <c r="U1580" s="5" t="n">
        <f aca="false">IF(F1580="PO",0.6,
IF(F1580="CT",0.75,
IF(F1580="LI",0.8,
IF(F1580="LD",0.8,
IF(F1580="MCD",0.85,
IF(F1580="MC",0.95,
IF(F1580="MO",1.05,
IF(F1580="EI",1.1,
IF(F1580="ED",1.1,
IF(F1580="SD",1.15,
IF(F1580="DC",1.2,0)))))))))))</f>
        <v>0.75</v>
      </c>
    </row>
    <row r="1581" customFormat="false" ht="16.4" hidden="false" customHeight="false" outlineLevel="0" collapsed="false">
      <c r="A1581" s="1" t="n">
        <v>1580</v>
      </c>
      <c r="B1581" s="5" t="str">
        <f aca="false">[1]Base_Jugadores!B1581</f>
        <v>Thomas Kristensen</v>
      </c>
      <c r="C1581" s="5" t="str">
        <f aca="false">IFERROR(
   _xlfn.XLOOKUP(VALUE(A1581),[1]Fichajes_Realizados!A$2:A$50000,[1]Fichajes_Realizados!D$2:D$50000,,0,-1),
   _xlfn.XLOOKUP(VALUE(A1581),[1]Base_Jugadores!A$2:A$50000,[1]Base_Jugadores!C$2:C$50000)
)</f>
        <v>Udinese</v>
      </c>
      <c r="D1581" s="5" t="str">
        <f aca="false">[1]Base_Jugadores!D1581</f>
        <v>Dinamarca</v>
      </c>
      <c r="E1581" s="3"/>
      <c r="F1581" s="5" t="str">
        <f aca="false">[1]Base_Jugadores!E1581</f>
        <v>CT</v>
      </c>
      <c r="G1581" s="5" t="n">
        <f aca="false">[1]Base_Jugadores!F1581</f>
        <v>72</v>
      </c>
      <c r="H1581" s="5" t="n">
        <f aca="false">[1]Base_Jugadores!G1581</f>
        <v>23</v>
      </c>
      <c r="I1581" s="7" t="n">
        <f aca="false" t="array" ref="I1581:I1581">_xlfn.XLOOKUP(G1581,{55;56;57;58;59;60;61;62;63;64;65;66;67;68;69;70;71;72;73;74;75;76;77;78;79;80;81;82;83;84;85;86;87;88;89;90;91;92;93;94;95;96;97;98;99},{100000;130000;160000;190000;220000;250000;300000;350000;400000;450000;500000;600000;700000;800000;900000;1000000;1500000;2000000;3000000;4000000;5000000;6500000;8000000;10000000;12500000;15000000;20000000;25000000;30000000;35000000;40000000;55000000;70000000;80000000;90000000;110000000;130000000;160000000;190000000;220000000;250000000;280000000;310000000;340000000;400000000})</f>
        <v>2000000</v>
      </c>
      <c r="J1581" s="7" t="n">
        <f aca="false">I1581*S1581*T1581*U1581</f>
        <v>2214000</v>
      </c>
      <c r="K1581" s="3"/>
      <c r="L1581" s="3"/>
      <c r="M1581" s="3"/>
      <c r="N1581" s="9" t="n">
        <v>0</v>
      </c>
      <c r="O1581" s="4" t="n">
        <v>0</v>
      </c>
      <c r="P1581" s="5" t="n">
        <f aca="false">IF(COUNTIF([1]Base_Jugadores!J$2:J$500,B1581)&gt;0,1,0)</f>
        <v>0</v>
      </c>
      <c r="Q1581" s="10" t="b">
        <f aca="false">--(COUNTIFS(
   [1]Fichajes_Realizados!A$2:A$5000,A1581,
   [1]Fichajes_Realizados!G$2:G$5000,$X$3
)&gt;0)</f>
        <v>0</v>
      </c>
      <c r="R1581" s="5" t="n">
        <f aca="false">_xlfn.XLOOKUP(C1581, [1]Estado_Equipos!A$2:A$500, [1]Estado_Equipos!J$2:J$500, "")</f>
        <v>70</v>
      </c>
      <c r="S1581" s="5" t="n">
        <f aca="false">IF(H1581&lt;=16,1.45,
IF(H1581&gt;=41,0.3,
CHOOSE(ROUNDDOWN((H1581-16)/2,0)+1,
1.45,1.38,1.3,1.23,1.17,1.15,1.12,1.05,0.95,0.8,0.6,0.4,0.3)))</f>
        <v>1.23</v>
      </c>
      <c r="T1581" s="5" t="n">
        <f aca="false">CHOOSE(N1581+1,1.2,1,0.85,0.7)</f>
        <v>1.2</v>
      </c>
      <c r="U1581" s="5" t="n">
        <f aca="false">IF(F1581="PO",0.6,
IF(F1581="CT",0.75,
IF(F1581="LI",0.8,
IF(F1581="LD",0.8,
IF(F1581="MCD",0.85,
IF(F1581="MC",0.95,
IF(F1581="MO",1.05,
IF(F1581="EI",1.1,
IF(F1581="ED",1.1,
IF(F1581="SD",1.15,
IF(F1581="DC",1.2,0)))))))))))</f>
        <v>0.75</v>
      </c>
    </row>
    <row r="1582" customFormat="false" ht="16.4" hidden="false" customHeight="false" outlineLevel="0" collapsed="false">
      <c r="A1582" s="1" t="n">
        <v>1581</v>
      </c>
      <c r="B1582" s="5" t="str">
        <f aca="false">[1]Base_Jugadores!B1582</f>
        <v>Saba Goglichidze</v>
      </c>
      <c r="C1582" s="5" t="str">
        <f aca="false">IFERROR(
   _xlfn.XLOOKUP(VALUE(A1582),[1]Fichajes_Realizados!A$2:A$50000,[1]Fichajes_Realizados!D$2:D$50000,,0,-1),
   _xlfn.XLOOKUP(VALUE(A1582),[1]Base_Jugadores!A$2:A$50000,[1]Base_Jugadores!C$2:C$50000)
)</f>
        <v>Udinese</v>
      </c>
      <c r="D1582" s="5" t="str">
        <f aca="false">[1]Base_Jugadores!D1582</f>
        <v>Georgia</v>
      </c>
      <c r="E1582" s="3"/>
      <c r="F1582" s="5" t="str">
        <f aca="false">[1]Base_Jugadores!E1582</f>
        <v>CT</v>
      </c>
      <c r="G1582" s="5" t="n">
        <f aca="false">[1]Base_Jugadores!F1582</f>
        <v>63</v>
      </c>
      <c r="H1582" s="5" t="n">
        <f aca="false">[1]Base_Jugadores!G1582</f>
        <v>21</v>
      </c>
      <c r="I1582" s="7" t="n">
        <f aca="false" t="array" ref="I1582:I1582">_xlfn.XLOOKUP(G1582,{55;56;57;58;59;60;61;62;63;64;65;66;67;68;69;70;71;72;73;74;75;76;77;78;79;80;81;82;83;84;85;86;87;88;89;90;91;92;93;94;95;96;97;98;99},{100000;130000;160000;190000;220000;250000;300000;350000;400000;450000;500000;600000;700000;800000;900000;1000000;1500000;2000000;3000000;4000000;5000000;6500000;8000000;10000000;12500000;15000000;20000000;25000000;30000000;35000000;40000000;55000000;70000000;80000000;90000000;110000000;130000000;160000000;190000000;220000000;250000000;280000000;310000000;340000000;400000000})</f>
        <v>400000</v>
      </c>
      <c r="J1582" s="7" t="n">
        <f aca="false">I1582*S1582*T1582*U1582</f>
        <v>468000</v>
      </c>
      <c r="K1582" s="3"/>
      <c r="L1582" s="3"/>
      <c r="M1582" s="3"/>
      <c r="N1582" s="9" t="n">
        <v>0</v>
      </c>
      <c r="O1582" s="4" t="n">
        <v>0</v>
      </c>
      <c r="P1582" s="5" t="n">
        <f aca="false">IF(COUNTIF([1]Base_Jugadores!J$2:J$500,B1582)&gt;0,1,0)</f>
        <v>0</v>
      </c>
      <c r="Q1582" s="10" t="b">
        <f aca="false">--(COUNTIFS(
   [1]Fichajes_Realizados!A$2:A$5000,A1582,
   [1]Fichajes_Realizados!G$2:G$5000,$X$3
)&gt;0)</f>
        <v>0</v>
      </c>
      <c r="R1582" s="5" t="n">
        <f aca="false">_xlfn.XLOOKUP(C1582, [1]Estado_Equipos!A$2:A$500, [1]Estado_Equipos!J$2:J$500, "")</f>
        <v>70</v>
      </c>
      <c r="S1582" s="5" t="n">
        <f aca="false">IF(H1582&lt;=16,1.45,
IF(H1582&gt;=41,0.3,
CHOOSE(ROUNDDOWN((H1582-16)/2,0)+1,
1.45,1.38,1.3,1.23,1.17,1.15,1.12,1.05,0.95,0.8,0.6,0.4,0.3)))</f>
        <v>1.3</v>
      </c>
      <c r="T1582" s="5" t="n">
        <f aca="false">CHOOSE(N1582+1,1.2,1,0.85,0.7)</f>
        <v>1.2</v>
      </c>
      <c r="U1582" s="5" t="n">
        <f aca="false">IF(F1582="PO",0.6,
IF(F1582="CT",0.75,
IF(F1582="LI",0.8,
IF(F1582="LD",0.8,
IF(F1582="MCD",0.85,
IF(F1582="MC",0.95,
IF(F1582="MO",1.05,
IF(F1582="EI",1.1,
IF(F1582="ED",1.1,
IF(F1582="SD",1.15,
IF(F1582="DC",1.2,0)))))))))))</f>
        <v>0.75</v>
      </c>
    </row>
    <row r="1583" customFormat="false" ht="16.4" hidden="false" customHeight="false" outlineLevel="0" collapsed="false">
      <c r="A1583" s="1" t="n">
        <v>1582</v>
      </c>
      <c r="B1583" s="5" t="str">
        <f aca="false">[1]Base_Jugadores!B1583</f>
        <v>Nicolò Bertola</v>
      </c>
      <c r="C1583" s="5" t="str">
        <f aca="false">IFERROR(
   _xlfn.XLOOKUP(VALUE(A1583),[1]Fichajes_Realizados!A$2:A$50000,[1]Fichajes_Realizados!D$2:D$50000,,0,-1),
   _xlfn.XLOOKUP(VALUE(A1583),[1]Base_Jugadores!A$2:A$50000,[1]Base_Jugadores!C$2:C$50000)
)</f>
        <v>Udinese</v>
      </c>
      <c r="D1583" s="5" t="str">
        <f aca="false">[1]Base_Jugadores!D1583</f>
        <v>Italia</v>
      </c>
      <c r="E1583" s="3"/>
      <c r="F1583" s="5" t="str">
        <f aca="false">[1]Base_Jugadores!E1583</f>
        <v>CT</v>
      </c>
      <c r="G1583" s="5" t="n">
        <f aca="false">[1]Base_Jugadores!F1583</f>
        <v>68</v>
      </c>
      <c r="H1583" s="5" t="n">
        <f aca="false">[1]Base_Jugadores!G1583</f>
        <v>22</v>
      </c>
      <c r="I1583" s="7" t="n">
        <f aca="false" t="array" ref="I1583:I1583">_xlfn.XLOOKUP(G1583,{55;56;57;58;59;60;61;62;63;64;65;66;67;68;69;70;71;72;73;74;75;76;77;78;79;80;81;82;83;84;85;86;87;88;89;90;91;92;93;94;95;96;97;98;99},{100000;130000;160000;190000;220000;250000;300000;350000;400000;450000;500000;600000;700000;800000;900000;1000000;1500000;2000000;3000000;4000000;5000000;6500000;8000000;10000000;12500000;15000000;20000000;25000000;30000000;35000000;40000000;55000000;70000000;80000000;90000000;110000000;130000000;160000000;190000000;220000000;250000000;280000000;310000000;340000000;400000000})</f>
        <v>800000</v>
      </c>
      <c r="J1583" s="7" t="n">
        <f aca="false">I1583*S1583*T1583*U1583</f>
        <v>885600</v>
      </c>
      <c r="K1583" s="3"/>
      <c r="L1583" s="3"/>
      <c r="M1583" s="3"/>
      <c r="N1583" s="9" t="n">
        <v>0</v>
      </c>
      <c r="O1583" s="4" t="n">
        <v>0</v>
      </c>
      <c r="P1583" s="5" t="n">
        <f aca="false">IF(COUNTIF([1]Base_Jugadores!J$2:J$500,B1583)&gt;0,1,0)</f>
        <v>0</v>
      </c>
      <c r="Q1583" s="10" t="b">
        <f aca="false">--(COUNTIFS(
   [1]Fichajes_Realizados!A$2:A$5000,A1583,
   [1]Fichajes_Realizados!G$2:G$5000,$X$3
)&gt;0)</f>
        <v>0</v>
      </c>
      <c r="R1583" s="5" t="n">
        <f aca="false">_xlfn.XLOOKUP(C1583, [1]Estado_Equipos!A$2:A$500, [1]Estado_Equipos!J$2:J$500, "")</f>
        <v>70</v>
      </c>
      <c r="S1583" s="5" t="n">
        <f aca="false">IF(H1583&lt;=16,1.45,
IF(H1583&gt;=41,0.3,
CHOOSE(ROUNDDOWN((H1583-16)/2,0)+1,
1.45,1.38,1.3,1.23,1.17,1.15,1.12,1.05,0.95,0.8,0.6,0.4,0.3)))</f>
        <v>1.23</v>
      </c>
      <c r="T1583" s="5" t="n">
        <f aca="false">CHOOSE(N1583+1,1.2,1,0.85,0.7)</f>
        <v>1.2</v>
      </c>
      <c r="U1583" s="5" t="n">
        <f aca="false">IF(F1583="PO",0.6,
IF(F1583="CT",0.75,
IF(F1583="LI",0.8,
IF(F1583="LD",0.8,
IF(F1583="MCD",0.85,
IF(F1583="MC",0.95,
IF(F1583="MO",1.05,
IF(F1583="EI",1.1,
IF(F1583="ED",1.1,
IF(F1583="SD",1.15,
IF(F1583="DC",1.2,0)))))))))))</f>
        <v>0.75</v>
      </c>
    </row>
    <row r="1584" customFormat="false" ht="16.4" hidden="false" customHeight="false" outlineLevel="0" collapsed="false">
      <c r="A1584" s="1" t="n">
        <v>1583</v>
      </c>
      <c r="B1584" s="5" t="str">
        <f aca="false">[1]Base_Jugadores!B1584</f>
        <v>Matteo Palma</v>
      </c>
      <c r="C1584" s="5" t="str">
        <f aca="false">IFERROR(
   _xlfn.XLOOKUP(VALUE(A1584),[1]Fichajes_Realizados!A$2:A$50000,[1]Fichajes_Realizados!D$2:D$50000,,0,-1),
   _xlfn.XLOOKUP(VALUE(A1584),[1]Base_Jugadores!A$2:A$50000,[1]Base_Jugadores!C$2:C$50000)
)</f>
        <v>Udinese</v>
      </c>
      <c r="D1584" s="5" t="str">
        <f aca="false">[1]Base_Jugadores!D1584</f>
        <v>Alemania</v>
      </c>
      <c r="E1584" s="3"/>
      <c r="F1584" s="5" t="str">
        <f aca="false">[1]Base_Jugadores!E1584</f>
        <v>CT</v>
      </c>
      <c r="G1584" s="5" t="n">
        <f aca="false">[1]Base_Jugadores!F1584</f>
        <v>58</v>
      </c>
      <c r="H1584" s="5" t="n">
        <f aca="false">[1]Base_Jugadores!G1584</f>
        <v>17</v>
      </c>
      <c r="I1584" s="7" t="n">
        <f aca="false" t="array" ref="I1584:I1584">_xlfn.XLOOKUP(G1584,{55;56;57;58;59;60;61;62;63;64;65;66;67;68;69;70;71;72;73;74;75;76;77;78;79;80;81;82;83;84;85;86;87;88;89;90;91;92;93;94;95;96;97;98;99},{100000;130000;160000;190000;220000;250000;300000;350000;400000;450000;500000;600000;700000;800000;900000;1000000;1500000;2000000;3000000;4000000;5000000;6500000;8000000;10000000;12500000;15000000;20000000;25000000;30000000;35000000;40000000;55000000;70000000;80000000;90000000;110000000;130000000;160000000;190000000;220000000;250000000;280000000;310000000;340000000;400000000})</f>
        <v>190000</v>
      </c>
      <c r="J1584" s="7" t="n">
        <f aca="false">I1584*S1584*T1584*U1584</f>
        <v>247950</v>
      </c>
      <c r="K1584" s="3"/>
      <c r="L1584" s="3"/>
      <c r="M1584" s="3"/>
      <c r="N1584" s="9" t="n">
        <v>0</v>
      </c>
      <c r="O1584" s="4" t="n">
        <v>0</v>
      </c>
      <c r="P1584" s="5" t="n">
        <f aca="false">IF(COUNTIF([1]Base_Jugadores!J$2:J$500,B1584)&gt;0,1,0)</f>
        <v>0</v>
      </c>
      <c r="Q1584" s="10" t="b">
        <f aca="false">--(COUNTIFS(
   [1]Fichajes_Realizados!A$2:A$5000,A1584,
   [1]Fichajes_Realizados!G$2:G$5000,$X$3
)&gt;0)</f>
        <v>0</v>
      </c>
      <c r="R1584" s="5" t="n">
        <f aca="false">_xlfn.XLOOKUP(C1584, [1]Estado_Equipos!A$2:A$500, [1]Estado_Equipos!J$2:J$500, "")</f>
        <v>70</v>
      </c>
      <c r="S1584" s="5" t="n">
        <f aca="false">IF(H1584&lt;=16,1.45,
IF(H1584&gt;=41,0.3,
CHOOSE(ROUNDDOWN((H1584-16)/2,0)+1,
1.45,1.38,1.3,1.23,1.17,1.15,1.12,1.05,0.95,0.8,0.6,0.4,0.3)))</f>
        <v>1.45</v>
      </c>
      <c r="T1584" s="5" t="n">
        <f aca="false">CHOOSE(N1584+1,1.2,1,0.85,0.7)</f>
        <v>1.2</v>
      </c>
      <c r="U1584" s="5" t="n">
        <f aca="false">IF(F1584="PO",0.6,
IF(F1584="CT",0.75,
IF(F1584="LI",0.8,
IF(F1584="LD",0.8,
IF(F1584="MCD",0.85,
IF(F1584="MC",0.95,
IF(F1584="MO",1.05,
IF(F1584="EI",1.1,
IF(F1584="ED",1.1,
IF(F1584="SD",1.15,
IF(F1584="DC",1.2,0)))))))))))</f>
        <v>0.75</v>
      </c>
    </row>
    <row r="1585" customFormat="false" ht="16.4" hidden="false" customHeight="false" outlineLevel="0" collapsed="false">
      <c r="A1585" s="1" t="n">
        <v>1584</v>
      </c>
      <c r="B1585" s="5" t="str">
        <f aca="false">[1]Base_Jugadores!B1585</f>
        <v>Christian Kabasele</v>
      </c>
      <c r="C1585" s="5" t="str">
        <f aca="false">IFERROR(
   _xlfn.XLOOKUP(VALUE(A1585),[1]Fichajes_Realizados!A$2:A$50000,[1]Fichajes_Realizados!D$2:D$50000,,0,-1),
   _xlfn.XLOOKUP(VALUE(A1585),[1]Base_Jugadores!A$2:A$50000,[1]Base_Jugadores!C$2:C$50000)
)</f>
        <v>Udinese</v>
      </c>
      <c r="D1585" s="5" t="str">
        <f aca="false">[1]Base_Jugadores!D1585</f>
        <v>Bélgica</v>
      </c>
      <c r="E1585" s="3"/>
      <c r="F1585" s="5" t="str">
        <f aca="false">[1]Base_Jugadores!E1585</f>
        <v>CT</v>
      </c>
      <c r="G1585" s="5" t="n">
        <f aca="false">[1]Base_Jugadores!F1585</f>
        <v>73</v>
      </c>
      <c r="H1585" s="5" t="n">
        <f aca="false">[1]Base_Jugadores!G1585</f>
        <v>34</v>
      </c>
      <c r="I1585" s="7" t="n">
        <f aca="false" t="array" ref="I1585:I1585">_xlfn.XLOOKUP(G1585,{55;56;57;58;59;60;61;62;63;64;65;66;67;68;69;70;71;72;73;74;75;76;77;78;79;80;81;82;83;84;85;86;87;88;89;90;91;92;93;94;95;96;97;98;99},{100000;130000;160000;190000;220000;250000;300000;350000;400000;450000;500000;600000;700000;800000;900000;1000000;1500000;2000000;3000000;4000000;5000000;6500000;8000000;10000000;12500000;15000000;20000000;25000000;30000000;35000000;40000000;55000000;70000000;80000000;90000000;110000000;130000000;160000000;190000000;220000000;250000000;280000000;310000000;340000000;400000000})</f>
        <v>3000000</v>
      </c>
      <c r="J1585" s="7" t="n">
        <f aca="false">I1585*S1585*T1585*U1585</f>
        <v>2160000</v>
      </c>
      <c r="K1585" s="3"/>
      <c r="L1585" s="3"/>
      <c r="M1585" s="3"/>
      <c r="N1585" s="9" t="n">
        <v>0</v>
      </c>
      <c r="O1585" s="4" t="n">
        <v>0</v>
      </c>
      <c r="P1585" s="5" t="n">
        <f aca="false">IF(COUNTIF([1]Base_Jugadores!J$2:J$500,B1585)&gt;0,1,0)</f>
        <v>0</v>
      </c>
      <c r="Q1585" s="10" t="b">
        <f aca="false">--(COUNTIFS(
   [1]Fichajes_Realizados!A$2:A$5000,A1585,
   [1]Fichajes_Realizados!G$2:G$5000,$X$3
)&gt;0)</f>
        <v>0</v>
      </c>
      <c r="R1585" s="5" t="n">
        <f aca="false">_xlfn.XLOOKUP(C1585, [1]Estado_Equipos!A$2:A$500, [1]Estado_Equipos!J$2:J$500, "")</f>
        <v>70</v>
      </c>
      <c r="S1585" s="5" t="n">
        <f aca="false">IF(H1585&lt;=16,1.45,
IF(H1585&gt;=41,0.3,
CHOOSE(ROUNDDOWN((H1585-16)/2,0)+1,
1.45,1.38,1.3,1.23,1.17,1.15,1.12,1.05,0.95,0.8,0.6,0.4,0.3)))</f>
        <v>0.8</v>
      </c>
      <c r="T1585" s="5" t="n">
        <f aca="false">CHOOSE(N1585+1,1.2,1,0.85,0.7)</f>
        <v>1.2</v>
      </c>
      <c r="U1585" s="5" t="n">
        <f aca="false">IF(F1585="PO",0.6,
IF(F1585="CT",0.75,
IF(F1585="LI",0.8,
IF(F1585="LD",0.8,
IF(F1585="MCD",0.85,
IF(F1585="MC",0.95,
IF(F1585="MO",1.05,
IF(F1585="EI",1.1,
IF(F1585="ED",1.1,
IF(F1585="SD",1.15,
IF(F1585="DC",1.2,0)))))))))))</f>
        <v>0.75</v>
      </c>
    </row>
    <row r="1586" customFormat="false" ht="16.4" hidden="false" customHeight="false" outlineLevel="0" collapsed="false">
      <c r="A1586" s="1" t="n">
        <v>1585</v>
      </c>
      <c r="B1586" s="5" t="str">
        <f aca="false">[1]Base_Jugadores!B1586</f>
        <v>Jordan Zemura</v>
      </c>
      <c r="C1586" s="5" t="str">
        <f aca="false">IFERROR(
   _xlfn.XLOOKUP(VALUE(A1586),[1]Fichajes_Realizados!A$2:A$50000,[1]Fichajes_Realizados!D$2:D$50000,,0,-1),
   _xlfn.XLOOKUP(VALUE(A1586),[1]Base_Jugadores!A$2:A$50000,[1]Base_Jugadores!C$2:C$50000)
)</f>
        <v>Udinese</v>
      </c>
      <c r="D1586" s="5" t="str">
        <f aca="false">[1]Base_Jugadores!D1586</f>
        <v>Zimbabue</v>
      </c>
      <c r="E1586" s="3"/>
      <c r="F1586" s="5" t="str">
        <f aca="false">[1]Base_Jugadores!E1586</f>
        <v>LI</v>
      </c>
      <c r="G1586" s="5" t="n">
        <f aca="false">[1]Base_Jugadores!F1586</f>
        <v>69</v>
      </c>
      <c r="H1586" s="5" t="n">
        <f aca="false">[1]Base_Jugadores!G1586</f>
        <v>26</v>
      </c>
      <c r="I1586" s="7" t="n">
        <f aca="false" t="array" ref="I1586:I1586">_xlfn.XLOOKUP(G1586,{55;56;57;58;59;60;61;62;63;64;65;66;67;68;69;70;71;72;73;74;75;76;77;78;79;80;81;82;83;84;85;86;87;88;89;90;91;92;93;94;95;96;97;98;99},{100000;130000;160000;190000;220000;250000;300000;350000;400000;450000;500000;600000;700000;800000;900000;1000000;1500000;2000000;3000000;4000000;5000000;6500000;8000000;10000000;12500000;15000000;20000000;25000000;30000000;35000000;40000000;55000000;70000000;80000000;90000000;110000000;130000000;160000000;190000000;220000000;250000000;280000000;310000000;340000000;400000000})</f>
        <v>900000</v>
      </c>
      <c r="J1586" s="7" t="n">
        <f aca="false">I1586*S1586*T1586*U1586</f>
        <v>993600</v>
      </c>
      <c r="K1586" s="3"/>
      <c r="L1586" s="3"/>
      <c r="M1586" s="3"/>
      <c r="N1586" s="9" t="n">
        <v>0</v>
      </c>
      <c r="O1586" s="4" t="n">
        <v>0</v>
      </c>
      <c r="P1586" s="5" t="n">
        <f aca="false">IF(COUNTIF([1]Base_Jugadores!J$2:J$500,B1586)&gt;0,1,0)</f>
        <v>0</v>
      </c>
      <c r="Q1586" s="10" t="b">
        <f aca="false">--(COUNTIFS(
   [1]Fichajes_Realizados!A$2:A$5000,A1586,
   [1]Fichajes_Realizados!G$2:G$5000,$X$3
)&gt;0)</f>
        <v>0</v>
      </c>
      <c r="R1586" s="5" t="n">
        <f aca="false">_xlfn.XLOOKUP(C1586, [1]Estado_Equipos!A$2:A$500, [1]Estado_Equipos!J$2:J$500, "")</f>
        <v>70</v>
      </c>
      <c r="S1586" s="5" t="n">
        <f aca="false">IF(H1586&lt;=16,1.45,
IF(H1586&gt;=41,0.3,
CHOOSE(ROUNDDOWN((H1586-16)/2,0)+1,
1.45,1.38,1.3,1.23,1.17,1.15,1.12,1.05,0.95,0.8,0.6,0.4,0.3)))</f>
        <v>1.15</v>
      </c>
      <c r="T1586" s="5" t="n">
        <f aca="false">CHOOSE(N1586+1,1.2,1,0.85,0.7)</f>
        <v>1.2</v>
      </c>
      <c r="U1586" s="5" t="n">
        <f aca="false">IF(F1586="PO",0.6,
IF(F1586="CT",0.75,
IF(F1586="LI",0.8,
IF(F1586="LD",0.8,
IF(F1586="MCD",0.85,
IF(F1586="MC",0.95,
IF(F1586="MO",1.05,
IF(F1586="EI",1.1,
IF(F1586="ED",1.1,
IF(F1586="SD",1.15,
IF(F1586="DC",1.2,0)))))))))))</f>
        <v>0.8</v>
      </c>
    </row>
    <row r="1587" customFormat="false" ht="16.4" hidden="false" customHeight="false" outlineLevel="0" collapsed="false">
      <c r="A1587" s="1" t="n">
        <v>1586</v>
      </c>
      <c r="B1587" s="5" t="str">
        <f aca="false">[1]Base_Jugadores!B1587</f>
        <v>Hassane Kamara</v>
      </c>
      <c r="C1587" s="5" t="str">
        <f aca="false">IFERROR(
   _xlfn.XLOOKUP(VALUE(A1587),[1]Fichajes_Realizados!A$2:A$50000,[1]Fichajes_Realizados!D$2:D$50000,,0,-1),
   _xlfn.XLOOKUP(VALUE(A1587),[1]Base_Jugadores!A$2:A$50000,[1]Base_Jugadores!C$2:C$50000)
)</f>
        <v>Udinese</v>
      </c>
      <c r="D1587" s="5" t="str">
        <f aca="false">[1]Base_Jugadores!D1587</f>
        <v>Costa de Marfil</v>
      </c>
      <c r="E1587" s="3"/>
      <c r="F1587" s="5" t="str">
        <f aca="false">[1]Base_Jugadores!E1587</f>
        <v>LI</v>
      </c>
      <c r="G1587" s="5" t="n">
        <f aca="false">[1]Base_Jugadores!F1587</f>
        <v>74</v>
      </c>
      <c r="H1587" s="5" t="n">
        <f aca="false">[1]Base_Jugadores!G1587</f>
        <v>31</v>
      </c>
      <c r="I1587" s="7" t="n">
        <f aca="false" t="array" ref="I1587:I1587">_xlfn.XLOOKUP(G1587,{55;56;57;58;59;60;61;62;63;64;65;66;67;68;69;70;71;72;73;74;75;76;77;78;79;80;81;82;83;84;85;86;87;88;89;90;91;92;93;94;95;96;97;98;99},{100000;130000;160000;190000;220000;250000;300000;350000;400000;450000;500000;600000;700000;800000;900000;1000000;1500000;2000000;3000000;4000000;5000000;6500000;8000000;10000000;12500000;15000000;20000000;25000000;30000000;35000000;40000000;55000000;70000000;80000000;90000000;110000000;130000000;160000000;190000000;220000000;250000000;280000000;310000000;340000000;400000000})</f>
        <v>4000000</v>
      </c>
      <c r="J1587" s="7" t="n">
        <f aca="false">I1587*S1587*T1587*U1587</f>
        <v>4032000</v>
      </c>
      <c r="K1587" s="3"/>
      <c r="L1587" s="3"/>
      <c r="M1587" s="3"/>
      <c r="N1587" s="9" t="n">
        <v>0</v>
      </c>
      <c r="O1587" s="4" t="n">
        <v>0</v>
      </c>
      <c r="P1587" s="5" t="n">
        <f aca="false">IF(COUNTIF([1]Base_Jugadores!J$2:J$500,B1587)&gt;0,1,0)</f>
        <v>0</v>
      </c>
      <c r="Q1587" s="10" t="b">
        <f aca="false">--(COUNTIFS(
   [1]Fichajes_Realizados!A$2:A$5000,A1587,
   [1]Fichajes_Realizados!G$2:G$5000,$X$3
)&gt;0)</f>
        <v>0</v>
      </c>
      <c r="R1587" s="5" t="n">
        <f aca="false">_xlfn.XLOOKUP(C1587, [1]Estado_Equipos!A$2:A$500, [1]Estado_Equipos!J$2:J$500, "")</f>
        <v>70</v>
      </c>
      <c r="S1587" s="5" t="n">
        <f aca="false">IF(H1587&lt;=16,1.45,
IF(H1587&gt;=41,0.3,
CHOOSE(ROUNDDOWN((H1587-16)/2,0)+1,
1.45,1.38,1.3,1.23,1.17,1.15,1.12,1.05,0.95,0.8,0.6,0.4,0.3)))</f>
        <v>1.05</v>
      </c>
      <c r="T1587" s="5" t="n">
        <f aca="false">CHOOSE(N1587+1,1.2,1,0.85,0.7)</f>
        <v>1.2</v>
      </c>
      <c r="U1587" s="5" t="n">
        <f aca="false">IF(F1587="PO",0.6,
IF(F1587="CT",0.75,
IF(F1587="LI",0.8,
IF(F1587="LD",0.8,
IF(F1587="MCD",0.85,
IF(F1587="MC",0.95,
IF(F1587="MO",1.05,
IF(F1587="EI",1.1,
IF(F1587="ED",1.1,
IF(F1587="SD",1.15,
IF(F1587="DC",1.2,0)))))))))))</f>
        <v>0.8</v>
      </c>
    </row>
    <row r="1588" customFormat="false" ht="16.4" hidden="false" customHeight="false" outlineLevel="0" collapsed="false">
      <c r="A1588" s="1" t="n">
        <v>1587</v>
      </c>
      <c r="B1588" s="5" t="str">
        <f aca="false">[1]Base_Jugadores!B1588</f>
        <v>Alessandro Zanoli</v>
      </c>
      <c r="C1588" s="5" t="str">
        <f aca="false">IFERROR(
   _xlfn.XLOOKUP(VALUE(A1588),[1]Fichajes_Realizados!A$2:A$50000,[1]Fichajes_Realizados!D$2:D$50000,,0,-1),
   _xlfn.XLOOKUP(VALUE(A1588),[1]Base_Jugadores!A$2:A$50000,[1]Base_Jugadores!C$2:C$50000)
)</f>
        <v>Udinese</v>
      </c>
      <c r="D1588" s="5" t="str">
        <f aca="false">[1]Base_Jugadores!D1588</f>
        <v>Italia</v>
      </c>
      <c r="E1588" s="3"/>
      <c r="F1588" s="5" t="str">
        <f aca="false">[1]Base_Jugadores!E1588</f>
        <v>LD</v>
      </c>
      <c r="G1588" s="5" t="n">
        <f aca="false">[1]Base_Jugadores!F1588</f>
        <v>73</v>
      </c>
      <c r="H1588" s="5" t="n">
        <f aca="false">[1]Base_Jugadores!G1588</f>
        <v>25</v>
      </c>
      <c r="I1588" s="7" t="n">
        <f aca="false" t="array" ref="I1588:I1588">_xlfn.XLOOKUP(G1588,{55;56;57;58;59;60;61;62;63;64;65;66;67;68;69;70;71;72;73;74;75;76;77;78;79;80;81;82;83;84;85;86;87;88;89;90;91;92;93;94;95;96;97;98;99},{100000;130000;160000;190000;220000;250000;300000;350000;400000;450000;500000;600000;700000;800000;900000;1000000;1500000;2000000;3000000;4000000;5000000;6500000;8000000;10000000;12500000;15000000;20000000;25000000;30000000;35000000;40000000;55000000;70000000;80000000;90000000;110000000;130000000;160000000;190000000;220000000;250000000;280000000;310000000;340000000;400000000})</f>
        <v>3000000</v>
      </c>
      <c r="J1588" s="7" t="n">
        <f aca="false">I1588*S1588*T1588*U1588</f>
        <v>3369600</v>
      </c>
      <c r="K1588" s="3"/>
      <c r="L1588" s="3"/>
      <c r="M1588" s="3"/>
      <c r="N1588" s="9" t="n">
        <v>0</v>
      </c>
      <c r="O1588" s="4" t="n">
        <v>0</v>
      </c>
      <c r="P1588" s="5" t="n">
        <f aca="false">IF(COUNTIF([1]Base_Jugadores!J$2:J$500,B1588)&gt;0,1,0)</f>
        <v>0</v>
      </c>
      <c r="Q1588" s="10" t="b">
        <f aca="false">--(COUNTIFS(
   [1]Fichajes_Realizados!A$2:A$5000,A1588,
   [1]Fichajes_Realizados!G$2:G$5000,$X$3
)&gt;0)</f>
        <v>0</v>
      </c>
      <c r="R1588" s="5" t="n">
        <f aca="false">_xlfn.XLOOKUP(C1588, [1]Estado_Equipos!A$2:A$500, [1]Estado_Equipos!J$2:J$500, "")</f>
        <v>70</v>
      </c>
      <c r="S1588" s="5" t="n">
        <f aca="false">IF(H1588&lt;=16,1.45,
IF(H1588&gt;=41,0.3,
CHOOSE(ROUNDDOWN((H1588-16)/2,0)+1,
1.45,1.38,1.3,1.23,1.17,1.15,1.12,1.05,0.95,0.8,0.6,0.4,0.3)))</f>
        <v>1.17</v>
      </c>
      <c r="T1588" s="5" t="n">
        <f aca="false">CHOOSE(N1588+1,1.2,1,0.85,0.7)</f>
        <v>1.2</v>
      </c>
      <c r="U1588" s="5" t="n">
        <f aca="false">IF(F1588="PO",0.6,
IF(F1588="CT",0.75,
IF(F1588="LI",0.8,
IF(F1588="LD",0.8,
IF(F1588="MCD",0.85,
IF(F1588="MC",0.95,
IF(F1588="MO",1.05,
IF(F1588="EI",1.1,
IF(F1588="ED",1.1,
IF(F1588="SD",1.15,
IF(F1588="DC",1.2,0)))))))))))</f>
        <v>0.8</v>
      </c>
    </row>
    <row r="1589" customFormat="false" ht="16.4" hidden="false" customHeight="false" outlineLevel="0" collapsed="false">
      <c r="A1589" s="1" t="n">
        <v>1588</v>
      </c>
      <c r="B1589" s="5" t="str">
        <f aca="false">[1]Base_Jugadores!B1589</f>
        <v>Kingsley Ehizibue</v>
      </c>
      <c r="C1589" s="5" t="str">
        <f aca="false">IFERROR(
   _xlfn.XLOOKUP(VALUE(A1589),[1]Fichajes_Realizados!A$2:A$50000,[1]Fichajes_Realizados!D$2:D$50000,,0,-1),
   _xlfn.XLOOKUP(VALUE(A1589),[1]Base_Jugadores!A$2:A$50000,[1]Base_Jugadores!C$2:C$50000)
)</f>
        <v>Udinese</v>
      </c>
      <c r="D1589" s="5" t="str">
        <f aca="false">[1]Base_Jugadores!D1589</f>
        <v>Países Bajos</v>
      </c>
      <c r="E1589" s="3"/>
      <c r="F1589" s="5" t="str">
        <f aca="false">[1]Base_Jugadores!E1589</f>
        <v>LD</v>
      </c>
      <c r="G1589" s="5" t="n">
        <f aca="false">[1]Base_Jugadores!F1589</f>
        <v>72</v>
      </c>
      <c r="H1589" s="5" t="n">
        <f aca="false">[1]Base_Jugadores!G1589</f>
        <v>30</v>
      </c>
      <c r="I1589" s="7" t="n">
        <f aca="false" t="array" ref="I1589:I1589">_xlfn.XLOOKUP(G1589,{55;56;57;58;59;60;61;62;63;64;65;66;67;68;69;70;71;72;73;74;75;76;77;78;79;80;81;82;83;84;85;86;87;88;89;90;91;92;93;94;95;96;97;98;99},{100000;130000;160000;190000;220000;250000;300000;350000;400000;450000;500000;600000;700000;800000;900000;1000000;1500000;2000000;3000000;4000000;5000000;6500000;8000000;10000000;12500000;15000000;20000000;25000000;30000000;35000000;40000000;55000000;70000000;80000000;90000000;110000000;130000000;160000000;190000000;220000000;250000000;280000000;310000000;340000000;400000000})</f>
        <v>2000000</v>
      </c>
      <c r="J1589" s="7" t="n">
        <f aca="false">I1589*S1589*T1589*U1589</f>
        <v>2016000</v>
      </c>
      <c r="K1589" s="3"/>
      <c r="L1589" s="3"/>
      <c r="M1589" s="3"/>
      <c r="N1589" s="9" t="n">
        <v>0</v>
      </c>
      <c r="O1589" s="4" t="n">
        <v>0</v>
      </c>
      <c r="P1589" s="5" t="n">
        <f aca="false">IF(COUNTIF([1]Base_Jugadores!J$2:J$500,B1589)&gt;0,1,0)</f>
        <v>0</v>
      </c>
      <c r="Q1589" s="10" t="b">
        <f aca="false">--(COUNTIFS(
   [1]Fichajes_Realizados!A$2:A$5000,A1589,
   [1]Fichajes_Realizados!G$2:G$5000,$X$3
)&gt;0)</f>
        <v>0</v>
      </c>
      <c r="R1589" s="5" t="n">
        <f aca="false">_xlfn.XLOOKUP(C1589, [1]Estado_Equipos!A$2:A$500, [1]Estado_Equipos!J$2:J$500, "")</f>
        <v>70</v>
      </c>
      <c r="S1589" s="5" t="n">
        <f aca="false">IF(H1589&lt;=16,1.45,
IF(H1589&gt;=41,0.3,
CHOOSE(ROUNDDOWN((H1589-16)/2,0)+1,
1.45,1.38,1.3,1.23,1.17,1.15,1.12,1.05,0.95,0.8,0.6,0.4,0.3)))</f>
        <v>1.05</v>
      </c>
      <c r="T1589" s="5" t="n">
        <f aca="false">CHOOSE(N1589+1,1.2,1,0.85,0.7)</f>
        <v>1.2</v>
      </c>
      <c r="U1589" s="5" t="n">
        <f aca="false">IF(F1589="PO",0.6,
IF(F1589="CT",0.75,
IF(F1589="LI",0.8,
IF(F1589="LD",0.8,
IF(F1589="MCD",0.85,
IF(F1589="MC",0.95,
IF(F1589="MO",1.05,
IF(F1589="EI",1.1,
IF(F1589="ED",1.1,
IF(F1589="SD",1.15,
IF(F1589="DC",1.2,0)))))))))))</f>
        <v>0.8</v>
      </c>
    </row>
    <row r="1590" customFormat="false" ht="16.4" hidden="false" customHeight="false" outlineLevel="0" collapsed="false">
      <c r="A1590" s="1" t="n">
        <v>1589</v>
      </c>
      <c r="B1590" s="5" t="str">
        <f aca="false">[1]Base_Jugadores!B1590</f>
        <v>Rui Modesto</v>
      </c>
      <c r="C1590" s="5" t="str">
        <f aca="false">IFERROR(
   _xlfn.XLOOKUP(VALUE(A1590),[1]Fichajes_Realizados!A$2:A$50000,[1]Fichajes_Realizados!D$2:D$50000,,0,-1),
   _xlfn.XLOOKUP(VALUE(A1590),[1]Base_Jugadores!A$2:A$50000,[1]Base_Jugadores!C$2:C$50000)
)</f>
        <v>Udinese</v>
      </c>
      <c r="D1590" s="5" t="str">
        <f aca="false">[1]Base_Jugadores!D1590</f>
        <v>Angola</v>
      </c>
      <c r="E1590" s="3"/>
      <c r="F1590" s="5" t="str">
        <f aca="false">[1]Base_Jugadores!E1590</f>
        <v>LD</v>
      </c>
      <c r="G1590" s="5" t="n">
        <f aca="false">[1]Base_Jugadores!F1590</f>
        <v>69</v>
      </c>
      <c r="H1590" s="5" t="n">
        <f aca="false">[1]Base_Jugadores!G1590</f>
        <v>26</v>
      </c>
      <c r="I1590" s="7" t="n">
        <f aca="false" t="array" ref="I1590:I1590">_xlfn.XLOOKUP(G1590,{55;56;57;58;59;60;61;62;63;64;65;66;67;68;69;70;71;72;73;74;75;76;77;78;79;80;81;82;83;84;85;86;87;88;89;90;91;92;93;94;95;96;97;98;99},{100000;130000;160000;190000;220000;250000;300000;350000;400000;450000;500000;600000;700000;800000;900000;1000000;1500000;2000000;3000000;4000000;5000000;6500000;8000000;10000000;12500000;15000000;20000000;25000000;30000000;35000000;40000000;55000000;70000000;80000000;90000000;110000000;130000000;160000000;190000000;220000000;250000000;280000000;310000000;340000000;400000000})</f>
        <v>900000</v>
      </c>
      <c r="J1590" s="7" t="n">
        <f aca="false">I1590*S1590*T1590*U1590</f>
        <v>993600</v>
      </c>
      <c r="K1590" s="3"/>
      <c r="L1590" s="3"/>
      <c r="M1590" s="3"/>
      <c r="N1590" s="9" t="n">
        <v>0</v>
      </c>
      <c r="O1590" s="4" t="n">
        <v>0</v>
      </c>
      <c r="P1590" s="5" t="n">
        <f aca="false">IF(COUNTIF([1]Base_Jugadores!J$2:J$500,B1590)&gt;0,1,0)</f>
        <v>0</v>
      </c>
      <c r="Q1590" s="10" t="b">
        <f aca="false">--(COUNTIFS(
   [1]Fichajes_Realizados!A$2:A$5000,A1590,
   [1]Fichajes_Realizados!G$2:G$5000,$X$3
)&gt;0)</f>
        <v>0</v>
      </c>
      <c r="R1590" s="5" t="n">
        <f aca="false">_xlfn.XLOOKUP(C1590, [1]Estado_Equipos!A$2:A$500, [1]Estado_Equipos!J$2:J$500, "")</f>
        <v>70</v>
      </c>
      <c r="S1590" s="5" t="n">
        <f aca="false">IF(H1590&lt;=16,1.45,
IF(H1590&gt;=41,0.3,
CHOOSE(ROUNDDOWN((H1590-16)/2,0)+1,
1.45,1.38,1.3,1.23,1.17,1.15,1.12,1.05,0.95,0.8,0.6,0.4,0.3)))</f>
        <v>1.15</v>
      </c>
      <c r="T1590" s="5" t="n">
        <f aca="false">CHOOSE(N1590+1,1.2,1,0.85,0.7)</f>
        <v>1.2</v>
      </c>
      <c r="U1590" s="5" t="n">
        <f aca="false">IF(F1590="PO",0.6,
IF(F1590="CT",0.75,
IF(F1590="LI",0.8,
IF(F1590="LD",0.8,
IF(F1590="MCD",0.85,
IF(F1590="MC",0.95,
IF(F1590="MO",1.05,
IF(F1590="EI",1.1,
IF(F1590="ED",1.1,
IF(F1590="SD",1.15,
IF(F1590="DC",1.2,0)))))))))))</f>
        <v>0.8</v>
      </c>
    </row>
    <row r="1591" customFormat="false" ht="16.4" hidden="false" customHeight="false" outlineLevel="0" collapsed="false">
      <c r="A1591" s="1" t="n">
        <v>1590</v>
      </c>
      <c r="B1591" s="5" t="str">
        <f aca="false">[1]Base_Jugadores!B1591</f>
        <v>Jesper Karlström</v>
      </c>
      <c r="C1591" s="5" t="str">
        <f aca="false">IFERROR(
   _xlfn.XLOOKUP(VALUE(A1591),[1]Fichajes_Realizados!A$2:A$50000,[1]Fichajes_Realizados!D$2:D$50000,,0,-1),
   _xlfn.XLOOKUP(VALUE(A1591),[1]Base_Jugadores!A$2:A$50000,[1]Base_Jugadores!C$2:C$50000)
)</f>
        <v>Udinese</v>
      </c>
      <c r="D1591" s="5" t="str">
        <f aca="false">[1]Base_Jugadores!D1591</f>
        <v>Suecia</v>
      </c>
      <c r="E1591" s="3"/>
      <c r="F1591" s="5" t="str">
        <f aca="false">[1]Base_Jugadores!E1591</f>
        <v>MCD</v>
      </c>
      <c r="G1591" s="5" t="n">
        <f aca="false">[1]Base_Jugadores!F1591</f>
        <v>72</v>
      </c>
      <c r="H1591" s="5" t="n">
        <f aca="false">[1]Base_Jugadores!G1591</f>
        <v>30</v>
      </c>
      <c r="I1591" s="7" t="n">
        <f aca="false" t="array" ref="I1591:I1591">_xlfn.XLOOKUP(G1591,{55;56;57;58;59;60;61;62;63;64;65;66;67;68;69;70;71;72;73;74;75;76;77;78;79;80;81;82;83;84;85;86;87;88;89;90;91;92;93;94;95;96;97;98;99},{100000;130000;160000;190000;220000;250000;300000;350000;400000;450000;500000;600000;700000;800000;900000;1000000;1500000;2000000;3000000;4000000;5000000;6500000;8000000;10000000;12500000;15000000;20000000;25000000;30000000;35000000;40000000;55000000;70000000;80000000;90000000;110000000;130000000;160000000;190000000;220000000;250000000;280000000;310000000;340000000;400000000})</f>
        <v>2000000</v>
      </c>
      <c r="J1591" s="7" t="n">
        <f aca="false">I1591*S1591*T1591*U1591</f>
        <v>2142000</v>
      </c>
      <c r="K1591" s="3"/>
      <c r="L1591" s="3"/>
      <c r="M1591" s="3"/>
      <c r="N1591" s="9" t="n">
        <v>0</v>
      </c>
      <c r="O1591" s="4" t="n">
        <v>0</v>
      </c>
      <c r="P1591" s="5" t="n">
        <f aca="false">IF(COUNTIF([1]Base_Jugadores!J$2:J$500,B1591)&gt;0,1,0)</f>
        <v>0</v>
      </c>
      <c r="Q1591" s="10" t="b">
        <f aca="false">--(COUNTIFS(
   [1]Fichajes_Realizados!A$2:A$5000,A1591,
   [1]Fichajes_Realizados!G$2:G$5000,$X$3
)&gt;0)</f>
        <v>0</v>
      </c>
      <c r="R1591" s="5" t="n">
        <f aca="false">_xlfn.XLOOKUP(C1591, [1]Estado_Equipos!A$2:A$500, [1]Estado_Equipos!J$2:J$500, "")</f>
        <v>70</v>
      </c>
      <c r="S1591" s="5" t="n">
        <f aca="false">IF(H1591&lt;=16,1.45,
IF(H1591&gt;=41,0.3,
CHOOSE(ROUNDDOWN((H1591-16)/2,0)+1,
1.45,1.38,1.3,1.23,1.17,1.15,1.12,1.05,0.95,0.8,0.6,0.4,0.3)))</f>
        <v>1.05</v>
      </c>
      <c r="T1591" s="5" t="n">
        <f aca="false">CHOOSE(N1591+1,1.2,1,0.85,0.7)</f>
        <v>1.2</v>
      </c>
      <c r="U1591" s="5" t="n">
        <f aca="false">IF(F1591="PO",0.6,
IF(F1591="CT",0.75,
IF(F1591="LI",0.8,
IF(F1591="LD",0.8,
IF(F1591="MCD",0.85,
IF(F1591="MC",0.95,
IF(F1591="MO",1.05,
IF(F1591="EI",1.1,
IF(F1591="ED",1.1,
IF(F1591="SD",1.15,
IF(F1591="DC",1.2,0)))))))))))</f>
        <v>0.85</v>
      </c>
    </row>
    <row r="1592" customFormat="false" ht="16.4" hidden="false" customHeight="false" outlineLevel="0" collapsed="false">
      <c r="A1592" s="1" t="n">
        <v>1591</v>
      </c>
      <c r="B1592" s="5" t="str">
        <f aca="false">[1]Base_Jugadores!B1592</f>
        <v>Arthur Atta</v>
      </c>
      <c r="C1592" s="5" t="str">
        <f aca="false">IFERROR(
   _xlfn.XLOOKUP(VALUE(A1592),[1]Fichajes_Realizados!A$2:A$50000,[1]Fichajes_Realizados!D$2:D$50000,,0,-1),
   _xlfn.XLOOKUP(VALUE(A1592),[1]Base_Jugadores!A$2:A$50000,[1]Base_Jugadores!C$2:C$50000)
)</f>
        <v>Udinese</v>
      </c>
      <c r="D1592" s="5" t="str">
        <f aca="false">[1]Base_Jugadores!D1592</f>
        <v>Francia</v>
      </c>
      <c r="E1592" s="3"/>
      <c r="F1592" s="5" t="str">
        <f aca="false">[1]Base_Jugadores!E1592</f>
        <v>MC</v>
      </c>
      <c r="G1592" s="5" t="n">
        <f aca="false">[1]Base_Jugadores!F1592</f>
        <v>68</v>
      </c>
      <c r="H1592" s="5" t="n">
        <f aca="false">[1]Base_Jugadores!G1592</f>
        <v>22</v>
      </c>
      <c r="I1592" s="7" t="n">
        <f aca="false" t="array" ref="I1592:I1592">_xlfn.XLOOKUP(G1592,{55;56;57;58;59;60;61;62;63;64;65;66;67;68;69;70;71;72;73;74;75;76;77;78;79;80;81;82;83;84;85;86;87;88;89;90;91;92;93;94;95;96;97;98;99},{100000;130000;160000;190000;220000;250000;300000;350000;400000;450000;500000;600000;700000;800000;900000;1000000;1500000;2000000;3000000;4000000;5000000;6500000;8000000;10000000;12500000;15000000;20000000;25000000;30000000;35000000;40000000;55000000;70000000;80000000;90000000;110000000;130000000;160000000;190000000;220000000;250000000;280000000;310000000;340000000;400000000})</f>
        <v>800000</v>
      </c>
      <c r="J1592" s="7" t="n">
        <f aca="false">I1592*S1592*T1592*U1592</f>
        <v>1121760</v>
      </c>
      <c r="K1592" s="3"/>
      <c r="L1592" s="3"/>
      <c r="M1592" s="3"/>
      <c r="N1592" s="9" t="n">
        <v>0</v>
      </c>
      <c r="O1592" s="4" t="n">
        <v>0</v>
      </c>
      <c r="P1592" s="5" t="n">
        <f aca="false">IF(COUNTIF([1]Base_Jugadores!J$2:J$500,B1592)&gt;0,1,0)</f>
        <v>0</v>
      </c>
      <c r="Q1592" s="10" t="b">
        <f aca="false">--(COUNTIFS(
   [1]Fichajes_Realizados!A$2:A$5000,A1592,
   [1]Fichajes_Realizados!G$2:G$5000,$X$3
)&gt;0)</f>
        <v>0</v>
      </c>
      <c r="R1592" s="5" t="n">
        <f aca="false">_xlfn.XLOOKUP(C1592, [1]Estado_Equipos!A$2:A$500, [1]Estado_Equipos!J$2:J$500, "")</f>
        <v>70</v>
      </c>
      <c r="S1592" s="5" t="n">
        <f aca="false">IF(H1592&lt;=16,1.45,
IF(H1592&gt;=41,0.3,
CHOOSE(ROUNDDOWN((H1592-16)/2,0)+1,
1.45,1.38,1.3,1.23,1.17,1.15,1.12,1.05,0.95,0.8,0.6,0.4,0.3)))</f>
        <v>1.23</v>
      </c>
      <c r="T1592" s="5" t="n">
        <f aca="false">CHOOSE(N1592+1,1.2,1,0.85,0.7)</f>
        <v>1.2</v>
      </c>
      <c r="U1592" s="5" t="n">
        <f aca="false">IF(F1592="PO",0.6,
IF(F1592="CT",0.75,
IF(F1592="LI",0.8,
IF(F1592="LD",0.8,
IF(F1592="MCD",0.85,
IF(F1592="MC",0.95,
IF(F1592="MO",1.05,
IF(F1592="EI",1.1,
IF(F1592="ED",1.1,
IF(F1592="SD",1.15,
IF(F1592="DC",1.2,0)))))))))))</f>
        <v>0.95</v>
      </c>
    </row>
    <row r="1593" customFormat="false" ht="16.4" hidden="false" customHeight="false" outlineLevel="0" collapsed="false">
      <c r="A1593" s="1" t="n">
        <v>1592</v>
      </c>
      <c r="B1593" s="5" t="str">
        <f aca="false">[1]Base_Jugadores!B1593</f>
        <v>Sandi Lovrić</v>
      </c>
      <c r="C1593" s="5" t="str">
        <f aca="false">IFERROR(
   _xlfn.XLOOKUP(VALUE(A1593),[1]Fichajes_Realizados!A$2:A$50000,[1]Fichajes_Realizados!D$2:D$50000,,0,-1),
   _xlfn.XLOOKUP(VALUE(A1593),[1]Base_Jugadores!A$2:A$50000,[1]Base_Jugadores!C$2:C$50000)
)</f>
        <v>Udinese</v>
      </c>
      <c r="D1593" s="5" t="str">
        <f aca="false">[1]Base_Jugadores!D1593</f>
        <v>Eslovenia</v>
      </c>
      <c r="E1593" s="3"/>
      <c r="F1593" s="5" t="str">
        <f aca="false">[1]Base_Jugadores!E1593</f>
        <v>MC</v>
      </c>
      <c r="G1593" s="5" t="n">
        <f aca="false">[1]Base_Jugadores!F1593</f>
        <v>75</v>
      </c>
      <c r="H1593" s="5" t="n">
        <f aca="false">[1]Base_Jugadores!G1593</f>
        <v>27</v>
      </c>
      <c r="I1593" s="7" t="n">
        <f aca="false" t="array" ref="I1593:I1593">_xlfn.XLOOKUP(G1593,{55;56;57;58;59;60;61;62;63;64;65;66;67;68;69;70;71;72;73;74;75;76;77;78;79;80;81;82;83;84;85;86;87;88;89;90;91;92;93;94;95;96;97;98;99},{100000;130000;160000;190000;220000;250000;300000;350000;400000;450000;500000;600000;700000;800000;900000;1000000;1500000;2000000;3000000;4000000;5000000;6500000;8000000;10000000;12500000;15000000;20000000;25000000;30000000;35000000;40000000;55000000;70000000;80000000;90000000;110000000;130000000;160000000;190000000;220000000;250000000;280000000;310000000;340000000;400000000})</f>
        <v>5000000</v>
      </c>
      <c r="J1593" s="7" t="n">
        <f aca="false">I1593*S1593*T1593*U1593</f>
        <v>6555000</v>
      </c>
      <c r="K1593" s="3"/>
      <c r="L1593" s="3"/>
      <c r="M1593" s="3"/>
      <c r="N1593" s="9" t="n">
        <v>0</v>
      </c>
      <c r="O1593" s="4" t="n">
        <v>0</v>
      </c>
      <c r="P1593" s="5" t="n">
        <f aca="false">IF(COUNTIF([1]Base_Jugadores!J$2:J$500,B1593)&gt;0,1,0)</f>
        <v>0</v>
      </c>
      <c r="Q1593" s="10" t="b">
        <f aca="false">--(COUNTIFS(
   [1]Fichajes_Realizados!A$2:A$5000,A1593,
   [1]Fichajes_Realizados!G$2:G$5000,$X$3
)&gt;0)</f>
        <v>0</v>
      </c>
      <c r="R1593" s="5" t="n">
        <f aca="false">_xlfn.XLOOKUP(C1593, [1]Estado_Equipos!A$2:A$500, [1]Estado_Equipos!J$2:J$500, "")</f>
        <v>70</v>
      </c>
      <c r="S1593" s="5" t="n">
        <f aca="false">IF(H1593&lt;=16,1.45,
IF(H1593&gt;=41,0.3,
CHOOSE(ROUNDDOWN((H1593-16)/2,0)+1,
1.45,1.38,1.3,1.23,1.17,1.15,1.12,1.05,0.95,0.8,0.6,0.4,0.3)))</f>
        <v>1.15</v>
      </c>
      <c r="T1593" s="5" t="n">
        <f aca="false">CHOOSE(N1593+1,1.2,1,0.85,0.7)</f>
        <v>1.2</v>
      </c>
      <c r="U1593" s="5" t="n">
        <f aca="false">IF(F1593="PO",0.6,
IF(F1593="CT",0.75,
IF(F1593="LI",0.8,
IF(F1593="LD",0.8,
IF(F1593="MCD",0.85,
IF(F1593="MC",0.95,
IF(F1593="MO",1.05,
IF(F1593="EI",1.1,
IF(F1593="ED",1.1,
IF(F1593="SD",1.15,
IF(F1593="DC",1.2,0)))))))))))</f>
        <v>0.95</v>
      </c>
    </row>
    <row r="1594" customFormat="false" ht="16.4" hidden="false" customHeight="false" outlineLevel="0" collapsed="false">
      <c r="A1594" s="1" t="n">
        <v>1593</v>
      </c>
      <c r="B1594" s="5" t="str">
        <f aca="false">[1]Base_Jugadores!B1594</f>
        <v>Lennon Miller</v>
      </c>
      <c r="C1594" s="5" t="str">
        <f aca="false">IFERROR(
   _xlfn.XLOOKUP(VALUE(A1594),[1]Fichajes_Realizados!A$2:A$50000,[1]Fichajes_Realizados!D$2:D$50000,,0,-1),
   _xlfn.XLOOKUP(VALUE(A1594),[1]Base_Jugadores!A$2:A$50000,[1]Base_Jugadores!C$2:C$50000)
)</f>
        <v>Udinese</v>
      </c>
      <c r="D1594" s="5" t="str">
        <f aca="false">[1]Base_Jugadores!D1594</f>
        <v>Escocia</v>
      </c>
      <c r="E1594" s="3"/>
      <c r="F1594" s="5" t="str">
        <f aca="false">[1]Base_Jugadores!E1594</f>
        <v>MC</v>
      </c>
      <c r="G1594" s="5" t="n">
        <f aca="false">[1]Base_Jugadores!F1594</f>
        <v>71</v>
      </c>
      <c r="H1594" s="5" t="n">
        <f aca="false">[1]Base_Jugadores!G1594</f>
        <v>19</v>
      </c>
      <c r="I1594" s="7" t="n">
        <f aca="false" t="array" ref="I1594:I1594">_xlfn.XLOOKUP(G1594,{55;56;57;58;59;60;61;62;63;64;65;66;67;68;69;70;71;72;73;74;75;76;77;78;79;80;81;82;83;84;85;86;87;88;89;90;91;92;93;94;95;96;97;98;99},{100000;130000;160000;190000;220000;250000;300000;350000;400000;450000;500000;600000;700000;800000;900000;1000000;1500000;2000000;3000000;4000000;5000000;6500000;8000000;10000000;12500000;15000000;20000000;25000000;30000000;35000000;40000000;55000000;70000000;80000000;90000000;110000000;130000000;160000000;190000000;220000000;250000000;280000000;310000000;340000000;400000000})</f>
        <v>1500000</v>
      </c>
      <c r="J1594" s="7" t="n">
        <f aca="false">I1594*S1594*T1594*U1594</f>
        <v>2359800</v>
      </c>
      <c r="K1594" s="3"/>
      <c r="L1594" s="3"/>
      <c r="M1594" s="3"/>
      <c r="N1594" s="9" t="n">
        <v>0</v>
      </c>
      <c r="O1594" s="4" t="n">
        <v>0</v>
      </c>
      <c r="P1594" s="5" t="n">
        <f aca="false">IF(COUNTIF([1]Base_Jugadores!J$2:J$500,B1594)&gt;0,1,0)</f>
        <v>0</v>
      </c>
      <c r="Q1594" s="10" t="b">
        <f aca="false">--(COUNTIFS(
   [1]Fichajes_Realizados!A$2:A$5000,A1594,
   [1]Fichajes_Realizados!G$2:G$5000,$X$3
)&gt;0)</f>
        <v>0</v>
      </c>
      <c r="R1594" s="5" t="n">
        <f aca="false">_xlfn.XLOOKUP(C1594, [1]Estado_Equipos!A$2:A$500, [1]Estado_Equipos!J$2:J$500, "")</f>
        <v>70</v>
      </c>
      <c r="S1594" s="5" t="n">
        <f aca="false">IF(H1594&lt;=16,1.45,
IF(H1594&gt;=41,0.3,
CHOOSE(ROUNDDOWN((H1594-16)/2,0)+1,
1.45,1.38,1.3,1.23,1.17,1.15,1.12,1.05,0.95,0.8,0.6,0.4,0.3)))</f>
        <v>1.38</v>
      </c>
      <c r="T1594" s="5" t="n">
        <f aca="false">CHOOSE(N1594+1,1.2,1,0.85,0.7)</f>
        <v>1.2</v>
      </c>
      <c r="U1594" s="5" t="n">
        <f aca="false">IF(F1594="PO",0.6,
IF(F1594="CT",0.75,
IF(F1594="LI",0.8,
IF(F1594="LD",0.8,
IF(F1594="MCD",0.85,
IF(F1594="MC",0.95,
IF(F1594="MO",1.05,
IF(F1594="EI",1.1,
IF(F1594="ED",1.1,
IF(F1594="SD",1.15,
IF(F1594="DC",1.2,0)))))))))))</f>
        <v>0.95</v>
      </c>
    </row>
    <row r="1595" customFormat="false" ht="16.4" hidden="false" customHeight="false" outlineLevel="0" collapsed="false">
      <c r="A1595" s="1" t="n">
        <v>1594</v>
      </c>
      <c r="B1595" s="5" t="str">
        <f aca="false">[1]Base_Jugadores!B1595</f>
        <v>J. Ekkelenkamp</v>
      </c>
      <c r="C1595" s="5" t="str">
        <f aca="false">IFERROR(
   _xlfn.XLOOKUP(VALUE(A1595),[1]Fichajes_Realizados!A$2:A$50000,[1]Fichajes_Realizados!D$2:D$50000,,0,-1),
   _xlfn.XLOOKUP(VALUE(A1595),[1]Base_Jugadores!A$2:A$50000,[1]Base_Jugadores!C$2:C$50000)
)</f>
        <v>Udinese</v>
      </c>
      <c r="D1595" s="5" t="str">
        <f aca="false">[1]Base_Jugadores!D1595</f>
        <v>Países Bajos</v>
      </c>
      <c r="E1595" s="3"/>
      <c r="F1595" s="5" t="str">
        <f aca="false">[1]Base_Jugadores!E1595</f>
        <v>MC</v>
      </c>
      <c r="G1595" s="5" t="n">
        <f aca="false">[1]Base_Jugadores!F1595</f>
        <v>72</v>
      </c>
      <c r="H1595" s="5" t="n">
        <f aca="false">[1]Base_Jugadores!G1595</f>
        <v>25</v>
      </c>
      <c r="I1595" s="7" t="n">
        <f aca="false" t="array" ref="I1595:I1595">_xlfn.XLOOKUP(G1595,{55;56;57;58;59;60;61;62;63;64;65;66;67;68;69;70;71;72;73;74;75;76;77;78;79;80;81;82;83;84;85;86;87;88;89;90;91;92;93;94;95;96;97;98;99},{100000;130000;160000;190000;220000;250000;300000;350000;400000;450000;500000;600000;700000;800000;900000;1000000;1500000;2000000;3000000;4000000;5000000;6500000;8000000;10000000;12500000;15000000;20000000;25000000;30000000;35000000;40000000;55000000;70000000;80000000;90000000;110000000;130000000;160000000;190000000;220000000;250000000;280000000;310000000;340000000;400000000})</f>
        <v>2000000</v>
      </c>
      <c r="J1595" s="7" t="n">
        <f aca="false">I1595*S1595*T1595*U1595</f>
        <v>2667600</v>
      </c>
      <c r="K1595" s="3"/>
      <c r="L1595" s="3"/>
      <c r="M1595" s="3"/>
      <c r="N1595" s="9" t="n">
        <v>0</v>
      </c>
      <c r="O1595" s="4" t="n">
        <v>0</v>
      </c>
      <c r="P1595" s="5" t="n">
        <f aca="false">IF(COUNTIF([1]Base_Jugadores!J$2:J$500,B1595)&gt;0,1,0)</f>
        <v>0</v>
      </c>
      <c r="Q1595" s="10" t="b">
        <f aca="false">--(COUNTIFS(
   [1]Fichajes_Realizados!A$2:A$5000,A1595,
   [1]Fichajes_Realizados!G$2:G$5000,$X$3
)&gt;0)</f>
        <v>0</v>
      </c>
      <c r="R1595" s="5" t="n">
        <f aca="false">_xlfn.XLOOKUP(C1595, [1]Estado_Equipos!A$2:A$500, [1]Estado_Equipos!J$2:J$500, "")</f>
        <v>70</v>
      </c>
      <c r="S1595" s="5" t="n">
        <f aca="false">IF(H1595&lt;=16,1.45,
IF(H1595&gt;=41,0.3,
CHOOSE(ROUNDDOWN((H1595-16)/2,0)+1,
1.45,1.38,1.3,1.23,1.17,1.15,1.12,1.05,0.95,0.8,0.6,0.4,0.3)))</f>
        <v>1.17</v>
      </c>
      <c r="T1595" s="5" t="n">
        <f aca="false">CHOOSE(N1595+1,1.2,1,0.85,0.7)</f>
        <v>1.2</v>
      </c>
      <c r="U1595" s="5" t="n">
        <f aca="false">IF(F1595="PO",0.6,
IF(F1595="CT",0.75,
IF(F1595="LI",0.8,
IF(F1595="LD",0.8,
IF(F1595="MCD",0.85,
IF(F1595="MC",0.95,
IF(F1595="MO",1.05,
IF(F1595="EI",1.1,
IF(F1595="ED",1.1,
IF(F1595="SD",1.15,
IF(F1595="DC",1.2,0)))))))))))</f>
        <v>0.95</v>
      </c>
    </row>
    <row r="1596" customFormat="false" ht="16.4" hidden="false" customHeight="false" outlineLevel="0" collapsed="false">
      <c r="A1596" s="1" t="n">
        <v>1595</v>
      </c>
      <c r="B1596" s="5" t="str">
        <f aca="false">[1]Base_Jugadores!B1596</f>
        <v>Jakub Piotrowski</v>
      </c>
      <c r="C1596" s="5" t="str">
        <f aca="false">IFERROR(
   _xlfn.XLOOKUP(VALUE(A1596),[1]Fichajes_Realizados!A$2:A$50000,[1]Fichajes_Realizados!D$2:D$50000,,0,-1),
   _xlfn.XLOOKUP(VALUE(A1596),[1]Base_Jugadores!A$2:A$50000,[1]Base_Jugadores!C$2:C$50000)
)</f>
        <v>Udinese</v>
      </c>
      <c r="D1596" s="5" t="str">
        <f aca="false">[1]Base_Jugadores!D1596</f>
        <v>Polonia</v>
      </c>
      <c r="E1596" s="3"/>
      <c r="F1596" s="5" t="str">
        <f aca="false">[1]Base_Jugadores!E1596</f>
        <v>MC</v>
      </c>
      <c r="G1596" s="5" t="n">
        <f aca="false">[1]Base_Jugadores!F1596</f>
        <v>74</v>
      </c>
      <c r="H1596" s="5" t="n">
        <f aca="false">[1]Base_Jugadores!G1596</f>
        <v>28</v>
      </c>
      <c r="I1596" s="7" t="n">
        <f aca="false" t="array" ref="I1596:I1596">_xlfn.XLOOKUP(G1596,{55;56;57;58;59;60;61;62;63;64;65;66;67;68;69;70;71;72;73;74;75;76;77;78;79;80;81;82;83;84;85;86;87;88;89;90;91;92;93;94;95;96;97;98;99},{100000;130000;160000;190000;220000;250000;300000;350000;400000;450000;500000;600000;700000;800000;900000;1000000;1500000;2000000;3000000;4000000;5000000;6500000;8000000;10000000;12500000;15000000;20000000;25000000;30000000;35000000;40000000;55000000;70000000;80000000;90000000;110000000;130000000;160000000;190000000;220000000;250000000;280000000;310000000;340000000;400000000})</f>
        <v>4000000</v>
      </c>
      <c r="J1596" s="7" t="n">
        <f aca="false">I1596*S1596*T1596*U1596</f>
        <v>5107200</v>
      </c>
      <c r="K1596" s="3"/>
      <c r="L1596" s="3"/>
      <c r="M1596" s="3"/>
      <c r="N1596" s="9" t="n">
        <v>0</v>
      </c>
      <c r="O1596" s="4" t="n">
        <v>0</v>
      </c>
      <c r="P1596" s="5" t="n">
        <f aca="false">IF(COUNTIF([1]Base_Jugadores!J$2:J$500,B1596)&gt;0,1,0)</f>
        <v>0</v>
      </c>
      <c r="Q1596" s="10" t="b">
        <f aca="false">--(COUNTIFS(
   [1]Fichajes_Realizados!A$2:A$5000,A1596,
   [1]Fichajes_Realizados!G$2:G$5000,$X$3
)&gt;0)</f>
        <v>0</v>
      </c>
      <c r="R1596" s="5" t="n">
        <f aca="false">_xlfn.XLOOKUP(C1596, [1]Estado_Equipos!A$2:A$500, [1]Estado_Equipos!J$2:J$500, "")</f>
        <v>70</v>
      </c>
      <c r="S1596" s="5" t="n">
        <f aca="false">IF(H1596&lt;=16,1.45,
IF(H1596&gt;=41,0.3,
CHOOSE(ROUNDDOWN((H1596-16)/2,0)+1,
1.45,1.38,1.3,1.23,1.17,1.15,1.12,1.05,0.95,0.8,0.6,0.4,0.3)))</f>
        <v>1.12</v>
      </c>
      <c r="T1596" s="5" t="n">
        <f aca="false">CHOOSE(N1596+1,1.2,1,0.85,0.7)</f>
        <v>1.2</v>
      </c>
      <c r="U1596" s="5" t="n">
        <f aca="false">IF(F1596="PO",0.6,
IF(F1596="CT",0.75,
IF(F1596="LI",0.8,
IF(F1596="LD",0.8,
IF(F1596="MCD",0.85,
IF(F1596="MC",0.95,
IF(F1596="MO",1.05,
IF(F1596="EI",1.1,
IF(F1596="ED",1.1,
IF(F1596="SD",1.15,
IF(F1596="DC",1.2,0)))))))))))</f>
        <v>0.95</v>
      </c>
    </row>
    <row r="1597" customFormat="false" ht="16.4" hidden="false" customHeight="false" outlineLevel="0" collapsed="false">
      <c r="A1597" s="1" t="n">
        <v>1596</v>
      </c>
      <c r="B1597" s="5" t="str">
        <f aca="false">[1]Base_Jugadores!B1597</f>
        <v>Oier Zarraga</v>
      </c>
      <c r="C1597" s="5" t="str">
        <f aca="false">IFERROR(
   _xlfn.XLOOKUP(VALUE(A1597),[1]Fichajes_Realizados!A$2:A$50000,[1]Fichajes_Realizados!D$2:D$50000,,0,-1),
   _xlfn.XLOOKUP(VALUE(A1597),[1]Base_Jugadores!A$2:A$50000,[1]Base_Jugadores!C$2:C$50000)
)</f>
        <v>Udinese</v>
      </c>
      <c r="D1597" s="5" t="str">
        <f aca="false">[1]Base_Jugadores!D1597</f>
        <v>España</v>
      </c>
      <c r="E1597" s="3"/>
      <c r="F1597" s="5" t="str">
        <f aca="false">[1]Base_Jugadores!E1597</f>
        <v>MC</v>
      </c>
      <c r="G1597" s="5" t="n">
        <f aca="false">[1]Base_Jugadores!F1597</f>
        <v>74</v>
      </c>
      <c r="H1597" s="5" t="n">
        <f aca="false">[1]Base_Jugadores!G1597</f>
        <v>26</v>
      </c>
      <c r="I1597" s="7" t="n">
        <f aca="false" t="array" ref="I1597:I1597">_xlfn.XLOOKUP(G1597,{55;56;57;58;59;60;61;62;63;64;65;66;67;68;69;70;71;72;73;74;75;76;77;78;79;80;81;82;83;84;85;86;87;88;89;90;91;92;93;94;95;96;97;98;99},{100000;130000;160000;190000;220000;250000;300000;350000;400000;450000;500000;600000;700000;800000;900000;1000000;1500000;2000000;3000000;4000000;5000000;6500000;8000000;10000000;12500000;15000000;20000000;25000000;30000000;35000000;40000000;55000000;70000000;80000000;90000000;110000000;130000000;160000000;190000000;220000000;250000000;280000000;310000000;340000000;400000000})</f>
        <v>4000000</v>
      </c>
      <c r="J1597" s="7" t="n">
        <f aca="false">I1597*S1597*T1597*U1597</f>
        <v>5244000</v>
      </c>
      <c r="K1597" s="3"/>
      <c r="L1597" s="3"/>
      <c r="M1597" s="3"/>
      <c r="N1597" s="9" t="n">
        <v>0</v>
      </c>
      <c r="O1597" s="4" t="n">
        <v>0</v>
      </c>
      <c r="P1597" s="5" t="n">
        <f aca="false">IF(COUNTIF([1]Base_Jugadores!J$2:J$500,B1597)&gt;0,1,0)</f>
        <v>1</v>
      </c>
      <c r="Q1597" s="10" t="b">
        <f aca="false">--(COUNTIFS(
   [1]Fichajes_Realizados!A$2:A$5000,A1597,
   [1]Fichajes_Realizados!G$2:G$5000,$X$3
)&gt;0)</f>
        <v>0</v>
      </c>
      <c r="R1597" s="5" t="n">
        <f aca="false">_xlfn.XLOOKUP(C1597, [1]Estado_Equipos!A$2:A$500, [1]Estado_Equipos!J$2:J$500, "")</f>
        <v>70</v>
      </c>
      <c r="S1597" s="5" t="n">
        <f aca="false">IF(H1597&lt;=16,1.45,
IF(H1597&gt;=41,0.3,
CHOOSE(ROUNDDOWN((H1597-16)/2,0)+1,
1.45,1.38,1.3,1.23,1.17,1.15,1.12,1.05,0.95,0.8,0.6,0.4,0.3)))</f>
        <v>1.15</v>
      </c>
      <c r="T1597" s="5" t="n">
        <f aca="false">CHOOSE(N1597+1,1.2,1,0.85,0.7)</f>
        <v>1.2</v>
      </c>
      <c r="U1597" s="5" t="n">
        <f aca="false">IF(F1597="PO",0.6,
IF(F1597="CT",0.75,
IF(F1597="LI",0.8,
IF(F1597="LD",0.8,
IF(F1597="MCD",0.85,
IF(F1597="MC",0.95,
IF(F1597="MO",1.05,
IF(F1597="EI",1.1,
IF(F1597="ED",1.1,
IF(F1597="SD",1.15,
IF(F1597="DC",1.2,0)))))))))))</f>
        <v>0.95</v>
      </c>
    </row>
    <row r="1598" customFormat="false" ht="16.4" hidden="false" customHeight="false" outlineLevel="0" collapsed="false">
      <c r="A1598" s="1" t="n">
        <v>1597</v>
      </c>
      <c r="B1598" s="5" t="str">
        <f aca="false">[1]Base_Jugadores!B1598</f>
        <v>Nicolò Zaniolo</v>
      </c>
      <c r="C1598" s="5" t="str">
        <f aca="false">IFERROR(
   _xlfn.XLOOKUP(VALUE(A1598),[1]Fichajes_Realizados!A$2:A$50000,[1]Fichajes_Realizados!D$2:D$50000,,0,-1),
   _xlfn.XLOOKUP(VALUE(A1598),[1]Base_Jugadores!A$2:A$50000,[1]Base_Jugadores!C$2:C$50000)
)</f>
        <v>Udinese</v>
      </c>
      <c r="D1598" s="5" t="str">
        <f aca="false">[1]Base_Jugadores!D1598</f>
        <v>Italia</v>
      </c>
      <c r="E1598" s="3"/>
      <c r="F1598" s="5" t="str">
        <f aca="false">[1]Base_Jugadores!E1598</f>
        <v>MO</v>
      </c>
      <c r="G1598" s="5" t="n">
        <f aca="false">[1]Base_Jugadores!F1598</f>
        <v>77</v>
      </c>
      <c r="H1598" s="5" t="n">
        <f aca="false">[1]Base_Jugadores!G1598</f>
        <v>26</v>
      </c>
      <c r="I1598" s="7" t="n">
        <f aca="false" t="array" ref="I1598:I1598">_xlfn.XLOOKUP(G1598,{55;56;57;58;59;60;61;62;63;64;65;66;67;68;69;70;71;72;73;74;75;76;77;78;79;80;81;82;83;84;85;86;87;88;89;90;91;92;93;94;95;96;97;98;99},{100000;130000;160000;190000;220000;250000;300000;350000;400000;450000;500000;600000;700000;800000;900000;1000000;1500000;2000000;3000000;4000000;5000000;6500000;8000000;10000000;12500000;15000000;20000000;25000000;30000000;35000000;40000000;55000000;70000000;80000000;90000000;110000000;130000000;160000000;190000000;220000000;250000000;280000000;310000000;340000000;400000000})</f>
        <v>8000000</v>
      </c>
      <c r="J1598" s="7" t="n">
        <f aca="false">I1598*S1598*T1598*U1598</f>
        <v>11592000</v>
      </c>
      <c r="K1598" s="3"/>
      <c r="L1598" s="3"/>
      <c r="M1598" s="3"/>
      <c r="N1598" s="9" t="n">
        <v>0</v>
      </c>
      <c r="O1598" s="4" t="n">
        <v>0</v>
      </c>
      <c r="P1598" s="5" t="n">
        <f aca="false">IF(COUNTIF([1]Base_Jugadores!J$2:J$500,B1598)&gt;0,1,0)</f>
        <v>0</v>
      </c>
      <c r="Q1598" s="10" t="b">
        <f aca="false">--(COUNTIFS(
   [1]Fichajes_Realizados!A$2:A$5000,A1598,
   [1]Fichajes_Realizados!G$2:G$5000,$X$3
)&gt;0)</f>
        <v>0</v>
      </c>
      <c r="R1598" s="5" t="n">
        <f aca="false">_xlfn.XLOOKUP(C1598, [1]Estado_Equipos!A$2:A$500, [1]Estado_Equipos!J$2:J$500, "")</f>
        <v>70</v>
      </c>
      <c r="S1598" s="5" t="n">
        <f aca="false">IF(H1598&lt;=16,1.45,
IF(H1598&gt;=41,0.3,
CHOOSE(ROUNDDOWN((H1598-16)/2,0)+1,
1.45,1.38,1.3,1.23,1.17,1.15,1.12,1.05,0.95,0.8,0.6,0.4,0.3)))</f>
        <v>1.15</v>
      </c>
      <c r="T1598" s="5" t="n">
        <f aca="false">CHOOSE(N1598+1,1.2,1,0.85,0.7)</f>
        <v>1.2</v>
      </c>
      <c r="U1598" s="5" t="n">
        <f aca="false">IF(F1598="PO",0.6,
IF(F1598="CT",0.75,
IF(F1598="LI",0.8,
IF(F1598="LD",0.8,
IF(F1598="MCD",0.85,
IF(F1598="MC",0.95,
IF(F1598="MO",1.05,
IF(F1598="EI",1.1,
IF(F1598="ED",1.1,
IF(F1598="SD",1.15,
IF(F1598="DC",1.2,0)))))))))))</f>
        <v>1.05</v>
      </c>
    </row>
    <row r="1599" customFormat="false" ht="16.4" hidden="false" customHeight="false" outlineLevel="0" collapsed="false">
      <c r="A1599" s="1" t="n">
        <v>1598</v>
      </c>
      <c r="B1599" s="5" t="str">
        <f aca="false">[1]Base_Jugadores!B1599</f>
        <v>Iker Bravo</v>
      </c>
      <c r="C1599" s="5" t="str">
        <f aca="false">IFERROR(
   _xlfn.XLOOKUP(VALUE(A1599),[1]Fichajes_Realizados!A$2:A$50000,[1]Fichajes_Realizados!D$2:D$50000,,0,-1),
   _xlfn.XLOOKUP(VALUE(A1599),[1]Base_Jugadores!A$2:A$50000,[1]Base_Jugadores!C$2:C$50000)
)</f>
        <v>Udinese</v>
      </c>
      <c r="D1599" s="5" t="str">
        <f aca="false">[1]Base_Jugadores!D1599</f>
        <v>España</v>
      </c>
      <c r="E1599" s="3"/>
      <c r="F1599" s="5" t="str">
        <f aca="false">[1]Base_Jugadores!E1599</f>
        <v>DC</v>
      </c>
      <c r="G1599" s="5" t="n">
        <f aca="false">[1]Base_Jugadores!F1599</f>
        <v>66</v>
      </c>
      <c r="H1599" s="5" t="n">
        <f aca="false">[1]Base_Jugadores!G1599</f>
        <v>20</v>
      </c>
      <c r="I1599" s="7" t="n">
        <f aca="false" t="array" ref="I1599:I1599">_xlfn.XLOOKUP(G1599,{55;56;57;58;59;60;61;62;63;64;65;66;67;68;69;70;71;72;73;74;75;76;77;78;79;80;81;82;83;84;85;86;87;88;89;90;91;92;93;94;95;96;97;98;99},{100000;130000;160000;190000;220000;250000;300000;350000;400000;450000;500000;600000;700000;800000;900000;1000000;1500000;2000000;3000000;4000000;5000000;6500000;8000000;10000000;12500000;15000000;20000000;25000000;30000000;35000000;40000000;55000000;70000000;80000000;90000000;110000000;130000000;160000000;190000000;220000000;250000000;280000000;310000000;340000000;400000000})</f>
        <v>600000</v>
      </c>
      <c r="J1599" s="7" t="n">
        <f aca="false">I1599*S1599*T1599*U1599</f>
        <v>1123200</v>
      </c>
      <c r="K1599" s="3"/>
      <c r="L1599" s="3"/>
      <c r="M1599" s="3"/>
      <c r="N1599" s="9" t="n">
        <v>0</v>
      </c>
      <c r="O1599" s="4" t="n">
        <v>0</v>
      </c>
      <c r="P1599" s="5" t="n">
        <f aca="false">IF(COUNTIF([1]Base_Jugadores!J$2:J$500,B1599)&gt;0,1,0)</f>
        <v>0</v>
      </c>
      <c r="Q1599" s="10" t="b">
        <f aca="false">--(COUNTIFS(
   [1]Fichajes_Realizados!A$2:A$5000,A1599,
   [1]Fichajes_Realizados!G$2:G$5000,$X$3
)&gt;0)</f>
        <v>0</v>
      </c>
      <c r="R1599" s="5" t="n">
        <f aca="false">_xlfn.XLOOKUP(C1599, [1]Estado_Equipos!A$2:A$500, [1]Estado_Equipos!J$2:J$500, "")</f>
        <v>70</v>
      </c>
      <c r="S1599" s="5" t="n">
        <f aca="false">IF(H1599&lt;=16,1.45,
IF(H1599&gt;=41,0.3,
CHOOSE(ROUNDDOWN((H1599-16)/2,0)+1,
1.45,1.38,1.3,1.23,1.17,1.15,1.12,1.05,0.95,0.8,0.6,0.4,0.3)))</f>
        <v>1.3</v>
      </c>
      <c r="T1599" s="5" t="n">
        <f aca="false">CHOOSE(N1599+1,1.2,1,0.85,0.7)</f>
        <v>1.2</v>
      </c>
      <c r="U1599" s="5" t="n">
        <f aca="false">IF(F1599="PO",0.6,
IF(F1599="CT",0.75,
IF(F1599="LI",0.8,
IF(F1599="LD",0.8,
IF(F1599="MCD",0.85,
IF(F1599="MC",0.95,
IF(F1599="MO",1.05,
IF(F1599="EI",1.1,
IF(F1599="ED",1.1,
IF(F1599="SD",1.15,
IF(F1599="DC",1.2,0)))))))))))</f>
        <v>1.2</v>
      </c>
    </row>
    <row r="1600" customFormat="false" ht="16.4" hidden="false" customHeight="false" outlineLevel="0" collapsed="false">
      <c r="A1600" s="1" t="n">
        <v>1599</v>
      </c>
      <c r="B1600" s="5" t="str">
        <f aca="false">[1]Base_Jugadores!B1600</f>
        <v>Adam Buksa</v>
      </c>
      <c r="C1600" s="5" t="str">
        <f aca="false">IFERROR(
   _xlfn.XLOOKUP(VALUE(A1600),[1]Fichajes_Realizados!A$2:A$50000,[1]Fichajes_Realizados!D$2:D$50000,,0,-1),
   _xlfn.XLOOKUP(VALUE(A1600),[1]Base_Jugadores!A$2:A$50000,[1]Base_Jugadores!C$2:C$50000)
)</f>
        <v>Udinese</v>
      </c>
      <c r="D1600" s="5" t="str">
        <f aca="false">[1]Base_Jugadores!D1600</f>
        <v>Polonia</v>
      </c>
      <c r="E1600" s="3"/>
      <c r="F1600" s="5" t="str">
        <f aca="false">[1]Base_Jugadores!E1600</f>
        <v>DC</v>
      </c>
      <c r="G1600" s="5" t="n">
        <f aca="false">[1]Base_Jugadores!F1600</f>
        <v>74</v>
      </c>
      <c r="H1600" s="5" t="n">
        <f aca="false">[1]Base_Jugadores!G1600</f>
        <v>29</v>
      </c>
      <c r="I1600" s="7" t="n">
        <f aca="false" t="array" ref="I1600:I1600">_xlfn.XLOOKUP(G1600,{55;56;57;58;59;60;61;62;63;64;65;66;67;68;69;70;71;72;73;74;75;76;77;78;79;80;81;82;83;84;85;86;87;88;89;90;91;92;93;94;95;96;97;98;99},{100000;130000;160000;190000;220000;250000;300000;350000;400000;450000;500000;600000;700000;800000;900000;1000000;1500000;2000000;3000000;4000000;5000000;6500000;8000000;10000000;12500000;15000000;20000000;25000000;30000000;35000000;40000000;55000000;70000000;80000000;90000000;110000000;130000000;160000000;190000000;220000000;250000000;280000000;310000000;340000000;400000000})</f>
        <v>4000000</v>
      </c>
      <c r="J1600" s="7" t="n">
        <f aca="false">I1600*S1600*T1600*U1600</f>
        <v>6451200</v>
      </c>
      <c r="K1600" s="3"/>
      <c r="L1600" s="3"/>
      <c r="M1600" s="3"/>
      <c r="N1600" s="9" t="n">
        <v>0</v>
      </c>
      <c r="O1600" s="4" t="n">
        <v>0</v>
      </c>
      <c r="P1600" s="5" t="n">
        <f aca="false">IF(COUNTIF([1]Base_Jugadores!J$2:J$500,B1600)&gt;0,1,0)</f>
        <v>0</v>
      </c>
      <c r="Q1600" s="10" t="b">
        <f aca="false">--(COUNTIFS(
   [1]Fichajes_Realizados!A$2:A$5000,A1600,
   [1]Fichajes_Realizados!G$2:G$5000,$X$3
)&gt;0)</f>
        <v>0</v>
      </c>
      <c r="R1600" s="5" t="n">
        <f aca="false">_xlfn.XLOOKUP(C1600, [1]Estado_Equipos!A$2:A$500, [1]Estado_Equipos!J$2:J$500, "")</f>
        <v>70</v>
      </c>
      <c r="S1600" s="5" t="n">
        <f aca="false">IF(H1600&lt;=16,1.45,
IF(H1600&gt;=41,0.3,
CHOOSE(ROUNDDOWN((H1600-16)/2,0)+1,
1.45,1.38,1.3,1.23,1.17,1.15,1.12,1.05,0.95,0.8,0.6,0.4,0.3)))</f>
        <v>1.12</v>
      </c>
      <c r="T1600" s="5" t="n">
        <f aca="false">CHOOSE(N1600+1,1.2,1,0.85,0.7)</f>
        <v>1.2</v>
      </c>
      <c r="U1600" s="5" t="n">
        <f aca="false">IF(F1600="PO",0.6,
IF(F1600="CT",0.75,
IF(F1600="LI",0.8,
IF(F1600="LD",0.8,
IF(F1600="MCD",0.85,
IF(F1600="MC",0.95,
IF(F1600="MO",1.05,
IF(F1600="EI",1.1,
IF(F1600="ED",1.1,
IF(F1600="SD",1.15,
IF(F1600="DC",1.2,0)))))))))))</f>
        <v>1.2</v>
      </c>
    </row>
    <row r="1601" customFormat="false" ht="16.4" hidden="false" customHeight="false" outlineLevel="0" collapsed="false">
      <c r="A1601" s="1" t="n">
        <v>1600</v>
      </c>
      <c r="B1601" s="5" t="str">
        <f aca="false">[1]Base_Jugadores!B1601</f>
        <v>Idrissa Gueye</v>
      </c>
      <c r="C1601" s="5" t="str">
        <f aca="false">IFERROR(
   _xlfn.XLOOKUP(VALUE(A1601),[1]Fichajes_Realizados!A$2:A$50000,[1]Fichajes_Realizados!D$2:D$50000,,0,-1),
   _xlfn.XLOOKUP(VALUE(A1601),[1]Base_Jugadores!A$2:A$50000,[1]Base_Jugadores!C$2:C$50000)
)</f>
        <v>Udinese</v>
      </c>
      <c r="D1601" s="5" t="str">
        <f aca="false">[1]Base_Jugadores!D1601</f>
        <v>Senegal</v>
      </c>
      <c r="E1601" s="3"/>
      <c r="F1601" s="5" t="str">
        <f aca="false">[1]Base_Jugadores!E1601</f>
        <v>DC</v>
      </c>
      <c r="G1601" s="5" t="n">
        <f aca="false">[1]Base_Jugadores!F1601</f>
        <v>63</v>
      </c>
      <c r="H1601" s="5" t="n">
        <f aca="false">[1]Base_Jugadores!G1601</f>
        <v>19</v>
      </c>
      <c r="I1601" s="7" t="n">
        <f aca="false" t="array" ref="I1601:I1601">_xlfn.XLOOKUP(G1601,{55;56;57;58;59;60;61;62;63;64;65;66;67;68;69;70;71;72;73;74;75;76;77;78;79;80;81;82;83;84;85;86;87;88;89;90;91;92;93;94;95;96;97;98;99},{100000;130000;160000;190000;220000;250000;300000;350000;400000;450000;500000;600000;700000;800000;900000;1000000;1500000;2000000;3000000;4000000;5000000;6500000;8000000;10000000;12500000;15000000;20000000;25000000;30000000;35000000;40000000;55000000;70000000;80000000;90000000;110000000;130000000;160000000;190000000;220000000;250000000;280000000;310000000;340000000;400000000})</f>
        <v>400000</v>
      </c>
      <c r="J1601" s="7" t="n">
        <f aca="false">I1601*S1601*T1601*U1601</f>
        <v>794880</v>
      </c>
      <c r="K1601" s="3"/>
      <c r="L1601" s="3"/>
      <c r="M1601" s="3"/>
      <c r="N1601" s="9" t="n">
        <v>0</v>
      </c>
      <c r="O1601" s="4" t="n">
        <v>0</v>
      </c>
      <c r="P1601" s="5" t="n">
        <f aca="false">IF(COUNTIF([1]Base_Jugadores!J$2:J$500,B1601)&gt;0,1,0)</f>
        <v>0</v>
      </c>
      <c r="Q1601" s="10" t="b">
        <f aca="false">--(COUNTIFS(
   [1]Fichajes_Realizados!A$2:A$5000,A1601,
   [1]Fichajes_Realizados!G$2:G$5000,$X$3
)&gt;0)</f>
        <v>0</v>
      </c>
      <c r="R1601" s="5" t="n">
        <f aca="false">_xlfn.XLOOKUP(C1601, [1]Estado_Equipos!A$2:A$500, [1]Estado_Equipos!J$2:J$500, "")</f>
        <v>70</v>
      </c>
      <c r="S1601" s="5" t="n">
        <f aca="false">IF(H1601&lt;=16,1.45,
IF(H1601&gt;=41,0.3,
CHOOSE(ROUNDDOWN((H1601-16)/2,0)+1,
1.45,1.38,1.3,1.23,1.17,1.15,1.12,1.05,0.95,0.8,0.6,0.4,0.3)))</f>
        <v>1.38</v>
      </c>
      <c r="T1601" s="5" t="n">
        <f aca="false">CHOOSE(N1601+1,1.2,1,0.85,0.7)</f>
        <v>1.2</v>
      </c>
      <c r="U1601" s="5" t="n">
        <f aca="false">IF(F1601="PO",0.6,
IF(F1601="CT",0.75,
IF(F1601="LI",0.8,
IF(F1601="LD",0.8,
IF(F1601="MCD",0.85,
IF(F1601="MC",0.95,
IF(F1601="MO",1.05,
IF(F1601="EI",1.1,
IF(F1601="ED",1.1,
IF(F1601="SD",1.15,
IF(F1601="DC",1.2,0)))))))))))</f>
        <v>1.2</v>
      </c>
    </row>
    <row r="1602" customFormat="false" ht="16.4" hidden="false" customHeight="false" outlineLevel="0" collapsed="false">
      <c r="A1602" s="1" t="n">
        <v>1601</v>
      </c>
      <c r="B1602" s="5" t="str">
        <f aca="false">[1]Base_Jugadores!B1602</f>
        <v>Keinan Davis</v>
      </c>
      <c r="C1602" s="5" t="str">
        <f aca="false">IFERROR(
   _xlfn.XLOOKUP(VALUE(A1602),[1]Fichajes_Realizados!A$2:A$50000,[1]Fichajes_Realizados!D$2:D$50000,,0,-1),
   _xlfn.XLOOKUP(VALUE(A1602),[1]Base_Jugadores!A$2:A$50000,[1]Base_Jugadores!C$2:C$50000)
)</f>
        <v>Udinese</v>
      </c>
      <c r="D1602" s="5" t="str">
        <f aca="false">[1]Base_Jugadores!D1602</f>
        <v>Inglaterra</v>
      </c>
      <c r="E1602" s="3"/>
      <c r="F1602" s="5" t="str">
        <f aca="false">[1]Base_Jugadores!E1602</f>
        <v>DC</v>
      </c>
      <c r="G1602" s="5" t="n">
        <f aca="false">[1]Base_Jugadores!F1602</f>
        <v>72</v>
      </c>
      <c r="H1602" s="5" t="n">
        <f aca="false">[1]Base_Jugadores!G1602</f>
        <v>27</v>
      </c>
      <c r="I1602" s="7" t="n">
        <f aca="false" t="array" ref="I1602:I1602">_xlfn.XLOOKUP(G1602,{55;56;57;58;59;60;61;62;63;64;65;66;67;68;69;70;71;72;73;74;75;76;77;78;79;80;81;82;83;84;85;86;87;88;89;90;91;92;93;94;95;96;97;98;99},{100000;130000;160000;190000;220000;250000;300000;350000;400000;450000;500000;600000;700000;800000;900000;1000000;1500000;2000000;3000000;4000000;5000000;6500000;8000000;10000000;12500000;15000000;20000000;25000000;30000000;35000000;40000000;55000000;70000000;80000000;90000000;110000000;130000000;160000000;190000000;220000000;250000000;280000000;310000000;340000000;400000000})</f>
        <v>2000000</v>
      </c>
      <c r="J1602" s="7" t="n">
        <f aca="false">I1602*S1602*T1602*U1602</f>
        <v>3312000</v>
      </c>
      <c r="K1602" s="3"/>
      <c r="L1602" s="3"/>
      <c r="M1602" s="3"/>
      <c r="N1602" s="9" t="n">
        <v>0</v>
      </c>
      <c r="O1602" s="4" t="n">
        <v>0</v>
      </c>
      <c r="P1602" s="5" t="n">
        <f aca="false">IF(COUNTIF([1]Base_Jugadores!J$2:J$500,B1602)&gt;0,1,0)</f>
        <v>0</v>
      </c>
      <c r="Q1602" s="10" t="b">
        <f aca="false">--(COUNTIFS(
   [1]Fichajes_Realizados!A$2:A$5000,A1602,
   [1]Fichajes_Realizados!G$2:G$5000,$X$3
)&gt;0)</f>
        <v>0</v>
      </c>
      <c r="R1602" s="5" t="n">
        <f aca="false">_xlfn.XLOOKUP(C1602, [1]Estado_Equipos!A$2:A$500, [1]Estado_Equipos!J$2:J$500, "")</f>
        <v>70</v>
      </c>
      <c r="S1602" s="5" t="n">
        <f aca="false">IF(H1602&lt;=16,1.45,
IF(H1602&gt;=41,0.3,
CHOOSE(ROUNDDOWN((H1602-16)/2,0)+1,
1.45,1.38,1.3,1.23,1.17,1.15,1.12,1.05,0.95,0.8,0.6,0.4,0.3)))</f>
        <v>1.15</v>
      </c>
      <c r="T1602" s="5" t="n">
        <f aca="false">CHOOSE(N1602+1,1.2,1,0.85,0.7)</f>
        <v>1.2</v>
      </c>
      <c r="U1602" s="5" t="n">
        <f aca="false">IF(F1602="PO",0.6,
IF(F1602="CT",0.75,
IF(F1602="LI",0.8,
IF(F1602="LD",0.8,
IF(F1602="MCD",0.85,
IF(F1602="MC",0.95,
IF(F1602="MO",1.05,
IF(F1602="EI",1.1,
IF(F1602="ED",1.1,
IF(F1602="SD",1.15,
IF(F1602="DC",1.2,0)))))))))))</f>
        <v>1.2</v>
      </c>
    </row>
    <row r="1603" customFormat="false" ht="16.4" hidden="false" customHeight="false" outlineLevel="0" collapsed="false">
      <c r="A1603" s="1" t="n">
        <v>1602</v>
      </c>
      <c r="B1603" s="5" t="str">
        <f aca="false">[1]Base_Jugadores!B1603</f>
        <v>Vakoun Bayo</v>
      </c>
      <c r="C1603" s="5" t="str">
        <f aca="false">IFERROR(
   _xlfn.XLOOKUP(VALUE(A1603),[1]Fichajes_Realizados!A$2:A$50000,[1]Fichajes_Realizados!D$2:D$50000,,0,-1),
   _xlfn.XLOOKUP(VALUE(A1603),[1]Base_Jugadores!A$2:A$50000,[1]Base_Jugadores!C$2:C$50000)
)</f>
        <v>Udinese</v>
      </c>
      <c r="D1603" s="5" t="str">
        <f aca="false">[1]Base_Jugadores!D1603</f>
        <v>Costa de Marfil</v>
      </c>
      <c r="E1603" s="3"/>
      <c r="F1603" s="5" t="str">
        <f aca="false">[1]Base_Jugadores!E1603</f>
        <v>DC</v>
      </c>
      <c r="G1603" s="5" t="n">
        <f aca="false">[1]Base_Jugadores!F1603</f>
        <v>70</v>
      </c>
      <c r="H1603" s="5" t="n">
        <f aca="false">[1]Base_Jugadores!G1603</f>
        <v>28</v>
      </c>
      <c r="I1603" s="7" t="n">
        <f aca="false" t="array" ref="I1603:I1603">_xlfn.XLOOKUP(G1603,{55;56;57;58;59;60;61;62;63;64;65;66;67;68;69;70;71;72;73;74;75;76;77;78;79;80;81;82;83;84;85;86;87;88;89;90;91;92;93;94;95;96;97;98;99},{100000;130000;160000;190000;220000;250000;300000;350000;400000;450000;500000;600000;700000;800000;900000;1000000;1500000;2000000;3000000;4000000;5000000;6500000;8000000;10000000;12500000;15000000;20000000;25000000;30000000;35000000;40000000;55000000;70000000;80000000;90000000;110000000;130000000;160000000;190000000;220000000;250000000;280000000;310000000;340000000;400000000})</f>
        <v>1000000</v>
      </c>
      <c r="J1603" s="7" t="n">
        <f aca="false">I1603*S1603*T1603*U1603</f>
        <v>1612800</v>
      </c>
      <c r="K1603" s="3"/>
      <c r="L1603" s="3"/>
      <c r="M1603" s="3"/>
      <c r="N1603" s="9" t="n">
        <v>0</v>
      </c>
      <c r="O1603" s="4" t="n">
        <v>0</v>
      </c>
      <c r="P1603" s="5" t="n">
        <f aca="false">IF(COUNTIF([1]Base_Jugadores!J$2:J$500,B1603)&gt;0,1,0)</f>
        <v>0</v>
      </c>
      <c r="Q1603" s="10" t="b">
        <f aca="false">--(COUNTIFS(
   [1]Fichajes_Realizados!A$2:A$5000,A1603,
   [1]Fichajes_Realizados!G$2:G$5000,$X$3
)&gt;0)</f>
        <v>0</v>
      </c>
      <c r="R1603" s="5" t="n">
        <f aca="false">_xlfn.XLOOKUP(C1603, [1]Estado_Equipos!A$2:A$500, [1]Estado_Equipos!J$2:J$500, "")</f>
        <v>70</v>
      </c>
      <c r="S1603" s="5" t="n">
        <f aca="false">IF(H1603&lt;=16,1.45,
IF(H1603&gt;=41,0.3,
CHOOSE(ROUNDDOWN((H1603-16)/2,0)+1,
1.45,1.38,1.3,1.23,1.17,1.15,1.12,1.05,0.95,0.8,0.6,0.4,0.3)))</f>
        <v>1.12</v>
      </c>
      <c r="T1603" s="5" t="n">
        <f aca="false">CHOOSE(N1603+1,1.2,1,0.85,0.7)</f>
        <v>1.2</v>
      </c>
      <c r="U1603" s="5" t="n">
        <f aca="false">IF(F1603="PO",0.6,
IF(F1603="CT",0.75,
IF(F1603="LI",0.8,
IF(F1603="LD",0.8,
IF(F1603="MCD",0.85,
IF(F1603="MC",0.95,
IF(F1603="MO",1.05,
IF(F1603="EI",1.1,
IF(F1603="ED",1.1,
IF(F1603="SD",1.15,
IF(F1603="DC",1.2,0)))))))))))</f>
        <v>1.2</v>
      </c>
    </row>
    <row r="1604" customFormat="false" ht="16.4" hidden="false" customHeight="false" outlineLevel="0" collapsed="false">
      <c r="A1604" s="1" t="n">
        <v>1603</v>
      </c>
      <c r="B1604" s="5" t="str">
        <f aca="false">[1]Base_Jugadores!B1604</f>
        <v>David Pejičić</v>
      </c>
      <c r="C1604" s="5" t="str">
        <f aca="false">IFERROR(
   _xlfn.XLOOKUP(VALUE(A1604),[1]Fichajes_Realizados!A$2:A$50000,[1]Fichajes_Realizados!D$2:D$50000,,0,-1),
   _xlfn.XLOOKUP(VALUE(A1604),[1]Base_Jugadores!A$2:A$50000,[1]Base_Jugadores!C$2:C$50000)
)</f>
        <v>Udinese</v>
      </c>
      <c r="D1604" s="5" t="str">
        <f aca="false">[1]Base_Jugadores!D1604</f>
        <v>Eslovenia</v>
      </c>
      <c r="E1604" s="3"/>
      <c r="F1604" s="5" t="str">
        <f aca="false">[1]Base_Jugadores!E1604</f>
        <v>MO</v>
      </c>
      <c r="G1604" s="5" t="n">
        <f aca="false">[1]Base_Jugadores!F1604</f>
        <v>69</v>
      </c>
      <c r="H1604" s="5" t="n">
        <f aca="false">[1]Base_Jugadores!G1604</f>
        <v>18</v>
      </c>
      <c r="I1604" s="7" t="n">
        <f aca="false" t="array" ref="I1604:I1604">_xlfn.XLOOKUP(G1604,{55;56;57;58;59;60;61;62;63;64;65;66;67;68;69;70;71;72;73;74;75;76;77;78;79;80;81;82;83;84;85;86;87;88;89;90;91;92;93;94;95;96;97;98;99},{100000;130000;160000;190000;220000;250000;300000;350000;400000;450000;500000;600000;700000;800000;900000;1000000;1500000;2000000;3000000;4000000;5000000;6500000;8000000;10000000;12500000;15000000;20000000;25000000;30000000;35000000;40000000;55000000;70000000;80000000;90000000;110000000;130000000;160000000;190000000;220000000;250000000;280000000;310000000;340000000;400000000})</f>
        <v>900000</v>
      </c>
      <c r="J1604" s="7" t="n">
        <f aca="false">I1604*S1604*T1604*U1604</f>
        <v>1564920</v>
      </c>
      <c r="K1604" s="3"/>
      <c r="L1604" s="3"/>
      <c r="M1604" s="3"/>
      <c r="N1604" s="9" t="n">
        <v>0</v>
      </c>
      <c r="O1604" s="4" t="n">
        <v>0</v>
      </c>
      <c r="P1604" s="5" t="n">
        <f aca="false">IF(COUNTIF([1]Base_Jugadores!J$2:J$500,B1604)&gt;0,1,0)</f>
        <v>0</v>
      </c>
      <c r="Q1604" s="10" t="b">
        <f aca="false">--(COUNTIFS(
   [1]Fichajes_Realizados!A$2:A$5000,A1604,
   [1]Fichajes_Realizados!G$2:G$5000,$X$3
)&gt;0)</f>
        <v>0</v>
      </c>
      <c r="R1604" s="5" t="n">
        <f aca="false">_xlfn.XLOOKUP(C1604, [1]Estado_Equipos!A$2:A$500, [1]Estado_Equipos!J$2:J$500, "")</f>
        <v>70</v>
      </c>
      <c r="S1604" s="5" t="n">
        <f aca="false">IF(H1604&lt;=16,1.45,
IF(H1604&gt;=41,0.3,
CHOOSE(ROUNDDOWN((H1604-16)/2,0)+1,
1.45,1.38,1.3,1.23,1.17,1.15,1.12,1.05,0.95,0.8,0.6,0.4,0.3)))</f>
        <v>1.38</v>
      </c>
      <c r="T1604" s="5" t="n">
        <f aca="false">CHOOSE(N1604+1,1.2,1,0.85,0.7)</f>
        <v>1.2</v>
      </c>
      <c r="U1604" s="5" t="n">
        <f aca="false">IF(F1604="PO",0.6,
IF(F1604="CT",0.75,
IF(F1604="LI",0.8,
IF(F1604="LD",0.8,
IF(F1604="MCD",0.85,
IF(F1604="MC",0.95,
IF(F1604="MO",1.05,
IF(F1604="EI",1.1,
IF(F1604="ED",1.1,
IF(F1604="SD",1.15,
IF(F1604="DC",1.2,0)))))))))))</f>
        <v>1.05</v>
      </c>
    </row>
    <row r="1605" customFormat="false" ht="16.4" hidden="false" customHeight="false" outlineLevel="0" collapsed="false">
      <c r="A1605" s="1" t="n">
        <v>1604</v>
      </c>
      <c r="B1605" s="5" t="str">
        <f aca="false">[1]Base_Jugadores!B1605</f>
        <v>Finn Dahmen</v>
      </c>
      <c r="C1605" s="5" t="str">
        <f aca="false">IFERROR(
   _xlfn.XLOOKUP(VALUE(A1605),[1]Fichajes_Realizados!A$2:A$50000,[1]Fichajes_Realizados!D$2:D$50000,,0,-1),
   _xlfn.XLOOKUP(VALUE(A1605),[1]Base_Jugadores!A$2:A$50000,[1]Base_Jugadores!C$2:C$50000)
)</f>
        <v>FC Augsburgo</v>
      </c>
      <c r="D1605" s="5" t="str">
        <f aca="false">[1]Base_Jugadores!D1605</f>
        <v>Alemania</v>
      </c>
      <c r="E1605" s="3"/>
      <c r="F1605" s="5" t="str">
        <f aca="false">[1]Base_Jugadores!E1605</f>
        <v>PO</v>
      </c>
      <c r="G1605" s="5" t="n">
        <f aca="false">[1]Base_Jugadores!F1605</f>
        <v>75</v>
      </c>
      <c r="H1605" s="5" t="n">
        <f aca="false">[1]Base_Jugadores!G1605</f>
        <v>27</v>
      </c>
      <c r="I1605" s="7" t="n">
        <f aca="false" t="array" ref="I1605:I1605">_xlfn.XLOOKUP(G1605,{55;56;57;58;59;60;61;62;63;64;65;66;67;68;69;70;71;72;73;74;75;76;77;78;79;80;81;82;83;84;85;86;87;88;89;90;91;92;93;94;95;96;97;98;99},{100000;130000;160000;190000;220000;250000;300000;350000;400000;450000;500000;600000;700000;800000;900000;1000000;1500000;2000000;3000000;4000000;5000000;6500000;8000000;10000000;12500000;15000000;20000000;25000000;30000000;35000000;40000000;55000000;70000000;80000000;90000000;110000000;130000000;160000000;190000000;220000000;250000000;280000000;310000000;340000000;400000000})</f>
        <v>5000000</v>
      </c>
      <c r="J1605" s="7" t="n">
        <f aca="false">I1605*S1605*T1605*U1605</f>
        <v>4140000</v>
      </c>
      <c r="K1605" s="3"/>
      <c r="L1605" s="3"/>
      <c r="M1605" s="3"/>
      <c r="N1605" s="9" t="n">
        <v>0</v>
      </c>
      <c r="O1605" s="4" t="n">
        <v>0</v>
      </c>
      <c r="P1605" s="5" t="n">
        <f aca="false">IF(COUNTIF([1]Base_Jugadores!J$2:J$500,B1605)&gt;0,1,0)</f>
        <v>0</v>
      </c>
      <c r="Q1605" s="10" t="b">
        <f aca="false">--(COUNTIFS(
   [1]Fichajes_Realizados!A$2:A$5000,A1605,
   [1]Fichajes_Realizados!G$2:G$5000,$X$3
)&gt;0)</f>
        <v>0</v>
      </c>
      <c r="R1605" s="5" t="n">
        <f aca="false">_xlfn.XLOOKUP(C1605, [1]Estado_Equipos!A$2:A$500, [1]Estado_Equipos!J$2:J$500, "")</f>
        <v>72</v>
      </c>
      <c r="S1605" s="5" t="n">
        <f aca="false">IF(H1605&lt;=16,1.45,
IF(H1605&gt;=41,0.3,
CHOOSE(ROUNDDOWN((H1605-16)/2,0)+1,
1.45,1.38,1.3,1.23,1.17,1.15,1.12,1.05,0.95,0.8,0.6,0.4,0.3)))</f>
        <v>1.15</v>
      </c>
      <c r="T1605" s="5" t="n">
        <f aca="false">CHOOSE(N1605+1,1.2,1,0.85,0.7)</f>
        <v>1.2</v>
      </c>
      <c r="U1605" s="5" t="n">
        <f aca="false">IF(F1605="PO",0.6,
IF(F1605="CT",0.75,
IF(F1605="LI",0.8,
IF(F1605="LD",0.8,
IF(F1605="MCD",0.85,
IF(F1605="MC",0.95,
IF(F1605="MO",1.05,
IF(F1605="EI",1.1,
IF(F1605="ED",1.1,
IF(F1605="SD",1.15,
IF(F1605="DC",1.2,0)))))))))))</f>
        <v>0.6</v>
      </c>
    </row>
    <row r="1606" customFormat="false" ht="16.4" hidden="false" customHeight="false" outlineLevel="0" collapsed="false">
      <c r="A1606" s="1" t="n">
        <v>1605</v>
      </c>
      <c r="B1606" s="5" t="str">
        <f aca="false">[1]Base_Jugadores!B1606</f>
        <v>Alexis Claude-Maurice</v>
      </c>
      <c r="C1606" s="5" t="str">
        <f aca="false">IFERROR(
   _xlfn.XLOOKUP(VALUE(A1606),[1]Fichajes_Realizados!A$2:A$50000,[1]Fichajes_Realizados!D$2:D$50000,,0,-1),
   _xlfn.XLOOKUP(VALUE(A1606),[1]Base_Jugadores!A$2:A$50000,[1]Base_Jugadores!C$2:C$50000)
)</f>
        <v>FC Augsburgo</v>
      </c>
      <c r="D1606" s="5" t="str">
        <f aca="false">[1]Base_Jugadores!D1606</f>
        <v>Francia</v>
      </c>
      <c r="E1606" s="3"/>
      <c r="F1606" s="5" t="str">
        <f aca="false">[1]Base_Jugadores!E1606</f>
        <v>MO</v>
      </c>
      <c r="G1606" s="5" t="n">
        <f aca="false">[1]Base_Jugadores!F1606</f>
        <v>74</v>
      </c>
      <c r="H1606" s="5" t="n">
        <f aca="false">[1]Base_Jugadores!G1606</f>
        <v>27</v>
      </c>
      <c r="I1606" s="7" t="n">
        <f aca="false" t="array" ref="I1606:I1606">_xlfn.XLOOKUP(G1606,{55;56;57;58;59;60;61;62;63;64;65;66;67;68;69;70;71;72;73;74;75;76;77;78;79;80;81;82;83;84;85;86;87;88;89;90;91;92;93;94;95;96;97;98;99},{100000;130000;160000;190000;220000;250000;300000;350000;400000;450000;500000;600000;700000;800000;900000;1000000;1500000;2000000;3000000;4000000;5000000;6500000;8000000;10000000;12500000;15000000;20000000;25000000;30000000;35000000;40000000;55000000;70000000;80000000;90000000;110000000;130000000;160000000;190000000;220000000;250000000;280000000;310000000;340000000;400000000})</f>
        <v>4000000</v>
      </c>
      <c r="J1606" s="7" t="n">
        <f aca="false">I1606*S1606*T1606*U1606</f>
        <v>5796000</v>
      </c>
      <c r="K1606" s="3"/>
      <c r="L1606" s="3"/>
      <c r="M1606" s="3"/>
      <c r="N1606" s="9" t="n">
        <v>0</v>
      </c>
      <c r="O1606" s="4" t="n">
        <v>0</v>
      </c>
      <c r="P1606" s="5" t="n">
        <f aca="false">IF(COUNTIF([1]Base_Jugadores!J$2:J$500,B1606)&gt;0,1,0)</f>
        <v>0</v>
      </c>
      <c r="Q1606" s="10" t="b">
        <f aca="false">--(COUNTIFS(
   [1]Fichajes_Realizados!A$2:A$5000,A1606,
   [1]Fichajes_Realizados!G$2:G$5000,$X$3
)&gt;0)</f>
        <v>0</v>
      </c>
      <c r="R1606" s="5" t="n">
        <f aca="false">_xlfn.XLOOKUP(C1606, [1]Estado_Equipos!A$2:A$500, [1]Estado_Equipos!J$2:J$500, "")</f>
        <v>72</v>
      </c>
      <c r="S1606" s="5" t="n">
        <f aca="false">IF(H1606&lt;=16,1.45,
IF(H1606&gt;=41,0.3,
CHOOSE(ROUNDDOWN((H1606-16)/2,0)+1,
1.45,1.38,1.3,1.23,1.17,1.15,1.12,1.05,0.95,0.8,0.6,0.4,0.3)))</f>
        <v>1.15</v>
      </c>
      <c r="T1606" s="5" t="n">
        <f aca="false">CHOOSE(N1606+1,1.2,1,0.85,0.7)</f>
        <v>1.2</v>
      </c>
      <c r="U1606" s="5" t="n">
        <f aca="false">IF(F1606="PO",0.6,
IF(F1606="CT",0.75,
IF(F1606="LI",0.8,
IF(F1606="LD",0.8,
IF(F1606="MCD",0.85,
IF(F1606="MC",0.95,
IF(F1606="MO",1.05,
IF(F1606="EI",1.1,
IF(F1606="ED",1.1,
IF(F1606="SD",1.15,
IF(F1606="DC",1.2,0)))))))))))</f>
        <v>1.05</v>
      </c>
    </row>
    <row r="1607" customFormat="false" ht="16.4" hidden="false" customHeight="false" outlineLevel="0" collapsed="false">
      <c r="A1607" s="1" t="n">
        <v>1606</v>
      </c>
      <c r="B1607" s="5" t="str">
        <f aca="false">[1]Base_Jugadores!B1607</f>
        <v>Anton Kade</v>
      </c>
      <c r="C1607" s="5" t="str">
        <f aca="false">IFERROR(
   _xlfn.XLOOKUP(VALUE(A1607),[1]Fichajes_Realizados!A$2:A$50000,[1]Fichajes_Realizados!D$2:D$50000,,0,-1),
   _xlfn.XLOOKUP(VALUE(A1607),[1]Base_Jugadores!A$2:A$50000,[1]Base_Jugadores!C$2:C$50000)
)</f>
        <v>FC Augsburgo</v>
      </c>
      <c r="D1607" s="5" t="str">
        <f aca="false">[1]Base_Jugadores!D1607</f>
        <v>Alemania</v>
      </c>
      <c r="E1607" s="3"/>
      <c r="F1607" s="5" t="str">
        <f aca="false">[1]Base_Jugadores!E1607</f>
        <v>ED</v>
      </c>
      <c r="G1607" s="5" t="n">
        <f aca="false">[1]Base_Jugadores!F1607</f>
        <v>69</v>
      </c>
      <c r="H1607" s="5" t="n">
        <f aca="false">[1]Base_Jugadores!G1607</f>
        <v>21</v>
      </c>
      <c r="I1607" s="7" t="n">
        <f aca="false" t="array" ref="I1607:I1607">_xlfn.XLOOKUP(G1607,{55;56;57;58;59;60;61;62;63;64;65;66;67;68;69;70;71;72;73;74;75;76;77;78;79;80;81;82;83;84;85;86;87;88;89;90;91;92;93;94;95;96;97;98;99},{100000;130000;160000;190000;220000;250000;300000;350000;400000;450000;500000;600000;700000;800000;900000;1000000;1500000;2000000;3000000;4000000;5000000;6500000;8000000;10000000;12500000;15000000;20000000;25000000;30000000;35000000;40000000;55000000;70000000;80000000;90000000;110000000;130000000;160000000;190000000;220000000;250000000;280000000;310000000;340000000;400000000})</f>
        <v>900000</v>
      </c>
      <c r="J1607" s="7" t="n">
        <f aca="false">I1607*S1607*T1607*U1607</f>
        <v>1544400</v>
      </c>
      <c r="K1607" s="3"/>
      <c r="L1607" s="3"/>
      <c r="M1607" s="3"/>
      <c r="N1607" s="9" t="n">
        <v>0</v>
      </c>
      <c r="O1607" s="4" t="n">
        <v>0</v>
      </c>
      <c r="P1607" s="5" t="n">
        <f aca="false">IF(COUNTIF([1]Base_Jugadores!J$2:J$500,B1607)&gt;0,1,0)</f>
        <v>0</v>
      </c>
      <c r="Q1607" s="10" t="b">
        <f aca="false">--(COUNTIFS(
   [1]Fichajes_Realizados!A$2:A$5000,A1607,
   [1]Fichajes_Realizados!G$2:G$5000,$X$3
)&gt;0)</f>
        <v>0</v>
      </c>
      <c r="R1607" s="5" t="n">
        <f aca="false">_xlfn.XLOOKUP(C1607, [1]Estado_Equipos!A$2:A$500, [1]Estado_Equipos!J$2:J$500, "")</f>
        <v>72</v>
      </c>
      <c r="S1607" s="5" t="n">
        <f aca="false">IF(H1607&lt;=16,1.45,
IF(H1607&gt;=41,0.3,
CHOOSE(ROUNDDOWN((H1607-16)/2,0)+1,
1.45,1.38,1.3,1.23,1.17,1.15,1.12,1.05,0.95,0.8,0.6,0.4,0.3)))</f>
        <v>1.3</v>
      </c>
      <c r="T1607" s="5" t="n">
        <f aca="false">CHOOSE(N1607+1,1.2,1,0.85,0.7)</f>
        <v>1.2</v>
      </c>
      <c r="U1607" s="5" t="n">
        <f aca="false">IF(F1607="PO",0.6,
IF(F1607="CT",0.75,
IF(F1607="LI",0.8,
IF(F1607="LD",0.8,
IF(F1607="MCD",0.85,
IF(F1607="MC",0.95,
IF(F1607="MO",1.05,
IF(F1607="EI",1.1,
IF(F1607="ED",1.1,
IF(F1607="SD",1.15,
IF(F1607="DC",1.2,0)))))))))))</f>
        <v>1.1</v>
      </c>
    </row>
    <row r="1608" customFormat="false" ht="16.4" hidden="false" customHeight="false" outlineLevel="0" collapsed="false">
      <c r="A1608" s="1" t="n">
        <v>1607</v>
      </c>
      <c r="B1608" s="5" t="str">
        <f aca="false">[1]Base_Jugadores!B1608</f>
        <v>Arne Maier</v>
      </c>
      <c r="C1608" s="5" t="str">
        <f aca="false">IFERROR(
   _xlfn.XLOOKUP(VALUE(A1608),[1]Fichajes_Realizados!A$2:A$50000,[1]Fichajes_Realizados!D$2:D$50000,,0,-1),
   _xlfn.XLOOKUP(VALUE(A1608),[1]Base_Jugadores!A$2:A$50000,[1]Base_Jugadores!C$2:C$50000)
)</f>
        <v>FC Augsburgo</v>
      </c>
      <c r="D1608" s="5" t="str">
        <f aca="false">[1]Base_Jugadores!D1608</f>
        <v>Alemania</v>
      </c>
      <c r="E1608" s="3"/>
      <c r="F1608" s="5" t="str">
        <f aca="false">[1]Base_Jugadores!E1608</f>
        <v>MC</v>
      </c>
      <c r="G1608" s="5" t="n">
        <f aca="false">[1]Base_Jugadores!F1608</f>
        <v>75</v>
      </c>
      <c r="H1608" s="5" t="n">
        <f aca="false">[1]Base_Jugadores!G1608</f>
        <v>26</v>
      </c>
      <c r="I1608" s="7" t="n">
        <f aca="false" t="array" ref="I1608:I1608">_xlfn.XLOOKUP(G1608,{55;56;57;58;59;60;61;62;63;64;65;66;67;68;69;70;71;72;73;74;75;76;77;78;79;80;81;82;83;84;85;86;87;88;89;90;91;92;93;94;95;96;97;98;99},{100000;130000;160000;190000;220000;250000;300000;350000;400000;450000;500000;600000;700000;800000;900000;1000000;1500000;2000000;3000000;4000000;5000000;6500000;8000000;10000000;12500000;15000000;20000000;25000000;30000000;35000000;40000000;55000000;70000000;80000000;90000000;110000000;130000000;160000000;190000000;220000000;250000000;280000000;310000000;340000000;400000000})</f>
        <v>5000000</v>
      </c>
      <c r="J1608" s="7" t="n">
        <f aca="false">I1608*S1608*T1608*U1608</f>
        <v>6555000</v>
      </c>
      <c r="K1608" s="3"/>
      <c r="L1608" s="3"/>
      <c r="M1608" s="3"/>
      <c r="N1608" s="9" t="n">
        <v>0</v>
      </c>
      <c r="O1608" s="4" t="n">
        <v>0</v>
      </c>
      <c r="P1608" s="5" t="n">
        <f aca="false">IF(COUNTIF([1]Base_Jugadores!J$2:J$500,B1608)&gt;0,1,0)</f>
        <v>0</v>
      </c>
      <c r="Q1608" s="10" t="b">
        <f aca="false">--(COUNTIFS(
   [1]Fichajes_Realizados!A$2:A$5000,A1608,
   [1]Fichajes_Realizados!G$2:G$5000,$X$3
)&gt;0)</f>
        <v>0</v>
      </c>
      <c r="R1608" s="5" t="n">
        <f aca="false">_xlfn.XLOOKUP(C1608, [1]Estado_Equipos!A$2:A$500, [1]Estado_Equipos!J$2:J$500, "")</f>
        <v>72</v>
      </c>
      <c r="S1608" s="5" t="n">
        <f aca="false">IF(H1608&lt;=16,1.45,
IF(H1608&gt;=41,0.3,
CHOOSE(ROUNDDOWN((H1608-16)/2,0)+1,
1.45,1.38,1.3,1.23,1.17,1.15,1.12,1.05,0.95,0.8,0.6,0.4,0.3)))</f>
        <v>1.15</v>
      </c>
      <c r="T1608" s="5" t="n">
        <f aca="false">CHOOSE(N1608+1,1.2,1,0.85,0.7)</f>
        <v>1.2</v>
      </c>
      <c r="U1608" s="5" t="n">
        <f aca="false">IF(F1608="PO",0.6,
IF(F1608="CT",0.75,
IF(F1608="LI",0.8,
IF(F1608="LD",0.8,
IF(F1608="MCD",0.85,
IF(F1608="MC",0.95,
IF(F1608="MO",1.05,
IF(F1608="EI",1.1,
IF(F1608="ED",1.1,
IF(F1608="SD",1.15,
IF(F1608="DC",1.2,0)))))))))))</f>
        <v>0.95</v>
      </c>
    </row>
    <row r="1609" customFormat="false" ht="16.4" hidden="false" customHeight="false" outlineLevel="0" collapsed="false">
      <c r="A1609" s="1" t="n">
        <v>1608</v>
      </c>
      <c r="B1609" s="5" t="str">
        <f aca="false">[1]Base_Jugadores!B1609</f>
        <v>Cédric Zesiger</v>
      </c>
      <c r="C1609" s="5" t="str">
        <f aca="false">IFERROR(
   _xlfn.XLOOKUP(VALUE(A1609),[1]Fichajes_Realizados!A$2:A$50000,[1]Fichajes_Realizados!D$2:D$50000,,0,-1),
   _xlfn.XLOOKUP(VALUE(A1609),[1]Base_Jugadores!A$2:A$50000,[1]Base_Jugadores!C$2:C$50000)
)</f>
        <v>FC Augsburgo</v>
      </c>
      <c r="D1609" s="5" t="str">
        <f aca="false">[1]Base_Jugadores!D1609</f>
        <v>Suiza</v>
      </c>
      <c r="E1609" s="3"/>
      <c r="F1609" s="5" t="str">
        <f aca="false">[1]Base_Jugadores!E1609</f>
        <v>CT</v>
      </c>
      <c r="G1609" s="5" t="n">
        <f aca="false">[1]Base_Jugadores!F1609</f>
        <v>74</v>
      </c>
      <c r="H1609" s="5" t="n">
        <f aca="false">[1]Base_Jugadores!G1609</f>
        <v>27</v>
      </c>
      <c r="I1609" s="7" t="n">
        <f aca="false" t="array" ref="I1609:I1609">_xlfn.XLOOKUP(G1609,{55;56;57;58;59;60;61;62;63;64;65;66;67;68;69;70;71;72;73;74;75;76;77;78;79;80;81;82;83;84;85;86;87;88;89;90;91;92;93;94;95;96;97;98;99},{100000;130000;160000;190000;220000;250000;300000;350000;400000;450000;500000;600000;700000;800000;900000;1000000;1500000;2000000;3000000;4000000;5000000;6500000;8000000;10000000;12500000;15000000;20000000;25000000;30000000;35000000;40000000;55000000;70000000;80000000;90000000;110000000;130000000;160000000;190000000;220000000;250000000;280000000;310000000;340000000;400000000})</f>
        <v>4000000</v>
      </c>
      <c r="J1609" s="7" t="n">
        <f aca="false">I1609*S1609*T1609*U1609</f>
        <v>4140000</v>
      </c>
      <c r="K1609" s="3"/>
      <c r="L1609" s="3"/>
      <c r="M1609" s="3"/>
      <c r="N1609" s="9" t="n">
        <v>0</v>
      </c>
      <c r="O1609" s="4" t="n">
        <v>0</v>
      </c>
      <c r="P1609" s="5" t="n">
        <f aca="false">IF(COUNTIF([1]Base_Jugadores!J$2:J$500,B1609)&gt;0,1,0)</f>
        <v>0</v>
      </c>
      <c r="Q1609" s="10" t="b">
        <f aca="false">--(COUNTIFS(
   [1]Fichajes_Realizados!A$2:A$5000,A1609,
   [1]Fichajes_Realizados!G$2:G$5000,$X$3
)&gt;0)</f>
        <v>0</v>
      </c>
      <c r="R1609" s="5" t="n">
        <f aca="false">_xlfn.XLOOKUP(C1609, [1]Estado_Equipos!A$2:A$500, [1]Estado_Equipos!J$2:J$500, "")</f>
        <v>72</v>
      </c>
      <c r="S1609" s="5" t="n">
        <f aca="false">IF(H1609&lt;=16,1.45,
IF(H1609&gt;=41,0.3,
CHOOSE(ROUNDDOWN((H1609-16)/2,0)+1,
1.45,1.38,1.3,1.23,1.17,1.15,1.12,1.05,0.95,0.8,0.6,0.4,0.3)))</f>
        <v>1.15</v>
      </c>
      <c r="T1609" s="5" t="n">
        <f aca="false">CHOOSE(N1609+1,1.2,1,0.85,0.7)</f>
        <v>1.2</v>
      </c>
      <c r="U1609" s="5" t="n">
        <f aca="false">IF(F1609="PO",0.6,
IF(F1609="CT",0.75,
IF(F1609="LI",0.8,
IF(F1609="LD",0.8,
IF(F1609="MCD",0.85,
IF(F1609="MC",0.95,
IF(F1609="MO",1.05,
IF(F1609="EI",1.1,
IF(F1609="ED",1.1,
IF(F1609="SD",1.15,
IF(F1609="DC",1.2,0)))))))))))</f>
        <v>0.75</v>
      </c>
    </row>
    <row r="1610" customFormat="false" ht="16.4" hidden="false" customHeight="false" outlineLevel="0" collapsed="false">
      <c r="A1610" s="1" t="n">
        <v>1609</v>
      </c>
      <c r="B1610" s="5" t="str">
        <f aca="false">[1]Base_Jugadores!B1610</f>
        <v>Chrislain Matsima</v>
      </c>
      <c r="C1610" s="5" t="str">
        <f aca="false">IFERROR(
   _xlfn.XLOOKUP(VALUE(A1610),[1]Fichajes_Realizados!A$2:A$50000,[1]Fichajes_Realizados!D$2:D$50000,,0,-1),
   _xlfn.XLOOKUP(VALUE(A1610),[1]Base_Jugadores!A$2:A$50000,[1]Base_Jugadores!C$2:C$50000)
)</f>
        <v>FC Augsburgo</v>
      </c>
      <c r="D1610" s="5" t="str">
        <f aca="false">[1]Base_Jugadores!D1610</f>
        <v>Francia</v>
      </c>
      <c r="E1610" s="3"/>
      <c r="F1610" s="5" t="str">
        <f aca="false">[1]Base_Jugadores!E1610</f>
        <v>CT</v>
      </c>
      <c r="G1610" s="5" t="n">
        <f aca="false">[1]Base_Jugadores!F1610</f>
        <v>70</v>
      </c>
      <c r="H1610" s="5" t="n">
        <f aca="false">[1]Base_Jugadores!G1610</f>
        <v>23</v>
      </c>
      <c r="I1610" s="7" t="n">
        <f aca="false" t="array" ref="I1610:I1610">_xlfn.XLOOKUP(G1610,{55;56;57;58;59;60;61;62;63;64;65;66;67;68;69;70;71;72;73;74;75;76;77;78;79;80;81;82;83;84;85;86;87;88;89;90;91;92;93;94;95;96;97;98;99},{100000;130000;160000;190000;220000;250000;300000;350000;400000;450000;500000;600000;700000;800000;900000;1000000;1500000;2000000;3000000;4000000;5000000;6500000;8000000;10000000;12500000;15000000;20000000;25000000;30000000;35000000;40000000;55000000;70000000;80000000;90000000;110000000;130000000;160000000;190000000;220000000;250000000;280000000;310000000;340000000;400000000})</f>
        <v>1000000</v>
      </c>
      <c r="J1610" s="7" t="n">
        <f aca="false">I1610*S1610*T1610*U1610</f>
        <v>1107000</v>
      </c>
      <c r="K1610" s="3"/>
      <c r="L1610" s="3"/>
      <c r="M1610" s="3"/>
      <c r="N1610" s="9" t="n">
        <v>0</v>
      </c>
      <c r="O1610" s="4" t="n">
        <v>0</v>
      </c>
      <c r="P1610" s="5" t="n">
        <f aca="false">IF(COUNTIF([1]Base_Jugadores!J$2:J$500,B1610)&gt;0,1,0)</f>
        <v>0</v>
      </c>
      <c r="Q1610" s="10" t="b">
        <f aca="false">--(COUNTIFS(
   [1]Fichajes_Realizados!A$2:A$5000,A1610,
   [1]Fichajes_Realizados!G$2:G$5000,$X$3
)&gt;0)</f>
        <v>0</v>
      </c>
      <c r="R1610" s="5" t="n">
        <f aca="false">_xlfn.XLOOKUP(C1610, [1]Estado_Equipos!A$2:A$500, [1]Estado_Equipos!J$2:J$500, "")</f>
        <v>72</v>
      </c>
      <c r="S1610" s="5" t="n">
        <f aca="false">IF(H1610&lt;=16,1.45,
IF(H1610&gt;=41,0.3,
CHOOSE(ROUNDDOWN((H1610-16)/2,0)+1,
1.45,1.38,1.3,1.23,1.17,1.15,1.12,1.05,0.95,0.8,0.6,0.4,0.3)))</f>
        <v>1.23</v>
      </c>
      <c r="T1610" s="5" t="n">
        <f aca="false">CHOOSE(N1610+1,1.2,1,0.85,0.7)</f>
        <v>1.2</v>
      </c>
      <c r="U1610" s="5" t="n">
        <f aca="false">IF(F1610="PO",0.6,
IF(F1610="CT",0.75,
IF(F1610="LI",0.8,
IF(F1610="LD",0.8,
IF(F1610="MCD",0.85,
IF(F1610="MC",0.95,
IF(F1610="MO",1.05,
IF(F1610="EI",1.1,
IF(F1610="ED",1.1,
IF(F1610="SD",1.15,
IF(F1610="DC",1.2,0)))))))))))</f>
        <v>0.75</v>
      </c>
    </row>
    <row r="1611" customFormat="false" ht="16.4" hidden="false" customHeight="false" outlineLevel="0" collapsed="false">
      <c r="A1611" s="1" t="n">
        <v>1610</v>
      </c>
      <c r="B1611" s="5" t="str">
        <f aca="false">[1]Base_Jugadores!B1611</f>
        <v>Daniel Klein</v>
      </c>
      <c r="C1611" s="5" t="str">
        <f aca="false">IFERROR(
   _xlfn.XLOOKUP(VALUE(A1611),[1]Fichajes_Realizados!A$2:A$50000,[1]Fichajes_Realizados!D$2:D$50000,,0,-1),
   _xlfn.XLOOKUP(VALUE(A1611),[1]Base_Jugadores!A$2:A$50000,[1]Base_Jugadores!C$2:C$50000)
)</f>
        <v>FC Augsburgo</v>
      </c>
      <c r="D1611" s="5" t="str">
        <f aca="false">[1]Base_Jugadores!D1611</f>
        <v>Alemania</v>
      </c>
      <c r="E1611" s="3"/>
      <c r="F1611" s="5" t="str">
        <f aca="false">[1]Base_Jugadores!E1611</f>
        <v>PO</v>
      </c>
      <c r="G1611" s="5" t="n">
        <f aca="false">[1]Base_Jugadores!F1611</f>
        <v>66</v>
      </c>
      <c r="H1611" s="5" t="n">
        <f aca="false">[1]Base_Jugadores!G1611</f>
        <v>24</v>
      </c>
      <c r="I1611" s="7" t="n">
        <f aca="false" t="array" ref="I1611:I1611">_xlfn.XLOOKUP(G1611,{55;56;57;58;59;60;61;62;63;64;65;66;67;68;69;70;71;72;73;74;75;76;77;78;79;80;81;82;83;84;85;86;87;88;89;90;91;92;93;94;95;96;97;98;99},{100000;130000;160000;190000;220000;250000;300000;350000;400000;450000;500000;600000;700000;800000;900000;1000000;1500000;2000000;3000000;4000000;5000000;6500000;8000000;10000000;12500000;15000000;20000000;25000000;30000000;35000000;40000000;55000000;70000000;80000000;90000000;110000000;130000000;160000000;190000000;220000000;250000000;280000000;310000000;340000000;400000000})</f>
        <v>600000</v>
      </c>
      <c r="J1611" s="7" t="n">
        <f aca="false">I1611*S1611*T1611*U1611</f>
        <v>505440</v>
      </c>
      <c r="K1611" s="3"/>
      <c r="L1611" s="3"/>
      <c r="M1611" s="3"/>
      <c r="N1611" s="9" t="n">
        <v>0</v>
      </c>
      <c r="O1611" s="4" t="n">
        <v>0</v>
      </c>
      <c r="P1611" s="5" t="n">
        <f aca="false">IF(COUNTIF([1]Base_Jugadores!J$2:J$500,B1611)&gt;0,1,0)</f>
        <v>0</v>
      </c>
      <c r="Q1611" s="10" t="b">
        <f aca="false">--(COUNTIFS(
   [1]Fichajes_Realizados!A$2:A$5000,A1611,
   [1]Fichajes_Realizados!G$2:G$5000,$X$3
)&gt;0)</f>
        <v>0</v>
      </c>
      <c r="R1611" s="5" t="n">
        <f aca="false">_xlfn.XLOOKUP(C1611, [1]Estado_Equipos!A$2:A$500, [1]Estado_Equipos!J$2:J$500, "")</f>
        <v>72</v>
      </c>
      <c r="S1611" s="5" t="n">
        <f aca="false">IF(H1611&lt;=16,1.45,
IF(H1611&gt;=41,0.3,
CHOOSE(ROUNDDOWN((H1611-16)/2,0)+1,
1.45,1.38,1.3,1.23,1.17,1.15,1.12,1.05,0.95,0.8,0.6,0.4,0.3)))</f>
        <v>1.17</v>
      </c>
      <c r="T1611" s="5" t="n">
        <f aca="false">CHOOSE(N1611+1,1.2,1,0.85,0.7)</f>
        <v>1.2</v>
      </c>
      <c r="U1611" s="5" t="n">
        <f aca="false">IF(F1611="PO",0.6,
IF(F1611="CT",0.75,
IF(F1611="LI",0.8,
IF(F1611="LD",0.8,
IF(F1611="MCD",0.85,
IF(F1611="MC",0.95,
IF(F1611="MO",1.05,
IF(F1611="EI",1.1,
IF(F1611="ED",1.1,
IF(F1611="SD",1.15,
IF(F1611="DC",1.2,0)))))))))))</f>
        <v>0.6</v>
      </c>
    </row>
    <row r="1612" customFormat="false" ht="16.4" hidden="false" customHeight="false" outlineLevel="0" collapsed="false">
      <c r="A1612" s="1" t="n">
        <v>1611</v>
      </c>
      <c r="B1612" s="5" t="str">
        <f aca="false">[1]Base_Jugadores!B1612</f>
        <v>D. Giannoulis</v>
      </c>
      <c r="C1612" s="5" t="str">
        <f aca="false">IFERROR(
   _xlfn.XLOOKUP(VALUE(A1612),[1]Fichajes_Realizados!A$2:A$50000,[1]Fichajes_Realizados!D$2:D$50000,,0,-1),
   _xlfn.XLOOKUP(VALUE(A1612),[1]Base_Jugadores!A$2:A$50000,[1]Base_Jugadores!C$2:C$50000)
)</f>
        <v>FC Augsburgo</v>
      </c>
      <c r="D1612" s="5" t="str">
        <f aca="false">[1]Base_Jugadores!D1612</f>
        <v>Grecia</v>
      </c>
      <c r="E1612" s="3"/>
      <c r="F1612" s="5" t="str">
        <f aca="false">[1]Base_Jugadores!E1612</f>
        <v>LI</v>
      </c>
      <c r="G1612" s="5" t="n">
        <f aca="false">[1]Base_Jugadores!F1612</f>
        <v>73</v>
      </c>
      <c r="H1612" s="5" t="n">
        <f aca="false">[1]Base_Jugadores!G1612</f>
        <v>30</v>
      </c>
      <c r="I1612" s="7" t="n">
        <f aca="false" t="array" ref="I1612:I1612">_xlfn.XLOOKUP(G1612,{55;56;57;58;59;60;61;62;63;64;65;66;67;68;69;70;71;72;73;74;75;76;77;78;79;80;81;82;83;84;85;86;87;88;89;90;91;92;93;94;95;96;97;98;99},{100000;130000;160000;190000;220000;250000;300000;350000;400000;450000;500000;600000;700000;800000;900000;1000000;1500000;2000000;3000000;4000000;5000000;6500000;8000000;10000000;12500000;15000000;20000000;25000000;30000000;35000000;40000000;55000000;70000000;80000000;90000000;110000000;130000000;160000000;190000000;220000000;250000000;280000000;310000000;340000000;400000000})</f>
        <v>3000000</v>
      </c>
      <c r="J1612" s="7" t="n">
        <f aca="false">I1612*S1612*T1612*U1612</f>
        <v>3024000</v>
      </c>
      <c r="K1612" s="3"/>
      <c r="L1612" s="3"/>
      <c r="M1612" s="3"/>
      <c r="N1612" s="9" t="n">
        <v>0</v>
      </c>
      <c r="O1612" s="4" t="n">
        <v>0</v>
      </c>
      <c r="P1612" s="5" t="n">
        <f aca="false">IF(COUNTIF([1]Base_Jugadores!J$2:J$500,B1612)&gt;0,1,0)</f>
        <v>0</v>
      </c>
      <c r="Q1612" s="10" t="b">
        <f aca="false">--(COUNTIFS(
   [1]Fichajes_Realizados!A$2:A$5000,A1612,
   [1]Fichajes_Realizados!G$2:G$5000,$X$3
)&gt;0)</f>
        <v>0</v>
      </c>
      <c r="R1612" s="5" t="n">
        <f aca="false">_xlfn.XLOOKUP(C1612, [1]Estado_Equipos!A$2:A$500, [1]Estado_Equipos!J$2:J$500, "")</f>
        <v>72</v>
      </c>
      <c r="S1612" s="5" t="n">
        <f aca="false">IF(H1612&lt;=16,1.45,
IF(H1612&gt;=41,0.3,
CHOOSE(ROUNDDOWN((H1612-16)/2,0)+1,
1.45,1.38,1.3,1.23,1.17,1.15,1.12,1.05,0.95,0.8,0.6,0.4,0.3)))</f>
        <v>1.05</v>
      </c>
      <c r="T1612" s="5" t="n">
        <f aca="false">CHOOSE(N1612+1,1.2,1,0.85,0.7)</f>
        <v>1.2</v>
      </c>
      <c r="U1612" s="5" t="n">
        <f aca="false">IF(F1612="PO",0.6,
IF(F1612="CT",0.75,
IF(F1612="LI",0.8,
IF(F1612="LD",0.8,
IF(F1612="MCD",0.85,
IF(F1612="MC",0.95,
IF(F1612="MO",1.05,
IF(F1612="EI",1.1,
IF(F1612="ED",1.1,
IF(F1612="SD",1.15,
IF(F1612="DC",1.2,0)))))))))))</f>
        <v>0.8</v>
      </c>
    </row>
    <row r="1613" customFormat="false" ht="16.4" hidden="false" customHeight="false" outlineLevel="0" collapsed="false">
      <c r="A1613" s="1" t="n">
        <v>1612</v>
      </c>
      <c r="B1613" s="5" t="str">
        <f aca="false">[1]Base_Jugadores!B1613</f>
        <v>Elias Saad</v>
      </c>
      <c r="C1613" s="5" t="str">
        <f aca="false">IFERROR(
   _xlfn.XLOOKUP(VALUE(A1613),[1]Fichajes_Realizados!A$2:A$50000,[1]Fichajes_Realizados!D$2:D$50000,,0,-1),
   _xlfn.XLOOKUP(VALUE(A1613),[1]Base_Jugadores!A$2:A$50000,[1]Base_Jugadores!C$2:C$50000)
)</f>
        <v>FC Augsburgo</v>
      </c>
      <c r="D1613" s="5" t="str">
        <f aca="false">[1]Base_Jugadores!D1613</f>
        <v>Túnez</v>
      </c>
      <c r="E1613" s="3"/>
      <c r="F1613" s="5" t="str">
        <f aca="false">[1]Base_Jugadores!E1613</f>
        <v>EI</v>
      </c>
      <c r="G1613" s="5" t="n">
        <f aca="false">[1]Base_Jugadores!F1613</f>
        <v>72</v>
      </c>
      <c r="H1613" s="5" t="n">
        <f aca="false">[1]Base_Jugadores!G1613</f>
        <v>26</v>
      </c>
      <c r="I1613" s="7" t="n">
        <f aca="false" t="array" ref="I1613:I1613">_xlfn.XLOOKUP(G1613,{55;56;57;58;59;60;61;62;63;64;65;66;67;68;69;70;71;72;73;74;75;76;77;78;79;80;81;82;83;84;85;86;87;88;89;90;91;92;93;94;95;96;97;98;99},{100000;130000;160000;190000;220000;250000;300000;350000;400000;450000;500000;600000;700000;800000;900000;1000000;1500000;2000000;3000000;4000000;5000000;6500000;8000000;10000000;12500000;15000000;20000000;25000000;30000000;35000000;40000000;55000000;70000000;80000000;90000000;110000000;130000000;160000000;190000000;220000000;250000000;280000000;310000000;340000000;400000000})</f>
        <v>2000000</v>
      </c>
      <c r="J1613" s="7" t="n">
        <f aca="false">I1613*S1613*T1613*U1613</f>
        <v>3036000</v>
      </c>
      <c r="K1613" s="3"/>
      <c r="L1613" s="3"/>
      <c r="M1613" s="3"/>
      <c r="N1613" s="9" t="n">
        <v>0</v>
      </c>
      <c r="O1613" s="4" t="n">
        <v>0</v>
      </c>
      <c r="P1613" s="5" t="n">
        <f aca="false">IF(COUNTIF([1]Base_Jugadores!J$2:J$500,B1613)&gt;0,1,0)</f>
        <v>0</v>
      </c>
      <c r="Q1613" s="10" t="b">
        <f aca="false">--(COUNTIFS(
   [1]Fichajes_Realizados!A$2:A$5000,A1613,
   [1]Fichajes_Realizados!G$2:G$5000,$X$3
)&gt;0)</f>
        <v>0</v>
      </c>
      <c r="R1613" s="5" t="n">
        <f aca="false">_xlfn.XLOOKUP(C1613, [1]Estado_Equipos!A$2:A$500, [1]Estado_Equipos!J$2:J$500, "")</f>
        <v>72</v>
      </c>
      <c r="S1613" s="5" t="n">
        <f aca="false">IF(H1613&lt;=16,1.45,
IF(H1613&gt;=41,0.3,
CHOOSE(ROUNDDOWN((H1613-16)/2,0)+1,
1.45,1.38,1.3,1.23,1.17,1.15,1.12,1.05,0.95,0.8,0.6,0.4,0.3)))</f>
        <v>1.15</v>
      </c>
      <c r="T1613" s="5" t="n">
        <f aca="false">CHOOSE(N1613+1,1.2,1,0.85,0.7)</f>
        <v>1.2</v>
      </c>
      <c r="U1613" s="5" t="n">
        <f aca="false">IF(F1613="PO",0.6,
IF(F1613="CT",0.75,
IF(F1613="LI",0.8,
IF(F1613="LD",0.8,
IF(F1613="MCD",0.85,
IF(F1613="MC",0.95,
IF(F1613="MO",1.05,
IF(F1613="EI",1.1,
IF(F1613="ED",1.1,
IF(F1613="SD",1.15,
IF(F1613="DC",1.2,0)))))))))))</f>
        <v>1.1</v>
      </c>
    </row>
    <row r="1614" customFormat="false" ht="16.4" hidden="false" customHeight="false" outlineLevel="0" collapsed="false">
      <c r="A1614" s="1" t="n">
        <v>1613</v>
      </c>
      <c r="B1614" s="5" t="str">
        <f aca="false">[1]Base_Jugadores!B1614</f>
        <v>Elvis Rexhbecaj</v>
      </c>
      <c r="C1614" s="5" t="str">
        <f aca="false">IFERROR(
   _xlfn.XLOOKUP(VALUE(A1614),[1]Fichajes_Realizados!A$2:A$50000,[1]Fichajes_Realizados!D$2:D$50000,,0,-1),
   _xlfn.XLOOKUP(VALUE(A1614),[1]Base_Jugadores!A$2:A$50000,[1]Base_Jugadores!C$2:C$50000)
)</f>
        <v>FC Augsburgo</v>
      </c>
      <c r="D1614" s="5" t="str">
        <f aca="false">[1]Base_Jugadores!D1614</f>
        <v>Kosovo</v>
      </c>
      <c r="E1614" s="3"/>
      <c r="F1614" s="5" t="str">
        <f aca="false">[1]Base_Jugadores!E1614</f>
        <v>MC</v>
      </c>
      <c r="G1614" s="5" t="n">
        <f aca="false">[1]Base_Jugadores!F1614</f>
        <v>75</v>
      </c>
      <c r="H1614" s="5" t="n">
        <f aca="false">[1]Base_Jugadores!G1614</f>
        <v>28</v>
      </c>
      <c r="I1614" s="7" t="n">
        <f aca="false" t="array" ref="I1614:I1614">_xlfn.XLOOKUP(G1614,{55;56;57;58;59;60;61;62;63;64;65;66;67;68;69;70;71;72;73;74;75;76;77;78;79;80;81;82;83;84;85;86;87;88;89;90;91;92;93;94;95;96;97;98;99},{100000;130000;160000;190000;220000;250000;300000;350000;400000;450000;500000;600000;700000;800000;900000;1000000;1500000;2000000;3000000;4000000;5000000;6500000;8000000;10000000;12500000;15000000;20000000;25000000;30000000;35000000;40000000;55000000;70000000;80000000;90000000;110000000;130000000;160000000;190000000;220000000;250000000;280000000;310000000;340000000;400000000})</f>
        <v>5000000</v>
      </c>
      <c r="J1614" s="7" t="n">
        <f aca="false">I1614*S1614*T1614*U1614</f>
        <v>6384000</v>
      </c>
      <c r="K1614" s="3"/>
      <c r="L1614" s="3"/>
      <c r="M1614" s="3"/>
      <c r="N1614" s="9" t="n">
        <v>0</v>
      </c>
      <c r="O1614" s="4" t="n">
        <v>0</v>
      </c>
      <c r="P1614" s="5" t="n">
        <f aca="false">IF(COUNTIF([1]Base_Jugadores!J$2:J$500,B1614)&gt;0,1,0)</f>
        <v>0</v>
      </c>
      <c r="Q1614" s="10" t="b">
        <f aca="false">--(COUNTIFS(
   [1]Fichajes_Realizados!A$2:A$5000,A1614,
   [1]Fichajes_Realizados!G$2:G$5000,$X$3
)&gt;0)</f>
        <v>0</v>
      </c>
      <c r="R1614" s="5" t="n">
        <f aca="false">_xlfn.XLOOKUP(C1614, [1]Estado_Equipos!A$2:A$500, [1]Estado_Equipos!J$2:J$500, "")</f>
        <v>72</v>
      </c>
      <c r="S1614" s="5" t="n">
        <f aca="false">IF(H1614&lt;=16,1.45,
IF(H1614&gt;=41,0.3,
CHOOSE(ROUNDDOWN((H1614-16)/2,0)+1,
1.45,1.38,1.3,1.23,1.17,1.15,1.12,1.05,0.95,0.8,0.6,0.4,0.3)))</f>
        <v>1.12</v>
      </c>
      <c r="T1614" s="5" t="n">
        <f aca="false">CHOOSE(N1614+1,1.2,1,0.85,0.7)</f>
        <v>1.2</v>
      </c>
      <c r="U1614" s="5" t="n">
        <f aca="false">IF(F1614="PO",0.6,
IF(F1614="CT",0.75,
IF(F1614="LI",0.8,
IF(F1614="LD",0.8,
IF(F1614="MCD",0.85,
IF(F1614="MC",0.95,
IF(F1614="MO",1.05,
IF(F1614="EI",1.1,
IF(F1614="ED",1.1,
IF(F1614="SD",1.15,
IF(F1614="DC",1.2,0)))))))))))</f>
        <v>0.95</v>
      </c>
    </row>
    <row r="1615" customFormat="false" ht="16.4" hidden="false" customHeight="false" outlineLevel="0" collapsed="false">
      <c r="A1615" s="1" t="n">
        <v>1614</v>
      </c>
      <c r="B1615" s="5" t="str">
        <f aca="false">[1]Base_Jugadores!B1615</f>
        <v>Fabian Rieder</v>
      </c>
      <c r="C1615" s="5" t="str">
        <f aca="false">IFERROR(
   _xlfn.XLOOKUP(VALUE(A1615),[1]Fichajes_Realizados!A$2:A$50000,[1]Fichajes_Realizados!D$2:D$50000,,0,-1),
   _xlfn.XLOOKUP(VALUE(A1615),[1]Base_Jugadores!A$2:A$50000,[1]Base_Jugadores!C$2:C$50000)
)</f>
        <v>FC Augsburgo</v>
      </c>
      <c r="D1615" s="5" t="str">
        <f aca="false">[1]Base_Jugadores!D1615</f>
        <v>Suiza</v>
      </c>
      <c r="E1615" s="3"/>
      <c r="F1615" s="5" t="str">
        <f aca="false">[1]Base_Jugadores!E1615</f>
        <v>MO</v>
      </c>
      <c r="G1615" s="5" t="n">
        <f aca="false">[1]Base_Jugadores!F1615</f>
        <v>74</v>
      </c>
      <c r="H1615" s="5" t="n">
        <f aca="false">[1]Base_Jugadores!G1615</f>
        <v>23</v>
      </c>
      <c r="I1615" s="7" t="n">
        <f aca="false" t="array" ref="I1615:I1615">_xlfn.XLOOKUP(G1615,{55;56;57;58;59;60;61;62;63;64;65;66;67;68;69;70;71;72;73;74;75;76;77;78;79;80;81;82;83;84;85;86;87;88;89;90;91;92;93;94;95;96;97;98;99},{100000;130000;160000;190000;220000;250000;300000;350000;400000;450000;500000;600000;700000;800000;900000;1000000;1500000;2000000;3000000;4000000;5000000;6500000;8000000;10000000;12500000;15000000;20000000;25000000;30000000;35000000;40000000;55000000;70000000;80000000;90000000;110000000;130000000;160000000;190000000;220000000;250000000;280000000;310000000;340000000;400000000})</f>
        <v>4000000</v>
      </c>
      <c r="J1615" s="7" t="n">
        <f aca="false">I1615*S1615*T1615*U1615</f>
        <v>6199200</v>
      </c>
      <c r="K1615" s="3"/>
      <c r="L1615" s="3"/>
      <c r="M1615" s="3"/>
      <c r="N1615" s="9" t="n">
        <v>0</v>
      </c>
      <c r="O1615" s="4" t="n">
        <v>0</v>
      </c>
      <c r="P1615" s="5" t="n">
        <f aca="false">IF(COUNTIF([1]Base_Jugadores!J$2:J$500,B1615)&gt;0,1,0)</f>
        <v>0</v>
      </c>
      <c r="Q1615" s="10" t="b">
        <f aca="false">--(COUNTIFS(
   [1]Fichajes_Realizados!A$2:A$5000,A1615,
   [1]Fichajes_Realizados!G$2:G$5000,$X$3
)&gt;0)</f>
        <v>0</v>
      </c>
      <c r="R1615" s="5" t="n">
        <f aca="false">_xlfn.XLOOKUP(C1615, [1]Estado_Equipos!A$2:A$500, [1]Estado_Equipos!J$2:J$500, "")</f>
        <v>72</v>
      </c>
      <c r="S1615" s="5" t="n">
        <f aca="false">IF(H1615&lt;=16,1.45,
IF(H1615&gt;=41,0.3,
CHOOSE(ROUNDDOWN((H1615-16)/2,0)+1,
1.45,1.38,1.3,1.23,1.17,1.15,1.12,1.05,0.95,0.8,0.6,0.4,0.3)))</f>
        <v>1.23</v>
      </c>
      <c r="T1615" s="5" t="n">
        <f aca="false">CHOOSE(N1615+1,1.2,1,0.85,0.7)</f>
        <v>1.2</v>
      </c>
      <c r="U1615" s="5" t="n">
        <f aca="false">IF(F1615="PO",0.6,
IF(F1615="CT",0.75,
IF(F1615="LI",0.8,
IF(F1615="LD",0.8,
IF(F1615="MCD",0.85,
IF(F1615="MC",0.95,
IF(F1615="MO",1.05,
IF(F1615="EI",1.1,
IF(F1615="ED",1.1,
IF(F1615="SD",1.15,
IF(F1615="DC",1.2,0)))))))))))</f>
        <v>1.05</v>
      </c>
    </row>
    <row r="1616" customFormat="false" ht="16.4" hidden="false" customHeight="false" outlineLevel="0" collapsed="false">
      <c r="A1616" s="1" t="n">
        <v>1615</v>
      </c>
      <c r="B1616" s="5" t="str">
        <f aca="false">[1]Base_Jugadores!B1616</f>
        <v>Han-Noah Massengo</v>
      </c>
      <c r="C1616" s="5" t="str">
        <f aca="false">IFERROR(
   _xlfn.XLOOKUP(VALUE(A1616),[1]Fichajes_Realizados!A$2:A$50000,[1]Fichajes_Realizados!D$2:D$50000,,0,-1),
   _xlfn.XLOOKUP(VALUE(A1616),[1]Base_Jugadores!A$2:A$50000,[1]Base_Jugadores!C$2:C$50000)
)</f>
        <v>FC Augsburgo</v>
      </c>
      <c r="D1616" s="5" t="str">
        <f aca="false">[1]Base_Jugadores!D1616</f>
        <v>Francia</v>
      </c>
      <c r="E1616" s="3"/>
      <c r="F1616" s="5" t="str">
        <f aca="false">[1]Base_Jugadores!E1616</f>
        <v>MC</v>
      </c>
      <c r="G1616" s="5" t="n">
        <f aca="false">[1]Base_Jugadores!F1616</f>
        <v>71</v>
      </c>
      <c r="H1616" s="5" t="n">
        <f aca="false">[1]Base_Jugadores!G1616</f>
        <v>24</v>
      </c>
      <c r="I1616" s="7" t="n">
        <f aca="false" t="array" ref="I1616:I1616">_xlfn.XLOOKUP(G1616,{55;56;57;58;59;60;61;62;63;64;65;66;67;68;69;70;71;72;73;74;75;76;77;78;79;80;81;82;83;84;85;86;87;88;89;90;91;92;93;94;95;96;97;98;99},{100000;130000;160000;190000;220000;250000;300000;350000;400000;450000;500000;600000;700000;800000;900000;1000000;1500000;2000000;3000000;4000000;5000000;6500000;8000000;10000000;12500000;15000000;20000000;25000000;30000000;35000000;40000000;55000000;70000000;80000000;90000000;110000000;130000000;160000000;190000000;220000000;250000000;280000000;310000000;340000000;400000000})</f>
        <v>1500000</v>
      </c>
      <c r="J1616" s="7" t="n">
        <f aca="false">I1616*S1616*T1616*U1616</f>
        <v>2000700</v>
      </c>
      <c r="K1616" s="3"/>
      <c r="L1616" s="3"/>
      <c r="M1616" s="3"/>
      <c r="N1616" s="9" t="n">
        <v>0</v>
      </c>
      <c r="O1616" s="4" t="n">
        <v>0</v>
      </c>
      <c r="P1616" s="5" t="n">
        <f aca="false">IF(COUNTIF([1]Base_Jugadores!J$2:J$500,B1616)&gt;0,1,0)</f>
        <v>0</v>
      </c>
      <c r="Q1616" s="10" t="b">
        <f aca="false">--(COUNTIFS(
   [1]Fichajes_Realizados!A$2:A$5000,A1616,
   [1]Fichajes_Realizados!G$2:G$5000,$X$3
)&gt;0)</f>
        <v>0</v>
      </c>
      <c r="R1616" s="5" t="n">
        <f aca="false">_xlfn.XLOOKUP(C1616, [1]Estado_Equipos!A$2:A$500, [1]Estado_Equipos!J$2:J$500, "")</f>
        <v>72</v>
      </c>
      <c r="S1616" s="5" t="n">
        <f aca="false">IF(H1616&lt;=16,1.45,
IF(H1616&gt;=41,0.3,
CHOOSE(ROUNDDOWN((H1616-16)/2,0)+1,
1.45,1.38,1.3,1.23,1.17,1.15,1.12,1.05,0.95,0.8,0.6,0.4,0.3)))</f>
        <v>1.17</v>
      </c>
      <c r="T1616" s="5" t="n">
        <f aca="false">CHOOSE(N1616+1,1.2,1,0.85,0.7)</f>
        <v>1.2</v>
      </c>
      <c r="U1616" s="5" t="n">
        <f aca="false">IF(F1616="PO",0.6,
IF(F1616="CT",0.75,
IF(F1616="LI",0.8,
IF(F1616="LD",0.8,
IF(F1616="MCD",0.85,
IF(F1616="MC",0.95,
IF(F1616="MO",1.05,
IF(F1616="EI",1.1,
IF(F1616="ED",1.1,
IF(F1616="SD",1.15,
IF(F1616="DC",1.2,0)))))))))))</f>
        <v>0.95</v>
      </c>
    </row>
    <row r="1617" customFormat="false" ht="16.4" hidden="false" customHeight="false" outlineLevel="0" collapsed="false">
      <c r="A1617" s="1" t="n">
        <v>1616</v>
      </c>
      <c r="B1617" s="5" t="str">
        <f aca="false">[1]Base_Jugadores!B1617</f>
        <v>Ismaël Gharbi</v>
      </c>
      <c r="C1617" s="5" t="str">
        <f aca="false">IFERROR(
   _xlfn.XLOOKUP(VALUE(A1617),[1]Fichajes_Realizados!A$2:A$50000,[1]Fichajes_Realizados!D$2:D$50000,,0,-1),
   _xlfn.XLOOKUP(VALUE(A1617),[1]Base_Jugadores!A$2:A$50000,[1]Base_Jugadores!C$2:C$50000)
)</f>
        <v>FC Augsburgo</v>
      </c>
      <c r="D1617" s="5" t="str">
        <f aca="false">[1]Base_Jugadores!D1617</f>
        <v>Túnez</v>
      </c>
      <c r="E1617" s="3"/>
      <c r="F1617" s="5" t="str">
        <f aca="false">[1]Base_Jugadores!E1617</f>
        <v>EI</v>
      </c>
      <c r="G1617" s="5" t="n">
        <f aca="false">[1]Base_Jugadores!F1617</f>
        <v>69</v>
      </c>
      <c r="H1617" s="5" t="n">
        <f aca="false">[1]Base_Jugadores!G1617</f>
        <v>21</v>
      </c>
      <c r="I1617" s="7" t="n">
        <f aca="false" t="array" ref="I1617:I1617">_xlfn.XLOOKUP(G1617,{55;56;57;58;59;60;61;62;63;64;65;66;67;68;69;70;71;72;73;74;75;76;77;78;79;80;81;82;83;84;85;86;87;88;89;90;91;92;93;94;95;96;97;98;99},{100000;130000;160000;190000;220000;250000;300000;350000;400000;450000;500000;600000;700000;800000;900000;1000000;1500000;2000000;3000000;4000000;5000000;6500000;8000000;10000000;12500000;15000000;20000000;25000000;30000000;35000000;40000000;55000000;70000000;80000000;90000000;110000000;130000000;160000000;190000000;220000000;250000000;280000000;310000000;340000000;400000000})</f>
        <v>900000</v>
      </c>
      <c r="J1617" s="7" t="n">
        <f aca="false">I1617*S1617*T1617*U1617</f>
        <v>1544400</v>
      </c>
      <c r="K1617" s="3"/>
      <c r="L1617" s="3"/>
      <c r="M1617" s="3"/>
      <c r="N1617" s="9" t="n">
        <v>0</v>
      </c>
      <c r="O1617" s="4" t="n">
        <v>0</v>
      </c>
      <c r="P1617" s="5" t="n">
        <f aca="false">IF(COUNTIF([1]Base_Jugadores!J$2:J$500,B1617)&gt;0,1,0)</f>
        <v>0</v>
      </c>
      <c r="Q1617" s="10" t="b">
        <f aca="false">--(COUNTIFS(
   [1]Fichajes_Realizados!A$2:A$5000,A1617,
   [1]Fichajes_Realizados!G$2:G$5000,$X$3
)&gt;0)</f>
        <v>0</v>
      </c>
      <c r="R1617" s="5" t="n">
        <f aca="false">_xlfn.XLOOKUP(C1617, [1]Estado_Equipos!A$2:A$500, [1]Estado_Equipos!J$2:J$500, "")</f>
        <v>72</v>
      </c>
      <c r="S1617" s="5" t="n">
        <f aca="false">IF(H1617&lt;=16,1.45,
IF(H1617&gt;=41,0.3,
CHOOSE(ROUNDDOWN((H1617-16)/2,0)+1,
1.45,1.38,1.3,1.23,1.17,1.15,1.12,1.05,0.95,0.8,0.6,0.4,0.3)))</f>
        <v>1.3</v>
      </c>
      <c r="T1617" s="5" t="n">
        <f aca="false">CHOOSE(N1617+1,1.2,1,0.85,0.7)</f>
        <v>1.2</v>
      </c>
      <c r="U1617" s="5" t="n">
        <f aca="false">IF(F1617="PO",0.6,
IF(F1617="CT",0.75,
IF(F1617="LI",0.8,
IF(F1617="LD",0.8,
IF(F1617="MCD",0.85,
IF(F1617="MC",0.95,
IF(F1617="MO",1.05,
IF(F1617="EI",1.1,
IF(F1617="ED",1.1,
IF(F1617="SD",1.15,
IF(F1617="DC",1.2,0)))))))))))</f>
        <v>1.1</v>
      </c>
    </row>
    <row r="1618" customFormat="false" ht="16.4" hidden="false" customHeight="false" outlineLevel="0" collapsed="false">
      <c r="A1618" s="1" t="n">
        <v>1617</v>
      </c>
      <c r="B1618" s="5" t="str">
        <f aca="false">[1]Base_Jugadores!B1618</f>
        <v>Jeffrey Gouweleeuw</v>
      </c>
      <c r="C1618" s="5" t="str">
        <f aca="false">IFERROR(
   _xlfn.XLOOKUP(VALUE(A1618),[1]Fichajes_Realizados!A$2:A$50000,[1]Fichajes_Realizados!D$2:D$50000,,0,-1),
   _xlfn.XLOOKUP(VALUE(A1618),[1]Base_Jugadores!A$2:A$50000,[1]Base_Jugadores!C$2:C$50000)
)</f>
        <v>FC Augsburgo</v>
      </c>
      <c r="D1618" s="5" t="str">
        <f aca="false">[1]Base_Jugadores!D1618</f>
        <v>Países Bajos</v>
      </c>
      <c r="E1618" s="3"/>
      <c r="F1618" s="5" t="str">
        <f aca="false">[1]Base_Jugadores!E1618</f>
        <v>CT</v>
      </c>
      <c r="G1618" s="5" t="n">
        <f aca="false">[1]Base_Jugadores!F1618</f>
        <v>76</v>
      </c>
      <c r="H1618" s="5" t="n">
        <f aca="false">[1]Base_Jugadores!G1618</f>
        <v>34</v>
      </c>
      <c r="I1618" s="7" t="n">
        <f aca="false" t="array" ref="I1618:I1618">_xlfn.XLOOKUP(G1618,{55;56;57;58;59;60;61;62;63;64;65;66;67;68;69;70;71;72;73;74;75;76;77;78;79;80;81;82;83;84;85;86;87;88;89;90;91;92;93;94;95;96;97;98;99},{100000;130000;160000;190000;220000;250000;300000;350000;400000;450000;500000;600000;700000;800000;900000;1000000;1500000;2000000;3000000;4000000;5000000;6500000;8000000;10000000;12500000;15000000;20000000;25000000;30000000;35000000;40000000;55000000;70000000;80000000;90000000;110000000;130000000;160000000;190000000;220000000;250000000;280000000;310000000;340000000;400000000})</f>
        <v>6500000</v>
      </c>
      <c r="J1618" s="7" t="n">
        <f aca="false">I1618*S1618*T1618*U1618</f>
        <v>4680000</v>
      </c>
      <c r="K1618" s="3"/>
      <c r="L1618" s="3"/>
      <c r="M1618" s="3"/>
      <c r="N1618" s="9" t="n">
        <v>0</v>
      </c>
      <c r="O1618" s="4" t="n">
        <v>0</v>
      </c>
      <c r="P1618" s="5" t="n">
        <f aca="false">IF(COUNTIF([1]Base_Jugadores!J$2:J$500,B1618)&gt;0,1,0)</f>
        <v>0</v>
      </c>
      <c r="Q1618" s="10" t="b">
        <f aca="false">--(COUNTIFS(
   [1]Fichajes_Realizados!A$2:A$5000,A1618,
   [1]Fichajes_Realizados!G$2:G$5000,$X$3
)&gt;0)</f>
        <v>0</v>
      </c>
      <c r="R1618" s="5" t="n">
        <f aca="false">_xlfn.XLOOKUP(C1618, [1]Estado_Equipos!A$2:A$500, [1]Estado_Equipos!J$2:J$500, "")</f>
        <v>72</v>
      </c>
      <c r="S1618" s="5" t="n">
        <f aca="false">IF(H1618&lt;=16,1.45,
IF(H1618&gt;=41,0.3,
CHOOSE(ROUNDDOWN((H1618-16)/2,0)+1,
1.45,1.38,1.3,1.23,1.17,1.15,1.12,1.05,0.95,0.8,0.6,0.4,0.3)))</f>
        <v>0.8</v>
      </c>
      <c r="T1618" s="5" t="n">
        <f aca="false">CHOOSE(N1618+1,1.2,1,0.85,0.7)</f>
        <v>1.2</v>
      </c>
      <c r="U1618" s="5" t="n">
        <f aca="false">IF(F1618="PO",0.6,
IF(F1618="CT",0.75,
IF(F1618="LI",0.8,
IF(F1618="LD",0.8,
IF(F1618="MCD",0.85,
IF(F1618="MC",0.95,
IF(F1618="MO",1.05,
IF(F1618="EI",1.1,
IF(F1618="ED",1.1,
IF(F1618="SD",1.15,
IF(F1618="DC",1.2,0)))))))))))</f>
        <v>0.75</v>
      </c>
    </row>
    <row r="1619" customFormat="false" ht="16.4" hidden="false" customHeight="false" outlineLevel="0" collapsed="false">
      <c r="A1619" s="1" t="n">
        <v>1618</v>
      </c>
      <c r="B1619" s="5" t="str">
        <f aca="false">[1]Base_Jugadores!B1619</f>
        <v>Keven Schlotterbeck</v>
      </c>
      <c r="C1619" s="5" t="str">
        <f aca="false">IFERROR(
   _xlfn.XLOOKUP(VALUE(A1619),[1]Fichajes_Realizados!A$2:A$50000,[1]Fichajes_Realizados!D$2:D$50000,,0,-1),
   _xlfn.XLOOKUP(VALUE(A1619),[1]Base_Jugadores!A$2:A$50000,[1]Base_Jugadores!C$2:C$50000)
)</f>
        <v>FC Augsburgo</v>
      </c>
      <c r="D1619" s="5" t="str">
        <f aca="false">[1]Base_Jugadores!D1619</f>
        <v>Alemania</v>
      </c>
      <c r="E1619" s="3"/>
      <c r="F1619" s="5" t="str">
        <f aca="false">[1]Base_Jugadores!E1619</f>
        <v>CT</v>
      </c>
      <c r="G1619" s="5" t="n">
        <f aca="false">[1]Base_Jugadores!F1619</f>
        <v>75</v>
      </c>
      <c r="H1619" s="5" t="n">
        <f aca="false">[1]Base_Jugadores!G1619</f>
        <v>28</v>
      </c>
      <c r="I1619" s="7" t="n">
        <f aca="false" t="array" ref="I1619:I1619">_xlfn.XLOOKUP(G1619,{55;56;57;58;59;60;61;62;63;64;65;66;67;68;69;70;71;72;73;74;75;76;77;78;79;80;81;82;83;84;85;86;87;88;89;90;91;92;93;94;95;96;97;98;99},{100000;130000;160000;190000;220000;250000;300000;350000;400000;450000;500000;600000;700000;800000;900000;1000000;1500000;2000000;3000000;4000000;5000000;6500000;8000000;10000000;12500000;15000000;20000000;25000000;30000000;35000000;40000000;55000000;70000000;80000000;90000000;110000000;130000000;160000000;190000000;220000000;250000000;280000000;310000000;340000000;400000000})</f>
        <v>5000000</v>
      </c>
      <c r="J1619" s="7" t="n">
        <f aca="false">I1619*S1619*T1619*U1619</f>
        <v>5040000</v>
      </c>
      <c r="K1619" s="3"/>
      <c r="L1619" s="3"/>
      <c r="M1619" s="3"/>
      <c r="N1619" s="9" t="n">
        <v>0</v>
      </c>
      <c r="O1619" s="4" t="n">
        <v>0</v>
      </c>
      <c r="P1619" s="5" t="n">
        <f aca="false">IF(COUNTIF([1]Base_Jugadores!J$2:J$500,B1619)&gt;0,1,0)</f>
        <v>0</v>
      </c>
      <c r="Q1619" s="10" t="b">
        <f aca="false">--(COUNTIFS(
   [1]Fichajes_Realizados!A$2:A$5000,A1619,
   [1]Fichajes_Realizados!G$2:G$5000,$X$3
)&gt;0)</f>
        <v>0</v>
      </c>
      <c r="R1619" s="5" t="n">
        <f aca="false">_xlfn.XLOOKUP(C1619, [1]Estado_Equipos!A$2:A$500, [1]Estado_Equipos!J$2:J$500, "")</f>
        <v>72</v>
      </c>
      <c r="S1619" s="5" t="n">
        <f aca="false">IF(H1619&lt;=16,1.45,
IF(H1619&gt;=41,0.3,
CHOOSE(ROUNDDOWN((H1619-16)/2,0)+1,
1.45,1.38,1.3,1.23,1.17,1.15,1.12,1.05,0.95,0.8,0.6,0.4,0.3)))</f>
        <v>1.12</v>
      </c>
      <c r="T1619" s="5" t="n">
        <f aca="false">CHOOSE(N1619+1,1.2,1,0.85,0.7)</f>
        <v>1.2</v>
      </c>
      <c r="U1619" s="5" t="n">
        <f aca="false">IF(F1619="PO",0.6,
IF(F1619="CT",0.75,
IF(F1619="LI",0.8,
IF(F1619="LD",0.8,
IF(F1619="MCD",0.85,
IF(F1619="MC",0.95,
IF(F1619="MO",1.05,
IF(F1619="EI",1.1,
IF(F1619="ED",1.1,
IF(F1619="SD",1.15,
IF(F1619="DC",1.2,0)))))))))))</f>
        <v>0.75</v>
      </c>
    </row>
    <row r="1620" customFormat="false" ht="16.4" hidden="false" customHeight="false" outlineLevel="0" collapsed="false">
      <c r="A1620" s="1" t="n">
        <v>1619</v>
      </c>
      <c r="B1620" s="5" t="str">
        <f aca="false">[1]Base_Jugadores!B1620</f>
        <v>Kristijan Jakic</v>
      </c>
      <c r="C1620" s="5" t="str">
        <f aca="false">IFERROR(
   _xlfn.XLOOKUP(VALUE(A1620),[1]Fichajes_Realizados!A$2:A$50000,[1]Fichajes_Realizados!D$2:D$50000,,0,-1),
   _xlfn.XLOOKUP(VALUE(A1620),[1]Base_Jugadores!A$2:A$50000,[1]Base_Jugadores!C$2:C$50000)
)</f>
        <v>FC Augsburgo</v>
      </c>
      <c r="D1620" s="5" t="str">
        <f aca="false">[1]Base_Jugadores!D1620</f>
        <v>Croacia</v>
      </c>
      <c r="E1620" s="3"/>
      <c r="F1620" s="5" t="str">
        <f aca="false">[1]Base_Jugadores!E1620</f>
        <v>MCD</v>
      </c>
      <c r="G1620" s="5" t="n">
        <f aca="false">[1]Base_Jugadores!F1620</f>
        <v>77</v>
      </c>
      <c r="H1620" s="5" t="n">
        <f aca="false">[1]Base_Jugadores!G1620</f>
        <v>28</v>
      </c>
      <c r="I1620" s="7" t="n">
        <f aca="false" t="array" ref="I1620:I1620">_xlfn.XLOOKUP(G1620,{55;56;57;58;59;60;61;62;63;64;65;66;67;68;69;70;71;72;73;74;75;76;77;78;79;80;81;82;83;84;85;86;87;88;89;90;91;92;93;94;95;96;97;98;99},{100000;130000;160000;190000;220000;250000;300000;350000;400000;450000;500000;600000;700000;800000;900000;1000000;1500000;2000000;3000000;4000000;5000000;6500000;8000000;10000000;12500000;15000000;20000000;25000000;30000000;35000000;40000000;55000000;70000000;80000000;90000000;110000000;130000000;160000000;190000000;220000000;250000000;280000000;310000000;340000000;400000000})</f>
        <v>8000000</v>
      </c>
      <c r="J1620" s="7" t="n">
        <f aca="false">I1620*S1620*T1620*U1620</f>
        <v>9139200</v>
      </c>
      <c r="K1620" s="3"/>
      <c r="L1620" s="3"/>
      <c r="M1620" s="3"/>
      <c r="N1620" s="9" t="n">
        <v>0</v>
      </c>
      <c r="O1620" s="4" t="n">
        <v>0</v>
      </c>
      <c r="P1620" s="5" t="n">
        <f aca="false">IF(COUNTIF([1]Base_Jugadores!J$2:J$500,B1620)&gt;0,1,0)</f>
        <v>0</v>
      </c>
      <c r="Q1620" s="10" t="b">
        <f aca="false">--(COUNTIFS(
   [1]Fichajes_Realizados!A$2:A$5000,A1620,
   [1]Fichajes_Realizados!G$2:G$5000,$X$3
)&gt;0)</f>
        <v>0</v>
      </c>
      <c r="R1620" s="5" t="n">
        <f aca="false">_xlfn.XLOOKUP(C1620, [1]Estado_Equipos!A$2:A$500, [1]Estado_Equipos!J$2:J$500, "")</f>
        <v>72</v>
      </c>
      <c r="S1620" s="5" t="n">
        <f aca="false">IF(H1620&lt;=16,1.45,
IF(H1620&gt;=41,0.3,
CHOOSE(ROUNDDOWN((H1620-16)/2,0)+1,
1.45,1.38,1.3,1.23,1.17,1.15,1.12,1.05,0.95,0.8,0.6,0.4,0.3)))</f>
        <v>1.12</v>
      </c>
      <c r="T1620" s="5" t="n">
        <f aca="false">CHOOSE(N1620+1,1.2,1,0.85,0.7)</f>
        <v>1.2</v>
      </c>
      <c r="U1620" s="5" t="n">
        <f aca="false">IF(F1620="PO",0.6,
IF(F1620="CT",0.75,
IF(F1620="LI",0.8,
IF(F1620="LD",0.8,
IF(F1620="MCD",0.85,
IF(F1620="MC",0.95,
IF(F1620="MO",1.05,
IF(F1620="EI",1.1,
IF(F1620="ED",1.1,
IF(F1620="SD",1.15,
IF(F1620="DC",1.2,0)))))))))))</f>
        <v>0.85</v>
      </c>
    </row>
    <row r="1621" customFormat="false" ht="16.4" hidden="false" customHeight="false" outlineLevel="0" collapsed="false">
      <c r="A1621" s="1" t="n">
        <v>1620</v>
      </c>
      <c r="B1621" s="5" t="str">
        <f aca="false">[1]Base_Jugadores!B1621</f>
        <v>Mads Pedersen</v>
      </c>
      <c r="C1621" s="5" t="str">
        <f aca="false">IFERROR(
   _xlfn.XLOOKUP(VALUE(A1621),[1]Fichajes_Realizados!A$2:A$50000,[1]Fichajes_Realizados!D$2:D$50000,,0,-1),
   _xlfn.XLOOKUP(VALUE(A1621),[1]Base_Jugadores!A$2:A$50000,[1]Base_Jugadores!C$2:C$50000)
)</f>
        <v>FC Augsburgo</v>
      </c>
      <c r="D1621" s="5" t="str">
        <f aca="false">[1]Base_Jugadores!D1621</f>
        <v>Dinamarca</v>
      </c>
      <c r="E1621" s="3"/>
      <c r="F1621" s="5" t="str">
        <f aca="false">[1]Base_Jugadores!E1621</f>
        <v>LI</v>
      </c>
      <c r="G1621" s="5" t="n">
        <f aca="false">[1]Base_Jugadores!F1621</f>
        <v>73</v>
      </c>
      <c r="H1621" s="5" t="n">
        <f aca="false">[1]Base_Jugadores!G1621</f>
        <v>29</v>
      </c>
      <c r="I1621" s="7" t="n">
        <f aca="false" t="array" ref="I1621:I1621">_xlfn.XLOOKUP(G1621,{55;56;57;58;59;60;61;62;63;64;65;66;67;68;69;70;71;72;73;74;75;76;77;78;79;80;81;82;83;84;85;86;87;88;89;90;91;92;93;94;95;96;97;98;99},{100000;130000;160000;190000;220000;250000;300000;350000;400000;450000;500000;600000;700000;800000;900000;1000000;1500000;2000000;3000000;4000000;5000000;6500000;8000000;10000000;12500000;15000000;20000000;25000000;30000000;35000000;40000000;55000000;70000000;80000000;90000000;110000000;130000000;160000000;190000000;220000000;250000000;280000000;310000000;340000000;400000000})</f>
        <v>3000000</v>
      </c>
      <c r="J1621" s="7" t="n">
        <f aca="false">I1621*S1621*T1621*U1621</f>
        <v>3225600</v>
      </c>
      <c r="K1621" s="3"/>
      <c r="L1621" s="3"/>
      <c r="M1621" s="3"/>
      <c r="N1621" s="9" t="n">
        <v>0</v>
      </c>
      <c r="O1621" s="4" t="n">
        <v>0</v>
      </c>
      <c r="P1621" s="5" t="n">
        <f aca="false">IF(COUNTIF([1]Base_Jugadores!J$2:J$500,B1621)&gt;0,1,0)</f>
        <v>0</v>
      </c>
      <c r="Q1621" s="10" t="b">
        <f aca="false">--(COUNTIFS(
   [1]Fichajes_Realizados!A$2:A$5000,A1621,
   [1]Fichajes_Realizados!G$2:G$5000,$X$3
)&gt;0)</f>
        <v>0</v>
      </c>
      <c r="R1621" s="5" t="n">
        <f aca="false">_xlfn.XLOOKUP(C1621, [1]Estado_Equipos!A$2:A$500, [1]Estado_Equipos!J$2:J$500, "")</f>
        <v>72</v>
      </c>
      <c r="S1621" s="5" t="n">
        <f aca="false">IF(H1621&lt;=16,1.45,
IF(H1621&gt;=41,0.3,
CHOOSE(ROUNDDOWN((H1621-16)/2,0)+1,
1.45,1.38,1.3,1.23,1.17,1.15,1.12,1.05,0.95,0.8,0.6,0.4,0.3)))</f>
        <v>1.12</v>
      </c>
      <c r="T1621" s="5" t="n">
        <f aca="false">CHOOSE(N1621+1,1.2,1,0.85,0.7)</f>
        <v>1.2</v>
      </c>
      <c r="U1621" s="5" t="n">
        <f aca="false">IF(F1621="PO",0.6,
IF(F1621="CT",0.75,
IF(F1621="LI",0.8,
IF(F1621="LD",0.8,
IF(F1621="MCD",0.85,
IF(F1621="MC",0.95,
IF(F1621="MO",1.05,
IF(F1621="EI",1.1,
IF(F1621="ED",1.1,
IF(F1621="SD",1.15,
IF(F1621="DC",1.2,0)))))))))))</f>
        <v>0.8</v>
      </c>
    </row>
    <row r="1622" customFormat="false" ht="16.4" hidden="false" customHeight="false" outlineLevel="0" collapsed="false">
      <c r="A1622" s="1" t="n">
        <v>1621</v>
      </c>
      <c r="B1622" s="5" t="str">
        <f aca="false">[1]Base_Jugadores!B1622</f>
        <v>M. Kücüksahin</v>
      </c>
      <c r="C1622" s="5" t="str">
        <f aca="false">IFERROR(
   _xlfn.XLOOKUP(VALUE(A1622),[1]Fichajes_Realizados!A$2:A$50000,[1]Fichajes_Realizados!D$2:D$50000,,0,-1),
   _xlfn.XLOOKUP(VALUE(A1622),[1]Base_Jugadores!A$2:A$50000,[1]Base_Jugadores!C$2:C$50000)
)</f>
        <v>FC Augsburgo</v>
      </c>
      <c r="D1622" s="5" t="str">
        <f aca="false">[1]Base_Jugadores!D1622</f>
        <v>Turquía</v>
      </c>
      <c r="E1622" s="3"/>
      <c r="F1622" s="5" t="str">
        <f aca="false">[1]Base_Jugadores!E1622</f>
        <v>MCD</v>
      </c>
      <c r="G1622" s="5" t="n">
        <f aca="false">[1]Base_Jugadores!F1622</f>
        <v>58</v>
      </c>
      <c r="H1622" s="5" t="n">
        <f aca="false">[1]Base_Jugadores!G1622</f>
        <v>21</v>
      </c>
      <c r="I1622" s="7" t="n">
        <f aca="false" t="array" ref="I1622:I1622">_xlfn.XLOOKUP(G1622,{55;56;57;58;59;60;61;62;63;64;65;66;67;68;69;70;71;72;73;74;75;76;77;78;79;80;81;82;83;84;85;86;87;88;89;90;91;92;93;94;95;96;97;98;99},{100000;130000;160000;190000;220000;250000;300000;350000;400000;450000;500000;600000;700000;800000;900000;1000000;1500000;2000000;3000000;4000000;5000000;6500000;8000000;10000000;12500000;15000000;20000000;25000000;30000000;35000000;40000000;55000000;70000000;80000000;90000000;110000000;130000000;160000000;190000000;220000000;250000000;280000000;310000000;340000000;400000000})</f>
        <v>190000</v>
      </c>
      <c r="J1622" s="7" t="n">
        <f aca="false">I1622*S1622*T1622*U1622</f>
        <v>251940</v>
      </c>
      <c r="K1622" s="3"/>
      <c r="L1622" s="3"/>
      <c r="M1622" s="3"/>
      <c r="N1622" s="9" t="n">
        <v>0</v>
      </c>
      <c r="O1622" s="4" t="n">
        <v>0</v>
      </c>
      <c r="P1622" s="5" t="n">
        <f aca="false">IF(COUNTIF([1]Base_Jugadores!J$2:J$500,B1622)&gt;0,1,0)</f>
        <v>0</v>
      </c>
      <c r="Q1622" s="10" t="b">
        <f aca="false">--(COUNTIFS(
   [1]Fichajes_Realizados!A$2:A$5000,A1622,
   [1]Fichajes_Realizados!G$2:G$5000,$X$3
)&gt;0)</f>
        <v>0</v>
      </c>
      <c r="R1622" s="5" t="n">
        <f aca="false">_xlfn.XLOOKUP(C1622, [1]Estado_Equipos!A$2:A$500, [1]Estado_Equipos!J$2:J$500, "")</f>
        <v>72</v>
      </c>
      <c r="S1622" s="5" t="n">
        <f aca="false">IF(H1622&lt;=16,1.45,
IF(H1622&gt;=41,0.3,
CHOOSE(ROUNDDOWN((H1622-16)/2,0)+1,
1.45,1.38,1.3,1.23,1.17,1.15,1.12,1.05,0.95,0.8,0.6,0.4,0.3)))</f>
        <v>1.3</v>
      </c>
      <c r="T1622" s="5" t="n">
        <f aca="false">CHOOSE(N1622+1,1.2,1,0.85,0.7)</f>
        <v>1.2</v>
      </c>
      <c r="U1622" s="5" t="n">
        <f aca="false">IF(F1622="PO",0.6,
IF(F1622="CT",0.75,
IF(F1622="LI",0.8,
IF(F1622="LD",0.8,
IF(F1622="MCD",0.85,
IF(F1622="MC",0.95,
IF(F1622="MO",1.05,
IF(F1622="EI",1.1,
IF(F1622="ED",1.1,
IF(F1622="SD",1.15,
IF(F1622="DC",1.2,0)))))))))))</f>
        <v>0.85</v>
      </c>
    </row>
    <row r="1623" customFormat="false" ht="16.4" hidden="false" customHeight="false" outlineLevel="0" collapsed="false">
      <c r="A1623" s="1" t="n">
        <v>1622</v>
      </c>
      <c r="B1623" s="5" t="str">
        <f aca="false">[1]Base_Jugadores!B1623</f>
        <v>Marius Wolf</v>
      </c>
      <c r="C1623" s="5" t="str">
        <f aca="false">IFERROR(
   _xlfn.XLOOKUP(VALUE(A1623),[1]Fichajes_Realizados!A$2:A$50000,[1]Fichajes_Realizados!D$2:D$50000,,0,-1),
   _xlfn.XLOOKUP(VALUE(A1623),[1]Base_Jugadores!A$2:A$50000,[1]Base_Jugadores!C$2:C$50000)
)</f>
        <v>FC Augsburgo</v>
      </c>
      <c r="D1623" s="5" t="str">
        <f aca="false">[1]Base_Jugadores!D1623</f>
        <v>Alemania</v>
      </c>
      <c r="E1623" s="3"/>
      <c r="F1623" s="5" t="str">
        <f aca="false">[1]Base_Jugadores!E1623</f>
        <v>LD</v>
      </c>
      <c r="G1623" s="5" t="n">
        <f aca="false">[1]Base_Jugadores!F1623</f>
        <v>76</v>
      </c>
      <c r="H1623" s="5" t="n">
        <f aca="false">[1]Base_Jugadores!G1623</f>
        <v>30</v>
      </c>
      <c r="I1623" s="7" t="n">
        <f aca="false" t="array" ref="I1623:I1623">_xlfn.XLOOKUP(G1623,{55;56;57;58;59;60;61;62;63;64;65;66;67;68;69;70;71;72;73;74;75;76;77;78;79;80;81;82;83;84;85;86;87;88;89;90;91;92;93;94;95;96;97;98;99},{100000;130000;160000;190000;220000;250000;300000;350000;400000;450000;500000;600000;700000;800000;900000;1000000;1500000;2000000;3000000;4000000;5000000;6500000;8000000;10000000;12500000;15000000;20000000;25000000;30000000;35000000;40000000;55000000;70000000;80000000;90000000;110000000;130000000;160000000;190000000;220000000;250000000;280000000;310000000;340000000;400000000})</f>
        <v>6500000</v>
      </c>
      <c r="J1623" s="7" t="n">
        <f aca="false">I1623*S1623*T1623*U1623</f>
        <v>6552000</v>
      </c>
      <c r="K1623" s="3"/>
      <c r="L1623" s="3"/>
      <c r="M1623" s="3"/>
      <c r="N1623" s="9" t="n">
        <v>0</v>
      </c>
      <c r="O1623" s="4" t="n">
        <v>0</v>
      </c>
      <c r="P1623" s="5" t="n">
        <f aca="false">IF(COUNTIF([1]Base_Jugadores!J$2:J$500,B1623)&gt;0,1,0)</f>
        <v>0</v>
      </c>
      <c r="Q1623" s="10" t="b">
        <f aca="false">--(COUNTIFS(
   [1]Fichajes_Realizados!A$2:A$5000,A1623,
   [1]Fichajes_Realizados!G$2:G$5000,$X$3
)&gt;0)</f>
        <v>0</v>
      </c>
      <c r="R1623" s="5" t="n">
        <f aca="false">_xlfn.XLOOKUP(C1623, [1]Estado_Equipos!A$2:A$500, [1]Estado_Equipos!J$2:J$500, "")</f>
        <v>72</v>
      </c>
      <c r="S1623" s="5" t="n">
        <f aca="false">IF(H1623&lt;=16,1.45,
IF(H1623&gt;=41,0.3,
CHOOSE(ROUNDDOWN((H1623-16)/2,0)+1,
1.45,1.38,1.3,1.23,1.17,1.15,1.12,1.05,0.95,0.8,0.6,0.4,0.3)))</f>
        <v>1.05</v>
      </c>
      <c r="T1623" s="5" t="n">
        <f aca="false">CHOOSE(N1623+1,1.2,1,0.85,0.7)</f>
        <v>1.2</v>
      </c>
      <c r="U1623" s="5" t="n">
        <f aca="false">IF(F1623="PO",0.6,
IF(F1623="CT",0.75,
IF(F1623="LI",0.8,
IF(F1623="LD",0.8,
IF(F1623="MCD",0.85,
IF(F1623="MC",0.95,
IF(F1623="MO",1.05,
IF(F1623="EI",1.1,
IF(F1623="ED",1.1,
IF(F1623="SD",1.15,
IF(F1623="DC",1.2,0)))))))))))</f>
        <v>0.8</v>
      </c>
    </row>
    <row r="1624" customFormat="false" ht="16.4" hidden="false" customHeight="false" outlineLevel="0" collapsed="false">
      <c r="A1624" s="1" t="n">
        <v>1623</v>
      </c>
      <c r="B1624" s="5" t="str">
        <f aca="false">[1]Base_Jugadores!B1624</f>
        <v>Maximilian Bauer</v>
      </c>
      <c r="C1624" s="5" t="str">
        <f aca="false">IFERROR(
   _xlfn.XLOOKUP(VALUE(A1624),[1]Fichajes_Realizados!A$2:A$50000,[1]Fichajes_Realizados!D$2:D$50000,,0,-1),
   _xlfn.XLOOKUP(VALUE(A1624),[1]Base_Jugadores!A$2:A$50000,[1]Base_Jugadores!C$2:C$50000)
)</f>
        <v>FC Augsburgo</v>
      </c>
      <c r="D1624" s="5" t="str">
        <f aca="false">[1]Base_Jugadores!D1624</f>
        <v>Alemania</v>
      </c>
      <c r="E1624" s="3"/>
      <c r="F1624" s="5" t="str">
        <f aca="false">[1]Base_Jugadores!E1624</f>
        <v>CT</v>
      </c>
      <c r="G1624" s="5" t="n">
        <f aca="false">[1]Base_Jugadores!F1624</f>
        <v>72</v>
      </c>
      <c r="H1624" s="5" t="n">
        <f aca="false">[1]Base_Jugadores!G1624</f>
        <v>25</v>
      </c>
      <c r="I1624" s="7" t="n">
        <f aca="false" t="array" ref="I1624:I1624">_xlfn.XLOOKUP(G1624,{55;56;57;58;59;60;61;62;63;64;65;66;67;68;69;70;71;72;73;74;75;76;77;78;79;80;81;82;83;84;85;86;87;88;89;90;91;92;93;94;95;96;97;98;99},{100000;130000;160000;190000;220000;250000;300000;350000;400000;450000;500000;600000;700000;800000;900000;1000000;1500000;2000000;3000000;4000000;5000000;6500000;8000000;10000000;12500000;15000000;20000000;25000000;30000000;35000000;40000000;55000000;70000000;80000000;90000000;110000000;130000000;160000000;190000000;220000000;250000000;280000000;310000000;340000000;400000000})</f>
        <v>2000000</v>
      </c>
      <c r="J1624" s="7" t="n">
        <f aca="false">I1624*S1624*T1624*U1624</f>
        <v>2106000</v>
      </c>
      <c r="K1624" s="3"/>
      <c r="L1624" s="3"/>
      <c r="M1624" s="3"/>
      <c r="N1624" s="9" t="n">
        <v>0</v>
      </c>
      <c r="O1624" s="4" t="n">
        <v>0</v>
      </c>
      <c r="P1624" s="5" t="n">
        <f aca="false">IF(COUNTIF([1]Base_Jugadores!J$2:J$500,B1624)&gt;0,1,0)</f>
        <v>0</v>
      </c>
      <c r="Q1624" s="10" t="b">
        <f aca="false">--(COUNTIFS(
   [1]Fichajes_Realizados!A$2:A$5000,A1624,
   [1]Fichajes_Realizados!G$2:G$5000,$X$3
)&gt;0)</f>
        <v>0</v>
      </c>
      <c r="R1624" s="5" t="n">
        <f aca="false">_xlfn.XLOOKUP(C1624, [1]Estado_Equipos!A$2:A$500, [1]Estado_Equipos!J$2:J$500, "")</f>
        <v>72</v>
      </c>
      <c r="S1624" s="5" t="n">
        <f aca="false">IF(H1624&lt;=16,1.45,
IF(H1624&gt;=41,0.3,
CHOOSE(ROUNDDOWN((H1624-16)/2,0)+1,
1.45,1.38,1.3,1.23,1.17,1.15,1.12,1.05,0.95,0.8,0.6,0.4,0.3)))</f>
        <v>1.17</v>
      </c>
      <c r="T1624" s="5" t="n">
        <f aca="false">CHOOSE(N1624+1,1.2,1,0.85,0.7)</f>
        <v>1.2</v>
      </c>
      <c r="U1624" s="5" t="n">
        <f aca="false">IF(F1624="PO",0.6,
IF(F1624="CT",0.75,
IF(F1624="LI",0.8,
IF(F1624="LD",0.8,
IF(F1624="MCD",0.85,
IF(F1624="MC",0.95,
IF(F1624="MO",1.05,
IF(F1624="EI",1.1,
IF(F1624="ED",1.1,
IF(F1624="SD",1.15,
IF(F1624="DC",1.2,0)))))))))))</f>
        <v>0.75</v>
      </c>
    </row>
    <row r="1625" customFormat="false" ht="16.4" hidden="false" customHeight="false" outlineLevel="0" collapsed="false">
      <c r="A1625" s="1" t="n">
        <v>1624</v>
      </c>
      <c r="B1625" s="5" t="str">
        <f aca="false">[1]Base_Jugadores!B1625</f>
        <v>Mert Kömür</v>
      </c>
      <c r="C1625" s="5" t="str">
        <f aca="false">IFERROR(
   _xlfn.XLOOKUP(VALUE(A1625),[1]Fichajes_Realizados!A$2:A$50000,[1]Fichajes_Realizados!D$2:D$50000,,0,-1),
   _xlfn.XLOOKUP(VALUE(A1625),[1]Base_Jugadores!A$2:A$50000,[1]Base_Jugadores!C$2:C$50000)
)</f>
        <v>FC Augsburgo</v>
      </c>
      <c r="D1625" s="5" t="str">
        <f aca="false">[1]Base_Jugadores!D1625</f>
        <v>Alemania</v>
      </c>
      <c r="E1625" s="3"/>
      <c r="F1625" s="5" t="str">
        <f aca="false">[1]Base_Jugadores!E1625</f>
        <v>MO</v>
      </c>
      <c r="G1625" s="5" t="n">
        <f aca="false">[1]Base_Jugadores!F1625</f>
        <v>66</v>
      </c>
      <c r="H1625" s="5" t="n">
        <f aca="false">[1]Base_Jugadores!G1625</f>
        <v>20</v>
      </c>
      <c r="I1625" s="7" t="n">
        <f aca="false" t="array" ref="I1625:I1625">_xlfn.XLOOKUP(G1625,{55;56;57;58;59;60;61;62;63;64;65;66;67;68;69;70;71;72;73;74;75;76;77;78;79;80;81;82;83;84;85;86;87;88;89;90;91;92;93;94;95;96;97;98;99},{100000;130000;160000;190000;220000;250000;300000;350000;400000;450000;500000;600000;700000;800000;900000;1000000;1500000;2000000;3000000;4000000;5000000;6500000;8000000;10000000;12500000;15000000;20000000;25000000;30000000;35000000;40000000;55000000;70000000;80000000;90000000;110000000;130000000;160000000;190000000;220000000;250000000;280000000;310000000;340000000;400000000})</f>
        <v>600000</v>
      </c>
      <c r="J1625" s="7" t="n">
        <f aca="false">I1625*S1625*T1625*U1625</f>
        <v>982800</v>
      </c>
      <c r="K1625" s="3"/>
      <c r="L1625" s="3"/>
      <c r="M1625" s="3"/>
      <c r="N1625" s="9" t="n">
        <v>0</v>
      </c>
      <c r="O1625" s="4" t="n">
        <v>0</v>
      </c>
      <c r="P1625" s="5" t="n">
        <f aca="false">IF(COUNTIF([1]Base_Jugadores!J$2:J$500,B1625)&gt;0,1,0)</f>
        <v>0</v>
      </c>
      <c r="Q1625" s="10" t="b">
        <f aca="false">--(COUNTIFS(
   [1]Fichajes_Realizados!A$2:A$5000,A1625,
   [1]Fichajes_Realizados!G$2:G$5000,$X$3
)&gt;0)</f>
        <v>0</v>
      </c>
      <c r="R1625" s="5" t="n">
        <f aca="false">_xlfn.XLOOKUP(C1625, [1]Estado_Equipos!A$2:A$500, [1]Estado_Equipos!J$2:J$500, "")</f>
        <v>72</v>
      </c>
      <c r="S1625" s="5" t="n">
        <f aca="false">IF(H1625&lt;=16,1.45,
IF(H1625&gt;=41,0.3,
CHOOSE(ROUNDDOWN((H1625-16)/2,0)+1,
1.45,1.38,1.3,1.23,1.17,1.15,1.12,1.05,0.95,0.8,0.6,0.4,0.3)))</f>
        <v>1.3</v>
      </c>
      <c r="T1625" s="5" t="n">
        <f aca="false">CHOOSE(N1625+1,1.2,1,0.85,0.7)</f>
        <v>1.2</v>
      </c>
      <c r="U1625" s="5" t="n">
        <f aca="false">IF(F1625="PO",0.6,
IF(F1625="CT",0.75,
IF(F1625="LI",0.8,
IF(F1625="LD",0.8,
IF(F1625="MCD",0.85,
IF(F1625="MC",0.95,
IF(F1625="MO",1.05,
IF(F1625="EI",1.1,
IF(F1625="ED",1.1,
IF(F1625="SD",1.15,
IF(F1625="DC",1.2,0)))))))))))</f>
        <v>1.05</v>
      </c>
    </row>
    <row r="1626" customFormat="false" ht="16.4" hidden="false" customHeight="false" outlineLevel="0" collapsed="false">
      <c r="A1626" s="1" t="n">
        <v>1625</v>
      </c>
      <c r="B1626" s="5" t="str">
        <f aca="false">[1]Base_Jugadores!B1626</f>
        <v>Nediljko Labrovic</v>
      </c>
      <c r="C1626" s="5" t="str">
        <f aca="false">IFERROR(
   _xlfn.XLOOKUP(VALUE(A1626),[1]Fichajes_Realizados!A$2:A$50000,[1]Fichajes_Realizados!D$2:D$50000,,0,-1),
   _xlfn.XLOOKUP(VALUE(A1626),[1]Base_Jugadores!A$2:A$50000,[1]Base_Jugadores!C$2:C$50000)
)</f>
        <v>FC Augsburgo</v>
      </c>
      <c r="D1626" s="5" t="str">
        <f aca="false">[1]Base_Jugadores!D1626</f>
        <v>Croacia</v>
      </c>
      <c r="E1626" s="3"/>
      <c r="F1626" s="5" t="str">
        <f aca="false">[1]Base_Jugadores!E1626</f>
        <v>PO</v>
      </c>
      <c r="G1626" s="5" t="n">
        <f aca="false">[1]Base_Jugadores!F1626</f>
        <v>74</v>
      </c>
      <c r="H1626" s="5" t="n">
        <f aca="false">[1]Base_Jugadores!G1626</f>
        <v>26</v>
      </c>
      <c r="I1626" s="7" t="n">
        <f aca="false" t="array" ref="I1626:I1626">_xlfn.XLOOKUP(G1626,{55;56;57;58;59;60;61;62;63;64;65;66;67;68;69;70;71;72;73;74;75;76;77;78;79;80;81;82;83;84;85;86;87;88;89;90;91;92;93;94;95;96;97;98;99},{100000;130000;160000;190000;220000;250000;300000;350000;400000;450000;500000;600000;700000;800000;900000;1000000;1500000;2000000;3000000;4000000;5000000;6500000;8000000;10000000;12500000;15000000;20000000;25000000;30000000;35000000;40000000;55000000;70000000;80000000;90000000;110000000;130000000;160000000;190000000;220000000;250000000;280000000;310000000;340000000;400000000})</f>
        <v>4000000</v>
      </c>
      <c r="J1626" s="7" t="n">
        <f aca="false">I1626*S1626*T1626*U1626</f>
        <v>3312000</v>
      </c>
      <c r="K1626" s="3"/>
      <c r="L1626" s="3"/>
      <c r="M1626" s="3"/>
      <c r="N1626" s="9" t="n">
        <v>0</v>
      </c>
      <c r="O1626" s="4" t="n">
        <v>0</v>
      </c>
      <c r="P1626" s="5" t="n">
        <f aca="false">IF(COUNTIF([1]Base_Jugadores!J$2:J$500,B1626)&gt;0,1,0)</f>
        <v>0</v>
      </c>
      <c r="Q1626" s="10" t="b">
        <f aca="false">--(COUNTIFS(
   [1]Fichajes_Realizados!A$2:A$5000,A1626,
   [1]Fichajes_Realizados!G$2:G$5000,$X$3
)&gt;0)</f>
        <v>0</v>
      </c>
      <c r="R1626" s="5" t="n">
        <f aca="false">_xlfn.XLOOKUP(C1626, [1]Estado_Equipos!A$2:A$500, [1]Estado_Equipos!J$2:J$500, "")</f>
        <v>72</v>
      </c>
      <c r="S1626" s="5" t="n">
        <f aca="false">IF(H1626&lt;=16,1.45,
IF(H1626&gt;=41,0.3,
CHOOSE(ROUNDDOWN((H1626-16)/2,0)+1,
1.45,1.38,1.3,1.23,1.17,1.15,1.12,1.05,0.95,0.8,0.6,0.4,0.3)))</f>
        <v>1.15</v>
      </c>
      <c r="T1626" s="5" t="n">
        <f aca="false">CHOOSE(N1626+1,1.2,1,0.85,0.7)</f>
        <v>1.2</v>
      </c>
      <c r="U1626" s="5" t="n">
        <f aca="false">IF(F1626="PO",0.6,
IF(F1626="CT",0.75,
IF(F1626="LI",0.8,
IF(F1626="LD",0.8,
IF(F1626="MCD",0.85,
IF(F1626="MC",0.95,
IF(F1626="MO",1.05,
IF(F1626="EI",1.1,
IF(F1626="ED",1.1,
IF(F1626="SD",1.15,
IF(F1626="DC",1.2,0)))))))))))</f>
        <v>0.6</v>
      </c>
    </row>
    <row r="1627" customFormat="false" ht="16.4" hidden="false" customHeight="false" outlineLevel="0" collapsed="false">
      <c r="A1627" s="1" t="n">
        <v>1626</v>
      </c>
      <c r="B1627" s="5" t="str">
        <f aca="false">[1]Base_Jugadores!B1627</f>
        <v>Phillip Tietz</v>
      </c>
      <c r="C1627" s="5" t="str">
        <f aca="false">IFERROR(
   _xlfn.XLOOKUP(VALUE(A1627),[1]Fichajes_Realizados!A$2:A$50000,[1]Fichajes_Realizados!D$2:D$50000,,0,-1),
   _xlfn.XLOOKUP(VALUE(A1627),[1]Base_Jugadores!A$2:A$50000,[1]Base_Jugadores!C$2:C$50000)
)</f>
        <v>FC Augsburgo</v>
      </c>
      <c r="D1627" s="5" t="str">
        <f aca="false">[1]Base_Jugadores!D1627</f>
        <v>Alemania</v>
      </c>
      <c r="E1627" s="3"/>
      <c r="F1627" s="5" t="str">
        <f aca="false">[1]Base_Jugadores!E1627</f>
        <v>DC</v>
      </c>
      <c r="G1627" s="5" t="n">
        <f aca="false">[1]Base_Jugadores!F1627</f>
        <v>74</v>
      </c>
      <c r="H1627" s="5" t="n">
        <f aca="false">[1]Base_Jugadores!G1627</f>
        <v>28</v>
      </c>
      <c r="I1627" s="7" t="n">
        <f aca="false" t="array" ref="I1627:I1627">_xlfn.XLOOKUP(G1627,{55;56;57;58;59;60;61;62;63;64;65;66;67;68;69;70;71;72;73;74;75;76;77;78;79;80;81;82;83;84;85;86;87;88;89;90;91;92;93;94;95;96;97;98;99},{100000;130000;160000;190000;220000;250000;300000;350000;400000;450000;500000;600000;700000;800000;900000;1000000;1500000;2000000;3000000;4000000;5000000;6500000;8000000;10000000;12500000;15000000;20000000;25000000;30000000;35000000;40000000;55000000;70000000;80000000;90000000;110000000;130000000;160000000;190000000;220000000;250000000;280000000;310000000;340000000;400000000})</f>
        <v>4000000</v>
      </c>
      <c r="J1627" s="7" t="n">
        <f aca="false">I1627*S1627*T1627*U1627</f>
        <v>6451200</v>
      </c>
      <c r="K1627" s="3"/>
      <c r="L1627" s="3"/>
      <c r="M1627" s="3"/>
      <c r="N1627" s="9" t="n">
        <v>0</v>
      </c>
      <c r="O1627" s="4" t="n">
        <v>0</v>
      </c>
      <c r="P1627" s="5" t="n">
        <f aca="false">IF(COUNTIF([1]Base_Jugadores!J$2:J$500,B1627)&gt;0,1,0)</f>
        <v>0</v>
      </c>
      <c r="Q1627" s="10" t="b">
        <f aca="false">--(COUNTIFS(
   [1]Fichajes_Realizados!A$2:A$5000,A1627,
   [1]Fichajes_Realizados!G$2:G$5000,$X$3
)&gt;0)</f>
        <v>0</v>
      </c>
      <c r="R1627" s="5" t="n">
        <f aca="false">_xlfn.XLOOKUP(C1627, [1]Estado_Equipos!A$2:A$500, [1]Estado_Equipos!J$2:J$500, "")</f>
        <v>72</v>
      </c>
      <c r="S1627" s="5" t="n">
        <f aca="false">IF(H1627&lt;=16,1.45,
IF(H1627&gt;=41,0.3,
CHOOSE(ROUNDDOWN((H1627-16)/2,0)+1,
1.45,1.38,1.3,1.23,1.17,1.15,1.12,1.05,0.95,0.8,0.6,0.4,0.3)))</f>
        <v>1.12</v>
      </c>
      <c r="T1627" s="5" t="n">
        <f aca="false">CHOOSE(N1627+1,1.2,1,0.85,0.7)</f>
        <v>1.2</v>
      </c>
      <c r="U1627" s="5" t="n">
        <f aca="false">IF(F1627="PO",0.6,
IF(F1627="CT",0.75,
IF(F1627="LI",0.8,
IF(F1627="LD",0.8,
IF(F1627="MCD",0.85,
IF(F1627="MC",0.95,
IF(F1627="MO",1.05,
IF(F1627="EI",1.1,
IF(F1627="ED",1.1,
IF(F1627="SD",1.15,
IF(F1627="DC",1.2,0)))))))))))</f>
        <v>1.2</v>
      </c>
    </row>
    <row r="1628" customFormat="false" ht="16.4" hidden="false" customHeight="false" outlineLevel="0" collapsed="false">
      <c r="A1628" s="1" t="n">
        <v>1627</v>
      </c>
      <c r="B1628" s="5" t="str">
        <f aca="false">[1]Base_Jugadores!B1628</f>
        <v>Samuel Essende</v>
      </c>
      <c r="C1628" s="5" t="str">
        <f aca="false">IFERROR(
   _xlfn.XLOOKUP(VALUE(A1628),[1]Fichajes_Realizados!A$2:A$50000,[1]Fichajes_Realizados!D$2:D$50000,,0,-1),
   _xlfn.XLOOKUP(VALUE(A1628),[1]Base_Jugadores!A$2:A$50000,[1]Base_Jugadores!C$2:C$50000)
)</f>
        <v>FC Augsburgo</v>
      </c>
      <c r="D1628" s="5" t="str">
        <f aca="false">[1]Base_Jugadores!D1628</f>
        <v>RD del Congo</v>
      </c>
      <c r="E1628" s="3"/>
      <c r="F1628" s="5" t="str">
        <f aca="false">[1]Base_Jugadores!E1628</f>
        <v>DC</v>
      </c>
      <c r="G1628" s="5" t="n">
        <f aca="false">[1]Base_Jugadores!F1628</f>
        <v>74</v>
      </c>
      <c r="H1628" s="5" t="n">
        <f aca="false">[1]Base_Jugadores!G1628</f>
        <v>27</v>
      </c>
      <c r="I1628" s="7" t="n">
        <f aca="false" t="array" ref="I1628:I1628">_xlfn.XLOOKUP(G1628,{55;56;57;58;59;60;61;62;63;64;65;66;67;68;69;70;71;72;73;74;75;76;77;78;79;80;81;82;83;84;85;86;87;88;89;90;91;92;93;94;95;96;97;98;99},{100000;130000;160000;190000;220000;250000;300000;350000;400000;450000;500000;600000;700000;800000;900000;1000000;1500000;2000000;3000000;4000000;5000000;6500000;8000000;10000000;12500000;15000000;20000000;25000000;30000000;35000000;40000000;55000000;70000000;80000000;90000000;110000000;130000000;160000000;190000000;220000000;250000000;280000000;310000000;340000000;400000000})</f>
        <v>4000000</v>
      </c>
      <c r="J1628" s="7" t="n">
        <f aca="false">I1628*S1628*T1628*U1628</f>
        <v>6624000</v>
      </c>
      <c r="K1628" s="3"/>
      <c r="L1628" s="3"/>
      <c r="M1628" s="3"/>
      <c r="N1628" s="9" t="n">
        <v>0</v>
      </c>
      <c r="O1628" s="4" t="n">
        <v>0</v>
      </c>
      <c r="P1628" s="5" t="n">
        <f aca="false">IF(COUNTIF([1]Base_Jugadores!J$2:J$500,B1628)&gt;0,1,0)</f>
        <v>0</v>
      </c>
      <c r="Q1628" s="10" t="b">
        <f aca="false">--(COUNTIFS(
   [1]Fichajes_Realizados!A$2:A$5000,A1628,
   [1]Fichajes_Realizados!G$2:G$5000,$X$3
)&gt;0)</f>
        <v>0</v>
      </c>
      <c r="R1628" s="5" t="n">
        <f aca="false">_xlfn.XLOOKUP(C1628, [1]Estado_Equipos!A$2:A$500, [1]Estado_Equipos!J$2:J$500, "")</f>
        <v>72</v>
      </c>
      <c r="S1628" s="5" t="n">
        <f aca="false">IF(H1628&lt;=16,1.45,
IF(H1628&gt;=41,0.3,
CHOOSE(ROUNDDOWN((H1628-16)/2,0)+1,
1.45,1.38,1.3,1.23,1.17,1.15,1.12,1.05,0.95,0.8,0.6,0.4,0.3)))</f>
        <v>1.15</v>
      </c>
      <c r="T1628" s="5" t="n">
        <f aca="false">CHOOSE(N1628+1,1.2,1,0.85,0.7)</f>
        <v>1.2</v>
      </c>
      <c r="U1628" s="5" t="n">
        <f aca="false">IF(F1628="PO",0.6,
IF(F1628="CT",0.75,
IF(F1628="LI",0.8,
IF(F1628="LD",0.8,
IF(F1628="MCD",0.85,
IF(F1628="MC",0.95,
IF(F1628="MO",1.05,
IF(F1628="EI",1.1,
IF(F1628="ED",1.1,
IF(F1628="SD",1.15,
IF(F1628="DC",1.2,0)))))))))))</f>
        <v>1.2</v>
      </c>
    </row>
    <row r="1629" customFormat="false" ht="16.4" hidden="false" customHeight="false" outlineLevel="0" collapsed="false">
      <c r="A1629" s="1" t="n">
        <v>1628</v>
      </c>
      <c r="B1629" s="5" t="str">
        <f aca="false">[1]Base_Jugadores!B1629</f>
        <v>Mark Flekken</v>
      </c>
      <c r="C1629" s="5" t="str">
        <f aca="false">IFERROR(
   _xlfn.XLOOKUP(VALUE(A1629),[1]Fichajes_Realizados!A$2:A$50000,[1]Fichajes_Realizados!D$2:D$50000,,0,-1),
   _xlfn.XLOOKUP(VALUE(A1629),[1]Base_Jugadores!A$2:A$50000,[1]Base_Jugadores!C$2:C$50000)
)</f>
        <v>Bayer 04 Leverkusen</v>
      </c>
      <c r="D1629" s="5" t="str">
        <f aca="false">[1]Base_Jugadores!D1629</f>
        <v>Países Bajos</v>
      </c>
      <c r="E1629" s="3"/>
      <c r="F1629" s="5" t="str">
        <f aca="false">[1]Base_Jugadores!E1629</f>
        <v>PO</v>
      </c>
      <c r="G1629" s="5" t="n">
        <f aca="false">[1]Base_Jugadores!F1629</f>
        <v>79</v>
      </c>
      <c r="H1629" s="5" t="n">
        <f aca="false">[1]Base_Jugadores!G1629</f>
        <v>32</v>
      </c>
      <c r="I1629" s="7" t="n">
        <f aca="false" t="array" ref="I1629:I1629">_xlfn.XLOOKUP(G1629,{55;56;57;58;59;60;61;62;63;64;65;66;67;68;69;70;71;72;73;74;75;76;77;78;79;80;81;82;83;84;85;86;87;88;89;90;91;92;93;94;95;96;97;98;99},{100000;130000;160000;190000;220000;250000;300000;350000;400000;450000;500000;600000;700000;800000;900000;1000000;1500000;2000000;3000000;4000000;5000000;6500000;8000000;10000000;12500000;15000000;20000000;25000000;30000000;35000000;40000000;55000000;70000000;80000000;90000000;110000000;130000000;160000000;190000000;220000000;250000000;280000000;310000000;340000000;400000000})</f>
        <v>12500000</v>
      </c>
      <c r="J1629" s="7" t="n">
        <f aca="false">I1629*S1629*T1629*U1629</f>
        <v>8550000</v>
      </c>
      <c r="K1629" s="3"/>
      <c r="L1629" s="3"/>
      <c r="M1629" s="3"/>
      <c r="N1629" s="9" t="n">
        <v>0</v>
      </c>
      <c r="O1629" s="4" t="n">
        <v>0</v>
      </c>
      <c r="P1629" s="5" t="n">
        <f aca="false">IF(COUNTIF([1]Base_Jugadores!J$2:J$500,B1629)&gt;0,1,0)</f>
        <v>0</v>
      </c>
      <c r="Q1629" s="10" t="b">
        <f aca="false">--(COUNTIFS(
   [1]Fichajes_Realizados!A$2:A$5000,A1629,
   [1]Fichajes_Realizados!G$2:G$5000,$X$3
)&gt;0)</f>
        <v>0</v>
      </c>
      <c r="R1629" s="5" t="n">
        <f aca="false">_xlfn.XLOOKUP(C1629, [1]Estado_Equipos!A$2:A$500, [1]Estado_Equipos!J$2:J$500, "")</f>
        <v>76</v>
      </c>
      <c r="S1629" s="5" t="n">
        <f aca="false">IF(H1629&lt;=16,1.45,
IF(H1629&gt;=41,0.3,
CHOOSE(ROUNDDOWN((H1629-16)/2,0)+1,
1.45,1.38,1.3,1.23,1.17,1.15,1.12,1.05,0.95,0.8,0.6,0.4,0.3)))</f>
        <v>0.95</v>
      </c>
      <c r="T1629" s="5" t="n">
        <f aca="false">CHOOSE(N1629+1,1.2,1,0.85,0.7)</f>
        <v>1.2</v>
      </c>
      <c r="U1629" s="5" t="n">
        <f aca="false">IF(F1629="PO",0.6,
IF(F1629="CT",0.75,
IF(F1629="LI",0.8,
IF(F1629="LD",0.8,
IF(F1629="MCD",0.85,
IF(F1629="MC",0.95,
IF(F1629="MO",1.05,
IF(F1629="EI",1.1,
IF(F1629="ED",1.1,
IF(F1629="SD",1.15,
IF(F1629="DC",1.2,0)))))))))))</f>
        <v>0.6</v>
      </c>
    </row>
    <row r="1630" customFormat="false" ht="16.4" hidden="false" customHeight="false" outlineLevel="0" collapsed="false">
      <c r="A1630" s="1" t="n">
        <v>1629</v>
      </c>
      <c r="B1630" s="5" t="str">
        <f aca="false">[1]Base_Jugadores!B1630</f>
        <v>Janis Blaswich</v>
      </c>
      <c r="C1630" s="5" t="str">
        <f aca="false">IFERROR(
   _xlfn.XLOOKUP(VALUE(A1630),[1]Fichajes_Realizados!A$2:A$50000,[1]Fichajes_Realizados!D$2:D$50000,,0,-1),
   _xlfn.XLOOKUP(VALUE(A1630),[1]Base_Jugadores!A$2:A$50000,[1]Base_Jugadores!C$2:C$50000)
)</f>
        <v>Bayer 04 Leverkusen</v>
      </c>
      <c r="D1630" s="5" t="str">
        <f aca="false">[1]Base_Jugadores!D1630</f>
        <v>Alemania</v>
      </c>
      <c r="E1630" s="3"/>
      <c r="F1630" s="5" t="str">
        <f aca="false">[1]Base_Jugadores!E1630</f>
        <v>PO</v>
      </c>
      <c r="G1630" s="5" t="n">
        <f aca="false">[1]Base_Jugadores!F1630</f>
        <v>75</v>
      </c>
      <c r="H1630" s="5" t="n">
        <f aca="false">[1]Base_Jugadores!G1630</f>
        <v>34</v>
      </c>
      <c r="I1630" s="7" t="n">
        <f aca="false" t="array" ref="I1630:I1630">_xlfn.XLOOKUP(G1630,{55;56;57;58;59;60;61;62;63;64;65;66;67;68;69;70;71;72;73;74;75;76;77;78;79;80;81;82;83;84;85;86;87;88;89;90;91;92;93;94;95;96;97;98;99},{100000;130000;160000;190000;220000;250000;300000;350000;400000;450000;500000;600000;700000;800000;900000;1000000;1500000;2000000;3000000;4000000;5000000;6500000;8000000;10000000;12500000;15000000;20000000;25000000;30000000;35000000;40000000;55000000;70000000;80000000;90000000;110000000;130000000;160000000;190000000;220000000;250000000;280000000;310000000;340000000;400000000})</f>
        <v>5000000</v>
      </c>
      <c r="J1630" s="7" t="n">
        <f aca="false">I1630*S1630*T1630*U1630</f>
        <v>2880000</v>
      </c>
      <c r="K1630" s="3"/>
      <c r="L1630" s="3"/>
      <c r="M1630" s="3"/>
      <c r="N1630" s="9" t="n">
        <v>0</v>
      </c>
      <c r="O1630" s="4" t="n">
        <v>0</v>
      </c>
      <c r="P1630" s="5" t="n">
        <f aca="false">IF(COUNTIF([1]Base_Jugadores!J$2:J$500,B1630)&gt;0,1,0)</f>
        <v>0</v>
      </c>
      <c r="Q1630" s="10" t="b">
        <f aca="false">--(COUNTIFS(
   [1]Fichajes_Realizados!A$2:A$5000,A1630,
   [1]Fichajes_Realizados!G$2:G$5000,$X$3
)&gt;0)</f>
        <v>0</v>
      </c>
      <c r="R1630" s="5" t="n">
        <f aca="false">_xlfn.XLOOKUP(C1630, [1]Estado_Equipos!A$2:A$500, [1]Estado_Equipos!J$2:J$500, "")</f>
        <v>76</v>
      </c>
      <c r="S1630" s="5" t="n">
        <f aca="false">IF(H1630&lt;=16,1.45,
IF(H1630&gt;=41,0.3,
CHOOSE(ROUNDDOWN((H1630-16)/2,0)+1,
1.45,1.38,1.3,1.23,1.17,1.15,1.12,1.05,0.95,0.8,0.6,0.4,0.3)))</f>
        <v>0.8</v>
      </c>
      <c r="T1630" s="5" t="n">
        <f aca="false">CHOOSE(N1630+1,1.2,1,0.85,0.7)</f>
        <v>1.2</v>
      </c>
      <c r="U1630" s="5" t="n">
        <f aca="false">IF(F1630="PO",0.6,
IF(F1630="CT",0.75,
IF(F1630="LI",0.8,
IF(F1630="LD",0.8,
IF(F1630="MCD",0.85,
IF(F1630="MC",0.95,
IF(F1630="MO",1.05,
IF(F1630="EI",1.1,
IF(F1630="ED",1.1,
IF(F1630="SD",1.15,
IF(F1630="DC",1.2,0)))))))))))</f>
        <v>0.6</v>
      </c>
    </row>
    <row r="1631" customFormat="false" ht="16.4" hidden="false" customHeight="false" outlineLevel="0" collapsed="false">
      <c r="A1631" s="1" t="n">
        <v>1630</v>
      </c>
      <c r="B1631" s="5" t="str">
        <f aca="false">[1]Base_Jugadores!B1631</f>
        <v>Niklas Lomb</v>
      </c>
      <c r="C1631" s="5" t="str">
        <f aca="false">IFERROR(
   _xlfn.XLOOKUP(VALUE(A1631),[1]Fichajes_Realizados!A$2:A$50000,[1]Fichajes_Realizados!D$2:D$50000,,0,-1),
   _xlfn.XLOOKUP(VALUE(A1631),[1]Base_Jugadores!A$2:A$50000,[1]Base_Jugadores!C$2:C$50000)
)</f>
        <v>Bayer 04 Leverkusen</v>
      </c>
      <c r="D1631" s="5" t="str">
        <f aca="false">[1]Base_Jugadores!D1631</f>
        <v>Alemania</v>
      </c>
      <c r="E1631" s="3"/>
      <c r="F1631" s="5" t="str">
        <f aca="false">[1]Base_Jugadores!E1631</f>
        <v>PO</v>
      </c>
      <c r="G1631" s="5" t="n">
        <f aca="false">[1]Base_Jugadores!F1631</f>
        <v>66</v>
      </c>
      <c r="H1631" s="5" t="n">
        <f aca="false">[1]Base_Jugadores!G1631</f>
        <v>32</v>
      </c>
      <c r="I1631" s="7" t="n">
        <f aca="false" t="array" ref="I1631:I1631">_xlfn.XLOOKUP(G1631,{55;56;57;58;59;60;61;62;63;64;65;66;67;68;69;70;71;72;73;74;75;76;77;78;79;80;81;82;83;84;85;86;87;88;89;90;91;92;93;94;95;96;97;98;99},{100000;130000;160000;190000;220000;250000;300000;350000;400000;450000;500000;600000;700000;800000;900000;1000000;1500000;2000000;3000000;4000000;5000000;6500000;8000000;10000000;12500000;15000000;20000000;25000000;30000000;35000000;40000000;55000000;70000000;80000000;90000000;110000000;130000000;160000000;190000000;220000000;250000000;280000000;310000000;340000000;400000000})</f>
        <v>600000</v>
      </c>
      <c r="J1631" s="7" t="n">
        <f aca="false">I1631*S1631*T1631*U1631</f>
        <v>410400</v>
      </c>
      <c r="K1631" s="3"/>
      <c r="L1631" s="3"/>
      <c r="M1631" s="3"/>
      <c r="N1631" s="9" t="n">
        <v>0</v>
      </c>
      <c r="O1631" s="4" t="n">
        <v>0</v>
      </c>
      <c r="P1631" s="5" t="n">
        <f aca="false">IF(COUNTIF([1]Base_Jugadores!J$2:J$500,B1631)&gt;0,1,0)</f>
        <v>0</v>
      </c>
      <c r="Q1631" s="10" t="b">
        <f aca="false">--(COUNTIFS(
   [1]Fichajes_Realizados!A$2:A$5000,A1631,
   [1]Fichajes_Realizados!G$2:G$5000,$X$3
)&gt;0)</f>
        <v>0</v>
      </c>
      <c r="R1631" s="5" t="n">
        <f aca="false">_xlfn.XLOOKUP(C1631, [1]Estado_Equipos!A$2:A$500, [1]Estado_Equipos!J$2:J$500, "")</f>
        <v>76</v>
      </c>
      <c r="S1631" s="5" t="n">
        <f aca="false">IF(H1631&lt;=16,1.45,
IF(H1631&gt;=41,0.3,
CHOOSE(ROUNDDOWN((H1631-16)/2,0)+1,
1.45,1.38,1.3,1.23,1.17,1.15,1.12,1.05,0.95,0.8,0.6,0.4,0.3)))</f>
        <v>0.95</v>
      </c>
      <c r="T1631" s="5" t="n">
        <f aca="false">CHOOSE(N1631+1,1.2,1,0.85,0.7)</f>
        <v>1.2</v>
      </c>
      <c r="U1631" s="5" t="n">
        <f aca="false">IF(F1631="PO",0.6,
IF(F1631="CT",0.75,
IF(F1631="LI",0.8,
IF(F1631="LD",0.8,
IF(F1631="MCD",0.85,
IF(F1631="MC",0.95,
IF(F1631="MO",1.05,
IF(F1631="EI",1.1,
IF(F1631="ED",1.1,
IF(F1631="SD",1.15,
IF(F1631="DC",1.2,0)))))))))))</f>
        <v>0.6</v>
      </c>
    </row>
    <row r="1632" customFormat="false" ht="16.4" hidden="false" customHeight="false" outlineLevel="0" collapsed="false">
      <c r="A1632" s="1" t="n">
        <v>1631</v>
      </c>
      <c r="B1632" s="5" t="str">
        <f aca="false">[1]Base_Jugadores!B1632</f>
        <v>Jarell Quansah</v>
      </c>
      <c r="C1632" s="5" t="str">
        <f aca="false">IFERROR(
   _xlfn.XLOOKUP(VALUE(A1632),[1]Fichajes_Realizados!A$2:A$50000,[1]Fichajes_Realizados!D$2:D$50000,,0,-1),
   _xlfn.XLOOKUP(VALUE(A1632),[1]Base_Jugadores!A$2:A$50000,[1]Base_Jugadores!C$2:C$50000)
)</f>
        <v>Bayer 04 Leverkusen</v>
      </c>
      <c r="D1632" s="5" t="str">
        <f aca="false">[1]Base_Jugadores!D1632</f>
        <v>Inglaterra</v>
      </c>
      <c r="E1632" s="3"/>
      <c r="F1632" s="5" t="str">
        <f aca="false">[1]Base_Jugadores!E1632</f>
        <v>CT</v>
      </c>
      <c r="G1632" s="5" t="n">
        <f aca="false">[1]Base_Jugadores!F1632</f>
        <v>75</v>
      </c>
      <c r="H1632" s="5" t="n">
        <f aca="false">[1]Base_Jugadores!G1632</f>
        <v>22</v>
      </c>
      <c r="I1632" s="7" t="n">
        <f aca="false" t="array" ref="I1632:I1632">_xlfn.XLOOKUP(G1632,{55;56;57;58;59;60;61;62;63;64;65;66;67;68;69;70;71;72;73;74;75;76;77;78;79;80;81;82;83;84;85;86;87;88;89;90;91;92;93;94;95;96;97;98;99},{100000;130000;160000;190000;220000;250000;300000;350000;400000;450000;500000;600000;700000;800000;900000;1000000;1500000;2000000;3000000;4000000;5000000;6500000;8000000;10000000;12500000;15000000;20000000;25000000;30000000;35000000;40000000;55000000;70000000;80000000;90000000;110000000;130000000;160000000;190000000;220000000;250000000;280000000;310000000;340000000;400000000})</f>
        <v>5000000</v>
      </c>
      <c r="J1632" s="7" t="n">
        <f aca="false">I1632*S1632*T1632*U1632</f>
        <v>5535000</v>
      </c>
      <c r="K1632" s="3"/>
      <c r="L1632" s="3"/>
      <c r="M1632" s="3"/>
      <c r="N1632" s="9" t="n">
        <v>0</v>
      </c>
      <c r="O1632" s="4" t="n">
        <v>0</v>
      </c>
      <c r="P1632" s="5" t="n">
        <f aca="false">IF(COUNTIF([1]Base_Jugadores!J$2:J$500,B1632)&gt;0,1,0)</f>
        <v>0</v>
      </c>
      <c r="Q1632" s="10" t="b">
        <f aca="false">--(COUNTIFS(
   [1]Fichajes_Realizados!A$2:A$5000,A1632,
   [1]Fichajes_Realizados!G$2:G$5000,$X$3
)&gt;0)</f>
        <v>0</v>
      </c>
      <c r="R1632" s="5" t="n">
        <f aca="false">_xlfn.XLOOKUP(C1632, [1]Estado_Equipos!A$2:A$500, [1]Estado_Equipos!J$2:J$500, "")</f>
        <v>76</v>
      </c>
      <c r="S1632" s="5" t="n">
        <f aca="false">IF(H1632&lt;=16,1.45,
IF(H1632&gt;=41,0.3,
CHOOSE(ROUNDDOWN((H1632-16)/2,0)+1,
1.45,1.38,1.3,1.23,1.17,1.15,1.12,1.05,0.95,0.8,0.6,0.4,0.3)))</f>
        <v>1.23</v>
      </c>
      <c r="T1632" s="5" t="n">
        <f aca="false">CHOOSE(N1632+1,1.2,1,0.85,0.7)</f>
        <v>1.2</v>
      </c>
      <c r="U1632" s="5" t="n">
        <f aca="false">IF(F1632="PO",0.6,
IF(F1632="CT",0.75,
IF(F1632="LI",0.8,
IF(F1632="LD",0.8,
IF(F1632="MCD",0.85,
IF(F1632="MC",0.95,
IF(F1632="MO",1.05,
IF(F1632="EI",1.1,
IF(F1632="ED",1.1,
IF(F1632="SD",1.15,
IF(F1632="DC",1.2,0)))))))))))</f>
        <v>0.75</v>
      </c>
    </row>
    <row r="1633" customFormat="false" ht="16.4" hidden="false" customHeight="false" outlineLevel="0" collapsed="false">
      <c r="A1633" s="1" t="n">
        <v>1632</v>
      </c>
      <c r="B1633" s="5" t="str">
        <f aca="false">[1]Base_Jugadores!B1633</f>
        <v>Edmond Tapsoba</v>
      </c>
      <c r="C1633" s="5" t="str">
        <f aca="false">IFERROR(
   _xlfn.XLOOKUP(VALUE(A1633),[1]Fichajes_Realizados!A$2:A$50000,[1]Fichajes_Realizados!D$2:D$50000,,0,-1),
   _xlfn.XLOOKUP(VALUE(A1633),[1]Base_Jugadores!A$2:A$50000,[1]Base_Jugadores!C$2:C$50000)
)</f>
        <v>Bayer 04 Leverkusen</v>
      </c>
      <c r="D1633" s="5" t="str">
        <f aca="false">[1]Base_Jugadores!D1633</f>
        <v>Burkina Faso</v>
      </c>
      <c r="E1633" s="3"/>
      <c r="F1633" s="5" t="str">
        <f aca="false">[1]Base_Jugadores!E1633</f>
        <v>CT</v>
      </c>
      <c r="G1633" s="5" t="n">
        <f aca="false">[1]Base_Jugadores!F1633</f>
        <v>83</v>
      </c>
      <c r="H1633" s="5" t="n">
        <f aca="false">[1]Base_Jugadores!G1633</f>
        <v>26</v>
      </c>
      <c r="I1633" s="7" t="n">
        <f aca="false" t="array" ref="I1633:I1633">_xlfn.XLOOKUP(G1633,{55;56;57;58;59;60;61;62;63;64;65;66;67;68;69;70;71;72;73;74;75;76;77;78;79;80;81;82;83;84;85;86;87;88;89;90;91;92;93;94;95;96;97;98;99},{100000;130000;160000;190000;220000;250000;300000;350000;400000;450000;500000;600000;700000;800000;900000;1000000;1500000;2000000;3000000;4000000;5000000;6500000;8000000;10000000;12500000;15000000;20000000;25000000;30000000;35000000;40000000;55000000;70000000;80000000;90000000;110000000;130000000;160000000;190000000;220000000;250000000;280000000;310000000;340000000;400000000})</f>
        <v>30000000</v>
      </c>
      <c r="J1633" s="7" t="n">
        <f aca="false">I1633*S1633*T1633*U1633</f>
        <v>31050000</v>
      </c>
      <c r="K1633" s="3"/>
      <c r="L1633" s="3"/>
      <c r="M1633" s="3"/>
      <c r="N1633" s="9" t="n">
        <v>0</v>
      </c>
      <c r="O1633" s="4" t="n">
        <v>0</v>
      </c>
      <c r="P1633" s="5" t="n">
        <f aca="false">IF(COUNTIF([1]Base_Jugadores!J$2:J$500,B1633)&gt;0,1,0)</f>
        <v>0</v>
      </c>
      <c r="Q1633" s="10" t="b">
        <f aca="false">--(COUNTIFS(
   [1]Fichajes_Realizados!A$2:A$5000,A1633,
   [1]Fichajes_Realizados!G$2:G$5000,$X$3
)&gt;0)</f>
        <v>0</v>
      </c>
      <c r="R1633" s="5" t="n">
        <f aca="false">_xlfn.XLOOKUP(C1633, [1]Estado_Equipos!A$2:A$500, [1]Estado_Equipos!J$2:J$500, "")</f>
        <v>76</v>
      </c>
      <c r="S1633" s="5" t="n">
        <f aca="false">IF(H1633&lt;=16,1.45,
IF(H1633&gt;=41,0.3,
CHOOSE(ROUNDDOWN((H1633-16)/2,0)+1,
1.45,1.38,1.3,1.23,1.17,1.15,1.12,1.05,0.95,0.8,0.6,0.4,0.3)))</f>
        <v>1.15</v>
      </c>
      <c r="T1633" s="5" t="n">
        <f aca="false">CHOOSE(N1633+1,1.2,1,0.85,0.7)</f>
        <v>1.2</v>
      </c>
      <c r="U1633" s="5" t="n">
        <f aca="false">IF(F1633="PO",0.6,
IF(F1633="CT",0.75,
IF(F1633="LI",0.8,
IF(F1633="LD",0.8,
IF(F1633="MCD",0.85,
IF(F1633="MC",0.95,
IF(F1633="MO",1.05,
IF(F1633="EI",1.1,
IF(F1633="ED",1.1,
IF(F1633="SD",1.15,
IF(F1633="DC",1.2,0)))))))))))</f>
        <v>0.75</v>
      </c>
    </row>
    <row r="1634" customFormat="false" ht="16.4" hidden="false" customHeight="false" outlineLevel="0" collapsed="false">
      <c r="A1634" s="1" t="n">
        <v>1633</v>
      </c>
      <c r="B1634" s="5" t="str">
        <f aca="false">[1]Base_Jugadores!B1634</f>
        <v>Loïc Badé</v>
      </c>
      <c r="C1634" s="5" t="str">
        <f aca="false">IFERROR(
   _xlfn.XLOOKUP(VALUE(A1634),[1]Fichajes_Realizados!A$2:A$50000,[1]Fichajes_Realizados!D$2:D$50000,,0,-1),
   _xlfn.XLOOKUP(VALUE(A1634),[1]Base_Jugadores!A$2:A$50000,[1]Base_Jugadores!C$2:C$50000)
)</f>
        <v>Bayer 04 Leverkusen</v>
      </c>
      <c r="D1634" s="5" t="str">
        <f aca="false">[1]Base_Jugadores!D1634</f>
        <v>Francia</v>
      </c>
      <c r="E1634" s="3"/>
      <c r="F1634" s="5" t="str">
        <f aca="false">[1]Base_Jugadores!E1634</f>
        <v>CT</v>
      </c>
      <c r="G1634" s="5" t="n">
        <f aca="false">[1]Base_Jugadores!F1634</f>
        <v>78</v>
      </c>
      <c r="H1634" s="5" t="n">
        <f aca="false">[1]Base_Jugadores!G1634</f>
        <v>25</v>
      </c>
      <c r="I1634" s="7" t="n">
        <f aca="false" t="array" ref="I1634:I1634">_xlfn.XLOOKUP(G1634,{55;56;57;58;59;60;61;62;63;64;65;66;67;68;69;70;71;72;73;74;75;76;77;78;79;80;81;82;83;84;85;86;87;88;89;90;91;92;93;94;95;96;97;98;99},{100000;130000;160000;190000;220000;250000;300000;350000;400000;450000;500000;600000;700000;800000;900000;1000000;1500000;2000000;3000000;4000000;5000000;6500000;8000000;10000000;12500000;15000000;20000000;25000000;30000000;35000000;40000000;55000000;70000000;80000000;90000000;110000000;130000000;160000000;190000000;220000000;250000000;280000000;310000000;340000000;400000000})</f>
        <v>10000000</v>
      </c>
      <c r="J1634" s="7" t="n">
        <f aca="false">I1634*S1634*T1634*U1634</f>
        <v>10530000</v>
      </c>
      <c r="K1634" s="3"/>
      <c r="L1634" s="3"/>
      <c r="M1634" s="3"/>
      <c r="N1634" s="9" t="n">
        <v>0</v>
      </c>
      <c r="O1634" s="4" t="n">
        <v>0</v>
      </c>
      <c r="P1634" s="5" t="n">
        <f aca="false">IF(COUNTIF([1]Base_Jugadores!J$2:J$500,B1634)&gt;0,1,0)</f>
        <v>0</v>
      </c>
      <c r="Q1634" s="10" t="b">
        <f aca="false">--(COUNTIFS(
   [1]Fichajes_Realizados!A$2:A$5000,A1634,
   [1]Fichajes_Realizados!G$2:G$5000,$X$3
)&gt;0)</f>
        <v>0</v>
      </c>
      <c r="R1634" s="5" t="n">
        <f aca="false">_xlfn.XLOOKUP(C1634, [1]Estado_Equipos!A$2:A$500, [1]Estado_Equipos!J$2:J$500, "")</f>
        <v>76</v>
      </c>
      <c r="S1634" s="5" t="n">
        <f aca="false">IF(H1634&lt;=16,1.45,
IF(H1634&gt;=41,0.3,
CHOOSE(ROUNDDOWN((H1634-16)/2,0)+1,
1.45,1.38,1.3,1.23,1.17,1.15,1.12,1.05,0.95,0.8,0.6,0.4,0.3)))</f>
        <v>1.17</v>
      </c>
      <c r="T1634" s="5" t="n">
        <f aca="false">CHOOSE(N1634+1,1.2,1,0.85,0.7)</f>
        <v>1.2</v>
      </c>
      <c r="U1634" s="5" t="n">
        <f aca="false">IF(F1634="PO",0.6,
IF(F1634="CT",0.75,
IF(F1634="LI",0.8,
IF(F1634="LD",0.8,
IF(F1634="MCD",0.85,
IF(F1634="MC",0.95,
IF(F1634="MO",1.05,
IF(F1634="EI",1.1,
IF(F1634="ED",1.1,
IF(F1634="SD",1.15,
IF(F1634="DC",1.2,0)))))))))))</f>
        <v>0.75</v>
      </c>
    </row>
    <row r="1635" customFormat="false" ht="16.4" hidden="false" customHeight="false" outlineLevel="0" collapsed="false">
      <c r="A1635" s="1" t="n">
        <v>1634</v>
      </c>
      <c r="B1635" s="5" t="str">
        <f aca="false">[1]Base_Jugadores!B1635</f>
        <v>Jeanuël Belocian</v>
      </c>
      <c r="C1635" s="5" t="str">
        <f aca="false">IFERROR(
   _xlfn.XLOOKUP(VALUE(A1635),[1]Fichajes_Realizados!A$2:A$50000,[1]Fichajes_Realizados!D$2:D$50000,,0,-1),
   _xlfn.XLOOKUP(VALUE(A1635),[1]Base_Jugadores!A$2:A$50000,[1]Base_Jugadores!C$2:C$50000)
)</f>
        <v>Bayer 04 Leverkusen</v>
      </c>
      <c r="D1635" s="5" t="str">
        <f aca="false">[1]Base_Jugadores!D1635</f>
        <v>Francia</v>
      </c>
      <c r="E1635" s="3"/>
      <c r="F1635" s="5" t="str">
        <f aca="false">[1]Base_Jugadores!E1635</f>
        <v>CT</v>
      </c>
      <c r="G1635" s="5" t="n">
        <f aca="false">[1]Base_Jugadores!F1635</f>
        <v>71</v>
      </c>
      <c r="H1635" s="5" t="n">
        <f aca="false">[1]Base_Jugadores!G1635</f>
        <v>20</v>
      </c>
      <c r="I1635" s="7" t="n">
        <f aca="false" t="array" ref="I1635:I1635">_xlfn.XLOOKUP(G1635,{55;56;57;58;59;60;61;62;63;64;65;66;67;68;69;70;71;72;73;74;75;76;77;78;79;80;81;82;83;84;85;86;87;88;89;90;91;92;93;94;95;96;97;98;99},{100000;130000;160000;190000;220000;250000;300000;350000;400000;450000;500000;600000;700000;800000;900000;1000000;1500000;2000000;3000000;4000000;5000000;6500000;8000000;10000000;12500000;15000000;20000000;25000000;30000000;35000000;40000000;55000000;70000000;80000000;90000000;110000000;130000000;160000000;190000000;220000000;250000000;280000000;310000000;340000000;400000000})</f>
        <v>1500000</v>
      </c>
      <c r="J1635" s="7" t="n">
        <f aca="false">I1635*S1635*T1635*U1635</f>
        <v>1755000</v>
      </c>
      <c r="K1635" s="3"/>
      <c r="L1635" s="3"/>
      <c r="M1635" s="3"/>
      <c r="N1635" s="9" t="n">
        <v>0</v>
      </c>
      <c r="O1635" s="4" t="n">
        <v>0</v>
      </c>
      <c r="P1635" s="5" t="n">
        <f aca="false">IF(COUNTIF([1]Base_Jugadores!J$2:J$500,B1635)&gt;0,1,0)</f>
        <v>0</v>
      </c>
      <c r="Q1635" s="10" t="b">
        <f aca="false">--(COUNTIFS(
   [1]Fichajes_Realizados!A$2:A$5000,A1635,
   [1]Fichajes_Realizados!G$2:G$5000,$X$3
)&gt;0)</f>
        <v>0</v>
      </c>
      <c r="R1635" s="5" t="n">
        <f aca="false">_xlfn.XLOOKUP(C1635, [1]Estado_Equipos!A$2:A$500, [1]Estado_Equipos!J$2:J$500, "")</f>
        <v>76</v>
      </c>
      <c r="S1635" s="5" t="n">
        <f aca="false">IF(H1635&lt;=16,1.45,
IF(H1635&gt;=41,0.3,
CHOOSE(ROUNDDOWN((H1635-16)/2,0)+1,
1.45,1.38,1.3,1.23,1.17,1.15,1.12,1.05,0.95,0.8,0.6,0.4,0.3)))</f>
        <v>1.3</v>
      </c>
      <c r="T1635" s="5" t="n">
        <f aca="false">CHOOSE(N1635+1,1.2,1,0.85,0.7)</f>
        <v>1.2</v>
      </c>
      <c r="U1635" s="5" t="n">
        <f aca="false">IF(F1635="PO",0.6,
IF(F1635="CT",0.75,
IF(F1635="LI",0.8,
IF(F1635="LD",0.8,
IF(F1635="MCD",0.85,
IF(F1635="MC",0.95,
IF(F1635="MO",1.05,
IF(F1635="EI",1.1,
IF(F1635="ED",1.1,
IF(F1635="SD",1.15,
IF(F1635="DC",1.2,0)))))))))))</f>
        <v>0.75</v>
      </c>
    </row>
    <row r="1636" customFormat="false" ht="16.4" hidden="false" customHeight="false" outlineLevel="0" collapsed="false">
      <c r="A1636" s="1" t="n">
        <v>1635</v>
      </c>
      <c r="B1636" s="5" t="str">
        <f aca="false">[1]Base_Jugadores!B1636</f>
        <v>Alejandro Grimaldo</v>
      </c>
      <c r="C1636" s="5" t="str">
        <f aca="false">IFERROR(
   _xlfn.XLOOKUP(VALUE(A1636),[1]Fichajes_Realizados!A$2:A$50000,[1]Fichajes_Realizados!D$2:D$50000,,0,-1),
   _xlfn.XLOOKUP(VALUE(A1636),[1]Base_Jugadores!A$2:A$50000,[1]Base_Jugadores!C$2:C$50000)
)</f>
        <v>Bayer 04 Leverkusen</v>
      </c>
      <c r="D1636" s="5" t="str">
        <f aca="false">[1]Base_Jugadores!D1636</f>
        <v>España</v>
      </c>
      <c r="E1636" s="3"/>
      <c r="F1636" s="5" t="str">
        <f aca="false">[1]Base_Jugadores!E1636</f>
        <v>LI</v>
      </c>
      <c r="G1636" s="5" t="n">
        <f aca="false">[1]Base_Jugadores!F1636</f>
        <v>86</v>
      </c>
      <c r="H1636" s="5" t="n">
        <f aca="false">[1]Base_Jugadores!G1636</f>
        <v>30</v>
      </c>
      <c r="I1636" s="7" t="n">
        <f aca="false" t="array" ref="I1636:I1636">_xlfn.XLOOKUP(G1636,{55;56;57;58;59;60;61;62;63;64;65;66;67;68;69;70;71;72;73;74;75;76;77;78;79;80;81;82;83;84;85;86;87;88;89;90;91;92;93;94;95;96;97;98;99},{100000;130000;160000;190000;220000;250000;300000;350000;400000;450000;500000;600000;700000;800000;900000;1000000;1500000;2000000;3000000;4000000;5000000;6500000;8000000;10000000;12500000;15000000;20000000;25000000;30000000;35000000;40000000;55000000;70000000;80000000;90000000;110000000;130000000;160000000;190000000;220000000;250000000;280000000;310000000;340000000;400000000})</f>
        <v>55000000</v>
      </c>
      <c r="J1636" s="7" t="n">
        <f aca="false">I1636*S1636*T1636*U1636</f>
        <v>55440000</v>
      </c>
      <c r="K1636" s="3"/>
      <c r="L1636" s="3"/>
      <c r="M1636" s="3"/>
      <c r="N1636" s="9" t="n">
        <v>0</v>
      </c>
      <c r="O1636" s="4" t="n">
        <v>0</v>
      </c>
      <c r="P1636" s="5" t="n">
        <f aca="false">IF(COUNTIF([1]Base_Jugadores!J$2:J$500,B1636)&gt;0,1,0)</f>
        <v>0</v>
      </c>
      <c r="Q1636" s="10" t="b">
        <f aca="false">--(COUNTIFS(
   [1]Fichajes_Realizados!A$2:A$5000,A1636,
   [1]Fichajes_Realizados!G$2:G$5000,$X$3
)&gt;0)</f>
        <v>0</v>
      </c>
      <c r="R1636" s="5" t="n">
        <f aca="false">_xlfn.XLOOKUP(C1636, [1]Estado_Equipos!A$2:A$500, [1]Estado_Equipos!J$2:J$500, "")</f>
        <v>76</v>
      </c>
      <c r="S1636" s="5" t="n">
        <f aca="false">IF(H1636&lt;=16,1.45,
IF(H1636&gt;=41,0.3,
CHOOSE(ROUNDDOWN((H1636-16)/2,0)+1,
1.45,1.38,1.3,1.23,1.17,1.15,1.12,1.05,0.95,0.8,0.6,0.4,0.3)))</f>
        <v>1.05</v>
      </c>
      <c r="T1636" s="5" t="n">
        <f aca="false">CHOOSE(N1636+1,1.2,1,0.85,0.7)</f>
        <v>1.2</v>
      </c>
      <c r="U1636" s="5" t="n">
        <f aca="false">IF(F1636="PO",0.6,
IF(F1636="CT",0.75,
IF(F1636="LI",0.8,
IF(F1636="LD",0.8,
IF(F1636="MCD",0.85,
IF(F1636="MC",0.95,
IF(F1636="MO",1.05,
IF(F1636="EI",1.1,
IF(F1636="ED",1.1,
IF(F1636="SD",1.15,
IF(F1636="DC",1.2,0)))))))))))</f>
        <v>0.8</v>
      </c>
    </row>
    <row r="1637" customFormat="false" ht="16.4" hidden="false" customHeight="false" outlineLevel="0" collapsed="false">
      <c r="A1637" s="1" t="n">
        <v>1636</v>
      </c>
      <c r="B1637" s="5" t="str">
        <f aca="false">[1]Base_Jugadores!B1637</f>
        <v>Arthur de Matos</v>
      </c>
      <c r="C1637" s="5" t="str">
        <f aca="false">IFERROR(
   _xlfn.XLOOKUP(VALUE(A1637),[1]Fichajes_Realizados!A$2:A$50000,[1]Fichajes_Realizados!D$2:D$50000,,0,-1),
   _xlfn.XLOOKUP(VALUE(A1637),[1]Base_Jugadores!A$2:A$50000,[1]Base_Jugadores!C$2:C$50000)
)</f>
        <v>Bayer 04 Leverkusen</v>
      </c>
      <c r="D1637" s="5" t="str">
        <f aca="false">[1]Base_Jugadores!D1637</f>
        <v>Brasil</v>
      </c>
      <c r="E1637" s="3"/>
      <c r="F1637" s="5" t="str">
        <f aca="false">[1]Base_Jugadores!E1637</f>
        <v>LD</v>
      </c>
      <c r="G1637" s="5" t="n">
        <f aca="false">[1]Base_Jugadores!F1637</f>
        <v>68</v>
      </c>
      <c r="H1637" s="5" t="n">
        <f aca="false">[1]Base_Jugadores!G1637</f>
        <v>22</v>
      </c>
      <c r="I1637" s="7" t="n">
        <f aca="false" t="array" ref="I1637:I1637">_xlfn.XLOOKUP(G1637,{55;56;57;58;59;60;61;62;63;64;65;66;67;68;69;70;71;72;73;74;75;76;77;78;79;80;81;82;83;84;85;86;87;88;89;90;91;92;93;94;95;96;97;98;99},{100000;130000;160000;190000;220000;250000;300000;350000;400000;450000;500000;600000;700000;800000;900000;1000000;1500000;2000000;3000000;4000000;5000000;6500000;8000000;10000000;12500000;15000000;20000000;25000000;30000000;35000000;40000000;55000000;70000000;80000000;90000000;110000000;130000000;160000000;190000000;220000000;250000000;280000000;310000000;340000000;400000000})</f>
        <v>800000</v>
      </c>
      <c r="J1637" s="7" t="n">
        <f aca="false">I1637*S1637*T1637*U1637</f>
        <v>944640</v>
      </c>
      <c r="K1637" s="3"/>
      <c r="L1637" s="3"/>
      <c r="M1637" s="3"/>
      <c r="N1637" s="9" t="n">
        <v>0</v>
      </c>
      <c r="O1637" s="4" t="n">
        <v>0</v>
      </c>
      <c r="P1637" s="5" t="n">
        <f aca="false">IF(COUNTIF([1]Base_Jugadores!J$2:J$500,B1637)&gt;0,1,0)</f>
        <v>0</v>
      </c>
      <c r="Q1637" s="10" t="b">
        <f aca="false">--(COUNTIFS(
   [1]Fichajes_Realizados!A$2:A$5000,A1637,
   [1]Fichajes_Realizados!G$2:G$5000,$X$3
)&gt;0)</f>
        <v>0</v>
      </c>
      <c r="R1637" s="5" t="n">
        <f aca="false">_xlfn.XLOOKUP(C1637, [1]Estado_Equipos!A$2:A$500, [1]Estado_Equipos!J$2:J$500, "")</f>
        <v>76</v>
      </c>
      <c r="S1637" s="5" t="n">
        <f aca="false">IF(H1637&lt;=16,1.45,
IF(H1637&gt;=41,0.3,
CHOOSE(ROUNDDOWN((H1637-16)/2,0)+1,
1.45,1.38,1.3,1.23,1.17,1.15,1.12,1.05,0.95,0.8,0.6,0.4,0.3)))</f>
        <v>1.23</v>
      </c>
      <c r="T1637" s="5" t="n">
        <f aca="false">CHOOSE(N1637+1,1.2,1,0.85,0.7)</f>
        <v>1.2</v>
      </c>
      <c r="U1637" s="5" t="n">
        <f aca="false">IF(F1637="PO",0.6,
IF(F1637="CT",0.75,
IF(F1637="LI",0.8,
IF(F1637="LD",0.8,
IF(F1637="MCD",0.85,
IF(F1637="MC",0.95,
IF(F1637="MO",1.05,
IF(F1637="EI",1.1,
IF(F1637="ED",1.1,
IF(F1637="SD",1.15,
IF(F1637="DC",1.2,0)))))))))))</f>
        <v>0.8</v>
      </c>
    </row>
    <row r="1638" customFormat="false" ht="16.4" hidden="false" customHeight="false" outlineLevel="0" collapsed="false">
      <c r="A1638" s="1" t="n">
        <v>1637</v>
      </c>
      <c r="B1638" s="5" t="str">
        <f aca="false">[1]Base_Jugadores!B1638</f>
        <v>Lucas Vázquez</v>
      </c>
      <c r="C1638" s="5" t="str">
        <f aca="false">IFERROR(
   _xlfn.XLOOKUP(VALUE(A1638),[1]Fichajes_Realizados!A$2:A$50000,[1]Fichajes_Realizados!D$2:D$50000,,0,-1),
   _xlfn.XLOOKUP(VALUE(A1638),[1]Base_Jugadores!A$2:A$50000,[1]Base_Jugadores!C$2:C$50000)
)</f>
        <v>Bayer 04 Leverkusen</v>
      </c>
      <c r="D1638" s="5" t="str">
        <f aca="false">[1]Base_Jugadores!D1638</f>
        <v>España</v>
      </c>
      <c r="E1638" s="3"/>
      <c r="F1638" s="5" t="str">
        <f aca="false">[1]Base_Jugadores!E1638</f>
        <v>LD</v>
      </c>
      <c r="G1638" s="5" t="n">
        <f aca="false">[1]Base_Jugadores!F1638</f>
        <v>81</v>
      </c>
      <c r="H1638" s="5" t="n">
        <f aca="false">[1]Base_Jugadores!G1638</f>
        <v>34</v>
      </c>
      <c r="I1638" s="7" t="n">
        <f aca="false" t="array" ref="I1638:I1638">_xlfn.XLOOKUP(G1638,{55;56;57;58;59;60;61;62;63;64;65;66;67;68;69;70;71;72;73;74;75;76;77;78;79;80;81;82;83;84;85;86;87;88;89;90;91;92;93;94;95;96;97;98;99},{100000;130000;160000;190000;220000;250000;300000;350000;400000;450000;500000;600000;700000;800000;900000;1000000;1500000;2000000;3000000;4000000;5000000;6500000;8000000;10000000;12500000;15000000;20000000;25000000;30000000;35000000;40000000;55000000;70000000;80000000;90000000;110000000;130000000;160000000;190000000;220000000;250000000;280000000;310000000;340000000;400000000})</f>
        <v>20000000</v>
      </c>
      <c r="J1638" s="7" t="n">
        <f aca="false">I1638*S1638*T1638*U1638</f>
        <v>15360000</v>
      </c>
      <c r="K1638" s="3"/>
      <c r="L1638" s="3"/>
      <c r="M1638" s="3"/>
      <c r="N1638" s="9" t="n">
        <v>0</v>
      </c>
      <c r="O1638" s="4" t="n">
        <v>0</v>
      </c>
      <c r="P1638" s="5" t="n">
        <f aca="false">IF(COUNTIF([1]Base_Jugadores!J$2:J$500,B1638)&gt;0,1,0)</f>
        <v>0</v>
      </c>
      <c r="Q1638" s="10" t="b">
        <f aca="false">--(COUNTIFS(
   [1]Fichajes_Realizados!A$2:A$5000,A1638,
   [1]Fichajes_Realizados!G$2:G$5000,$X$3
)&gt;0)</f>
        <v>0</v>
      </c>
      <c r="R1638" s="5" t="n">
        <f aca="false">_xlfn.XLOOKUP(C1638, [1]Estado_Equipos!A$2:A$500, [1]Estado_Equipos!J$2:J$500, "")</f>
        <v>76</v>
      </c>
      <c r="S1638" s="5" t="n">
        <f aca="false">IF(H1638&lt;=16,1.45,
IF(H1638&gt;=41,0.3,
CHOOSE(ROUNDDOWN((H1638-16)/2,0)+1,
1.45,1.38,1.3,1.23,1.17,1.15,1.12,1.05,0.95,0.8,0.6,0.4,0.3)))</f>
        <v>0.8</v>
      </c>
      <c r="T1638" s="5" t="n">
        <f aca="false">CHOOSE(N1638+1,1.2,1,0.85,0.7)</f>
        <v>1.2</v>
      </c>
      <c r="U1638" s="5" t="n">
        <f aca="false">IF(F1638="PO",0.6,
IF(F1638="CT",0.75,
IF(F1638="LI",0.8,
IF(F1638="LD",0.8,
IF(F1638="MCD",0.85,
IF(F1638="MC",0.95,
IF(F1638="MO",1.05,
IF(F1638="EI",1.1,
IF(F1638="ED",1.1,
IF(F1638="SD",1.15,
IF(F1638="DC",1.2,0)))))))))))</f>
        <v>0.8</v>
      </c>
    </row>
    <row r="1639" customFormat="false" ht="16.4" hidden="false" customHeight="false" outlineLevel="0" collapsed="false">
      <c r="A1639" s="1" t="n">
        <v>1638</v>
      </c>
      <c r="B1639" s="5" t="str">
        <f aca="false">[1]Base_Jugadores!B1639</f>
        <v>Equi Fernández</v>
      </c>
      <c r="C1639" s="5" t="str">
        <f aca="false">IFERROR(
   _xlfn.XLOOKUP(VALUE(A1639),[1]Fichajes_Realizados!A$2:A$50000,[1]Fichajes_Realizados!D$2:D$50000,,0,-1),
   _xlfn.XLOOKUP(VALUE(A1639),[1]Base_Jugadores!A$2:A$50000,[1]Base_Jugadores!C$2:C$50000)
)</f>
        <v>Bayer 04 Leverkusen</v>
      </c>
      <c r="D1639" s="5" t="str">
        <f aca="false">[1]Base_Jugadores!D1639</f>
        <v>Argentina</v>
      </c>
      <c r="E1639" s="3"/>
      <c r="F1639" s="5" t="str">
        <f aca="false">[1]Base_Jugadores!E1639</f>
        <v>MCD</v>
      </c>
      <c r="G1639" s="5" t="n">
        <f aca="false">[1]Base_Jugadores!F1639</f>
        <v>76</v>
      </c>
      <c r="H1639" s="5" t="n">
        <f aca="false">[1]Base_Jugadores!G1639</f>
        <v>23</v>
      </c>
      <c r="I1639" s="7" t="n">
        <f aca="false" t="array" ref="I1639:I1639">_xlfn.XLOOKUP(G1639,{55;56;57;58;59;60;61;62;63;64;65;66;67;68;69;70;71;72;73;74;75;76;77;78;79;80;81;82;83;84;85;86;87;88;89;90;91;92;93;94;95;96;97;98;99},{100000;130000;160000;190000;220000;250000;300000;350000;400000;450000;500000;600000;700000;800000;900000;1000000;1500000;2000000;3000000;4000000;5000000;6500000;8000000;10000000;12500000;15000000;20000000;25000000;30000000;35000000;40000000;55000000;70000000;80000000;90000000;110000000;130000000;160000000;190000000;220000000;250000000;280000000;310000000;340000000;400000000})</f>
        <v>6500000</v>
      </c>
      <c r="J1639" s="7" t="n">
        <f aca="false">I1639*S1639*T1639*U1639</f>
        <v>8154900</v>
      </c>
      <c r="K1639" s="3"/>
      <c r="L1639" s="3"/>
      <c r="M1639" s="3"/>
      <c r="N1639" s="9" t="n">
        <v>0</v>
      </c>
      <c r="O1639" s="4" t="n">
        <v>0</v>
      </c>
      <c r="P1639" s="5" t="n">
        <f aca="false">IF(COUNTIF([1]Base_Jugadores!J$2:J$500,B1639)&gt;0,1,0)</f>
        <v>0</v>
      </c>
      <c r="Q1639" s="10" t="b">
        <f aca="false">--(COUNTIFS(
   [1]Fichajes_Realizados!A$2:A$5000,A1639,
   [1]Fichajes_Realizados!G$2:G$5000,$X$3
)&gt;0)</f>
        <v>0</v>
      </c>
      <c r="R1639" s="5" t="n">
        <f aca="false">_xlfn.XLOOKUP(C1639, [1]Estado_Equipos!A$2:A$500, [1]Estado_Equipos!J$2:J$500, "")</f>
        <v>76</v>
      </c>
      <c r="S1639" s="5" t="n">
        <f aca="false">IF(H1639&lt;=16,1.45,
IF(H1639&gt;=41,0.3,
CHOOSE(ROUNDDOWN((H1639-16)/2,0)+1,
1.45,1.38,1.3,1.23,1.17,1.15,1.12,1.05,0.95,0.8,0.6,0.4,0.3)))</f>
        <v>1.23</v>
      </c>
      <c r="T1639" s="5" t="n">
        <f aca="false">CHOOSE(N1639+1,1.2,1,0.85,0.7)</f>
        <v>1.2</v>
      </c>
      <c r="U1639" s="5" t="n">
        <f aca="false">IF(F1639="PO",0.6,
IF(F1639="CT",0.75,
IF(F1639="LI",0.8,
IF(F1639="LD",0.8,
IF(F1639="MCD",0.85,
IF(F1639="MC",0.95,
IF(F1639="MO",1.05,
IF(F1639="EI",1.1,
IF(F1639="ED",1.1,
IF(F1639="SD",1.15,
IF(F1639="DC",1.2,0)))))))))))</f>
        <v>0.85</v>
      </c>
    </row>
    <row r="1640" customFormat="false" ht="16.4" hidden="false" customHeight="false" outlineLevel="0" collapsed="false">
      <c r="A1640" s="1" t="n">
        <v>1639</v>
      </c>
      <c r="B1640" s="5" t="str">
        <f aca="false">[1]Base_Jugadores!B1640</f>
        <v>Robert Andrich</v>
      </c>
      <c r="C1640" s="5" t="str">
        <f aca="false">IFERROR(
   _xlfn.XLOOKUP(VALUE(A1640),[1]Fichajes_Realizados!A$2:A$50000,[1]Fichajes_Realizados!D$2:D$50000,,0,-1),
   _xlfn.XLOOKUP(VALUE(A1640),[1]Base_Jugadores!A$2:A$50000,[1]Base_Jugadores!C$2:C$50000)
)</f>
        <v>Bayer 04 Leverkusen</v>
      </c>
      <c r="D1640" s="5" t="str">
        <f aca="false">[1]Base_Jugadores!D1640</f>
        <v>Alemania</v>
      </c>
      <c r="E1640" s="3"/>
      <c r="F1640" s="5" t="str">
        <f aca="false">[1]Base_Jugadores!E1640</f>
        <v>MCD</v>
      </c>
      <c r="G1640" s="5" t="n">
        <f aca="false">[1]Base_Jugadores!F1640</f>
        <v>83</v>
      </c>
      <c r="H1640" s="5" t="n">
        <f aca="false">[1]Base_Jugadores!G1640</f>
        <v>31</v>
      </c>
      <c r="I1640" s="7" t="n">
        <f aca="false" t="array" ref="I1640:I1640">_xlfn.XLOOKUP(G1640,{55;56;57;58;59;60;61;62;63;64;65;66;67;68;69;70;71;72;73;74;75;76;77;78;79;80;81;82;83;84;85;86;87;88;89;90;91;92;93;94;95;96;97;98;99},{100000;130000;160000;190000;220000;250000;300000;350000;400000;450000;500000;600000;700000;800000;900000;1000000;1500000;2000000;3000000;4000000;5000000;6500000;8000000;10000000;12500000;15000000;20000000;25000000;30000000;35000000;40000000;55000000;70000000;80000000;90000000;110000000;130000000;160000000;190000000;220000000;250000000;280000000;310000000;340000000;400000000})</f>
        <v>30000000</v>
      </c>
      <c r="J1640" s="7" t="n">
        <f aca="false">I1640*S1640*T1640*U1640</f>
        <v>32130000</v>
      </c>
      <c r="K1640" s="3"/>
      <c r="L1640" s="3"/>
      <c r="M1640" s="3"/>
      <c r="N1640" s="9" t="n">
        <v>0</v>
      </c>
      <c r="O1640" s="4" t="n">
        <v>0</v>
      </c>
      <c r="P1640" s="5" t="n">
        <f aca="false">IF(COUNTIF([1]Base_Jugadores!J$2:J$500,B1640)&gt;0,1,0)</f>
        <v>0</v>
      </c>
      <c r="Q1640" s="10" t="b">
        <f aca="false">--(COUNTIFS(
   [1]Fichajes_Realizados!A$2:A$5000,A1640,
   [1]Fichajes_Realizados!G$2:G$5000,$X$3
)&gt;0)</f>
        <v>0</v>
      </c>
      <c r="R1640" s="5" t="n">
        <f aca="false">_xlfn.XLOOKUP(C1640, [1]Estado_Equipos!A$2:A$500, [1]Estado_Equipos!J$2:J$500, "")</f>
        <v>76</v>
      </c>
      <c r="S1640" s="5" t="n">
        <f aca="false">IF(H1640&lt;=16,1.45,
IF(H1640&gt;=41,0.3,
CHOOSE(ROUNDDOWN((H1640-16)/2,0)+1,
1.45,1.38,1.3,1.23,1.17,1.15,1.12,1.05,0.95,0.8,0.6,0.4,0.3)))</f>
        <v>1.05</v>
      </c>
      <c r="T1640" s="5" t="n">
        <f aca="false">CHOOSE(N1640+1,1.2,1,0.85,0.7)</f>
        <v>1.2</v>
      </c>
      <c r="U1640" s="5" t="n">
        <f aca="false">IF(F1640="PO",0.6,
IF(F1640="CT",0.75,
IF(F1640="LI",0.8,
IF(F1640="LD",0.8,
IF(F1640="MCD",0.85,
IF(F1640="MC",0.95,
IF(F1640="MO",1.05,
IF(F1640="EI",1.1,
IF(F1640="ED",1.1,
IF(F1640="SD",1.15,
IF(F1640="DC",1.2,0)))))))))))</f>
        <v>0.85</v>
      </c>
    </row>
    <row r="1641" customFormat="false" ht="16.4" hidden="false" customHeight="false" outlineLevel="0" collapsed="false">
      <c r="A1641" s="1" t="n">
        <v>1640</v>
      </c>
      <c r="B1641" s="5" t="str">
        <f aca="false">[1]Base_Jugadores!B1641</f>
        <v>Exequiel Palacios</v>
      </c>
      <c r="C1641" s="5" t="str">
        <f aca="false">IFERROR(
   _xlfn.XLOOKUP(VALUE(A1641),[1]Fichajes_Realizados!A$2:A$50000,[1]Fichajes_Realizados!D$2:D$50000,,0,-1),
   _xlfn.XLOOKUP(VALUE(A1641),[1]Base_Jugadores!A$2:A$50000,[1]Base_Jugadores!C$2:C$50000)
)</f>
        <v>Bayer 04 Leverkusen</v>
      </c>
      <c r="D1641" s="5" t="str">
        <f aca="false">[1]Base_Jugadores!D1641</f>
        <v>Argentina</v>
      </c>
      <c r="E1641" s="3"/>
      <c r="F1641" s="5" t="str">
        <f aca="false">[1]Base_Jugadores!E1641</f>
        <v>MC</v>
      </c>
      <c r="G1641" s="5" t="n">
        <f aca="false">[1]Base_Jugadores!F1641</f>
        <v>82</v>
      </c>
      <c r="H1641" s="5" t="n">
        <f aca="false">[1]Base_Jugadores!G1641</f>
        <v>27</v>
      </c>
      <c r="I1641" s="7" t="n">
        <f aca="false" t="array" ref="I1641:I1641">_xlfn.XLOOKUP(G1641,{55;56;57;58;59;60;61;62;63;64;65;66;67;68;69;70;71;72;73;74;75;76;77;78;79;80;81;82;83;84;85;86;87;88;89;90;91;92;93;94;95;96;97;98;99},{100000;130000;160000;190000;220000;250000;300000;350000;400000;450000;500000;600000;700000;800000;900000;1000000;1500000;2000000;3000000;4000000;5000000;6500000;8000000;10000000;12500000;15000000;20000000;25000000;30000000;35000000;40000000;55000000;70000000;80000000;90000000;110000000;130000000;160000000;190000000;220000000;250000000;280000000;310000000;340000000;400000000})</f>
        <v>25000000</v>
      </c>
      <c r="J1641" s="7" t="n">
        <f aca="false">I1641*S1641*T1641*U1641</f>
        <v>32775000</v>
      </c>
      <c r="K1641" s="3"/>
      <c r="L1641" s="3"/>
      <c r="M1641" s="3"/>
      <c r="N1641" s="9" t="n">
        <v>0</v>
      </c>
      <c r="O1641" s="4" t="n">
        <v>0</v>
      </c>
      <c r="P1641" s="5" t="n">
        <f aca="false">IF(COUNTIF([1]Base_Jugadores!J$2:J$500,B1641)&gt;0,1,0)</f>
        <v>0</v>
      </c>
      <c r="Q1641" s="10" t="b">
        <f aca="false">--(COUNTIFS(
   [1]Fichajes_Realizados!A$2:A$5000,A1641,
   [1]Fichajes_Realizados!G$2:G$5000,$X$3
)&gt;0)</f>
        <v>0</v>
      </c>
      <c r="R1641" s="5" t="n">
        <f aca="false">_xlfn.XLOOKUP(C1641, [1]Estado_Equipos!A$2:A$500, [1]Estado_Equipos!J$2:J$500, "")</f>
        <v>76</v>
      </c>
      <c r="S1641" s="5" t="n">
        <f aca="false">IF(H1641&lt;=16,1.45,
IF(H1641&gt;=41,0.3,
CHOOSE(ROUNDDOWN((H1641-16)/2,0)+1,
1.45,1.38,1.3,1.23,1.17,1.15,1.12,1.05,0.95,0.8,0.6,0.4,0.3)))</f>
        <v>1.15</v>
      </c>
      <c r="T1641" s="5" t="n">
        <f aca="false">CHOOSE(N1641+1,1.2,1,0.85,0.7)</f>
        <v>1.2</v>
      </c>
      <c r="U1641" s="5" t="n">
        <f aca="false">IF(F1641="PO",0.6,
IF(F1641="CT",0.75,
IF(F1641="LI",0.8,
IF(F1641="LD",0.8,
IF(F1641="MCD",0.85,
IF(F1641="MC",0.95,
IF(F1641="MO",1.05,
IF(F1641="EI",1.1,
IF(F1641="ED",1.1,
IF(F1641="SD",1.15,
IF(F1641="DC",1.2,0)))))))))))</f>
        <v>0.95</v>
      </c>
    </row>
    <row r="1642" customFormat="false" ht="16.4" hidden="false" customHeight="false" outlineLevel="0" collapsed="false">
      <c r="A1642" s="1" t="n">
        <v>1641</v>
      </c>
      <c r="B1642" s="5" t="str">
        <f aca="false">[1]Base_Jugadores!B1642</f>
        <v>Aleix García</v>
      </c>
      <c r="C1642" s="5" t="str">
        <f aca="false">IFERROR(
   _xlfn.XLOOKUP(VALUE(A1642),[1]Fichajes_Realizados!A$2:A$50000,[1]Fichajes_Realizados!D$2:D$50000,,0,-1),
   _xlfn.XLOOKUP(VALUE(A1642),[1]Base_Jugadores!A$2:A$50000,[1]Base_Jugadores!C$2:C$50000)
)</f>
        <v>Bayer 04 Leverkusen</v>
      </c>
      <c r="D1642" s="5" t="str">
        <f aca="false">[1]Base_Jugadores!D1642</f>
        <v>España</v>
      </c>
      <c r="E1642" s="3"/>
      <c r="F1642" s="5" t="str">
        <f aca="false">[1]Base_Jugadores!E1642</f>
        <v>MC</v>
      </c>
      <c r="G1642" s="5" t="n">
        <f aca="false">[1]Base_Jugadores!F1642</f>
        <v>83</v>
      </c>
      <c r="H1642" s="5" t="n">
        <f aca="false">[1]Base_Jugadores!G1642</f>
        <v>28</v>
      </c>
      <c r="I1642" s="7" t="n">
        <f aca="false" t="array" ref="I1642:I1642">_xlfn.XLOOKUP(G1642,{55;56;57;58;59;60;61;62;63;64;65;66;67;68;69;70;71;72;73;74;75;76;77;78;79;80;81;82;83;84;85;86;87;88;89;90;91;92;93;94;95;96;97;98;99},{100000;130000;160000;190000;220000;250000;300000;350000;400000;450000;500000;600000;700000;800000;900000;1000000;1500000;2000000;3000000;4000000;5000000;6500000;8000000;10000000;12500000;15000000;20000000;25000000;30000000;35000000;40000000;55000000;70000000;80000000;90000000;110000000;130000000;160000000;190000000;220000000;250000000;280000000;310000000;340000000;400000000})</f>
        <v>30000000</v>
      </c>
      <c r="J1642" s="7" t="n">
        <f aca="false">I1642*S1642*T1642*U1642</f>
        <v>38304000</v>
      </c>
      <c r="K1642" s="3"/>
      <c r="L1642" s="3"/>
      <c r="M1642" s="3"/>
      <c r="N1642" s="9" t="n">
        <v>0</v>
      </c>
      <c r="O1642" s="4" t="n">
        <v>0</v>
      </c>
      <c r="P1642" s="5" t="n">
        <f aca="false">IF(COUNTIF([1]Base_Jugadores!J$2:J$500,B1642)&gt;0,1,0)</f>
        <v>0</v>
      </c>
      <c r="Q1642" s="10" t="b">
        <f aca="false">--(COUNTIFS(
   [1]Fichajes_Realizados!A$2:A$5000,A1642,
   [1]Fichajes_Realizados!G$2:G$5000,$X$3
)&gt;0)</f>
        <v>0</v>
      </c>
      <c r="R1642" s="5" t="n">
        <f aca="false">_xlfn.XLOOKUP(C1642, [1]Estado_Equipos!A$2:A$500, [1]Estado_Equipos!J$2:J$500, "")</f>
        <v>76</v>
      </c>
      <c r="S1642" s="5" t="n">
        <f aca="false">IF(H1642&lt;=16,1.45,
IF(H1642&gt;=41,0.3,
CHOOSE(ROUNDDOWN((H1642-16)/2,0)+1,
1.45,1.38,1.3,1.23,1.17,1.15,1.12,1.05,0.95,0.8,0.6,0.4,0.3)))</f>
        <v>1.12</v>
      </c>
      <c r="T1642" s="5" t="n">
        <f aca="false">CHOOSE(N1642+1,1.2,1,0.85,0.7)</f>
        <v>1.2</v>
      </c>
      <c r="U1642" s="5" t="n">
        <f aca="false">IF(F1642="PO",0.6,
IF(F1642="CT",0.75,
IF(F1642="LI",0.8,
IF(F1642="LD",0.8,
IF(F1642="MCD",0.85,
IF(F1642="MC",0.95,
IF(F1642="MO",1.05,
IF(F1642="EI",1.1,
IF(F1642="ED",1.1,
IF(F1642="SD",1.15,
IF(F1642="DC",1.2,0)))))))))))</f>
        <v>0.95</v>
      </c>
    </row>
    <row r="1643" customFormat="false" ht="16.4" hidden="false" customHeight="false" outlineLevel="0" collapsed="false">
      <c r="A1643" s="1" t="n">
        <v>1642</v>
      </c>
      <c r="B1643" s="5" t="str">
        <f aca="false">[1]Base_Jugadores!B1643</f>
        <v>Malik Tillman</v>
      </c>
      <c r="C1643" s="5" t="str">
        <f aca="false">IFERROR(
   _xlfn.XLOOKUP(VALUE(A1643),[1]Fichajes_Realizados!A$2:A$50000,[1]Fichajes_Realizados!D$2:D$50000,,0,-1),
   _xlfn.XLOOKUP(VALUE(A1643),[1]Base_Jugadores!A$2:A$50000,[1]Base_Jugadores!C$2:C$50000)
)</f>
        <v>Bayer 04 Leverkusen</v>
      </c>
      <c r="D1643" s="5" t="str">
        <f aca="false">[1]Base_Jugadores!D1643</f>
        <v>Estados Unidos</v>
      </c>
      <c r="E1643" s="3"/>
      <c r="F1643" s="5" t="str">
        <f aca="false">[1]Base_Jugadores!E1643</f>
        <v>MO</v>
      </c>
      <c r="G1643" s="5" t="n">
        <f aca="false">[1]Base_Jugadores!F1643</f>
        <v>78</v>
      </c>
      <c r="H1643" s="5" t="n">
        <f aca="false">[1]Base_Jugadores!G1643</f>
        <v>23</v>
      </c>
      <c r="I1643" s="7" t="n">
        <f aca="false" t="array" ref="I1643:I1643">_xlfn.XLOOKUP(G1643,{55;56;57;58;59;60;61;62;63;64;65;66;67;68;69;70;71;72;73;74;75;76;77;78;79;80;81;82;83;84;85;86;87;88;89;90;91;92;93;94;95;96;97;98;99},{100000;130000;160000;190000;220000;250000;300000;350000;400000;450000;500000;600000;700000;800000;900000;1000000;1500000;2000000;3000000;4000000;5000000;6500000;8000000;10000000;12500000;15000000;20000000;25000000;30000000;35000000;40000000;55000000;70000000;80000000;90000000;110000000;130000000;160000000;190000000;220000000;250000000;280000000;310000000;340000000;400000000})</f>
        <v>10000000</v>
      </c>
      <c r="J1643" s="7" t="n">
        <f aca="false">I1643*S1643*T1643*U1643</f>
        <v>15498000</v>
      </c>
      <c r="K1643" s="3"/>
      <c r="L1643" s="3"/>
      <c r="M1643" s="3"/>
      <c r="N1643" s="9" t="n">
        <v>0</v>
      </c>
      <c r="O1643" s="4" t="n">
        <v>0</v>
      </c>
      <c r="P1643" s="5" t="n">
        <f aca="false">IF(COUNTIF([1]Base_Jugadores!J$2:J$500,B1643)&gt;0,1,0)</f>
        <v>0</v>
      </c>
      <c r="Q1643" s="10" t="b">
        <f aca="false">--(COUNTIFS(
   [1]Fichajes_Realizados!A$2:A$5000,A1643,
   [1]Fichajes_Realizados!G$2:G$5000,$X$3
)&gt;0)</f>
        <v>0</v>
      </c>
      <c r="R1643" s="5" t="n">
        <f aca="false">_xlfn.XLOOKUP(C1643, [1]Estado_Equipos!A$2:A$500, [1]Estado_Equipos!J$2:J$500, "")</f>
        <v>76</v>
      </c>
      <c r="S1643" s="5" t="n">
        <f aca="false">IF(H1643&lt;=16,1.45,
IF(H1643&gt;=41,0.3,
CHOOSE(ROUNDDOWN((H1643-16)/2,0)+1,
1.45,1.38,1.3,1.23,1.17,1.15,1.12,1.05,0.95,0.8,0.6,0.4,0.3)))</f>
        <v>1.23</v>
      </c>
      <c r="T1643" s="5" t="n">
        <f aca="false">CHOOSE(N1643+1,1.2,1,0.85,0.7)</f>
        <v>1.2</v>
      </c>
      <c r="U1643" s="5" t="n">
        <f aca="false">IF(F1643="PO",0.6,
IF(F1643="CT",0.75,
IF(F1643="LI",0.8,
IF(F1643="LD",0.8,
IF(F1643="MCD",0.85,
IF(F1643="MC",0.95,
IF(F1643="MO",1.05,
IF(F1643="EI",1.1,
IF(F1643="ED",1.1,
IF(F1643="SD",1.15,
IF(F1643="DC",1.2,0)))))))))))</f>
        <v>1.05</v>
      </c>
    </row>
    <row r="1644" customFormat="false" ht="16.4" hidden="false" customHeight="false" outlineLevel="0" collapsed="false">
      <c r="A1644" s="1" t="n">
        <v>1643</v>
      </c>
      <c r="B1644" s="5" t="str">
        <f aca="false">[1]Base_Jugadores!B1644</f>
        <v>Claudio Echeverri</v>
      </c>
      <c r="C1644" s="5" t="str">
        <f aca="false">IFERROR(
   _xlfn.XLOOKUP(VALUE(A1644),[1]Fichajes_Realizados!A$2:A$50000,[1]Fichajes_Realizados!D$2:D$50000,,0,-1),
   _xlfn.XLOOKUP(VALUE(A1644),[1]Base_Jugadores!A$2:A$50000,[1]Base_Jugadores!C$2:C$50000)
)</f>
        <v>Bayer 04 Leverkusen</v>
      </c>
      <c r="D1644" s="5" t="str">
        <f aca="false">[1]Base_Jugadores!D1644</f>
        <v>Argentina</v>
      </c>
      <c r="E1644" s="3"/>
      <c r="F1644" s="5" t="str">
        <f aca="false">[1]Base_Jugadores!E1644</f>
        <v>MO</v>
      </c>
      <c r="G1644" s="5" t="n">
        <f aca="false">[1]Base_Jugadores!F1644</f>
        <v>73</v>
      </c>
      <c r="H1644" s="5" t="n">
        <f aca="false">[1]Base_Jugadores!G1644</f>
        <v>19</v>
      </c>
      <c r="I1644" s="7" t="n">
        <f aca="false" t="array" ref="I1644:I1644">_xlfn.XLOOKUP(G1644,{55;56;57;58;59;60;61;62;63;64;65;66;67;68;69;70;71;72;73;74;75;76;77;78;79;80;81;82;83;84;85;86;87;88;89;90;91;92;93;94;95;96;97;98;99},{100000;130000;160000;190000;220000;250000;300000;350000;400000;450000;500000;600000;700000;800000;900000;1000000;1500000;2000000;3000000;4000000;5000000;6500000;8000000;10000000;12500000;15000000;20000000;25000000;30000000;35000000;40000000;55000000;70000000;80000000;90000000;110000000;130000000;160000000;190000000;220000000;250000000;280000000;310000000;340000000;400000000})</f>
        <v>3000000</v>
      </c>
      <c r="J1644" s="7" t="n">
        <f aca="false">I1644*S1644*T1644*U1644</f>
        <v>5216400</v>
      </c>
      <c r="K1644" s="3"/>
      <c r="L1644" s="3"/>
      <c r="M1644" s="3"/>
      <c r="N1644" s="9" t="n">
        <v>0</v>
      </c>
      <c r="O1644" s="4" t="n">
        <v>0</v>
      </c>
      <c r="P1644" s="5" t="n">
        <f aca="false">IF(COUNTIF([1]Base_Jugadores!J$2:J$500,B1644)&gt;0,1,0)</f>
        <v>0</v>
      </c>
      <c r="Q1644" s="10" t="b">
        <f aca="false">--(COUNTIFS(
   [1]Fichajes_Realizados!A$2:A$5000,A1644,
   [1]Fichajes_Realizados!G$2:G$5000,$X$3
)&gt;0)</f>
        <v>0</v>
      </c>
      <c r="R1644" s="5" t="n">
        <f aca="false">_xlfn.XLOOKUP(C1644, [1]Estado_Equipos!A$2:A$500, [1]Estado_Equipos!J$2:J$500, "")</f>
        <v>76</v>
      </c>
      <c r="S1644" s="5" t="n">
        <f aca="false">IF(H1644&lt;=16,1.45,
IF(H1644&gt;=41,0.3,
CHOOSE(ROUNDDOWN((H1644-16)/2,0)+1,
1.45,1.38,1.3,1.23,1.17,1.15,1.12,1.05,0.95,0.8,0.6,0.4,0.3)))</f>
        <v>1.38</v>
      </c>
      <c r="T1644" s="5" t="n">
        <f aca="false">CHOOSE(N1644+1,1.2,1,0.85,0.7)</f>
        <v>1.2</v>
      </c>
      <c r="U1644" s="5" t="n">
        <f aca="false">IF(F1644="PO",0.6,
IF(F1644="CT",0.75,
IF(F1644="LI",0.8,
IF(F1644="LD",0.8,
IF(F1644="MCD",0.85,
IF(F1644="MC",0.95,
IF(F1644="MO",1.05,
IF(F1644="EI",1.1,
IF(F1644="ED",1.1,
IF(F1644="SD",1.15,
IF(F1644="DC",1.2,0)))))))))))</f>
        <v>1.05</v>
      </c>
    </row>
    <row r="1645" customFormat="false" ht="16.4" hidden="false" customHeight="false" outlineLevel="0" collapsed="false">
      <c r="A1645" s="1" t="n">
        <v>1644</v>
      </c>
      <c r="B1645" s="5" t="str">
        <f aca="false">[1]Base_Jugadores!B1645</f>
        <v>Jonas Hofmann</v>
      </c>
      <c r="C1645" s="5" t="str">
        <f aca="false">IFERROR(
   _xlfn.XLOOKUP(VALUE(A1645),[1]Fichajes_Realizados!A$2:A$50000,[1]Fichajes_Realizados!D$2:D$50000,,0,-1),
   _xlfn.XLOOKUP(VALUE(A1645),[1]Base_Jugadores!A$2:A$50000,[1]Base_Jugadores!C$2:C$50000)
)</f>
        <v>Bayer 04 Leverkusen</v>
      </c>
      <c r="D1645" s="5" t="str">
        <f aca="false">[1]Base_Jugadores!D1645</f>
        <v>Alemania</v>
      </c>
      <c r="E1645" s="3"/>
      <c r="F1645" s="5" t="str">
        <f aca="false">[1]Base_Jugadores!E1645</f>
        <v>MO</v>
      </c>
      <c r="G1645" s="5" t="n">
        <f aca="false">[1]Base_Jugadores!F1645</f>
        <v>81</v>
      </c>
      <c r="H1645" s="5" t="n">
        <f aca="false">[1]Base_Jugadores!G1645</f>
        <v>33</v>
      </c>
      <c r="I1645" s="7" t="n">
        <f aca="false" t="array" ref="I1645:I1645">_xlfn.XLOOKUP(G1645,{55;56;57;58;59;60;61;62;63;64;65;66;67;68;69;70;71;72;73;74;75;76;77;78;79;80;81;82;83;84;85;86;87;88;89;90;91;92;93;94;95;96;97;98;99},{100000;130000;160000;190000;220000;250000;300000;350000;400000;450000;500000;600000;700000;800000;900000;1000000;1500000;2000000;3000000;4000000;5000000;6500000;8000000;10000000;12500000;15000000;20000000;25000000;30000000;35000000;40000000;55000000;70000000;80000000;90000000;110000000;130000000;160000000;190000000;220000000;250000000;280000000;310000000;340000000;400000000})</f>
        <v>20000000</v>
      </c>
      <c r="J1645" s="7" t="n">
        <f aca="false">I1645*S1645*T1645*U1645</f>
        <v>23940000</v>
      </c>
      <c r="K1645" s="3"/>
      <c r="L1645" s="3"/>
      <c r="M1645" s="3"/>
      <c r="N1645" s="9" t="n">
        <v>0</v>
      </c>
      <c r="O1645" s="4" t="n">
        <v>0</v>
      </c>
      <c r="P1645" s="5" t="n">
        <f aca="false">IF(COUNTIF([1]Base_Jugadores!J$2:J$500,B1645)&gt;0,1,0)</f>
        <v>0</v>
      </c>
      <c r="Q1645" s="10" t="b">
        <f aca="false">--(COUNTIFS(
   [1]Fichajes_Realizados!A$2:A$5000,A1645,
   [1]Fichajes_Realizados!G$2:G$5000,$X$3
)&gt;0)</f>
        <v>0</v>
      </c>
      <c r="R1645" s="5" t="n">
        <f aca="false">_xlfn.XLOOKUP(C1645, [1]Estado_Equipos!A$2:A$500, [1]Estado_Equipos!J$2:J$500, "")</f>
        <v>76</v>
      </c>
      <c r="S1645" s="5" t="n">
        <f aca="false">IF(H1645&lt;=16,1.45,
IF(H1645&gt;=41,0.3,
CHOOSE(ROUNDDOWN((H1645-16)/2,0)+1,
1.45,1.38,1.3,1.23,1.17,1.15,1.12,1.05,0.95,0.8,0.6,0.4,0.3)))</f>
        <v>0.95</v>
      </c>
      <c r="T1645" s="5" t="n">
        <f aca="false">CHOOSE(N1645+1,1.2,1,0.85,0.7)</f>
        <v>1.2</v>
      </c>
      <c r="U1645" s="5" t="n">
        <f aca="false">IF(F1645="PO",0.6,
IF(F1645="CT",0.75,
IF(F1645="LI",0.8,
IF(F1645="LD",0.8,
IF(F1645="MCD",0.85,
IF(F1645="MC",0.95,
IF(F1645="MO",1.05,
IF(F1645="EI",1.1,
IF(F1645="ED",1.1,
IF(F1645="SD",1.15,
IF(F1645="DC",1.2,0)))))))))))</f>
        <v>1.05</v>
      </c>
    </row>
    <row r="1646" customFormat="false" ht="16.4" hidden="false" customHeight="false" outlineLevel="0" collapsed="false">
      <c r="A1646" s="1" t="n">
        <v>1645</v>
      </c>
      <c r="B1646" s="5" t="str">
        <f aca="false">[1]Base_Jugadores!B1646</f>
        <v>Eliesse Ben Seghir</v>
      </c>
      <c r="C1646" s="5" t="str">
        <f aca="false">IFERROR(
   _xlfn.XLOOKUP(VALUE(A1646),[1]Fichajes_Realizados!A$2:A$50000,[1]Fichajes_Realizados!D$2:D$50000,,0,-1),
   _xlfn.XLOOKUP(VALUE(A1646),[1]Base_Jugadores!A$2:A$50000,[1]Base_Jugadores!C$2:C$50000)
)</f>
        <v>Bayer 04 Leverkusen</v>
      </c>
      <c r="D1646" s="5" t="str">
        <f aca="false">[1]Base_Jugadores!D1646</f>
        <v>Marruecos</v>
      </c>
      <c r="E1646" s="3"/>
      <c r="F1646" s="5" t="str">
        <f aca="false">[1]Base_Jugadores!E1646</f>
        <v>EI</v>
      </c>
      <c r="G1646" s="5" t="n">
        <f aca="false">[1]Base_Jugadores!F1646</f>
        <v>77</v>
      </c>
      <c r="H1646" s="5" t="n">
        <f aca="false">[1]Base_Jugadores!G1646</f>
        <v>20</v>
      </c>
      <c r="I1646" s="7" t="n">
        <f aca="false" t="array" ref="I1646:I1646">_xlfn.XLOOKUP(G1646,{55;56;57;58;59;60;61;62;63;64;65;66;67;68;69;70;71;72;73;74;75;76;77;78;79;80;81;82;83;84;85;86;87;88;89;90;91;92;93;94;95;96;97;98;99},{100000;130000;160000;190000;220000;250000;300000;350000;400000;450000;500000;600000;700000;800000;900000;1000000;1500000;2000000;3000000;4000000;5000000;6500000;8000000;10000000;12500000;15000000;20000000;25000000;30000000;35000000;40000000;55000000;70000000;80000000;90000000;110000000;130000000;160000000;190000000;220000000;250000000;280000000;310000000;340000000;400000000})</f>
        <v>8000000</v>
      </c>
      <c r="J1646" s="7" t="n">
        <f aca="false">I1646*S1646*T1646*U1646</f>
        <v>13728000</v>
      </c>
      <c r="K1646" s="3"/>
      <c r="L1646" s="3"/>
      <c r="M1646" s="3"/>
      <c r="N1646" s="9" t="n">
        <v>0</v>
      </c>
      <c r="O1646" s="4" t="n">
        <v>0</v>
      </c>
      <c r="P1646" s="5" t="n">
        <f aca="false">IF(COUNTIF([1]Base_Jugadores!J$2:J$500,B1646)&gt;0,1,0)</f>
        <v>0</v>
      </c>
      <c r="Q1646" s="10" t="b">
        <f aca="false">--(COUNTIFS(
   [1]Fichajes_Realizados!A$2:A$5000,A1646,
   [1]Fichajes_Realizados!G$2:G$5000,$X$3
)&gt;0)</f>
        <v>0</v>
      </c>
      <c r="R1646" s="5" t="n">
        <f aca="false">_xlfn.XLOOKUP(C1646, [1]Estado_Equipos!A$2:A$500, [1]Estado_Equipos!J$2:J$500, "")</f>
        <v>76</v>
      </c>
      <c r="S1646" s="5" t="n">
        <f aca="false">IF(H1646&lt;=16,1.45,
IF(H1646&gt;=41,0.3,
CHOOSE(ROUNDDOWN((H1646-16)/2,0)+1,
1.45,1.38,1.3,1.23,1.17,1.15,1.12,1.05,0.95,0.8,0.6,0.4,0.3)))</f>
        <v>1.3</v>
      </c>
      <c r="T1646" s="5" t="n">
        <f aca="false">CHOOSE(N1646+1,1.2,1,0.85,0.7)</f>
        <v>1.2</v>
      </c>
      <c r="U1646" s="5" t="n">
        <f aca="false">IF(F1646="PO",0.6,
IF(F1646="CT",0.75,
IF(F1646="LI",0.8,
IF(F1646="LD",0.8,
IF(F1646="MCD",0.85,
IF(F1646="MC",0.95,
IF(F1646="MO",1.05,
IF(F1646="EI",1.1,
IF(F1646="ED",1.1,
IF(F1646="SD",1.15,
IF(F1646="DC",1.2,0)))))))))))</f>
        <v>1.1</v>
      </c>
    </row>
    <row r="1647" customFormat="false" ht="16.4" hidden="false" customHeight="false" outlineLevel="0" collapsed="false">
      <c r="A1647" s="1" t="n">
        <v>1646</v>
      </c>
      <c r="B1647" s="5" t="str">
        <f aca="false">[1]Base_Jugadores!B1647</f>
        <v>Martin Terrier</v>
      </c>
      <c r="C1647" s="5" t="str">
        <f aca="false">IFERROR(
   _xlfn.XLOOKUP(VALUE(A1647),[1]Fichajes_Realizados!A$2:A$50000,[1]Fichajes_Realizados!D$2:D$50000,,0,-1),
   _xlfn.XLOOKUP(VALUE(A1647),[1]Base_Jugadores!A$2:A$50000,[1]Base_Jugadores!C$2:C$50000)
)</f>
        <v>Bayer 04 Leverkusen</v>
      </c>
      <c r="D1647" s="5" t="str">
        <f aca="false">[1]Base_Jugadores!D1647</f>
        <v>Francia</v>
      </c>
      <c r="E1647" s="3"/>
      <c r="F1647" s="5" t="str">
        <f aca="false">[1]Base_Jugadores!E1647</f>
        <v>EI</v>
      </c>
      <c r="G1647" s="5" t="n">
        <f aca="false">[1]Base_Jugadores!F1647</f>
        <v>79</v>
      </c>
      <c r="H1647" s="5" t="n">
        <f aca="false">[1]Base_Jugadores!G1647</f>
        <v>28</v>
      </c>
      <c r="I1647" s="7" t="n">
        <f aca="false" t="array" ref="I1647:I1647">_xlfn.XLOOKUP(G1647,{55;56;57;58;59;60;61;62;63;64;65;66;67;68;69;70;71;72;73;74;75;76;77;78;79;80;81;82;83;84;85;86;87;88;89;90;91;92;93;94;95;96;97;98;99},{100000;130000;160000;190000;220000;250000;300000;350000;400000;450000;500000;600000;700000;800000;900000;1000000;1500000;2000000;3000000;4000000;5000000;6500000;8000000;10000000;12500000;15000000;20000000;25000000;30000000;35000000;40000000;55000000;70000000;80000000;90000000;110000000;130000000;160000000;190000000;220000000;250000000;280000000;310000000;340000000;400000000})</f>
        <v>12500000</v>
      </c>
      <c r="J1647" s="7" t="n">
        <f aca="false">I1647*S1647*T1647*U1647</f>
        <v>18480000</v>
      </c>
      <c r="K1647" s="3"/>
      <c r="L1647" s="3"/>
      <c r="M1647" s="3"/>
      <c r="N1647" s="9" t="n">
        <v>0</v>
      </c>
      <c r="O1647" s="4" t="n">
        <v>0</v>
      </c>
      <c r="P1647" s="5" t="n">
        <f aca="false">IF(COUNTIF([1]Base_Jugadores!J$2:J$500,B1647)&gt;0,1,0)</f>
        <v>0</v>
      </c>
      <c r="Q1647" s="10" t="b">
        <f aca="false">--(COUNTIFS(
   [1]Fichajes_Realizados!A$2:A$5000,A1647,
   [1]Fichajes_Realizados!G$2:G$5000,$X$3
)&gt;0)</f>
        <v>0</v>
      </c>
      <c r="R1647" s="5" t="n">
        <f aca="false">_xlfn.XLOOKUP(C1647, [1]Estado_Equipos!A$2:A$500, [1]Estado_Equipos!J$2:J$500, "")</f>
        <v>76</v>
      </c>
      <c r="S1647" s="5" t="n">
        <f aca="false">IF(H1647&lt;=16,1.45,
IF(H1647&gt;=41,0.3,
CHOOSE(ROUNDDOWN((H1647-16)/2,0)+1,
1.45,1.38,1.3,1.23,1.17,1.15,1.12,1.05,0.95,0.8,0.6,0.4,0.3)))</f>
        <v>1.12</v>
      </c>
      <c r="T1647" s="5" t="n">
        <f aca="false">CHOOSE(N1647+1,1.2,1,0.85,0.7)</f>
        <v>1.2</v>
      </c>
      <c r="U1647" s="5" t="n">
        <f aca="false">IF(F1647="PO",0.6,
IF(F1647="CT",0.75,
IF(F1647="LI",0.8,
IF(F1647="LD",0.8,
IF(F1647="MCD",0.85,
IF(F1647="MC",0.95,
IF(F1647="MO",1.05,
IF(F1647="EI",1.1,
IF(F1647="ED",1.1,
IF(F1647="SD",1.15,
IF(F1647="DC",1.2,0)))))))))))</f>
        <v>1.1</v>
      </c>
    </row>
    <row r="1648" customFormat="false" ht="16.4" hidden="false" customHeight="false" outlineLevel="0" collapsed="false">
      <c r="A1648" s="1" t="n">
        <v>1647</v>
      </c>
      <c r="B1648" s="5" t="str">
        <f aca="false">[1]Base_Jugadores!B1648</f>
        <v>Ernest Poku</v>
      </c>
      <c r="C1648" s="5" t="str">
        <f aca="false">IFERROR(
   _xlfn.XLOOKUP(VALUE(A1648),[1]Fichajes_Realizados!A$2:A$50000,[1]Fichajes_Realizados!D$2:D$50000,,0,-1),
   _xlfn.XLOOKUP(VALUE(A1648),[1]Base_Jugadores!A$2:A$50000,[1]Base_Jugadores!C$2:C$50000)
)</f>
        <v>Bayer 04 Leverkusen</v>
      </c>
      <c r="D1648" s="5" t="str">
        <f aca="false">[1]Base_Jugadores!D1648</f>
        <v>Países Bajos</v>
      </c>
      <c r="E1648" s="3"/>
      <c r="F1648" s="5" t="str">
        <f aca="false">[1]Base_Jugadores!E1648</f>
        <v>ED</v>
      </c>
      <c r="G1648" s="5" t="n">
        <f aca="false">[1]Base_Jugadores!F1648</f>
        <v>67</v>
      </c>
      <c r="H1648" s="5" t="n">
        <f aca="false">[1]Base_Jugadores!G1648</f>
        <v>21</v>
      </c>
      <c r="I1648" s="7" t="n">
        <f aca="false" t="array" ref="I1648:I1648">_xlfn.XLOOKUP(G1648,{55;56;57;58;59;60;61;62;63;64;65;66;67;68;69;70;71;72;73;74;75;76;77;78;79;80;81;82;83;84;85;86;87;88;89;90;91;92;93;94;95;96;97;98;99},{100000;130000;160000;190000;220000;250000;300000;350000;400000;450000;500000;600000;700000;800000;900000;1000000;1500000;2000000;3000000;4000000;5000000;6500000;8000000;10000000;12500000;15000000;20000000;25000000;30000000;35000000;40000000;55000000;70000000;80000000;90000000;110000000;130000000;160000000;190000000;220000000;250000000;280000000;310000000;340000000;400000000})</f>
        <v>700000</v>
      </c>
      <c r="J1648" s="7" t="n">
        <f aca="false">I1648*S1648*T1648*U1648</f>
        <v>1201200</v>
      </c>
      <c r="K1648" s="3"/>
      <c r="L1648" s="3"/>
      <c r="M1648" s="3"/>
      <c r="N1648" s="9" t="n">
        <v>0</v>
      </c>
      <c r="O1648" s="4" t="n">
        <v>0</v>
      </c>
      <c r="P1648" s="5" t="n">
        <f aca="false">IF(COUNTIF([1]Base_Jugadores!J$2:J$500,B1648)&gt;0,1,0)</f>
        <v>0</v>
      </c>
      <c r="Q1648" s="10" t="b">
        <f aca="false">--(COUNTIFS(
   [1]Fichajes_Realizados!A$2:A$5000,A1648,
   [1]Fichajes_Realizados!G$2:G$5000,$X$3
)&gt;0)</f>
        <v>0</v>
      </c>
      <c r="R1648" s="5" t="n">
        <f aca="false">_xlfn.XLOOKUP(C1648, [1]Estado_Equipos!A$2:A$500, [1]Estado_Equipos!J$2:J$500, "")</f>
        <v>76</v>
      </c>
      <c r="S1648" s="5" t="n">
        <f aca="false">IF(H1648&lt;=16,1.45,
IF(H1648&gt;=41,0.3,
CHOOSE(ROUNDDOWN((H1648-16)/2,0)+1,
1.45,1.38,1.3,1.23,1.17,1.15,1.12,1.05,0.95,0.8,0.6,0.4,0.3)))</f>
        <v>1.3</v>
      </c>
      <c r="T1648" s="5" t="n">
        <f aca="false">CHOOSE(N1648+1,1.2,1,0.85,0.7)</f>
        <v>1.2</v>
      </c>
      <c r="U1648" s="5" t="n">
        <f aca="false">IF(F1648="PO",0.6,
IF(F1648="CT",0.75,
IF(F1648="LI",0.8,
IF(F1648="LD",0.8,
IF(F1648="MCD",0.85,
IF(F1648="MC",0.95,
IF(F1648="MO",1.05,
IF(F1648="EI",1.1,
IF(F1648="ED",1.1,
IF(F1648="SD",1.15,
IF(F1648="DC",1.2,0)))))))))))</f>
        <v>1.1</v>
      </c>
    </row>
    <row r="1649" customFormat="false" ht="16.4" hidden="false" customHeight="false" outlineLevel="0" collapsed="false">
      <c r="A1649" s="1" t="n">
        <v>1648</v>
      </c>
      <c r="B1649" s="5" t="str">
        <f aca="false">[1]Base_Jugadores!B1649</f>
        <v>Nathan Tella</v>
      </c>
      <c r="C1649" s="5" t="str">
        <f aca="false">IFERROR(
   _xlfn.XLOOKUP(VALUE(A1649),[1]Fichajes_Realizados!A$2:A$50000,[1]Fichajes_Realizados!D$2:D$50000,,0,-1),
   _xlfn.XLOOKUP(VALUE(A1649),[1]Base_Jugadores!A$2:A$50000,[1]Base_Jugadores!C$2:C$50000)
)</f>
        <v>Bayer 04 Leverkusen</v>
      </c>
      <c r="D1649" s="5" t="str">
        <f aca="false">[1]Base_Jugadores!D1649</f>
        <v>Nigeria</v>
      </c>
      <c r="E1649" s="3"/>
      <c r="F1649" s="5" t="str">
        <f aca="false">[1]Base_Jugadores!E1649</f>
        <v>ED</v>
      </c>
      <c r="G1649" s="5" t="n">
        <f aca="false">[1]Base_Jugadores!F1649</f>
        <v>77</v>
      </c>
      <c r="H1649" s="5" t="n">
        <f aca="false">[1]Base_Jugadores!G1649</f>
        <v>26</v>
      </c>
      <c r="I1649" s="7" t="n">
        <f aca="false" t="array" ref="I1649:I1649">_xlfn.XLOOKUP(G1649,{55;56;57;58;59;60;61;62;63;64;65;66;67;68;69;70;71;72;73;74;75;76;77;78;79;80;81;82;83;84;85;86;87;88;89;90;91;92;93;94;95;96;97;98;99},{100000;130000;160000;190000;220000;250000;300000;350000;400000;450000;500000;600000;700000;800000;900000;1000000;1500000;2000000;3000000;4000000;5000000;6500000;8000000;10000000;12500000;15000000;20000000;25000000;30000000;35000000;40000000;55000000;70000000;80000000;90000000;110000000;130000000;160000000;190000000;220000000;250000000;280000000;310000000;340000000;400000000})</f>
        <v>8000000</v>
      </c>
      <c r="J1649" s="7" t="n">
        <f aca="false">I1649*S1649*T1649*U1649</f>
        <v>12144000</v>
      </c>
      <c r="K1649" s="3"/>
      <c r="L1649" s="3"/>
      <c r="M1649" s="3"/>
      <c r="N1649" s="9" t="n">
        <v>0</v>
      </c>
      <c r="O1649" s="4" t="n">
        <v>0</v>
      </c>
      <c r="P1649" s="5" t="n">
        <f aca="false">IF(COUNTIF([1]Base_Jugadores!J$2:J$500,B1649)&gt;0,1,0)</f>
        <v>0</v>
      </c>
      <c r="Q1649" s="10" t="b">
        <f aca="false">--(COUNTIFS(
   [1]Fichajes_Realizados!A$2:A$5000,A1649,
   [1]Fichajes_Realizados!G$2:G$5000,$X$3
)&gt;0)</f>
        <v>0</v>
      </c>
      <c r="R1649" s="5" t="n">
        <f aca="false">_xlfn.XLOOKUP(C1649, [1]Estado_Equipos!A$2:A$500, [1]Estado_Equipos!J$2:J$500, "")</f>
        <v>76</v>
      </c>
      <c r="S1649" s="5" t="n">
        <f aca="false">IF(H1649&lt;=16,1.45,
IF(H1649&gt;=41,0.3,
CHOOSE(ROUNDDOWN((H1649-16)/2,0)+1,
1.45,1.38,1.3,1.23,1.17,1.15,1.12,1.05,0.95,0.8,0.6,0.4,0.3)))</f>
        <v>1.15</v>
      </c>
      <c r="T1649" s="5" t="n">
        <f aca="false">CHOOSE(N1649+1,1.2,1,0.85,0.7)</f>
        <v>1.2</v>
      </c>
      <c r="U1649" s="5" t="n">
        <f aca="false">IF(F1649="PO",0.6,
IF(F1649="CT",0.75,
IF(F1649="LI",0.8,
IF(F1649="LD",0.8,
IF(F1649="MCD",0.85,
IF(F1649="MC",0.95,
IF(F1649="MO",1.05,
IF(F1649="EI",1.1,
IF(F1649="ED",1.1,
IF(F1649="SD",1.15,
IF(F1649="DC",1.2,0)))))))))))</f>
        <v>1.1</v>
      </c>
    </row>
    <row r="1650" customFormat="false" ht="16.4" hidden="false" customHeight="false" outlineLevel="0" collapsed="false">
      <c r="A1650" s="1" t="n">
        <v>1649</v>
      </c>
      <c r="B1650" s="5" t="str">
        <f aca="false">[1]Base_Jugadores!B1650</f>
        <v>Patrik Schick</v>
      </c>
      <c r="C1650" s="5" t="str">
        <f aca="false">IFERROR(
   _xlfn.XLOOKUP(VALUE(A1650),[1]Fichajes_Realizados!A$2:A$50000,[1]Fichajes_Realizados!D$2:D$50000,,0,-1),
   _xlfn.XLOOKUP(VALUE(A1650),[1]Base_Jugadores!A$2:A$50000,[1]Base_Jugadores!C$2:C$50000)
)</f>
        <v>Bayer 04 Leverkusen</v>
      </c>
      <c r="D1650" s="5" t="str">
        <f aca="false">[1]Base_Jugadores!D1650</f>
        <v>República Checa</v>
      </c>
      <c r="E1650" s="3"/>
      <c r="F1650" s="5" t="str">
        <f aca="false">[1]Base_Jugadores!E1650</f>
        <v>DC</v>
      </c>
      <c r="G1650" s="5" t="n">
        <f aca="false">[1]Base_Jugadores!F1650</f>
        <v>81</v>
      </c>
      <c r="H1650" s="5" t="n">
        <f aca="false">[1]Base_Jugadores!G1650</f>
        <v>29</v>
      </c>
      <c r="I1650" s="7" t="n">
        <f aca="false" t="array" ref="I1650:I1650">_xlfn.XLOOKUP(G1650,{55;56;57;58;59;60;61;62;63;64;65;66;67;68;69;70;71;72;73;74;75;76;77;78;79;80;81;82;83;84;85;86;87;88;89;90;91;92;93;94;95;96;97;98;99},{100000;130000;160000;190000;220000;250000;300000;350000;400000;450000;500000;600000;700000;800000;900000;1000000;1500000;2000000;3000000;4000000;5000000;6500000;8000000;10000000;12500000;15000000;20000000;25000000;30000000;35000000;40000000;55000000;70000000;80000000;90000000;110000000;130000000;160000000;190000000;220000000;250000000;280000000;310000000;340000000;400000000})</f>
        <v>20000000</v>
      </c>
      <c r="J1650" s="7" t="n">
        <f aca="false">I1650*S1650*T1650*U1650</f>
        <v>32256000</v>
      </c>
      <c r="K1650" s="3"/>
      <c r="L1650" s="3"/>
      <c r="M1650" s="3"/>
      <c r="N1650" s="9" t="n">
        <v>0</v>
      </c>
      <c r="O1650" s="4" t="n">
        <v>0</v>
      </c>
      <c r="P1650" s="5" t="n">
        <f aca="false">IF(COUNTIF([1]Base_Jugadores!J$2:J$500,B1650)&gt;0,1,0)</f>
        <v>0</v>
      </c>
      <c r="Q1650" s="10" t="b">
        <f aca="false">--(COUNTIFS(
   [1]Fichajes_Realizados!A$2:A$5000,A1650,
   [1]Fichajes_Realizados!G$2:G$5000,$X$3
)&gt;0)</f>
        <v>0</v>
      </c>
      <c r="R1650" s="5" t="n">
        <f aca="false">_xlfn.XLOOKUP(C1650, [1]Estado_Equipos!A$2:A$500, [1]Estado_Equipos!J$2:J$500, "")</f>
        <v>76</v>
      </c>
      <c r="S1650" s="5" t="n">
        <f aca="false">IF(H1650&lt;=16,1.45,
IF(H1650&gt;=41,0.3,
CHOOSE(ROUNDDOWN((H1650-16)/2,0)+1,
1.45,1.38,1.3,1.23,1.17,1.15,1.12,1.05,0.95,0.8,0.6,0.4,0.3)))</f>
        <v>1.12</v>
      </c>
      <c r="T1650" s="5" t="n">
        <f aca="false">CHOOSE(N1650+1,1.2,1,0.85,0.7)</f>
        <v>1.2</v>
      </c>
      <c r="U1650" s="5" t="n">
        <f aca="false">IF(F1650="PO",0.6,
IF(F1650="CT",0.75,
IF(F1650="LI",0.8,
IF(F1650="LD",0.8,
IF(F1650="MCD",0.85,
IF(F1650="MC",0.95,
IF(F1650="MO",1.05,
IF(F1650="EI",1.1,
IF(F1650="ED",1.1,
IF(F1650="SD",1.15,
IF(F1650="DC",1.2,0)))))))))))</f>
        <v>1.2</v>
      </c>
    </row>
    <row r="1651" customFormat="false" ht="16.4" hidden="false" customHeight="false" outlineLevel="0" collapsed="false">
      <c r="A1651" s="1" t="n">
        <v>1650</v>
      </c>
      <c r="B1651" s="5" t="str">
        <f aca="false">[1]Base_Jugadores!B1651</f>
        <v>Christian Kofane</v>
      </c>
      <c r="C1651" s="5" t="str">
        <f aca="false">IFERROR(
   _xlfn.XLOOKUP(VALUE(A1651),[1]Fichajes_Realizados!A$2:A$50000,[1]Fichajes_Realizados!D$2:D$50000,,0,-1),
   _xlfn.XLOOKUP(VALUE(A1651),[1]Base_Jugadores!A$2:A$50000,[1]Base_Jugadores!C$2:C$50000)
)</f>
        <v>Bayer 04 Leverkusen</v>
      </c>
      <c r="D1651" s="5" t="str">
        <f aca="false">[1]Base_Jugadores!D1651</f>
        <v>Camerún</v>
      </c>
      <c r="E1651" s="3"/>
      <c r="F1651" s="5" t="str">
        <f aca="false">[1]Base_Jugadores!E1651</f>
        <v>DC</v>
      </c>
      <c r="G1651" s="5" t="n">
        <f aca="false">[1]Base_Jugadores!F1651</f>
        <v>65</v>
      </c>
      <c r="H1651" s="5" t="n">
        <f aca="false">[1]Base_Jugadores!G1651</f>
        <v>19</v>
      </c>
      <c r="I1651" s="7" t="n">
        <f aca="false" t="array" ref="I1651:I1651">_xlfn.XLOOKUP(G1651,{55;56;57;58;59;60;61;62;63;64;65;66;67;68;69;70;71;72;73;74;75;76;77;78;79;80;81;82;83;84;85;86;87;88;89;90;91;92;93;94;95;96;97;98;99},{100000;130000;160000;190000;220000;250000;300000;350000;400000;450000;500000;600000;700000;800000;900000;1000000;1500000;2000000;3000000;4000000;5000000;6500000;8000000;10000000;12500000;15000000;20000000;25000000;30000000;35000000;40000000;55000000;70000000;80000000;90000000;110000000;130000000;160000000;190000000;220000000;250000000;280000000;310000000;340000000;400000000})</f>
        <v>500000</v>
      </c>
      <c r="J1651" s="7" t="n">
        <f aca="false">I1651*S1651*T1651*U1651</f>
        <v>993600</v>
      </c>
      <c r="K1651" s="3"/>
      <c r="L1651" s="3"/>
      <c r="M1651" s="3"/>
      <c r="N1651" s="9" t="n">
        <v>0</v>
      </c>
      <c r="O1651" s="4" t="n">
        <v>0</v>
      </c>
      <c r="P1651" s="5" t="n">
        <f aca="false">IF(COUNTIF([1]Base_Jugadores!J$2:J$500,B1651)&gt;0,1,0)</f>
        <v>0</v>
      </c>
      <c r="Q1651" s="10" t="b">
        <f aca="false">--(COUNTIFS(
   [1]Fichajes_Realizados!A$2:A$5000,A1651,
   [1]Fichajes_Realizados!G$2:G$5000,$X$3
)&gt;0)</f>
        <v>0</v>
      </c>
      <c r="R1651" s="5" t="n">
        <f aca="false">_xlfn.XLOOKUP(C1651, [1]Estado_Equipos!A$2:A$500, [1]Estado_Equipos!J$2:J$500, "")</f>
        <v>76</v>
      </c>
      <c r="S1651" s="5" t="n">
        <f aca="false">IF(H1651&lt;=16,1.45,
IF(H1651&gt;=41,0.3,
CHOOSE(ROUNDDOWN((H1651-16)/2,0)+1,
1.45,1.38,1.3,1.23,1.17,1.15,1.12,1.05,0.95,0.8,0.6,0.4,0.3)))</f>
        <v>1.38</v>
      </c>
      <c r="T1651" s="5" t="n">
        <f aca="false">CHOOSE(N1651+1,1.2,1,0.85,0.7)</f>
        <v>1.2</v>
      </c>
      <c r="U1651" s="5" t="n">
        <f aca="false">IF(F1651="PO",0.6,
IF(F1651="CT",0.75,
IF(F1651="LI",0.8,
IF(F1651="LD",0.8,
IF(F1651="MCD",0.85,
IF(F1651="MC",0.95,
IF(F1651="MO",1.05,
IF(F1651="EI",1.1,
IF(F1651="ED",1.1,
IF(F1651="SD",1.15,
IF(F1651="DC",1.2,0)))))))))))</f>
        <v>1.2</v>
      </c>
    </row>
    <row r="1652" customFormat="false" ht="16.4" hidden="false" customHeight="false" outlineLevel="0" collapsed="false">
      <c r="A1652" s="1" t="n">
        <v>1651</v>
      </c>
      <c r="B1652" s="5" t="str">
        <f aca="false">[1]Base_Jugadores!B1652</f>
        <v>Alejo Sarco</v>
      </c>
      <c r="C1652" s="5" t="str">
        <f aca="false">IFERROR(
   _xlfn.XLOOKUP(VALUE(A1652),[1]Fichajes_Realizados!A$2:A$50000,[1]Fichajes_Realizados!D$2:D$50000,,0,-1),
   _xlfn.XLOOKUP(VALUE(A1652),[1]Base_Jugadores!A$2:A$50000,[1]Base_Jugadores!C$2:C$50000)
)</f>
        <v>Bayer 04 Leverkusen</v>
      </c>
      <c r="D1652" s="5" t="str">
        <f aca="false">[1]Base_Jugadores!D1652</f>
        <v>Argentina</v>
      </c>
      <c r="E1652" s="3"/>
      <c r="F1652" s="5" t="str">
        <f aca="false">[1]Base_Jugadores!E1652</f>
        <v>DC</v>
      </c>
      <c r="G1652" s="5" t="n">
        <f aca="false">[1]Base_Jugadores!F1652</f>
        <v>66</v>
      </c>
      <c r="H1652" s="5" t="n">
        <f aca="false">[1]Base_Jugadores!G1652</f>
        <v>19</v>
      </c>
      <c r="I1652" s="7" t="n">
        <f aca="false" t="array" ref="I1652:I1652">_xlfn.XLOOKUP(G1652,{55;56;57;58;59;60;61;62;63;64;65;66;67;68;69;70;71;72;73;74;75;76;77;78;79;80;81;82;83;84;85;86;87;88;89;90;91;92;93;94;95;96;97;98;99},{100000;130000;160000;190000;220000;250000;300000;350000;400000;450000;500000;600000;700000;800000;900000;1000000;1500000;2000000;3000000;4000000;5000000;6500000;8000000;10000000;12500000;15000000;20000000;25000000;30000000;35000000;40000000;55000000;70000000;80000000;90000000;110000000;130000000;160000000;190000000;220000000;250000000;280000000;310000000;340000000;400000000})</f>
        <v>600000</v>
      </c>
      <c r="J1652" s="7" t="n">
        <f aca="false">I1652*S1652*T1652*U1652</f>
        <v>1192320</v>
      </c>
      <c r="K1652" s="3"/>
      <c r="L1652" s="3"/>
      <c r="M1652" s="3"/>
      <c r="N1652" s="9" t="n">
        <v>0</v>
      </c>
      <c r="O1652" s="4" t="n">
        <v>0</v>
      </c>
      <c r="P1652" s="5" t="n">
        <f aca="false">IF(COUNTIF([1]Base_Jugadores!J$2:J$500,B1652)&gt;0,1,0)</f>
        <v>0</v>
      </c>
      <c r="Q1652" s="10" t="b">
        <f aca="false">--(COUNTIFS(
   [1]Fichajes_Realizados!A$2:A$5000,A1652,
   [1]Fichajes_Realizados!G$2:G$5000,$X$3
)&gt;0)</f>
        <v>0</v>
      </c>
      <c r="R1652" s="5" t="n">
        <f aca="false">_xlfn.XLOOKUP(C1652, [1]Estado_Equipos!A$2:A$500, [1]Estado_Equipos!J$2:J$500, "")</f>
        <v>76</v>
      </c>
      <c r="S1652" s="5" t="n">
        <f aca="false">IF(H1652&lt;=16,1.45,
IF(H1652&gt;=41,0.3,
CHOOSE(ROUNDDOWN((H1652-16)/2,0)+1,
1.45,1.38,1.3,1.23,1.17,1.15,1.12,1.05,0.95,0.8,0.6,0.4,0.3)))</f>
        <v>1.38</v>
      </c>
      <c r="T1652" s="5" t="n">
        <f aca="false">CHOOSE(N1652+1,1.2,1,0.85,0.7)</f>
        <v>1.2</v>
      </c>
      <c r="U1652" s="5" t="n">
        <f aca="false">IF(F1652="PO",0.6,
IF(F1652="CT",0.75,
IF(F1652="LI",0.8,
IF(F1652="LD",0.8,
IF(F1652="MCD",0.85,
IF(F1652="MC",0.95,
IF(F1652="MO",1.05,
IF(F1652="EI",1.1,
IF(F1652="ED",1.1,
IF(F1652="SD",1.15,
IF(F1652="DC",1.2,0)))))))))))</f>
        <v>1.2</v>
      </c>
    </row>
    <row r="1653" customFormat="false" ht="16.4" hidden="false" customHeight="false" outlineLevel="0" collapsed="false">
      <c r="A1653" s="1" t="n">
        <v>1652</v>
      </c>
      <c r="B1653" s="5" t="str">
        <f aca="false">[1]Base_Jugadores!B1653</f>
        <v>Aleksandar Pavlovic</v>
      </c>
      <c r="C1653" s="5" t="str">
        <f aca="false">IFERROR(
   _xlfn.XLOOKUP(VALUE(A1653),[1]Fichajes_Realizados!A$2:A$50000,[1]Fichajes_Realizados!D$2:D$50000,,0,-1),
   _xlfn.XLOOKUP(VALUE(A1653),[1]Base_Jugadores!A$2:A$50000,[1]Base_Jugadores!C$2:C$50000)
)</f>
        <v>Bayern Múnich</v>
      </c>
      <c r="D1653" s="5" t="str">
        <f aca="false">[1]Base_Jugadores!D1653</f>
        <v>Alemania</v>
      </c>
      <c r="E1653" s="3"/>
      <c r="F1653" s="5" t="str">
        <f aca="false">[1]Base_Jugadores!E1653</f>
        <v>MCD</v>
      </c>
      <c r="G1653" s="5" t="n">
        <f aca="false">[1]Base_Jugadores!F1653</f>
        <v>75</v>
      </c>
      <c r="H1653" s="5" t="n">
        <f aca="false">[1]Base_Jugadores!G1653</f>
        <v>21</v>
      </c>
      <c r="I1653" s="7" t="n">
        <f aca="false" t="array" ref="I1653:I1653">_xlfn.XLOOKUP(G1653,{55;56;57;58;59;60;61;62;63;64;65;66;67;68;69;70;71;72;73;74;75;76;77;78;79;80;81;82;83;84;85;86;87;88;89;90;91;92;93;94;95;96;97;98;99},{100000;130000;160000;190000;220000;250000;300000;350000;400000;450000;500000;600000;700000;800000;900000;1000000;1500000;2000000;3000000;4000000;5000000;6500000;8000000;10000000;12500000;15000000;20000000;25000000;30000000;35000000;40000000;55000000;70000000;80000000;90000000;110000000;130000000;160000000;190000000;220000000;250000000;280000000;310000000;340000000;400000000})</f>
        <v>5000000</v>
      </c>
      <c r="J1653" s="7" t="n">
        <f aca="false">I1653*S1653*T1653*U1653</f>
        <v>6630000</v>
      </c>
      <c r="K1653" s="3"/>
      <c r="L1653" s="3"/>
      <c r="M1653" s="3"/>
      <c r="N1653" s="9" t="n">
        <v>0</v>
      </c>
      <c r="O1653" s="4" t="n">
        <v>0</v>
      </c>
      <c r="P1653" s="5" t="n">
        <f aca="false">IF(COUNTIF([1]Base_Jugadores!J$2:J$500,B1653)&gt;0,1,0)</f>
        <v>0</v>
      </c>
      <c r="Q1653" s="10" t="b">
        <f aca="false">--(COUNTIFS(
   [1]Fichajes_Realizados!A$2:A$5000,A1653,
   [1]Fichajes_Realizados!G$2:G$5000,$X$3
)&gt;0)</f>
        <v>0</v>
      </c>
      <c r="R1653" s="5" t="n">
        <f aca="false">_xlfn.XLOOKUP(C1653, [1]Estado_Equipos!A$2:A$500, [1]Estado_Equipos!J$2:J$500, "")</f>
        <v>82</v>
      </c>
      <c r="S1653" s="5" t="n">
        <f aca="false">IF(H1653&lt;=16,1.45,
IF(H1653&gt;=41,0.3,
CHOOSE(ROUNDDOWN((H1653-16)/2,0)+1,
1.45,1.38,1.3,1.23,1.17,1.15,1.12,1.05,0.95,0.8,0.6,0.4,0.3)))</f>
        <v>1.3</v>
      </c>
      <c r="T1653" s="5" t="n">
        <f aca="false">CHOOSE(N1653+1,1.2,1,0.85,0.7)</f>
        <v>1.2</v>
      </c>
      <c r="U1653" s="5" t="n">
        <f aca="false">IF(F1653="PO",0.6,
IF(F1653="CT",0.75,
IF(F1653="LI",0.8,
IF(F1653="LD",0.8,
IF(F1653="MCD",0.85,
IF(F1653="MC",0.95,
IF(F1653="MO",1.05,
IF(F1653="EI",1.1,
IF(F1653="ED",1.1,
IF(F1653="SD",1.15,
IF(F1653="DC",1.2,0)))))))))))</f>
        <v>0.85</v>
      </c>
    </row>
    <row r="1654" customFormat="false" ht="16.4" hidden="false" customHeight="false" outlineLevel="0" collapsed="false">
      <c r="A1654" s="1" t="n">
        <v>1653</v>
      </c>
      <c r="B1654" s="5" t="str">
        <f aca="false">[1]Base_Jugadores!B1654</f>
        <v>Alphonso Davies</v>
      </c>
      <c r="C1654" s="5" t="str">
        <f aca="false">IFERROR(
   _xlfn.XLOOKUP(VALUE(A1654),[1]Fichajes_Realizados!A$2:A$50000,[1]Fichajes_Realizados!D$2:D$50000,,0,-1),
   _xlfn.XLOOKUP(VALUE(A1654),[1]Base_Jugadores!A$2:A$50000,[1]Base_Jugadores!C$2:C$50000)
)</f>
        <v>Bayern Múnich</v>
      </c>
      <c r="D1654" s="5" t="str">
        <f aca="false">[1]Base_Jugadores!D1654</f>
        <v>Canadá</v>
      </c>
      <c r="E1654" s="3"/>
      <c r="F1654" s="5" t="str">
        <f aca="false">[1]Base_Jugadores!E1654</f>
        <v>LI</v>
      </c>
      <c r="G1654" s="5" t="n">
        <f aca="false">[1]Base_Jugadores!F1654</f>
        <v>84</v>
      </c>
      <c r="H1654" s="5" t="n">
        <f aca="false">[1]Base_Jugadores!G1654</f>
        <v>25</v>
      </c>
      <c r="I1654" s="7" t="n">
        <f aca="false" t="array" ref="I1654:I1654">_xlfn.XLOOKUP(G1654,{55;56;57;58;59;60;61;62;63;64;65;66;67;68;69;70;71;72;73;74;75;76;77;78;79;80;81;82;83;84;85;86;87;88;89;90;91;92;93;94;95;96;97;98;99},{100000;130000;160000;190000;220000;250000;300000;350000;400000;450000;500000;600000;700000;800000;900000;1000000;1500000;2000000;3000000;4000000;5000000;6500000;8000000;10000000;12500000;15000000;20000000;25000000;30000000;35000000;40000000;55000000;70000000;80000000;90000000;110000000;130000000;160000000;190000000;220000000;250000000;280000000;310000000;340000000;400000000})</f>
        <v>35000000</v>
      </c>
      <c r="J1654" s="7" t="n">
        <f aca="false">I1654*S1654*T1654*U1654</f>
        <v>39312000</v>
      </c>
      <c r="K1654" s="3"/>
      <c r="L1654" s="3"/>
      <c r="M1654" s="3"/>
      <c r="N1654" s="9" t="n">
        <v>0</v>
      </c>
      <c r="O1654" s="4" t="n">
        <v>0</v>
      </c>
      <c r="P1654" s="5" t="n">
        <f aca="false">IF(COUNTIF([1]Base_Jugadores!J$2:J$500,B1654)&gt;0,1,0)</f>
        <v>0</v>
      </c>
      <c r="Q1654" s="10" t="b">
        <f aca="false">--(COUNTIFS(
   [1]Fichajes_Realizados!A$2:A$5000,A1654,
   [1]Fichajes_Realizados!G$2:G$5000,$X$3
)&gt;0)</f>
        <v>0</v>
      </c>
      <c r="R1654" s="5" t="n">
        <f aca="false">_xlfn.XLOOKUP(C1654, [1]Estado_Equipos!A$2:A$500, [1]Estado_Equipos!J$2:J$500, "")</f>
        <v>82</v>
      </c>
      <c r="S1654" s="5" t="n">
        <f aca="false">IF(H1654&lt;=16,1.45,
IF(H1654&gt;=41,0.3,
CHOOSE(ROUNDDOWN((H1654-16)/2,0)+1,
1.45,1.38,1.3,1.23,1.17,1.15,1.12,1.05,0.95,0.8,0.6,0.4,0.3)))</f>
        <v>1.17</v>
      </c>
      <c r="T1654" s="5" t="n">
        <f aca="false">CHOOSE(N1654+1,1.2,1,0.85,0.7)</f>
        <v>1.2</v>
      </c>
      <c r="U1654" s="5" t="n">
        <f aca="false">IF(F1654="PO",0.6,
IF(F1654="CT",0.75,
IF(F1654="LI",0.8,
IF(F1654="LD",0.8,
IF(F1654="MCD",0.85,
IF(F1654="MC",0.95,
IF(F1654="MO",1.05,
IF(F1654="EI",1.1,
IF(F1654="ED",1.1,
IF(F1654="SD",1.15,
IF(F1654="DC",1.2,0)))))))))))</f>
        <v>0.8</v>
      </c>
    </row>
    <row r="1655" customFormat="false" ht="16.4" hidden="false" customHeight="false" outlineLevel="0" collapsed="false">
      <c r="A1655" s="1" t="n">
        <v>1654</v>
      </c>
      <c r="B1655" s="5" t="str">
        <f aca="false">[1]Base_Jugadores!B1655</f>
        <v>Dayot Upamecano</v>
      </c>
      <c r="C1655" s="5" t="str">
        <f aca="false">IFERROR(
   _xlfn.XLOOKUP(VALUE(A1655),[1]Fichajes_Realizados!A$2:A$50000,[1]Fichajes_Realizados!D$2:D$50000,,0,-1),
   _xlfn.XLOOKUP(VALUE(A1655),[1]Base_Jugadores!A$2:A$50000,[1]Base_Jugadores!C$2:C$50000)
)</f>
        <v>Bayern Múnich</v>
      </c>
      <c r="D1655" s="5" t="str">
        <f aca="false">[1]Base_Jugadores!D1655</f>
        <v>Francia</v>
      </c>
      <c r="E1655" s="3"/>
      <c r="F1655" s="5" t="str">
        <f aca="false">[1]Base_Jugadores!E1655</f>
        <v>CT</v>
      </c>
      <c r="G1655" s="5" t="n">
        <f aca="false">[1]Base_Jugadores!F1655</f>
        <v>82</v>
      </c>
      <c r="H1655" s="5" t="n">
        <f aca="false">[1]Base_Jugadores!G1655</f>
        <v>27</v>
      </c>
      <c r="I1655" s="7" t="n">
        <f aca="false" t="array" ref="I1655:I1655">_xlfn.XLOOKUP(G1655,{55;56;57;58;59;60;61;62;63;64;65;66;67;68;69;70;71;72;73;74;75;76;77;78;79;80;81;82;83;84;85;86;87;88;89;90;91;92;93;94;95;96;97;98;99},{100000;130000;160000;190000;220000;250000;300000;350000;400000;450000;500000;600000;700000;800000;900000;1000000;1500000;2000000;3000000;4000000;5000000;6500000;8000000;10000000;12500000;15000000;20000000;25000000;30000000;35000000;40000000;55000000;70000000;80000000;90000000;110000000;130000000;160000000;190000000;220000000;250000000;280000000;310000000;340000000;400000000})</f>
        <v>25000000</v>
      </c>
      <c r="J1655" s="7" t="n">
        <f aca="false">I1655*S1655*T1655*U1655</f>
        <v>25875000</v>
      </c>
      <c r="K1655" s="3"/>
      <c r="L1655" s="3"/>
      <c r="M1655" s="3"/>
      <c r="N1655" s="9" t="n">
        <v>0</v>
      </c>
      <c r="O1655" s="4" t="n">
        <v>0</v>
      </c>
      <c r="P1655" s="5" t="n">
        <f aca="false">IF(COUNTIF([1]Base_Jugadores!J$2:J$500,B1655)&gt;0,1,0)</f>
        <v>0</v>
      </c>
      <c r="Q1655" s="10" t="b">
        <f aca="false">--(COUNTIFS(
   [1]Fichajes_Realizados!A$2:A$5000,A1655,
   [1]Fichajes_Realizados!G$2:G$5000,$X$3
)&gt;0)</f>
        <v>0</v>
      </c>
      <c r="R1655" s="5" t="n">
        <f aca="false">_xlfn.XLOOKUP(C1655, [1]Estado_Equipos!A$2:A$500, [1]Estado_Equipos!J$2:J$500, "")</f>
        <v>82</v>
      </c>
      <c r="S1655" s="5" t="n">
        <f aca="false">IF(H1655&lt;=16,1.45,
IF(H1655&gt;=41,0.3,
CHOOSE(ROUNDDOWN((H1655-16)/2,0)+1,
1.45,1.38,1.3,1.23,1.17,1.15,1.12,1.05,0.95,0.8,0.6,0.4,0.3)))</f>
        <v>1.15</v>
      </c>
      <c r="T1655" s="5" t="n">
        <f aca="false">CHOOSE(N1655+1,1.2,1,0.85,0.7)</f>
        <v>1.2</v>
      </c>
      <c r="U1655" s="5" t="n">
        <f aca="false">IF(F1655="PO",0.6,
IF(F1655="CT",0.75,
IF(F1655="LI",0.8,
IF(F1655="LD",0.8,
IF(F1655="MCD",0.85,
IF(F1655="MC",0.95,
IF(F1655="MO",1.05,
IF(F1655="EI",1.1,
IF(F1655="ED",1.1,
IF(F1655="SD",1.15,
IF(F1655="DC",1.2,0)))))))))))</f>
        <v>0.75</v>
      </c>
    </row>
    <row r="1656" customFormat="false" ht="16.4" hidden="false" customHeight="false" outlineLevel="0" collapsed="false">
      <c r="A1656" s="1" t="n">
        <v>1655</v>
      </c>
      <c r="B1656" s="5" t="str">
        <f aca="false">[1]Base_Jugadores!B1656</f>
        <v>Harry Kane</v>
      </c>
      <c r="C1656" s="5" t="str">
        <f aca="false">IFERROR(
   _xlfn.XLOOKUP(VALUE(A1656),[1]Fichajes_Realizados!A$2:A$50000,[1]Fichajes_Realizados!D$2:D$50000,,0,-1),
   _xlfn.XLOOKUP(VALUE(A1656),[1]Base_Jugadores!A$2:A$50000,[1]Base_Jugadores!C$2:C$50000)
)</f>
        <v>Bayern Múnich</v>
      </c>
      <c r="D1656" s="5" t="str">
        <f aca="false">[1]Base_Jugadores!D1656</f>
        <v>Inglaterra</v>
      </c>
      <c r="E1656" s="3"/>
      <c r="F1656" s="5" t="str">
        <f aca="false">[1]Base_Jugadores!E1656</f>
        <v>DC</v>
      </c>
      <c r="G1656" s="5" t="n">
        <f aca="false">[1]Base_Jugadores!F1656</f>
        <v>90</v>
      </c>
      <c r="H1656" s="5" t="n">
        <f aca="false">[1]Base_Jugadores!G1656</f>
        <v>32</v>
      </c>
      <c r="I1656" s="7" t="n">
        <f aca="false" t="array" ref="I1656:I1656">_xlfn.XLOOKUP(G1656,{55;56;57;58;59;60;61;62;63;64;65;66;67;68;69;70;71;72;73;74;75;76;77;78;79;80;81;82;83;84;85;86;87;88;89;90;91;92;93;94;95;96;97;98;99},{100000;130000;160000;190000;220000;250000;300000;350000;400000;450000;500000;600000;700000;800000;900000;1000000;1500000;2000000;3000000;4000000;5000000;6500000;8000000;10000000;12500000;15000000;20000000;25000000;30000000;35000000;40000000;55000000;70000000;80000000;90000000;110000000;130000000;160000000;190000000;220000000;250000000;280000000;310000000;340000000;400000000})</f>
        <v>110000000</v>
      </c>
      <c r="J1656" s="7" t="n">
        <f aca="false">I1656*S1656*T1656*U1656</f>
        <v>150480000</v>
      </c>
      <c r="K1656" s="3"/>
      <c r="L1656" s="3"/>
      <c r="M1656" s="3"/>
      <c r="N1656" s="9" t="n">
        <v>0</v>
      </c>
      <c r="O1656" s="4" t="n">
        <v>0</v>
      </c>
      <c r="P1656" s="5" t="n">
        <f aca="false">IF(COUNTIF([1]Base_Jugadores!J$2:J$500,B1656)&gt;0,1,0)</f>
        <v>0</v>
      </c>
      <c r="Q1656" s="10" t="b">
        <f aca="false">--(COUNTIFS(
   [1]Fichajes_Realizados!A$2:A$5000,A1656,
   [1]Fichajes_Realizados!G$2:G$5000,$X$3
)&gt;0)</f>
        <v>0</v>
      </c>
      <c r="R1656" s="5" t="n">
        <f aca="false">_xlfn.XLOOKUP(C1656, [1]Estado_Equipos!A$2:A$500, [1]Estado_Equipos!J$2:J$500, "")</f>
        <v>82</v>
      </c>
      <c r="S1656" s="5" t="n">
        <f aca="false">IF(H1656&lt;=16,1.45,
IF(H1656&gt;=41,0.3,
CHOOSE(ROUNDDOWN((H1656-16)/2,0)+1,
1.45,1.38,1.3,1.23,1.17,1.15,1.12,1.05,0.95,0.8,0.6,0.4,0.3)))</f>
        <v>0.95</v>
      </c>
      <c r="T1656" s="5" t="n">
        <f aca="false">CHOOSE(N1656+1,1.2,1,0.85,0.7)</f>
        <v>1.2</v>
      </c>
      <c r="U1656" s="5" t="n">
        <f aca="false">IF(F1656="PO",0.6,
IF(F1656="CT",0.75,
IF(F1656="LI",0.8,
IF(F1656="LD",0.8,
IF(F1656="MCD",0.85,
IF(F1656="MC",0.95,
IF(F1656="MO",1.05,
IF(F1656="EI",1.1,
IF(F1656="ED",1.1,
IF(F1656="SD",1.15,
IF(F1656="DC",1.2,0)))))))))))</f>
        <v>1.2</v>
      </c>
    </row>
    <row r="1657" customFormat="false" ht="16.4" hidden="false" customHeight="false" outlineLevel="0" collapsed="false">
      <c r="A1657" s="1" t="n">
        <v>1656</v>
      </c>
      <c r="B1657" s="5" t="str">
        <f aca="false">[1]Base_Jugadores!B1657</f>
        <v>Hiroki Ito</v>
      </c>
      <c r="C1657" s="5" t="str">
        <f aca="false">IFERROR(
   _xlfn.XLOOKUP(VALUE(A1657),[1]Fichajes_Realizados!A$2:A$50000,[1]Fichajes_Realizados!D$2:D$50000,,0,-1),
   _xlfn.XLOOKUP(VALUE(A1657),[1]Base_Jugadores!A$2:A$50000,[1]Base_Jugadores!C$2:C$50000)
)</f>
        <v>Bayern Múnich</v>
      </c>
      <c r="D1657" s="5" t="str">
        <f aca="false">[1]Base_Jugadores!D1657</f>
        <v>Japón</v>
      </c>
      <c r="E1657" s="3"/>
      <c r="F1657" s="5" t="str">
        <f aca="false">[1]Base_Jugadores!E1657</f>
        <v>CT</v>
      </c>
      <c r="G1657" s="5" t="n">
        <f aca="false">[1]Base_Jugadores!F1657</f>
        <v>78</v>
      </c>
      <c r="H1657" s="5" t="n">
        <f aca="false">[1]Base_Jugadores!G1657</f>
        <v>26</v>
      </c>
      <c r="I1657" s="7" t="n">
        <f aca="false" t="array" ref="I1657:I1657">_xlfn.XLOOKUP(G1657,{55;56;57;58;59;60;61;62;63;64;65;66;67;68;69;70;71;72;73;74;75;76;77;78;79;80;81;82;83;84;85;86;87;88;89;90;91;92;93;94;95;96;97;98;99},{100000;130000;160000;190000;220000;250000;300000;350000;400000;450000;500000;600000;700000;800000;900000;1000000;1500000;2000000;3000000;4000000;5000000;6500000;8000000;10000000;12500000;15000000;20000000;25000000;30000000;35000000;40000000;55000000;70000000;80000000;90000000;110000000;130000000;160000000;190000000;220000000;250000000;280000000;310000000;340000000;400000000})</f>
        <v>10000000</v>
      </c>
      <c r="J1657" s="7" t="n">
        <f aca="false">I1657*S1657*T1657*U1657</f>
        <v>10350000</v>
      </c>
      <c r="K1657" s="3"/>
      <c r="L1657" s="3"/>
      <c r="M1657" s="3"/>
      <c r="N1657" s="9" t="n">
        <v>0</v>
      </c>
      <c r="O1657" s="4" t="n">
        <v>0</v>
      </c>
      <c r="P1657" s="5" t="n">
        <f aca="false">IF(COUNTIF([1]Base_Jugadores!J$2:J$500,B1657)&gt;0,1,0)</f>
        <v>0</v>
      </c>
      <c r="Q1657" s="10" t="b">
        <f aca="false">--(COUNTIFS(
   [1]Fichajes_Realizados!A$2:A$5000,A1657,
   [1]Fichajes_Realizados!G$2:G$5000,$X$3
)&gt;0)</f>
        <v>0</v>
      </c>
      <c r="R1657" s="5" t="n">
        <f aca="false">_xlfn.XLOOKUP(C1657, [1]Estado_Equipos!A$2:A$500, [1]Estado_Equipos!J$2:J$500, "")</f>
        <v>82</v>
      </c>
      <c r="S1657" s="5" t="n">
        <f aca="false">IF(H1657&lt;=16,1.45,
IF(H1657&gt;=41,0.3,
CHOOSE(ROUNDDOWN((H1657-16)/2,0)+1,
1.45,1.38,1.3,1.23,1.17,1.15,1.12,1.05,0.95,0.8,0.6,0.4,0.3)))</f>
        <v>1.15</v>
      </c>
      <c r="T1657" s="5" t="n">
        <f aca="false">CHOOSE(N1657+1,1.2,1,0.85,0.7)</f>
        <v>1.2</v>
      </c>
      <c r="U1657" s="5" t="n">
        <f aca="false">IF(F1657="PO",0.6,
IF(F1657="CT",0.75,
IF(F1657="LI",0.8,
IF(F1657="LD",0.8,
IF(F1657="MCD",0.85,
IF(F1657="MC",0.95,
IF(F1657="MO",1.05,
IF(F1657="EI",1.1,
IF(F1657="ED",1.1,
IF(F1657="SD",1.15,
IF(F1657="DC",1.2,0)))))))))))</f>
        <v>0.75</v>
      </c>
    </row>
    <row r="1658" customFormat="false" ht="16.4" hidden="false" customHeight="false" outlineLevel="0" collapsed="false">
      <c r="A1658" s="1" t="n">
        <v>1657</v>
      </c>
      <c r="B1658" s="5" t="str">
        <f aca="false">[1]Base_Jugadores!B1658</f>
        <v>Jamal Musiala</v>
      </c>
      <c r="C1658" s="5" t="str">
        <f aca="false">IFERROR(
   _xlfn.XLOOKUP(VALUE(A1658),[1]Fichajes_Realizados!A$2:A$50000,[1]Fichajes_Realizados!D$2:D$50000,,0,-1),
   _xlfn.XLOOKUP(VALUE(A1658),[1]Base_Jugadores!A$2:A$50000,[1]Base_Jugadores!C$2:C$50000)
)</f>
        <v>Bayern Múnich</v>
      </c>
      <c r="D1658" s="5" t="str">
        <f aca="false">[1]Base_Jugadores!D1658</f>
        <v>Alemania</v>
      </c>
      <c r="E1658" s="3"/>
      <c r="F1658" s="5" t="str">
        <f aca="false">[1]Base_Jugadores!E1658</f>
        <v>MO</v>
      </c>
      <c r="G1658" s="5" t="n">
        <f aca="false">[1]Base_Jugadores!F1658</f>
        <v>87</v>
      </c>
      <c r="H1658" s="5" t="n">
        <f aca="false">[1]Base_Jugadores!G1658</f>
        <v>22</v>
      </c>
      <c r="I1658" s="7" t="n">
        <f aca="false" t="array" ref="I1658:I1658">_xlfn.XLOOKUP(G1658,{55;56;57;58;59;60;61;62;63;64;65;66;67;68;69;70;71;72;73;74;75;76;77;78;79;80;81;82;83;84;85;86;87;88;89;90;91;92;93;94;95;96;97;98;99},{100000;130000;160000;190000;220000;250000;300000;350000;400000;450000;500000;600000;700000;800000;900000;1000000;1500000;2000000;3000000;4000000;5000000;6500000;8000000;10000000;12500000;15000000;20000000;25000000;30000000;35000000;40000000;55000000;70000000;80000000;90000000;110000000;130000000;160000000;190000000;220000000;250000000;280000000;310000000;340000000;400000000})</f>
        <v>70000000</v>
      </c>
      <c r="J1658" s="7" t="n">
        <f aca="false">I1658*S1658*T1658*U1658</f>
        <v>108486000</v>
      </c>
      <c r="K1658" s="3"/>
      <c r="L1658" s="3"/>
      <c r="M1658" s="3"/>
      <c r="N1658" s="9" t="n">
        <v>0</v>
      </c>
      <c r="O1658" s="4" t="n">
        <v>0</v>
      </c>
      <c r="P1658" s="5" t="n">
        <f aca="false">IF(COUNTIF([1]Base_Jugadores!J$2:J$500,B1658)&gt;0,1,0)</f>
        <v>0</v>
      </c>
      <c r="Q1658" s="10" t="b">
        <f aca="false">--(COUNTIFS(
   [1]Fichajes_Realizados!A$2:A$5000,A1658,
   [1]Fichajes_Realizados!G$2:G$5000,$X$3
)&gt;0)</f>
        <v>0</v>
      </c>
      <c r="R1658" s="5" t="n">
        <f aca="false">_xlfn.XLOOKUP(C1658, [1]Estado_Equipos!A$2:A$500, [1]Estado_Equipos!J$2:J$500, "")</f>
        <v>82</v>
      </c>
      <c r="S1658" s="5" t="n">
        <f aca="false">IF(H1658&lt;=16,1.45,
IF(H1658&gt;=41,0.3,
CHOOSE(ROUNDDOWN((H1658-16)/2,0)+1,
1.45,1.38,1.3,1.23,1.17,1.15,1.12,1.05,0.95,0.8,0.6,0.4,0.3)))</f>
        <v>1.23</v>
      </c>
      <c r="T1658" s="5" t="n">
        <f aca="false">CHOOSE(N1658+1,1.2,1,0.85,0.7)</f>
        <v>1.2</v>
      </c>
      <c r="U1658" s="5" t="n">
        <f aca="false">IF(F1658="PO",0.6,
IF(F1658="CT",0.75,
IF(F1658="LI",0.8,
IF(F1658="LD",0.8,
IF(F1658="MCD",0.85,
IF(F1658="MC",0.95,
IF(F1658="MO",1.05,
IF(F1658="EI",1.1,
IF(F1658="ED",1.1,
IF(F1658="SD",1.15,
IF(F1658="DC",1.2,0)))))))))))</f>
        <v>1.05</v>
      </c>
    </row>
    <row r="1659" customFormat="false" ht="16.4" hidden="false" customHeight="false" outlineLevel="0" collapsed="false">
      <c r="A1659" s="1" t="n">
        <v>1658</v>
      </c>
      <c r="B1659" s="5" t="str">
        <f aca="false">[1]Base_Jugadores!B1659</f>
        <v>Jonas Urbig</v>
      </c>
      <c r="C1659" s="5" t="str">
        <f aca="false">IFERROR(
   _xlfn.XLOOKUP(VALUE(A1659),[1]Fichajes_Realizados!A$2:A$50000,[1]Fichajes_Realizados!D$2:D$50000,,0,-1),
   _xlfn.XLOOKUP(VALUE(A1659),[1]Base_Jugadores!A$2:A$50000,[1]Base_Jugadores!C$2:C$50000)
)</f>
        <v>Bayern Múnich</v>
      </c>
      <c r="D1659" s="5" t="str">
        <f aca="false">[1]Base_Jugadores!D1659</f>
        <v>Alemania</v>
      </c>
      <c r="E1659" s="3"/>
      <c r="F1659" s="5" t="str">
        <f aca="false">[1]Base_Jugadores!E1659</f>
        <v>PO</v>
      </c>
      <c r="G1659" s="5" t="n">
        <f aca="false">[1]Base_Jugadores!F1659</f>
        <v>73</v>
      </c>
      <c r="H1659" s="5" t="n">
        <f aca="false">[1]Base_Jugadores!G1659</f>
        <v>22</v>
      </c>
      <c r="I1659" s="7" t="n">
        <f aca="false" t="array" ref="I1659:I1659">_xlfn.XLOOKUP(G1659,{55;56;57;58;59;60;61;62;63;64;65;66;67;68;69;70;71;72;73;74;75;76;77;78;79;80;81;82;83;84;85;86;87;88;89;90;91;92;93;94;95;96;97;98;99},{100000;130000;160000;190000;220000;250000;300000;350000;400000;450000;500000;600000;700000;800000;900000;1000000;1500000;2000000;3000000;4000000;5000000;6500000;8000000;10000000;12500000;15000000;20000000;25000000;30000000;35000000;40000000;55000000;70000000;80000000;90000000;110000000;130000000;160000000;190000000;220000000;250000000;280000000;310000000;340000000;400000000})</f>
        <v>3000000</v>
      </c>
      <c r="J1659" s="7" t="n">
        <f aca="false">I1659*S1659*T1659*U1659</f>
        <v>2656800</v>
      </c>
      <c r="K1659" s="3"/>
      <c r="L1659" s="3"/>
      <c r="M1659" s="3"/>
      <c r="N1659" s="9" t="n">
        <v>0</v>
      </c>
      <c r="O1659" s="4" t="n">
        <v>0</v>
      </c>
      <c r="P1659" s="5" t="n">
        <f aca="false">IF(COUNTIF([1]Base_Jugadores!J$2:J$500,B1659)&gt;0,1,0)</f>
        <v>0</v>
      </c>
      <c r="Q1659" s="10" t="b">
        <f aca="false">--(COUNTIFS(
   [1]Fichajes_Realizados!A$2:A$5000,A1659,
   [1]Fichajes_Realizados!G$2:G$5000,$X$3
)&gt;0)</f>
        <v>0</v>
      </c>
      <c r="R1659" s="5" t="n">
        <f aca="false">_xlfn.XLOOKUP(C1659, [1]Estado_Equipos!A$2:A$500, [1]Estado_Equipos!J$2:J$500, "")</f>
        <v>82</v>
      </c>
      <c r="S1659" s="5" t="n">
        <f aca="false">IF(H1659&lt;=16,1.45,
IF(H1659&gt;=41,0.3,
CHOOSE(ROUNDDOWN((H1659-16)/2,0)+1,
1.45,1.38,1.3,1.23,1.17,1.15,1.12,1.05,0.95,0.8,0.6,0.4,0.3)))</f>
        <v>1.23</v>
      </c>
      <c r="T1659" s="5" t="n">
        <f aca="false">CHOOSE(N1659+1,1.2,1,0.85,0.7)</f>
        <v>1.2</v>
      </c>
      <c r="U1659" s="5" t="n">
        <f aca="false">IF(F1659="PO",0.6,
IF(F1659="CT",0.75,
IF(F1659="LI",0.8,
IF(F1659="LD",0.8,
IF(F1659="MCD",0.85,
IF(F1659="MC",0.95,
IF(F1659="MO",1.05,
IF(F1659="EI",1.1,
IF(F1659="ED",1.1,
IF(F1659="SD",1.15,
IF(F1659="DC",1.2,0)))))))))))</f>
        <v>0.6</v>
      </c>
    </row>
    <row r="1660" customFormat="false" ht="16.4" hidden="false" customHeight="false" outlineLevel="0" collapsed="false">
      <c r="A1660" s="1" t="n">
        <v>1659</v>
      </c>
      <c r="B1660" s="5" t="str">
        <f aca="false">[1]Base_Jugadores!B1660</f>
        <v>Jonathan Tah</v>
      </c>
      <c r="C1660" s="5" t="str">
        <f aca="false">IFERROR(
   _xlfn.XLOOKUP(VALUE(A1660),[1]Fichajes_Realizados!A$2:A$50000,[1]Fichajes_Realizados!D$2:D$50000,,0,-1),
   _xlfn.XLOOKUP(VALUE(A1660),[1]Base_Jugadores!A$2:A$50000,[1]Base_Jugadores!C$2:C$50000)
)</f>
        <v>Bayern Múnich</v>
      </c>
      <c r="D1660" s="5" t="str">
        <f aca="false">[1]Base_Jugadores!D1660</f>
        <v>Alemania</v>
      </c>
      <c r="E1660" s="3"/>
      <c r="F1660" s="5" t="str">
        <f aca="false">[1]Base_Jugadores!E1660</f>
        <v>CT</v>
      </c>
      <c r="G1660" s="5" t="n">
        <f aca="false">[1]Base_Jugadores!F1660</f>
        <v>86</v>
      </c>
      <c r="H1660" s="5" t="n">
        <f aca="false">[1]Base_Jugadores!G1660</f>
        <v>29</v>
      </c>
      <c r="I1660" s="7" t="n">
        <f aca="false" t="array" ref="I1660:I1660">_xlfn.XLOOKUP(G1660,{55;56;57;58;59;60;61;62;63;64;65;66;67;68;69;70;71;72;73;74;75;76;77;78;79;80;81;82;83;84;85;86;87;88;89;90;91;92;93;94;95;96;97;98;99},{100000;130000;160000;190000;220000;250000;300000;350000;400000;450000;500000;600000;700000;800000;900000;1000000;1500000;2000000;3000000;4000000;5000000;6500000;8000000;10000000;12500000;15000000;20000000;25000000;30000000;35000000;40000000;55000000;70000000;80000000;90000000;110000000;130000000;160000000;190000000;220000000;250000000;280000000;310000000;340000000;400000000})</f>
        <v>55000000</v>
      </c>
      <c r="J1660" s="7" t="n">
        <f aca="false">I1660*S1660*T1660*U1660</f>
        <v>55440000</v>
      </c>
      <c r="K1660" s="3"/>
      <c r="L1660" s="3"/>
      <c r="M1660" s="3"/>
      <c r="N1660" s="9" t="n">
        <v>0</v>
      </c>
      <c r="O1660" s="4" t="n">
        <v>0</v>
      </c>
      <c r="P1660" s="5" t="n">
        <f aca="false">IF(COUNTIF([1]Base_Jugadores!J$2:J$500,B1660)&gt;0,1,0)</f>
        <v>0</v>
      </c>
      <c r="Q1660" s="10" t="b">
        <f aca="false">--(COUNTIFS(
   [1]Fichajes_Realizados!A$2:A$5000,A1660,
   [1]Fichajes_Realizados!G$2:G$5000,$X$3
)&gt;0)</f>
        <v>0</v>
      </c>
      <c r="R1660" s="5" t="n">
        <f aca="false">_xlfn.XLOOKUP(C1660, [1]Estado_Equipos!A$2:A$500, [1]Estado_Equipos!J$2:J$500, "")</f>
        <v>82</v>
      </c>
      <c r="S1660" s="5" t="n">
        <f aca="false">IF(H1660&lt;=16,1.45,
IF(H1660&gt;=41,0.3,
CHOOSE(ROUNDDOWN((H1660-16)/2,0)+1,
1.45,1.38,1.3,1.23,1.17,1.15,1.12,1.05,0.95,0.8,0.6,0.4,0.3)))</f>
        <v>1.12</v>
      </c>
      <c r="T1660" s="5" t="n">
        <f aca="false">CHOOSE(N1660+1,1.2,1,0.85,0.7)</f>
        <v>1.2</v>
      </c>
      <c r="U1660" s="5" t="n">
        <f aca="false">IF(F1660="PO",0.6,
IF(F1660="CT",0.75,
IF(F1660="LI",0.8,
IF(F1660="LD",0.8,
IF(F1660="MCD",0.85,
IF(F1660="MC",0.95,
IF(F1660="MO",1.05,
IF(F1660="EI",1.1,
IF(F1660="ED",1.1,
IF(F1660="SD",1.15,
IF(F1660="DC",1.2,0)))))))))))</f>
        <v>0.75</v>
      </c>
    </row>
    <row r="1661" customFormat="false" ht="16.4" hidden="false" customHeight="false" outlineLevel="0" collapsed="false">
      <c r="A1661" s="1" t="n">
        <v>1660</v>
      </c>
      <c r="B1661" s="5" t="str">
        <f aca="false">[1]Base_Jugadores!B1661</f>
        <v>Joshua Kimmich</v>
      </c>
      <c r="C1661" s="5" t="str">
        <f aca="false">IFERROR(
   _xlfn.XLOOKUP(VALUE(A1661),[1]Fichajes_Realizados!A$2:A$50000,[1]Fichajes_Realizados!D$2:D$50000,,0,-1),
   _xlfn.XLOOKUP(VALUE(A1661),[1]Base_Jugadores!A$2:A$50000,[1]Base_Jugadores!C$2:C$50000)
)</f>
        <v>Bayern Múnich</v>
      </c>
      <c r="D1661" s="5" t="str">
        <f aca="false">[1]Base_Jugadores!D1661</f>
        <v>Alemania</v>
      </c>
      <c r="E1661" s="3"/>
      <c r="F1661" s="5" t="str">
        <f aca="false">[1]Base_Jugadores!E1661</f>
        <v>MCD</v>
      </c>
      <c r="G1661" s="5" t="n">
        <f aca="false">[1]Base_Jugadores!F1661</f>
        <v>86</v>
      </c>
      <c r="H1661" s="5" t="n">
        <f aca="false">[1]Base_Jugadores!G1661</f>
        <v>30</v>
      </c>
      <c r="I1661" s="7" t="n">
        <f aca="false" t="array" ref="I1661:I1661">_xlfn.XLOOKUP(G1661,{55;56;57;58;59;60;61;62;63;64;65;66;67;68;69;70;71;72;73;74;75;76;77;78;79;80;81;82;83;84;85;86;87;88;89;90;91;92;93;94;95;96;97;98;99},{100000;130000;160000;190000;220000;250000;300000;350000;400000;450000;500000;600000;700000;800000;900000;1000000;1500000;2000000;3000000;4000000;5000000;6500000;8000000;10000000;12500000;15000000;20000000;25000000;30000000;35000000;40000000;55000000;70000000;80000000;90000000;110000000;130000000;160000000;190000000;220000000;250000000;280000000;310000000;340000000;400000000})</f>
        <v>55000000</v>
      </c>
      <c r="J1661" s="7" t="n">
        <f aca="false">I1661*S1661*T1661*U1661</f>
        <v>58905000</v>
      </c>
      <c r="K1661" s="3"/>
      <c r="L1661" s="3"/>
      <c r="M1661" s="3"/>
      <c r="N1661" s="9" t="n">
        <v>0</v>
      </c>
      <c r="O1661" s="4" t="n">
        <v>0</v>
      </c>
      <c r="P1661" s="5" t="n">
        <f aca="false">IF(COUNTIF([1]Base_Jugadores!J$2:J$500,B1661)&gt;0,1,0)</f>
        <v>0</v>
      </c>
      <c r="Q1661" s="10" t="b">
        <f aca="false">--(COUNTIFS(
   [1]Fichajes_Realizados!A$2:A$5000,A1661,
   [1]Fichajes_Realizados!G$2:G$5000,$X$3
)&gt;0)</f>
        <v>0</v>
      </c>
      <c r="R1661" s="5" t="n">
        <f aca="false">_xlfn.XLOOKUP(C1661, [1]Estado_Equipos!A$2:A$500, [1]Estado_Equipos!J$2:J$500, "")</f>
        <v>82</v>
      </c>
      <c r="S1661" s="5" t="n">
        <f aca="false">IF(H1661&lt;=16,1.45,
IF(H1661&gt;=41,0.3,
CHOOSE(ROUNDDOWN((H1661-16)/2,0)+1,
1.45,1.38,1.3,1.23,1.17,1.15,1.12,1.05,0.95,0.8,0.6,0.4,0.3)))</f>
        <v>1.05</v>
      </c>
      <c r="T1661" s="5" t="n">
        <f aca="false">CHOOSE(N1661+1,1.2,1,0.85,0.7)</f>
        <v>1.2</v>
      </c>
      <c r="U1661" s="5" t="n">
        <f aca="false">IF(F1661="PO",0.6,
IF(F1661="CT",0.75,
IF(F1661="LI",0.8,
IF(F1661="LD",0.8,
IF(F1661="MCD",0.85,
IF(F1661="MC",0.95,
IF(F1661="MO",1.05,
IF(F1661="EI",1.1,
IF(F1661="ED",1.1,
IF(F1661="SD",1.15,
IF(F1661="DC",1.2,0)))))))))))</f>
        <v>0.85</v>
      </c>
    </row>
    <row r="1662" customFormat="false" ht="16.4" hidden="false" customHeight="false" outlineLevel="0" collapsed="false">
      <c r="A1662" s="1" t="n">
        <v>1661</v>
      </c>
      <c r="B1662" s="5" t="str">
        <f aca="false">[1]Base_Jugadores!B1662</f>
        <v>Josip Stanisic</v>
      </c>
      <c r="C1662" s="5" t="str">
        <f aca="false">IFERROR(
   _xlfn.XLOOKUP(VALUE(A1662),[1]Fichajes_Realizados!A$2:A$50000,[1]Fichajes_Realizados!D$2:D$50000,,0,-1),
   _xlfn.XLOOKUP(VALUE(A1662),[1]Base_Jugadores!A$2:A$50000,[1]Base_Jugadores!C$2:C$50000)
)</f>
        <v>Bayern Múnich</v>
      </c>
      <c r="D1662" s="5" t="str">
        <f aca="false">[1]Base_Jugadores!D1662</f>
        <v>Croacia</v>
      </c>
      <c r="E1662" s="3"/>
      <c r="F1662" s="5" t="str">
        <f aca="false">[1]Base_Jugadores!E1662</f>
        <v>LD</v>
      </c>
      <c r="G1662" s="5" t="n">
        <f aca="false">[1]Base_Jugadores!F1662</f>
        <v>77</v>
      </c>
      <c r="H1662" s="5" t="n">
        <f aca="false">[1]Base_Jugadores!G1662</f>
        <v>25</v>
      </c>
      <c r="I1662" s="7" t="n">
        <f aca="false" t="array" ref="I1662:I1662">_xlfn.XLOOKUP(G1662,{55;56;57;58;59;60;61;62;63;64;65;66;67;68;69;70;71;72;73;74;75;76;77;78;79;80;81;82;83;84;85;86;87;88;89;90;91;92;93;94;95;96;97;98;99},{100000;130000;160000;190000;220000;250000;300000;350000;400000;450000;500000;600000;700000;800000;900000;1000000;1500000;2000000;3000000;4000000;5000000;6500000;8000000;10000000;12500000;15000000;20000000;25000000;30000000;35000000;40000000;55000000;70000000;80000000;90000000;110000000;130000000;160000000;190000000;220000000;250000000;280000000;310000000;340000000;400000000})</f>
        <v>8000000</v>
      </c>
      <c r="J1662" s="7" t="n">
        <f aca="false">I1662*S1662*T1662*U1662</f>
        <v>8985600</v>
      </c>
      <c r="K1662" s="3"/>
      <c r="L1662" s="3"/>
      <c r="M1662" s="3"/>
      <c r="N1662" s="9" t="n">
        <v>0</v>
      </c>
      <c r="O1662" s="4" t="n">
        <v>0</v>
      </c>
      <c r="P1662" s="5" t="n">
        <f aca="false">IF(COUNTIF([1]Base_Jugadores!J$2:J$500,B1662)&gt;0,1,0)</f>
        <v>0</v>
      </c>
      <c r="Q1662" s="10" t="b">
        <f aca="false">--(COUNTIFS(
   [1]Fichajes_Realizados!A$2:A$5000,A1662,
   [1]Fichajes_Realizados!G$2:G$5000,$X$3
)&gt;0)</f>
        <v>0</v>
      </c>
      <c r="R1662" s="5" t="n">
        <f aca="false">_xlfn.XLOOKUP(C1662, [1]Estado_Equipos!A$2:A$500, [1]Estado_Equipos!J$2:J$500, "")</f>
        <v>82</v>
      </c>
      <c r="S1662" s="5" t="n">
        <f aca="false">IF(H1662&lt;=16,1.45,
IF(H1662&gt;=41,0.3,
CHOOSE(ROUNDDOWN((H1662-16)/2,0)+1,
1.45,1.38,1.3,1.23,1.17,1.15,1.12,1.05,0.95,0.8,0.6,0.4,0.3)))</f>
        <v>1.17</v>
      </c>
      <c r="T1662" s="5" t="n">
        <f aca="false">CHOOSE(N1662+1,1.2,1,0.85,0.7)</f>
        <v>1.2</v>
      </c>
      <c r="U1662" s="5" t="n">
        <f aca="false">IF(F1662="PO",0.6,
IF(F1662="CT",0.75,
IF(F1662="LI",0.8,
IF(F1662="LD",0.8,
IF(F1662="MCD",0.85,
IF(F1662="MC",0.95,
IF(F1662="MO",1.05,
IF(F1662="EI",1.1,
IF(F1662="ED",1.1,
IF(F1662="SD",1.15,
IF(F1662="DC",1.2,0)))))))))))</f>
        <v>0.8</v>
      </c>
    </row>
    <row r="1663" customFormat="false" ht="16.4" hidden="false" customHeight="false" outlineLevel="0" collapsed="false">
      <c r="A1663" s="1" t="n">
        <v>1662</v>
      </c>
      <c r="B1663" s="5" t="str">
        <f aca="false">[1]Base_Jugadores!B1663</f>
        <v>Konrad Laimer</v>
      </c>
      <c r="C1663" s="5" t="str">
        <f aca="false">IFERROR(
   _xlfn.XLOOKUP(VALUE(A1663),[1]Fichajes_Realizados!A$2:A$50000,[1]Fichajes_Realizados!D$2:D$50000,,0,-1),
   _xlfn.XLOOKUP(VALUE(A1663),[1]Base_Jugadores!A$2:A$50000,[1]Base_Jugadores!C$2:C$50000)
)</f>
        <v>Bayern Múnich</v>
      </c>
      <c r="D1663" s="5" t="str">
        <f aca="false">[1]Base_Jugadores!D1663</f>
        <v>Austria</v>
      </c>
      <c r="E1663" s="3"/>
      <c r="F1663" s="5" t="str">
        <f aca="false">[1]Base_Jugadores!E1663</f>
        <v>LD</v>
      </c>
      <c r="G1663" s="5" t="n">
        <f aca="false">[1]Base_Jugadores!F1663</f>
        <v>86</v>
      </c>
      <c r="H1663" s="5" t="n">
        <f aca="false">[1]Base_Jugadores!G1663</f>
        <v>28</v>
      </c>
      <c r="I1663" s="7" t="n">
        <f aca="false" t="array" ref="I1663:I1663">_xlfn.XLOOKUP(G1663,{55;56;57;58;59;60;61;62;63;64;65;66;67;68;69;70;71;72;73;74;75;76;77;78;79;80;81;82;83;84;85;86;87;88;89;90;91;92;93;94;95;96;97;98;99},{100000;130000;160000;190000;220000;250000;300000;350000;400000;450000;500000;600000;700000;800000;900000;1000000;1500000;2000000;3000000;4000000;5000000;6500000;8000000;10000000;12500000;15000000;20000000;25000000;30000000;35000000;40000000;55000000;70000000;80000000;90000000;110000000;130000000;160000000;190000000;220000000;250000000;280000000;310000000;340000000;400000000})</f>
        <v>55000000</v>
      </c>
      <c r="J1663" s="7" t="n">
        <f aca="false">I1663*S1663*T1663*U1663</f>
        <v>59136000</v>
      </c>
      <c r="K1663" s="3"/>
      <c r="L1663" s="3"/>
      <c r="M1663" s="3"/>
      <c r="N1663" s="9" t="n">
        <v>0</v>
      </c>
      <c r="O1663" s="4" t="n">
        <v>0</v>
      </c>
      <c r="P1663" s="5" t="n">
        <f aca="false">IF(COUNTIF([1]Base_Jugadores!J$2:J$500,B1663)&gt;0,1,0)</f>
        <v>0</v>
      </c>
      <c r="Q1663" s="10" t="b">
        <f aca="false">--(COUNTIFS(
   [1]Fichajes_Realizados!A$2:A$5000,A1663,
   [1]Fichajes_Realizados!G$2:G$5000,$X$3
)&gt;0)</f>
        <v>0</v>
      </c>
      <c r="R1663" s="5" t="n">
        <f aca="false">_xlfn.XLOOKUP(C1663, [1]Estado_Equipos!A$2:A$500, [1]Estado_Equipos!J$2:J$500, "")</f>
        <v>82</v>
      </c>
      <c r="S1663" s="5" t="n">
        <f aca="false">IF(H1663&lt;=16,1.45,
IF(H1663&gt;=41,0.3,
CHOOSE(ROUNDDOWN((H1663-16)/2,0)+1,
1.45,1.38,1.3,1.23,1.17,1.15,1.12,1.05,0.95,0.8,0.6,0.4,0.3)))</f>
        <v>1.12</v>
      </c>
      <c r="T1663" s="5" t="n">
        <f aca="false">CHOOSE(N1663+1,1.2,1,0.85,0.7)</f>
        <v>1.2</v>
      </c>
      <c r="U1663" s="5" t="n">
        <f aca="false">IF(F1663="PO",0.6,
IF(F1663="CT",0.75,
IF(F1663="LI",0.8,
IF(F1663="LD",0.8,
IF(F1663="MCD",0.85,
IF(F1663="MC",0.95,
IF(F1663="MO",1.05,
IF(F1663="EI",1.1,
IF(F1663="ED",1.1,
IF(F1663="SD",1.15,
IF(F1663="DC",1.2,0)))))))))))</f>
        <v>0.8</v>
      </c>
    </row>
    <row r="1664" customFormat="false" ht="16.4" hidden="false" customHeight="false" outlineLevel="0" collapsed="false">
      <c r="A1664" s="1" t="n">
        <v>1663</v>
      </c>
      <c r="B1664" s="5" t="str">
        <f aca="false">[1]Base_Jugadores!B1664</f>
        <v>Leon Goretzka</v>
      </c>
      <c r="C1664" s="5" t="str">
        <f aca="false">IFERROR(
   _xlfn.XLOOKUP(VALUE(A1664),[1]Fichajes_Realizados!A$2:A$50000,[1]Fichajes_Realizados!D$2:D$50000,,0,-1),
   _xlfn.XLOOKUP(VALUE(A1664),[1]Base_Jugadores!A$2:A$50000,[1]Base_Jugadores!C$2:C$50000)
)</f>
        <v>Bayern Múnich</v>
      </c>
      <c r="D1664" s="5" t="str">
        <f aca="false">[1]Base_Jugadores!D1664</f>
        <v>Alemania</v>
      </c>
      <c r="E1664" s="3"/>
      <c r="F1664" s="5" t="str">
        <f aca="false">[1]Base_Jugadores!E1664</f>
        <v>MC</v>
      </c>
      <c r="G1664" s="5" t="n">
        <f aca="false">[1]Base_Jugadores!F1664</f>
        <v>83</v>
      </c>
      <c r="H1664" s="5" t="n">
        <f aca="false">[1]Base_Jugadores!G1664</f>
        <v>30</v>
      </c>
      <c r="I1664" s="7" t="n">
        <f aca="false" t="array" ref="I1664:I1664">_xlfn.XLOOKUP(G1664,{55;56;57;58;59;60;61;62;63;64;65;66;67;68;69;70;71;72;73;74;75;76;77;78;79;80;81;82;83;84;85;86;87;88;89;90;91;92;93;94;95;96;97;98;99},{100000;130000;160000;190000;220000;250000;300000;350000;400000;450000;500000;600000;700000;800000;900000;1000000;1500000;2000000;3000000;4000000;5000000;6500000;8000000;10000000;12500000;15000000;20000000;25000000;30000000;35000000;40000000;55000000;70000000;80000000;90000000;110000000;130000000;160000000;190000000;220000000;250000000;280000000;310000000;340000000;400000000})</f>
        <v>30000000</v>
      </c>
      <c r="J1664" s="7" t="n">
        <f aca="false">I1664*S1664*T1664*U1664</f>
        <v>35910000</v>
      </c>
      <c r="K1664" s="3"/>
      <c r="L1664" s="3"/>
      <c r="M1664" s="3"/>
      <c r="N1664" s="9" t="n">
        <v>0</v>
      </c>
      <c r="O1664" s="4" t="n">
        <v>0</v>
      </c>
      <c r="P1664" s="5" t="n">
        <f aca="false">IF(COUNTIF([1]Base_Jugadores!J$2:J$500,B1664)&gt;0,1,0)</f>
        <v>0</v>
      </c>
      <c r="Q1664" s="10" t="b">
        <f aca="false">--(COUNTIFS(
   [1]Fichajes_Realizados!A$2:A$5000,A1664,
   [1]Fichajes_Realizados!G$2:G$5000,$X$3
)&gt;0)</f>
        <v>0</v>
      </c>
      <c r="R1664" s="5" t="n">
        <f aca="false">_xlfn.XLOOKUP(C1664, [1]Estado_Equipos!A$2:A$500, [1]Estado_Equipos!J$2:J$500, "")</f>
        <v>82</v>
      </c>
      <c r="S1664" s="5" t="n">
        <f aca="false">IF(H1664&lt;=16,1.45,
IF(H1664&gt;=41,0.3,
CHOOSE(ROUNDDOWN((H1664-16)/2,0)+1,
1.45,1.38,1.3,1.23,1.17,1.15,1.12,1.05,0.95,0.8,0.6,0.4,0.3)))</f>
        <v>1.05</v>
      </c>
      <c r="T1664" s="5" t="n">
        <f aca="false">CHOOSE(N1664+1,1.2,1,0.85,0.7)</f>
        <v>1.2</v>
      </c>
      <c r="U1664" s="5" t="n">
        <f aca="false">IF(F1664="PO",0.6,
IF(F1664="CT",0.75,
IF(F1664="LI",0.8,
IF(F1664="LD",0.8,
IF(F1664="MCD",0.85,
IF(F1664="MC",0.95,
IF(F1664="MO",1.05,
IF(F1664="EI",1.1,
IF(F1664="ED",1.1,
IF(F1664="SD",1.15,
IF(F1664="DC",1.2,0)))))))))))</f>
        <v>0.95</v>
      </c>
    </row>
    <row r="1665" customFormat="false" ht="16.4" hidden="false" customHeight="false" outlineLevel="0" collapsed="false">
      <c r="A1665" s="1" t="n">
        <v>1664</v>
      </c>
      <c r="B1665" s="5" t="str">
        <f aca="false">[1]Base_Jugadores!B1665</f>
        <v>Luis Díaz</v>
      </c>
      <c r="C1665" s="5" t="str">
        <f aca="false">IFERROR(
   _xlfn.XLOOKUP(VALUE(A1665),[1]Fichajes_Realizados!A$2:A$50000,[1]Fichajes_Realizados!D$2:D$50000,,0,-1),
   _xlfn.XLOOKUP(VALUE(A1665),[1]Base_Jugadores!A$2:A$50000,[1]Base_Jugadores!C$2:C$50000)
)</f>
        <v>Bayern Múnich</v>
      </c>
      <c r="D1665" s="5" t="str">
        <f aca="false">[1]Base_Jugadores!D1665</f>
        <v>Colombia</v>
      </c>
      <c r="E1665" s="3"/>
      <c r="F1665" s="5" t="str">
        <f aca="false">[1]Base_Jugadores!E1665</f>
        <v>EI</v>
      </c>
      <c r="G1665" s="5" t="n">
        <f aca="false">[1]Base_Jugadores!F1665</f>
        <v>85</v>
      </c>
      <c r="H1665" s="5" t="n">
        <f aca="false">[1]Base_Jugadores!G1665</f>
        <v>28</v>
      </c>
      <c r="I1665" s="7" t="n">
        <f aca="false" t="array" ref="I1665:I1665">_xlfn.XLOOKUP(G1665,{55;56;57;58;59;60;61;62;63;64;65;66;67;68;69;70;71;72;73;74;75;76;77;78;79;80;81;82;83;84;85;86;87;88;89;90;91;92;93;94;95;96;97;98;99},{100000;130000;160000;190000;220000;250000;300000;350000;400000;450000;500000;600000;700000;800000;900000;1000000;1500000;2000000;3000000;4000000;5000000;6500000;8000000;10000000;12500000;15000000;20000000;25000000;30000000;35000000;40000000;55000000;70000000;80000000;90000000;110000000;130000000;160000000;190000000;220000000;250000000;280000000;310000000;340000000;400000000})</f>
        <v>40000000</v>
      </c>
      <c r="J1665" s="7" t="n">
        <f aca="false">I1665*S1665*T1665*U1665</f>
        <v>59136000</v>
      </c>
      <c r="K1665" s="3"/>
      <c r="L1665" s="3"/>
      <c r="M1665" s="3"/>
      <c r="N1665" s="9" t="n">
        <v>0</v>
      </c>
      <c r="O1665" s="4" t="n">
        <v>0</v>
      </c>
      <c r="P1665" s="5" t="n">
        <f aca="false">IF(COUNTIF([1]Base_Jugadores!J$2:J$500,B1665)&gt;0,1,0)</f>
        <v>0</v>
      </c>
      <c r="Q1665" s="10" t="b">
        <f aca="false">--(COUNTIFS(
   [1]Fichajes_Realizados!A$2:A$5000,A1665,
   [1]Fichajes_Realizados!G$2:G$5000,$X$3
)&gt;0)</f>
        <v>0</v>
      </c>
      <c r="R1665" s="5" t="n">
        <f aca="false">_xlfn.XLOOKUP(C1665, [1]Estado_Equipos!A$2:A$500, [1]Estado_Equipos!J$2:J$500, "")</f>
        <v>82</v>
      </c>
      <c r="S1665" s="5" t="n">
        <f aca="false">IF(H1665&lt;=16,1.45,
IF(H1665&gt;=41,0.3,
CHOOSE(ROUNDDOWN((H1665-16)/2,0)+1,
1.45,1.38,1.3,1.23,1.17,1.15,1.12,1.05,0.95,0.8,0.6,0.4,0.3)))</f>
        <v>1.12</v>
      </c>
      <c r="T1665" s="5" t="n">
        <f aca="false">CHOOSE(N1665+1,1.2,1,0.85,0.7)</f>
        <v>1.2</v>
      </c>
      <c r="U1665" s="5" t="n">
        <f aca="false">IF(F1665="PO",0.6,
IF(F1665="CT",0.75,
IF(F1665="LI",0.8,
IF(F1665="LD",0.8,
IF(F1665="MCD",0.85,
IF(F1665="MC",0.95,
IF(F1665="MO",1.05,
IF(F1665="EI",1.1,
IF(F1665="ED",1.1,
IF(F1665="SD",1.15,
IF(F1665="DC",1.2,0)))))))))))</f>
        <v>1.1</v>
      </c>
    </row>
    <row r="1666" customFormat="false" ht="16.4" hidden="false" customHeight="false" outlineLevel="0" collapsed="false">
      <c r="A1666" s="1" t="n">
        <v>1665</v>
      </c>
      <c r="B1666" s="5" t="str">
        <f aca="false">[1]Base_Jugadores!B1666</f>
        <v>Manuel Neuer</v>
      </c>
      <c r="C1666" s="5" t="str">
        <f aca="false">IFERROR(
   _xlfn.XLOOKUP(VALUE(A1666),[1]Fichajes_Realizados!A$2:A$50000,[1]Fichajes_Realizados!D$2:D$50000,,0,-1),
   _xlfn.XLOOKUP(VALUE(A1666),[1]Base_Jugadores!A$2:A$50000,[1]Base_Jugadores!C$2:C$50000)
)</f>
        <v>Bayern Múnich</v>
      </c>
      <c r="D1666" s="5" t="str">
        <f aca="false">[1]Base_Jugadores!D1666</f>
        <v>Alemania</v>
      </c>
      <c r="E1666" s="3"/>
      <c r="F1666" s="5" t="str">
        <f aca="false">[1]Base_Jugadores!E1666</f>
        <v>PO</v>
      </c>
      <c r="G1666" s="5" t="n">
        <f aca="false">[1]Base_Jugadores!F1666</f>
        <v>86</v>
      </c>
      <c r="H1666" s="5" t="n">
        <f aca="false">[1]Base_Jugadores!G1666</f>
        <v>39</v>
      </c>
      <c r="I1666" s="7" t="n">
        <f aca="false" t="array" ref="I1666:I1666">_xlfn.XLOOKUP(G1666,{55;56;57;58;59;60;61;62;63;64;65;66;67;68;69;70;71;72;73;74;75;76;77;78;79;80;81;82;83;84;85;86;87;88;89;90;91;92;93;94;95;96;97;98;99},{100000;130000;160000;190000;220000;250000;300000;350000;400000;450000;500000;600000;700000;800000;900000;1000000;1500000;2000000;3000000;4000000;5000000;6500000;8000000;10000000;12500000;15000000;20000000;25000000;30000000;35000000;40000000;55000000;70000000;80000000;90000000;110000000;130000000;160000000;190000000;220000000;250000000;280000000;310000000;340000000;400000000})</f>
        <v>55000000</v>
      </c>
      <c r="J1666" s="7" t="n">
        <f aca="false">I1666*S1666*T1666*U1666</f>
        <v>15840000</v>
      </c>
      <c r="K1666" s="3"/>
      <c r="L1666" s="3"/>
      <c r="M1666" s="3"/>
      <c r="N1666" s="9" t="n">
        <v>0</v>
      </c>
      <c r="O1666" s="4" t="n">
        <v>0</v>
      </c>
      <c r="P1666" s="5" t="n">
        <f aca="false">IF(COUNTIF([1]Base_Jugadores!J$2:J$500,B1666)&gt;0,1,0)</f>
        <v>0</v>
      </c>
      <c r="Q1666" s="10" t="b">
        <f aca="false">--(COUNTIFS(
   [1]Fichajes_Realizados!A$2:A$5000,A1666,
   [1]Fichajes_Realizados!G$2:G$5000,$X$3
)&gt;0)</f>
        <v>0</v>
      </c>
      <c r="R1666" s="5" t="n">
        <f aca="false">_xlfn.XLOOKUP(C1666, [1]Estado_Equipos!A$2:A$500, [1]Estado_Equipos!J$2:J$500, "")</f>
        <v>82</v>
      </c>
      <c r="S1666" s="5" t="n">
        <f aca="false">IF(H1666&lt;=16,1.45,
IF(H1666&gt;=41,0.3,
CHOOSE(ROUNDDOWN((H1666-16)/2,0)+1,
1.45,1.38,1.3,1.23,1.17,1.15,1.12,1.05,0.95,0.8,0.6,0.4,0.3)))</f>
        <v>0.4</v>
      </c>
      <c r="T1666" s="5" t="n">
        <f aca="false">CHOOSE(N1666+1,1.2,1,0.85,0.7)</f>
        <v>1.2</v>
      </c>
      <c r="U1666" s="5" t="n">
        <f aca="false">IF(F1666="PO",0.6,
IF(F1666="CT",0.75,
IF(F1666="LI",0.8,
IF(F1666="LD",0.8,
IF(F1666="MCD",0.85,
IF(F1666="MC",0.95,
IF(F1666="MO",1.05,
IF(F1666="EI",1.1,
IF(F1666="ED",1.1,
IF(F1666="SD",1.15,
IF(F1666="DC",1.2,0)))))))))))</f>
        <v>0.6</v>
      </c>
    </row>
    <row r="1667" customFormat="false" ht="16.4" hidden="false" customHeight="false" outlineLevel="0" collapsed="false">
      <c r="A1667" s="1" t="n">
        <v>1666</v>
      </c>
      <c r="B1667" s="5" t="str">
        <f aca="false">[1]Base_Jugadores!B1667</f>
        <v>Michael Olise</v>
      </c>
      <c r="C1667" s="5" t="str">
        <f aca="false">IFERROR(
   _xlfn.XLOOKUP(VALUE(A1667),[1]Fichajes_Realizados!A$2:A$50000,[1]Fichajes_Realizados!D$2:D$50000,,0,-1),
   _xlfn.XLOOKUP(VALUE(A1667),[1]Base_Jugadores!A$2:A$50000,[1]Base_Jugadores!C$2:C$50000)
)</f>
        <v>Bayern Múnich</v>
      </c>
      <c r="D1667" s="5" t="str">
        <f aca="false">[1]Base_Jugadores!D1667</f>
        <v>Francia</v>
      </c>
      <c r="E1667" s="3"/>
      <c r="F1667" s="5" t="str">
        <f aca="false">[1]Base_Jugadores!E1667</f>
        <v>ED</v>
      </c>
      <c r="G1667" s="5" t="n">
        <f aca="false">[1]Base_Jugadores!F1667</f>
        <v>84</v>
      </c>
      <c r="H1667" s="5" t="n">
        <f aca="false">[1]Base_Jugadores!G1667</f>
        <v>24</v>
      </c>
      <c r="I1667" s="7" t="n">
        <f aca="false" t="array" ref="I1667:I1667">_xlfn.XLOOKUP(G1667,{55;56;57;58;59;60;61;62;63;64;65;66;67;68;69;70;71;72;73;74;75;76;77;78;79;80;81;82;83;84;85;86;87;88;89;90;91;92;93;94;95;96;97;98;99},{100000;130000;160000;190000;220000;250000;300000;350000;400000;450000;500000;600000;700000;800000;900000;1000000;1500000;2000000;3000000;4000000;5000000;6500000;8000000;10000000;12500000;15000000;20000000;25000000;30000000;35000000;40000000;55000000;70000000;80000000;90000000;110000000;130000000;160000000;190000000;220000000;250000000;280000000;310000000;340000000;400000000})</f>
        <v>35000000</v>
      </c>
      <c r="J1667" s="7" t="n">
        <f aca="false">I1667*S1667*T1667*U1667</f>
        <v>54054000</v>
      </c>
      <c r="K1667" s="3"/>
      <c r="L1667" s="3"/>
      <c r="M1667" s="3"/>
      <c r="N1667" s="9" t="n">
        <v>0</v>
      </c>
      <c r="O1667" s="4" t="n">
        <v>0</v>
      </c>
      <c r="P1667" s="5" t="n">
        <f aca="false">IF(COUNTIF([1]Base_Jugadores!J$2:J$500,B1667)&gt;0,1,0)</f>
        <v>0</v>
      </c>
      <c r="Q1667" s="10" t="b">
        <f aca="false">--(COUNTIFS(
   [1]Fichajes_Realizados!A$2:A$5000,A1667,
   [1]Fichajes_Realizados!G$2:G$5000,$X$3
)&gt;0)</f>
        <v>0</v>
      </c>
      <c r="R1667" s="5" t="n">
        <f aca="false">_xlfn.XLOOKUP(C1667, [1]Estado_Equipos!A$2:A$500, [1]Estado_Equipos!J$2:J$500, "")</f>
        <v>82</v>
      </c>
      <c r="S1667" s="5" t="n">
        <f aca="false">IF(H1667&lt;=16,1.45,
IF(H1667&gt;=41,0.3,
CHOOSE(ROUNDDOWN((H1667-16)/2,0)+1,
1.45,1.38,1.3,1.23,1.17,1.15,1.12,1.05,0.95,0.8,0.6,0.4,0.3)))</f>
        <v>1.17</v>
      </c>
      <c r="T1667" s="5" t="n">
        <f aca="false">CHOOSE(N1667+1,1.2,1,0.85,0.7)</f>
        <v>1.2</v>
      </c>
      <c r="U1667" s="5" t="n">
        <f aca="false">IF(F1667="PO",0.6,
IF(F1667="CT",0.75,
IF(F1667="LI",0.8,
IF(F1667="LD",0.8,
IF(F1667="MCD",0.85,
IF(F1667="MC",0.95,
IF(F1667="MO",1.05,
IF(F1667="EI",1.1,
IF(F1667="ED",1.1,
IF(F1667="SD",1.15,
IF(F1667="DC",1.2,0)))))))))))</f>
        <v>1.1</v>
      </c>
    </row>
    <row r="1668" customFormat="false" ht="16.4" hidden="false" customHeight="false" outlineLevel="0" collapsed="false">
      <c r="A1668" s="1" t="n">
        <v>1667</v>
      </c>
      <c r="B1668" s="5" t="str">
        <f aca="false">[1]Base_Jugadores!B1668</f>
        <v>Min-jae Kim</v>
      </c>
      <c r="C1668" s="5" t="str">
        <f aca="false">IFERROR(
   _xlfn.XLOOKUP(VALUE(A1668),[1]Fichajes_Realizados!A$2:A$50000,[1]Fichajes_Realizados!D$2:D$50000,,0,-1),
   _xlfn.XLOOKUP(VALUE(A1668),[1]Base_Jugadores!A$2:A$50000,[1]Base_Jugadores!C$2:C$50000)
)</f>
        <v>Bayern Múnich</v>
      </c>
      <c r="D1668" s="5" t="str">
        <f aca="false">[1]Base_Jugadores!D1668</f>
        <v>Corea del Sur</v>
      </c>
      <c r="E1668" s="3"/>
      <c r="F1668" s="5" t="str">
        <f aca="false">[1]Base_Jugadores!E1668</f>
        <v>CT</v>
      </c>
      <c r="G1668" s="5" t="n">
        <f aca="false">[1]Base_Jugadores!F1668</f>
        <v>83</v>
      </c>
      <c r="H1668" s="5" t="n">
        <f aca="false">[1]Base_Jugadores!G1668</f>
        <v>29</v>
      </c>
      <c r="I1668" s="7" t="n">
        <f aca="false" t="array" ref="I1668:I1668">_xlfn.XLOOKUP(G1668,{55;56;57;58;59;60;61;62;63;64;65;66;67;68;69;70;71;72;73;74;75;76;77;78;79;80;81;82;83;84;85;86;87;88;89;90;91;92;93;94;95;96;97;98;99},{100000;130000;160000;190000;220000;250000;300000;350000;400000;450000;500000;600000;700000;800000;900000;1000000;1500000;2000000;3000000;4000000;5000000;6500000;8000000;10000000;12500000;15000000;20000000;25000000;30000000;35000000;40000000;55000000;70000000;80000000;90000000;110000000;130000000;160000000;190000000;220000000;250000000;280000000;310000000;340000000;400000000})</f>
        <v>30000000</v>
      </c>
      <c r="J1668" s="7" t="n">
        <f aca="false">I1668*S1668*T1668*U1668</f>
        <v>30240000</v>
      </c>
      <c r="K1668" s="3"/>
      <c r="L1668" s="3"/>
      <c r="M1668" s="3"/>
      <c r="N1668" s="9" t="n">
        <v>0</v>
      </c>
      <c r="O1668" s="4" t="n">
        <v>0</v>
      </c>
      <c r="P1668" s="5" t="n">
        <f aca="false">IF(COUNTIF([1]Base_Jugadores!J$2:J$500,B1668)&gt;0,1,0)</f>
        <v>0</v>
      </c>
      <c r="Q1668" s="10" t="b">
        <f aca="false">--(COUNTIFS(
   [1]Fichajes_Realizados!A$2:A$5000,A1668,
   [1]Fichajes_Realizados!G$2:G$5000,$X$3
)&gt;0)</f>
        <v>0</v>
      </c>
      <c r="R1668" s="5" t="n">
        <f aca="false">_xlfn.XLOOKUP(C1668, [1]Estado_Equipos!A$2:A$500, [1]Estado_Equipos!J$2:J$500, "")</f>
        <v>82</v>
      </c>
      <c r="S1668" s="5" t="n">
        <f aca="false">IF(H1668&lt;=16,1.45,
IF(H1668&gt;=41,0.3,
CHOOSE(ROUNDDOWN((H1668-16)/2,0)+1,
1.45,1.38,1.3,1.23,1.17,1.15,1.12,1.05,0.95,0.8,0.6,0.4,0.3)))</f>
        <v>1.12</v>
      </c>
      <c r="T1668" s="5" t="n">
        <f aca="false">CHOOSE(N1668+1,1.2,1,0.85,0.7)</f>
        <v>1.2</v>
      </c>
      <c r="U1668" s="5" t="n">
        <f aca="false">IF(F1668="PO",0.6,
IF(F1668="CT",0.75,
IF(F1668="LI",0.8,
IF(F1668="LD",0.8,
IF(F1668="MCD",0.85,
IF(F1668="MC",0.95,
IF(F1668="MO",1.05,
IF(F1668="EI",1.1,
IF(F1668="ED",1.1,
IF(F1668="SD",1.15,
IF(F1668="DC",1.2,0)))))))))))</f>
        <v>0.75</v>
      </c>
    </row>
    <row r="1669" customFormat="false" ht="16.4" hidden="false" customHeight="false" outlineLevel="0" collapsed="false">
      <c r="A1669" s="1" t="n">
        <v>1668</v>
      </c>
      <c r="B1669" s="5" t="str">
        <f aca="false">[1]Base_Jugadores!B1669</f>
        <v>Nicolas Jackson</v>
      </c>
      <c r="C1669" s="5" t="str">
        <f aca="false">IFERROR(
   _xlfn.XLOOKUP(VALUE(A1669),[1]Fichajes_Realizados!A$2:A$50000,[1]Fichajes_Realizados!D$2:D$50000,,0,-1),
   _xlfn.XLOOKUP(VALUE(A1669),[1]Base_Jugadores!A$2:A$50000,[1]Base_Jugadores!C$2:C$50000)
)</f>
        <v>Bayern Múnich</v>
      </c>
      <c r="D1669" s="5" t="str">
        <f aca="false">[1]Base_Jugadores!D1669</f>
        <v>Senegal</v>
      </c>
      <c r="E1669" s="3"/>
      <c r="F1669" s="5" t="str">
        <f aca="false">[1]Base_Jugadores!E1669</f>
        <v>DC</v>
      </c>
      <c r="G1669" s="5" t="n">
        <f aca="false">[1]Base_Jugadores!F1669</f>
        <v>81</v>
      </c>
      <c r="H1669" s="5" t="n">
        <f aca="false">[1]Base_Jugadores!G1669</f>
        <v>24</v>
      </c>
      <c r="I1669" s="7" t="n">
        <f aca="false" t="array" ref="I1669:I1669">_xlfn.XLOOKUP(G1669,{55;56;57;58;59;60;61;62;63;64;65;66;67;68;69;70;71;72;73;74;75;76;77;78;79;80;81;82;83;84;85;86;87;88;89;90;91;92;93;94;95;96;97;98;99},{100000;130000;160000;190000;220000;250000;300000;350000;400000;450000;500000;600000;700000;800000;900000;1000000;1500000;2000000;3000000;4000000;5000000;6500000;8000000;10000000;12500000;15000000;20000000;25000000;30000000;35000000;40000000;55000000;70000000;80000000;90000000;110000000;130000000;160000000;190000000;220000000;250000000;280000000;310000000;340000000;400000000})</f>
        <v>20000000</v>
      </c>
      <c r="J1669" s="7" t="n">
        <f aca="false">I1669*S1669*T1669*U1669</f>
        <v>33696000</v>
      </c>
      <c r="K1669" s="3"/>
      <c r="L1669" s="3"/>
      <c r="M1669" s="3"/>
      <c r="N1669" s="9" t="n">
        <v>0</v>
      </c>
      <c r="O1669" s="4" t="n">
        <v>0</v>
      </c>
      <c r="P1669" s="5" t="n">
        <f aca="false">IF(COUNTIF([1]Base_Jugadores!J$2:J$500,B1669)&gt;0,1,0)</f>
        <v>0</v>
      </c>
      <c r="Q1669" s="10" t="b">
        <f aca="false">--(COUNTIFS(
   [1]Fichajes_Realizados!A$2:A$5000,A1669,
   [1]Fichajes_Realizados!G$2:G$5000,$X$3
)&gt;0)</f>
        <v>0</v>
      </c>
      <c r="R1669" s="5" t="n">
        <f aca="false">_xlfn.XLOOKUP(C1669, [1]Estado_Equipos!A$2:A$500, [1]Estado_Equipos!J$2:J$500, "")</f>
        <v>82</v>
      </c>
      <c r="S1669" s="5" t="n">
        <f aca="false">IF(H1669&lt;=16,1.45,
IF(H1669&gt;=41,0.3,
CHOOSE(ROUNDDOWN((H1669-16)/2,0)+1,
1.45,1.38,1.3,1.23,1.17,1.15,1.12,1.05,0.95,0.8,0.6,0.4,0.3)))</f>
        <v>1.17</v>
      </c>
      <c r="T1669" s="5" t="n">
        <f aca="false">CHOOSE(N1669+1,1.2,1,0.85,0.7)</f>
        <v>1.2</v>
      </c>
      <c r="U1669" s="5" t="n">
        <f aca="false">IF(F1669="PO",0.6,
IF(F1669="CT",0.75,
IF(F1669="LI",0.8,
IF(F1669="LD",0.8,
IF(F1669="MCD",0.85,
IF(F1669="MC",0.95,
IF(F1669="MO",1.05,
IF(F1669="EI",1.1,
IF(F1669="ED",1.1,
IF(F1669="SD",1.15,
IF(F1669="DC",1.2,0)))))))))))</f>
        <v>1.2</v>
      </c>
    </row>
    <row r="1670" customFormat="false" ht="16.4" hidden="false" customHeight="false" outlineLevel="0" collapsed="false">
      <c r="A1670" s="1" t="n">
        <v>1669</v>
      </c>
      <c r="B1670" s="5" t="str">
        <f aca="false">[1]Base_Jugadores!B1670</f>
        <v>Raphaël Guerreiro</v>
      </c>
      <c r="C1670" s="5" t="str">
        <f aca="false">IFERROR(
   _xlfn.XLOOKUP(VALUE(A1670),[1]Fichajes_Realizados!A$2:A$50000,[1]Fichajes_Realizados!D$2:D$50000,,0,-1),
   _xlfn.XLOOKUP(VALUE(A1670),[1]Base_Jugadores!A$2:A$50000,[1]Base_Jugadores!C$2:C$50000)
)</f>
        <v>Bayern Múnich</v>
      </c>
      <c r="D1670" s="5" t="str">
        <f aca="false">[1]Base_Jugadores!D1670</f>
        <v>Portugal</v>
      </c>
      <c r="E1670" s="3"/>
      <c r="F1670" s="5" t="str">
        <f aca="false">[1]Base_Jugadores!E1670</f>
        <v>LI</v>
      </c>
      <c r="G1670" s="5" t="n">
        <f aca="false">[1]Base_Jugadores!F1670</f>
        <v>82</v>
      </c>
      <c r="H1670" s="5" t="n">
        <f aca="false">[1]Base_Jugadores!G1670</f>
        <v>32</v>
      </c>
      <c r="I1670" s="7" t="n">
        <f aca="false" t="array" ref="I1670:I1670">_xlfn.XLOOKUP(G1670,{55;56;57;58;59;60;61;62;63;64;65;66;67;68;69;70;71;72;73;74;75;76;77;78;79;80;81;82;83;84;85;86;87;88;89;90;91;92;93;94;95;96;97;98;99},{100000;130000;160000;190000;220000;250000;300000;350000;400000;450000;500000;600000;700000;800000;900000;1000000;1500000;2000000;3000000;4000000;5000000;6500000;8000000;10000000;12500000;15000000;20000000;25000000;30000000;35000000;40000000;55000000;70000000;80000000;90000000;110000000;130000000;160000000;190000000;220000000;250000000;280000000;310000000;340000000;400000000})</f>
        <v>25000000</v>
      </c>
      <c r="J1670" s="7" t="n">
        <f aca="false">I1670*S1670*T1670*U1670</f>
        <v>22800000</v>
      </c>
      <c r="K1670" s="3"/>
      <c r="L1670" s="3"/>
      <c r="M1670" s="3"/>
      <c r="N1670" s="9" t="n">
        <v>0</v>
      </c>
      <c r="O1670" s="4" t="n">
        <v>0</v>
      </c>
      <c r="P1670" s="5" t="n">
        <f aca="false">IF(COUNTIF([1]Base_Jugadores!J$2:J$500,B1670)&gt;0,1,0)</f>
        <v>0</v>
      </c>
      <c r="Q1670" s="10" t="b">
        <f aca="false">--(COUNTIFS(
   [1]Fichajes_Realizados!A$2:A$5000,A1670,
   [1]Fichajes_Realizados!G$2:G$5000,$X$3
)&gt;0)</f>
        <v>0</v>
      </c>
      <c r="R1670" s="5" t="n">
        <f aca="false">_xlfn.XLOOKUP(C1670, [1]Estado_Equipos!A$2:A$500, [1]Estado_Equipos!J$2:J$500, "")</f>
        <v>82</v>
      </c>
      <c r="S1670" s="5" t="n">
        <f aca="false">IF(H1670&lt;=16,1.45,
IF(H1670&gt;=41,0.3,
CHOOSE(ROUNDDOWN((H1670-16)/2,0)+1,
1.45,1.38,1.3,1.23,1.17,1.15,1.12,1.05,0.95,0.8,0.6,0.4,0.3)))</f>
        <v>0.95</v>
      </c>
      <c r="T1670" s="5" t="n">
        <f aca="false">CHOOSE(N1670+1,1.2,1,0.85,0.7)</f>
        <v>1.2</v>
      </c>
      <c r="U1670" s="5" t="n">
        <f aca="false">IF(F1670="PO",0.6,
IF(F1670="CT",0.75,
IF(F1670="LI",0.8,
IF(F1670="LD",0.8,
IF(F1670="MCD",0.85,
IF(F1670="MC",0.95,
IF(F1670="MO",1.05,
IF(F1670="EI",1.1,
IF(F1670="ED",1.1,
IF(F1670="SD",1.15,
IF(F1670="DC",1.2,0)))))))))))</f>
        <v>0.8</v>
      </c>
    </row>
    <row r="1671" customFormat="false" ht="16.4" hidden="false" customHeight="false" outlineLevel="0" collapsed="false">
      <c r="A1671" s="1" t="n">
        <v>1670</v>
      </c>
      <c r="B1671" s="5" t="str">
        <f aca="false">[1]Base_Jugadores!B1671</f>
        <v>Sacha Boey</v>
      </c>
      <c r="C1671" s="5" t="str">
        <f aca="false">IFERROR(
   _xlfn.XLOOKUP(VALUE(A1671),[1]Fichajes_Realizados!A$2:A$50000,[1]Fichajes_Realizados!D$2:D$50000,,0,-1),
   _xlfn.XLOOKUP(VALUE(A1671),[1]Base_Jugadores!A$2:A$50000,[1]Base_Jugadores!C$2:C$50000)
)</f>
        <v>Bayern Múnich</v>
      </c>
      <c r="D1671" s="5" t="str">
        <f aca="false">[1]Base_Jugadores!D1671</f>
        <v>Francia</v>
      </c>
      <c r="E1671" s="3"/>
      <c r="F1671" s="5" t="str">
        <f aca="false">[1]Base_Jugadores!E1671</f>
        <v>LD</v>
      </c>
      <c r="G1671" s="5" t="n">
        <f aca="false">[1]Base_Jugadores!F1671</f>
        <v>79</v>
      </c>
      <c r="H1671" s="5" t="n">
        <f aca="false">[1]Base_Jugadores!G1671</f>
        <v>25</v>
      </c>
      <c r="I1671" s="7" t="n">
        <f aca="false" t="array" ref="I1671:I1671">_xlfn.XLOOKUP(G1671,{55;56;57;58;59;60;61;62;63;64;65;66;67;68;69;70;71;72;73;74;75;76;77;78;79;80;81;82;83;84;85;86;87;88;89;90;91;92;93;94;95;96;97;98;99},{100000;130000;160000;190000;220000;250000;300000;350000;400000;450000;500000;600000;700000;800000;900000;1000000;1500000;2000000;3000000;4000000;5000000;6500000;8000000;10000000;12500000;15000000;20000000;25000000;30000000;35000000;40000000;55000000;70000000;80000000;90000000;110000000;130000000;160000000;190000000;220000000;250000000;280000000;310000000;340000000;400000000})</f>
        <v>12500000</v>
      </c>
      <c r="J1671" s="7" t="n">
        <f aca="false">I1671*S1671*T1671*U1671</f>
        <v>14040000</v>
      </c>
      <c r="K1671" s="3"/>
      <c r="L1671" s="3"/>
      <c r="M1671" s="3"/>
      <c r="N1671" s="9" t="n">
        <v>0</v>
      </c>
      <c r="O1671" s="4" t="n">
        <v>0</v>
      </c>
      <c r="P1671" s="5" t="n">
        <f aca="false">IF(COUNTIF([1]Base_Jugadores!J$2:J$500,B1671)&gt;0,1,0)</f>
        <v>0</v>
      </c>
      <c r="Q1671" s="10" t="b">
        <f aca="false">--(COUNTIFS(
   [1]Fichajes_Realizados!A$2:A$5000,A1671,
   [1]Fichajes_Realizados!G$2:G$5000,$X$3
)&gt;0)</f>
        <v>0</v>
      </c>
      <c r="R1671" s="5" t="n">
        <f aca="false">_xlfn.XLOOKUP(C1671, [1]Estado_Equipos!A$2:A$500, [1]Estado_Equipos!J$2:J$500, "")</f>
        <v>82</v>
      </c>
      <c r="S1671" s="5" t="n">
        <f aca="false">IF(H1671&lt;=16,1.45,
IF(H1671&gt;=41,0.3,
CHOOSE(ROUNDDOWN((H1671-16)/2,0)+1,
1.45,1.38,1.3,1.23,1.17,1.15,1.12,1.05,0.95,0.8,0.6,0.4,0.3)))</f>
        <v>1.17</v>
      </c>
      <c r="T1671" s="5" t="n">
        <f aca="false">CHOOSE(N1671+1,1.2,1,0.85,0.7)</f>
        <v>1.2</v>
      </c>
      <c r="U1671" s="5" t="n">
        <f aca="false">IF(F1671="PO",0.6,
IF(F1671="CT",0.75,
IF(F1671="LI",0.8,
IF(F1671="LD",0.8,
IF(F1671="MCD",0.85,
IF(F1671="MC",0.95,
IF(F1671="MO",1.05,
IF(F1671="EI",1.1,
IF(F1671="ED",1.1,
IF(F1671="SD",1.15,
IF(F1671="DC",1.2,0)))))))))))</f>
        <v>0.8</v>
      </c>
    </row>
    <row r="1672" customFormat="false" ht="16.4" hidden="false" customHeight="false" outlineLevel="0" collapsed="false">
      <c r="A1672" s="1" t="n">
        <v>1671</v>
      </c>
      <c r="B1672" s="5" t="str">
        <f aca="false">[1]Base_Jugadores!B1672</f>
        <v>Serge Gnabry</v>
      </c>
      <c r="C1672" s="5" t="str">
        <f aca="false">IFERROR(
   _xlfn.XLOOKUP(VALUE(A1672),[1]Fichajes_Realizados!A$2:A$50000,[1]Fichajes_Realizados!D$2:D$50000,,0,-1),
   _xlfn.XLOOKUP(VALUE(A1672),[1]Base_Jugadores!A$2:A$50000,[1]Base_Jugadores!C$2:C$50000)
)</f>
        <v>Bayern Múnich</v>
      </c>
      <c r="D1672" s="5" t="str">
        <f aca="false">[1]Base_Jugadores!D1672</f>
        <v>Alemania</v>
      </c>
      <c r="E1672" s="3"/>
      <c r="F1672" s="5" t="str">
        <f aca="false">[1]Base_Jugadores!E1672</f>
        <v>SD</v>
      </c>
      <c r="G1672" s="5" t="n">
        <f aca="false">[1]Base_Jugadores!F1672</f>
        <v>83</v>
      </c>
      <c r="H1672" s="5" t="n">
        <f aca="false">[1]Base_Jugadores!G1672</f>
        <v>30</v>
      </c>
      <c r="I1672" s="7" t="n">
        <f aca="false" t="array" ref="I1672:I1672">_xlfn.XLOOKUP(G1672,{55;56;57;58;59;60;61;62;63;64;65;66;67;68;69;70;71;72;73;74;75;76;77;78;79;80;81;82;83;84;85;86;87;88;89;90;91;92;93;94;95;96;97;98;99},{100000;130000;160000;190000;220000;250000;300000;350000;400000;450000;500000;600000;700000;800000;900000;1000000;1500000;2000000;3000000;4000000;5000000;6500000;8000000;10000000;12500000;15000000;20000000;25000000;30000000;35000000;40000000;55000000;70000000;80000000;90000000;110000000;130000000;160000000;190000000;220000000;250000000;280000000;310000000;340000000;400000000})</f>
        <v>30000000</v>
      </c>
      <c r="J1672" s="7" t="n">
        <f aca="false">I1672*S1672*T1672*U1672</f>
        <v>43470000</v>
      </c>
      <c r="K1672" s="3"/>
      <c r="L1672" s="3"/>
      <c r="M1672" s="3"/>
      <c r="N1672" s="9" t="n">
        <v>0</v>
      </c>
      <c r="O1672" s="4" t="n">
        <v>0</v>
      </c>
      <c r="P1672" s="5" t="n">
        <f aca="false">IF(COUNTIF([1]Base_Jugadores!J$2:J$500,B1672)&gt;0,1,0)</f>
        <v>0</v>
      </c>
      <c r="Q1672" s="10" t="b">
        <f aca="false">--(COUNTIFS(
   [1]Fichajes_Realizados!A$2:A$5000,A1672,
   [1]Fichajes_Realizados!G$2:G$5000,$X$3
)&gt;0)</f>
        <v>0</v>
      </c>
      <c r="R1672" s="5" t="n">
        <f aca="false">_xlfn.XLOOKUP(C1672, [1]Estado_Equipos!A$2:A$500, [1]Estado_Equipos!J$2:J$500, "")</f>
        <v>82</v>
      </c>
      <c r="S1672" s="5" t="n">
        <f aca="false">IF(H1672&lt;=16,1.45,
IF(H1672&gt;=41,0.3,
CHOOSE(ROUNDDOWN((H1672-16)/2,0)+1,
1.45,1.38,1.3,1.23,1.17,1.15,1.12,1.05,0.95,0.8,0.6,0.4,0.3)))</f>
        <v>1.05</v>
      </c>
      <c r="T1672" s="5" t="n">
        <f aca="false">CHOOSE(N1672+1,1.2,1,0.85,0.7)</f>
        <v>1.2</v>
      </c>
      <c r="U1672" s="5" t="n">
        <f aca="false">IF(F1672="PO",0.6,
IF(F1672="CT",0.75,
IF(F1672="LI",0.8,
IF(F1672="LD",0.8,
IF(F1672="MCD",0.85,
IF(F1672="MC",0.95,
IF(F1672="MO",1.05,
IF(F1672="EI",1.1,
IF(F1672="ED",1.1,
IF(F1672="SD",1.15,
IF(F1672="DC",1.2,0)))))))))))</f>
        <v>1.15</v>
      </c>
    </row>
    <row r="1673" customFormat="false" ht="16.4" hidden="false" customHeight="false" outlineLevel="0" collapsed="false">
      <c r="A1673" s="1" t="n">
        <v>1672</v>
      </c>
      <c r="B1673" s="5" t="str">
        <f aca="false">[1]Base_Jugadores!B1673</f>
        <v>Sven Ulreich</v>
      </c>
      <c r="C1673" s="5" t="str">
        <f aca="false">IFERROR(
   _xlfn.XLOOKUP(VALUE(A1673),[1]Fichajes_Realizados!A$2:A$50000,[1]Fichajes_Realizados!D$2:D$50000,,0,-1),
   _xlfn.XLOOKUP(VALUE(A1673),[1]Base_Jugadores!A$2:A$50000,[1]Base_Jugadores!C$2:C$50000)
)</f>
        <v>Bayern Múnich</v>
      </c>
      <c r="D1673" s="5" t="str">
        <f aca="false">[1]Base_Jugadores!D1673</f>
        <v>Alemania</v>
      </c>
      <c r="E1673" s="3"/>
      <c r="F1673" s="5" t="str">
        <f aca="false">[1]Base_Jugadores!E1673</f>
        <v>PO</v>
      </c>
      <c r="G1673" s="5" t="n">
        <f aca="false">[1]Base_Jugadores!F1673</f>
        <v>75</v>
      </c>
      <c r="H1673" s="5" t="n">
        <f aca="false">[1]Base_Jugadores!G1673</f>
        <v>37</v>
      </c>
      <c r="I1673" s="7" t="n">
        <f aca="false" t="array" ref="I1673:I1673">_xlfn.XLOOKUP(G1673,{55;56;57;58;59;60;61;62;63;64;65;66;67;68;69;70;71;72;73;74;75;76;77;78;79;80;81;82;83;84;85;86;87;88;89;90;91;92;93;94;95;96;97;98;99},{100000;130000;160000;190000;220000;250000;300000;350000;400000;450000;500000;600000;700000;800000;900000;1000000;1500000;2000000;3000000;4000000;5000000;6500000;8000000;10000000;12500000;15000000;20000000;25000000;30000000;35000000;40000000;55000000;70000000;80000000;90000000;110000000;130000000;160000000;190000000;220000000;250000000;280000000;310000000;340000000;400000000})</f>
        <v>5000000</v>
      </c>
      <c r="J1673" s="7" t="n">
        <f aca="false">I1673*S1673*T1673*U1673</f>
        <v>2160000</v>
      </c>
      <c r="K1673" s="3"/>
      <c r="L1673" s="3"/>
      <c r="M1673" s="3"/>
      <c r="N1673" s="9" t="n">
        <v>0</v>
      </c>
      <c r="O1673" s="4" t="n">
        <v>0</v>
      </c>
      <c r="P1673" s="5" t="n">
        <f aca="false">IF(COUNTIF([1]Base_Jugadores!J$2:J$500,B1673)&gt;0,1,0)</f>
        <v>0</v>
      </c>
      <c r="Q1673" s="10" t="b">
        <f aca="false">--(COUNTIFS(
   [1]Fichajes_Realizados!A$2:A$5000,A1673,
   [1]Fichajes_Realizados!G$2:G$5000,$X$3
)&gt;0)</f>
        <v>0</v>
      </c>
      <c r="R1673" s="5" t="n">
        <f aca="false">_xlfn.XLOOKUP(C1673, [1]Estado_Equipos!A$2:A$500, [1]Estado_Equipos!J$2:J$500, "")</f>
        <v>82</v>
      </c>
      <c r="S1673" s="5" t="n">
        <f aca="false">IF(H1673&lt;=16,1.45,
IF(H1673&gt;=41,0.3,
CHOOSE(ROUNDDOWN((H1673-16)/2,0)+1,
1.45,1.38,1.3,1.23,1.17,1.15,1.12,1.05,0.95,0.8,0.6,0.4,0.3)))</f>
        <v>0.6</v>
      </c>
      <c r="T1673" s="5" t="n">
        <f aca="false">CHOOSE(N1673+1,1.2,1,0.85,0.7)</f>
        <v>1.2</v>
      </c>
      <c r="U1673" s="5" t="n">
        <f aca="false">IF(F1673="PO",0.6,
IF(F1673="CT",0.75,
IF(F1673="LI",0.8,
IF(F1673="LD",0.8,
IF(F1673="MCD",0.85,
IF(F1673="MC",0.95,
IF(F1673="MO",1.05,
IF(F1673="EI",1.1,
IF(F1673="ED",1.1,
IF(F1673="SD",1.15,
IF(F1673="DC",1.2,0)))))))))))</f>
        <v>0.6</v>
      </c>
    </row>
    <row r="1674" customFormat="false" ht="16.4" hidden="false" customHeight="false" outlineLevel="0" collapsed="false">
      <c r="A1674" s="1" t="n">
        <v>1673</v>
      </c>
      <c r="B1674" s="5" t="str">
        <f aca="false">[1]Base_Jugadores!B1674</f>
        <v>Tom Bischof</v>
      </c>
      <c r="C1674" s="5" t="str">
        <f aca="false">IFERROR(
   _xlfn.XLOOKUP(VALUE(A1674),[1]Fichajes_Realizados!A$2:A$50000,[1]Fichajes_Realizados!D$2:D$50000,,0,-1),
   _xlfn.XLOOKUP(VALUE(A1674),[1]Base_Jugadores!A$2:A$50000,[1]Base_Jugadores!C$2:C$50000)
)</f>
        <v>Bayern Múnich</v>
      </c>
      <c r="D1674" s="5" t="str">
        <f aca="false">[1]Base_Jugadores!D1674</f>
        <v>Alemania</v>
      </c>
      <c r="E1674" s="3"/>
      <c r="F1674" s="5" t="str">
        <f aca="false">[1]Base_Jugadores!E1674</f>
        <v>MC</v>
      </c>
      <c r="G1674" s="5" t="n">
        <f aca="false">[1]Base_Jugadores!F1674</f>
        <v>75</v>
      </c>
      <c r="H1674" s="5" t="n">
        <f aca="false">[1]Base_Jugadores!G1674</f>
        <v>20</v>
      </c>
      <c r="I1674" s="7" t="n">
        <f aca="false" t="array" ref="I1674:I1674">_xlfn.XLOOKUP(G1674,{55;56;57;58;59;60;61;62;63;64;65;66;67;68;69;70;71;72;73;74;75;76;77;78;79;80;81;82;83;84;85;86;87;88;89;90;91;92;93;94;95;96;97;98;99},{100000;130000;160000;190000;220000;250000;300000;350000;400000;450000;500000;600000;700000;800000;900000;1000000;1500000;2000000;3000000;4000000;5000000;6500000;8000000;10000000;12500000;15000000;20000000;25000000;30000000;35000000;40000000;55000000;70000000;80000000;90000000;110000000;130000000;160000000;190000000;220000000;250000000;280000000;310000000;340000000;400000000})</f>
        <v>5000000</v>
      </c>
      <c r="J1674" s="7" t="n">
        <f aca="false">I1674*S1674*T1674*U1674</f>
        <v>7410000</v>
      </c>
      <c r="K1674" s="3"/>
      <c r="L1674" s="3"/>
      <c r="M1674" s="3"/>
      <c r="N1674" s="9" t="n">
        <v>0</v>
      </c>
      <c r="O1674" s="4" t="n">
        <v>0</v>
      </c>
      <c r="P1674" s="5" t="n">
        <f aca="false">IF(COUNTIF([1]Base_Jugadores!J$2:J$500,B1674)&gt;0,1,0)</f>
        <v>0</v>
      </c>
      <c r="Q1674" s="10" t="b">
        <f aca="false">--(COUNTIFS(
   [1]Fichajes_Realizados!A$2:A$5000,A1674,
   [1]Fichajes_Realizados!G$2:G$5000,$X$3
)&gt;0)</f>
        <v>0</v>
      </c>
      <c r="R1674" s="5" t="n">
        <f aca="false">_xlfn.XLOOKUP(C1674, [1]Estado_Equipos!A$2:A$500, [1]Estado_Equipos!J$2:J$500, "")</f>
        <v>82</v>
      </c>
      <c r="S1674" s="5" t="n">
        <f aca="false">IF(H1674&lt;=16,1.45,
IF(H1674&gt;=41,0.3,
CHOOSE(ROUNDDOWN((H1674-16)/2,0)+1,
1.45,1.38,1.3,1.23,1.17,1.15,1.12,1.05,0.95,0.8,0.6,0.4,0.3)))</f>
        <v>1.3</v>
      </c>
      <c r="T1674" s="5" t="n">
        <f aca="false">CHOOSE(N1674+1,1.2,1,0.85,0.7)</f>
        <v>1.2</v>
      </c>
      <c r="U1674" s="5" t="n">
        <f aca="false">IF(F1674="PO",0.6,
IF(F1674="CT",0.75,
IF(F1674="LI",0.8,
IF(F1674="LD",0.8,
IF(F1674="MCD",0.85,
IF(F1674="MC",0.95,
IF(F1674="MO",1.05,
IF(F1674="EI",1.1,
IF(F1674="ED",1.1,
IF(F1674="SD",1.15,
IF(F1674="DC",1.2,0)))))))))))</f>
        <v>0.95</v>
      </c>
    </row>
    <row r="1675" customFormat="false" ht="16.4" hidden="false" customHeight="false" outlineLevel="0" collapsed="false">
      <c r="A1675" s="1" t="n">
        <v>1674</v>
      </c>
      <c r="B1675" s="5" t="str">
        <f aca="false">[1]Base_Jugadores!B1675</f>
        <v>Timo Horn</v>
      </c>
      <c r="C1675" s="5" t="str">
        <f aca="false">IFERROR(
   _xlfn.XLOOKUP(VALUE(A1675),[1]Fichajes_Realizados!A$2:A$50000,[1]Fichajes_Realizados!D$2:D$50000,,0,-1),
   _xlfn.XLOOKUP(VALUE(A1675),[1]Base_Jugadores!A$2:A$50000,[1]Base_Jugadores!C$2:C$50000)
)</f>
        <v>VfL Bochum</v>
      </c>
      <c r="D1675" s="5" t="str">
        <f aca="false">[1]Base_Jugadores!D1675</f>
        <v>Alemania</v>
      </c>
      <c r="E1675" s="3"/>
      <c r="F1675" s="5" t="str">
        <f aca="false">[1]Base_Jugadores!E1675</f>
        <v>PO</v>
      </c>
      <c r="G1675" s="5" t="n">
        <f aca="false">[1]Base_Jugadores!F1675</f>
        <v>72</v>
      </c>
      <c r="H1675" s="5" t="n">
        <f aca="false">[1]Base_Jugadores!G1675</f>
        <v>32</v>
      </c>
      <c r="I1675" s="7" t="n">
        <f aca="false" t="array" ref="I1675:I1675">_xlfn.XLOOKUP(G1675,{55;56;57;58;59;60;61;62;63;64;65;66;67;68;69;70;71;72;73;74;75;76;77;78;79;80;81;82;83;84;85;86;87;88;89;90;91;92;93;94;95;96;97;98;99},{100000;130000;160000;190000;220000;250000;300000;350000;400000;450000;500000;600000;700000;800000;900000;1000000;1500000;2000000;3000000;4000000;5000000;6500000;8000000;10000000;12500000;15000000;20000000;25000000;30000000;35000000;40000000;55000000;70000000;80000000;90000000;110000000;130000000;160000000;190000000;220000000;250000000;280000000;310000000;340000000;400000000})</f>
        <v>2000000</v>
      </c>
      <c r="J1675" s="7" t="n">
        <f aca="false">I1675*S1675*T1675*U1675</f>
        <v>1368000</v>
      </c>
      <c r="K1675" s="3"/>
      <c r="L1675" s="3"/>
      <c r="M1675" s="3"/>
      <c r="N1675" s="9" t="n">
        <v>0</v>
      </c>
      <c r="O1675" s="4" t="n">
        <v>0</v>
      </c>
      <c r="P1675" s="5" t="n">
        <f aca="false">IF(COUNTIF([1]Base_Jugadores!J$2:J$500,B1675)&gt;0,1,0)</f>
        <v>0</v>
      </c>
      <c r="Q1675" s="10" t="b">
        <f aca="false">--(COUNTIFS(
   [1]Fichajes_Realizados!A$2:A$5000,A1675,
   [1]Fichajes_Realizados!G$2:G$5000,$X$3
)&gt;0)</f>
        <v>0</v>
      </c>
      <c r="R1675" s="5" t="n">
        <f aca="false">_xlfn.XLOOKUP(C1675, [1]Estado_Equipos!A$2:A$500, [1]Estado_Equipos!J$2:J$500, "")</f>
        <v>70</v>
      </c>
      <c r="S1675" s="5" t="n">
        <f aca="false">IF(H1675&lt;=16,1.45,
IF(H1675&gt;=41,0.3,
CHOOSE(ROUNDDOWN((H1675-16)/2,0)+1,
1.45,1.38,1.3,1.23,1.17,1.15,1.12,1.05,0.95,0.8,0.6,0.4,0.3)))</f>
        <v>0.95</v>
      </c>
      <c r="T1675" s="5" t="n">
        <f aca="false">CHOOSE(N1675+1,1.2,1,0.85,0.7)</f>
        <v>1.2</v>
      </c>
      <c r="U1675" s="5" t="n">
        <f aca="false">IF(F1675="PO",0.6,
IF(F1675="CT",0.75,
IF(F1675="LI",0.8,
IF(F1675="LD",0.8,
IF(F1675="MCD",0.85,
IF(F1675="MC",0.95,
IF(F1675="MO",1.05,
IF(F1675="EI",1.1,
IF(F1675="ED",1.1,
IF(F1675="SD",1.15,
IF(F1675="DC",1.2,0)))))))))))</f>
        <v>0.6</v>
      </c>
    </row>
    <row r="1676" customFormat="false" ht="16.4" hidden="false" customHeight="false" outlineLevel="0" collapsed="false">
      <c r="A1676" s="1" t="n">
        <v>1675</v>
      </c>
      <c r="B1676" s="5" t="str">
        <f aca="false">[1]Base_Jugadores!B1676</f>
        <v>Niclas Thiede</v>
      </c>
      <c r="C1676" s="5" t="str">
        <f aca="false">IFERROR(
   _xlfn.XLOOKUP(VALUE(A1676),[1]Fichajes_Realizados!A$2:A$50000,[1]Fichajes_Realizados!D$2:D$50000,,0,-1),
   _xlfn.XLOOKUP(VALUE(A1676),[1]Base_Jugadores!A$2:A$50000,[1]Base_Jugadores!C$2:C$50000)
)</f>
        <v>VfL Bochum</v>
      </c>
      <c r="D1676" s="5" t="str">
        <f aca="false">[1]Base_Jugadores!D1676</f>
        <v>Alemania</v>
      </c>
      <c r="E1676" s="3"/>
      <c r="F1676" s="5" t="str">
        <f aca="false">[1]Base_Jugadores!E1676</f>
        <v>PO</v>
      </c>
      <c r="G1676" s="5" t="n">
        <f aca="false">[1]Base_Jugadores!F1676</f>
        <v>66</v>
      </c>
      <c r="H1676" s="5" t="n">
        <f aca="false">[1]Base_Jugadores!G1676</f>
        <v>26</v>
      </c>
      <c r="I1676" s="7" t="n">
        <f aca="false" t="array" ref="I1676:I1676">_xlfn.XLOOKUP(G1676,{55;56;57;58;59;60;61;62;63;64;65;66;67;68;69;70;71;72;73;74;75;76;77;78;79;80;81;82;83;84;85;86;87;88;89;90;91;92;93;94;95;96;97;98;99},{100000;130000;160000;190000;220000;250000;300000;350000;400000;450000;500000;600000;700000;800000;900000;1000000;1500000;2000000;3000000;4000000;5000000;6500000;8000000;10000000;12500000;15000000;20000000;25000000;30000000;35000000;40000000;55000000;70000000;80000000;90000000;110000000;130000000;160000000;190000000;220000000;250000000;280000000;310000000;340000000;400000000})</f>
        <v>600000</v>
      </c>
      <c r="J1676" s="7" t="n">
        <f aca="false">I1676*S1676*T1676*U1676</f>
        <v>496800</v>
      </c>
      <c r="K1676" s="3"/>
      <c r="L1676" s="3"/>
      <c r="M1676" s="3"/>
      <c r="N1676" s="9" t="n">
        <v>0</v>
      </c>
      <c r="O1676" s="4" t="n">
        <v>0</v>
      </c>
      <c r="P1676" s="5" t="n">
        <f aca="false">IF(COUNTIF([1]Base_Jugadores!J$2:J$500,B1676)&gt;0,1,0)</f>
        <v>0</v>
      </c>
      <c r="Q1676" s="10" t="b">
        <f aca="false">--(COUNTIFS(
   [1]Fichajes_Realizados!A$2:A$5000,A1676,
   [1]Fichajes_Realizados!G$2:G$5000,$X$3
)&gt;0)</f>
        <v>0</v>
      </c>
      <c r="R1676" s="5" t="n">
        <f aca="false">_xlfn.XLOOKUP(C1676, [1]Estado_Equipos!A$2:A$500, [1]Estado_Equipos!J$2:J$500, "")</f>
        <v>70</v>
      </c>
      <c r="S1676" s="5" t="n">
        <f aca="false">IF(H1676&lt;=16,1.45,
IF(H1676&gt;=41,0.3,
CHOOSE(ROUNDDOWN((H1676-16)/2,0)+1,
1.45,1.38,1.3,1.23,1.17,1.15,1.12,1.05,0.95,0.8,0.6,0.4,0.3)))</f>
        <v>1.15</v>
      </c>
      <c r="T1676" s="5" t="n">
        <f aca="false">CHOOSE(N1676+1,1.2,1,0.85,0.7)</f>
        <v>1.2</v>
      </c>
      <c r="U1676" s="5" t="n">
        <f aca="false">IF(F1676="PO",0.6,
IF(F1676="CT",0.75,
IF(F1676="LI",0.8,
IF(F1676="LD",0.8,
IF(F1676="MCD",0.85,
IF(F1676="MC",0.95,
IF(F1676="MO",1.05,
IF(F1676="EI",1.1,
IF(F1676="ED",1.1,
IF(F1676="SD",1.15,
IF(F1676="DC",1.2,0)))))))))))</f>
        <v>0.6</v>
      </c>
    </row>
    <row r="1677" customFormat="false" ht="16.4" hidden="false" customHeight="false" outlineLevel="0" collapsed="false">
      <c r="A1677" s="1" t="n">
        <v>1676</v>
      </c>
      <c r="B1677" s="5" t="str">
        <f aca="false">[1]Base_Jugadores!B1677</f>
        <v>Leandro Morgalla</v>
      </c>
      <c r="C1677" s="5" t="str">
        <f aca="false">IFERROR(
   _xlfn.XLOOKUP(VALUE(A1677),[1]Fichajes_Realizados!A$2:A$50000,[1]Fichajes_Realizados!D$2:D$50000,,0,-1),
   _xlfn.XLOOKUP(VALUE(A1677),[1]Base_Jugadores!A$2:A$50000,[1]Base_Jugadores!C$2:C$50000)
)</f>
        <v>VfL Bochum</v>
      </c>
      <c r="D1677" s="5" t="str">
        <f aca="false">[1]Base_Jugadores!D1677</f>
        <v>Alemania</v>
      </c>
      <c r="E1677" s="3"/>
      <c r="F1677" s="5" t="str">
        <f aca="false">[1]Base_Jugadores!E1677</f>
        <v>LD</v>
      </c>
      <c r="G1677" s="5" t="n">
        <f aca="false">[1]Base_Jugadores!F1677</f>
        <v>65</v>
      </c>
      <c r="H1677" s="5" t="n">
        <f aca="false">[1]Base_Jugadores!G1677</f>
        <v>21</v>
      </c>
      <c r="I1677" s="7" t="n">
        <f aca="false" t="array" ref="I1677:I1677">_xlfn.XLOOKUP(G1677,{55;56;57;58;59;60;61;62;63;64;65;66;67;68;69;70;71;72;73;74;75;76;77;78;79;80;81;82;83;84;85;86;87;88;89;90;91;92;93;94;95;96;97;98;99},{100000;130000;160000;190000;220000;250000;300000;350000;400000;450000;500000;600000;700000;800000;900000;1000000;1500000;2000000;3000000;4000000;5000000;6500000;8000000;10000000;12500000;15000000;20000000;25000000;30000000;35000000;40000000;55000000;70000000;80000000;90000000;110000000;130000000;160000000;190000000;220000000;250000000;280000000;310000000;340000000;400000000})</f>
        <v>500000</v>
      </c>
      <c r="J1677" s="7" t="n">
        <f aca="false">I1677*S1677*T1677*U1677</f>
        <v>624000</v>
      </c>
      <c r="K1677" s="3"/>
      <c r="L1677" s="3"/>
      <c r="M1677" s="3"/>
      <c r="N1677" s="9" t="n">
        <v>0</v>
      </c>
      <c r="O1677" s="4" t="n">
        <v>0</v>
      </c>
      <c r="P1677" s="5" t="n">
        <f aca="false">IF(COUNTIF([1]Base_Jugadores!J$2:J$500,B1677)&gt;0,1,0)</f>
        <v>0</v>
      </c>
      <c r="Q1677" s="10" t="b">
        <f aca="false">--(COUNTIFS(
   [1]Fichajes_Realizados!A$2:A$5000,A1677,
   [1]Fichajes_Realizados!G$2:G$5000,$X$3
)&gt;0)</f>
        <v>0</v>
      </c>
      <c r="R1677" s="5" t="n">
        <f aca="false">_xlfn.XLOOKUP(C1677, [1]Estado_Equipos!A$2:A$500, [1]Estado_Equipos!J$2:J$500, "")</f>
        <v>70</v>
      </c>
      <c r="S1677" s="5" t="n">
        <f aca="false">IF(H1677&lt;=16,1.45,
IF(H1677&gt;=41,0.3,
CHOOSE(ROUNDDOWN((H1677-16)/2,0)+1,
1.45,1.38,1.3,1.23,1.17,1.15,1.12,1.05,0.95,0.8,0.6,0.4,0.3)))</f>
        <v>1.3</v>
      </c>
      <c r="T1677" s="5" t="n">
        <f aca="false">CHOOSE(N1677+1,1.2,1,0.85,0.7)</f>
        <v>1.2</v>
      </c>
      <c r="U1677" s="5" t="n">
        <f aca="false">IF(F1677="PO",0.6,
IF(F1677="CT",0.75,
IF(F1677="LI",0.8,
IF(F1677="LD",0.8,
IF(F1677="MCD",0.85,
IF(F1677="MC",0.95,
IF(F1677="MO",1.05,
IF(F1677="EI",1.1,
IF(F1677="ED",1.1,
IF(F1677="SD",1.15,
IF(F1677="DC",1.2,0)))))))))))</f>
        <v>0.8</v>
      </c>
    </row>
    <row r="1678" customFormat="false" ht="16.4" hidden="false" customHeight="false" outlineLevel="0" collapsed="false">
      <c r="A1678" s="1" t="n">
        <v>1677</v>
      </c>
      <c r="B1678" s="5" t="str">
        <f aca="false">[1]Base_Jugadores!B1678</f>
        <v>Erhan Masovic</v>
      </c>
      <c r="C1678" s="5" t="str">
        <f aca="false">IFERROR(
   _xlfn.XLOOKUP(VALUE(A1678),[1]Fichajes_Realizados!A$2:A$50000,[1]Fichajes_Realizados!D$2:D$50000,,0,-1),
   _xlfn.XLOOKUP(VALUE(A1678),[1]Base_Jugadores!A$2:A$50000,[1]Base_Jugadores!C$2:C$50000)
)</f>
        <v>VfL Bochum</v>
      </c>
      <c r="D1678" s="5" t="str">
        <f aca="false">[1]Base_Jugadores!D1678</f>
        <v>Serbia</v>
      </c>
      <c r="E1678" s="3"/>
      <c r="F1678" s="5" t="str">
        <f aca="false">[1]Base_Jugadores!E1678</f>
        <v>CT</v>
      </c>
      <c r="G1678" s="5" t="n">
        <f aca="false">[1]Base_Jugadores!F1678</f>
        <v>74</v>
      </c>
      <c r="H1678" s="5" t="n">
        <f aca="false">[1]Base_Jugadores!G1678</f>
        <v>27</v>
      </c>
      <c r="I1678" s="7" t="n">
        <f aca="false" t="array" ref="I1678:I1678">_xlfn.XLOOKUP(G1678,{55;56;57;58;59;60;61;62;63;64;65;66;67;68;69;70;71;72;73;74;75;76;77;78;79;80;81;82;83;84;85;86;87;88;89;90;91;92;93;94;95;96;97;98;99},{100000;130000;160000;190000;220000;250000;300000;350000;400000;450000;500000;600000;700000;800000;900000;1000000;1500000;2000000;3000000;4000000;5000000;6500000;8000000;10000000;12500000;15000000;20000000;25000000;30000000;35000000;40000000;55000000;70000000;80000000;90000000;110000000;130000000;160000000;190000000;220000000;250000000;280000000;310000000;340000000;400000000})</f>
        <v>4000000</v>
      </c>
      <c r="J1678" s="7" t="n">
        <f aca="false">I1678*S1678*T1678*U1678</f>
        <v>4140000</v>
      </c>
      <c r="K1678" s="3"/>
      <c r="L1678" s="3"/>
      <c r="M1678" s="3"/>
      <c r="N1678" s="9" t="n">
        <v>0</v>
      </c>
      <c r="O1678" s="4" t="n">
        <v>0</v>
      </c>
      <c r="P1678" s="5" t="n">
        <f aca="false">IF(COUNTIF([1]Base_Jugadores!J$2:J$500,B1678)&gt;0,1,0)</f>
        <v>0</v>
      </c>
      <c r="Q1678" s="10" t="b">
        <f aca="false">--(COUNTIFS(
   [1]Fichajes_Realizados!A$2:A$5000,A1678,
   [1]Fichajes_Realizados!G$2:G$5000,$X$3
)&gt;0)</f>
        <v>0</v>
      </c>
      <c r="R1678" s="5" t="n">
        <f aca="false">_xlfn.XLOOKUP(C1678, [1]Estado_Equipos!A$2:A$500, [1]Estado_Equipos!J$2:J$500, "")</f>
        <v>70</v>
      </c>
      <c r="S1678" s="5" t="n">
        <f aca="false">IF(H1678&lt;=16,1.45,
IF(H1678&gt;=41,0.3,
CHOOSE(ROUNDDOWN((H1678-16)/2,0)+1,
1.45,1.38,1.3,1.23,1.17,1.15,1.12,1.05,0.95,0.8,0.6,0.4,0.3)))</f>
        <v>1.15</v>
      </c>
      <c r="T1678" s="5" t="n">
        <f aca="false">CHOOSE(N1678+1,1.2,1,0.85,0.7)</f>
        <v>1.2</v>
      </c>
      <c r="U1678" s="5" t="n">
        <f aca="false">IF(F1678="PO",0.6,
IF(F1678="CT",0.75,
IF(F1678="LI",0.8,
IF(F1678="LD",0.8,
IF(F1678="MCD",0.85,
IF(F1678="MC",0.95,
IF(F1678="MO",1.05,
IF(F1678="EI",1.1,
IF(F1678="ED",1.1,
IF(F1678="SD",1.15,
IF(F1678="DC",1.2,0)))))))))))</f>
        <v>0.75</v>
      </c>
    </row>
    <row r="1679" customFormat="false" ht="16.4" hidden="false" customHeight="false" outlineLevel="0" collapsed="false">
      <c r="A1679" s="1" t="n">
        <v>1678</v>
      </c>
      <c r="B1679" s="5" t="str">
        <f aca="false">[1]Base_Jugadores!B1679</f>
        <v>Noah Loosli</v>
      </c>
      <c r="C1679" s="5" t="str">
        <f aca="false">IFERROR(
   _xlfn.XLOOKUP(VALUE(A1679),[1]Fichajes_Realizados!A$2:A$50000,[1]Fichajes_Realizados!D$2:D$50000,,0,-1),
   _xlfn.XLOOKUP(VALUE(A1679),[1]Base_Jugadores!A$2:A$50000,[1]Base_Jugadores!C$2:C$50000)
)</f>
        <v>VfL Bochum</v>
      </c>
      <c r="D1679" s="5" t="str">
        <f aca="false">[1]Base_Jugadores!D1679</f>
        <v>Suiza</v>
      </c>
      <c r="E1679" s="3"/>
      <c r="F1679" s="5" t="str">
        <f aca="false">[1]Base_Jugadores!E1679</f>
        <v>CT</v>
      </c>
      <c r="G1679" s="5" t="n">
        <f aca="false">[1]Base_Jugadores!F1679</f>
        <v>68</v>
      </c>
      <c r="H1679" s="5" t="n">
        <f aca="false">[1]Base_Jugadores!G1679</f>
        <v>28</v>
      </c>
      <c r="I1679" s="7" t="n">
        <f aca="false" t="array" ref="I1679:I1679">_xlfn.XLOOKUP(G1679,{55;56;57;58;59;60;61;62;63;64;65;66;67;68;69;70;71;72;73;74;75;76;77;78;79;80;81;82;83;84;85;86;87;88;89;90;91;92;93;94;95;96;97;98;99},{100000;130000;160000;190000;220000;250000;300000;350000;400000;450000;500000;600000;700000;800000;900000;1000000;1500000;2000000;3000000;4000000;5000000;6500000;8000000;10000000;12500000;15000000;20000000;25000000;30000000;35000000;40000000;55000000;70000000;80000000;90000000;110000000;130000000;160000000;190000000;220000000;250000000;280000000;310000000;340000000;400000000})</f>
        <v>800000</v>
      </c>
      <c r="J1679" s="7" t="n">
        <f aca="false">I1679*S1679*T1679*U1679</f>
        <v>806400</v>
      </c>
      <c r="K1679" s="3"/>
      <c r="L1679" s="3"/>
      <c r="M1679" s="3"/>
      <c r="N1679" s="9" t="n">
        <v>0</v>
      </c>
      <c r="O1679" s="4" t="n">
        <v>0</v>
      </c>
      <c r="P1679" s="5" t="n">
        <f aca="false">IF(COUNTIF([1]Base_Jugadores!J$2:J$500,B1679)&gt;0,1,0)</f>
        <v>0</v>
      </c>
      <c r="Q1679" s="10" t="b">
        <f aca="false">--(COUNTIFS(
   [1]Fichajes_Realizados!A$2:A$5000,A1679,
   [1]Fichajes_Realizados!G$2:G$5000,$X$3
)&gt;0)</f>
        <v>0</v>
      </c>
      <c r="R1679" s="5" t="n">
        <f aca="false">_xlfn.XLOOKUP(C1679, [1]Estado_Equipos!A$2:A$500, [1]Estado_Equipos!J$2:J$500, "")</f>
        <v>70</v>
      </c>
      <c r="S1679" s="5" t="n">
        <f aca="false">IF(H1679&lt;=16,1.45,
IF(H1679&gt;=41,0.3,
CHOOSE(ROUNDDOWN((H1679-16)/2,0)+1,
1.45,1.38,1.3,1.23,1.17,1.15,1.12,1.05,0.95,0.8,0.6,0.4,0.3)))</f>
        <v>1.12</v>
      </c>
      <c r="T1679" s="5" t="n">
        <f aca="false">CHOOSE(N1679+1,1.2,1,0.85,0.7)</f>
        <v>1.2</v>
      </c>
      <c r="U1679" s="5" t="n">
        <f aca="false">IF(F1679="PO",0.6,
IF(F1679="CT",0.75,
IF(F1679="LI",0.8,
IF(F1679="LD",0.8,
IF(F1679="MCD",0.85,
IF(F1679="MC",0.95,
IF(F1679="MO",1.05,
IF(F1679="EI",1.1,
IF(F1679="ED",1.1,
IF(F1679="SD",1.15,
IF(F1679="DC",1.2,0)))))))))))</f>
        <v>0.75</v>
      </c>
    </row>
    <row r="1680" customFormat="false" ht="16.4" hidden="false" customHeight="false" outlineLevel="0" collapsed="false">
      <c r="A1680" s="1" t="n">
        <v>1679</v>
      </c>
      <c r="B1680" s="5" t="str">
        <f aca="false">[1]Base_Jugadores!B1680</f>
        <v>Kevin Vogt</v>
      </c>
      <c r="C1680" s="5" t="str">
        <f aca="false">IFERROR(
   _xlfn.XLOOKUP(VALUE(A1680),[1]Fichajes_Realizados!A$2:A$50000,[1]Fichajes_Realizados!D$2:D$50000,,0,-1),
   _xlfn.XLOOKUP(VALUE(A1680),[1]Base_Jugadores!A$2:A$50000,[1]Base_Jugadores!C$2:C$50000)
)</f>
        <v>VfL Bochum</v>
      </c>
      <c r="D1680" s="5" t="str">
        <f aca="false">[1]Base_Jugadores!D1680</f>
        <v>Alemania</v>
      </c>
      <c r="E1680" s="3"/>
      <c r="F1680" s="5" t="str">
        <f aca="false">[1]Base_Jugadores!E1680</f>
        <v>CT</v>
      </c>
      <c r="G1680" s="5" t="n">
        <f aca="false">[1]Base_Jugadores!F1680</f>
        <v>75</v>
      </c>
      <c r="H1680" s="5" t="n">
        <f aca="false">[1]Base_Jugadores!G1680</f>
        <v>34</v>
      </c>
      <c r="I1680" s="7" t="n">
        <f aca="false" t="array" ref="I1680:I1680">_xlfn.XLOOKUP(G1680,{55;56;57;58;59;60;61;62;63;64;65;66;67;68;69;70;71;72;73;74;75;76;77;78;79;80;81;82;83;84;85;86;87;88;89;90;91;92;93;94;95;96;97;98;99},{100000;130000;160000;190000;220000;250000;300000;350000;400000;450000;500000;600000;700000;800000;900000;1000000;1500000;2000000;3000000;4000000;5000000;6500000;8000000;10000000;12500000;15000000;20000000;25000000;30000000;35000000;40000000;55000000;70000000;80000000;90000000;110000000;130000000;160000000;190000000;220000000;250000000;280000000;310000000;340000000;400000000})</f>
        <v>5000000</v>
      </c>
      <c r="J1680" s="7" t="n">
        <f aca="false">I1680*S1680*T1680*U1680</f>
        <v>3600000</v>
      </c>
      <c r="K1680" s="3"/>
      <c r="L1680" s="3"/>
      <c r="M1680" s="3"/>
      <c r="N1680" s="9" t="n">
        <v>0</v>
      </c>
      <c r="O1680" s="4" t="n">
        <v>0</v>
      </c>
      <c r="P1680" s="5" t="n">
        <f aca="false">IF(COUNTIF([1]Base_Jugadores!J$2:J$500,B1680)&gt;0,1,0)</f>
        <v>0</v>
      </c>
      <c r="Q1680" s="10" t="b">
        <f aca="false">--(COUNTIFS(
   [1]Fichajes_Realizados!A$2:A$5000,A1680,
   [1]Fichajes_Realizados!G$2:G$5000,$X$3
)&gt;0)</f>
        <v>0</v>
      </c>
      <c r="R1680" s="5" t="n">
        <f aca="false">_xlfn.XLOOKUP(C1680, [1]Estado_Equipos!A$2:A$500, [1]Estado_Equipos!J$2:J$500, "")</f>
        <v>70</v>
      </c>
      <c r="S1680" s="5" t="n">
        <f aca="false">IF(H1680&lt;=16,1.45,
IF(H1680&gt;=41,0.3,
CHOOSE(ROUNDDOWN((H1680-16)/2,0)+1,
1.45,1.38,1.3,1.23,1.17,1.15,1.12,1.05,0.95,0.8,0.6,0.4,0.3)))</f>
        <v>0.8</v>
      </c>
      <c r="T1680" s="5" t="n">
        <f aca="false">CHOOSE(N1680+1,1.2,1,0.85,0.7)</f>
        <v>1.2</v>
      </c>
      <c r="U1680" s="5" t="n">
        <f aca="false">IF(F1680="PO",0.6,
IF(F1680="CT",0.75,
IF(F1680="LI",0.8,
IF(F1680="LD",0.8,
IF(F1680="MCD",0.85,
IF(F1680="MC",0.95,
IF(F1680="MO",1.05,
IF(F1680="EI",1.1,
IF(F1680="ED",1.1,
IF(F1680="SD",1.15,
IF(F1680="DC",1.2,0)))))))))))</f>
        <v>0.75</v>
      </c>
    </row>
    <row r="1681" customFormat="false" ht="16.4" hidden="false" customHeight="false" outlineLevel="0" collapsed="false">
      <c r="A1681" s="1" t="n">
        <v>1680</v>
      </c>
      <c r="B1681" s="5" t="str">
        <f aca="false">[1]Base_Jugadores!B1681</f>
        <v>Maximilian Wittek</v>
      </c>
      <c r="C1681" s="5" t="str">
        <f aca="false">IFERROR(
   _xlfn.XLOOKUP(VALUE(A1681),[1]Fichajes_Realizados!A$2:A$50000,[1]Fichajes_Realizados!D$2:D$50000,,0,-1),
   _xlfn.XLOOKUP(VALUE(A1681),[1]Base_Jugadores!A$2:A$50000,[1]Base_Jugadores!C$2:C$50000)
)</f>
        <v>VfL Bochum</v>
      </c>
      <c r="D1681" s="5" t="str">
        <f aca="false">[1]Base_Jugadores!D1681</f>
        <v>Alemania</v>
      </c>
      <c r="E1681" s="3"/>
      <c r="F1681" s="5" t="str">
        <f aca="false">[1]Base_Jugadores!E1681</f>
        <v>LI</v>
      </c>
      <c r="G1681" s="5" t="n">
        <f aca="false">[1]Base_Jugadores!F1681</f>
        <v>74</v>
      </c>
      <c r="H1681" s="5" t="n">
        <f aca="false">[1]Base_Jugadores!G1681</f>
        <v>30</v>
      </c>
      <c r="I1681" s="7" t="n">
        <f aca="false" t="array" ref="I1681:I1681">_xlfn.XLOOKUP(G1681,{55;56;57;58;59;60;61;62;63;64;65;66;67;68;69;70;71;72;73;74;75;76;77;78;79;80;81;82;83;84;85;86;87;88;89;90;91;92;93;94;95;96;97;98;99},{100000;130000;160000;190000;220000;250000;300000;350000;400000;450000;500000;600000;700000;800000;900000;1000000;1500000;2000000;3000000;4000000;5000000;6500000;8000000;10000000;12500000;15000000;20000000;25000000;30000000;35000000;40000000;55000000;70000000;80000000;90000000;110000000;130000000;160000000;190000000;220000000;250000000;280000000;310000000;340000000;400000000})</f>
        <v>4000000</v>
      </c>
      <c r="J1681" s="7" t="n">
        <f aca="false">I1681*S1681*T1681*U1681</f>
        <v>4032000</v>
      </c>
      <c r="K1681" s="3"/>
      <c r="L1681" s="3"/>
      <c r="M1681" s="3"/>
      <c r="N1681" s="9" t="n">
        <v>0</v>
      </c>
      <c r="O1681" s="4" t="n">
        <v>0</v>
      </c>
      <c r="P1681" s="5" t="n">
        <f aca="false">IF(COUNTIF([1]Base_Jugadores!J$2:J$500,B1681)&gt;0,1,0)</f>
        <v>0</v>
      </c>
      <c r="Q1681" s="10" t="b">
        <f aca="false">--(COUNTIFS(
   [1]Fichajes_Realizados!A$2:A$5000,A1681,
   [1]Fichajes_Realizados!G$2:G$5000,$X$3
)&gt;0)</f>
        <v>0</v>
      </c>
      <c r="R1681" s="5" t="n">
        <f aca="false">_xlfn.XLOOKUP(C1681, [1]Estado_Equipos!A$2:A$500, [1]Estado_Equipos!J$2:J$500, "")</f>
        <v>70</v>
      </c>
      <c r="S1681" s="5" t="n">
        <f aca="false">IF(H1681&lt;=16,1.45,
IF(H1681&gt;=41,0.3,
CHOOSE(ROUNDDOWN((H1681-16)/2,0)+1,
1.45,1.38,1.3,1.23,1.17,1.15,1.12,1.05,0.95,0.8,0.6,0.4,0.3)))</f>
        <v>1.05</v>
      </c>
      <c r="T1681" s="5" t="n">
        <f aca="false">CHOOSE(N1681+1,1.2,1,0.85,0.7)</f>
        <v>1.2</v>
      </c>
      <c r="U1681" s="5" t="n">
        <f aca="false">IF(F1681="PO",0.6,
IF(F1681="CT",0.75,
IF(F1681="LI",0.8,
IF(F1681="LD",0.8,
IF(F1681="MCD",0.85,
IF(F1681="MC",0.95,
IF(F1681="MO",1.05,
IF(F1681="EI",1.1,
IF(F1681="ED",1.1,
IF(F1681="SD",1.15,
IF(F1681="DC",1.2,0)))))))))))</f>
        <v>0.8</v>
      </c>
    </row>
    <row r="1682" customFormat="false" ht="16.4" hidden="false" customHeight="false" outlineLevel="0" collapsed="false">
      <c r="A1682" s="1" t="n">
        <v>1681</v>
      </c>
      <c r="B1682" s="5" t="str">
        <f aca="false">[1]Base_Jugadores!B1682</f>
        <v>Kjell Wätjen</v>
      </c>
      <c r="C1682" s="5" t="str">
        <f aca="false">IFERROR(
   _xlfn.XLOOKUP(VALUE(A1682),[1]Fichajes_Realizados!A$2:A$50000,[1]Fichajes_Realizados!D$2:D$50000,,0,-1),
   _xlfn.XLOOKUP(VALUE(A1682),[1]Base_Jugadores!A$2:A$50000,[1]Base_Jugadores!C$2:C$50000)
)</f>
        <v>VfL Bochum</v>
      </c>
      <c r="D1682" s="5" t="str">
        <f aca="false">[1]Base_Jugadores!D1682</f>
        <v>Alemania</v>
      </c>
      <c r="E1682" s="3"/>
      <c r="F1682" s="5" t="str">
        <f aca="false">[1]Base_Jugadores!E1682</f>
        <v>MC</v>
      </c>
      <c r="G1682" s="5" t="n">
        <f aca="false">[1]Base_Jugadores!F1682</f>
        <v>64</v>
      </c>
      <c r="H1682" s="5" t="n">
        <f aca="false">[1]Base_Jugadores!G1682</f>
        <v>19</v>
      </c>
      <c r="I1682" s="7" t="n">
        <f aca="false" t="array" ref="I1682:I1682">_xlfn.XLOOKUP(G1682,{55;56;57;58;59;60;61;62;63;64;65;66;67;68;69;70;71;72;73;74;75;76;77;78;79;80;81;82;83;84;85;86;87;88;89;90;91;92;93;94;95;96;97;98;99},{100000;130000;160000;190000;220000;250000;300000;350000;400000;450000;500000;600000;700000;800000;900000;1000000;1500000;2000000;3000000;4000000;5000000;6500000;8000000;10000000;12500000;15000000;20000000;25000000;30000000;35000000;40000000;55000000;70000000;80000000;90000000;110000000;130000000;160000000;190000000;220000000;250000000;280000000;310000000;340000000;400000000})</f>
        <v>450000</v>
      </c>
      <c r="J1682" s="7" t="n">
        <f aca="false">I1682*S1682*T1682*U1682</f>
        <v>707940</v>
      </c>
      <c r="K1682" s="3"/>
      <c r="L1682" s="3"/>
      <c r="M1682" s="3"/>
      <c r="N1682" s="9" t="n">
        <v>0</v>
      </c>
      <c r="O1682" s="4" t="n">
        <v>0</v>
      </c>
      <c r="P1682" s="5" t="n">
        <f aca="false">IF(COUNTIF([1]Base_Jugadores!J$2:J$500,B1682)&gt;0,1,0)</f>
        <v>0</v>
      </c>
      <c r="Q1682" s="10" t="b">
        <f aca="false">--(COUNTIFS(
   [1]Fichajes_Realizados!A$2:A$5000,A1682,
   [1]Fichajes_Realizados!G$2:G$5000,$X$3
)&gt;0)</f>
        <v>0</v>
      </c>
      <c r="R1682" s="5" t="n">
        <f aca="false">_xlfn.XLOOKUP(C1682, [1]Estado_Equipos!A$2:A$500, [1]Estado_Equipos!J$2:J$500, "")</f>
        <v>70</v>
      </c>
      <c r="S1682" s="5" t="n">
        <f aca="false">IF(H1682&lt;=16,1.45,
IF(H1682&gt;=41,0.3,
CHOOSE(ROUNDDOWN((H1682-16)/2,0)+1,
1.45,1.38,1.3,1.23,1.17,1.15,1.12,1.05,0.95,0.8,0.6,0.4,0.3)))</f>
        <v>1.38</v>
      </c>
      <c r="T1682" s="5" t="n">
        <f aca="false">CHOOSE(N1682+1,1.2,1,0.85,0.7)</f>
        <v>1.2</v>
      </c>
      <c r="U1682" s="5" t="n">
        <f aca="false">IF(F1682="PO",0.6,
IF(F1682="CT",0.75,
IF(F1682="LI",0.8,
IF(F1682="LD",0.8,
IF(F1682="MCD",0.85,
IF(F1682="MC",0.95,
IF(F1682="MO",1.05,
IF(F1682="EI",1.1,
IF(F1682="ED",1.1,
IF(F1682="SD",1.15,
IF(F1682="DC",1.2,0)))))))))))</f>
        <v>0.95</v>
      </c>
    </row>
    <row r="1683" customFormat="false" ht="16.4" hidden="false" customHeight="false" outlineLevel="0" collapsed="false">
      <c r="A1683" s="1" t="n">
        <v>1682</v>
      </c>
      <c r="B1683" s="5" t="str">
        <f aca="false">[1]Base_Jugadores!B1683</f>
        <v>Mats Pannewig</v>
      </c>
      <c r="C1683" s="5" t="str">
        <f aca="false">IFERROR(
   _xlfn.XLOOKUP(VALUE(A1683),[1]Fichajes_Realizados!A$2:A$50000,[1]Fichajes_Realizados!D$2:D$50000,,0,-1),
   _xlfn.XLOOKUP(VALUE(A1683),[1]Base_Jugadores!A$2:A$50000,[1]Base_Jugadores!C$2:C$50000)
)</f>
        <v>VfL Bochum</v>
      </c>
      <c r="D1683" s="5" t="str">
        <f aca="false">[1]Base_Jugadores!D1683</f>
        <v>Alemania</v>
      </c>
      <c r="E1683" s="3"/>
      <c r="F1683" s="5" t="str">
        <f aca="false">[1]Base_Jugadores!E1683</f>
        <v>MC</v>
      </c>
      <c r="G1683" s="5" t="n">
        <f aca="false">[1]Base_Jugadores!F1683</f>
        <v>61</v>
      </c>
      <c r="H1683" s="5" t="n">
        <f aca="false">[1]Base_Jugadores!G1683</f>
        <v>21</v>
      </c>
      <c r="I1683" s="7" t="n">
        <f aca="false" t="array" ref="I1683:I1683">_xlfn.XLOOKUP(G1683,{55;56;57;58;59;60;61;62;63;64;65;66;67;68;69;70;71;72;73;74;75;76;77;78;79;80;81;82;83;84;85;86;87;88;89;90;91;92;93;94;95;96;97;98;99},{100000;130000;160000;190000;220000;250000;300000;350000;400000;450000;500000;600000;700000;800000;900000;1000000;1500000;2000000;3000000;4000000;5000000;6500000;8000000;10000000;12500000;15000000;20000000;25000000;30000000;35000000;40000000;55000000;70000000;80000000;90000000;110000000;130000000;160000000;190000000;220000000;250000000;280000000;310000000;340000000;400000000})</f>
        <v>300000</v>
      </c>
      <c r="J1683" s="7" t="n">
        <f aca="false">I1683*S1683*T1683*U1683</f>
        <v>444600</v>
      </c>
      <c r="K1683" s="3"/>
      <c r="L1683" s="3"/>
      <c r="M1683" s="3"/>
      <c r="N1683" s="9" t="n">
        <v>0</v>
      </c>
      <c r="O1683" s="4" t="n">
        <v>0</v>
      </c>
      <c r="P1683" s="5" t="n">
        <f aca="false">IF(COUNTIF([1]Base_Jugadores!J$2:J$500,B1683)&gt;0,1,0)</f>
        <v>0</v>
      </c>
      <c r="Q1683" s="10" t="b">
        <f aca="false">--(COUNTIFS(
   [1]Fichajes_Realizados!A$2:A$5000,A1683,
   [1]Fichajes_Realizados!G$2:G$5000,$X$3
)&gt;0)</f>
        <v>0</v>
      </c>
      <c r="R1683" s="5" t="n">
        <f aca="false">_xlfn.XLOOKUP(C1683, [1]Estado_Equipos!A$2:A$500, [1]Estado_Equipos!J$2:J$500, "")</f>
        <v>70</v>
      </c>
      <c r="S1683" s="5" t="n">
        <f aca="false">IF(H1683&lt;=16,1.45,
IF(H1683&gt;=41,0.3,
CHOOSE(ROUNDDOWN((H1683-16)/2,0)+1,
1.45,1.38,1.3,1.23,1.17,1.15,1.12,1.05,0.95,0.8,0.6,0.4,0.3)))</f>
        <v>1.3</v>
      </c>
      <c r="T1683" s="5" t="n">
        <f aca="false">CHOOSE(N1683+1,1.2,1,0.85,0.7)</f>
        <v>1.2</v>
      </c>
      <c r="U1683" s="5" t="n">
        <f aca="false">IF(F1683="PO",0.6,
IF(F1683="CT",0.75,
IF(F1683="LI",0.8,
IF(F1683="LD",0.8,
IF(F1683="MCD",0.85,
IF(F1683="MC",0.95,
IF(F1683="MO",1.05,
IF(F1683="EI",1.1,
IF(F1683="ED",1.1,
IF(F1683="SD",1.15,
IF(F1683="DC",1.2,0)))))))))))</f>
        <v>0.95</v>
      </c>
    </row>
    <row r="1684" customFormat="false" ht="16.4" hidden="false" customHeight="false" outlineLevel="0" collapsed="false">
      <c r="A1684" s="1" t="n">
        <v>1683</v>
      </c>
      <c r="B1684" s="5" t="str">
        <f aca="false">[1]Base_Jugadores!B1684</f>
        <v>Matus Bero</v>
      </c>
      <c r="C1684" s="5" t="str">
        <f aca="false">IFERROR(
   _xlfn.XLOOKUP(VALUE(A1684),[1]Fichajes_Realizados!A$2:A$50000,[1]Fichajes_Realizados!D$2:D$50000,,0,-1),
   _xlfn.XLOOKUP(VALUE(A1684),[1]Base_Jugadores!A$2:A$50000,[1]Base_Jugadores!C$2:C$50000)
)</f>
        <v>VfL Bochum</v>
      </c>
      <c r="D1684" s="5" t="str">
        <f aca="false">[1]Base_Jugadores!D1684</f>
        <v>Eslovaquia</v>
      </c>
      <c r="E1684" s="3"/>
      <c r="F1684" s="5" t="str">
        <f aca="false">[1]Base_Jugadores!E1684</f>
        <v>MC</v>
      </c>
      <c r="G1684" s="5" t="n">
        <f aca="false">[1]Base_Jugadores!F1684</f>
        <v>73</v>
      </c>
      <c r="H1684" s="5" t="n">
        <f aca="false">[1]Base_Jugadores!G1684</f>
        <v>30</v>
      </c>
      <c r="I1684" s="7" t="n">
        <f aca="false" t="array" ref="I1684:I1684">_xlfn.XLOOKUP(G1684,{55;56;57;58;59;60;61;62;63;64;65;66;67;68;69;70;71;72;73;74;75;76;77;78;79;80;81;82;83;84;85;86;87;88;89;90;91;92;93;94;95;96;97;98;99},{100000;130000;160000;190000;220000;250000;300000;350000;400000;450000;500000;600000;700000;800000;900000;1000000;1500000;2000000;3000000;4000000;5000000;6500000;8000000;10000000;12500000;15000000;20000000;25000000;30000000;35000000;40000000;55000000;70000000;80000000;90000000;110000000;130000000;160000000;190000000;220000000;250000000;280000000;310000000;340000000;400000000})</f>
        <v>3000000</v>
      </c>
      <c r="J1684" s="7" t="n">
        <f aca="false">I1684*S1684*T1684*U1684</f>
        <v>3591000</v>
      </c>
      <c r="K1684" s="3"/>
      <c r="L1684" s="3"/>
      <c r="M1684" s="3"/>
      <c r="N1684" s="9" t="n">
        <v>0</v>
      </c>
      <c r="O1684" s="4" t="n">
        <v>0</v>
      </c>
      <c r="P1684" s="5" t="n">
        <f aca="false">IF(COUNTIF([1]Base_Jugadores!J$2:J$500,B1684)&gt;0,1,0)</f>
        <v>0</v>
      </c>
      <c r="Q1684" s="10" t="b">
        <f aca="false">--(COUNTIFS(
   [1]Fichajes_Realizados!A$2:A$5000,A1684,
   [1]Fichajes_Realizados!G$2:G$5000,$X$3
)&gt;0)</f>
        <v>0</v>
      </c>
      <c r="R1684" s="5" t="n">
        <f aca="false">_xlfn.XLOOKUP(C1684, [1]Estado_Equipos!A$2:A$500, [1]Estado_Equipos!J$2:J$500, "")</f>
        <v>70</v>
      </c>
      <c r="S1684" s="5" t="n">
        <f aca="false">IF(H1684&lt;=16,1.45,
IF(H1684&gt;=41,0.3,
CHOOSE(ROUNDDOWN((H1684-16)/2,0)+1,
1.45,1.38,1.3,1.23,1.17,1.15,1.12,1.05,0.95,0.8,0.6,0.4,0.3)))</f>
        <v>1.05</v>
      </c>
      <c r="T1684" s="5" t="n">
        <f aca="false">CHOOSE(N1684+1,1.2,1,0.85,0.7)</f>
        <v>1.2</v>
      </c>
      <c r="U1684" s="5" t="n">
        <f aca="false">IF(F1684="PO",0.6,
IF(F1684="CT",0.75,
IF(F1684="LI",0.8,
IF(F1684="LD",0.8,
IF(F1684="MCD",0.85,
IF(F1684="MC",0.95,
IF(F1684="MO",1.05,
IF(F1684="EI",1.1,
IF(F1684="ED",1.1,
IF(F1684="SD",1.15,
IF(F1684="DC",1.2,0)))))))))))</f>
        <v>0.95</v>
      </c>
    </row>
    <row r="1685" customFormat="false" ht="16.4" hidden="false" customHeight="false" outlineLevel="0" collapsed="false">
      <c r="A1685" s="1" t="n">
        <v>1684</v>
      </c>
      <c r="B1685" s="5" t="str">
        <f aca="false">[1]Base_Jugadores!B1685</f>
        <v>Koji Miyoshi</v>
      </c>
      <c r="C1685" s="5" t="str">
        <f aca="false">IFERROR(
   _xlfn.XLOOKUP(VALUE(A1685),[1]Fichajes_Realizados!A$2:A$50000,[1]Fichajes_Realizados!D$2:D$50000,,0,-1),
   _xlfn.XLOOKUP(VALUE(A1685),[1]Base_Jugadores!A$2:A$50000,[1]Base_Jugadores!C$2:C$50000)
)</f>
        <v>VfL Bochum</v>
      </c>
      <c r="D1685" s="5" t="str">
        <f aca="false">[1]Base_Jugadores!D1685</f>
        <v>Japón</v>
      </c>
      <c r="E1685" s="3"/>
      <c r="F1685" s="5" t="str">
        <f aca="false">[1]Base_Jugadores!E1685</f>
        <v>ED</v>
      </c>
      <c r="G1685" s="5" t="n">
        <f aca="false">[1]Base_Jugadores!F1685</f>
        <v>71</v>
      </c>
      <c r="H1685" s="5" t="n">
        <f aca="false">[1]Base_Jugadores!G1685</f>
        <v>28</v>
      </c>
      <c r="I1685" s="7" t="n">
        <f aca="false" t="array" ref="I1685:I1685">_xlfn.XLOOKUP(G1685,{55;56;57;58;59;60;61;62;63;64;65;66;67;68;69;70;71;72;73;74;75;76;77;78;79;80;81;82;83;84;85;86;87;88;89;90;91;92;93;94;95;96;97;98;99},{100000;130000;160000;190000;220000;250000;300000;350000;400000;450000;500000;600000;700000;800000;900000;1000000;1500000;2000000;3000000;4000000;5000000;6500000;8000000;10000000;12500000;15000000;20000000;25000000;30000000;35000000;40000000;55000000;70000000;80000000;90000000;110000000;130000000;160000000;190000000;220000000;250000000;280000000;310000000;340000000;400000000})</f>
        <v>1500000</v>
      </c>
      <c r="J1685" s="7" t="n">
        <f aca="false">I1685*S1685*T1685*U1685</f>
        <v>2217600</v>
      </c>
      <c r="K1685" s="3"/>
      <c r="L1685" s="3"/>
      <c r="M1685" s="3"/>
      <c r="N1685" s="9" t="n">
        <v>0</v>
      </c>
      <c r="O1685" s="4" t="n">
        <v>0</v>
      </c>
      <c r="P1685" s="5" t="n">
        <f aca="false">IF(COUNTIF([1]Base_Jugadores!J$2:J$500,B1685)&gt;0,1,0)</f>
        <v>0</v>
      </c>
      <c r="Q1685" s="10" t="b">
        <f aca="false">--(COUNTIFS(
   [1]Fichajes_Realizados!A$2:A$5000,A1685,
   [1]Fichajes_Realizados!G$2:G$5000,$X$3
)&gt;0)</f>
        <v>0</v>
      </c>
      <c r="R1685" s="5" t="n">
        <f aca="false">_xlfn.XLOOKUP(C1685, [1]Estado_Equipos!A$2:A$500, [1]Estado_Equipos!J$2:J$500, "")</f>
        <v>70</v>
      </c>
      <c r="S1685" s="5" t="n">
        <f aca="false">IF(H1685&lt;=16,1.45,
IF(H1685&gt;=41,0.3,
CHOOSE(ROUNDDOWN((H1685-16)/2,0)+1,
1.45,1.38,1.3,1.23,1.17,1.15,1.12,1.05,0.95,0.8,0.6,0.4,0.3)))</f>
        <v>1.12</v>
      </c>
      <c r="T1685" s="5" t="n">
        <f aca="false">CHOOSE(N1685+1,1.2,1,0.85,0.7)</f>
        <v>1.2</v>
      </c>
      <c r="U1685" s="5" t="n">
        <f aca="false">IF(F1685="PO",0.6,
IF(F1685="CT",0.75,
IF(F1685="LI",0.8,
IF(F1685="LD",0.8,
IF(F1685="MCD",0.85,
IF(F1685="MC",0.95,
IF(F1685="MO",1.05,
IF(F1685="EI",1.1,
IF(F1685="ED",1.1,
IF(F1685="SD",1.15,
IF(F1685="DC",1.2,0)))))))))))</f>
        <v>1.1</v>
      </c>
    </row>
    <row r="1686" customFormat="false" ht="16.4" hidden="false" customHeight="false" outlineLevel="0" collapsed="false">
      <c r="A1686" s="1" t="n">
        <v>1685</v>
      </c>
      <c r="B1686" s="5" t="str">
        <f aca="false">[1]Base_Jugadores!B1686</f>
        <v>Francis Onyeka</v>
      </c>
      <c r="C1686" s="5" t="str">
        <f aca="false">IFERROR(
   _xlfn.XLOOKUP(VALUE(A1686),[1]Fichajes_Realizados!A$2:A$50000,[1]Fichajes_Realizados!D$2:D$50000,,0,-1),
   _xlfn.XLOOKUP(VALUE(A1686),[1]Base_Jugadores!A$2:A$50000,[1]Base_Jugadores!C$2:C$50000)
)</f>
        <v>VfL Bochum</v>
      </c>
      <c r="D1686" s="5" t="str">
        <f aca="false">[1]Base_Jugadores!D1686</f>
        <v>Alemania</v>
      </c>
      <c r="E1686" s="3"/>
      <c r="F1686" s="5" t="str">
        <f aca="false">[1]Base_Jugadores!E1686</f>
        <v>MO</v>
      </c>
      <c r="G1686" s="5" t="n">
        <f aca="false">[1]Base_Jugadores!F1686</f>
        <v>60</v>
      </c>
      <c r="H1686" s="5" t="n">
        <f aca="false">[1]Base_Jugadores!G1686</f>
        <v>18</v>
      </c>
      <c r="I1686" s="7" t="n">
        <f aca="false" t="array" ref="I1686:I1686">_xlfn.XLOOKUP(G1686,{55;56;57;58;59;60;61;62;63;64;65;66;67;68;69;70;71;72;73;74;75;76;77;78;79;80;81;82;83;84;85;86;87;88;89;90;91;92;93;94;95;96;97;98;99},{100000;130000;160000;190000;220000;250000;300000;350000;400000;450000;500000;600000;700000;800000;900000;1000000;1500000;2000000;3000000;4000000;5000000;6500000;8000000;10000000;12500000;15000000;20000000;25000000;30000000;35000000;40000000;55000000;70000000;80000000;90000000;110000000;130000000;160000000;190000000;220000000;250000000;280000000;310000000;340000000;400000000})</f>
        <v>250000</v>
      </c>
      <c r="J1686" s="7" t="n">
        <f aca="false">I1686*S1686*T1686*U1686</f>
        <v>434700</v>
      </c>
      <c r="K1686" s="3"/>
      <c r="L1686" s="3"/>
      <c r="M1686" s="3"/>
      <c r="N1686" s="9" t="n">
        <v>0</v>
      </c>
      <c r="O1686" s="4" t="n">
        <v>0</v>
      </c>
      <c r="P1686" s="5" t="n">
        <f aca="false">IF(COUNTIF([1]Base_Jugadores!J$2:J$500,B1686)&gt;0,1,0)</f>
        <v>0</v>
      </c>
      <c r="Q1686" s="10" t="b">
        <f aca="false">--(COUNTIFS(
   [1]Fichajes_Realizados!A$2:A$5000,A1686,
   [1]Fichajes_Realizados!G$2:G$5000,$X$3
)&gt;0)</f>
        <v>0</v>
      </c>
      <c r="R1686" s="5" t="n">
        <f aca="false">_xlfn.XLOOKUP(C1686, [1]Estado_Equipos!A$2:A$500, [1]Estado_Equipos!J$2:J$500, "")</f>
        <v>70</v>
      </c>
      <c r="S1686" s="5" t="n">
        <f aca="false">IF(H1686&lt;=16,1.45,
IF(H1686&gt;=41,0.3,
CHOOSE(ROUNDDOWN((H1686-16)/2,0)+1,
1.45,1.38,1.3,1.23,1.17,1.15,1.12,1.05,0.95,0.8,0.6,0.4,0.3)))</f>
        <v>1.38</v>
      </c>
      <c r="T1686" s="5" t="n">
        <f aca="false">CHOOSE(N1686+1,1.2,1,0.85,0.7)</f>
        <v>1.2</v>
      </c>
      <c r="U1686" s="5" t="n">
        <f aca="false">IF(F1686="PO",0.6,
IF(F1686="CT",0.75,
IF(F1686="LI",0.8,
IF(F1686="LD",0.8,
IF(F1686="MCD",0.85,
IF(F1686="MC",0.95,
IF(F1686="MO",1.05,
IF(F1686="EI",1.1,
IF(F1686="ED",1.1,
IF(F1686="SD",1.15,
IF(F1686="DC",1.2,0)))))))))))</f>
        <v>1.05</v>
      </c>
    </row>
    <row r="1687" customFormat="false" ht="16.4" hidden="false" customHeight="false" outlineLevel="0" collapsed="false">
      <c r="A1687" s="1" t="n">
        <v>1686</v>
      </c>
      <c r="B1687" s="5" t="str">
        <f aca="false">[1]Base_Jugadores!B1687</f>
        <v>Moritz-Broni Kwarteng</v>
      </c>
      <c r="C1687" s="5" t="str">
        <f aca="false">IFERROR(
   _xlfn.XLOOKUP(VALUE(A1687),[1]Fichajes_Realizados!A$2:A$50000,[1]Fichajes_Realizados!D$2:D$50000,,0,-1),
   _xlfn.XLOOKUP(VALUE(A1687),[1]Base_Jugadores!A$2:A$50000,[1]Base_Jugadores!C$2:C$50000)
)</f>
        <v>VfL Bochum</v>
      </c>
      <c r="D1687" s="5" t="str">
        <f aca="false">[1]Base_Jugadores!D1687</f>
        <v>Alemania</v>
      </c>
      <c r="E1687" s="3"/>
      <c r="F1687" s="5" t="str">
        <f aca="false">[1]Base_Jugadores!E1687</f>
        <v>MO</v>
      </c>
      <c r="G1687" s="5" t="n">
        <f aca="false">[1]Base_Jugadores!F1687</f>
        <v>69</v>
      </c>
      <c r="H1687" s="5" t="n">
        <f aca="false">[1]Base_Jugadores!G1687</f>
        <v>27</v>
      </c>
      <c r="I1687" s="7" t="n">
        <f aca="false" t="array" ref="I1687:I1687">_xlfn.XLOOKUP(G1687,{55;56;57;58;59;60;61;62;63;64;65;66;67;68;69;70;71;72;73;74;75;76;77;78;79;80;81;82;83;84;85;86;87;88;89;90;91;92;93;94;95;96;97;98;99},{100000;130000;160000;190000;220000;250000;300000;350000;400000;450000;500000;600000;700000;800000;900000;1000000;1500000;2000000;3000000;4000000;5000000;6500000;8000000;10000000;12500000;15000000;20000000;25000000;30000000;35000000;40000000;55000000;70000000;80000000;90000000;110000000;130000000;160000000;190000000;220000000;250000000;280000000;310000000;340000000;400000000})</f>
        <v>900000</v>
      </c>
      <c r="J1687" s="7" t="n">
        <f aca="false">I1687*S1687*T1687*U1687</f>
        <v>1304100</v>
      </c>
      <c r="K1687" s="3"/>
      <c r="L1687" s="3"/>
      <c r="M1687" s="3"/>
      <c r="N1687" s="9" t="n">
        <v>0</v>
      </c>
      <c r="O1687" s="4" t="n">
        <v>0</v>
      </c>
      <c r="P1687" s="5" t="n">
        <f aca="false">IF(COUNTIF([1]Base_Jugadores!J$2:J$500,B1687)&gt;0,1,0)</f>
        <v>0</v>
      </c>
      <c r="Q1687" s="10" t="b">
        <f aca="false">--(COUNTIFS(
   [1]Fichajes_Realizados!A$2:A$5000,A1687,
   [1]Fichajes_Realizados!G$2:G$5000,$X$3
)&gt;0)</f>
        <v>0</v>
      </c>
      <c r="R1687" s="5" t="n">
        <f aca="false">_xlfn.XLOOKUP(C1687, [1]Estado_Equipos!A$2:A$500, [1]Estado_Equipos!J$2:J$500, "")</f>
        <v>70</v>
      </c>
      <c r="S1687" s="5" t="n">
        <f aca="false">IF(H1687&lt;=16,1.45,
IF(H1687&gt;=41,0.3,
CHOOSE(ROUNDDOWN((H1687-16)/2,0)+1,
1.45,1.38,1.3,1.23,1.17,1.15,1.12,1.05,0.95,0.8,0.6,0.4,0.3)))</f>
        <v>1.15</v>
      </c>
      <c r="T1687" s="5" t="n">
        <f aca="false">CHOOSE(N1687+1,1.2,1,0.85,0.7)</f>
        <v>1.2</v>
      </c>
      <c r="U1687" s="5" t="n">
        <f aca="false">IF(F1687="PO",0.6,
IF(F1687="CT",0.75,
IF(F1687="LI",0.8,
IF(F1687="LD",0.8,
IF(F1687="MCD",0.85,
IF(F1687="MC",0.95,
IF(F1687="MO",1.05,
IF(F1687="EI",1.1,
IF(F1687="ED",1.1,
IF(F1687="SD",1.15,
IF(F1687="DC",1.2,0)))))))))))</f>
        <v>1.05</v>
      </c>
    </row>
    <row r="1688" customFormat="false" ht="16.4" hidden="false" customHeight="false" outlineLevel="0" collapsed="false">
      <c r="A1688" s="1" t="n">
        <v>1687</v>
      </c>
      <c r="B1688" s="5" t="str">
        <f aca="false">[1]Base_Jugadores!B1688</f>
        <v>Gerrit Holtmann</v>
      </c>
      <c r="C1688" s="5" t="str">
        <f aca="false">IFERROR(
   _xlfn.XLOOKUP(VALUE(A1688),[1]Fichajes_Realizados!A$2:A$50000,[1]Fichajes_Realizados!D$2:D$50000,,0,-1),
   _xlfn.XLOOKUP(VALUE(A1688),[1]Base_Jugadores!A$2:A$50000,[1]Base_Jugadores!C$2:C$50000)
)</f>
        <v>VfL Bochum</v>
      </c>
      <c r="D1688" s="5" t="str">
        <f aca="false">[1]Base_Jugadores!D1688</f>
        <v>Filipinas</v>
      </c>
      <c r="E1688" s="3"/>
      <c r="F1688" s="5" t="str">
        <f aca="false">[1]Base_Jugadores!E1688</f>
        <v>EI</v>
      </c>
      <c r="G1688" s="5" t="n">
        <f aca="false">[1]Base_Jugadores!F1688</f>
        <v>71</v>
      </c>
      <c r="H1688" s="5" t="n">
        <f aca="false">[1]Base_Jugadores!G1688</f>
        <v>30</v>
      </c>
      <c r="I1688" s="7" t="n">
        <f aca="false" t="array" ref="I1688:I1688">_xlfn.XLOOKUP(G1688,{55;56;57;58;59;60;61;62;63;64;65;66;67;68;69;70;71;72;73;74;75;76;77;78;79;80;81;82;83;84;85;86;87;88;89;90;91;92;93;94;95;96;97;98;99},{100000;130000;160000;190000;220000;250000;300000;350000;400000;450000;500000;600000;700000;800000;900000;1000000;1500000;2000000;3000000;4000000;5000000;6500000;8000000;10000000;12500000;15000000;20000000;25000000;30000000;35000000;40000000;55000000;70000000;80000000;90000000;110000000;130000000;160000000;190000000;220000000;250000000;280000000;310000000;340000000;400000000})</f>
        <v>1500000</v>
      </c>
      <c r="J1688" s="7" t="n">
        <f aca="false">I1688*S1688*T1688*U1688</f>
        <v>2079000</v>
      </c>
      <c r="K1688" s="3"/>
      <c r="L1688" s="3"/>
      <c r="M1688" s="3"/>
      <c r="N1688" s="9" t="n">
        <v>0</v>
      </c>
      <c r="O1688" s="4" t="n">
        <v>0</v>
      </c>
      <c r="P1688" s="5" t="n">
        <f aca="false">IF(COUNTIF([1]Base_Jugadores!J$2:J$500,B1688)&gt;0,1,0)</f>
        <v>0</v>
      </c>
      <c r="Q1688" s="10" t="b">
        <f aca="false">--(COUNTIFS(
   [1]Fichajes_Realizados!A$2:A$5000,A1688,
   [1]Fichajes_Realizados!G$2:G$5000,$X$3
)&gt;0)</f>
        <v>0</v>
      </c>
      <c r="R1688" s="5" t="n">
        <f aca="false">_xlfn.XLOOKUP(C1688, [1]Estado_Equipos!A$2:A$500, [1]Estado_Equipos!J$2:J$500, "")</f>
        <v>70</v>
      </c>
      <c r="S1688" s="5" t="n">
        <f aca="false">IF(H1688&lt;=16,1.45,
IF(H1688&gt;=41,0.3,
CHOOSE(ROUNDDOWN((H1688-16)/2,0)+1,
1.45,1.38,1.3,1.23,1.17,1.15,1.12,1.05,0.95,0.8,0.6,0.4,0.3)))</f>
        <v>1.05</v>
      </c>
      <c r="T1688" s="5" t="n">
        <f aca="false">CHOOSE(N1688+1,1.2,1,0.85,0.7)</f>
        <v>1.2</v>
      </c>
      <c r="U1688" s="5" t="n">
        <f aca="false">IF(F1688="PO",0.6,
IF(F1688="CT",0.75,
IF(F1688="LI",0.8,
IF(F1688="LD",0.8,
IF(F1688="MCD",0.85,
IF(F1688="MC",0.95,
IF(F1688="MO",1.05,
IF(F1688="EI",1.1,
IF(F1688="ED",1.1,
IF(F1688="SD",1.15,
IF(F1688="DC",1.2,0)))))))))))</f>
        <v>1.1</v>
      </c>
    </row>
    <row r="1689" customFormat="false" ht="16.4" hidden="false" customHeight="false" outlineLevel="0" collapsed="false">
      <c r="A1689" s="1" t="n">
        <v>1688</v>
      </c>
      <c r="B1689" s="5" t="str">
        <f aca="false">[1]Base_Jugadores!B1689</f>
        <v>Ibrahim Sissoko</v>
      </c>
      <c r="C1689" s="5" t="str">
        <f aca="false">IFERROR(
   _xlfn.XLOOKUP(VALUE(A1689),[1]Fichajes_Realizados!A$2:A$50000,[1]Fichajes_Realizados!D$2:D$50000,,0,-1),
   _xlfn.XLOOKUP(VALUE(A1689),[1]Base_Jugadores!A$2:A$50000,[1]Base_Jugadores!C$2:C$50000)
)</f>
        <v>VfL Bochum</v>
      </c>
      <c r="D1689" s="5" t="str">
        <f aca="false">[1]Base_Jugadores!D1689</f>
        <v>Malí</v>
      </c>
      <c r="E1689" s="3"/>
      <c r="F1689" s="5" t="str">
        <f aca="false">[1]Base_Jugadores!E1689</f>
        <v>DC</v>
      </c>
      <c r="G1689" s="5" t="n">
        <f aca="false">[1]Base_Jugadores!F1689</f>
        <v>72</v>
      </c>
      <c r="H1689" s="5" t="n">
        <f aca="false">[1]Base_Jugadores!G1689</f>
        <v>30</v>
      </c>
      <c r="I1689" s="7" t="n">
        <f aca="false" t="array" ref="I1689:I1689">_xlfn.XLOOKUP(G1689,{55;56;57;58;59;60;61;62;63;64;65;66;67;68;69;70;71;72;73;74;75;76;77;78;79;80;81;82;83;84;85;86;87;88;89;90;91;92;93;94;95;96;97;98;99},{100000;130000;160000;190000;220000;250000;300000;350000;400000;450000;500000;600000;700000;800000;900000;1000000;1500000;2000000;3000000;4000000;5000000;6500000;8000000;10000000;12500000;15000000;20000000;25000000;30000000;35000000;40000000;55000000;70000000;80000000;90000000;110000000;130000000;160000000;190000000;220000000;250000000;280000000;310000000;340000000;400000000})</f>
        <v>2000000</v>
      </c>
      <c r="J1689" s="7" t="n">
        <f aca="false">I1689*S1689*T1689*U1689</f>
        <v>3024000</v>
      </c>
      <c r="K1689" s="3"/>
      <c r="L1689" s="3"/>
      <c r="M1689" s="3"/>
      <c r="N1689" s="9" t="n">
        <v>0</v>
      </c>
      <c r="O1689" s="4" t="n">
        <v>0</v>
      </c>
      <c r="P1689" s="5" t="n">
        <f aca="false">IF(COUNTIF([1]Base_Jugadores!J$2:J$500,B1689)&gt;0,1,0)</f>
        <v>0</v>
      </c>
      <c r="Q1689" s="10" t="b">
        <f aca="false">--(COUNTIFS(
   [1]Fichajes_Realizados!A$2:A$5000,A1689,
   [1]Fichajes_Realizados!G$2:G$5000,$X$3
)&gt;0)</f>
        <v>0</v>
      </c>
      <c r="R1689" s="5" t="n">
        <f aca="false">_xlfn.XLOOKUP(C1689, [1]Estado_Equipos!A$2:A$500, [1]Estado_Equipos!J$2:J$500, "")</f>
        <v>70</v>
      </c>
      <c r="S1689" s="5" t="n">
        <f aca="false">IF(H1689&lt;=16,1.45,
IF(H1689&gt;=41,0.3,
CHOOSE(ROUNDDOWN((H1689-16)/2,0)+1,
1.45,1.38,1.3,1.23,1.17,1.15,1.12,1.05,0.95,0.8,0.6,0.4,0.3)))</f>
        <v>1.05</v>
      </c>
      <c r="T1689" s="5" t="n">
        <f aca="false">CHOOSE(N1689+1,1.2,1,0.85,0.7)</f>
        <v>1.2</v>
      </c>
      <c r="U1689" s="5" t="n">
        <f aca="false">IF(F1689="PO",0.6,
IF(F1689="CT",0.75,
IF(F1689="LI",0.8,
IF(F1689="LD",0.8,
IF(F1689="MCD",0.85,
IF(F1689="MC",0.95,
IF(F1689="MO",1.05,
IF(F1689="EI",1.1,
IF(F1689="ED",1.1,
IF(F1689="SD",1.15,
IF(F1689="DC",1.2,0)))))))))))</f>
        <v>1.2</v>
      </c>
    </row>
    <row r="1690" customFormat="false" ht="16.4" hidden="false" customHeight="false" outlineLevel="0" collapsed="false">
      <c r="A1690" s="1" t="n">
        <v>1689</v>
      </c>
      <c r="B1690" s="5" t="str">
        <f aca="false">[1]Base_Jugadores!B1690</f>
        <v>Philipp Hofmann</v>
      </c>
      <c r="C1690" s="5" t="str">
        <f aca="false">IFERROR(
   _xlfn.XLOOKUP(VALUE(A1690),[1]Fichajes_Realizados!A$2:A$50000,[1]Fichajes_Realizados!D$2:D$50000,,0,-1),
   _xlfn.XLOOKUP(VALUE(A1690),[1]Base_Jugadores!A$2:A$50000,[1]Base_Jugadores!C$2:C$50000)
)</f>
        <v>VfL Bochum</v>
      </c>
      <c r="D1690" s="5" t="str">
        <f aca="false">[1]Base_Jugadores!D1690</f>
        <v>Alemania</v>
      </c>
      <c r="E1690" s="3"/>
      <c r="F1690" s="5" t="str">
        <f aca="false">[1]Base_Jugadores!E1690</f>
        <v>DC</v>
      </c>
      <c r="G1690" s="5" t="n">
        <f aca="false">[1]Base_Jugadores!F1690</f>
        <v>74</v>
      </c>
      <c r="H1690" s="5" t="n">
        <f aca="false">[1]Base_Jugadores!G1690</f>
        <v>32</v>
      </c>
      <c r="I1690" s="7" t="n">
        <f aca="false" t="array" ref="I1690:I1690">_xlfn.XLOOKUP(G1690,{55;56;57;58;59;60;61;62;63;64;65;66;67;68;69;70;71;72;73;74;75;76;77;78;79;80;81;82;83;84;85;86;87;88;89;90;91;92;93;94;95;96;97;98;99},{100000;130000;160000;190000;220000;250000;300000;350000;400000;450000;500000;600000;700000;800000;900000;1000000;1500000;2000000;3000000;4000000;5000000;6500000;8000000;10000000;12500000;15000000;20000000;25000000;30000000;35000000;40000000;55000000;70000000;80000000;90000000;110000000;130000000;160000000;190000000;220000000;250000000;280000000;310000000;340000000;400000000})</f>
        <v>4000000</v>
      </c>
      <c r="J1690" s="7" t="n">
        <f aca="false">I1690*S1690*T1690*U1690</f>
        <v>5472000</v>
      </c>
      <c r="K1690" s="3"/>
      <c r="L1690" s="3"/>
      <c r="M1690" s="3"/>
      <c r="N1690" s="9" t="n">
        <v>0</v>
      </c>
      <c r="O1690" s="4" t="n">
        <v>0</v>
      </c>
      <c r="P1690" s="5" t="n">
        <f aca="false">IF(COUNTIF([1]Base_Jugadores!J$2:J$500,B1690)&gt;0,1,0)</f>
        <v>0</v>
      </c>
      <c r="Q1690" s="10" t="b">
        <f aca="false">--(COUNTIFS(
   [1]Fichajes_Realizados!A$2:A$5000,A1690,
   [1]Fichajes_Realizados!G$2:G$5000,$X$3
)&gt;0)</f>
        <v>0</v>
      </c>
      <c r="R1690" s="5" t="n">
        <f aca="false">_xlfn.XLOOKUP(C1690, [1]Estado_Equipos!A$2:A$500, [1]Estado_Equipos!J$2:J$500, "")</f>
        <v>70</v>
      </c>
      <c r="S1690" s="5" t="n">
        <f aca="false">IF(H1690&lt;=16,1.45,
IF(H1690&gt;=41,0.3,
CHOOSE(ROUNDDOWN((H1690-16)/2,0)+1,
1.45,1.38,1.3,1.23,1.17,1.15,1.12,1.05,0.95,0.8,0.6,0.4,0.3)))</f>
        <v>0.95</v>
      </c>
      <c r="T1690" s="5" t="n">
        <f aca="false">CHOOSE(N1690+1,1.2,1,0.85,0.7)</f>
        <v>1.2</v>
      </c>
      <c r="U1690" s="5" t="n">
        <f aca="false">IF(F1690="PO",0.6,
IF(F1690="CT",0.75,
IF(F1690="LI",0.8,
IF(F1690="LD",0.8,
IF(F1690="MCD",0.85,
IF(F1690="MC",0.95,
IF(F1690="MO",1.05,
IF(F1690="EI",1.1,
IF(F1690="ED",1.1,
IF(F1690="SD",1.15,
IF(F1690="DC",1.2,0)))))))))))</f>
        <v>1.2</v>
      </c>
    </row>
    <row r="1691" customFormat="false" ht="16.4" hidden="false" customHeight="false" outlineLevel="0" collapsed="false">
      <c r="A1691" s="1" t="n">
        <v>1690</v>
      </c>
      <c r="B1691" s="5" t="str">
        <f aca="false">[1]Base_Jugadores!B1691</f>
        <v>Ibrahima Sissoko</v>
      </c>
      <c r="C1691" s="5" t="str">
        <f aca="false">IFERROR(
   _xlfn.XLOOKUP(VALUE(A1691),[1]Fichajes_Realizados!A$2:A$50000,[1]Fichajes_Realizados!D$2:D$50000,,0,-1),
   _xlfn.XLOOKUP(VALUE(A1691),[1]Base_Jugadores!A$2:A$50000,[1]Base_Jugadores!C$2:C$50000)
)</f>
        <v>VfL Bochum</v>
      </c>
      <c r="D1691" s="5" t="str">
        <f aca="false">[1]Base_Jugadores!D1691</f>
        <v>Malí</v>
      </c>
      <c r="E1691" s="3"/>
      <c r="F1691" s="5" t="str">
        <f aca="false">[1]Base_Jugadores!E1691</f>
        <v>MCD</v>
      </c>
      <c r="G1691" s="5" t="n">
        <f aca="false">[1]Base_Jugadores!F1691</f>
        <v>75</v>
      </c>
      <c r="H1691" s="5" t="n">
        <f aca="false">[1]Base_Jugadores!G1691</f>
        <v>28</v>
      </c>
      <c r="I1691" s="7" t="n">
        <f aca="false" t="array" ref="I1691:I1691">_xlfn.XLOOKUP(G1691,{55;56;57;58;59;60;61;62;63;64;65;66;67;68;69;70;71;72;73;74;75;76;77;78;79;80;81;82;83;84;85;86;87;88;89;90;91;92;93;94;95;96;97;98;99},{100000;130000;160000;190000;220000;250000;300000;350000;400000;450000;500000;600000;700000;800000;900000;1000000;1500000;2000000;3000000;4000000;5000000;6500000;8000000;10000000;12500000;15000000;20000000;25000000;30000000;35000000;40000000;55000000;70000000;80000000;90000000;110000000;130000000;160000000;190000000;220000000;250000000;280000000;310000000;340000000;400000000})</f>
        <v>5000000</v>
      </c>
      <c r="J1691" s="7" t="n">
        <f aca="false">I1691*S1691*T1691*U1691</f>
        <v>5712000</v>
      </c>
      <c r="K1691" s="3"/>
      <c r="L1691" s="3"/>
      <c r="M1691" s="3"/>
      <c r="N1691" s="9" t="n">
        <v>0</v>
      </c>
      <c r="O1691" s="4" t="n">
        <v>0</v>
      </c>
      <c r="P1691" s="5" t="n">
        <f aca="false">IF(COUNTIF([1]Base_Jugadores!J$2:J$500,B1691)&gt;0,1,0)</f>
        <v>0</v>
      </c>
      <c r="Q1691" s="10" t="b">
        <f aca="false">--(COUNTIFS(
   [1]Fichajes_Realizados!A$2:A$5000,A1691,
   [1]Fichajes_Realizados!G$2:G$5000,$X$3
)&gt;0)</f>
        <v>0</v>
      </c>
      <c r="R1691" s="5" t="n">
        <f aca="false">_xlfn.XLOOKUP(C1691, [1]Estado_Equipos!A$2:A$500, [1]Estado_Equipos!J$2:J$500, "")</f>
        <v>70</v>
      </c>
      <c r="S1691" s="5" t="n">
        <f aca="false">IF(H1691&lt;=16,1.45,
IF(H1691&gt;=41,0.3,
CHOOSE(ROUNDDOWN((H1691-16)/2,0)+1,
1.45,1.38,1.3,1.23,1.17,1.15,1.12,1.05,0.95,0.8,0.6,0.4,0.3)))</f>
        <v>1.12</v>
      </c>
      <c r="T1691" s="5" t="n">
        <f aca="false">CHOOSE(N1691+1,1.2,1,0.85,0.7)</f>
        <v>1.2</v>
      </c>
      <c r="U1691" s="5" t="n">
        <f aca="false">IF(F1691="PO",0.6,
IF(F1691="CT",0.75,
IF(F1691="LI",0.8,
IF(F1691="LD",0.8,
IF(F1691="MCD",0.85,
IF(F1691="MC",0.95,
IF(F1691="MO",1.05,
IF(F1691="EI",1.1,
IF(F1691="ED",1.1,
IF(F1691="SD",1.15,
IF(F1691="DC",1.2,0)))))))))))</f>
        <v>0.85</v>
      </c>
    </row>
    <row r="1692" customFormat="false" ht="16.4" hidden="false" customHeight="false" outlineLevel="0" collapsed="false">
      <c r="A1692" s="1" t="n">
        <v>1691</v>
      </c>
      <c r="B1692" s="5" t="str">
        <f aca="false">[1]Base_Jugadores!B1692</f>
        <v>Felix Passlack</v>
      </c>
      <c r="C1692" s="5" t="str">
        <f aca="false">IFERROR(
   _xlfn.XLOOKUP(VALUE(A1692),[1]Fichajes_Realizados!A$2:A$50000,[1]Fichajes_Realizados!D$2:D$50000,,0,-1),
   _xlfn.XLOOKUP(VALUE(A1692),[1]Base_Jugadores!A$2:A$50000,[1]Base_Jugadores!C$2:C$50000)
)</f>
        <v>VfL Bochum</v>
      </c>
      <c r="D1692" s="5" t="str">
        <f aca="false">[1]Base_Jugadores!D1692</f>
        <v>Alemania</v>
      </c>
      <c r="E1692" s="3"/>
      <c r="F1692" s="5" t="str">
        <f aca="false">[1]Base_Jugadores!E1692</f>
        <v>LD</v>
      </c>
      <c r="G1692" s="5" t="n">
        <f aca="false">[1]Base_Jugadores!F1692</f>
        <v>70</v>
      </c>
      <c r="H1692" s="5" t="n">
        <f aca="false">[1]Base_Jugadores!G1692</f>
        <v>27</v>
      </c>
      <c r="I1692" s="7" t="n">
        <f aca="false" t="array" ref="I1692:I1692">_xlfn.XLOOKUP(G1692,{55;56;57;58;59;60;61;62;63;64;65;66;67;68;69;70;71;72;73;74;75;76;77;78;79;80;81;82;83;84;85;86;87;88;89;90;91;92;93;94;95;96;97;98;99},{100000;130000;160000;190000;220000;250000;300000;350000;400000;450000;500000;600000;700000;800000;900000;1000000;1500000;2000000;3000000;4000000;5000000;6500000;8000000;10000000;12500000;15000000;20000000;25000000;30000000;35000000;40000000;55000000;70000000;80000000;90000000;110000000;130000000;160000000;190000000;220000000;250000000;280000000;310000000;340000000;400000000})</f>
        <v>1000000</v>
      </c>
      <c r="J1692" s="7" t="n">
        <f aca="false">I1692*S1692*T1692*U1692</f>
        <v>1104000</v>
      </c>
      <c r="K1692" s="3"/>
      <c r="L1692" s="3"/>
      <c r="M1692" s="3"/>
      <c r="N1692" s="9" t="n">
        <v>0</v>
      </c>
      <c r="O1692" s="4" t="n">
        <v>0</v>
      </c>
      <c r="P1692" s="5" t="n">
        <f aca="false">IF(COUNTIF([1]Base_Jugadores!J$2:J$500,B1692)&gt;0,1,0)</f>
        <v>0</v>
      </c>
      <c r="Q1692" s="10" t="b">
        <f aca="false">--(COUNTIFS(
   [1]Fichajes_Realizados!A$2:A$5000,A1692,
   [1]Fichajes_Realizados!G$2:G$5000,$X$3
)&gt;0)</f>
        <v>0</v>
      </c>
      <c r="R1692" s="5" t="n">
        <f aca="false">_xlfn.XLOOKUP(C1692, [1]Estado_Equipos!A$2:A$500, [1]Estado_Equipos!J$2:J$500, "")</f>
        <v>70</v>
      </c>
      <c r="S1692" s="5" t="n">
        <f aca="false">IF(H1692&lt;=16,1.45,
IF(H1692&gt;=41,0.3,
CHOOSE(ROUNDDOWN((H1692-16)/2,0)+1,
1.45,1.38,1.3,1.23,1.17,1.15,1.12,1.05,0.95,0.8,0.6,0.4,0.3)))</f>
        <v>1.15</v>
      </c>
      <c r="T1692" s="5" t="n">
        <f aca="false">CHOOSE(N1692+1,1.2,1,0.85,0.7)</f>
        <v>1.2</v>
      </c>
      <c r="U1692" s="5" t="n">
        <f aca="false">IF(F1692="PO",0.6,
IF(F1692="CT",0.75,
IF(F1692="LI",0.8,
IF(F1692="LD",0.8,
IF(F1692="MCD",0.85,
IF(F1692="MC",0.95,
IF(F1692="MO",1.05,
IF(F1692="EI",1.1,
IF(F1692="ED",1.1,
IF(F1692="SD",1.15,
IF(F1692="DC",1.2,0)))))))))))</f>
        <v>0.8</v>
      </c>
    </row>
    <row r="1693" customFormat="false" ht="16.4" hidden="false" customHeight="false" outlineLevel="0" collapsed="false">
      <c r="A1693" s="1" t="n">
        <v>1692</v>
      </c>
      <c r="B1693" s="5" t="str">
        <f aca="false">[1]Base_Jugadores!B1693</f>
        <v>Michael Obafemi</v>
      </c>
      <c r="C1693" s="5" t="str">
        <f aca="false">IFERROR(
   _xlfn.XLOOKUP(VALUE(A1693),[1]Fichajes_Realizados!A$2:A$50000,[1]Fichajes_Realizados!D$2:D$50000,,0,-1),
   _xlfn.XLOOKUP(VALUE(A1693),[1]Base_Jugadores!A$2:A$50000,[1]Base_Jugadores!C$2:C$50000)
)</f>
        <v>VfL Bochum</v>
      </c>
      <c r="D1693" s="5" t="str">
        <f aca="false">[1]Base_Jugadores!D1693</f>
        <v>Irlanda</v>
      </c>
      <c r="E1693" s="3"/>
      <c r="F1693" s="5" t="str">
        <f aca="false">[1]Base_Jugadores!E1693</f>
        <v>DC</v>
      </c>
      <c r="G1693" s="5" t="n">
        <f aca="false">[1]Base_Jugadores!F1693</f>
        <v>69</v>
      </c>
      <c r="H1693" s="5" t="n">
        <f aca="false">[1]Base_Jugadores!G1693</f>
        <v>25</v>
      </c>
      <c r="I1693" s="7" t="n">
        <f aca="false" t="array" ref="I1693:I1693">_xlfn.XLOOKUP(G1693,{55;56;57;58;59;60;61;62;63;64;65;66;67;68;69;70;71;72;73;74;75;76;77;78;79;80;81;82;83;84;85;86;87;88;89;90;91;92;93;94;95;96;97;98;99},{100000;130000;160000;190000;220000;250000;300000;350000;400000;450000;500000;600000;700000;800000;900000;1000000;1500000;2000000;3000000;4000000;5000000;6500000;8000000;10000000;12500000;15000000;20000000;25000000;30000000;35000000;40000000;55000000;70000000;80000000;90000000;110000000;130000000;160000000;190000000;220000000;250000000;280000000;310000000;340000000;400000000})</f>
        <v>900000</v>
      </c>
      <c r="J1693" s="7" t="n">
        <f aca="false">I1693*S1693*T1693*U1693</f>
        <v>1516320</v>
      </c>
      <c r="K1693" s="3"/>
      <c r="L1693" s="3"/>
      <c r="M1693" s="3"/>
      <c r="N1693" s="9" t="n">
        <v>0</v>
      </c>
      <c r="O1693" s="4" t="n">
        <v>0</v>
      </c>
      <c r="P1693" s="5" t="n">
        <f aca="false">IF(COUNTIF([1]Base_Jugadores!J$2:J$500,B1693)&gt;0,1,0)</f>
        <v>0</v>
      </c>
      <c r="Q1693" s="10" t="b">
        <f aca="false">--(COUNTIFS(
   [1]Fichajes_Realizados!A$2:A$5000,A1693,
   [1]Fichajes_Realizados!G$2:G$5000,$X$3
)&gt;0)</f>
        <v>0</v>
      </c>
      <c r="R1693" s="5" t="n">
        <f aca="false">_xlfn.XLOOKUP(C1693, [1]Estado_Equipos!A$2:A$500, [1]Estado_Equipos!J$2:J$500, "")</f>
        <v>70</v>
      </c>
      <c r="S1693" s="5" t="n">
        <f aca="false">IF(H1693&lt;=16,1.45,
IF(H1693&gt;=41,0.3,
CHOOSE(ROUNDDOWN((H1693-16)/2,0)+1,
1.45,1.38,1.3,1.23,1.17,1.15,1.12,1.05,0.95,0.8,0.6,0.4,0.3)))</f>
        <v>1.17</v>
      </c>
      <c r="T1693" s="5" t="n">
        <f aca="false">CHOOSE(N1693+1,1.2,1,0.85,0.7)</f>
        <v>1.2</v>
      </c>
      <c r="U1693" s="5" t="n">
        <f aca="false">IF(F1693="PO",0.6,
IF(F1693="CT",0.75,
IF(F1693="LI",0.8,
IF(F1693="LD",0.8,
IF(F1693="MCD",0.85,
IF(F1693="MC",0.95,
IF(F1693="MO",1.05,
IF(F1693="EI",1.1,
IF(F1693="ED",1.1,
IF(F1693="SD",1.15,
IF(F1693="DC",1.2,0)))))))))))</f>
        <v>1.2</v>
      </c>
    </row>
    <row r="1694" customFormat="false" ht="16.4" hidden="false" customHeight="false" outlineLevel="0" collapsed="false">
      <c r="A1694" s="1" t="n">
        <v>1693</v>
      </c>
      <c r="B1694" s="5" t="str">
        <f aca="false">[1]Base_Jugadores!B1694</f>
        <v>Aarón Anselmino</v>
      </c>
      <c r="C1694" s="5" t="str">
        <f aca="false">IFERROR(
   _xlfn.XLOOKUP(VALUE(A1694),[1]Fichajes_Realizados!A$2:A$50000,[1]Fichajes_Realizados!D$2:D$50000,,0,-1),
   _xlfn.XLOOKUP(VALUE(A1694),[1]Base_Jugadores!A$2:A$50000,[1]Base_Jugadores!C$2:C$50000)
)</f>
        <v>Borussia Dortmund</v>
      </c>
      <c r="D1694" s="5" t="str">
        <f aca="false">[1]Base_Jugadores!D1694</f>
        <v>Argentina</v>
      </c>
      <c r="E1694" s="3"/>
      <c r="F1694" s="5" t="str">
        <f aca="false">[1]Base_Jugadores!E1694</f>
        <v>CT</v>
      </c>
      <c r="G1694" s="5" t="n">
        <f aca="false">[1]Base_Jugadores!F1694</f>
        <v>72</v>
      </c>
      <c r="H1694" s="5" t="n">
        <f aca="false">[1]Base_Jugadores!G1694</f>
        <v>20</v>
      </c>
      <c r="I1694" s="7" t="n">
        <f aca="false" t="array" ref="I1694:I1694">_xlfn.XLOOKUP(G1694,{55;56;57;58;59;60;61;62;63;64;65;66;67;68;69;70;71;72;73;74;75;76;77;78;79;80;81;82;83;84;85;86;87;88;89;90;91;92;93;94;95;96;97;98;99},{100000;130000;160000;190000;220000;250000;300000;350000;400000;450000;500000;600000;700000;800000;900000;1000000;1500000;2000000;3000000;4000000;5000000;6500000;8000000;10000000;12500000;15000000;20000000;25000000;30000000;35000000;40000000;55000000;70000000;80000000;90000000;110000000;130000000;160000000;190000000;220000000;250000000;280000000;310000000;340000000;400000000})</f>
        <v>2000000</v>
      </c>
      <c r="J1694" s="7" t="n">
        <f aca="false">I1694*S1694*T1694*U1694</f>
        <v>2340000</v>
      </c>
      <c r="K1694" s="3"/>
      <c r="L1694" s="3"/>
      <c r="M1694" s="3"/>
      <c r="N1694" s="9" t="n">
        <v>0</v>
      </c>
      <c r="O1694" s="4" t="n">
        <v>0</v>
      </c>
      <c r="P1694" s="5" t="n">
        <f aca="false">IF(COUNTIF([1]Base_Jugadores!J$2:J$500,B1694)&gt;0,1,0)</f>
        <v>0</v>
      </c>
      <c r="Q1694" s="10" t="b">
        <f aca="false">--(COUNTIFS(
   [1]Fichajes_Realizados!A$2:A$5000,A1694,
   [1]Fichajes_Realizados!G$2:G$5000,$X$3
)&gt;0)</f>
        <v>0</v>
      </c>
      <c r="R1694" s="5" t="n">
        <f aca="false">_xlfn.XLOOKUP(C1694, [1]Estado_Equipos!A$2:A$500, [1]Estado_Equipos!J$2:J$500, "")</f>
        <v>77</v>
      </c>
      <c r="S1694" s="5" t="n">
        <f aca="false">IF(H1694&lt;=16,1.45,
IF(H1694&gt;=41,0.3,
CHOOSE(ROUNDDOWN((H1694-16)/2,0)+1,
1.45,1.38,1.3,1.23,1.17,1.15,1.12,1.05,0.95,0.8,0.6,0.4,0.3)))</f>
        <v>1.3</v>
      </c>
      <c r="T1694" s="5" t="n">
        <f aca="false">CHOOSE(N1694+1,1.2,1,0.85,0.7)</f>
        <v>1.2</v>
      </c>
      <c r="U1694" s="5" t="n">
        <f aca="false">IF(F1694="PO",0.6,
IF(F1694="CT",0.75,
IF(F1694="LI",0.8,
IF(F1694="LD",0.8,
IF(F1694="MCD",0.85,
IF(F1694="MC",0.95,
IF(F1694="MO",1.05,
IF(F1694="EI",1.1,
IF(F1694="ED",1.1,
IF(F1694="SD",1.15,
IF(F1694="DC",1.2,0)))))))))))</f>
        <v>0.75</v>
      </c>
    </row>
    <row r="1695" customFormat="false" ht="16.4" hidden="false" customHeight="false" outlineLevel="0" collapsed="false">
      <c r="A1695" s="1" t="n">
        <v>1694</v>
      </c>
      <c r="B1695" s="5" t="str">
        <f aca="false">[1]Base_Jugadores!B1695</f>
        <v>Alexander Meyer</v>
      </c>
      <c r="C1695" s="5" t="str">
        <f aca="false">IFERROR(
   _xlfn.XLOOKUP(VALUE(A1695),[1]Fichajes_Realizados!A$2:A$50000,[1]Fichajes_Realizados!D$2:D$50000,,0,-1),
   _xlfn.XLOOKUP(VALUE(A1695),[1]Base_Jugadores!A$2:A$50000,[1]Base_Jugadores!C$2:C$50000)
)</f>
        <v>Borussia Dortmund</v>
      </c>
      <c r="D1695" s="5" t="str">
        <f aca="false">[1]Base_Jugadores!D1695</f>
        <v>Alemania</v>
      </c>
      <c r="E1695" s="3"/>
      <c r="F1695" s="5" t="str">
        <f aca="false">[1]Base_Jugadores!E1695</f>
        <v>PO</v>
      </c>
      <c r="G1695" s="5" t="n">
        <f aca="false">[1]Base_Jugadores!F1695</f>
        <v>75</v>
      </c>
      <c r="H1695" s="5" t="n">
        <f aca="false">[1]Base_Jugadores!G1695</f>
        <v>34</v>
      </c>
      <c r="I1695" s="7" t="n">
        <f aca="false" t="array" ref="I1695:I1695">_xlfn.XLOOKUP(G1695,{55;56;57;58;59;60;61;62;63;64;65;66;67;68;69;70;71;72;73;74;75;76;77;78;79;80;81;82;83;84;85;86;87;88;89;90;91;92;93;94;95;96;97;98;99},{100000;130000;160000;190000;220000;250000;300000;350000;400000;450000;500000;600000;700000;800000;900000;1000000;1500000;2000000;3000000;4000000;5000000;6500000;8000000;10000000;12500000;15000000;20000000;25000000;30000000;35000000;40000000;55000000;70000000;80000000;90000000;110000000;130000000;160000000;190000000;220000000;250000000;280000000;310000000;340000000;400000000})</f>
        <v>5000000</v>
      </c>
      <c r="J1695" s="7" t="n">
        <f aca="false">I1695*S1695*T1695*U1695</f>
        <v>2880000</v>
      </c>
      <c r="K1695" s="3"/>
      <c r="L1695" s="3"/>
      <c r="M1695" s="3"/>
      <c r="N1695" s="9" t="n">
        <v>0</v>
      </c>
      <c r="O1695" s="4" t="n">
        <v>0</v>
      </c>
      <c r="P1695" s="5" t="n">
        <f aca="false">IF(COUNTIF([1]Base_Jugadores!J$2:J$500,B1695)&gt;0,1,0)</f>
        <v>0</v>
      </c>
      <c r="Q1695" s="10" t="b">
        <f aca="false">--(COUNTIFS(
   [1]Fichajes_Realizados!A$2:A$5000,A1695,
   [1]Fichajes_Realizados!G$2:G$5000,$X$3
)&gt;0)</f>
        <v>0</v>
      </c>
      <c r="R1695" s="5" t="n">
        <f aca="false">_xlfn.XLOOKUP(C1695, [1]Estado_Equipos!A$2:A$500, [1]Estado_Equipos!J$2:J$500, "")</f>
        <v>77</v>
      </c>
      <c r="S1695" s="5" t="n">
        <f aca="false">IF(H1695&lt;=16,1.45,
IF(H1695&gt;=41,0.3,
CHOOSE(ROUNDDOWN((H1695-16)/2,0)+1,
1.45,1.38,1.3,1.23,1.17,1.15,1.12,1.05,0.95,0.8,0.6,0.4,0.3)))</f>
        <v>0.8</v>
      </c>
      <c r="T1695" s="5" t="n">
        <f aca="false">CHOOSE(N1695+1,1.2,1,0.85,0.7)</f>
        <v>1.2</v>
      </c>
      <c r="U1695" s="5" t="n">
        <f aca="false">IF(F1695="PO",0.6,
IF(F1695="CT",0.75,
IF(F1695="LI",0.8,
IF(F1695="LD",0.8,
IF(F1695="MCD",0.85,
IF(F1695="MC",0.95,
IF(F1695="MO",1.05,
IF(F1695="EI",1.1,
IF(F1695="ED",1.1,
IF(F1695="SD",1.15,
IF(F1695="DC",1.2,0)))))))))))</f>
        <v>0.6</v>
      </c>
    </row>
    <row r="1696" customFormat="false" ht="16.4" hidden="false" customHeight="false" outlineLevel="0" collapsed="false">
      <c r="A1696" s="1" t="n">
        <v>1695</v>
      </c>
      <c r="B1696" s="5" t="str">
        <f aca="false">[1]Base_Jugadores!B1696</f>
        <v>Almugera Kabar</v>
      </c>
      <c r="C1696" s="5" t="str">
        <f aca="false">IFERROR(
   _xlfn.XLOOKUP(VALUE(A1696),[1]Fichajes_Realizados!A$2:A$50000,[1]Fichajes_Realizados!D$2:D$50000,,0,-1),
   _xlfn.XLOOKUP(VALUE(A1696),[1]Base_Jugadores!A$2:A$50000,[1]Base_Jugadores!C$2:C$50000)
)</f>
        <v>Borussia Dortmund</v>
      </c>
      <c r="D1696" s="5" t="str">
        <f aca="false">[1]Base_Jugadores!D1696</f>
        <v>Alemania</v>
      </c>
      <c r="E1696" s="3"/>
      <c r="F1696" s="5" t="str">
        <f aca="false">[1]Base_Jugadores!E1696</f>
        <v>LI</v>
      </c>
      <c r="G1696" s="5" t="n">
        <f aca="false">[1]Base_Jugadores!F1696</f>
        <v>67</v>
      </c>
      <c r="H1696" s="5" t="n">
        <f aca="false">[1]Base_Jugadores!G1696</f>
        <v>19</v>
      </c>
      <c r="I1696" s="7" t="n">
        <f aca="false" t="array" ref="I1696:I1696">_xlfn.XLOOKUP(G1696,{55;56;57;58;59;60;61;62;63;64;65;66;67;68;69;70;71;72;73;74;75;76;77;78;79;80;81;82;83;84;85;86;87;88;89;90;91;92;93;94;95;96;97;98;99},{100000;130000;160000;190000;220000;250000;300000;350000;400000;450000;500000;600000;700000;800000;900000;1000000;1500000;2000000;3000000;4000000;5000000;6500000;8000000;10000000;12500000;15000000;20000000;25000000;30000000;35000000;40000000;55000000;70000000;80000000;90000000;110000000;130000000;160000000;190000000;220000000;250000000;280000000;310000000;340000000;400000000})</f>
        <v>700000</v>
      </c>
      <c r="J1696" s="7" t="n">
        <f aca="false">I1696*S1696*T1696*U1696</f>
        <v>927360</v>
      </c>
      <c r="K1696" s="3"/>
      <c r="L1696" s="3"/>
      <c r="M1696" s="3"/>
      <c r="N1696" s="9" t="n">
        <v>0</v>
      </c>
      <c r="O1696" s="4" t="n">
        <v>0</v>
      </c>
      <c r="P1696" s="5" t="n">
        <f aca="false">IF(COUNTIF([1]Base_Jugadores!J$2:J$500,B1696)&gt;0,1,0)</f>
        <v>0</v>
      </c>
      <c r="Q1696" s="10" t="b">
        <f aca="false">--(COUNTIFS(
   [1]Fichajes_Realizados!A$2:A$5000,A1696,
   [1]Fichajes_Realizados!G$2:G$5000,$X$3
)&gt;0)</f>
        <v>0</v>
      </c>
      <c r="R1696" s="5" t="n">
        <f aca="false">_xlfn.XLOOKUP(C1696, [1]Estado_Equipos!A$2:A$500, [1]Estado_Equipos!J$2:J$500, "")</f>
        <v>77</v>
      </c>
      <c r="S1696" s="5" t="n">
        <f aca="false">IF(H1696&lt;=16,1.45,
IF(H1696&gt;=41,0.3,
CHOOSE(ROUNDDOWN((H1696-16)/2,0)+1,
1.45,1.38,1.3,1.23,1.17,1.15,1.12,1.05,0.95,0.8,0.6,0.4,0.3)))</f>
        <v>1.38</v>
      </c>
      <c r="T1696" s="5" t="n">
        <f aca="false">CHOOSE(N1696+1,1.2,1,0.85,0.7)</f>
        <v>1.2</v>
      </c>
      <c r="U1696" s="5" t="n">
        <f aca="false">IF(F1696="PO",0.6,
IF(F1696="CT",0.75,
IF(F1696="LI",0.8,
IF(F1696="LD",0.8,
IF(F1696="MCD",0.85,
IF(F1696="MC",0.95,
IF(F1696="MO",1.05,
IF(F1696="EI",1.1,
IF(F1696="ED",1.1,
IF(F1696="SD",1.15,
IF(F1696="DC",1.2,0)))))))))))</f>
        <v>0.8</v>
      </c>
    </row>
    <row r="1697" customFormat="false" ht="16.4" hidden="false" customHeight="false" outlineLevel="0" collapsed="false">
      <c r="A1697" s="1" t="n">
        <v>1696</v>
      </c>
      <c r="B1697" s="5" t="str">
        <f aca="false">[1]Base_Jugadores!B1697</f>
        <v>C. Chukwuemeka</v>
      </c>
      <c r="C1697" s="5" t="str">
        <f aca="false">IFERROR(
   _xlfn.XLOOKUP(VALUE(A1697),[1]Fichajes_Realizados!A$2:A$50000,[1]Fichajes_Realizados!D$2:D$50000,,0,-1),
   _xlfn.XLOOKUP(VALUE(A1697),[1]Base_Jugadores!A$2:A$50000,[1]Base_Jugadores!C$2:C$50000)
)</f>
        <v>Borussia Dortmund</v>
      </c>
      <c r="D1697" s="5" t="str">
        <f aca="false">[1]Base_Jugadores!D1697</f>
        <v>Inglaterra</v>
      </c>
      <c r="E1697" s="3"/>
      <c r="F1697" s="5" t="str">
        <f aca="false">[1]Base_Jugadores!E1697</f>
        <v>MC</v>
      </c>
      <c r="G1697" s="5" t="n">
        <f aca="false">[1]Base_Jugadores!F1697</f>
        <v>74</v>
      </c>
      <c r="H1697" s="5" t="n">
        <f aca="false">[1]Base_Jugadores!G1697</f>
        <v>22</v>
      </c>
      <c r="I1697" s="7" t="n">
        <f aca="false" t="array" ref="I1697:I1697">_xlfn.XLOOKUP(G1697,{55;56;57;58;59;60;61;62;63;64;65;66;67;68;69;70;71;72;73;74;75;76;77;78;79;80;81;82;83;84;85;86;87;88;89;90;91;92;93;94;95;96;97;98;99},{100000;130000;160000;190000;220000;250000;300000;350000;400000;450000;500000;600000;700000;800000;900000;1000000;1500000;2000000;3000000;4000000;5000000;6500000;8000000;10000000;12500000;15000000;20000000;25000000;30000000;35000000;40000000;55000000;70000000;80000000;90000000;110000000;130000000;160000000;190000000;220000000;250000000;280000000;310000000;340000000;400000000})</f>
        <v>4000000</v>
      </c>
      <c r="J1697" s="7" t="n">
        <f aca="false">I1697*S1697*T1697*U1697</f>
        <v>5608800</v>
      </c>
      <c r="K1697" s="3"/>
      <c r="L1697" s="3"/>
      <c r="M1697" s="3"/>
      <c r="N1697" s="9" t="n">
        <v>0</v>
      </c>
      <c r="O1697" s="4" t="n">
        <v>0</v>
      </c>
      <c r="P1697" s="5" t="n">
        <f aca="false">IF(COUNTIF([1]Base_Jugadores!J$2:J$500,B1697)&gt;0,1,0)</f>
        <v>0</v>
      </c>
      <c r="Q1697" s="10" t="b">
        <f aca="false">--(COUNTIFS(
   [1]Fichajes_Realizados!A$2:A$5000,A1697,
   [1]Fichajes_Realizados!G$2:G$5000,$X$3
)&gt;0)</f>
        <v>0</v>
      </c>
      <c r="R1697" s="5" t="n">
        <f aca="false">_xlfn.XLOOKUP(C1697, [1]Estado_Equipos!A$2:A$500, [1]Estado_Equipos!J$2:J$500, "")</f>
        <v>77</v>
      </c>
      <c r="S1697" s="5" t="n">
        <f aca="false">IF(H1697&lt;=16,1.45,
IF(H1697&gt;=41,0.3,
CHOOSE(ROUNDDOWN((H1697-16)/2,0)+1,
1.45,1.38,1.3,1.23,1.17,1.15,1.12,1.05,0.95,0.8,0.6,0.4,0.3)))</f>
        <v>1.23</v>
      </c>
      <c r="T1697" s="5" t="n">
        <f aca="false">CHOOSE(N1697+1,1.2,1,0.85,0.7)</f>
        <v>1.2</v>
      </c>
      <c r="U1697" s="5" t="n">
        <f aca="false">IF(F1697="PO",0.6,
IF(F1697="CT",0.75,
IF(F1697="LI",0.8,
IF(F1697="LD",0.8,
IF(F1697="MCD",0.85,
IF(F1697="MC",0.95,
IF(F1697="MO",1.05,
IF(F1697="EI",1.1,
IF(F1697="ED",1.1,
IF(F1697="SD",1.15,
IF(F1697="DC",1.2,0)))))))))))</f>
        <v>0.95</v>
      </c>
    </row>
    <row r="1698" customFormat="false" ht="16.4" hidden="false" customHeight="false" outlineLevel="0" collapsed="false">
      <c r="A1698" s="1" t="n">
        <v>1697</v>
      </c>
      <c r="B1698" s="5" t="str">
        <f aca="false">[1]Base_Jugadores!B1698</f>
        <v>Cole Campbell</v>
      </c>
      <c r="C1698" s="5" t="str">
        <f aca="false">IFERROR(
   _xlfn.XLOOKUP(VALUE(A1698),[1]Fichajes_Realizados!A$2:A$50000,[1]Fichajes_Realizados!D$2:D$50000,,0,-1),
   _xlfn.XLOOKUP(VALUE(A1698),[1]Base_Jugadores!A$2:A$50000,[1]Base_Jugadores!C$2:C$50000)
)</f>
        <v>Borussia Dortmund</v>
      </c>
      <c r="D1698" s="5" t="str">
        <f aca="false">[1]Base_Jugadores!D1698</f>
        <v>Estados Unidos</v>
      </c>
      <c r="E1698" s="3"/>
      <c r="F1698" s="5" t="str">
        <f aca="false">[1]Base_Jugadores!E1698</f>
        <v>ED</v>
      </c>
      <c r="G1698" s="5" t="n">
        <f aca="false">[1]Base_Jugadores!F1698</f>
        <v>64</v>
      </c>
      <c r="H1698" s="5" t="n">
        <f aca="false">[1]Base_Jugadores!G1698</f>
        <v>19</v>
      </c>
      <c r="I1698" s="7" t="n">
        <f aca="false" t="array" ref="I1698:I1698">_xlfn.XLOOKUP(G1698,{55;56;57;58;59;60;61;62;63;64;65;66;67;68;69;70;71;72;73;74;75;76;77;78;79;80;81;82;83;84;85;86;87;88;89;90;91;92;93;94;95;96;97;98;99},{100000;130000;160000;190000;220000;250000;300000;350000;400000;450000;500000;600000;700000;800000;900000;1000000;1500000;2000000;3000000;4000000;5000000;6500000;8000000;10000000;12500000;15000000;20000000;25000000;30000000;35000000;40000000;55000000;70000000;80000000;90000000;110000000;130000000;160000000;190000000;220000000;250000000;280000000;310000000;340000000;400000000})</f>
        <v>450000</v>
      </c>
      <c r="J1698" s="7" t="n">
        <f aca="false">I1698*S1698*T1698*U1698</f>
        <v>819720</v>
      </c>
      <c r="K1698" s="3"/>
      <c r="L1698" s="3"/>
      <c r="M1698" s="3"/>
      <c r="N1698" s="9" t="n">
        <v>0</v>
      </c>
      <c r="O1698" s="4" t="n">
        <v>0</v>
      </c>
      <c r="P1698" s="5" t="n">
        <f aca="false">IF(COUNTIF([1]Base_Jugadores!J$2:J$500,B1698)&gt;0,1,0)</f>
        <v>0</v>
      </c>
      <c r="Q1698" s="10" t="b">
        <f aca="false">--(COUNTIFS(
   [1]Fichajes_Realizados!A$2:A$5000,A1698,
   [1]Fichajes_Realizados!G$2:G$5000,$X$3
)&gt;0)</f>
        <v>0</v>
      </c>
      <c r="R1698" s="5" t="n">
        <f aca="false">_xlfn.XLOOKUP(C1698, [1]Estado_Equipos!A$2:A$500, [1]Estado_Equipos!J$2:J$500, "")</f>
        <v>77</v>
      </c>
      <c r="S1698" s="5" t="n">
        <f aca="false">IF(H1698&lt;=16,1.45,
IF(H1698&gt;=41,0.3,
CHOOSE(ROUNDDOWN((H1698-16)/2,0)+1,
1.45,1.38,1.3,1.23,1.17,1.15,1.12,1.05,0.95,0.8,0.6,0.4,0.3)))</f>
        <v>1.38</v>
      </c>
      <c r="T1698" s="5" t="n">
        <f aca="false">CHOOSE(N1698+1,1.2,1,0.85,0.7)</f>
        <v>1.2</v>
      </c>
      <c r="U1698" s="5" t="n">
        <f aca="false">IF(F1698="PO",0.6,
IF(F1698="CT",0.75,
IF(F1698="LI",0.8,
IF(F1698="LD",0.8,
IF(F1698="MCD",0.85,
IF(F1698="MC",0.95,
IF(F1698="MO",1.05,
IF(F1698="EI",1.1,
IF(F1698="ED",1.1,
IF(F1698="SD",1.15,
IF(F1698="DC",1.2,0)))))))))))</f>
        <v>1.1</v>
      </c>
    </row>
    <row r="1699" customFormat="false" ht="16.4" hidden="false" customHeight="false" outlineLevel="0" collapsed="false">
      <c r="A1699" s="1" t="n">
        <v>1698</v>
      </c>
      <c r="B1699" s="5" t="str">
        <f aca="false">[1]Base_Jugadores!B1699</f>
        <v>Daniel Svensson</v>
      </c>
      <c r="C1699" s="5" t="str">
        <f aca="false">IFERROR(
   _xlfn.XLOOKUP(VALUE(A1699),[1]Fichajes_Realizados!A$2:A$50000,[1]Fichajes_Realizados!D$2:D$50000,,0,-1),
   _xlfn.XLOOKUP(VALUE(A1699),[1]Base_Jugadores!A$2:A$50000,[1]Base_Jugadores!C$2:C$50000)
)</f>
        <v>Borussia Dortmund</v>
      </c>
      <c r="D1699" s="5" t="str">
        <f aca="false">[1]Base_Jugadores!D1699</f>
        <v>Suecia</v>
      </c>
      <c r="E1699" s="3"/>
      <c r="F1699" s="5" t="str">
        <f aca="false">[1]Base_Jugadores!E1699</f>
        <v>LI</v>
      </c>
      <c r="G1699" s="5" t="n">
        <f aca="false">[1]Base_Jugadores!F1699</f>
        <v>74</v>
      </c>
      <c r="H1699" s="5" t="n">
        <f aca="false">[1]Base_Jugadores!G1699</f>
        <v>23</v>
      </c>
      <c r="I1699" s="7" t="n">
        <f aca="false" t="array" ref="I1699:I1699">_xlfn.XLOOKUP(G1699,{55;56;57;58;59;60;61;62;63;64;65;66;67;68;69;70;71;72;73;74;75;76;77;78;79;80;81;82;83;84;85;86;87;88;89;90;91;92;93;94;95;96;97;98;99},{100000;130000;160000;190000;220000;250000;300000;350000;400000;450000;500000;600000;700000;800000;900000;1000000;1500000;2000000;3000000;4000000;5000000;6500000;8000000;10000000;12500000;15000000;20000000;25000000;30000000;35000000;40000000;55000000;70000000;80000000;90000000;110000000;130000000;160000000;190000000;220000000;250000000;280000000;310000000;340000000;400000000})</f>
        <v>4000000</v>
      </c>
      <c r="J1699" s="7" t="n">
        <f aca="false">I1699*S1699*T1699*U1699</f>
        <v>4723200</v>
      </c>
      <c r="K1699" s="3"/>
      <c r="L1699" s="3"/>
      <c r="M1699" s="3"/>
      <c r="N1699" s="9" t="n">
        <v>0</v>
      </c>
      <c r="O1699" s="4" t="n">
        <v>0</v>
      </c>
      <c r="P1699" s="5" t="n">
        <f aca="false">IF(COUNTIF([1]Base_Jugadores!J$2:J$500,B1699)&gt;0,1,0)</f>
        <v>0</v>
      </c>
      <c r="Q1699" s="10" t="b">
        <f aca="false">--(COUNTIFS(
   [1]Fichajes_Realizados!A$2:A$5000,A1699,
   [1]Fichajes_Realizados!G$2:G$5000,$X$3
)&gt;0)</f>
        <v>0</v>
      </c>
      <c r="R1699" s="5" t="n">
        <f aca="false">_xlfn.XLOOKUP(C1699, [1]Estado_Equipos!A$2:A$500, [1]Estado_Equipos!J$2:J$500, "")</f>
        <v>77</v>
      </c>
      <c r="S1699" s="5" t="n">
        <f aca="false">IF(H1699&lt;=16,1.45,
IF(H1699&gt;=41,0.3,
CHOOSE(ROUNDDOWN((H1699-16)/2,0)+1,
1.45,1.38,1.3,1.23,1.17,1.15,1.12,1.05,0.95,0.8,0.6,0.4,0.3)))</f>
        <v>1.23</v>
      </c>
      <c r="T1699" s="5" t="n">
        <f aca="false">CHOOSE(N1699+1,1.2,1,0.85,0.7)</f>
        <v>1.2</v>
      </c>
      <c r="U1699" s="5" t="n">
        <f aca="false">IF(F1699="PO",0.6,
IF(F1699="CT",0.75,
IF(F1699="LI",0.8,
IF(F1699="LD",0.8,
IF(F1699="MCD",0.85,
IF(F1699="MC",0.95,
IF(F1699="MO",1.05,
IF(F1699="EI",1.1,
IF(F1699="ED",1.1,
IF(F1699="SD",1.15,
IF(F1699="DC",1.2,0)))))))))))</f>
        <v>0.8</v>
      </c>
    </row>
    <row r="1700" customFormat="false" ht="16.4" hidden="false" customHeight="false" outlineLevel="0" collapsed="false">
      <c r="A1700" s="1" t="n">
        <v>1699</v>
      </c>
      <c r="B1700" s="5" t="str">
        <f aca="false">[1]Base_Jugadores!B1700</f>
        <v>Emre Can</v>
      </c>
      <c r="C1700" s="5" t="str">
        <f aca="false">IFERROR(
   _xlfn.XLOOKUP(VALUE(A1700),[1]Fichajes_Realizados!A$2:A$50000,[1]Fichajes_Realizados!D$2:D$50000,,0,-1),
   _xlfn.XLOOKUP(VALUE(A1700),[1]Base_Jugadores!A$2:A$50000,[1]Base_Jugadores!C$2:C$50000)
)</f>
        <v>Borussia Dortmund</v>
      </c>
      <c r="D1700" s="5" t="str">
        <f aca="false">[1]Base_Jugadores!D1700</f>
        <v>Alemania</v>
      </c>
      <c r="E1700" s="3"/>
      <c r="F1700" s="5" t="str">
        <f aca="false">[1]Base_Jugadores!E1700</f>
        <v>CT</v>
      </c>
      <c r="G1700" s="5" t="n">
        <f aca="false">[1]Base_Jugadores!F1700</f>
        <v>78</v>
      </c>
      <c r="H1700" s="5" t="n">
        <f aca="false">[1]Base_Jugadores!G1700</f>
        <v>31</v>
      </c>
      <c r="I1700" s="7" t="n">
        <f aca="false" t="array" ref="I1700:I1700">_xlfn.XLOOKUP(G1700,{55;56;57;58;59;60;61;62;63;64;65;66;67;68;69;70;71;72;73;74;75;76;77;78;79;80;81;82;83;84;85;86;87;88;89;90;91;92;93;94;95;96;97;98;99},{100000;130000;160000;190000;220000;250000;300000;350000;400000;450000;500000;600000;700000;800000;900000;1000000;1500000;2000000;3000000;4000000;5000000;6500000;8000000;10000000;12500000;15000000;20000000;25000000;30000000;35000000;40000000;55000000;70000000;80000000;90000000;110000000;130000000;160000000;190000000;220000000;250000000;280000000;310000000;340000000;400000000})</f>
        <v>10000000</v>
      </c>
      <c r="J1700" s="7" t="n">
        <f aca="false">I1700*S1700*T1700*U1700</f>
        <v>9450000</v>
      </c>
      <c r="K1700" s="3"/>
      <c r="L1700" s="3"/>
      <c r="M1700" s="3"/>
      <c r="N1700" s="9" t="n">
        <v>0</v>
      </c>
      <c r="O1700" s="4" t="n">
        <v>0</v>
      </c>
      <c r="P1700" s="5" t="n">
        <f aca="false">IF(COUNTIF([1]Base_Jugadores!J$2:J$500,B1700)&gt;0,1,0)</f>
        <v>0</v>
      </c>
      <c r="Q1700" s="10" t="b">
        <f aca="false">--(COUNTIFS(
   [1]Fichajes_Realizados!A$2:A$5000,A1700,
   [1]Fichajes_Realizados!G$2:G$5000,$X$3
)&gt;0)</f>
        <v>0</v>
      </c>
      <c r="R1700" s="5" t="n">
        <f aca="false">_xlfn.XLOOKUP(C1700, [1]Estado_Equipos!A$2:A$500, [1]Estado_Equipos!J$2:J$500, "")</f>
        <v>77</v>
      </c>
      <c r="S1700" s="5" t="n">
        <f aca="false">IF(H1700&lt;=16,1.45,
IF(H1700&gt;=41,0.3,
CHOOSE(ROUNDDOWN((H1700-16)/2,0)+1,
1.45,1.38,1.3,1.23,1.17,1.15,1.12,1.05,0.95,0.8,0.6,0.4,0.3)))</f>
        <v>1.05</v>
      </c>
      <c r="T1700" s="5" t="n">
        <f aca="false">CHOOSE(N1700+1,1.2,1,0.85,0.7)</f>
        <v>1.2</v>
      </c>
      <c r="U1700" s="5" t="n">
        <f aca="false">IF(F1700="PO",0.6,
IF(F1700="CT",0.75,
IF(F1700="LI",0.8,
IF(F1700="LD",0.8,
IF(F1700="MCD",0.85,
IF(F1700="MC",0.95,
IF(F1700="MO",1.05,
IF(F1700="EI",1.1,
IF(F1700="ED",1.1,
IF(F1700="SD",1.15,
IF(F1700="DC",1.2,0)))))))))))</f>
        <v>0.75</v>
      </c>
    </row>
    <row r="1701" customFormat="false" ht="16.4" hidden="false" customHeight="false" outlineLevel="0" collapsed="false">
      <c r="A1701" s="1" t="n">
        <v>1700</v>
      </c>
      <c r="B1701" s="5" t="str">
        <f aca="false">[1]Base_Jugadores!B1701</f>
        <v>Fábio Silva</v>
      </c>
      <c r="C1701" s="5" t="str">
        <f aca="false">IFERROR(
   _xlfn.XLOOKUP(VALUE(A1701),[1]Fichajes_Realizados!A$2:A$50000,[1]Fichajes_Realizados!D$2:D$50000,,0,-1),
   _xlfn.XLOOKUP(VALUE(A1701),[1]Base_Jugadores!A$2:A$50000,[1]Base_Jugadores!C$2:C$50000)
)</f>
        <v>Borussia Dortmund</v>
      </c>
      <c r="D1701" s="5" t="str">
        <f aca="false">[1]Base_Jugadores!D1701</f>
        <v>Portugal</v>
      </c>
      <c r="E1701" s="3"/>
      <c r="F1701" s="5" t="str">
        <f aca="false">[1]Base_Jugadores!E1701</f>
        <v>DC</v>
      </c>
      <c r="G1701" s="5" t="n">
        <f aca="false">[1]Base_Jugadores!F1701</f>
        <v>74</v>
      </c>
      <c r="H1701" s="5" t="n">
        <f aca="false">[1]Base_Jugadores!G1701</f>
        <v>23</v>
      </c>
      <c r="I1701" s="7" t="n">
        <f aca="false" t="array" ref="I1701:I1701">_xlfn.XLOOKUP(G1701,{55;56;57;58;59;60;61;62;63;64;65;66;67;68;69;70;71;72;73;74;75;76;77;78;79;80;81;82;83;84;85;86;87;88;89;90;91;92;93;94;95;96;97;98;99},{100000;130000;160000;190000;220000;250000;300000;350000;400000;450000;500000;600000;700000;800000;900000;1000000;1500000;2000000;3000000;4000000;5000000;6500000;8000000;10000000;12500000;15000000;20000000;25000000;30000000;35000000;40000000;55000000;70000000;80000000;90000000;110000000;130000000;160000000;190000000;220000000;250000000;280000000;310000000;340000000;400000000})</f>
        <v>4000000</v>
      </c>
      <c r="J1701" s="7" t="n">
        <f aca="false">I1701*S1701*T1701*U1701</f>
        <v>7084800</v>
      </c>
      <c r="K1701" s="3"/>
      <c r="L1701" s="3"/>
      <c r="M1701" s="3"/>
      <c r="N1701" s="9" t="n">
        <v>0</v>
      </c>
      <c r="O1701" s="4" t="n">
        <v>0</v>
      </c>
      <c r="P1701" s="5" t="n">
        <f aca="false">IF(COUNTIF([1]Base_Jugadores!J$2:J$500,B1701)&gt;0,1,0)</f>
        <v>0</v>
      </c>
      <c r="Q1701" s="10" t="b">
        <f aca="false">--(COUNTIFS(
   [1]Fichajes_Realizados!A$2:A$5000,A1701,
   [1]Fichajes_Realizados!G$2:G$5000,$X$3
)&gt;0)</f>
        <v>0</v>
      </c>
      <c r="R1701" s="5" t="n">
        <f aca="false">_xlfn.XLOOKUP(C1701, [1]Estado_Equipos!A$2:A$500, [1]Estado_Equipos!J$2:J$500, "")</f>
        <v>77</v>
      </c>
      <c r="S1701" s="5" t="n">
        <f aca="false">IF(H1701&lt;=16,1.45,
IF(H1701&gt;=41,0.3,
CHOOSE(ROUNDDOWN((H1701-16)/2,0)+1,
1.45,1.38,1.3,1.23,1.17,1.15,1.12,1.05,0.95,0.8,0.6,0.4,0.3)))</f>
        <v>1.23</v>
      </c>
      <c r="T1701" s="5" t="n">
        <f aca="false">CHOOSE(N1701+1,1.2,1,0.85,0.7)</f>
        <v>1.2</v>
      </c>
      <c r="U1701" s="5" t="n">
        <f aca="false">IF(F1701="PO",0.6,
IF(F1701="CT",0.75,
IF(F1701="LI",0.8,
IF(F1701="LD",0.8,
IF(F1701="MCD",0.85,
IF(F1701="MC",0.95,
IF(F1701="MO",1.05,
IF(F1701="EI",1.1,
IF(F1701="ED",1.1,
IF(F1701="SD",1.15,
IF(F1701="DC",1.2,0)))))))))))</f>
        <v>1.2</v>
      </c>
    </row>
    <row r="1702" customFormat="false" ht="16.4" hidden="false" customHeight="false" outlineLevel="0" collapsed="false">
      <c r="A1702" s="1" t="n">
        <v>1701</v>
      </c>
      <c r="B1702" s="5" t="str">
        <f aca="false">[1]Base_Jugadores!B1702</f>
        <v>Felix Nmecha</v>
      </c>
      <c r="C1702" s="5" t="str">
        <f aca="false">IFERROR(
   _xlfn.XLOOKUP(VALUE(A1702),[1]Fichajes_Realizados!A$2:A$50000,[1]Fichajes_Realizados!D$2:D$50000,,0,-1),
   _xlfn.XLOOKUP(VALUE(A1702),[1]Base_Jugadores!A$2:A$50000,[1]Base_Jugadores!C$2:C$50000)
)</f>
        <v>Borussia Dortmund</v>
      </c>
      <c r="D1702" s="5" t="str">
        <f aca="false">[1]Base_Jugadores!D1702</f>
        <v>Alemania</v>
      </c>
      <c r="E1702" s="3"/>
      <c r="F1702" s="5" t="str">
        <f aca="false">[1]Base_Jugadores!E1702</f>
        <v>MC</v>
      </c>
      <c r="G1702" s="5" t="n">
        <f aca="false">[1]Base_Jugadores!F1702</f>
        <v>78</v>
      </c>
      <c r="H1702" s="5" t="n">
        <f aca="false">[1]Base_Jugadores!G1702</f>
        <v>25</v>
      </c>
      <c r="I1702" s="7" t="n">
        <f aca="false" t="array" ref="I1702:I1702">_xlfn.XLOOKUP(G1702,{55;56;57;58;59;60;61;62;63;64;65;66;67;68;69;70;71;72;73;74;75;76;77;78;79;80;81;82;83;84;85;86;87;88;89;90;91;92;93;94;95;96;97;98;99},{100000;130000;160000;190000;220000;250000;300000;350000;400000;450000;500000;600000;700000;800000;900000;1000000;1500000;2000000;3000000;4000000;5000000;6500000;8000000;10000000;12500000;15000000;20000000;25000000;30000000;35000000;40000000;55000000;70000000;80000000;90000000;110000000;130000000;160000000;190000000;220000000;250000000;280000000;310000000;340000000;400000000})</f>
        <v>10000000</v>
      </c>
      <c r="J1702" s="7" t="n">
        <f aca="false">I1702*S1702*T1702*U1702</f>
        <v>13338000</v>
      </c>
      <c r="K1702" s="3"/>
      <c r="L1702" s="3"/>
      <c r="M1702" s="3"/>
      <c r="N1702" s="9" t="n">
        <v>0</v>
      </c>
      <c r="O1702" s="4" t="n">
        <v>0</v>
      </c>
      <c r="P1702" s="5" t="n">
        <f aca="false">IF(COUNTIF([1]Base_Jugadores!J$2:J$500,B1702)&gt;0,1,0)</f>
        <v>0</v>
      </c>
      <c r="Q1702" s="10" t="b">
        <f aca="false">--(COUNTIFS(
   [1]Fichajes_Realizados!A$2:A$5000,A1702,
   [1]Fichajes_Realizados!G$2:G$5000,$X$3
)&gt;0)</f>
        <v>0</v>
      </c>
      <c r="R1702" s="5" t="n">
        <f aca="false">_xlfn.XLOOKUP(C1702, [1]Estado_Equipos!A$2:A$500, [1]Estado_Equipos!J$2:J$500, "")</f>
        <v>77</v>
      </c>
      <c r="S1702" s="5" t="n">
        <f aca="false">IF(H1702&lt;=16,1.45,
IF(H1702&gt;=41,0.3,
CHOOSE(ROUNDDOWN((H1702-16)/2,0)+1,
1.45,1.38,1.3,1.23,1.17,1.15,1.12,1.05,0.95,0.8,0.6,0.4,0.3)))</f>
        <v>1.17</v>
      </c>
      <c r="T1702" s="5" t="n">
        <f aca="false">CHOOSE(N1702+1,1.2,1,0.85,0.7)</f>
        <v>1.2</v>
      </c>
      <c r="U1702" s="5" t="n">
        <f aca="false">IF(F1702="PO",0.6,
IF(F1702="CT",0.75,
IF(F1702="LI",0.8,
IF(F1702="LD",0.8,
IF(F1702="MCD",0.85,
IF(F1702="MC",0.95,
IF(F1702="MO",1.05,
IF(F1702="EI",1.1,
IF(F1702="ED",1.1,
IF(F1702="SD",1.15,
IF(F1702="DC",1.2,0)))))))))))</f>
        <v>0.95</v>
      </c>
    </row>
    <row r="1703" customFormat="false" ht="16.4" hidden="false" customHeight="false" outlineLevel="0" collapsed="false">
      <c r="A1703" s="1" t="n">
        <v>1702</v>
      </c>
      <c r="B1703" s="5" t="str">
        <f aca="false">[1]Base_Jugadores!B1703</f>
        <v>Filippo Mane</v>
      </c>
      <c r="C1703" s="5" t="str">
        <f aca="false">IFERROR(
   _xlfn.XLOOKUP(VALUE(A1703),[1]Fichajes_Realizados!A$2:A$50000,[1]Fichajes_Realizados!D$2:D$50000,,0,-1),
   _xlfn.XLOOKUP(VALUE(A1703),[1]Base_Jugadores!A$2:A$50000,[1]Base_Jugadores!C$2:C$50000)
)</f>
        <v>Borussia Dortmund</v>
      </c>
      <c r="D1703" s="5" t="str">
        <f aca="false">[1]Base_Jugadores!D1703</f>
        <v>Italia</v>
      </c>
      <c r="E1703" s="3"/>
      <c r="F1703" s="5" t="str">
        <f aca="false">[1]Base_Jugadores!E1703</f>
        <v>CT</v>
      </c>
      <c r="G1703" s="5" t="n">
        <f aca="false">[1]Base_Jugadores!F1703</f>
        <v>65</v>
      </c>
      <c r="H1703" s="5" t="n">
        <f aca="false">[1]Base_Jugadores!G1703</f>
        <v>20</v>
      </c>
      <c r="I1703" s="7" t="n">
        <f aca="false" t="array" ref="I1703:I1703">_xlfn.XLOOKUP(G1703,{55;56;57;58;59;60;61;62;63;64;65;66;67;68;69;70;71;72;73;74;75;76;77;78;79;80;81;82;83;84;85;86;87;88;89;90;91;92;93;94;95;96;97;98;99},{100000;130000;160000;190000;220000;250000;300000;350000;400000;450000;500000;600000;700000;800000;900000;1000000;1500000;2000000;3000000;4000000;5000000;6500000;8000000;10000000;12500000;15000000;20000000;25000000;30000000;35000000;40000000;55000000;70000000;80000000;90000000;110000000;130000000;160000000;190000000;220000000;250000000;280000000;310000000;340000000;400000000})</f>
        <v>500000</v>
      </c>
      <c r="J1703" s="7" t="n">
        <f aca="false">I1703*S1703*T1703*U1703</f>
        <v>585000</v>
      </c>
      <c r="K1703" s="3"/>
      <c r="L1703" s="3"/>
      <c r="M1703" s="3"/>
      <c r="N1703" s="9" t="n">
        <v>0</v>
      </c>
      <c r="O1703" s="4" t="n">
        <v>0</v>
      </c>
      <c r="P1703" s="5" t="n">
        <f aca="false">IF(COUNTIF([1]Base_Jugadores!J$2:J$500,B1703)&gt;0,1,0)</f>
        <v>0</v>
      </c>
      <c r="Q1703" s="10" t="b">
        <f aca="false">--(COUNTIFS(
   [1]Fichajes_Realizados!A$2:A$5000,A1703,
   [1]Fichajes_Realizados!G$2:G$5000,$X$3
)&gt;0)</f>
        <v>0</v>
      </c>
      <c r="R1703" s="5" t="n">
        <f aca="false">_xlfn.XLOOKUP(C1703, [1]Estado_Equipos!A$2:A$500, [1]Estado_Equipos!J$2:J$500, "")</f>
        <v>77</v>
      </c>
      <c r="S1703" s="5" t="n">
        <f aca="false">IF(H1703&lt;=16,1.45,
IF(H1703&gt;=41,0.3,
CHOOSE(ROUNDDOWN((H1703-16)/2,0)+1,
1.45,1.38,1.3,1.23,1.17,1.15,1.12,1.05,0.95,0.8,0.6,0.4,0.3)))</f>
        <v>1.3</v>
      </c>
      <c r="T1703" s="5" t="n">
        <f aca="false">CHOOSE(N1703+1,1.2,1,0.85,0.7)</f>
        <v>1.2</v>
      </c>
      <c r="U1703" s="5" t="n">
        <f aca="false">IF(F1703="PO",0.6,
IF(F1703="CT",0.75,
IF(F1703="LI",0.8,
IF(F1703="LD",0.8,
IF(F1703="MCD",0.85,
IF(F1703="MC",0.95,
IF(F1703="MO",1.05,
IF(F1703="EI",1.1,
IF(F1703="ED",1.1,
IF(F1703="SD",1.15,
IF(F1703="DC",1.2,0)))))))))))</f>
        <v>0.75</v>
      </c>
    </row>
    <row r="1704" customFormat="false" ht="16.4" hidden="false" customHeight="false" outlineLevel="0" collapsed="false">
      <c r="A1704" s="1" t="n">
        <v>1703</v>
      </c>
      <c r="B1704" s="5" t="str">
        <f aca="false">[1]Base_Jugadores!B1704</f>
        <v>Gregor Kobel</v>
      </c>
      <c r="C1704" s="5" t="str">
        <f aca="false">IFERROR(
   _xlfn.XLOOKUP(VALUE(A1704),[1]Fichajes_Realizados!A$2:A$50000,[1]Fichajes_Realizados!D$2:D$50000,,0,-1),
   _xlfn.XLOOKUP(VALUE(A1704),[1]Base_Jugadores!A$2:A$50000,[1]Base_Jugadores!C$2:C$50000)
)</f>
        <v>Borussia Dortmund</v>
      </c>
      <c r="D1704" s="5" t="str">
        <f aca="false">[1]Base_Jugadores!D1704</f>
        <v>Suiza</v>
      </c>
      <c r="E1704" s="3"/>
      <c r="F1704" s="5" t="str">
        <f aca="false">[1]Base_Jugadores!E1704</f>
        <v>PO</v>
      </c>
      <c r="G1704" s="5" t="n">
        <f aca="false">[1]Base_Jugadores!F1704</f>
        <v>88</v>
      </c>
      <c r="H1704" s="5" t="n">
        <f aca="false">[1]Base_Jugadores!G1704</f>
        <v>28</v>
      </c>
      <c r="I1704" s="7" t="n">
        <f aca="false" t="array" ref="I1704:I1704">_xlfn.XLOOKUP(G1704,{55;56;57;58;59;60;61;62;63;64;65;66;67;68;69;70;71;72;73;74;75;76;77;78;79;80;81;82;83;84;85;86;87;88;89;90;91;92;93;94;95;96;97;98;99},{100000;130000;160000;190000;220000;250000;300000;350000;400000;450000;500000;600000;700000;800000;900000;1000000;1500000;2000000;3000000;4000000;5000000;6500000;8000000;10000000;12500000;15000000;20000000;25000000;30000000;35000000;40000000;55000000;70000000;80000000;90000000;110000000;130000000;160000000;190000000;220000000;250000000;280000000;310000000;340000000;400000000})</f>
        <v>80000000</v>
      </c>
      <c r="J1704" s="7" t="n">
        <f aca="false">I1704*S1704*T1704*U1704</f>
        <v>64512000</v>
      </c>
      <c r="K1704" s="3"/>
      <c r="L1704" s="3"/>
      <c r="M1704" s="3"/>
      <c r="N1704" s="9" t="n">
        <v>0</v>
      </c>
      <c r="O1704" s="4" t="n">
        <v>0</v>
      </c>
      <c r="P1704" s="5" t="n">
        <f aca="false">IF(COUNTIF([1]Base_Jugadores!J$2:J$500,B1704)&gt;0,1,0)</f>
        <v>0</v>
      </c>
      <c r="Q1704" s="10" t="b">
        <f aca="false">--(COUNTIFS(
   [1]Fichajes_Realizados!A$2:A$5000,A1704,
   [1]Fichajes_Realizados!G$2:G$5000,$X$3
)&gt;0)</f>
        <v>0</v>
      </c>
      <c r="R1704" s="5" t="n">
        <f aca="false">_xlfn.XLOOKUP(C1704, [1]Estado_Equipos!A$2:A$500, [1]Estado_Equipos!J$2:J$500, "")</f>
        <v>77</v>
      </c>
      <c r="S1704" s="5" t="n">
        <f aca="false">IF(H1704&lt;=16,1.45,
IF(H1704&gt;=41,0.3,
CHOOSE(ROUNDDOWN((H1704-16)/2,0)+1,
1.45,1.38,1.3,1.23,1.17,1.15,1.12,1.05,0.95,0.8,0.6,0.4,0.3)))</f>
        <v>1.12</v>
      </c>
      <c r="T1704" s="5" t="n">
        <f aca="false">CHOOSE(N1704+1,1.2,1,0.85,0.7)</f>
        <v>1.2</v>
      </c>
      <c r="U1704" s="5" t="n">
        <f aca="false">IF(F1704="PO",0.6,
IF(F1704="CT",0.75,
IF(F1704="LI",0.8,
IF(F1704="LD",0.8,
IF(F1704="MCD",0.85,
IF(F1704="MC",0.95,
IF(F1704="MO",1.05,
IF(F1704="EI",1.1,
IF(F1704="ED",1.1,
IF(F1704="SD",1.15,
IF(F1704="DC",1.2,0)))))))))))</f>
        <v>0.6</v>
      </c>
    </row>
    <row r="1705" customFormat="false" ht="16.4" hidden="false" customHeight="false" outlineLevel="0" collapsed="false">
      <c r="A1705" s="1" t="n">
        <v>1704</v>
      </c>
      <c r="B1705" s="5" t="str">
        <f aca="false">[1]Base_Jugadores!B1705</f>
        <v>Jobe Bellingham</v>
      </c>
      <c r="C1705" s="5" t="str">
        <f aca="false">IFERROR(
   _xlfn.XLOOKUP(VALUE(A1705),[1]Fichajes_Realizados!A$2:A$50000,[1]Fichajes_Realizados!D$2:D$50000,,0,-1),
   _xlfn.XLOOKUP(VALUE(A1705),[1]Base_Jugadores!A$2:A$50000,[1]Base_Jugadores!C$2:C$50000)
)</f>
        <v>Borussia Dortmund</v>
      </c>
      <c r="D1705" s="5" t="str">
        <f aca="false">[1]Base_Jugadores!D1705</f>
        <v>Inglaterra</v>
      </c>
      <c r="E1705" s="3"/>
      <c r="F1705" s="5" t="str">
        <f aca="false">[1]Base_Jugadores!E1705</f>
        <v>MC</v>
      </c>
      <c r="G1705" s="5" t="n">
        <f aca="false">[1]Base_Jugadores!F1705</f>
        <v>74</v>
      </c>
      <c r="H1705" s="5" t="n">
        <f aca="false">[1]Base_Jugadores!G1705</f>
        <v>20</v>
      </c>
      <c r="I1705" s="7" t="n">
        <f aca="false" t="array" ref="I1705:I1705">_xlfn.XLOOKUP(G1705,{55;56;57;58;59;60;61;62;63;64;65;66;67;68;69;70;71;72;73;74;75;76;77;78;79;80;81;82;83;84;85;86;87;88;89;90;91;92;93;94;95;96;97;98;99},{100000;130000;160000;190000;220000;250000;300000;350000;400000;450000;500000;600000;700000;800000;900000;1000000;1500000;2000000;3000000;4000000;5000000;6500000;8000000;10000000;12500000;15000000;20000000;25000000;30000000;35000000;40000000;55000000;70000000;80000000;90000000;110000000;130000000;160000000;190000000;220000000;250000000;280000000;310000000;340000000;400000000})</f>
        <v>4000000</v>
      </c>
      <c r="J1705" s="7" t="n">
        <f aca="false">I1705*S1705*T1705*U1705</f>
        <v>5928000</v>
      </c>
      <c r="K1705" s="3"/>
      <c r="L1705" s="3"/>
      <c r="M1705" s="3"/>
      <c r="N1705" s="9" t="n">
        <v>0</v>
      </c>
      <c r="O1705" s="4" t="n">
        <v>0</v>
      </c>
      <c r="P1705" s="5" t="n">
        <f aca="false">IF(COUNTIF([1]Base_Jugadores!J$2:J$500,B1705)&gt;0,1,0)</f>
        <v>0</v>
      </c>
      <c r="Q1705" s="10" t="b">
        <f aca="false">--(COUNTIFS(
   [1]Fichajes_Realizados!A$2:A$5000,A1705,
   [1]Fichajes_Realizados!G$2:G$5000,$X$3
)&gt;0)</f>
        <v>0</v>
      </c>
      <c r="R1705" s="5" t="n">
        <f aca="false">_xlfn.XLOOKUP(C1705, [1]Estado_Equipos!A$2:A$500, [1]Estado_Equipos!J$2:J$500, "")</f>
        <v>77</v>
      </c>
      <c r="S1705" s="5" t="n">
        <f aca="false">IF(H1705&lt;=16,1.45,
IF(H1705&gt;=41,0.3,
CHOOSE(ROUNDDOWN((H1705-16)/2,0)+1,
1.45,1.38,1.3,1.23,1.17,1.15,1.12,1.05,0.95,0.8,0.6,0.4,0.3)))</f>
        <v>1.3</v>
      </c>
      <c r="T1705" s="5" t="n">
        <f aca="false">CHOOSE(N1705+1,1.2,1,0.85,0.7)</f>
        <v>1.2</v>
      </c>
      <c r="U1705" s="5" t="n">
        <f aca="false">IF(F1705="PO",0.6,
IF(F1705="CT",0.75,
IF(F1705="LI",0.8,
IF(F1705="LD",0.8,
IF(F1705="MCD",0.85,
IF(F1705="MC",0.95,
IF(F1705="MO",1.05,
IF(F1705="EI",1.1,
IF(F1705="ED",1.1,
IF(F1705="SD",1.15,
IF(F1705="DC",1.2,0)))))))))))</f>
        <v>0.95</v>
      </c>
    </row>
    <row r="1706" customFormat="false" ht="16.4" hidden="false" customHeight="false" outlineLevel="0" collapsed="false">
      <c r="A1706" s="1" t="n">
        <v>1705</v>
      </c>
      <c r="B1706" s="5" t="str">
        <f aca="false">[1]Base_Jugadores!B1706</f>
        <v>Julian Brandt</v>
      </c>
      <c r="C1706" s="5" t="str">
        <f aca="false">IFERROR(
   _xlfn.XLOOKUP(VALUE(A1706),[1]Fichajes_Realizados!A$2:A$50000,[1]Fichajes_Realizados!D$2:D$50000,,0,-1),
   _xlfn.XLOOKUP(VALUE(A1706),[1]Base_Jugadores!A$2:A$50000,[1]Base_Jugadores!C$2:C$50000)
)</f>
        <v>Borussia Dortmund</v>
      </c>
      <c r="D1706" s="5" t="str">
        <f aca="false">[1]Base_Jugadores!D1706</f>
        <v>Alemania</v>
      </c>
      <c r="E1706" s="3"/>
      <c r="F1706" s="5" t="str">
        <f aca="false">[1]Base_Jugadores!E1706</f>
        <v>MO</v>
      </c>
      <c r="G1706" s="5" t="n">
        <f aca="false">[1]Base_Jugadores!F1706</f>
        <v>85</v>
      </c>
      <c r="H1706" s="5" t="n">
        <f aca="false">[1]Base_Jugadores!G1706</f>
        <v>29</v>
      </c>
      <c r="I1706" s="7" t="n">
        <f aca="false" t="array" ref="I1706:I1706">_xlfn.XLOOKUP(G1706,{55;56;57;58;59;60;61;62;63;64;65;66;67;68;69;70;71;72;73;74;75;76;77;78;79;80;81;82;83;84;85;86;87;88;89;90;91;92;93;94;95;96;97;98;99},{100000;130000;160000;190000;220000;250000;300000;350000;400000;450000;500000;600000;700000;800000;900000;1000000;1500000;2000000;3000000;4000000;5000000;6500000;8000000;10000000;12500000;15000000;20000000;25000000;30000000;35000000;40000000;55000000;70000000;80000000;90000000;110000000;130000000;160000000;190000000;220000000;250000000;280000000;310000000;340000000;400000000})</f>
        <v>40000000</v>
      </c>
      <c r="J1706" s="7" t="n">
        <f aca="false">I1706*S1706*T1706*U1706</f>
        <v>56448000</v>
      </c>
      <c r="K1706" s="3"/>
      <c r="L1706" s="3"/>
      <c r="M1706" s="3"/>
      <c r="N1706" s="9" t="n">
        <v>0</v>
      </c>
      <c r="O1706" s="4" t="n">
        <v>0</v>
      </c>
      <c r="P1706" s="5" t="n">
        <f aca="false">IF(COUNTIF([1]Base_Jugadores!J$2:J$500,B1706)&gt;0,1,0)</f>
        <v>0</v>
      </c>
      <c r="Q1706" s="10" t="b">
        <f aca="false">--(COUNTIFS(
   [1]Fichajes_Realizados!A$2:A$5000,A1706,
   [1]Fichajes_Realizados!G$2:G$5000,$X$3
)&gt;0)</f>
        <v>0</v>
      </c>
      <c r="R1706" s="5" t="n">
        <f aca="false">_xlfn.XLOOKUP(C1706, [1]Estado_Equipos!A$2:A$500, [1]Estado_Equipos!J$2:J$500, "")</f>
        <v>77</v>
      </c>
      <c r="S1706" s="5" t="n">
        <f aca="false">IF(H1706&lt;=16,1.45,
IF(H1706&gt;=41,0.3,
CHOOSE(ROUNDDOWN((H1706-16)/2,0)+1,
1.45,1.38,1.3,1.23,1.17,1.15,1.12,1.05,0.95,0.8,0.6,0.4,0.3)))</f>
        <v>1.12</v>
      </c>
      <c r="T1706" s="5" t="n">
        <f aca="false">CHOOSE(N1706+1,1.2,1,0.85,0.7)</f>
        <v>1.2</v>
      </c>
      <c r="U1706" s="5" t="n">
        <f aca="false">IF(F1706="PO",0.6,
IF(F1706="CT",0.75,
IF(F1706="LI",0.8,
IF(F1706="LD",0.8,
IF(F1706="MCD",0.85,
IF(F1706="MC",0.95,
IF(F1706="MO",1.05,
IF(F1706="EI",1.1,
IF(F1706="ED",1.1,
IF(F1706="SD",1.15,
IF(F1706="DC",1.2,0)))))))))))</f>
        <v>1.05</v>
      </c>
    </row>
    <row r="1707" customFormat="false" ht="16.4" hidden="false" customHeight="false" outlineLevel="0" collapsed="false">
      <c r="A1707" s="1" t="n">
        <v>1706</v>
      </c>
      <c r="B1707" s="5" t="str">
        <f aca="false">[1]Base_Jugadores!B1707</f>
        <v>Julian Ryerson</v>
      </c>
      <c r="C1707" s="5" t="str">
        <f aca="false">IFERROR(
   _xlfn.XLOOKUP(VALUE(A1707),[1]Fichajes_Realizados!A$2:A$50000,[1]Fichajes_Realizados!D$2:D$50000,,0,-1),
   _xlfn.XLOOKUP(VALUE(A1707),[1]Base_Jugadores!A$2:A$50000,[1]Base_Jugadores!C$2:C$50000)
)</f>
        <v>Borussia Dortmund</v>
      </c>
      <c r="D1707" s="5" t="str">
        <f aca="false">[1]Base_Jugadores!D1707</f>
        <v>Noruega</v>
      </c>
      <c r="E1707" s="3"/>
      <c r="F1707" s="5" t="str">
        <f aca="false">[1]Base_Jugadores!E1707</f>
        <v>LD</v>
      </c>
      <c r="G1707" s="5" t="n">
        <f aca="false">[1]Base_Jugadores!F1707</f>
        <v>79</v>
      </c>
      <c r="H1707" s="5" t="n">
        <f aca="false">[1]Base_Jugadores!G1707</f>
        <v>28</v>
      </c>
      <c r="I1707" s="7" t="n">
        <f aca="false" t="array" ref="I1707:I1707">_xlfn.XLOOKUP(G1707,{55;56;57;58;59;60;61;62;63;64;65;66;67;68;69;70;71;72;73;74;75;76;77;78;79;80;81;82;83;84;85;86;87;88;89;90;91;92;93;94;95;96;97;98;99},{100000;130000;160000;190000;220000;250000;300000;350000;400000;450000;500000;600000;700000;800000;900000;1000000;1500000;2000000;3000000;4000000;5000000;6500000;8000000;10000000;12500000;15000000;20000000;25000000;30000000;35000000;40000000;55000000;70000000;80000000;90000000;110000000;130000000;160000000;190000000;220000000;250000000;280000000;310000000;340000000;400000000})</f>
        <v>12500000</v>
      </c>
      <c r="J1707" s="7" t="n">
        <f aca="false">I1707*S1707*T1707*U1707</f>
        <v>13440000</v>
      </c>
      <c r="K1707" s="3"/>
      <c r="L1707" s="3"/>
      <c r="M1707" s="3"/>
      <c r="N1707" s="9" t="n">
        <v>0</v>
      </c>
      <c r="O1707" s="4" t="n">
        <v>0</v>
      </c>
      <c r="P1707" s="5" t="n">
        <f aca="false">IF(COUNTIF([1]Base_Jugadores!J$2:J$500,B1707)&gt;0,1,0)</f>
        <v>0</v>
      </c>
      <c r="Q1707" s="10" t="b">
        <f aca="false">--(COUNTIFS(
   [1]Fichajes_Realizados!A$2:A$5000,A1707,
   [1]Fichajes_Realizados!G$2:G$5000,$X$3
)&gt;0)</f>
        <v>0</v>
      </c>
      <c r="R1707" s="5" t="n">
        <f aca="false">_xlfn.XLOOKUP(C1707, [1]Estado_Equipos!A$2:A$500, [1]Estado_Equipos!J$2:J$500, "")</f>
        <v>77</v>
      </c>
      <c r="S1707" s="5" t="n">
        <f aca="false">IF(H1707&lt;=16,1.45,
IF(H1707&gt;=41,0.3,
CHOOSE(ROUNDDOWN((H1707-16)/2,0)+1,
1.45,1.38,1.3,1.23,1.17,1.15,1.12,1.05,0.95,0.8,0.6,0.4,0.3)))</f>
        <v>1.12</v>
      </c>
      <c r="T1707" s="5" t="n">
        <f aca="false">CHOOSE(N1707+1,1.2,1,0.85,0.7)</f>
        <v>1.2</v>
      </c>
      <c r="U1707" s="5" t="n">
        <f aca="false">IF(F1707="PO",0.6,
IF(F1707="CT",0.75,
IF(F1707="LI",0.8,
IF(F1707="LD",0.8,
IF(F1707="MCD",0.85,
IF(F1707="MC",0.95,
IF(F1707="MO",1.05,
IF(F1707="EI",1.1,
IF(F1707="ED",1.1,
IF(F1707="SD",1.15,
IF(F1707="DC",1.2,0)))))))))))</f>
        <v>0.8</v>
      </c>
    </row>
    <row r="1708" customFormat="false" ht="16.4" hidden="false" customHeight="false" outlineLevel="0" collapsed="false">
      <c r="A1708" s="1" t="n">
        <v>1707</v>
      </c>
      <c r="B1708" s="5" t="str">
        <f aca="false">[1]Base_Jugadores!B1708</f>
        <v>Julien Duranville</v>
      </c>
      <c r="C1708" s="5" t="str">
        <f aca="false">IFERROR(
   _xlfn.XLOOKUP(VALUE(A1708),[1]Fichajes_Realizados!A$2:A$50000,[1]Fichajes_Realizados!D$2:D$50000,,0,-1),
   _xlfn.XLOOKUP(VALUE(A1708),[1]Base_Jugadores!A$2:A$50000,[1]Base_Jugadores!C$2:C$50000)
)</f>
        <v>Borussia Dortmund</v>
      </c>
      <c r="D1708" s="5" t="str">
        <f aca="false">[1]Base_Jugadores!D1708</f>
        <v>Bélgica</v>
      </c>
      <c r="E1708" s="3"/>
      <c r="F1708" s="5" t="str">
        <f aca="false">[1]Base_Jugadores!E1708</f>
        <v>EI</v>
      </c>
      <c r="G1708" s="5" t="n">
        <f aca="false">[1]Base_Jugadores!F1708</f>
        <v>66</v>
      </c>
      <c r="H1708" s="5" t="n">
        <f aca="false">[1]Base_Jugadores!G1708</f>
        <v>19</v>
      </c>
      <c r="I1708" s="7" t="n">
        <f aca="false" t="array" ref="I1708:I1708">_xlfn.XLOOKUP(G1708,{55;56;57;58;59;60;61;62;63;64;65;66;67;68;69;70;71;72;73;74;75;76;77;78;79;80;81;82;83;84;85;86;87;88;89;90;91;92;93;94;95;96;97;98;99},{100000;130000;160000;190000;220000;250000;300000;350000;400000;450000;500000;600000;700000;800000;900000;1000000;1500000;2000000;3000000;4000000;5000000;6500000;8000000;10000000;12500000;15000000;20000000;25000000;30000000;35000000;40000000;55000000;70000000;80000000;90000000;110000000;130000000;160000000;190000000;220000000;250000000;280000000;310000000;340000000;400000000})</f>
        <v>600000</v>
      </c>
      <c r="J1708" s="7" t="n">
        <f aca="false">I1708*S1708*T1708*U1708</f>
        <v>1092960</v>
      </c>
      <c r="K1708" s="3"/>
      <c r="L1708" s="3"/>
      <c r="M1708" s="3"/>
      <c r="N1708" s="9" t="n">
        <v>0</v>
      </c>
      <c r="O1708" s="4" t="n">
        <v>0</v>
      </c>
      <c r="P1708" s="5" t="n">
        <f aca="false">IF(COUNTIF([1]Base_Jugadores!J$2:J$500,B1708)&gt;0,1,0)</f>
        <v>0</v>
      </c>
      <c r="Q1708" s="10" t="b">
        <f aca="false">--(COUNTIFS(
   [1]Fichajes_Realizados!A$2:A$5000,A1708,
   [1]Fichajes_Realizados!G$2:G$5000,$X$3
)&gt;0)</f>
        <v>0</v>
      </c>
      <c r="R1708" s="5" t="n">
        <f aca="false">_xlfn.XLOOKUP(C1708, [1]Estado_Equipos!A$2:A$500, [1]Estado_Equipos!J$2:J$500, "")</f>
        <v>77</v>
      </c>
      <c r="S1708" s="5" t="n">
        <f aca="false">IF(H1708&lt;=16,1.45,
IF(H1708&gt;=41,0.3,
CHOOSE(ROUNDDOWN((H1708-16)/2,0)+1,
1.45,1.38,1.3,1.23,1.17,1.15,1.12,1.05,0.95,0.8,0.6,0.4,0.3)))</f>
        <v>1.38</v>
      </c>
      <c r="T1708" s="5" t="n">
        <f aca="false">CHOOSE(N1708+1,1.2,1,0.85,0.7)</f>
        <v>1.2</v>
      </c>
      <c r="U1708" s="5" t="n">
        <f aca="false">IF(F1708="PO",0.6,
IF(F1708="CT",0.75,
IF(F1708="LI",0.8,
IF(F1708="LD",0.8,
IF(F1708="MCD",0.85,
IF(F1708="MC",0.95,
IF(F1708="MO",1.05,
IF(F1708="EI",1.1,
IF(F1708="ED",1.1,
IF(F1708="SD",1.15,
IF(F1708="DC",1.2,0)))))))))))</f>
        <v>1.1</v>
      </c>
    </row>
    <row r="1709" customFormat="false" ht="16.4" hidden="false" customHeight="false" outlineLevel="0" collapsed="false">
      <c r="A1709" s="1" t="n">
        <v>1708</v>
      </c>
      <c r="B1709" s="5" t="str">
        <f aca="false">[1]Base_Jugadores!B1709</f>
        <v>Karim Adeyemi</v>
      </c>
      <c r="C1709" s="5" t="str">
        <f aca="false">IFERROR(
   _xlfn.XLOOKUP(VALUE(A1709),[1]Fichajes_Realizados!A$2:A$50000,[1]Fichajes_Realizados!D$2:D$50000,,0,-1),
   _xlfn.XLOOKUP(VALUE(A1709),[1]Base_Jugadores!A$2:A$50000,[1]Base_Jugadores!C$2:C$50000)
)</f>
        <v>Borussia Dortmund</v>
      </c>
      <c r="D1709" s="5" t="str">
        <f aca="false">[1]Base_Jugadores!D1709</f>
        <v>Alemania</v>
      </c>
      <c r="E1709" s="3"/>
      <c r="F1709" s="5" t="str">
        <f aca="false">[1]Base_Jugadores!E1709</f>
        <v>ED</v>
      </c>
      <c r="G1709" s="5" t="n">
        <f aca="false">[1]Base_Jugadores!F1709</f>
        <v>80</v>
      </c>
      <c r="H1709" s="5" t="n">
        <f aca="false">[1]Base_Jugadores!G1709</f>
        <v>23</v>
      </c>
      <c r="I1709" s="7" t="n">
        <f aca="false" t="array" ref="I1709:I1709">_xlfn.XLOOKUP(G1709,{55;56;57;58;59;60;61;62;63;64;65;66;67;68;69;70;71;72;73;74;75;76;77;78;79;80;81;82;83;84;85;86;87;88;89;90;91;92;93;94;95;96;97;98;99},{100000;130000;160000;190000;220000;250000;300000;350000;400000;450000;500000;600000;700000;800000;900000;1000000;1500000;2000000;3000000;4000000;5000000;6500000;8000000;10000000;12500000;15000000;20000000;25000000;30000000;35000000;40000000;55000000;70000000;80000000;90000000;110000000;130000000;160000000;190000000;220000000;250000000;280000000;310000000;340000000;400000000})</f>
        <v>15000000</v>
      </c>
      <c r="J1709" s="7" t="n">
        <f aca="false">I1709*S1709*T1709*U1709</f>
        <v>24354000</v>
      </c>
      <c r="K1709" s="3"/>
      <c r="L1709" s="3"/>
      <c r="M1709" s="3"/>
      <c r="N1709" s="9" t="n">
        <v>0</v>
      </c>
      <c r="O1709" s="4" t="n">
        <v>0</v>
      </c>
      <c r="P1709" s="5" t="n">
        <f aca="false">IF(COUNTIF([1]Base_Jugadores!J$2:J$500,B1709)&gt;0,1,0)</f>
        <v>0</v>
      </c>
      <c r="Q1709" s="10" t="b">
        <f aca="false">--(COUNTIFS(
   [1]Fichajes_Realizados!A$2:A$5000,A1709,
   [1]Fichajes_Realizados!G$2:G$5000,$X$3
)&gt;0)</f>
        <v>0</v>
      </c>
      <c r="R1709" s="5" t="n">
        <f aca="false">_xlfn.XLOOKUP(C1709, [1]Estado_Equipos!A$2:A$500, [1]Estado_Equipos!J$2:J$500, "")</f>
        <v>77</v>
      </c>
      <c r="S1709" s="5" t="n">
        <f aca="false">IF(H1709&lt;=16,1.45,
IF(H1709&gt;=41,0.3,
CHOOSE(ROUNDDOWN((H1709-16)/2,0)+1,
1.45,1.38,1.3,1.23,1.17,1.15,1.12,1.05,0.95,0.8,0.6,0.4,0.3)))</f>
        <v>1.23</v>
      </c>
      <c r="T1709" s="5" t="n">
        <f aca="false">CHOOSE(N1709+1,1.2,1,0.85,0.7)</f>
        <v>1.2</v>
      </c>
      <c r="U1709" s="5" t="n">
        <f aca="false">IF(F1709="PO",0.6,
IF(F1709="CT",0.75,
IF(F1709="LI",0.8,
IF(F1709="LD",0.8,
IF(F1709="MCD",0.85,
IF(F1709="MC",0.95,
IF(F1709="MO",1.05,
IF(F1709="EI",1.1,
IF(F1709="ED",1.1,
IF(F1709="SD",1.15,
IF(F1709="DC",1.2,0)))))))))))</f>
        <v>1.1</v>
      </c>
    </row>
    <row r="1710" customFormat="false" ht="16.4" hidden="false" customHeight="false" outlineLevel="0" collapsed="false">
      <c r="A1710" s="1" t="n">
        <v>1709</v>
      </c>
      <c r="B1710" s="5" t="str">
        <f aca="false">[1]Base_Jugadores!B1710</f>
        <v>Marcel Sabitzer</v>
      </c>
      <c r="C1710" s="5" t="str">
        <f aca="false">IFERROR(
   _xlfn.XLOOKUP(VALUE(A1710),[1]Fichajes_Realizados!A$2:A$50000,[1]Fichajes_Realizados!D$2:D$50000,,0,-1),
   _xlfn.XLOOKUP(VALUE(A1710),[1]Base_Jugadores!A$2:A$50000,[1]Base_Jugadores!C$2:C$50000)
)</f>
        <v>Borussia Dortmund</v>
      </c>
      <c r="D1710" s="5" t="str">
        <f aca="false">[1]Base_Jugadores!D1710</f>
        <v>Austria</v>
      </c>
      <c r="E1710" s="3"/>
      <c r="F1710" s="5" t="str">
        <f aca="false">[1]Base_Jugadores!E1710</f>
        <v>MC</v>
      </c>
      <c r="G1710" s="5" t="n">
        <f aca="false">[1]Base_Jugadores!F1710</f>
        <v>84</v>
      </c>
      <c r="H1710" s="5" t="n">
        <f aca="false">[1]Base_Jugadores!G1710</f>
        <v>31</v>
      </c>
      <c r="I1710" s="7" t="n">
        <f aca="false" t="array" ref="I1710:I1710">_xlfn.XLOOKUP(G1710,{55;56;57;58;59;60;61;62;63;64;65;66;67;68;69;70;71;72;73;74;75;76;77;78;79;80;81;82;83;84;85;86;87;88;89;90;91;92;93;94;95;96;97;98;99},{100000;130000;160000;190000;220000;250000;300000;350000;400000;450000;500000;600000;700000;800000;900000;1000000;1500000;2000000;3000000;4000000;5000000;6500000;8000000;10000000;12500000;15000000;20000000;25000000;30000000;35000000;40000000;55000000;70000000;80000000;90000000;110000000;130000000;160000000;190000000;220000000;250000000;280000000;310000000;340000000;400000000})</f>
        <v>35000000</v>
      </c>
      <c r="J1710" s="7" t="n">
        <f aca="false">I1710*S1710*T1710*U1710</f>
        <v>41895000</v>
      </c>
      <c r="K1710" s="3"/>
      <c r="L1710" s="3"/>
      <c r="M1710" s="3"/>
      <c r="N1710" s="9" t="n">
        <v>0</v>
      </c>
      <c r="O1710" s="4" t="n">
        <v>0</v>
      </c>
      <c r="P1710" s="5" t="n">
        <f aca="false">IF(COUNTIF([1]Base_Jugadores!J$2:J$500,B1710)&gt;0,1,0)</f>
        <v>0</v>
      </c>
      <c r="Q1710" s="10" t="b">
        <f aca="false">--(COUNTIFS(
   [1]Fichajes_Realizados!A$2:A$5000,A1710,
   [1]Fichajes_Realizados!G$2:G$5000,$X$3
)&gt;0)</f>
        <v>0</v>
      </c>
      <c r="R1710" s="5" t="n">
        <f aca="false">_xlfn.XLOOKUP(C1710, [1]Estado_Equipos!A$2:A$500, [1]Estado_Equipos!J$2:J$500, "")</f>
        <v>77</v>
      </c>
      <c r="S1710" s="5" t="n">
        <f aca="false">IF(H1710&lt;=16,1.45,
IF(H1710&gt;=41,0.3,
CHOOSE(ROUNDDOWN((H1710-16)/2,0)+1,
1.45,1.38,1.3,1.23,1.17,1.15,1.12,1.05,0.95,0.8,0.6,0.4,0.3)))</f>
        <v>1.05</v>
      </c>
      <c r="T1710" s="5" t="n">
        <f aca="false">CHOOSE(N1710+1,1.2,1,0.85,0.7)</f>
        <v>1.2</v>
      </c>
      <c r="U1710" s="5" t="n">
        <f aca="false">IF(F1710="PO",0.6,
IF(F1710="CT",0.75,
IF(F1710="LI",0.8,
IF(F1710="LD",0.8,
IF(F1710="MCD",0.85,
IF(F1710="MC",0.95,
IF(F1710="MO",1.05,
IF(F1710="EI",1.1,
IF(F1710="ED",1.1,
IF(F1710="SD",1.15,
IF(F1710="DC",1.2,0)))))))))))</f>
        <v>0.95</v>
      </c>
    </row>
    <row r="1711" customFormat="false" ht="16.4" hidden="false" customHeight="false" outlineLevel="0" collapsed="false">
      <c r="A1711" s="1" t="n">
        <v>1710</v>
      </c>
      <c r="B1711" s="5" t="str">
        <f aca="false">[1]Base_Jugadores!B1711</f>
        <v>Maximilian Beier</v>
      </c>
      <c r="C1711" s="5" t="str">
        <f aca="false">IFERROR(
   _xlfn.XLOOKUP(VALUE(A1711),[1]Fichajes_Realizados!A$2:A$50000,[1]Fichajes_Realizados!D$2:D$50000,,0,-1),
   _xlfn.XLOOKUP(VALUE(A1711),[1]Base_Jugadores!A$2:A$50000,[1]Base_Jugadores!C$2:C$50000)
)</f>
        <v>Borussia Dortmund</v>
      </c>
      <c r="D1711" s="5" t="str">
        <f aca="false">[1]Base_Jugadores!D1711</f>
        <v>Alemania</v>
      </c>
      <c r="E1711" s="3"/>
      <c r="F1711" s="5" t="str">
        <f aca="false">[1]Base_Jugadores!E1711</f>
        <v>DC</v>
      </c>
      <c r="G1711" s="5" t="n">
        <f aca="false">[1]Base_Jugadores!F1711</f>
        <v>79</v>
      </c>
      <c r="H1711" s="5" t="n">
        <f aca="false">[1]Base_Jugadores!G1711</f>
        <v>23</v>
      </c>
      <c r="I1711" s="7" t="n">
        <f aca="false" t="array" ref="I1711:I1711">_xlfn.XLOOKUP(G1711,{55;56;57;58;59;60;61;62;63;64;65;66;67;68;69;70;71;72;73;74;75;76;77;78;79;80;81;82;83;84;85;86;87;88;89;90;91;92;93;94;95;96;97;98;99},{100000;130000;160000;190000;220000;250000;300000;350000;400000;450000;500000;600000;700000;800000;900000;1000000;1500000;2000000;3000000;4000000;5000000;6500000;8000000;10000000;12500000;15000000;20000000;25000000;30000000;35000000;40000000;55000000;70000000;80000000;90000000;110000000;130000000;160000000;190000000;220000000;250000000;280000000;310000000;340000000;400000000})</f>
        <v>12500000</v>
      </c>
      <c r="J1711" s="7" t="n">
        <f aca="false">I1711*S1711*T1711*U1711</f>
        <v>22140000</v>
      </c>
      <c r="K1711" s="3"/>
      <c r="L1711" s="3"/>
      <c r="M1711" s="3"/>
      <c r="N1711" s="9" t="n">
        <v>0</v>
      </c>
      <c r="O1711" s="4" t="n">
        <v>0</v>
      </c>
      <c r="P1711" s="5" t="n">
        <f aca="false">IF(COUNTIF([1]Base_Jugadores!J$2:J$500,B1711)&gt;0,1,0)</f>
        <v>0</v>
      </c>
      <c r="Q1711" s="10" t="b">
        <f aca="false">--(COUNTIFS(
   [1]Fichajes_Realizados!A$2:A$5000,A1711,
   [1]Fichajes_Realizados!G$2:G$5000,$X$3
)&gt;0)</f>
        <v>0</v>
      </c>
      <c r="R1711" s="5" t="n">
        <f aca="false">_xlfn.XLOOKUP(C1711, [1]Estado_Equipos!A$2:A$500, [1]Estado_Equipos!J$2:J$500, "")</f>
        <v>77</v>
      </c>
      <c r="S1711" s="5" t="n">
        <f aca="false">IF(H1711&lt;=16,1.45,
IF(H1711&gt;=41,0.3,
CHOOSE(ROUNDDOWN((H1711-16)/2,0)+1,
1.45,1.38,1.3,1.23,1.17,1.15,1.12,1.05,0.95,0.8,0.6,0.4,0.3)))</f>
        <v>1.23</v>
      </c>
      <c r="T1711" s="5" t="n">
        <f aca="false">CHOOSE(N1711+1,1.2,1,0.85,0.7)</f>
        <v>1.2</v>
      </c>
      <c r="U1711" s="5" t="n">
        <f aca="false">IF(F1711="PO",0.6,
IF(F1711="CT",0.75,
IF(F1711="LI",0.8,
IF(F1711="LD",0.8,
IF(F1711="MCD",0.85,
IF(F1711="MC",0.95,
IF(F1711="MO",1.05,
IF(F1711="EI",1.1,
IF(F1711="ED",1.1,
IF(F1711="SD",1.15,
IF(F1711="DC",1.2,0)))))))))))</f>
        <v>1.2</v>
      </c>
    </row>
    <row r="1712" customFormat="false" ht="16.4" hidden="false" customHeight="false" outlineLevel="0" collapsed="false">
      <c r="A1712" s="1" t="n">
        <v>1711</v>
      </c>
      <c r="B1712" s="5" t="str">
        <f aca="false">[1]Base_Jugadores!B1712</f>
        <v>Nico Schlotterbeck</v>
      </c>
      <c r="C1712" s="5" t="str">
        <f aca="false">IFERROR(
   _xlfn.XLOOKUP(VALUE(A1712),[1]Fichajes_Realizados!A$2:A$50000,[1]Fichajes_Realizados!D$2:D$50000,,0,-1),
   _xlfn.XLOOKUP(VALUE(A1712),[1]Base_Jugadores!A$2:A$50000,[1]Base_Jugadores!C$2:C$50000)
)</f>
        <v>Borussia Dortmund</v>
      </c>
      <c r="D1712" s="5" t="str">
        <f aca="false">[1]Base_Jugadores!D1712</f>
        <v>Alemania</v>
      </c>
      <c r="E1712" s="3"/>
      <c r="F1712" s="5" t="str">
        <f aca="false">[1]Base_Jugadores!E1712</f>
        <v>CT</v>
      </c>
      <c r="G1712" s="5" t="n">
        <f aca="false">[1]Base_Jugadores!F1712</f>
        <v>85</v>
      </c>
      <c r="H1712" s="5" t="n">
        <f aca="false">[1]Base_Jugadores!G1712</f>
        <v>26</v>
      </c>
      <c r="I1712" s="7" t="n">
        <f aca="false" t="array" ref="I1712:I1712">_xlfn.XLOOKUP(G1712,{55;56;57;58;59;60;61;62;63;64;65;66;67;68;69;70;71;72;73;74;75;76;77;78;79;80;81;82;83;84;85;86;87;88;89;90;91;92;93;94;95;96;97;98;99},{100000;130000;160000;190000;220000;250000;300000;350000;400000;450000;500000;600000;700000;800000;900000;1000000;1500000;2000000;3000000;4000000;5000000;6500000;8000000;10000000;12500000;15000000;20000000;25000000;30000000;35000000;40000000;55000000;70000000;80000000;90000000;110000000;130000000;160000000;190000000;220000000;250000000;280000000;310000000;340000000;400000000})</f>
        <v>40000000</v>
      </c>
      <c r="J1712" s="7" t="n">
        <f aca="false">I1712*S1712*T1712*U1712</f>
        <v>41400000</v>
      </c>
      <c r="K1712" s="3"/>
      <c r="L1712" s="3"/>
      <c r="M1712" s="3"/>
      <c r="N1712" s="9" t="n">
        <v>0</v>
      </c>
      <c r="O1712" s="4" t="n">
        <v>0</v>
      </c>
      <c r="P1712" s="5" t="n">
        <f aca="false">IF(COUNTIF([1]Base_Jugadores!J$2:J$500,B1712)&gt;0,1,0)</f>
        <v>0</v>
      </c>
      <c r="Q1712" s="10" t="b">
        <f aca="false">--(COUNTIFS(
   [1]Fichajes_Realizados!A$2:A$5000,A1712,
   [1]Fichajes_Realizados!G$2:G$5000,$X$3
)&gt;0)</f>
        <v>0</v>
      </c>
      <c r="R1712" s="5" t="n">
        <f aca="false">_xlfn.XLOOKUP(C1712, [1]Estado_Equipos!A$2:A$500, [1]Estado_Equipos!J$2:J$500, "")</f>
        <v>77</v>
      </c>
      <c r="S1712" s="5" t="n">
        <f aca="false">IF(H1712&lt;=16,1.45,
IF(H1712&gt;=41,0.3,
CHOOSE(ROUNDDOWN((H1712-16)/2,0)+1,
1.45,1.38,1.3,1.23,1.17,1.15,1.12,1.05,0.95,0.8,0.6,0.4,0.3)))</f>
        <v>1.15</v>
      </c>
      <c r="T1712" s="5" t="n">
        <f aca="false">CHOOSE(N1712+1,1.2,1,0.85,0.7)</f>
        <v>1.2</v>
      </c>
      <c r="U1712" s="5" t="n">
        <f aca="false">IF(F1712="PO",0.6,
IF(F1712="CT",0.75,
IF(F1712="LI",0.8,
IF(F1712="LD",0.8,
IF(F1712="MCD",0.85,
IF(F1712="MC",0.95,
IF(F1712="MO",1.05,
IF(F1712="EI",1.1,
IF(F1712="ED",1.1,
IF(F1712="SD",1.15,
IF(F1712="DC",1.2,0)))))))))))</f>
        <v>0.75</v>
      </c>
    </row>
    <row r="1713" customFormat="false" ht="16.4" hidden="false" customHeight="false" outlineLevel="0" collapsed="false">
      <c r="A1713" s="1" t="n">
        <v>1712</v>
      </c>
      <c r="B1713" s="5" t="str">
        <f aca="false">[1]Base_Jugadores!B1713</f>
        <v>Niklas Süle</v>
      </c>
      <c r="C1713" s="5" t="str">
        <f aca="false">IFERROR(
   _xlfn.XLOOKUP(VALUE(A1713),[1]Fichajes_Realizados!A$2:A$50000,[1]Fichajes_Realizados!D$2:D$50000,,0,-1),
   _xlfn.XLOOKUP(VALUE(A1713),[1]Base_Jugadores!A$2:A$50000,[1]Base_Jugadores!C$2:C$50000)
)</f>
        <v>Borussia Dortmund</v>
      </c>
      <c r="D1713" s="5" t="str">
        <f aca="false">[1]Base_Jugadores!D1713</f>
        <v>Alemania</v>
      </c>
      <c r="E1713" s="3"/>
      <c r="F1713" s="5" t="str">
        <f aca="false">[1]Base_Jugadores!E1713</f>
        <v>CT</v>
      </c>
      <c r="G1713" s="5" t="n">
        <f aca="false">[1]Base_Jugadores!F1713</f>
        <v>82</v>
      </c>
      <c r="H1713" s="5" t="n">
        <f aca="false">[1]Base_Jugadores!G1713</f>
        <v>30</v>
      </c>
      <c r="I1713" s="7" t="n">
        <f aca="false" t="array" ref="I1713:I1713">_xlfn.XLOOKUP(G1713,{55;56;57;58;59;60;61;62;63;64;65;66;67;68;69;70;71;72;73;74;75;76;77;78;79;80;81;82;83;84;85;86;87;88;89;90;91;92;93;94;95;96;97;98;99},{100000;130000;160000;190000;220000;250000;300000;350000;400000;450000;500000;600000;700000;800000;900000;1000000;1500000;2000000;3000000;4000000;5000000;6500000;8000000;10000000;12500000;15000000;20000000;25000000;30000000;35000000;40000000;55000000;70000000;80000000;90000000;110000000;130000000;160000000;190000000;220000000;250000000;280000000;310000000;340000000;400000000})</f>
        <v>25000000</v>
      </c>
      <c r="J1713" s="7" t="n">
        <f aca="false">I1713*S1713*T1713*U1713</f>
        <v>23625000</v>
      </c>
      <c r="K1713" s="3"/>
      <c r="L1713" s="3"/>
      <c r="M1713" s="3"/>
      <c r="N1713" s="9" t="n">
        <v>0</v>
      </c>
      <c r="O1713" s="4" t="n">
        <v>0</v>
      </c>
      <c r="P1713" s="5" t="n">
        <f aca="false">IF(COUNTIF([1]Base_Jugadores!J$2:J$500,B1713)&gt;0,1,0)</f>
        <v>0</v>
      </c>
      <c r="Q1713" s="10" t="b">
        <f aca="false">--(COUNTIFS(
   [1]Fichajes_Realizados!A$2:A$5000,A1713,
   [1]Fichajes_Realizados!G$2:G$5000,$X$3
)&gt;0)</f>
        <v>0</v>
      </c>
      <c r="R1713" s="5" t="n">
        <f aca="false">_xlfn.XLOOKUP(C1713, [1]Estado_Equipos!A$2:A$500, [1]Estado_Equipos!J$2:J$500, "")</f>
        <v>77</v>
      </c>
      <c r="S1713" s="5" t="n">
        <f aca="false">IF(H1713&lt;=16,1.45,
IF(H1713&gt;=41,0.3,
CHOOSE(ROUNDDOWN((H1713-16)/2,0)+1,
1.45,1.38,1.3,1.23,1.17,1.15,1.12,1.05,0.95,0.8,0.6,0.4,0.3)))</f>
        <v>1.05</v>
      </c>
      <c r="T1713" s="5" t="n">
        <f aca="false">CHOOSE(N1713+1,1.2,1,0.85,0.7)</f>
        <v>1.2</v>
      </c>
      <c r="U1713" s="5" t="n">
        <f aca="false">IF(F1713="PO",0.6,
IF(F1713="CT",0.75,
IF(F1713="LI",0.8,
IF(F1713="LD",0.8,
IF(F1713="MCD",0.85,
IF(F1713="MC",0.95,
IF(F1713="MO",1.05,
IF(F1713="EI",1.1,
IF(F1713="ED",1.1,
IF(F1713="SD",1.15,
IF(F1713="DC",1.2,0)))))))))))</f>
        <v>0.75</v>
      </c>
    </row>
    <row r="1714" customFormat="false" ht="16.4" hidden="false" customHeight="false" outlineLevel="0" collapsed="false">
      <c r="A1714" s="1" t="n">
        <v>1713</v>
      </c>
      <c r="B1714" s="5" t="str">
        <f aca="false">[1]Base_Jugadores!B1714</f>
        <v>Pascal Groß</v>
      </c>
      <c r="C1714" s="5" t="str">
        <f aca="false">IFERROR(
   _xlfn.XLOOKUP(VALUE(A1714),[1]Fichajes_Realizados!A$2:A$50000,[1]Fichajes_Realizados!D$2:D$50000,,0,-1),
   _xlfn.XLOOKUP(VALUE(A1714),[1]Base_Jugadores!A$2:A$50000,[1]Base_Jugadores!C$2:C$50000)
)</f>
        <v>Borussia Dortmund</v>
      </c>
      <c r="D1714" s="5" t="str">
        <f aca="false">[1]Base_Jugadores!D1714</f>
        <v>Alemania</v>
      </c>
      <c r="E1714" s="3"/>
      <c r="F1714" s="5" t="str">
        <f aca="false">[1]Base_Jugadores!E1714</f>
        <v>MC</v>
      </c>
      <c r="G1714" s="5" t="n">
        <f aca="false">[1]Base_Jugadores!F1714</f>
        <v>81</v>
      </c>
      <c r="H1714" s="5" t="n">
        <f aca="false">[1]Base_Jugadores!G1714</f>
        <v>34</v>
      </c>
      <c r="I1714" s="7" t="n">
        <f aca="false" t="array" ref="I1714:I1714">_xlfn.XLOOKUP(G1714,{55;56;57;58;59;60;61;62;63;64;65;66;67;68;69;70;71;72;73;74;75;76;77;78;79;80;81;82;83;84;85;86;87;88;89;90;91;92;93;94;95;96;97;98;99},{100000;130000;160000;190000;220000;250000;300000;350000;400000;450000;500000;600000;700000;800000;900000;1000000;1500000;2000000;3000000;4000000;5000000;6500000;8000000;10000000;12500000;15000000;20000000;25000000;30000000;35000000;40000000;55000000;70000000;80000000;90000000;110000000;130000000;160000000;190000000;220000000;250000000;280000000;310000000;340000000;400000000})</f>
        <v>20000000</v>
      </c>
      <c r="J1714" s="7" t="n">
        <f aca="false">I1714*S1714*T1714*U1714</f>
        <v>18240000</v>
      </c>
      <c r="K1714" s="3"/>
      <c r="L1714" s="3"/>
      <c r="M1714" s="3"/>
      <c r="N1714" s="9" t="n">
        <v>0</v>
      </c>
      <c r="O1714" s="4" t="n">
        <v>0</v>
      </c>
      <c r="P1714" s="5" t="n">
        <f aca="false">IF(COUNTIF([1]Base_Jugadores!J$2:J$500,B1714)&gt;0,1,0)</f>
        <v>0</v>
      </c>
      <c r="Q1714" s="10" t="b">
        <f aca="false">--(COUNTIFS(
   [1]Fichajes_Realizados!A$2:A$5000,A1714,
   [1]Fichajes_Realizados!G$2:G$5000,$X$3
)&gt;0)</f>
        <v>0</v>
      </c>
      <c r="R1714" s="5" t="n">
        <f aca="false">_xlfn.XLOOKUP(C1714, [1]Estado_Equipos!A$2:A$500, [1]Estado_Equipos!J$2:J$500, "")</f>
        <v>77</v>
      </c>
      <c r="S1714" s="5" t="n">
        <f aca="false">IF(H1714&lt;=16,1.45,
IF(H1714&gt;=41,0.3,
CHOOSE(ROUNDDOWN((H1714-16)/2,0)+1,
1.45,1.38,1.3,1.23,1.17,1.15,1.12,1.05,0.95,0.8,0.6,0.4,0.3)))</f>
        <v>0.8</v>
      </c>
      <c r="T1714" s="5" t="n">
        <f aca="false">CHOOSE(N1714+1,1.2,1,0.85,0.7)</f>
        <v>1.2</v>
      </c>
      <c r="U1714" s="5" t="n">
        <f aca="false">IF(F1714="PO",0.6,
IF(F1714="CT",0.75,
IF(F1714="LI",0.8,
IF(F1714="LD",0.8,
IF(F1714="MCD",0.85,
IF(F1714="MC",0.95,
IF(F1714="MO",1.05,
IF(F1714="EI",1.1,
IF(F1714="ED",1.1,
IF(F1714="SD",1.15,
IF(F1714="DC",1.2,0)))))))))))</f>
        <v>0.95</v>
      </c>
    </row>
    <row r="1715" customFormat="false" ht="16.4" hidden="false" customHeight="false" outlineLevel="0" collapsed="false">
      <c r="A1715" s="1" t="n">
        <v>1714</v>
      </c>
      <c r="B1715" s="5" t="str">
        <f aca="false">[1]Base_Jugadores!B1715</f>
        <v>Patrick Drewes</v>
      </c>
      <c r="C1715" s="5" t="str">
        <f aca="false">IFERROR(
   _xlfn.XLOOKUP(VALUE(A1715),[1]Fichajes_Realizados!A$2:A$50000,[1]Fichajes_Realizados!D$2:D$50000,,0,-1),
   _xlfn.XLOOKUP(VALUE(A1715),[1]Base_Jugadores!A$2:A$50000,[1]Base_Jugadores!C$2:C$50000)
)</f>
        <v>Borussia Dortmund</v>
      </c>
      <c r="D1715" s="5" t="str">
        <f aca="false">[1]Base_Jugadores!D1715</f>
        <v>Alemania</v>
      </c>
      <c r="E1715" s="3"/>
      <c r="F1715" s="5" t="str">
        <f aca="false">[1]Base_Jugadores!E1715</f>
        <v>PO</v>
      </c>
      <c r="G1715" s="5" t="n">
        <f aca="false">[1]Base_Jugadores!F1715</f>
        <v>74</v>
      </c>
      <c r="H1715" s="5" t="n">
        <f aca="false">[1]Base_Jugadores!G1715</f>
        <v>32</v>
      </c>
      <c r="I1715" s="7" t="n">
        <f aca="false" t="array" ref="I1715:I1715">_xlfn.XLOOKUP(G1715,{55;56;57;58;59;60;61;62;63;64;65;66;67;68;69;70;71;72;73;74;75;76;77;78;79;80;81;82;83;84;85;86;87;88;89;90;91;92;93;94;95;96;97;98;99},{100000;130000;160000;190000;220000;250000;300000;350000;400000;450000;500000;600000;700000;800000;900000;1000000;1500000;2000000;3000000;4000000;5000000;6500000;8000000;10000000;12500000;15000000;20000000;25000000;30000000;35000000;40000000;55000000;70000000;80000000;90000000;110000000;130000000;160000000;190000000;220000000;250000000;280000000;310000000;340000000;400000000})</f>
        <v>4000000</v>
      </c>
      <c r="J1715" s="7" t="n">
        <f aca="false">I1715*S1715*T1715*U1715</f>
        <v>2736000</v>
      </c>
      <c r="K1715" s="3"/>
      <c r="L1715" s="3"/>
      <c r="M1715" s="3"/>
      <c r="N1715" s="9" t="n">
        <v>0</v>
      </c>
      <c r="O1715" s="4" t="n">
        <v>0</v>
      </c>
      <c r="P1715" s="5" t="n">
        <f aca="false">IF(COUNTIF([1]Base_Jugadores!J$2:J$500,B1715)&gt;0,1,0)</f>
        <v>0</v>
      </c>
      <c r="Q1715" s="10" t="b">
        <f aca="false">--(COUNTIFS(
   [1]Fichajes_Realizados!A$2:A$5000,A1715,
   [1]Fichajes_Realizados!G$2:G$5000,$X$3
)&gt;0)</f>
        <v>0</v>
      </c>
      <c r="R1715" s="5" t="n">
        <f aca="false">_xlfn.XLOOKUP(C1715, [1]Estado_Equipos!A$2:A$500, [1]Estado_Equipos!J$2:J$500, "")</f>
        <v>77</v>
      </c>
      <c r="S1715" s="5" t="n">
        <f aca="false">IF(H1715&lt;=16,1.45,
IF(H1715&gt;=41,0.3,
CHOOSE(ROUNDDOWN((H1715-16)/2,0)+1,
1.45,1.38,1.3,1.23,1.17,1.15,1.12,1.05,0.95,0.8,0.6,0.4,0.3)))</f>
        <v>0.95</v>
      </c>
      <c r="T1715" s="5" t="n">
        <f aca="false">CHOOSE(N1715+1,1.2,1,0.85,0.7)</f>
        <v>1.2</v>
      </c>
      <c r="U1715" s="5" t="n">
        <f aca="false">IF(F1715="PO",0.6,
IF(F1715="CT",0.75,
IF(F1715="LI",0.8,
IF(F1715="LD",0.8,
IF(F1715="MCD",0.85,
IF(F1715="MC",0.95,
IF(F1715="MO",1.05,
IF(F1715="EI",1.1,
IF(F1715="ED",1.1,
IF(F1715="SD",1.15,
IF(F1715="DC",1.2,0)))))))))))</f>
        <v>0.6</v>
      </c>
    </row>
    <row r="1716" customFormat="false" ht="16.4" hidden="false" customHeight="false" outlineLevel="0" collapsed="false">
      <c r="A1716" s="1" t="n">
        <v>1715</v>
      </c>
      <c r="B1716" s="5" t="str">
        <f aca="false">[1]Base_Jugadores!B1716</f>
        <v>Ramy Bensebaini</v>
      </c>
      <c r="C1716" s="5" t="str">
        <f aca="false">IFERROR(
   _xlfn.XLOOKUP(VALUE(A1716),[1]Fichajes_Realizados!A$2:A$50000,[1]Fichajes_Realizados!D$2:D$50000,,0,-1),
   _xlfn.XLOOKUP(VALUE(A1716),[1]Base_Jugadores!A$2:A$50000,[1]Base_Jugadores!C$2:C$50000)
)</f>
        <v>Borussia Dortmund</v>
      </c>
      <c r="D1716" s="5" t="str">
        <f aca="false">[1]Base_Jugadores!D1716</f>
        <v>Argelia</v>
      </c>
      <c r="E1716" s="3"/>
      <c r="F1716" s="5" t="str">
        <f aca="false">[1]Base_Jugadores!E1716</f>
        <v>CT</v>
      </c>
      <c r="G1716" s="5" t="n">
        <f aca="false">[1]Base_Jugadores!F1716</f>
        <v>78</v>
      </c>
      <c r="H1716" s="5" t="n">
        <f aca="false">[1]Base_Jugadores!G1716</f>
        <v>30</v>
      </c>
      <c r="I1716" s="7" t="n">
        <f aca="false" t="array" ref="I1716:I1716">_xlfn.XLOOKUP(G1716,{55;56;57;58;59;60;61;62;63;64;65;66;67;68;69;70;71;72;73;74;75;76;77;78;79;80;81;82;83;84;85;86;87;88;89;90;91;92;93;94;95;96;97;98;99},{100000;130000;160000;190000;220000;250000;300000;350000;400000;450000;500000;600000;700000;800000;900000;1000000;1500000;2000000;3000000;4000000;5000000;6500000;8000000;10000000;12500000;15000000;20000000;25000000;30000000;35000000;40000000;55000000;70000000;80000000;90000000;110000000;130000000;160000000;190000000;220000000;250000000;280000000;310000000;340000000;400000000})</f>
        <v>10000000</v>
      </c>
      <c r="J1716" s="7" t="n">
        <f aca="false">I1716*S1716*T1716*U1716</f>
        <v>9450000</v>
      </c>
      <c r="K1716" s="3"/>
      <c r="L1716" s="3"/>
      <c r="M1716" s="3"/>
      <c r="N1716" s="9" t="n">
        <v>0</v>
      </c>
      <c r="O1716" s="4" t="n">
        <v>0</v>
      </c>
      <c r="P1716" s="5" t="n">
        <f aca="false">IF(COUNTIF([1]Base_Jugadores!J$2:J$500,B1716)&gt;0,1,0)</f>
        <v>0</v>
      </c>
      <c r="Q1716" s="10" t="b">
        <f aca="false">--(COUNTIFS(
   [1]Fichajes_Realizados!A$2:A$5000,A1716,
   [1]Fichajes_Realizados!G$2:G$5000,$X$3
)&gt;0)</f>
        <v>0</v>
      </c>
      <c r="R1716" s="5" t="n">
        <f aca="false">_xlfn.XLOOKUP(C1716, [1]Estado_Equipos!A$2:A$500, [1]Estado_Equipos!J$2:J$500, "")</f>
        <v>77</v>
      </c>
      <c r="S1716" s="5" t="n">
        <f aca="false">IF(H1716&lt;=16,1.45,
IF(H1716&gt;=41,0.3,
CHOOSE(ROUNDDOWN((H1716-16)/2,0)+1,
1.45,1.38,1.3,1.23,1.17,1.15,1.12,1.05,0.95,0.8,0.6,0.4,0.3)))</f>
        <v>1.05</v>
      </c>
      <c r="T1716" s="5" t="n">
        <f aca="false">CHOOSE(N1716+1,1.2,1,0.85,0.7)</f>
        <v>1.2</v>
      </c>
      <c r="U1716" s="5" t="n">
        <f aca="false">IF(F1716="PO",0.6,
IF(F1716="CT",0.75,
IF(F1716="LI",0.8,
IF(F1716="LD",0.8,
IF(F1716="MCD",0.85,
IF(F1716="MC",0.95,
IF(F1716="MO",1.05,
IF(F1716="EI",1.1,
IF(F1716="ED",1.1,
IF(F1716="SD",1.15,
IF(F1716="DC",1.2,0)))))))))))</f>
        <v>0.75</v>
      </c>
    </row>
    <row r="1717" customFormat="false" ht="16.4" hidden="false" customHeight="false" outlineLevel="0" collapsed="false">
      <c r="A1717" s="1" t="n">
        <v>1716</v>
      </c>
      <c r="B1717" s="5" t="str">
        <f aca="false">[1]Base_Jugadores!B1717</f>
        <v>Salih Özcan</v>
      </c>
      <c r="C1717" s="5" t="str">
        <f aca="false">IFERROR(
   _xlfn.XLOOKUP(VALUE(A1717),[1]Fichajes_Realizados!A$2:A$50000,[1]Fichajes_Realizados!D$2:D$50000,,0,-1),
   _xlfn.XLOOKUP(VALUE(A1717),[1]Base_Jugadores!A$2:A$50000,[1]Base_Jugadores!C$2:C$50000)
)</f>
        <v>Borussia Dortmund</v>
      </c>
      <c r="D1717" s="5" t="str">
        <f aca="false">[1]Base_Jugadores!D1717</f>
        <v>Turquía</v>
      </c>
      <c r="E1717" s="3"/>
      <c r="F1717" s="5" t="str">
        <f aca="false">[1]Base_Jugadores!E1717</f>
        <v>MCD</v>
      </c>
      <c r="G1717" s="5" t="n">
        <f aca="false">[1]Base_Jugadores!F1717</f>
        <v>76</v>
      </c>
      <c r="H1717" s="5" t="n">
        <f aca="false">[1]Base_Jugadores!G1717</f>
        <v>27</v>
      </c>
      <c r="I1717" s="7" t="n">
        <f aca="false" t="array" ref="I1717:I1717">_xlfn.XLOOKUP(G1717,{55;56;57;58;59;60;61;62;63;64;65;66;67;68;69;70;71;72;73;74;75;76;77;78;79;80;81;82;83;84;85;86;87;88;89;90;91;92;93;94;95;96;97;98;99},{100000;130000;160000;190000;220000;250000;300000;350000;400000;450000;500000;600000;700000;800000;900000;1000000;1500000;2000000;3000000;4000000;5000000;6500000;8000000;10000000;12500000;15000000;20000000;25000000;30000000;35000000;40000000;55000000;70000000;80000000;90000000;110000000;130000000;160000000;190000000;220000000;250000000;280000000;310000000;340000000;400000000})</f>
        <v>6500000</v>
      </c>
      <c r="J1717" s="7" t="n">
        <f aca="false">I1717*S1717*T1717*U1717</f>
        <v>7624500</v>
      </c>
      <c r="K1717" s="3"/>
      <c r="L1717" s="3"/>
      <c r="M1717" s="3"/>
      <c r="N1717" s="9" t="n">
        <v>0</v>
      </c>
      <c r="O1717" s="4" t="n">
        <v>0</v>
      </c>
      <c r="P1717" s="5" t="n">
        <f aca="false">IF(COUNTIF([1]Base_Jugadores!J$2:J$500,B1717)&gt;0,1,0)</f>
        <v>0</v>
      </c>
      <c r="Q1717" s="10" t="b">
        <f aca="false">--(COUNTIFS(
   [1]Fichajes_Realizados!A$2:A$5000,A1717,
   [1]Fichajes_Realizados!G$2:G$5000,$X$3
)&gt;0)</f>
        <v>0</v>
      </c>
      <c r="R1717" s="5" t="n">
        <f aca="false">_xlfn.XLOOKUP(C1717, [1]Estado_Equipos!A$2:A$500, [1]Estado_Equipos!J$2:J$500, "")</f>
        <v>77</v>
      </c>
      <c r="S1717" s="5" t="n">
        <f aca="false">IF(H1717&lt;=16,1.45,
IF(H1717&gt;=41,0.3,
CHOOSE(ROUNDDOWN((H1717-16)/2,0)+1,
1.45,1.38,1.3,1.23,1.17,1.15,1.12,1.05,0.95,0.8,0.6,0.4,0.3)))</f>
        <v>1.15</v>
      </c>
      <c r="T1717" s="5" t="n">
        <f aca="false">CHOOSE(N1717+1,1.2,1,0.85,0.7)</f>
        <v>1.2</v>
      </c>
      <c r="U1717" s="5" t="n">
        <f aca="false">IF(F1717="PO",0.6,
IF(F1717="CT",0.75,
IF(F1717="LI",0.8,
IF(F1717="LD",0.8,
IF(F1717="MCD",0.85,
IF(F1717="MC",0.95,
IF(F1717="MO",1.05,
IF(F1717="EI",1.1,
IF(F1717="ED",1.1,
IF(F1717="SD",1.15,
IF(F1717="DC",1.2,0)))))))))))</f>
        <v>0.85</v>
      </c>
    </row>
    <row r="1718" customFormat="false" ht="16.4" hidden="false" customHeight="false" outlineLevel="0" collapsed="false">
      <c r="A1718" s="1" t="n">
        <v>1717</v>
      </c>
      <c r="B1718" s="5" t="str">
        <f aca="false">[1]Base_Jugadores!B1718</f>
        <v>Serhou Guirassy</v>
      </c>
      <c r="C1718" s="5" t="str">
        <f aca="false">IFERROR(
   _xlfn.XLOOKUP(VALUE(A1718),[1]Fichajes_Realizados!A$2:A$50000,[1]Fichajes_Realizados!D$2:D$50000,,0,-1),
   _xlfn.XLOOKUP(VALUE(A1718),[1]Base_Jugadores!A$2:A$50000,[1]Base_Jugadores!C$2:C$50000)
)</f>
        <v>Borussia Dortmund</v>
      </c>
      <c r="D1718" s="5" t="str">
        <f aca="false">[1]Base_Jugadores!D1718</f>
        <v>Guinea</v>
      </c>
      <c r="E1718" s="3"/>
      <c r="F1718" s="5" t="str">
        <f aca="false">[1]Base_Jugadores!E1718</f>
        <v>DC</v>
      </c>
      <c r="G1718" s="5" t="n">
        <f aca="false">[1]Base_Jugadores!F1718</f>
        <v>84</v>
      </c>
      <c r="H1718" s="5" t="n">
        <f aca="false">[1]Base_Jugadores!G1718</f>
        <v>29</v>
      </c>
      <c r="I1718" s="7" t="n">
        <f aca="false" t="array" ref="I1718:I1718">_xlfn.XLOOKUP(G1718,{55;56;57;58;59;60;61;62;63;64;65;66;67;68;69;70;71;72;73;74;75;76;77;78;79;80;81;82;83;84;85;86;87;88;89;90;91;92;93;94;95;96;97;98;99},{100000;130000;160000;190000;220000;250000;300000;350000;400000;450000;500000;600000;700000;800000;900000;1000000;1500000;2000000;3000000;4000000;5000000;6500000;8000000;10000000;12500000;15000000;20000000;25000000;30000000;35000000;40000000;55000000;70000000;80000000;90000000;110000000;130000000;160000000;190000000;220000000;250000000;280000000;310000000;340000000;400000000})</f>
        <v>35000000</v>
      </c>
      <c r="J1718" s="7" t="n">
        <f aca="false">I1718*S1718*T1718*U1718</f>
        <v>56448000</v>
      </c>
      <c r="K1718" s="3"/>
      <c r="L1718" s="3"/>
      <c r="M1718" s="3"/>
      <c r="N1718" s="9" t="n">
        <v>0</v>
      </c>
      <c r="O1718" s="4" t="n">
        <v>0</v>
      </c>
      <c r="P1718" s="5" t="n">
        <f aca="false">IF(COUNTIF([1]Base_Jugadores!J$2:J$500,B1718)&gt;0,1,0)</f>
        <v>0</v>
      </c>
      <c r="Q1718" s="10" t="b">
        <f aca="false">--(COUNTIFS(
   [1]Fichajes_Realizados!A$2:A$5000,A1718,
   [1]Fichajes_Realizados!G$2:G$5000,$X$3
)&gt;0)</f>
        <v>0</v>
      </c>
      <c r="R1718" s="5" t="n">
        <f aca="false">_xlfn.XLOOKUP(C1718, [1]Estado_Equipos!A$2:A$500, [1]Estado_Equipos!J$2:J$500, "")</f>
        <v>77</v>
      </c>
      <c r="S1718" s="5" t="n">
        <f aca="false">IF(H1718&lt;=16,1.45,
IF(H1718&gt;=41,0.3,
CHOOSE(ROUNDDOWN((H1718-16)/2,0)+1,
1.45,1.38,1.3,1.23,1.17,1.15,1.12,1.05,0.95,0.8,0.6,0.4,0.3)))</f>
        <v>1.12</v>
      </c>
      <c r="T1718" s="5" t="n">
        <f aca="false">CHOOSE(N1718+1,1.2,1,0.85,0.7)</f>
        <v>1.2</v>
      </c>
      <c r="U1718" s="5" t="n">
        <f aca="false">IF(F1718="PO",0.6,
IF(F1718="CT",0.75,
IF(F1718="LI",0.8,
IF(F1718="LD",0.8,
IF(F1718="MCD",0.85,
IF(F1718="MC",0.95,
IF(F1718="MO",1.05,
IF(F1718="EI",1.1,
IF(F1718="ED",1.1,
IF(F1718="SD",1.15,
IF(F1718="DC",1.2,0)))))))))))</f>
        <v>1.2</v>
      </c>
    </row>
    <row r="1719" customFormat="false" ht="16.4" hidden="false" customHeight="false" outlineLevel="0" collapsed="false">
      <c r="A1719" s="1" t="n">
        <v>1718</v>
      </c>
      <c r="B1719" s="5" t="str">
        <f aca="false">[1]Base_Jugadores!B1719</f>
        <v>Waldemar Anton</v>
      </c>
      <c r="C1719" s="5" t="str">
        <f aca="false">IFERROR(
   _xlfn.XLOOKUP(VALUE(A1719),[1]Fichajes_Realizados!A$2:A$50000,[1]Fichajes_Realizados!D$2:D$50000,,0,-1),
   _xlfn.XLOOKUP(VALUE(A1719),[1]Base_Jugadores!A$2:A$50000,[1]Base_Jugadores!C$2:C$50000)
)</f>
        <v>Borussia Dortmund</v>
      </c>
      <c r="D1719" s="5" t="str">
        <f aca="false">[1]Base_Jugadores!D1719</f>
        <v>Alemania</v>
      </c>
      <c r="E1719" s="3"/>
      <c r="F1719" s="5" t="str">
        <f aca="false">[1]Base_Jugadores!E1719</f>
        <v>CT</v>
      </c>
      <c r="G1719" s="5" t="n">
        <f aca="false">[1]Base_Jugadores!F1719</f>
        <v>81</v>
      </c>
      <c r="H1719" s="5" t="n">
        <f aca="false">[1]Base_Jugadores!G1719</f>
        <v>29</v>
      </c>
      <c r="I1719" s="7" t="n">
        <f aca="false" t="array" ref="I1719:I1719">_xlfn.XLOOKUP(G1719,{55;56;57;58;59;60;61;62;63;64;65;66;67;68;69;70;71;72;73;74;75;76;77;78;79;80;81;82;83;84;85;86;87;88;89;90;91;92;93;94;95;96;97;98;99},{100000;130000;160000;190000;220000;250000;300000;350000;400000;450000;500000;600000;700000;800000;900000;1000000;1500000;2000000;3000000;4000000;5000000;6500000;8000000;10000000;12500000;15000000;20000000;25000000;30000000;35000000;40000000;55000000;70000000;80000000;90000000;110000000;130000000;160000000;190000000;220000000;250000000;280000000;310000000;340000000;400000000})</f>
        <v>20000000</v>
      </c>
      <c r="J1719" s="7" t="n">
        <f aca="false">I1719*S1719*T1719*U1719</f>
        <v>20160000</v>
      </c>
      <c r="K1719" s="3"/>
      <c r="L1719" s="3"/>
      <c r="M1719" s="3"/>
      <c r="N1719" s="9" t="n">
        <v>0</v>
      </c>
      <c r="O1719" s="4" t="n">
        <v>0</v>
      </c>
      <c r="P1719" s="5" t="n">
        <f aca="false">IF(COUNTIF([1]Base_Jugadores!J$2:J$500,B1719)&gt;0,1,0)</f>
        <v>0</v>
      </c>
      <c r="Q1719" s="10" t="b">
        <f aca="false">--(COUNTIFS(
   [1]Fichajes_Realizados!A$2:A$5000,A1719,
   [1]Fichajes_Realizados!G$2:G$5000,$X$3
)&gt;0)</f>
        <v>0</v>
      </c>
      <c r="R1719" s="5" t="n">
        <f aca="false">_xlfn.XLOOKUP(C1719, [1]Estado_Equipos!A$2:A$500, [1]Estado_Equipos!J$2:J$500, "")</f>
        <v>77</v>
      </c>
      <c r="S1719" s="5" t="n">
        <f aca="false">IF(H1719&lt;=16,1.45,
IF(H1719&gt;=41,0.3,
CHOOSE(ROUNDDOWN((H1719-16)/2,0)+1,
1.45,1.38,1.3,1.23,1.17,1.15,1.12,1.05,0.95,0.8,0.6,0.4,0.3)))</f>
        <v>1.12</v>
      </c>
      <c r="T1719" s="5" t="n">
        <f aca="false">CHOOSE(N1719+1,1.2,1,0.85,0.7)</f>
        <v>1.2</v>
      </c>
      <c r="U1719" s="5" t="n">
        <f aca="false">IF(F1719="PO",0.6,
IF(F1719="CT",0.75,
IF(F1719="LI",0.8,
IF(F1719="LD",0.8,
IF(F1719="MCD",0.85,
IF(F1719="MC",0.95,
IF(F1719="MO",1.05,
IF(F1719="EI",1.1,
IF(F1719="ED",1.1,
IF(F1719="SD",1.15,
IF(F1719="DC",1.2,0)))))))))))</f>
        <v>0.75</v>
      </c>
    </row>
    <row r="1720" customFormat="false" ht="16.4" hidden="false" customHeight="false" outlineLevel="0" collapsed="false">
      <c r="A1720" s="1" t="n">
        <v>1719</v>
      </c>
      <c r="B1720" s="5" t="str">
        <f aca="false">[1]Base_Jugadores!B1720</f>
        <v>Yan Couto</v>
      </c>
      <c r="C1720" s="5" t="str">
        <f aca="false">IFERROR(
   _xlfn.XLOOKUP(VALUE(A1720),[1]Fichajes_Realizados!A$2:A$50000,[1]Fichajes_Realizados!D$2:D$50000,,0,-1),
   _xlfn.XLOOKUP(VALUE(A1720),[1]Base_Jugadores!A$2:A$50000,[1]Base_Jugadores!C$2:C$50000)
)</f>
        <v>Borussia Dortmund</v>
      </c>
      <c r="D1720" s="5" t="str">
        <f aca="false">[1]Base_Jugadores!D1720</f>
        <v>Brasil</v>
      </c>
      <c r="E1720" s="3"/>
      <c r="F1720" s="5" t="str">
        <f aca="false">[1]Base_Jugadores!E1720</f>
        <v>ED</v>
      </c>
      <c r="G1720" s="5" t="n">
        <f aca="false">[1]Base_Jugadores!F1720</f>
        <v>78</v>
      </c>
      <c r="H1720" s="5" t="n">
        <f aca="false">[1]Base_Jugadores!G1720</f>
        <v>23</v>
      </c>
      <c r="I1720" s="7" t="n">
        <f aca="false" t="array" ref="I1720:I1720">_xlfn.XLOOKUP(G1720,{55;56;57;58;59;60;61;62;63;64;65;66;67;68;69;70;71;72;73;74;75;76;77;78;79;80;81;82;83;84;85;86;87;88;89;90;91;92;93;94;95;96;97;98;99},{100000;130000;160000;190000;220000;250000;300000;350000;400000;450000;500000;600000;700000;800000;900000;1000000;1500000;2000000;3000000;4000000;5000000;6500000;8000000;10000000;12500000;15000000;20000000;25000000;30000000;35000000;40000000;55000000;70000000;80000000;90000000;110000000;130000000;160000000;190000000;220000000;250000000;280000000;310000000;340000000;400000000})</f>
        <v>10000000</v>
      </c>
      <c r="J1720" s="7" t="n">
        <f aca="false">I1720*S1720*T1720*U1720</f>
        <v>16236000</v>
      </c>
      <c r="K1720" s="3"/>
      <c r="L1720" s="3"/>
      <c r="M1720" s="3"/>
      <c r="N1720" s="9" t="n">
        <v>0</v>
      </c>
      <c r="O1720" s="4" t="n">
        <v>0</v>
      </c>
      <c r="P1720" s="5" t="n">
        <f aca="false">IF(COUNTIF([1]Base_Jugadores!J$2:J$500,B1720)&gt;0,1,0)</f>
        <v>0</v>
      </c>
      <c r="Q1720" s="10" t="b">
        <f aca="false">--(COUNTIFS(
   [1]Fichajes_Realizados!A$2:A$5000,A1720,
   [1]Fichajes_Realizados!G$2:G$5000,$X$3
)&gt;0)</f>
        <v>0</v>
      </c>
      <c r="R1720" s="5" t="n">
        <f aca="false">_xlfn.XLOOKUP(C1720, [1]Estado_Equipos!A$2:A$500, [1]Estado_Equipos!J$2:J$500, "")</f>
        <v>77</v>
      </c>
      <c r="S1720" s="5" t="n">
        <f aca="false">IF(H1720&lt;=16,1.45,
IF(H1720&gt;=41,0.3,
CHOOSE(ROUNDDOWN((H1720-16)/2,0)+1,
1.45,1.38,1.3,1.23,1.17,1.15,1.12,1.05,0.95,0.8,0.6,0.4,0.3)))</f>
        <v>1.23</v>
      </c>
      <c r="T1720" s="5" t="n">
        <f aca="false">CHOOSE(N1720+1,1.2,1,0.85,0.7)</f>
        <v>1.2</v>
      </c>
      <c r="U1720" s="5" t="n">
        <f aca="false">IF(F1720="PO",0.6,
IF(F1720="CT",0.75,
IF(F1720="LI",0.8,
IF(F1720="LD",0.8,
IF(F1720="MCD",0.85,
IF(F1720="MC",0.95,
IF(F1720="MO",1.05,
IF(F1720="EI",1.1,
IF(F1720="ED",1.1,
IF(F1720="SD",1.15,
IF(F1720="DC",1.2,0)))))))))))</f>
        <v>1.1</v>
      </c>
    </row>
    <row r="1721" customFormat="false" ht="16.4" hidden="false" customHeight="false" outlineLevel="0" collapsed="false">
      <c r="A1721" s="1" t="n">
        <v>1720</v>
      </c>
      <c r="B1721" s="5" t="str">
        <f aca="false">[1]Base_Jugadores!B1721</f>
        <v>Moritz Nicolas</v>
      </c>
      <c r="C1721" s="5" t="str">
        <f aca="false">IFERROR(
   _xlfn.XLOOKUP(VALUE(A1721),[1]Fichajes_Realizados!A$2:A$50000,[1]Fichajes_Realizados!D$2:D$50000,,0,-1),
   _xlfn.XLOOKUP(VALUE(A1721),[1]Base_Jugadores!A$2:A$50000,[1]Base_Jugadores!C$2:C$50000)
)</f>
        <v>Borussia Mönchengladbach</v>
      </c>
      <c r="D1721" s="5" t="str">
        <f aca="false">[1]Base_Jugadores!D1721</f>
        <v>Alemania</v>
      </c>
      <c r="E1721" s="3"/>
      <c r="F1721" s="5" t="str">
        <f aca="false">[1]Base_Jugadores!E1721</f>
        <v>PO</v>
      </c>
      <c r="G1721" s="5" t="n">
        <f aca="false">[1]Base_Jugadores!F1721</f>
        <v>73</v>
      </c>
      <c r="H1721" s="5" t="n">
        <f aca="false">[1]Base_Jugadores!G1721</f>
        <v>28</v>
      </c>
      <c r="I1721" s="7" t="n">
        <f aca="false" t="array" ref="I1721:I1721">_xlfn.XLOOKUP(G1721,{55;56;57;58;59;60;61;62;63;64;65;66;67;68;69;70;71;72;73;74;75;76;77;78;79;80;81;82;83;84;85;86;87;88;89;90;91;92;93;94;95;96;97;98;99},{100000;130000;160000;190000;220000;250000;300000;350000;400000;450000;500000;600000;700000;800000;900000;1000000;1500000;2000000;3000000;4000000;5000000;6500000;8000000;10000000;12500000;15000000;20000000;25000000;30000000;35000000;40000000;55000000;70000000;80000000;90000000;110000000;130000000;160000000;190000000;220000000;250000000;280000000;310000000;340000000;400000000})</f>
        <v>3000000</v>
      </c>
      <c r="J1721" s="7" t="n">
        <f aca="false">I1721*S1721*T1721*U1721</f>
        <v>2419200</v>
      </c>
      <c r="K1721" s="3"/>
      <c r="L1721" s="3"/>
      <c r="M1721" s="3"/>
      <c r="N1721" s="9" t="n">
        <v>0</v>
      </c>
      <c r="O1721" s="4" t="n">
        <v>0</v>
      </c>
      <c r="P1721" s="5" t="n">
        <f aca="false">IF(COUNTIF([1]Base_Jugadores!J$2:J$500,B1721)&gt;0,1,0)</f>
        <v>0</v>
      </c>
      <c r="Q1721" s="10" t="b">
        <f aca="false">--(COUNTIFS(
   [1]Fichajes_Realizados!A$2:A$5000,A1721,
   [1]Fichajes_Realizados!G$2:G$5000,$X$3
)&gt;0)</f>
        <v>0</v>
      </c>
      <c r="R1721" s="5" t="n">
        <f aca="false">_xlfn.XLOOKUP(C1721, [1]Estado_Equipos!A$2:A$500, [1]Estado_Equipos!J$2:J$500, "")</f>
        <v>71</v>
      </c>
      <c r="S1721" s="5" t="n">
        <f aca="false">IF(H1721&lt;=16,1.45,
IF(H1721&gt;=41,0.3,
CHOOSE(ROUNDDOWN((H1721-16)/2,0)+1,
1.45,1.38,1.3,1.23,1.17,1.15,1.12,1.05,0.95,0.8,0.6,0.4,0.3)))</f>
        <v>1.12</v>
      </c>
      <c r="T1721" s="5" t="n">
        <f aca="false">CHOOSE(N1721+1,1.2,1,0.85,0.7)</f>
        <v>1.2</v>
      </c>
      <c r="U1721" s="5" t="n">
        <f aca="false">IF(F1721="PO",0.6,
IF(F1721="CT",0.75,
IF(F1721="LI",0.8,
IF(F1721="LD",0.8,
IF(F1721="MCD",0.85,
IF(F1721="MC",0.95,
IF(F1721="MO",1.05,
IF(F1721="EI",1.1,
IF(F1721="ED",1.1,
IF(F1721="SD",1.15,
IF(F1721="DC",1.2,0)))))))))))</f>
        <v>0.6</v>
      </c>
    </row>
    <row r="1722" customFormat="false" ht="16.4" hidden="false" customHeight="false" outlineLevel="0" collapsed="false">
      <c r="A1722" s="1" t="n">
        <v>1721</v>
      </c>
      <c r="B1722" s="5" t="str">
        <f aca="false">[1]Base_Jugadores!B1722</f>
        <v>Charles Herrmann</v>
      </c>
      <c r="C1722" s="5" t="str">
        <f aca="false">IFERROR(
   _xlfn.XLOOKUP(VALUE(A1722),[1]Fichajes_Realizados!A$2:A$50000,[1]Fichajes_Realizados!D$2:D$50000,,0,-1),
   _xlfn.XLOOKUP(VALUE(A1722),[1]Base_Jugadores!A$2:A$50000,[1]Base_Jugadores!C$2:C$50000)
)</f>
        <v>Borussia Mönchengladbach</v>
      </c>
      <c r="D1722" s="5" t="str">
        <f aca="false">[1]Base_Jugadores!D1722</f>
        <v>Alemania</v>
      </c>
      <c r="E1722" s="3"/>
      <c r="F1722" s="5" t="str">
        <f aca="false">[1]Base_Jugadores!E1722</f>
        <v>ED</v>
      </c>
      <c r="G1722" s="5" t="n">
        <f aca="false">[1]Base_Jugadores!F1722</f>
        <v>60</v>
      </c>
      <c r="H1722" s="5" t="n">
        <f aca="false">[1]Base_Jugadores!G1722</f>
        <v>19</v>
      </c>
      <c r="I1722" s="7" t="n">
        <f aca="false" t="array" ref="I1722:I1722">_xlfn.XLOOKUP(G1722,{55;56;57;58;59;60;61;62;63;64;65;66;67;68;69;70;71;72;73;74;75;76;77;78;79;80;81;82;83;84;85;86;87;88;89;90;91;92;93;94;95;96;97;98;99},{100000;130000;160000;190000;220000;250000;300000;350000;400000;450000;500000;600000;700000;800000;900000;1000000;1500000;2000000;3000000;4000000;5000000;6500000;8000000;10000000;12500000;15000000;20000000;25000000;30000000;35000000;40000000;55000000;70000000;80000000;90000000;110000000;130000000;160000000;190000000;220000000;250000000;280000000;310000000;340000000;400000000})</f>
        <v>250000</v>
      </c>
      <c r="J1722" s="7" t="n">
        <f aca="false">I1722*S1722*T1722*U1722</f>
        <v>455400</v>
      </c>
      <c r="K1722" s="3"/>
      <c r="L1722" s="3"/>
      <c r="M1722" s="3"/>
      <c r="N1722" s="9" t="n">
        <v>0</v>
      </c>
      <c r="O1722" s="4" t="n">
        <v>0</v>
      </c>
      <c r="P1722" s="5" t="n">
        <f aca="false">IF(COUNTIF([1]Base_Jugadores!J$2:J$500,B1722)&gt;0,1,0)</f>
        <v>0</v>
      </c>
      <c r="Q1722" s="10" t="b">
        <f aca="false">--(COUNTIFS(
   [1]Fichajes_Realizados!A$2:A$5000,A1722,
   [1]Fichajes_Realizados!G$2:G$5000,$X$3
)&gt;0)</f>
        <v>0</v>
      </c>
      <c r="R1722" s="5" t="n">
        <f aca="false">_xlfn.XLOOKUP(C1722, [1]Estado_Equipos!A$2:A$500, [1]Estado_Equipos!J$2:J$500, "")</f>
        <v>71</v>
      </c>
      <c r="S1722" s="5" t="n">
        <f aca="false">IF(H1722&lt;=16,1.45,
IF(H1722&gt;=41,0.3,
CHOOSE(ROUNDDOWN((H1722-16)/2,0)+1,
1.45,1.38,1.3,1.23,1.17,1.15,1.12,1.05,0.95,0.8,0.6,0.4,0.3)))</f>
        <v>1.38</v>
      </c>
      <c r="T1722" s="5" t="n">
        <f aca="false">CHOOSE(N1722+1,1.2,1,0.85,0.7)</f>
        <v>1.2</v>
      </c>
      <c r="U1722" s="5" t="n">
        <f aca="false">IF(F1722="PO",0.6,
IF(F1722="CT",0.75,
IF(F1722="LI",0.8,
IF(F1722="LD",0.8,
IF(F1722="MCD",0.85,
IF(F1722="MC",0.95,
IF(F1722="MO",1.05,
IF(F1722="EI",1.1,
IF(F1722="ED",1.1,
IF(F1722="SD",1.15,
IF(F1722="DC",1.2,0)))))))))))</f>
        <v>1.1</v>
      </c>
    </row>
    <row r="1723" customFormat="false" ht="16.4" hidden="false" customHeight="false" outlineLevel="0" collapsed="false">
      <c r="A1723" s="1" t="n">
        <v>1722</v>
      </c>
      <c r="B1723" s="5" t="str">
        <f aca="false">[1]Base_Jugadores!B1723</f>
        <v>Fabio Chiarodia</v>
      </c>
      <c r="C1723" s="5" t="str">
        <f aca="false">IFERROR(
   _xlfn.XLOOKUP(VALUE(A1723),[1]Fichajes_Realizados!A$2:A$50000,[1]Fichajes_Realizados!D$2:D$50000,,0,-1),
   _xlfn.XLOOKUP(VALUE(A1723),[1]Base_Jugadores!A$2:A$50000,[1]Base_Jugadores!C$2:C$50000)
)</f>
        <v>Borussia Mönchengladbach</v>
      </c>
      <c r="D1723" s="5" t="str">
        <f aca="false">[1]Base_Jugadores!D1723</f>
        <v>Italia</v>
      </c>
      <c r="E1723" s="3"/>
      <c r="F1723" s="5" t="str">
        <f aca="false">[1]Base_Jugadores!E1723</f>
        <v>CT</v>
      </c>
      <c r="G1723" s="5" t="n">
        <f aca="false">[1]Base_Jugadores!F1723</f>
        <v>64</v>
      </c>
      <c r="H1723" s="5" t="n">
        <f aca="false">[1]Base_Jugadores!G1723</f>
        <v>20</v>
      </c>
      <c r="I1723" s="7" t="n">
        <f aca="false" t="array" ref="I1723:I1723">_xlfn.XLOOKUP(G1723,{55;56;57;58;59;60;61;62;63;64;65;66;67;68;69;70;71;72;73;74;75;76;77;78;79;80;81;82;83;84;85;86;87;88;89;90;91;92;93;94;95;96;97;98;99},{100000;130000;160000;190000;220000;250000;300000;350000;400000;450000;500000;600000;700000;800000;900000;1000000;1500000;2000000;3000000;4000000;5000000;6500000;8000000;10000000;12500000;15000000;20000000;25000000;30000000;35000000;40000000;55000000;70000000;80000000;90000000;110000000;130000000;160000000;190000000;220000000;250000000;280000000;310000000;340000000;400000000})</f>
        <v>450000</v>
      </c>
      <c r="J1723" s="7" t="n">
        <f aca="false">I1723*S1723*T1723*U1723</f>
        <v>526500</v>
      </c>
      <c r="K1723" s="3"/>
      <c r="L1723" s="3"/>
      <c r="M1723" s="3"/>
      <c r="N1723" s="9" t="n">
        <v>0</v>
      </c>
      <c r="O1723" s="4" t="n">
        <v>0</v>
      </c>
      <c r="P1723" s="5" t="n">
        <f aca="false">IF(COUNTIF([1]Base_Jugadores!J$2:J$500,B1723)&gt;0,1,0)</f>
        <v>0</v>
      </c>
      <c r="Q1723" s="10" t="b">
        <f aca="false">--(COUNTIFS(
   [1]Fichajes_Realizados!A$2:A$5000,A1723,
   [1]Fichajes_Realizados!G$2:G$5000,$X$3
)&gt;0)</f>
        <v>0</v>
      </c>
      <c r="R1723" s="5" t="n">
        <f aca="false">_xlfn.XLOOKUP(C1723, [1]Estado_Equipos!A$2:A$500, [1]Estado_Equipos!J$2:J$500, "")</f>
        <v>71</v>
      </c>
      <c r="S1723" s="5" t="n">
        <f aca="false">IF(H1723&lt;=16,1.45,
IF(H1723&gt;=41,0.3,
CHOOSE(ROUNDDOWN((H1723-16)/2,0)+1,
1.45,1.38,1.3,1.23,1.17,1.15,1.12,1.05,0.95,0.8,0.6,0.4,0.3)))</f>
        <v>1.3</v>
      </c>
      <c r="T1723" s="5" t="n">
        <f aca="false">CHOOSE(N1723+1,1.2,1,0.85,0.7)</f>
        <v>1.2</v>
      </c>
      <c r="U1723" s="5" t="n">
        <f aca="false">IF(F1723="PO",0.6,
IF(F1723="CT",0.75,
IF(F1723="LI",0.8,
IF(F1723="LD",0.8,
IF(F1723="MCD",0.85,
IF(F1723="MC",0.95,
IF(F1723="MO",1.05,
IF(F1723="EI",1.1,
IF(F1723="ED",1.1,
IF(F1723="SD",1.15,
IF(F1723="DC",1.2,0)))))))))))</f>
        <v>0.75</v>
      </c>
    </row>
    <row r="1724" customFormat="false" ht="16.4" hidden="false" customHeight="false" outlineLevel="0" collapsed="false">
      <c r="A1724" s="1" t="n">
        <v>1723</v>
      </c>
      <c r="B1724" s="5" t="str">
        <f aca="false">[1]Base_Jugadores!B1724</f>
        <v>Florian Neuhaus</v>
      </c>
      <c r="C1724" s="5" t="str">
        <f aca="false">IFERROR(
   _xlfn.XLOOKUP(VALUE(A1724),[1]Fichajes_Realizados!A$2:A$50000,[1]Fichajes_Realizados!D$2:D$50000,,0,-1),
   _xlfn.XLOOKUP(VALUE(A1724),[1]Base_Jugadores!A$2:A$50000,[1]Base_Jugadores!C$2:C$50000)
)</f>
        <v>Borussia Mönchengladbach</v>
      </c>
      <c r="D1724" s="5" t="str">
        <f aca="false">[1]Base_Jugadores!D1724</f>
        <v>Alemania</v>
      </c>
      <c r="E1724" s="3"/>
      <c r="F1724" s="5" t="str">
        <f aca="false">[1]Base_Jugadores!E1724</f>
        <v>MC</v>
      </c>
      <c r="G1724" s="5" t="n">
        <f aca="false">[1]Base_Jugadores!F1724</f>
        <v>77</v>
      </c>
      <c r="H1724" s="5" t="n">
        <f aca="false">[1]Base_Jugadores!G1724</f>
        <v>28</v>
      </c>
      <c r="I1724" s="7" t="n">
        <f aca="false" t="array" ref="I1724:I1724">_xlfn.XLOOKUP(G1724,{55;56;57;58;59;60;61;62;63;64;65;66;67;68;69;70;71;72;73;74;75;76;77;78;79;80;81;82;83;84;85;86;87;88;89;90;91;92;93;94;95;96;97;98;99},{100000;130000;160000;190000;220000;250000;300000;350000;400000;450000;500000;600000;700000;800000;900000;1000000;1500000;2000000;3000000;4000000;5000000;6500000;8000000;10000000;12500000;15000000;20000000;25000000;30000000;35000000;40000000;55000000;70000000;80000000;90000000;110000000;130000000;160000000;190000000;220000000;250000000;280000000;310000000;340000000;400000000})</f>
        <v>8000000</v>
      </c>
      <c r="J1724" s="7" t="n">
        <f aca="false">I1724*S1724*T1724*U1724</f>
        <v>10214400</v>
      </c>
      <c r="K1724" s="3"/>
      <c r="L1724" s="3"/>
      <c r="M1724" s="3"/>
      <c r="N1724" s="9" t="n">
        <v>0</v>
      </c>
      <c r="O1724" s="4" t="n">
        <v>0</v>
      </c>
      <c r="P1724" s="5" t="n">
        <f aca="false">IF(COUNTIF([1]Base_Jugadores!J$2:J$500,B1724)&gt;0,1,0)</f>
        <v>0</v>
      </c>
      <c r="Q1724" s="10" t="b">
        <f aca="false">--(COUNTIFS(
   [1]Fichajes_Realizados!A$2:A$5000,A1724,
   [1]Fichajes_Realizados!G$2:G$5000,$X$3
)&gt;0)</f>
        <v>0</v>
      </c>
      <c r="R1724" s="5" t="n">
        <f aca="false">_xlfn.XLOOKUP(C1724, [1]Estado_Equipos!A$2:A$500, [1]Estado_Equipos!J$2:J$500, "")</f>
        <v>71</v>
      </c>
      <c r="S1724" s="5" t="n">
        <f aca="false">IF(H1724&lt;=16,1.45,
IF(H1724&gt;=41,0.3,
CHOOSE(ROUNDDOWN((H1724-16)/2,0)+1,
1.45,1.38,1.3,1.23,1.17,1.15,1.12,1.05,0.95,0.8,0.6,0.4,0.3)))</f>
        <v>1.12</v>
      </c>
      <c r="T1724" s="5" t="n">
        <f aca="false">CHOOSE(N1724+1,1.2,1,0.85,0.7)</f>
        <v>1.2</v>
      </c>
      <c r="U1724" s="5" t="n">
        <f aca="false">IF(F1724="PO",0.6,
IF(F1724="CT",0.75,
IF(F1724="LI",0.8,
IF(F1724="LD",0.8,
IF(F1724="MCD",0.85,
IF(F1724="MC",0.95,
IF(F1724="MO",1.05,
IF(F1724="EI",1.1,
IF(F1724="ED",1.1,
IF(F1724="SD",1.15,
IF(F1724="DC",1.2,0)))))))))))</f>
        <v>0.95</v>
      </c>
    </row>
    <row r="1725" customFormat="false" ht="16.4" hidden="false" customHeight="false" outlineLevel="0" collapsed="false">
      <c r="A1725" s="1" t="n">
        <v>1724</v>
      </c>
      <c r="B1725" s="5" t="str">
        <f aca="false">[1]Base_Jugadores!B1725</f>
        <v>Franck Honorat</v>
      </c>
      <c r="C1725" s="5" t="str">
        <f aca="false">IFERROR(
   _xlfn.XLOOKUP(VALUE(A1725),[1]Fichajes_Realizados!A$2:A$50000,[1]Fichajes_Realizados!D$2:D$50000,,0,-1),
   _xlfn.XLOOKUP(VALUE(A1725),[1]Base_Jugadores!A$2:A$50000,[1]Base_Jugadores!C$2:C$50000)
)</f>
        <v>Borussia Mönchengladbach</v>
      </c>
      <c r="D1725" s="5" t="str">
        <f aca="false">[1]Base_Jugadores!D1725</f>
        <v>Francia</v>
      </c>
      <c r="E1725" s="3"/>
      <c r="F1725" s="5" t="str">
        <f aca="false">[1]Base_Jugadores!E1725</f>
        <v>ED</v>
      </c>
      <c r="G1725" s="5" t="n">
        <f aca="false">[1]Base_Jugadores!F1725</f>
        <v>79</v>
      </c>
      <c r="H1725" s="5" t="n">
        <f aca="false">[1]Base_Jugadores!G1725</f>
        <v>29</v>
      </c>
      <c r="I1725" s="7" t="n">
        <f aca="false" t="array" ref="I1725:I1725">_xlfn.XLOOKUP(G1725,{55;56;57;58;59;60;61;62;63;64;65;66;67;68;69;70;71;72;73;74;75;76;77;78;79;80;81;82;83;84;85;86;87;88;89;90;91;92;93;94;95;96;97;98;99},{100000;130000;160000;190000;220000;250000;300000;350000;400000;450000;500000;600000;700000;800000;900000;1000000;1500000;2000000;3000000;4000000;5000000;6500000;8000000;10000000;12500000;15000000;20000000;25000000;30000000;35000000;40000000;55000000;70000000;80000000;90000000;110000000;130000000;160000000;190000000;220000000;250000000;280000000;310000000;340000000;400000000})</f>
        <v>12500000</v>
      </c>
      <c r="J1725" s="7" t="n">
        <f aca="false">I1725*S1725*T1725*U1725</f>
        <v>18480000</v>
      </c>
      <c r="K1725" s="3"/>
      <c r="L1725" s="3"/>
      <c r="M1725" s="3"/>
      <c r="N1725" s="9" t="n">
        <v>0</v>
      </c>
      <c r="O1725" s="4" t="n">
        <v>0</v>
      </c>
      <c r="P1725" s="5" t="n">
        <f aca="false">IF(COUNTIF([1]Base_Jugadores!J$2:J$500,B1725)&gt;0,1,0)</f>
        <v>0</v>
      </c>
      <c r="Q1725" s="10" t="b">
        <f aca="false">--(COUNTIFS(
   [1]Fichajes_Realizados!A$2:A$5000,A1725,
   [1]Fichajes_Realizados!G$2:G$5000,$X$3
)&gt;0)</f>
        <v>0</v>
      </c>
      <c r="R1725" s="5" t="n">
        <f aca="false">_xlfn.XLOOKUP(C1725, [1]Estado_Equipos!A$2:A$500, [1]Estado_Equipos!J$2:J$500, "")</f>
        <v>71</v>
      </c>
      <c r="S1725" s="5" t="n">
        <f aca="false">IF(H1725&lt;=16,1.45,
IF(H1725&gt;=41,0.3,
CHOOSE(ROUNDDOWN((H1725-16)/2,0)+1,
1.45,1.38,1.3,1.23,1.17,1.15,1.12,1.05,0.95,0.8,0.6,0.4,0.3)))</f>
        <v>1.12</v>
      </c>
      <c r="T1725" s="5" t="n">
        <f aca="false">CHOOSE(N1725+1,1.2,1,0.85,0.7)</f>
        <v>1.2</v>
      </c>
      <c r="U1725" s="5" t="n">
        <f aca="false">IF(F1725="PO",0.6,
IF(F1725="CT",0.75,
IF(F1725="LI",0.8,
IF(F1725="LD",0.8,
IF(F1725="MCD",0.85,
IF(F1725="MC",0.95,
IF(F1725="MO",1.05,
IF(F1725="EI",1.1,
IF(F1725="ED",1.1,
IF(F1725="SD",1.15,
IF(F1725="DC",1.2,0)))))))))))</f>
        <v>1.1</v>
      </c>
    </row>
    <row r="1726" customFormat="false" ht="16.4" hidden="false" customHeight="false" outlineLevel="0" collapsed="false">
      <c r="A1726" s="1" t="n">
        <v>1725</v>
      </c>
      <c r="B1726" s="5" t="str">
        <f aca="false">[1]Base_Jugadores!B1726</f>
        <v>Giovanni Reyna</v>
      </c>
      <c r="C1726" s="5" t="str">
        <f aca="false">IFERROR(
   _xlfn.XLOOKUP(VALUE(A1726),[1]Fichajes_Realizados!A$2:A$50000,[1]Fichajes_Realizados!D$2:D$50000,,0,-1),
   _xlfn.XLOOKUP(VALUE(A1726),[1]Base_Jugadores!A$2:A$50000,[1]Base_Jugadores!C$2:C$50000)
)</f>
        <v>Borussia Mönchengladbach</v>
      </c>
      <c r="D1726" s="5" t="str">
        <f aca="false">[1]Base_Jugadores!D1726</f>
        <v>Estados Unidos</v>
      </c>
      <c r="E1726" s="3"/>
      <c r="F1726" s="5" t="str">
        <f aca="false">[1]Base_Jugadores!E1726</f>
        <v>MO</v>
      </c>
      <c r="G1726" s="5" t="n">
        <f aca="false">[1]Base_Jugadores!F1726</f>
        <v>76</v>
      </c>
      <c r="H1726" s="5" t="n">
        <f aca="false">[1]Base_Jugadores!G1726</f>
        <v>23</v>
      </c>
      <c r="I1726" s="7" t="n">
        <f aca="false" t="array" ref="I1726:I1726">_xlfn.XLOOKUP(G1726,{55;56;57;58;59;60;61;62;63;64;65;66;67;68;69;70;71;72;73;74;75;76;77;78;79;80;81;82;83;84;85;86;87;88;89;90;91;92;93;94;95;96;97;98;99},{100000;130000;160000;190000;220000;250000;300000;350000;400000;450000;500000;600000;700000;800000;900000;1000000;1500000;2000000;3000000;4000000;5000000;6500000;8000000;10000000;12500000;15000000;20000000;25000000;30000000;35000000;40000000;55000000;70000000;80000000;90000000;110000000;130000000;160000000;190000000;220000000;250000000;280000000;310000000;340000000;400000000})</f>
        <v>6500000</v>
      </c>
      <c r="J1726" s="7" t="n">
        <f aca="false">I1726*S1726*T1726*U1726</f>
        <v>10073700</v>
      </c>
      <c r="K1726" s="3"/>
      <c r="L1726" s="3"/>
      <c r="M1726" s="3"/>
      <c r="N1726" s="9" t="n">
        <v>0</v>
      </c>
      <c r="O1726" s="4" t="n">
        <v>0</v>
      </c>
      <c r="P1726" s="5" t="n">
        <f aca="false">IF(COUNTIF([1]Base_Jugadores!J$2:J$500,B1726)&gt;0,1,0)</f>
        <v>0</v>
      </c>
      <c r="Q1726" s="10" t="b">
        <f aca="false">--(COUNTIFS(
   [1]Fichajes_Realizados!A$2:A$5000,A1726,
   [1]Fichajes_Realizados!G$2:G$5000,$X$3
)&gt;0)</f>
        <v>0</v>
      </c>
      <c r="R1726" s="5" t="n">
        <f aca="false">_xlfn.XLOOKUP(C1726, [1]Estado_Equipos!A$2:A$500, [1]Estado_Equipos!J$2:J$500, "")</f>
        <v>71</v>
      </c>
      <c r="S1726" s="5" t="n">
        <f aca="false">IF(H1726&lt;=16,1.45,
IF(H1726&gt;=41,0.3,
CHOOSE(ROUNDDOWN((H1726-16)/2,0)+1,
1.45,1.38,1.3,1.23,1.17,1.15,1.12,1.05,0.95,0.8,0.6,0.4,0.3)))</f>
        <v>1.23</v>
      </c>
      <c r="T1726" s="5" t="n">
        <f aca="false">CHOOSE(N1726+1,1.2,1,0.85,0.7)</f>
        <v>1.2</v>
      </c>
      <c r="U1726" s="5" t="n">
        <f aca="false">IF(F1726="PO",0.6,
IF(F1726="CT",0.75,
IF(F1726="LI",0.8,
IF(F1726="LD",0.8,
IF(F1726="MCD",0.85,
IF(F1726="MC",0.95,
IF(F1726="MO",1.05,
IF(F1726="EI",1.1,
IF(F1726="ED",1.1,
IF(F1726="SD",1.15,
IF(F1726="DC",1.2,0)))))))))))</f>
        <v>1.05</v>
      </c>
    </row>
    <row r="1727" customFormat="false" ht="16.4" hidden="false" customHeight="false" outlineLevel="0" collapsed="false">
      <c r="A1727" s="1" t="n">
        <v>1726</v>
      </c>
      <c r="B1727" s="5" t="str">
        <f aca="false">[1]Base_Jugadores!B1727</f>
        <v>Grant-Leon Ranos</v>
      </c>
      <c r="C1727" s="5" t="str">
        <f aca="false">IFERROR(
   _xlfn.XLOOKUP(VALUE(A1727),[1]Fichajes_Realizados!A$2:A$50000,[1]Fichajes_Realizados!D$2:D$50000,,0,-1),
   _xlfn.XLOOKUP(VALUE(A1727),[1]Base_Jugadores!A$2:A$50000,[1]Base_Jugadores!C$2:C$50000)
)</f>
        <v>Borussia Mönchengladbach</v>
      </c>
      <c r="D1727" s="5" t="str">
        <f aca="false">[1]Base_Jugadores!D1727</f>
        <v>Armenia</v>
      </c>
      <c r="E1727" s="3"/>
      <c r="F1727" s="5" t="str">
        <f aca="false">[1]Base_Jugadores!E1727</f>
        <v>DC</v>
      </c>
      <c r="G1727" s="5" t="n">
        <f aca="false">[1]Base_Jugadores!F1727</f>
        <v>64</v>
      </c>
      <c r="H1727" s="5" t="n">
        <f aca="false">[1]Base_Jugadores!G1727</f>
        <v>22</v>
      </c>
      <c r="I1727" s="7" t="n">
        <f aca="false" t="array" ref="I1727:I1727">_xlfn.XLOOKUP(G1727,{55;56;57;58;59;60;61;62;63;64;65;66;67;68;69;70;71;72;73;74;75;76;77;78;79;80;81;82;83;84;85;86;87;88;89;90;91;92;93;94;95;96;97;98;99},{100000;130000;160000;190000;220000;250000;300000;350000;400000;450000;500000;600000;700000;800000;900000;1000000;1500000;2000000;3000000;4000000;5000000;6500000;8000000;10000000;12500000;15000000;20000000;25000000;30000000;35000000;40000000;55000000;70000000;80000000;90000000;110000000;130000000;160000000;190000000;220000000;250000000;280000000;310000000;340000000;400000000})</f>
        <v>450000</v>
      </c>
      <c r="J1727" s="7" t="n">
        <f aca="false">I1727*S1727*T1727*U1727</f>
        <v>797040</v>
      </c>
      <c r="K1727" s="3"/>
      <c r="L1727" s="3"/>
      <c r="M1727" s="3"/>
      <c r="N1727" s="9" t="n">
        <v>0</v>
      </c>
      <c r="O1727" s="4" t="n">
        <v>0</v>
      </c>
      <c r="P1727" s="5" t="n">
        <f aca="false">IF(COUNTIF([1]Base_Jugadores!J$2:J$500,B1727)&gt;0,1,0)</f>
        <v>0</v>
      </c>
      <c r="Q1727" s="10" t="b">
        <f aca="false">--(COUNTIFS(
   [1]Fichajes_Realizados!A$2:A$5000,A1727,
   [1]Fichajes_Realizados!G$2:G$5000,$X$3
)&gt;0)</f>
        <v>0</v>
      </c>
      <c r="R1727" s="5" t="n">
        <f aca="false">_xlfn.XLOOKUP(C1727, [1]Estado_Equipos!A$2:A$500, [1]Estado_Equipos!J$2:J$500, "")</f>
        <v>71</v>
      </c>
      <c r="S1727" s="5" t="n">
        <f aca="false">IF(H1727&lt;=16,1.45,
IF(H1727&gt;=41,0.3,
CHOOSE(ROUNDDOWN((H1727-16)/2,0)+1,
1.45,1.38,1.3,1.23,1.17,1.15,1.12,1.05,0.95,0.8,0.6,0.4,0.3)))</f>
        <v>1.23</v>
      </c>
      <c r="T1727" s="5" t="n">
        <f aca="false">CHOOSE(N1727+1,1.2,1,0.85,0.7)</f>
        <v>1.2</v>
      </c>
      <c r="U1727" s="5" t="n">
        <f aca="false">IF(F1727="PO",0.6,
IF(F1727="CT",0.75,
IF(F1727="LI",0.8,
IF(F1727="LD",0.8,
IF(F1727="MCD",0.85,
IF(F1727="MC",0.95,
IF(F1727="MO",1.05,
IF(F1727="EI",1.1,
IF(F1727="ED",1.1,
IF(F1727="SD",1.15,
IF(F1727="DC",1.2,0)))))))))))</f>
        <v>1.2</v>
      </c>
    </row>
    <row r="1728" customFormat="false" ht="16.4" hidden="false" customHeight="false" outlineLevel="0" collapsed="false">
      <c r="A1728" s="1" t="n">
        <v>1727</v>
      </c>
      <c r="B1728" s="5" t="str">
        <f aca="false">[1]Base_Jugadores!B1728</f>
        <v>Haris Tabakovic</v>
      </c>
      <c r="C1728" s="5" t="str">
        <f aca="false">IFERROR(
   _xlfn.XLOOKUP(VALUE(A1728),[1]Fichajes_Realizados!A$2:A$50000,[1]Fichajes_Realizados!D$2:D$50000,,0,-1),
   _xlfn.XLOOKUP(VALUE(A1728),[1]Base_Jugadores!A$2:A$50000,[1]Base_Jugadores!C$2:C$50000)
)</f>
        <v>Borussia Mönchengladbach</v>
      </c>
      <c r="D1728" s="5" t="str">
        <f aca="false">[1]Base_Jugadores!D1728</f>
        <v>Bosnia y Herzegovina</v>
      </c>
      <c r="E1728" s="3"/>
      <c r="F1728" s="5" t="str">
        <f aca="false">[1]Base_Jugadores!E1728</f>
        <v>DC</v>
      </c>
      <c r="G1728" s="5" t="n">
        <f aca="false">[1]Base_Jugadores!F1728</f>
        <v>74</v>
      </c>
      <c r="H1728" s="5" t="n">
        <f aca="false">[1]Base_Jugadores!G1728</f>
        <v>31</v>
      </c>
      <c r="I1728" s="7" t="n">
        <f aca="false" t="array" ref="I1728:I1728">_xlfn.XLOOKUP(G1728,{55;56;57;58;59;60;61;62;63;64;65;66;67;68;69;70;71;72;73;74;75;76;77;78;79;80;81;82;83;84;85;86;87;88;89;90;91;92;93;94;95;96;97;98;99},{100000;130000;160000;190000;220000;250000;300000;350000;400000;450000;500000;600000;700000;800000;900000;1000000;1500000;2000000;3000000;4000000;5000000;6500000;8000000;10000000;12500000;15000000;20000000;25000000;30000000;35000000;40000000;55000000;70000000;80000000;90000000;110000000;130000000;160000000;190000000;220000000;250000000;280000000;310000000;340000000;400000000})</f>
        <v>4000000</v>
      </c>
      <c r="J1728" s="7" t="n">
        <f aca="false">I1728*S1728*T1728*U1728</f>
        <v>6048000</v>
      </c>
      <c r="K1728" s="3"/>
      <c r="L1728" s="3"/>
      <c r="M1728" s="3"/>
      <c r="N1728" s="9" t="n">
        <v>0</v>
      </c>
      <c r="O1728" s="4" t="n">
        <v>0</v>
      </c>
      <c r="P1728" s="5" t="n">
        <f aca="false">IF(COUNTIF([1]Base_Jugadores!J$2:J$500,B1728)&gt;0,1,0)</f>
        <v>0</v>
      </c>
      <c r="Q1728" s="10" t="b">
        <f aca="false">--(COUNTIFS(
   [1]Fichajes_Realizados!A$2:A$5000,A1728,
   [1]Fichajes_Realizados!G$2:G$5000,$X$3
)&gt;0)</f>
        <v>0</v>
      </c>
      <c r="R1728" s="5" t="n">
        <f aca="false">_xlfn.XLOOKUP(C1728, [1]Estado_Equipos!A$2:A$500, [1]Estado_Equipos!J$2:J$500, "")</f>
        <v>71</v>
      </c>
      <c r="S1728" s="5" t="n">
        <f aca="false">IF(H1728&lt;=16,1.45,
IF(H1728&gt;=41,0.3,
CHOOSE(ROUNDDOWN((H1728-16)/2,0)+1,
1.45,1.38,1.3,1.23,1.17,1.15,1.12,1.05,0.95,0.8,0.6,0.4,0.3)))</f>
        <v>1.05</v>
      </c>
      <c r="T1728" s="5" t="n">
        <f aca="false">CHOOSE(N1728+1,1.2,1,0.85,0.7)</f>
        <v>1.2</v>
      </c>
      <c r="U1728" s="5" t="n">
        <f aca="false">IF(F1728="PO",0.6,
IF(F1728="CT",0.75,
IF(F1728="LI",0.8,
IF(F1728="LD",0.8,
IF(F1728="MCD",0.85,
IF(F1728="MC",0.95,
IF(F1728="MO",1.05,
IF(F1728="EI",1.1,
IF(F1728="ED",1.1,
IF(F1728="SD",1.15,
IF(F1728="DC",1.2,0)))))))))))</f>
        <v>1.2</v>
      </c>
    </row>
    <row r="1729" customFormat="false" ht="16.4" hidden="false" customHeight="false" outlineLevel="0" collapsed="false">
      <c r="A1729" s="1" t="n">
        <v>1728</v>
      </c>
      <c r="B1729" s="5" t="str">
        <f aca="false">[1]Base_Jugadores!B1729</f>
        <v>Jens Castrop</v>
      </c>
      <c r="C1729" s="5" t="str">
        <f aca="false">IFERROR(
   _xlfn.XLOOKUP(VALUE(A1729),[1]Fichajes_Realizados!A$2:A$50000,[1]Fichajes_Realizados!D$2:D$50000,,0,-1),
   _xlfn.XLOOKUP(VALUE(A1729),[1]Base_Jugadores!A$2:A$50000,[1]Base_Jugadores!C$2:C$50000)
)</f>
        <v>Borussia Mönchengladbach</v>
      </c>
      <c r="D1729" s="5" t="str">
        <f aca="false">[1]Base_Jugadores!D1729</f>
        <v>Corea del Sur</v>
      </c>
      <c r="E1729" s="3"/>
      <c r="F1729" s="5" t="str">
        <f aca="false">[1]Base_Jugadores!E1729</f>
        <v>MC</v>
      </c>
      <c r="G1729" s="5" t="n">
        <f aca="false">[1]Base_Jugadores!F1729</f>
        <v>63</v>
      </c>
      <c r="H1729" s="5" t="n">
        <f aca="false">[1]Base_Jugadores!G1729</f>
        <v>22</v>
      </c>
      <c r="I1729" s="7" t="n">
        <f aca="false" t="array" ref="I1729:I1729">_xlfn.XLOOKUP(G1729,{55;56;57;58;59;60;61;62;63;64;65;66;67;68;69;70;71;72;73;74;75;76;77;78;79;80;81;82;83;84;85;86;87;88;89;90;91;92;93;94;95;96;97;98;99},{100000;130000;160000;190000;220000;250000;300000;350000;400000;450000;500000;600000;700000;800000;900000;1000000;1500000;2000000;3000000;4000000;5000000;6500000;8000000;10000000;12500000;15000000;20000000;25000000;30000000;35000000;40000000;55000000;70000000;80000000;90000000;110000000;130000000;160000000;190000000;220000000;250000000;280000000;310000000;340000000;400000000})</f>
        <v>400000</v>
      </c>
      <c r="J1729" s="7" t="n">
        <f aca="false">I1729*S1729*T1729*U1729</f>
        <v>560880</v>
      </c>
      <c r="K1729" s="3"/>
      <c r="L1729" s="3"/>
      <c r="M1729" s="3"/>
      <c r="N1729" s="9" t="n">
        <v>0</v>
      </c>
      <c r="O1729" s="4" t="n">
        <v>0</v>
      </c>
      <c r="P1729" s="5" t="n">
        <f aca="false">IF(COUNTIF([1]Base_Jugadores!J$2:J$500,B1729)&gt;0,1,0)</f>
        <v>0</v>
      </c>
      <c r="Q1729" s="10" t="b">
        <f aca="false">--(COUNTIFS(
   [1]Fichajes_Realizados!A$2:A$5000,A1729,
   [1]Fichajes_Realizados!G$2:G$5000,$X$3
)&gt;0)</f>
        <v>0</v>
      </c>
      <c r="R1729" s="5" t="n">
        <f aca="false">_xlfn.XLOOKUP(C1729, [1]Estado_Equipos!A$2:A$500, [1]Estado_Equipos!J$2:J$500, "")</f>
        <v>71</v>
      </c>
      <c r="S1729" s="5" t="n">
        <f aca="false">IF(H1729&lt;=16,1.45,
IF(H1729&gt;=41,0.3,
CHOOSE(ROUNDDOWN((H1729-16)/2,0)+1,
1.45,1.38,1.3,1.23,1.17,1.15,1.12,1.05,0.95,0.8,0.6,0.4,0.3)))</f>
        <v>1.23</v>
      </c>
      <c r="T1729" s="5" t="n">
        <f aca="false">CHOOSE(N1729+1,1.2,1,0.85,0.7)</f>
        <v>1.2</v>
      </c>
      <c r="U1729" s="5" t="n">
        <f aca="false">IF(F1729="PO",0.6,
IF(F1729="CT",0.75,
IF(F1729="LI",0.8,
IF(F1729="LD",0.8,
IF(F1729="MCD",0.85,
IF(F1729="MC",0.95,
IF(F1729="MO",1.05,
IF(F1729="EI",1.1,
IF(F1729="ED",1.1,
IF(F1729="SD",1.15,
IF(F1729="DC",1.2,0)))))))))))</f>
        <v>0.95</v>
      </c>
    </row>
    <row r="1730" customFormat="false" ht="16.4" hidden="false" customHeight="false" outlineLevel="0" collapsed="false">
      <c r="A1730" s="1" t="n">
        <v>1729</v>
      </c>
      <c r="B1730" s="5" t="str">
        <f aca="false">[1]Base_Jugadores!B1730</f>
        <v>Joe Scally</v>
      </c>
      <c r="C1730" s="5" t="str">
        <f aca="false">IFERROR(
   _xlfn.XLOOKUP(VALUE(A1730),[1]Fichajes_Realizados!A$2:A$50000,[1]Fichajes_Realizados!D$2:D$50000,,0,-1),
   _xlfn.XLOOKUP(VALUE(A1730),[1]Base_Jugadores!A$2:A$50000,[1]Base_Jugadores!C$2:C$50000)
)</f>
        <v>Borussia Mönchengladbach</v>
      </c>
      <c r="D1730" s="5" t="str">
        <f aca="false">[1]Base_Jugadores!D1730</f>
        <v>Estados Unidos</v>
      </c>
      <c r="E1730" s="3"/>
      <c r="F1730" s="5" t="str">
        <f aca="false">[1]Base_Jugadores!E1730</f>
        <v>LD</v>
      </c>
      <c r="G1730" s="5" t="n">
        <f aca="false">[1]Base_Jugadores!F1730</f>
        <v>74</v>
      </c>
      <c r="H1730" s="5" t="n">
        <f aca="false">[1]Base_Jugadores!G1730</f>
        <v>23</v>
      </c>
      <c r="I1730" s="7" t="n">
        <f aca="false" t="array" ref="I1730:I1730">_xlfn.XLOOKUP(G1730,{55;56;57;58;59;60;61;62;63;64;65;66;67;68;69;70;71;72;73;74;75;76;77;78;79;80;81;82;83;84;85;86;87;88;89;90;91;92;93;94;95;96;97;98;99},{100000;130000;160000;190000;220000;250000;300000;350000;400000;450000;500000;600000;700000;800000;900000;1000000;1500000;2000000;3000000;4000000;5000000;6500000;8000000;10000000;12500000;15000000;20000000;25000000;30000000;35000000;40000000;55000000;70000000;80000000;90000000;110000000;130000000;160000000;190000000;220000000;250000000;280000000;310000000;340000000;400000000})</f>
        <v>4000000</v>
      </c>
      <c r="J1730" s="7" t="n">
        <f aca="false">I1730*S1730*T1730*U1730</f>
        <v>4723200</v>
      </c>
      <c r="K1730" s="3"/>
      <c r="L1730" s="3"/>
      <c r="M1730" s="3"/>
      <c r="N1730" s="9" t="n">
        <v>0</v>
      </c>
      <c r="O1730" s="4" t="n">
        <v>0</v>
      </c>
      <c r="P1730" s="5" t="n">
        <f aca="false">IF(COUNTIF([1]Base_Jugadores!J$2:J$500,B1730)&gt;0,1,0)</f>
        <v>0</v>
      </c>
      <c r="Q1730" s="10" t="b">
        <f aca="false">--(COUNTIFS(
   [1]Fichajes_Realizados!A$2:A$5000,A1730,
   [1]Fichajes_Realizados!G$2:G$5000,$X$3
)&gt;0)</f>
        <v>0</v>
      </c>
      <c r="R1730" s="5" t="n">
        <f aca="false">_xlfn.XLOOKUP(C1730, [1]Estado_Equipos!A$2:A$500, [1]Estado_Equipos!J$2:J$500, "")</f>
        <v>71</v>
      </c>
      <c r="S1730" s="5" t="n">
        <f aca="false">IF(H1730&lt;=16,1.45,
IF(H1730&gt;=41,0.3,
CHOOSE(ROUNDDOWN((H1730-16)/2,0)+1,
1.45,1.38,1.3,1.23,1.17,1.15,1.12,1.05,0.95,0.8,0.6,0.4,0.3)))</f>
        <v>1.23</v>
      </c>
      <c r="T1730" s="5" t="n">
        <f aca="false">CHOOSE(N1730+1,1.2,1,0.85,0.7)</f>
        <v>1.2</v>
      </c>
      <c r="U1730" s="5" t="n">
        <f aca="false">IF(F1730="PO",0.6,
IF(F1730="CT",0.75,
IF(F1730="LI",0.8,
IF(F1730="LD",0.8,
IF(F1730="MCD",0.85,
IF(F1730="MC",0.95,
IF(F1730="MO",1.05,
IF(F1730="EI",1.1,
IF(F1730="ED",1.1,
IF(F1730="SD",1.15,
IF(F1730="DC",1.2,0)))))))))))</f>
        <v>0.8</v>
      </c>
    </row>
    <row r="1731" customFormat="false" ht="16.4" hidden="false" customHeight="false" outlineLevel="0" collapsed="false">
      <c r="A1731" s="1" t="n">
        <v>1730</v>
      </c>
      <c r="B1731" s="5" t="str">
        <f aca="false">[1]Base_Jugadores!B1731</f>
        <v>Jonas Omlin</v>
      </c>
      <c r="C1731" s="5" t="str">
        <f aca="false">IFERROR(
   _xlfn.XLOOKUP(VALUE(A1731),[1]Fichajes_Realizados!A$2:A$50000,[1]Fichajes_Realizados!D$2:D$50000,,0,-1),
   _xlfn.XLOOKUP(VALUE(A1731),[1]Base_Jugadores!A$2:A$50000,[1]Base_Jugadores!C$2:C$50000)
)</f>
        <v>Borussia Mönchengladbach</v>
      </c>
      <c r="D1731" s="5" t="str">
        <f aca="false">[1]Base_Jugadores!D1731</f>
        <v>Suiza</v>
      </c>
      <c r="E1731" s="3"/>
      <c r="F1731" s="5" t="str">
        <f aca="false">[1]Base_Jugadores!E1731</f>
        <v>PO</v>
      </c>
      <c r="G1731" s="5" t="n">
        <f aca="false">[1]Base_Jugadores!F1731</f>
        <v>79</v>
      </c>
      <c r="H1731" s="5" t="n">
        <f aca="false">[1]Base_Jugadores!G1731</f>
        <v>31</v>
      </c>
      <c r="I1731" s="7" t="n">
        <f aca="false" t="array" ref="I1731:I1731">_xlfn.XLOOKUP(G1731,{55;56;57;58;59;60;61;62;63;64;65;66;67;68;69;70;71;72;73;74;75;76;77;78;79;80;81;82;83;84;85;86;87;88;89;90;91;92;93;94;95;96;97;98;99},{100000;130000;160000;190000;220000;250000;300000;350000;400000;450000;500000;600000;700000;800000;900000;1000000;1500000;2000000;3000000;4000000;5000000;6500000;8000000;10000000;12500000;15000000;20000000;25000000;30000000;35000000;40000000;55000000;70000000;80000000;90000000;110000000;130000000;160000000;190000000;220000000;250000000;280000000;310000000;340000000;400000000})</f>
        <v>12500000</v>
      </c>
      <c r="J1731" s="7" t="n">
        <f aca="false">I1731*S1731*T1731*U1731</f>
        <v>9450000</v>
      </c>
      <c r="K1731" s="3"/>
      <c r="L1731" s="3"/>
      <c r="M1731" s="3"/>
      <c r="N1731" s="9" t="n">
        <v>0</v>
      </c>
      <c r="O1731" s="4" t="n">
        <v>0</v>
      </c>
      <c r="P1731" s="5" t="n">
        <f aca="false">IF(COUNTIF([1]Base_Jugadores!J$2:J$500,B1731)&gt;0,1,0)</f>
        <v>0</v>
      </c>
      <c r="Q1731" s="10" t="b">
        <f aca="false">--(COUNTIFS(
   [1]Fichajes_Realizados!A$2:A$5000,A1731,
   [1]Fichajes_Realizados!G$2:G$5000,$X$3
)&gt;0)</f>
        <v>0</v>
      </c>
      <c r="R1731" s="5" t="n">
        <f aca="false">_xlfn.XLOOKUP(C1731, [1]Estado_Equipos!A$2:A$500, [1]Estado_Equipos!J$2:J$500, "")</f>
        <v>71</v>
      </c>
      <c r="S1731" s="5" t="n">
        <f aca="false">IF(H1731&lt;=16,1.45,
IF(H1731&gt;=41,0.3,
CHOOSE(ROUNDDOWN((H1731-16)/2,0)+1,
1.45,1.38,1.3,1.23,1.17,1.15,1.12,1.05,0.95,0.8,0.6,0.4,0.3)))</f>
        <v>1.05</v>
      </c>
      <c r="T1731" s="5" t="n">
        <f aca="false">CHOOSE(N1731+1,1.2,1,0.85,0.7)</f>
        <v>1.2</v>
      </c>
      <c r="U1731" s="5" t="n">
        <f aca="false">IF(F1731="PO",0.6,
IF(F1731="CT",0.75,
IF(F1731="LI",0.8,
IF(F1731="LD",0.8,
IF(F1731="MCD",0.85,
IF(F1731="MC",0.95,
IF(F1731="MO",1.05,
IF(F1731="EI",1.1,
IF(F1731="ED",1.1,
IF(F1731="SD",1.15,
IF(F1731="DC",1.2,0)))))))))))</f>
        <v>0.6</v>
      </c>
    </row>
    <row r="1732" customFormat="false" ht="16.4" hidden="false" customHeight="false" outlineLevel="0" collapsed="false">
      <c r="A1732" s="1" t="n">
        <v>1731</v>
      </c>
      <c r="B1732" s="5" t="str">
        <f aca="false">[1]Base_Jugadores!B1732</f>
        <v>Kevin Diks</v>
      </c>
      <c r="C1732" s="5" t="str">
        <f aca="false">IFERROR(
   _xlfn.XLOOKUP(VALUE(A1732),[1]Fichajes_Realizados!A$2:A$50000,[1]Fichajes_Realizados!D$2:D$50000,,0,-1),
   _xlfn.XLOOKUP(VALUE(A1732),[1]Base_Jugadores!A$2:A$50000,[1]Base_Jugadores!C$2:C$50000)
)</f>
        <v>Borussia Mönchengladbach</v>
      </c>
      <c r="D1732" s="5" t="str">
        <f aca="false">[1]Base_Jugadores!D1732</f>
        <v>Indonesia</v>
      </c>
      <c r="E1732" s="3"/>
      <c r="F1732" s="5" t="str">
        <f aca="false">[1]Base_Jugadores!E1732</f>
        <v>CT</v>
      </c>
      <c r="G1732" s="5" t="n">
        <f aca="false">[1]Base_Jugadores!F1732</f>
        <v>72</v>
      </c>
      <c r="H1732" s="5" t="n">
        <f aca="false">[1]Base_Jugadores!G1732</f>
        <v>29</v>
      </c>
      <c r="I1732" s="7" t="n">
        <f aca="false" t="array" ref="I1732:I1732">_xlfn.XLOOKUP(G1732,{55;56;57;58;59;60;61;62;63;64;65;66;67;68;69;70;71;72;73;74;75;76;77;78;79;80;81;82;83;84;85;86;87;88;89;90;91;92;93;94;95;96;97;98;99},{100000;130000;160000;190000;220000;250000;300000;350000;400000;450000;500000;600000;700000;800000;900000;1000000;1500000;2000000;3000000;4000000;5000000;6500000;8000000;10000000;12500000;15000000;20000000;25000000;30000000;35000000;40000000;55000000;70000000;80000000;90000000;110000000;130000000;160000000;190000000;220000000;250000000;280000000;310000000;340000000;400000000})</f>
        <v>2000000</v>
      </c>
      <c r="J1732" s="7" t="n">
        <f aca="false">I1732*S1732*T1732*U1732</f>
        <v>2016000</v>
      </c>
      <c r="K1732" s="3"/>
      <c r="L1732" s="3"/>
      <c r="M1732" s="3"/>
      <c r="N1732" s="9" t="n">
        <v>0</v>
      </c>
      <c r="O1732" s="4" t="n">
        <v>0</v>
      </c>
      <c r="P1732" s="5" t="n">
        <f aca="false">IF(COUNTIF([1]Base_Jugadores!J$2:J$500,B1732)&gt;0,1,0)</f>
        <v>0</v>
      </c>
      <c r="Q1732" s="10" t="b">
        <f aca="false">--(COUNTIFS(
   [1]Fichajes_Realizados!A$2:A$5000,A1732,
   [1]Fichajes_Realizados!G$2:G$5000,$X$3
)&gt;0)</f>
        <v>0</v>
      </c>
      <c r="R1732" s="5" t="n">
        <f aca="false">_xlfn.XLOOKUP(C1732, [1]Estado_Equipos!A$2:A$500, [1]Estado_Equipos!J$2:J$500, "")</f>
        <v>71</v>
      </c>
      <c r="S1732" s="5" t="n">
        <f aca="false">IF(H1732&lt;=16,1.45,
IF(H1732&gt;=41,0.3,
CHOOSE(ROUNDDOWN((H1732-16)/2,0)+1,
1.45,1.38,1.3,1.23,1.17,1.15,1.12,1.05,0.95,0.8,0.6,0.4,0.3)))</f>
        <v>1.12</v>
      </c>
      <c r="T1732" s="5" t="n">
        <f aca="false">CHOOSE(N1732+1,1.2,1,0.85,0.7)</f>
        <v>1.2</v>
      </c>
      <c r="U1732" s="5" t="n">
        <f aca="false">IF(F1732="PO",0.6,
IF(F1732="CT",0.75,
IF(F1732="LI",0.8,
IF(F1732="LD",0.8,
IF(F1732="MCD",0.85,
IF(F1732="MC",0.95,
IF(F1732="MO",1.05,
IF(F1732="EI",1.1,
IF(F1732="ED",1.1,
IF(F1732="SD",1.15,
IF(F1732="DC",1.2,0)))))))))))</f>
        <v>0.75</v>
      </c>
    </row>
    <row r="1733" customFormat="false" ht="16.4" hidden="false" customHeight="false" outlineLevel="0" collapsed="false">
      <c r="A1733" s="1" t="n">
        <v>1732</v>
      </c>
      <c r="B1733" s="5" t="str">
        <f aca="false">[1]Base_Jugadores!B1733</f>
        <v>Kevin Stöger</v>
      </c>
      <c r="C1733" s="5" t="str">
        <f aca="false">IFERROR(
   _xlfn.XLOOKUP(VALUE(A1733),[1]Fichajes_Realizados!A$2:A$50000,[1]Fichajes_Realizados!D$2:D$50000,,0,-1),
   _xlfn.XLOOKUP(VALUE(A1733),[1]Base_Jugadores!A$2:A$50000,[1]Base_Jugadores!C$2:C$50000)
)</f>
        <v>Borussia Mönchengladbach</v>
      </c>
      <c r="D1733" s="5" t="str">
        <f aca="false">[1]Base_Jugadores!D1733</f>
        <v>Austria</v>
      </c>
      <c r="E1733" s="3"/>
      <c r="F1733" s="5" t="str">
        <f aca="false">[1]Base_Jugadores!E1733</f>
        <v>MO</v>
      </c>
      <c r="G1733" s="5" t="n">
        <f aca="false">[1]Base_Jugadores!F1733</f>
        <v>77</v>
      </c>
      <c r="H1733" s="5" t="n">
        <f aca="false">[1]Base_Jugadores!G1733</f>
        <v>32</v>
      </c>
      <c r="I1733" s="7" t="n">
        <f aca="false" t="array" ref="I1733:I1733">_xlfn.XLOOKUP(G1733,{55;56;57;58;59;60;61;62;63;64;65;66;67;68;69;70;71;72;73;74;75;76;77;78;79;80;81;82;83;84;85;86;87;88;89;90;91;92;93;94;95;96;97;98;99},{100000;130000;160000;190000;220000;250000;300000;350000;400000;450000;500000;600000;700000;800000;900000;1000000;1500000;2000000;3000000;4000000;5000000;6500000;8000000;10000000;12500000;15000000;20000000;25000000;30000000;35000000;40000000;55000000;70000000;80000000;90000000;110000000;130000000;160000000;190000000;220000000;250000000;280000000;310000000;340000000;400000000})</f>
        <v>8000000</v>
      </c>
      <c r="J1733" s="7" t="n">
        <f aca="false">I1733*S1733*T1733*U1733</f>
        <v>9576000</v>
      </c>
      <c r="K1733" s="3"/>
      <c r="L1733" s="3"/>
      <c r="M1733" s="3"/>
      <c r="N1733" s="9" t="n">
        <v>0</v>
      </c>
      <c r="O1733" s="4" t="n">
        <v>0</v>
      </c>
      <c r="P1733" s="5" t="n">
        <f aca="false">IF(COUNTIF([1]Base_Jugadores!J$2:J$500,B1733)&gt;0,1,0)</f>
        <v>0</v>
      </c>
      <c r="Q1733" s="10" t="b">
        <f aca="false">--(COUNTIFS(
   [1]Fichajes_Realizados!A$2:A$5000,A1733,
   [1]Fichajes_Realizados!G$2:G$5000,$X$3
)&gt;0)</f>
        <v>0</v>
      </c>
      <c r="R1733" s="5" t="n">
        <f aca="false">_xlfn.XLOOKUP(C1733, [1]Estado_Equipos!A$2:A$500, [1]Estado_Equipos!J$2:J$500, "")</f>
        <v>71</v>
      </c>
      <c r="S1733" s="5" t="n">
        <f aca="false">IF(H1733&lt;=16,1.45,
IF(H1733&gt;=41,0.3,
CHOOSE(ROUNDDOWN((H1733-16)/2,0)+1,
1.45,1.38,1.3,1.23,1.17,1.15,1.12,1.05,0.95,0.8,0.6,0.4,0.3)))</f>
        <v>0.95</v>
      </c>
      <c r="T1733" s="5" t="n">
        <f aca="false">CHOOSE(N1733+1,1.2,1,0.85,0.7)</f>
        <v>1.2</v>
      </c>
      <c r="U1733" s="5" t="n">
        <f aca="false">IF(F1733="PO",0.6,
IF(F1733="CT",0.75,
IF(F1733="LI",0.8,
IF(F1733="LD",0.8,
IF(F1733="MCD",0.85,
IF(F1733="MC",0.95,
IF(F1733="MO",1.05,
IF(F1733="EI",1.1,
IF(F1733="ED",1.1,
IF(F1733="SD",1.15,
IF(F1733="DC",1.2,0)))))))))))</f>
        <v>1.05</v>
      </c>
    </row>
    <row r="1734" customFormat="false" ht="16.4" hidden="false" customHeight="false" outlineLevel="0" collapsed="false">
      <c r="A1734" s="1" t="n">
        <v>1733</v>
      </c>
      <c r="B1734" s="5" t="str">
        <f aca="false">[1]Base_Jugadores!B1734</f>
        <v>Luca Netz</v>
      </c>
      <c r="C1734" s="5" t="str">
        <f aca="false">IFERROR(
   _xlfn.XLOOKUP(VALUE(A1734),[1]Fichajes_Realizados!A$2:A$50000,[1]Fichajes_Realizados!D$2:D$50000,,0,-1),
   _xlfn.XLOOKUP(VALUE(A1734),[1]Base_Jugadores!A$2:A$50000,[1]Base_Jugadores!C$2:C$50000)
)</f>
        <v>Borussia Mönchengladbach</v>
      </c>
      <c r="D1734" s="5" t="str">
        <f aca="false">[1]Base_Jugadores!D1734</f>
        <v>Alemania</v>
      </c>
      <c r="E1734" s="3"/>
      <c r="F1734" s="5" t="str">
        <f aca="false">[1]Base_Jugadores!E1734</f>
        <v>LI</v>
      </c>
      <c r="G1734" s="5" t="n">
        <f aca="false">[1]Base_Jugadores!F1734</f>
        <v>74</v>
      </c>
      <c r="H1734" s="5" t="n">
        <f aca="false">[1]Base_Jugadores!G1734</f>
        <v>22</v>
      </c>
      <c r="I1734" s="7" t="n">
        <f aca="false" t="array" ref="I1734:I1734">_xlfn.XLOOKUP(G1734,{55;56;57;58;59;60;61;62;63;64;65;66;67;68;69;70;71;72;73;74;75;76;77;78;79;80;81;82;83;84;85;86;87;88;89;90;91;92;93;94;95;96;97;98;99},{100000;130000;160000;190000;220000;250000;300000;350000;400000;450000;500000;600000;700000;800000;900000;1000000;1500000;2000000;3000000;4000000;5000000;6500000;8000000;10000000;12500000;15000000;20000000;25000000;30000000;35000000;40000000;55000000;70000000;80000000;90000000;110000000;130000000;160000000;190000000;220000000;250000000;280000000;310000000;340000000;400000000})</f>
        <v>4000000</v>
      </c>
      <c r="J1734" s="7" t="n">
        <f aca="false">I1734*S1734*T1734*U1734</f>
        <v>4723200</v>
      </c>
      <c r="K1734" s="3"/>
      <c r="L1734" s="3"/>
      <c r="M1734" s="3"/>
      <c r="N1734" s="9" t="n">
        <v>0</v>
      </c>
      <c r="O1734" s="4" t="n">
        <v>0</v>
      </c>
      <c r="P1734" s="5" t="n">
        <f aca="false">IF(COUNTIF([1]Base_Jugadores!J$2:J$500,B1734)&gt;0,1,0)</f>
        <v>0</v>
      </c>
      <c r="Q1734" s="10" t="b">
        <f aca="false">--(COUNTIFS(
   [1]Fichajes_Realizados!A$2:A$5000,A1734,
   [1]Fichajes_Realizados!G$2:G$5000,$X$3
)&gt;0)</f>
        <v>0</v>
      </c>
      <c r="R1734" s="5" t="n">
        <f aca="false">_xlfn.XLOOKUP(C1734, [1]Estado_Equipos!A$2:A$500, [1]Estado_Equipos!J$2:J$500, "")</f>
        <v>71</v>
      </c>
      <c r="S1734" s="5" t="n">
        <f aca="false">IF(H1734&lt;=16,1.45,
IF(H1734&gt;=41,0.3,
CHOOSE(ROUNDDOWN((H1734-16)/2,0)+1,
1.45,1.38,1.3,1.23,1.17,1.15,1.12,1.05,0.95,0.8,0.6,0.4,0.3)))</f>
        <v>1.23</v>
      </c>
      <c r="T1734" s="5" t="n">
        <f aca="false">CHOOSE(N1734+1,1.2,1,0.85,0.7)</f>
        <v>1.2</v>
      </c>
      <c r="U1734" s="5" t="n">
        <f aca="false">IF(F1734="PO",0.6,
IF(F1734="CT",0.75,
IF(F1734="LI",0.8,
IF(F1734="LD",0.8,
IF(F1734="MCD",0.85,
IF(F1734="MC",0.95,
IF(F1734="MO",1.05,
IF(F1734="EI",1.1,
IF(F1734="ED",1.1,
IF(F1734="SD",1.15,
IF(F1734="DC",1.2,0)))))))))))</f>
        <v>0.8</v>
      </c>
    </row>
    <row r="1735" customFormat="false" ht="16.4" hidden="false" customHeight="false" outlineLevel="0" collapsed="false">
      <c r="A1735" s="1" t="n">
        <v>1734</v>
      </c>
      <c r="B1735" s="5" t="str">
        <f aca="false">[1]Base_Jugadores!B1735</f>
        <v>Lukas Ullrich</v>
      </c>
      <c r="C1735" s="5" t="str">
        <f aca="false">IFERROR(
   _xlfn.XLOOKUP(VALUE(A1735),[1]Fichajes_Realizados!A$2:A$50000,[1]Fichajes_Realizados!D$2:D$50000,,0,-1),
   _xlfn.XLOOKUP(VALUE(A1735),[1]Base_Jugadores!A$2:A$50000,[1]Base_Jugadores!C$2:C$50000)
)</f>
        <v>Borussia Mönchengladbach</v>
      </c>
      <c r="D1735" s="5" t="str">
        <f aca="false">[1]Base_Jugadores!D1735</f>
        <v>Alemania</v>
      </c>
      <c r="E1735" s="3"/>
      <c r="F1735" s="5" t="str">
        <f aca="false">[1]Base_Jugadores!E1735</f>
        <v>LI</v>
      </c>
      <c r="G1735" s="5" t="n">
        <f aca="false">[1]Base_Jugadores!F1735</f>
        <v>64</v>
      </c>
      <c r="H1735" s="5" t="n">
        <f aca="false">[1]Base_Jugadores!G1735</f>
        <v>21</v>
      </c>
      <c r="I1735" s="7" t="n">
        <f aca="false" t="array" ref="I1735:I1735">_xlfn.XLOOKUP(G1735,{55;56;57;58;59;60;61;62;63;64;65;66;67;68;69;70;71;72;73;74;75;76;77;78;79;80;81;82;83;84;85;86;87;88;89;90;91;92;93;94;95;96;97;98;99},{100000;130000;160000;190000;220000;250000;300000;350000;400000;450000;500000;600000;700000;800000;900000;1000000;1500000;2000000;3000000;4000000;5000000;6500000;8000000;10000000;12500000;15000000;20000000;25000000;30000000;35000000;40000000;55000000;70000000;80000000;90000000;110000000;130000000;160000000;190000000;220000000;250000000;280000000;310000000;340000000;400000000})</f>
        <v>450000</v>
      </c>
      <c r="J1735" s="7" t="n">
        <f aca="false">I1735*S1735*T1735*U1735</f>
        <v>561600</v>
      </c>
      <c r="K1735" s="3"/>
      <c r="L1735" s="3"/>
      <c r="M1735" s="3"/>
      <c r="N1735" s="9" t="n">
        <v>0</v>
      </c>
      <c r="O1735" s="4" t="n">
        <v>0</v>
      </c>
      <c r="P1735" s="5" t="n">
        <f aca="false">IF(COUNTIF([1]Base_Jugadores!J$2:J$500,B1735)&gt;0,1,0)</f>
        <v>0</v>
      </c>
      <c r="Q1735" s="10" t="b">
        <f aca="false">--(COUNTIFS(
   [1]Fichajes_Realizados!A$2:A$5000,A1735,
   [1]Fichajes_Realizados!G$2:G$5000,$X$3
)&gt;0)</f>
        <v>0</v>
      </c>
      <c r="R1735" s="5" t="n">
        <f aca="false">_xlfn.XLOOKUP(C1735, [1]Estado_Equipos!A$2:A$500, [1]Estado_Equipos!J$2:J$500, "")</f>
        <v>71</v>
      </c>
      <c r="S1735" s="5" t="n">
        <f aca="false">IF(H1735&lt;=16,1.45,
IF(H1735&gt;=41,0.3,
CHOOSE(ROUNDDOWN((H1735-16)/2,0)+1,
1.45,1.38,1.3,1.23,1.17,1.15,1.12,1.05,0.95,0.8,0.6,0.4,0.3)))</f>
        <v>1.3</v>
      </c>
      <c r="T1735" s="5" t="n">
        <f aca="false">CHOOSE(N1735+1,1.2,1,0.85,0.7)</f>
        <v>1.2</v>
      </c>
      <c r="U1735" s="5" t="n">
        <f aca="false">IF(F1735="PO",0.6,
IF(F1735="CT",0.75,
IF(F1735="LI",0.8,
IF(F1735="LD",0.8,
IF(F1735="MCD",0.85,
IF(F1735="MC",0.95,
IF(F1735="MO",1.05,
IF(F1735="EI",1.1,
IF(F1735="ED",1.1,
IF(F1735="SD",1.15,
IF(F1735="DC",1.2,0)))))))))))</f>
        <v>0.8</v>
      </c>
    </row>
    <row r="1736" customFormat="false" ht="16.4" hidden="false" customHeight="false" outlineLevel="0" collapsed="false">
      <c r="A1736" s="1" t="n">
        <v>1735</v>
      </c>
      <c r="B1736" s="5" t="str">
        <f aca="false">[1]Base_Jugadores!B1736</f>
        <v>Marvin Friedrich</v>
      </c>
      <c r="C1736" s="5" t="str">
        <f aca="false">IFERROR(
   _xlfn.XLOOKUP(VALUE(A1736),[1]Fichajes_Realizados!A$2:A$50000,[1]Fichajes_Realizados!D$2:D$50000,,0,-1),
   _xlfn.XLOOKUP(VALUE(A1736),[1]Base_Jugadores!A$2:A$50000,[1]Base_Jugadores!C$2:C$50000)
)</f>
        <v>Borussia Mönchengladbach</v>
      </c>
      <c r="D1736" s="5" t="str">
        <f aca="false">[1]Base_Jugadores!D1736</f>
        <v>Alemania</v>
      </c>
      <c r="E1736" s="3"/>
      <c r="F1736" s="5" t="str">
        <f aca="false">[1]Base_Jugadores!E1736</f>
        <v>CT</v>
      </c>
      <c r="G1736" s="5" t="n">
        <f aca="false">[1]Base_Jugadores!F1736</f>
        <v>74</v>
      </c>
      <c r="H1736" s="5" t="n">
        <f aca="false">[1]Base_Jugadores!G1736</f>
        <v>30</v>
      </c>
      <c r="I1736" s="7" t="n">
        <f aca="false" t="array" ref="I1736:I1736">_xlfn.XLOOKUP(G1736,{55;56;57;58;59;60;61;62;63;64;65;66;67;68;69;70;71;72;73;74;75;76;77;78;79;80;81;82;83;84;85;86;87;88;89;90;91;92;93;94;95;96;97;98;99},{100000;130000;160000;190000;220000;250000;300000;350000;400000;450000;500000;600000;700000;800000;900000;1000000;1500000;2000000;3000000;4000000;5000000;6500000;8000000;10000000;12500000;15000000;20000000;25000000;30000000;35000000;40000000;55000000;70000000;80000000;90000000;110000000;130000000;160000000;190000000;220000000;250000000;280000000;310000000;340000000;400000000})</f>
        <v>4000000</v>
      </c>
      <c r="J1736" s="7" t="n">
        <f aca="false">I1736*S1736*T1736*U1736</f>
        <v>3780000</v>
      </c>
      <c r="K1736" s="3"/>
      <c r="L1736" s="3"/>
      <c r="M1736" s="3"/>
      <c r="N1736" s="9" t="n">
        <v>0</v>
      </c>
      <c r="O1736" s="4" t="n">
        <v>0</v>
      </c>
      <c r="P1736" s="5" t="n">
        <f aca="false">IF(COUNTIF([1]Base_Jugadores!J$2:J$500,B1736)&gt;0,1,0)</f>
        <v>0</v>
      </c>
      <c r="Q1736" s="10" t="b">
        <f aca="false">--(COUNTIFS(
   [1]Fichajes_Realizados!A$2:A$5000,A1736,
   [1]Fichajes_Realizados!G$2:G$5000,$X$3
)&gt;0)</f>
        <v>0</v>
      </c>
      <c r="R1736" s="5" t="n">
        <f aca="false">_xlfn.XLOOKUP(C1736, [1]Estado_Equipos!A$2:A$500, [1]Estado_Equipos!J$2:J$500, "")</f>
        <v>71</v>
      </c>
      <c r="S1736" s="5" t="n">
        <f aca="false">IF(H1736&lt;=16,1.45,
IF(H1736&gt;=41,0.3,
CHOOSE(ROUNDDOWN((H1736-16)/2,0)+1,
1.45,1.38,1.3,1.23,1.17,1.15,1.12,1.05,0.95,0.8,0.6,0.4,0.3)))</f>
        <v>1.05</v>
      </c>
      <c r="T1736" s="5" t="n">
        <f aca="false">CHOOSE(N1736+1,1.2,1,0.85,0.7)</f>
        <v>1.2</v>
      </c>
      <c r="U1736" s="5" t="n">
        <f aca="false">IF(F1736="PO",0.6,
IF(F1736="CT",0.75,
IF(F1736="LI",0.8,
IF(F1736="LD",0.8,
IF(F1736="MCD",0.85,
IF(F1736="MC",0.95,
IF(F1736="MO",1.05,
IF(F1736="EI",1.1,
IF(F1736="ED",1.1,
IF(F1736="SD",1.15,
IF(F1736="DC",1.2,0)))))))))))</f>
        <v>0.75</v>
      </c>
    </row>
    <row r="1737" customFormat="false" ht="16.4" hidden="false" customHeight="false" outlineLevel="0" collapsed="false">
      <c r="A1737" s="1" t="n">
        <v>1736</v>
      </c>
      <c r="B1737" s="5" t="str">
        <f aca="false">[1]Base_Jugadores!B1737</f>
        <v>Nathan Ngoumou</v>
      </c>
      <c r="C1737" s="5" t="str">
        <f aca="false">IFERROR(
   _xlfn.XLOOKUP(VALUE(A1737),[1]Fichajes_Realizados!A$2:A$50000,[1]Fichajes_Realizados!D$2:D$50000,,0,-1),
   _xlfn.XLOOKUP(VALUE(A1737),[1]Base_Jugadores!A$2:A$50000,[1]Base_Jugadores!C$2:C$50000)
)</f>
        <v>Borussia Mönchengladbach</v>
      </c>
      <c r="D1737" s="5" t="str">
        <f aca="false">[1]Base_Jugadores!D1737</f>
        <v>Camerún</v>
      </c>
      <c r="E1737" s="3"/>
      <c r="F1737" s="5" t="str">
        <f aca="false">[1]Base_Jugadores!E1737</f>
        <v>ED</v>
      </c>
      <c r="G1737" s="5" t="n">
        <f aca="false">[1]Base_Jugadores!F1737</f>
        <v>72</v>
      </c>
      <c r="H1737" s="5" t="n">
        <f aca="false">[1]Base_Jugadores!G1737</f>
        <v>25</v>
      </c>
      <c r="I1737" s="7" t="n">
        <f aca="false" t="array" ref="I1737:I1737">_xlfn.XLOOKUP(G1737,{55;56;57;58;59;60;61;62;63;64;65;66;67;68;69;70;71;72;73;74;75;76;77;78;79;80;81;82;83;84;85;86;87;88;89;90;91;92;93;94;95;96;97;98;99},{100000;130000;160000;190000;220000;250000;300000;350000;400000;450000;500000;600000;700000;800000;900000;1000000;1500000;2000000;3000000;4000000;5000000;6500000;8000000;10000000;12500000;15000000;20000000;25000000;30000000;35000000;40000000;55000000;70000000;80000000;90000000;110000000;130000000;160000000;190000000;220000000;250000000;280000000;310000000;340000000;400000000})</f>
        <v>2000000</v>
      </c>
      <c r="J1737" s="7" t="n">
        <f aca="false">I1737*S1737*T1737*U1737</f>
        <v>3088800</v>
      </c>
      <c r="K1737" s="3"/>
      <c r="L1737" s="3"/>
      <c r="M1737" s="3"/>
      <c r="N1737" s="9" t="n">
        <v>0</v>
      </c>
      <c r="O1737" s="4" t="n">
        <v>0</v>
      </c>
      <c r="P1737" s="5" t="n">
        <f aca="false">IF(COUNTIF([1]Base_Jugadores!J$2:J$500,B1737)&gt;0,1,0)</f>
        <v>0</v>
      </c>
      <c r="Q1737" s="10" t="b">
        <f aca="false">--(COUNTIFS(
   [1]Fichajes_Realizados!A$2:A$5000,A1737,
   [1]Fichajes_Realizados!G$2:G$5000,$X$3
)&gt;0)</f>
        <v>0</v>
      </c>
      <c r="R1737" s="5" t="n">
        <f aca="false">_xlfn.XLOOKUP(C1737, [1]Estado_Equipos!A$2:A$500, [1]Estado_Equipos!J$2:J$500, "")</f>
        <v>71</v>
      </c>
      <c r="S1737" s="5" t="n">
        <f aca="false">IF(H1737&lt;=16,1.45,
IF(H1737&gt;=41,0.3,
CHOOSE(ROUNDDOWN((H1737-16)/2,0)+1,
1.45,1.38,1.3,1.23,1.17,1.15,1.12,1.05,0.95,0.8,0.6,0.4,0.3)))</f>
        <v>1.17</v>
      </c>
      <c r="T1737" s="5" t="n">
        <f aca="false">CHOOSE(N1737+1,1.2,1,0.85,0.7)</f>
        <v>1.2</v>
      </c>
      <c r="U1737" s="5" t="n">
        <f aca="false">IF(F1737="PO",0.6,
IF(F1737="CT",0.75,
IF(F1737="LI",0.8,
IF(F1737="LD",0.8,
IF(F1737="MCD",0.85,
IF(F1737="MC",0.95,
IF(F1737="MO",1.05,
IF(F1737="EI",1.1,
IF(F1737="ED",1.1,
IF(F1737="SD",1.15,
IF(F1737="DC",1.2,0)))))))))))</f>
        <v>1.1</v>
      </c>
    </row>
    <row r="1738" customFormat="false" ht="16.4" hidden="false" customHeight="false" outlineLevel="0" collapsed="false">
      <c r="A1738" s="1" t="n">
        <v>1737</v>
      </c>
      <c r="B1738" s="5" t="str">
        <f aca="false">[1]Base_Jugadores!B1738</f>
        <v>Nico Elvedi</v>
      </c>
      <c r="C1738" s="5" t="str">
        <f aca="false">IFERROR(
   _xlfn.XLOOKUP(VALUE(A1738),[1]Fichajes_Realizados!A$2:A$50000,[1]Fichajes_Realizados!D$2:D$50000,,0,-1),
   _xlfn.XLOOKUP(VALUE(A1738),[1]Base_Jugadores!A$2:A$50000,[1]Base_Jugadores!C$2:C$50000)
)</f>
        <v>Borussia Mönchengladbach</v>
      </c>
      <c r="D1738" s="5" t="str">
        <f aca="false">[1]Base_Jugadores!D1738</f>
        <v>Suiza</v>
      </c>
      <c r="E1738" s="3"/>
      <c r="F1738" s="5" t="str">
        <f aca="false">[1]Base_Jugadores!E1738</f>
        <v>CT</v>
      </c>
      <c r="G1738" s="5" t="n">
        <f aca="false">[1]Base_Jugadores!F1738</f>
        <v>77</v>
      </c>
      <c r="H1738" s="5" t="n">
        <f aca="false">[1]Base_Jugadores!G1738</f>
        <v>29</v>
      </c>
      <c r="I1738" s="7" t="n">
        <f aca="false" t="array" ref="I1738:I1738">_xlfn.XLOOKUP(G1738,{55;56;57;58;59;60;61;62;63;64;65;66;67;68;69;70;71;72;73;74;75;76;77;78;79;80;81;82;83;84;85;86;87;88;89;90;91;92;93;94;95;96;97;98;99},{100000;130000;160000;190000;220000;250000;300000;350000;400000;450000;500000;600000;700000;800000;900000;1000000;1500000;2000000;3000000;4000000;5000000;6500000;8000000;10000000;12500000;15000000;20000000;25000000;30000000;35000000;40000000;55000000;70000000;80000000;90000000;110000000;130000000;160000000;190000000;220000000;250000000;280000000;310000000;340000000;400000000})</f>
        <v>8000000</v>
      </c>
      <c r="J1738" s="7" t="n">
        <f aca="false">I1738*S1738*T1738*U1738</f>
        <v>8064000</v>
      </c>
      <c r="K1738" s="3"/>
      <c r="L1738" s="3"/>
      <c r="M1738" s="3"/>
      <c r="N1738" s="9" t="n">
        <v>0</v>
      </c>
      <c r="O1738" s="4" t="n">
        <v>0</v>
      </c>
      <c r="P1738" s="5" t="n">
        <f aca="false">IF(COUNTIF([1]Base_Jugadores!J$2:J$500,B1738)&gt;0,1,0)</f>
        <v>0</v>
      </c>
      <c r="Q1738" s="10" t="b">
        <f aca="false">--(COUNTIFS(
   [1]Fichajes_Realizados!A$2:A$5000,A1738,
   [1]Fichajes_Realizados!G$2:G$5000,$X$3
)&gt;0)</f>
        <v>0</v>
      </c>
      <c r="R1738" s="5" t="n">
        <f aca="false">_xlfn.XLOOKUP(C1738, [1]Estado_Equipos!A$2:A$500, [1]Estado_Equipos!J$2:J$500, "")</f>
        <v>71</v>
      </c>
      <c r="S1738" s="5" t="n">
        <f aca="false">IF(H1738&lt;=16,1.45,
IF(H1738&gt;=41,0.3,
CHOOSE(ROUNDDOWN((H1738-16)/2,0)+1,
1.45,1.38,1.3,1.23,1.17,1.15,1.12,1.05,0.95,0.8,0.6,0.4,0.3)))</f>
        <v>1.12</v>
      </c>
      <c r="T1738" s="5" t="n">
        <f aca="false">CHOOSE(N1738+1,1.2,1,0.85,0.7)</f>
        <v>1.2</v>
      </c>
      <c r="U1738" s="5" t="n">
        <f aca="false">IF(F1738="PO",0.6,
IF(F1738="CT",0.75,
IF(F1738="LI",0.8,
IF(F1738="LD",0.8,
IF(F1738="MCD",0.85,
IF(F1738="MC",0.95,
IF(F1738="MO",1.05,
IF(F1738="EI",1.1,
IF(F1738="ED",1.1,
IF(F1738="SD",1.15,
IF(F1738="DC",1.2,0)))))))))))</f>
        <v>0.75</v>
      </c>
    </row>
    <row r="1739" customFormat="false" ht="16.4" hidden="false" customHeight="false" outlineLevel="0" collapsed="false">
      <c r="A1739" s="1" t="n">
        <v>1738</v>
      </c>
      <c r="B1739" s="5" t="str">
        <f aca="false">[1]Base_Jugadores!B1739</f>
        <v>Niklas Swider</v>
      </c>
      <c r="C1739" s="5" t="str">
        <f aca="false">IFERROR(
   _xlfn.XLOOKUP(VALUE(A1739),[1]Fichajes_Realizados!A$2:A$50000,[1]Fichajes_Realizados!D$2:D$50000,,0,-1),
   _xlfn.XLOOKUP(VALUE(A1739),[1]Base_Jugadores!A$2:A$50000,[1]Base_Jugadores!C$2:C$50000)
)</f>
        <v>Borussia Mönchengladbach</v>
      </c>
      <c r="D1739" s="5" t="str">
        <f aca="false">[1]Base_Jugadores!D1739</f>
        <v>Alemania</v>
      </c>
      <c r="E1739" s="3"/>
      <c r="F1739" s="5" t="str">
        <f aca="false">[1]Base_Jugadores!E1739</f>
        <v>MCD</v>
      </c>
      <c r="G1739" s="5" t="n">
        <f aca="false">[1]Base_Jugadores!F1739</f>
        <v>61</v>
      </c>
      <c r="H1739" s="5" t="n">
        <f aca="false">[1]Base_Jugadores!G1739</f>
        <v>18</v>
      </c>
      <c r="I1739" s="7" t="n">
        <f aca="false" t="array" ref="I1739:I1739">_xlfn.XLOOKUP(G1739,{55;56;57;58;59;60;61;62;63;64;65;66;67;68;69;70;71;72;73;74;75;76;77;78;79;80;81;82;83;84;85;86;87;88;89;90;91;92;93;94;95;96;97;98;99},{100000;130000;160000;190000;220000;250000;300000;350000;400000;450000;500000;600000;700000;800000;900000;1000000;1500000;2000000;3000000;4000000;5000000;6500000;8000000;10000000;12500000;15000000;20000000;25000000;30000000;35000000;40000000;55000000;70000000;80000000;90000000;110000000;130000000;160000000;190000000;220000000;250000000;280000000;310000000;340000000;400000000})</f>
        <v>300000</v>
      </c>
      <c r="J1739" s="7" t="n">
        <f aca="false">I1739*S1739*T1739*U1739</f>
        <v>422280</v>
      </c>
      <c r="K1739" s="3"/>
      <c r="L1739" s="3"/>
      <c r="M1739" s="3"/>
      <c r="N1739" s="9" t="n">
        <v>0</v>
      </c>
      <c r="O1739" s="4" t="n">
        <v>0</v>
      </c>
      <c r="P1739" s="5" t="n">
        <f aca="false">IF(COUNTIF([1]Base_Jugadores!J$2:J$500,B1739)&gt;0,1,0)</f>
        <v>0</v>
      </c>
      <c r="Q1739" s="10" t="b">
        <f aca="false">--(COUNTIFS(
   [1]Fichajes_Realizados!A$2:A$5000,A1739,
   [1]Fichajes_Realizados!G$2:G$5000,$X$3
)&gt;0)</f>
        <v>0</v>
      </c>
      <c r="R1739" s="5" t="n">
        <f aca="false">_xlfn.XLOOKUP(C1739, [1]Estado_Equipos!A$2:A$500, [1]Estado_Equipos!J$2:J$500, "")</f>
        <v>71</v>
      </c>
      <c r="S1739" s="5" t="n">
        <f aca="false">IF(H1739&lt;=16,1.45,
IF(H1739&gt;=41,0.3,
CHOOSE(ROUNDDOWN((H1739-16)/2,0)+1,
1.45,1.38,1.3,1.23,1.17,1.15,1.12,1.05,0.95,0.8,0.6,0.4,0.3)))</f>
        <v>1.38</v>
      </c>
      <c r="T1739" s="5" t="n">
        <f aca="false">CHOOSE(N1739+1,1.2,1,0.85,0.7)</f>
        <v>1.2</v>
      </c>
      <c r="U1739" s="5" t="n">
        <f aca="false">IF(F1739="PO",0.6,
IF(F1739="CT",0.75,
IF(F1739="LI",0.8,
IF(F1739="LD",0.8,
IF(F1739="MCD",0.85,
IF(F1739="MC",0.95,
IF(F1739="MO",1.05,
IF(F1739="EI",1.1,
IF(F1739="ED",1.1,
IF(F1739="SD",1.15,
IF(F1739="DC",1.2,0)))))))))))</f>
        <v>0.85</v>
      </c>
    </row>
    <row r="1740" customFormat="false" ht="16.4" hidden="false" customHeight="false" outlineLevel="0" collapsed="false">
      <c r="A1740" s="1" t="n">
        <v>1739</v>
      </c>
      <c r="B1740" s="5" t="str">
        <f aca="false">[1]Base_Jugadores!B1740</f>
        <v>Oscar Fraulo</v>
      </c>
      <c r="C1740" s="5" t="str">
        <f aca="false">IFERROR(
   _xlfn.XLOOKUP(VALUE(A1740),[1]Fichajes_Realizados!A$2:A$50000,[1]Fichajes_Realizados!D$2:D$50000,,0,-1),
   _xlfn.XLOOKUP(VALUE(A1740),[1]Base_Jugadores!A$2:A$50000,[1]Base_Jugadores!C$2:C$50000)
)</f>
        <v>Borussia Mönchengladbach</v>
      </c>
      <c r="D1740" s="5" t="str">
        <f aca="false">[1]Base_Jugadores!D1740</f>
        <v>Dinamarca</v>
      </c>
      <c r="E1740" s="3"/>
      <c r="F1740" s="5" t="str">
        <f aca="false">[1]Base_Jugadores!E1740</f>
        <v>MC</v>
      </c>
      <c r="G1740" s="5" t="n">
        <f aca="false">[1]Base_Jugadores!F1740</f>
        <v>68</v>
      </c>
      <c r="H1740" s="5" t="n">
        <f aca="false">[1]Base_Jugadores!G1740</f>
        <v>22</v>
      </c>
      <c r="I1740" s="7" t="n">
        <f aca="false" t="array" ref="I1740:I1740">_xlfn.XLOOKUP(G1740,{55;56;57;58;59;60;61;62;63;64;65;66;67;68;69;70;71;72;73;74;75;76;77;78;79;80;81;82;83;84;85;86;87;88;89;90;91;92;93;94;95;96;97;98;99},{100000;130000;160000;190000;220000;250000;300000;350000;400000;450000;500000;600000;700000;800000;900000;1000000;1500000;2000000;3000000;4000000;5000000;6500000;8000000;10000000;12500000;15000000;20000000;25000000;30000000;35000000;40000000;55000000;70000000;80000000;90000000;110000000;130000000;160000000;190000000;220000000;250000000;280000000;310000000;340000000;400000000})</f>
        <v>800000</v>
      </c>
      <c r="J1740" s="7" t="n">
        <f aca="false">I1740*S1740*T1740*U1740</f>
        <v>1121760</v>
      </c>
      <c r="K1740" s="3"/>
      <c r="L1740" s="3"/>
      <c r="M1740" s="3"/>
      <c r="N1740" s="9" t="n">
        <v>0</v>
      </c>
      <c r="O1740" s="4" t="n">
        <v>0</v>
      </c>
      <c r="P1740" s="5" t="n">
        <f aca="false">IF(COUNTIF([1]Base_Jugadores!J$2:J$500,B1740)&gt;0,1,0)</f>
        <v>0</v>
      </c>
      <c r="Q1740" s="10" t="b">
        <f aca="false">--(COUNTIFS(
   [1]Fichajes_Realizados!A$2:A$5000,A1740,
   [1]Fichajes_Realizados!G$2:G$5000,$X$3
)&gt;0)</f>
        <v>0</v>
      </c>
      <c r="R1740" s="5" t="n">
        <f aca="false">_xlfn.XLOOKUP(C1740, [1]Estado_Equipos!A$2:A$500, [1]Estado_Equipos!J$2:J$500, "")</f>
        <v>71</v>
      </c>
      <c r="S1740" s="5" t="n">
        <f aca="false">IF(H1740&lt;=16,1.45,
IF(H1740&gt;=41,0.3,
CHOOSE(ROUNDDOWN((H1740-16)/2,0)+1,
1.45,1.38,1.3,1.23,1.17,1.15,1.12,1.05,0.95,0.8,0.6,0.4,0.3)))</f>
        <v>1.23</v>
      </c>
      <c r="T1740" s="5" t="n">
        <f aca="false">CHOOSE(N1740+1,1.2,1,0.85,0.7)</f>
        <v>1.2</v>
      </c>
      <c r="U1740" s="5" t="n">
        <f aca="false">IF(F1740="PO",0.6,
IF(F1740="CT",0.75,
IF(F1740="LI",0.8,
IF(F1740="LD",0.8,
IF(F1740="MCD",0.85,
IF(F1740="MC",0.95,
IF(F1740="MO",1.05,
IF(F1740="EI",1.1,
IF(F1740="ED",1.1,
IF(F1740="SD",1.15,
IF(F1740="DC",1.2,0)))))))))))</f>
        <v>0.95</v>
      </c>
    </row>
    <row r="1741" customFormat="false" ht="16.4" hidden="false" customHeight="false" outlineLevel="0" collapsed="false">
      <c r="A1741" s="1" t="n">
        <v>1740</v>
      </c>
      <c r="B1741" s="5" t="str">
        <f aca="false">[1]Base_Jugadores!B1741</f>
        <v>Philipp Sander</v>
      </c>
      <c r="C1741" s="5" t="str">
        <f aca="false">IFERROR(
   _xlfn.XLOOKUP(VALUE(A1741),[1]Fichajes_Realizados!A$2:A$50000,[1]Fichajes_Realizados!D$2:D$50000,,0,-1),
   _xlfn.XLOOKUP(VALUE(A1741),[1]Base_Jugadores!A$2:A$50000,[1]Base_Jugadores!C$2:C$50000)
)</f>
        <v>Borussia Mönchengladbach</v>
      </c>
      <c r="D1741" s="5" t="str">
        <f aca="false">[1]Base_Jugadores!D1741</f>
        <v>Alemania</v>
      </c>
      <c r="E1741" s="3"/>
      <c r="F1741" s="5" t="str">
        <f aca="false">[1]Base_Jugadores!E1741</f>
        <v>MC</v>
      </c>
      <c r="G1741" s="5" t="n">
        <f aca="false">[1]Base_Jugadores!F1741</f>
        <v>73</v>
      </c>
      <c r="H1741" s="5" t="n">
        <f aca="false">[1]Base_Jugadores!G1741</f>
        <v>27</v>
      </c>
      <c r="I1741" s="7" t="n">
        <f aca="false" t="array" ref="I1741:I1741">_xlfn.XLOOKUP(G1741,{55;56;57;58;59;60;61;62;63;64;65;66;67;68;69;70;71;72;73;74;75;76;77;78;79;80;81;82;83;84;85;86;87;88;89;90;91;92;93;94;95;96;97;98;99},{100000;130000;160000;190000;220000;250000;300000;350000;400000;450000;500000;600000;700000;800000;900000;1000000;1500000;2000000;3000000;4000000;5000000;6500000;8000000;10000000;12500000;15000000;20000000;25000000;30000000;35000000;40000000;55000000;70000000;80000000;90000000;110000000;130000000;160000000;190000000;220000000;250000000;280000000;310000000;340000000;400000000})</f>
        <v>3000000</v>
      </c>
      <c r="J1741" s="7" t="n">
        <f aca="false">I1741*S1741*T1741*U1741</f>
        <v>3933000</v>
      </c>
      <c r="K1741" s="3"/>
      <c r="L1741" s="3"/>
      <c r="M1741" s="3"/>
      <c r="N1741" s="9" t="n">
        <v>0</v>
      </c>
      <c r="O1741" s="4" t="n">
        <v>0</v>
      </c>
      <c r="P1741" s="5" t="n">
        <f aca="false">IF(COUNTIF([1]Base_Jugadores!J$2:J$500,B1741)&gt;0,1,0)</f>
        <v>0</v>
      </c>
      <c r="Q1741" s="10" t="b">
        <f aca="false">--(COUNTIFS(
   [1]Fichajes_Realizados!A$2:A$5000,A1741,
   [1]Fichajes_Realizados!G$2:G$5000,$X$3
)&gt;0)</f>
        <v>0</v>
      </c>
      <c r="R1741" s="5" t="n">
        <f aca="false">_xlfn.XLOOKUP(C1741, [1]Estado_Equipos!A$2:A$500, [1]Estado_Equipos!J$2:J$500, "")</f>
        <v>71</v>
      </c>
      <c r="S1741" s="5" t="n">
        <f aca="false">IF(H1741&lt;=16,1.45,
IF(H1741&gt;=41,0.3,
CHOOSE(ROUNDDOWN((H1741-16)/2,0)+1,
1.45,1.38,1.3,1.23,1.17,1.15,1.12,1.05,0.95,0.8,0.6,0.4,0.3)))</f>
        <v>1.15</v>
      </c>
      <c r="T1741" s="5" t="n">
        <f aca="false">CHOOSE(N1741+1,1.2,1,0.85,0.7)</f>
        <v>1.2</v>
      </c>
      <c r="U1741" s="5" t="n">
        <f aca="false">IF(F1741="PO",0.6,
IF(F1741="CT",0.75,
IF(F1741="LI",0.8,
IF(F1741="LD",0.8,
IF(F1741="MCD",0.85,
IF(F1741="MC",0.95,
IF(F1741="MO",1.05,
IF(F1741="EI",1.1,
IF(F1741="ED",1.1,
IF(F1741="SD",1.15,
IF(F1741="DC",1.2,0)))))))))))</f>
        <v>0.95</v>
      </c>
    </row>
    <row r="1742" customFormat="false" ht="16.4" hidden="false" customHeight="false" outlineLevel="0" collapsed="false">
      <c r="A1742" s="1" t="n">
        <v>1741</v>
      </c>
      <c r="B1742" s="5" t="str">
        <f aca="false">[1]Base_Jugadores!B1742</f>
        <v>Robin Hack</v>
      </c>
      <c r="C1742" s="5" t="str">
        <f aca="false">IFERROR(
   _xlfn.XLOOKUP(VALUE(A1742),[1]Fichajes_Realizados!A$2:A$50000,[1]Fichajes_Realizados!D$2:D$50000,,0,-1),
   _xlfn.XLOOKUP(VALUE(A1742),[1]Base_Jugadores!A$2:A$50000,[1]Base_Jugadores!C$2:C$50000)
)</f>
        <v>Borussia Mönchengladbach</v>
      </c>
      <c r="D1742" s="5" t="str">
        <f aca="false">[1]Base_Jugadores!D1742</f>
        <v>Alemania</v>
      </c>
      <c r="E1742" s="3"/>
      <c r="F1742" s="5" t="str">
        <f aca="false">[1]Base_Jugadores!E1742</f>
        <v>EI</v>
      </c>
      <c r="G1742" s="5" t="n">
        <f aca="false">[1]Base_Jugadores!F1742</f>
        <v>75</v>
      </c>
      <c r="H1742" s="5" t="n">
        <f aca="false">[1]Base_Jugadores!G1742</f>
        <v>27</v>
      </c>
      <c r="I1742" s="7" t="n">
        <f aca="false" t="array" ref="I1742:I1742">_xlfn.XLOOKUP(G1742,{55;56;57;58;59;60;61;62;63;64;65;66;67;68;69;70;71;72;73;74;75;76;77;78;79;80;81;82;83;84;85;86;87;88;89;90;91;92;93;94;95;96;97;98;99},{100000;130000;160000;190000;220000;250000;300000;350000;400000;450000;500000;600000;700000;800000;900000;1000000;1500000;2000000;3000000;4000000;5000000;6500000;8000000;10000000;12500000;15000000;20000000;25000000;30000000;35000000;40000000;55000000;70000000;80000000;90000000;110000000;130000000;160000000;190000000;220000000;250000000;280000000;310000000;340000000;400000000})</f>
        <v>5000000</v>
      </c>
      <c r="J1742" s="7" t="n">
        <f aca="false">I1742*S1742*T1742*U1742</f>
        <v>7590000</v>
      </c>
      <c r="K1742" s="3"/>
      <c r="L1742" s="3"/>
      <c r="M1742" s="3"/>
      <c r="N1742" s="9" t="n">
        <v>0</v>
      </c>
      <c r="O1742" s="4" t="n">
        <v>0</v>
      </c>
      <c r="P1742" s="5" t="n">
        <f aca="false">IF(COUNTIF([1]Base_Jugadores!J$2:J$500,B1742)&gt;0,1,0)</f>
        <v>0</v>
      </c>
      <c r="Q1742" s="10" t="b">
        <f aca="false">--(COUNTIFS(
   [1]Fichajes_Realizados!A$2:A$5000,A1742,
   [1]Fichajes_Realizados!G$2:G$5000,$X$3
)&gt;0)</f>
        <v>0</v>
      </c>
      <c r="R1742" s="5" t="n">
        <f aca="false">_xlfn.XLOOKUP(C1742, [1]Estado_Equipos!A$2:A$500, [1]Estado_Equipos!J$2:J$500, "")</f>
        <v>71</v>
      </c>
      <c r="S1742" s="5" t="n">
        <f aca="false">IF(H1742&lt;=16,1.45,
IF(H1742&gt;=41,0.3,
CHOOSE(ROUNDDOWN((H1742-16)/2,0)+1,
1.45,1.38,1.3,1.23,1.17,1.15,1.12,1.05,0.95,0.8,0.6,0.4,0.3)))</f>
        <v>1.15</v>
      </c>
      <c r="T1742" s="5" t="n">
        <f aca="false">CHOOSE(N1742+1,1.2,1,0.85,0.7)</f>
        <v>1.2</v>
      </c>
      <c r="U1742" s="5" t="n">
        <f aca="false">IF(F1742="PO",0.6,
IF(F1742="CT",0.75,
IF(F1742="LI",0.8,
IF(F1742="LD",0.8,
IF(F1742="MCD",0.85,
IF(F1742="MC",0.95,
IF(F1742="MO",1.05,
IF(F1742="EI",1.1,
IF(F1742="ED",1.1,
IF(F1742="SD",1.15,
IF(F1742="DC",1.2,0)))))))))))</f>
        <v>1.1</v>
      </c>
    </row>
    <row r="1743" customFormat="false" ht="16.4" hidden="false" customHeight="false" outlineLevel="0" collapsed="false">
      <c r="A1743" s="1" t="n">
        <v>1742</v>
      </c>
      <c r="B1743" s="5" t="str">
        <f aca="false">[1]Base_Jugadores!B1743</f>
        <v>Rocco Reitz</v>
      </c>
      <c r="C1743" s="5" t="str">
        <f aca="false">IFERROR(
   _xlfn.XLOOKUP(VALUE(A1743),[1]Fichajes_Realizados!A$2:A$50000,[1]Fichajes_Realizados!D$2:D$50000,,0,-1),
   _xlfn.XLOOKUP(VALUE(A1743),[1]Base_Jugadores!A$2:A$50000,[1]Base_Jugadores!C$2:C$50000)
)</f>
        <v>Borussia Mönchengladbach</v>
      </c>
      <c r="D1743" s="5" t="str">
        <f aca="false">[1]Base_Jugadores!D1743</f>
        <v>Alemania</v>
      </c>
      <c r="E1743" s="3"/>
      <c r="F1743" s="5" t="str">
        <f aca="false">[1]Base_Jugadores!E1743</f>
        <v>MC</v>
      </c>
      <c r="G1743" s="5" t="n">
        <f aca="false">[1]Base_Jugadores!F1743</f>
        <v>71</v>
      </c>
      <c r="H1743" s="5" t="n">
        <f aca="false">[1]Base_Jugadores!G1743</f>
        <v>23</v>
      </c>
      <c r="I1743" s="7" t="n">
        <f aca="false" t="array" ref="I1743:I1743">_xlfn.XLOOKUP(G1743,{55;56;57;58;59;60;61;62;63;64;65;66;67;68;69;70;71;72;73;74;75;76;77;78;79;80;81;82;83;84;85;86;87;88;89;90;91;92;93;94;95;96;97;98;99},{100000;130000;160000;190000;220000;250000;300000;350000;400000;450000;500000;600000;700000;800000;900000;1000000;1500000;2000000;3000000;4000000;5000000;6500000;8000000;10000000;12500000;15000000;20000000;25000000;30000000;35000000;40000000;55000000;70000000;80000000;90000000;110000000;130000000;160000000;190000000;220000000;250000000;280000000;310000000;340000000;400000000})</f>
        <v>1500000</v>
      </c>
      <c r="J1743" s="7" t="n">
        <f aca="false">I1743*S1743*T1743*U1743</f>
        <v>2103300</v>
      </c>
      <c r="K1743" s="3"/>
      <c r="L1743" s="3"/>
      <c r="M1743" s="3"/>
      <c r="N1743" s="9" t="n">
        <v>0</v>
      </c>
      <c r="O1743" s="4" t="n">
        <v>0</v>
      </c>
      <c r="P1743" s="5" t="n">
        <f aca="false">IF(COUNTIF([1]Base_Jugadores!J$2:J$500,B1743)&gt;0,1,0)</f>
        <v>0</v>
      </c>
      <c r="Q1743" s="10" t="b">
        <f aca="false">--(COUNTIFS(
   [1]Fichajes_Realizados!A$2:A$5000,A1743,
   [1]Fichajes_Realizados!G$2:G$5000,$X$3
)&gt;0)</f>
        <v>0</v>
      </c>
      <c r="R1743" s="5" t="n">
        <f aca="false">_xlfn.XLOOKUP(C1743, [1]Estado_Equipos!A$2:A$500, [1]Estado_Equipos!J$2:J$500, "")</f>
        <v>71</v>
      </c>
      <c r="S1743" s="5" t="n">
        <f aca="false">IF(H1743&lt;=16,1.45,
IF(H1743&gt;=41,0.3,
CHOOSE(ROUNDDOWN((H1743-16)/2,0)+1,
1.45,1.38,1.3,1.23,1.17,1.15,1.12,1.05,0.95,0.8,0.6,0.4,0.3)))</f>
        <v>1.23</v>
      </c>
      <c r="T1743" s="5" t="n">
        <f aca="false">CHOOSE(N1743+1,1.2,1,0.85,0.7)</f>
        <v>1.2</v>
      </c>
      <c r="U1743" s="5" t="n">
        <f aca="false">IF(F1743="PO",0.6,
IF(F1743="CT",0.75,
IF(F1743="LI",0.8,
IF(F1743="LD",0.8,
IF(F1743="MCD",0.85,
IF(F1743="MC",0.95,
IF(F1743="MO",1.05,
IF(F1743="EI",1.1,
IF(F1743="ED",1.1,
IF(F1743="SD",1.15,
IF(F1743="DC",1.2,0)))))))))))</f>
        <v>0.95</v>
      </c>
    </row>
    <row r="1744" customFormat="false" ht="16.4" hidden="false" customHeight="false" outlineLevel="0" collapsed="false">
      <c r="A1744" s="1" t="n">
        <v>1743</v>
      </c>
      <c r="B1744" s="5" t="str">
        <f aca="false">[1]Base_Jugadores!B1744</f>
        <v>Shuto Machino</v>
      </c>
      <c r="C1744" s="5" t="str">
        <f aca="false">IFERROR(
   _xlfn.XLOOKUP(VALUE(A1744),[1]Fichajes_Realizados!A$2:A$50000,[1]Fichajes_Realizados!D$2:D$50000,,0,-1),
   _xlfn.XLOOKUP(VALUE(A1744),[1]Base_Jugadores!A$2:A$50000,[1]Base_Jugadores!C$2:C$50000)
)</f>
        <v>Borussia Mönchengladbach</v>
      </c>
      <c r="D1744" s="5" t="str">
        <f aca="false">[1]Base_Jugadores!D1744</f>
        <v>Japón</v>
      </c>
      <c r="E1744" s="3"/>
      <c r="F1744" s="5" t="str">
        <f aca="false">[1]Base_Jugadores!E1744</f>
        <v>DC</v>
      </c>
      <c r="G1744" s="5" t="n">
        <f aca="false">[1]Base_Jugadores!F1744</f>
        <v>69</v>
      </c>
      <c r="H1744" s="5" t="n">
        <f aca="false">[1]Base_Jugadores!G1744</f>
        <v>26</v>
      </c>
      <c r="I1744" s="7" t="n">
        <f aca="false" t="array" ref="I1744:I1744">_xlfn.XLOOKUP(G1744,{55;56;57;58;59;60;61;62;63;64;65;66;67;68;69;70;71;72;73;74;75;76;77;78;79;80;81;82;83;84;85;86;87;88;89;90;91;92;93;94;95;96;97;98;99},{100000;130000;160000;190000;220000;250000;300000;350000;400000;450000;500000;600000;700000;800000;900000;1000000;1500000;2000000;3000000;4000000;5000000;6500000;8000000;10000000;12500000;15000000;20000000;25000000;30000000;35000000;40000000;55000000;70000000;80000000;90000000;110000000;130000000;160000000;190000000;220000000;250000000;280000000;310000000;340000000;400000000})</f>
        <v>900000</v>
      </c>
      <c r="J1744" s="7" t="n">
        <f aca="false">I1744*S1744*T1744*U1744</f>
        <v>1490400</v>
      </c>
      <c r="K1744" s="3"/>
      <c r="L1744" s="3"/>
      <c r="M1744" s="3"/>
      <c r="N1744" s="9" t="n">
        <v>0</v>
      </c>
      <c r="O1744" s="4" t="n">
        <v>0</v>
      </c>
      <c r="P1744" s="5" t="n">
        <f aca="false">IF(COUNTIF([1]Base_Jugadores!J$2:J$500,B1744)&gt;0,1,0)</f>
        <v>0</v>
      </c>
      <c r="Q1744" s="10" t="b">
        <f aca="false">--(COUNTIFS(
   [1]Fichajes_Realizados!A$2:A$5000,A1744,
   [1]Fichajes_Realizados!G$2:G$5000,$X$3
)&gt;0)</f>
        <v>0</v>
      </c>
      <c r="R1744" s="5" t="n">
        <f aca="false">_xlfn.XLOOKUP(C1744, [1]Estado_Equipos!A$2:A$500, [1]Estado_Equipos!J$2:J$500, "")</f>
        <v>71</v>
      </c>
      <c r="S1744" s="5" t="n">
        <f aca="false">IF(H1744&lt;=16,1.45,
IF(H1744&gt;=41,0.3,
CHOOSE(ROUNDDOWN((H1744-16)/2,0)+1,
1.45,1.38,1.3,1.23,1.17,1.15,1.12,1.05,0.95,0.8,0.6,0.4,0.3)))</f>
        <v>1.15</v>
      </c>
      <c r="T1744" s="5" t="n">
        <f aca="false">CHOOSE(N1744+1,1.2,1,0.85,0.7)</f>
        <v>1.2</v>
      </c>
      <c r="U1744" s="5" t="n">
        <f aca="false">IF(F1744="PO",0.6,
IF(F1744="CT",0.75,
IF(F1744="LI",0.8,
IF(F1744="LD",0.8,
IF(F1744="MCD",0.85,
IF(F1744="MC",0.95,
IF(F1744="MO",1.05,
IF(F1744="EI",1.1,
IF(F1744="ED",1.1,
IF(F1744="SD",1.15,
IF(F1744="DC",1.2,0)))))))))))</f>
        <v>1.2</v>
      </c>
    </row>
    <row r="1745" customFormat="false" ht="16.4" hidden="false" customHeight="false" outlineLevel="0" collapsed="false">
      <c r="A1745" s="1" t="n">
        <v>1744</v>
      </c>
      <c r="B1745" s="5" t="str">
        <f aca="false">[1]Base_Jugadores!B1745</f>
        <v>Tiago Pereira C.</v>
      </c>
      <c r="C1745" s="5" t="str">
        <f aca="false">IFERROR(
   _xlfn.XLOOKUP(VALUE(A1745),[1]Fichajes_Realizados!A$2:A$50000,[1]Fichajes_Realizados!D$2:D$50000,,0,-1),
   _xlfn.XLOOKUP(VALUE(A1745),[1]Base_Jugadores!A$2:A$50000,[1]Base_Jugadores!C$2:C$50000)
)</f>
        <v>Borussia Mönchengladbach</v>
      </c>
      <c r="D1745" s="5" t="str">
        <f aca="false">[1]Base_Jugadores!D1745</f>
        <v>Luxemburgo</v>
      </c>
      <c r="E1745" s="3"/>
      <c r="F1745" s="5" t="str">
        <f aca="false">[1]Base_Jugadores!E1745</f>
        <v>PO</v>
      </c>
      <c r="G1745" s="5" t="n">
        <f aca="false">[1]Base_Jugadores!F1745</f>
        <v>63</v>
      </c>
      <c r="H1745" s="5" t="n">
        <f aca="false">[1]Base_Jugadores!G1745</f>
        <v>19</v>
      </c>
      <c r="I1745" s="7" t="n">
        <f aca="false" t="array" ref="I1745:I1745">_xlfn.XLOOKUP(G1745,{55;56;57;58;59;60;61;62;63;64;65;66;67;68;69;70;71;72;73;74;75;76;77;78;79;80;81;82;83;84;85;86;87;88;89;90;91;92;93;94;95;96;97;98;99},{100000;130000;160000;190000;220000;250000;300000;350000;400000;450000;500000;600000;700000;800000;900000;1000000;1500000;2000000;3000000;4000000;5000000;6500000;8000000;10000000;12500000;15000000;20000000;25000000;30000000;35000000;40000000;55000000;70000000;80000000;90000000;110000000;130000000;160000000;190000000;220000000;250000000;280000000;310000000;340000000;400000000})</f>
        <v>400000</v>
      </c>
      <c r="J1745" s="7" t="n">
        <f aca="false">I1745*S1745*T1745*U1745</f>
        <v>397440</v>
      </c>
      <c r="K1745" s="3"/>
      <c r="L1745" s="3"/>
      <c r="M1745" s="3"/>
      <c r="N1745" s="9" t="n">
        <v>0</v>
      </c>
      <c r="O1745" s="4" t="n">
        <v>0</v>
      </c>
      <c r="P1745" s="5" t="n">
        <f aca="false">IF(COUNTIF([1]Base_Jugadores!J$2:J$500,B1745)&gt;0,1,0)</f>
        <v>0</v>
      </c>
      <c r="Q1745" s="10" t="b">
        <f aca="false">--(COUNTIFS(
   [1]Fichajes_Realizados!A$2:A$5000,A1745,
   [1]Fichajes_Realizados!G$2:G$5000,$X$3
)&gt;0)</f>
        <v>0</v>
      </c>
      <c r="R1745" s="5" t="n">
        <f aca="false">_xlfn.XLOOKUP(C1745, [1]Estado_Equipos!A$2:A$500, [1]Estado_Equipos!J$2:J$500, "")</f>
        <v>71</v>
      </c>
      <c r="S1745" s="5" t="n">
        <f aca="false">IF(H1745&lt;=16,1.45,
IF(H1745&gt;=41,0.3,
CHOOSE(ROUNDDOWN((H1745-16)/2,0)+1,
1.45,1.38,1.3,1.23,1.17,1.15,1.12,1.05,0.95,0.8,0.6,0.4,0.3)))</f>
        <v>1.38</v>
      </c>
      <c r="T1745" s="5" t="n">
        <f aca="false">CHOOSE(N1745+1,1.2,1,0.85,0.7)</f>
        <v>1.2</v>
      </c>
      <c r="U1745" s="5" t="n">
        <f aca="false">IF(F1745="PO",0.6,
IF(F1745="CT",0.75,
IF(F1745="LI",0.8,
IF(F1745="LD",0.8,
IF(F1745="MCD",0.85,
IF(F1745="MC",0.95,
IF(F1745="MO",1.05,
IF(F1745="EI",1.1,
IF(F1745="ED",1.1,
IF(F1745="SD",1.15,
IF(F1745="DC",1.2,0)))))))))))</f>
        <v>0.6</v>
      </c>
    </row>
    <row r="1746" customFormat="false" ht="16.4" hidden="false" customHeight="false" outlineLevel="0" collapsed="false">
      <c r="A1746" s="1" t="n">
        <v>1745</v>
      </c>
      <c r="B1746" s="5" t="str">
        <f aca="false">[1]Base_Jugadores!B1746</f>
        <v>Tim Kleindienst</v>
      </c>
      <c r="C1746" s="5" t="str">
        <f aca="false">IFERROR(
   _xlfn.XLOOKUP(VALUE(A1746),[1]Fichajes_Realizados!A$2:A$50000,[1]Fichajes_Realizados!D$2:D$50000,,0,-1),
   _xlfn.XLOOKUP(VALUE(A1746),[1]Base_Jugadores!A$2:A$50000,[1]Base_Jugadores!C$2:C$50000)
)</f>
        <v>Borussia Mönchengladbach</v>
      </c>
      <c r="D1746" s="5" t="str">
        <f aca="false">[1]Base_Jugadores!D1746</f>
        <v>Alemania</v>
      </c>
      <c r="E1746" s="3"/>
      <c r="F1746" s="5" t="str">
        <f aca="false">[1]Base_Jugadores!E1746</f>
        <v>DC</v>
      </c>
      <c r="G1746" s="5" t="n">
        <f aca="false">[1]Base_Jugadores!F1746</f>
        <v>77</v>
      </c>
      <c r="H1746" s="5" t="n">
        <f aca="false">[1]Base_Jugadores!G1746</f>
        <v>30</v>
      </c>
      <c r="I1746" s="7" t="n">
        <f aca="false" t="array" ref="I1746:I1746">_xlfn.XLOOKUP(G1746,{55;56;57;58;59;60;61;62;63;64;65;66;67;68;69;70;71;72;73;74;75;76;77;78;79;80;81;82;83;84;85;86;87;88;89;90;91;92;93;94;95;96;97;98;99},{100000;130000;160000;190000;220000;250000;300000;350000;400000;450000;500000;600000;700000;800000;900000;1000000;1500000;2000000;3000000;4000000;5000000;6500000;8000000;10000000;12500000;15000000;20000000;25000000;30000000;35000000;40000000;55000000;70000000;80000000;90000000;110000000;130000000;160000000;190000000;220000000;250000000;280000000;310000000;340000000;400000000})</f>
        <v>8000000</v>
      </c>
      <c r="J1746" s="7" t="n">
        <f aca="false">I1746*S1746*T1746*U1746</f>
        <v>12096000</v>
      </c>
      <c r="K1746" s="3"/>
      <c r="L1746" s="3"/>
      <c r="M1746" s="3"/>
      <c r="N1746" s="9" t="n">
        <v>0</v>
      </c>
      <c r="O1746" s="4" t="n">
        <v>0</v>
      </c>
      <c r="P1746" s="5" t="n">
        <f aca="false">IF(COUNTIF([1]Base_Jugadores!J$2:J$500,B1746)&gt;0,1,0)</f>
        <v>0</v>
      </c>
      <c r="Q1746" s="10" t="b">
        <f aca="false">--(COUNTIFS(
   [1]Fichajes_Realizados!A$2:A$5000,A1746,
   [1]Fichajes_Realizados!G$2:G$5000,$X$3
)&gt;0)</f>
        <v>0</v>
      </c>
      <c r="R1746" s="5" t="n">
        <f aca="false">_xlfn.XLOOKUP(C1746, [1]Estado_Equipos!A$2:A$500, [1]Estado_Equipos!J$2:J$500, "")</f>
        <v>71</v>
      </c>
      <c r="S1746" s="5" t="n">
        <f aca="false">IF(H1746&lt;=16,1.45,
IF(H1746&gt;=41,0.3,
CHOOSE(ROUNDDOWN((H1746-16)/2,0)+1,
1.45,1.38,1.3,1.23,1.17,1.15,1.12,1.05,0.95,0.8,0.6,0.4,0.3)))</f>
        <v>1.05</v>
      </c>
      <c r="T1746" s="5" t="n">
        <f aca="false">CHOOSE(N1746+1,1.2,1,0.85,0.7)</f>
        <v>1.2</v>
      </c>
      <c r="U1746" s="5" t="n">
        <f aca="false">IF(F1746="PO",0.6,
IF(F1746="CT",0.75,
IF(F1746="LI",0.8,
IF(F1746="LD",0.8,
IF(F1746="MCD",0.85,
IF(F1746="MC",0.95,
IF(F1746="MO",1.05,
IF(F1746="EI",1.1,
IF(F1746="ED",1.1,
IF(F1746="SD",1.15,
IF(F1746="DC",1.2,0)))))))))))</f>
        <v>1.2</v>
      </c>
    </row>
    <row r="1747" customFormat="false" ht="16.4" hidden="false" customHeight="false" outlineLevel="0" collapsed="false">
      <c r="A1747" s="1" t="n">
        <v>1746</v>
      </c>
      <c r="B1747" s="5" t="str">
        <f aca="false">[1]Base_Jugadores!B1747</f>
        <v>Tobias Sippel</v>
      </c>
      <c r="C1747" s="5" t="str">
        <f aca="false">IFERROR(
   _xlfn.XLOOKUP(VALUE(A1747),[1]Fichajes_Realizados!A$2:A$50000,[1]Fichajes_Realizados!D$2:D$50000,,0,-1),
   _xlfn.XLOOKUP(VALUE(A1747),[1]Base_Jugadores!A$2:A$50000,[1]Base_Jugadores!C$2:C$50000)
)</f>
        <v>Borussia Mönchengladbach</v>
      </c>
      <c r="D1747" s="5" t="str">
        <f aca="false">[1]Base_Jugadores!D1747</f>
        <v>Alemania</v>
      </c>
      <c r="E1747" s="3"/>
      <c r="F1747" s="5" t="str">
        <f aca="false">[1]Base_Jugadores!E1747</f>
        <v>PO</v>
      </c>
      <c r="G1747" s="5" t="n">
        <f aca="false">[1]Base_Jugadores!F1747</f>
        <v>68</v>
      </c>
      <c r="H1747" s="5" t="n">
        <f aca="false">[1]Base_Jugadores!G1747</f>
        <v>37</v>
      </c>
      <c r="I1747" s="7" t="n">
        <f aca="false" t="array" ref="I1747:I1747">_xlfn.XLOOKUP(G1747,{55;56;57;58;59;60;61;62;63;64;65;66;67;68;69;70;71;72;73;74;75;76;77;78;79;80;81;82;83;84;85;86;87;88;89;90;91;92;93;94;95;96;97;98;99},{100000;130000;160000;190000;220000;250000;300000;350000;400000;450000;500000;600000;700000;800000;900000;1000000;1500000;2000000;3000000;4000000;5000000;6500000;8000000;10000000;12500000;15000000;20000000;25000000;30000000;35000000;40000000;55000000;70000000;80000000;90000000;110000000;130000000;160000000;190000000;220000000;250000000;280000000;310000000;340000000;400000000})</f>
        <v>800000</v>
      </c>
      <c r="J1747" s="7" t="n">
        <f aca="false">I1747*S1747*T1747*U1747</f>
        <v>345600</v>
      </c>
      <c r="K1747" s="3"/>
      <c r="L1747" s="3"/>
      <c r="M1747" s="3"/>
      <c r="N1747" s="9" t="n">
        <v>0</v>
      </c>
      <c r="O1747" s="4" t="n">
        <v>0</v>
      </c>
      <c r="P1747" s="5" t="n">
        <f aca="false">IF(COUNTIF([1]Base_Jugadores!J$2:J$500,B1747)&gt;0,1,0)</f>
        <v>0</v>
      </c>
      <c r="Q1747" s="10" t="b">
        <f aca="false">--(COUNTIFS(
   [1]Fichajes_Realizados!A$2:A$5000,A1747,
   [1]Fichajes_Realizados!G$2:G$5000,$X$3
)&gt;0)</f>
        <v>0</v>
      </c>
      <c r="R1747" s="5" t="n">
        <f aca="false">_xlfn.XLOOKUP(C1747, [1]Estado_Equipos!A$2:A$500, [1]Estado_Equipos!J$2:J$500, "")</f>
        <v>71</v>
      </c>
      <c r="S1747" s="5" t="n">
        <f aca="false">IF(H1747&lt;=16,1.45,
IF(H1747&gt;=41,0.3,
CHOOSE(ROUNDDOWN((H1747-16)/2,0)+1,
1.45,1.38,1.3,1.23,1.17,1.15,1.12,1.05,0.95,0.8,0.6,0.4,0.3)))</f>
        <v>0.6</v>
      </c>
      <c r="T1747" s="5" t="n">
        <f aca="false">CHOOSE(N1747+1,1.2,1,0.85,0.7)</f>
        <v>1.2</v>
      </c>
      <c r="U1747" s="5" t="n">
        <f aca="false">IF(F1747="PO",0.6,
IF(F1747="CT",0.75,
IF(F1747="LI",0.8,
IF(F1747="LD",0.8,
IF(F1747="MCD",0.85,
IF(F1747="MC",0.95,
IF(F1747="MO",1.05,
IF(F1747="EI",1.1,
IF(F1747="ED",1.1,
IF(F1747="SD",1.15,
IF(F1747="DC",1.2,0)))))))))))</f>
        <v>0.6</v>
      </c>
    </row>
    <row r="1748" customFormat="false" ht="16.4" hidden="false" customHeight="false" outlineLevel="0" collapsed="false">
      <c r="A1748" s="1" t="n">
        <v>1747</v>
      </c>
      <c r="B1748" s="5" t="str">
        <f aca="false">[1]Base_Jugadores!B1748</f>
        <v>Yannik Engelhardt</v>
      </c>
      <c r="C1748" s="5" t="str">
        <f aca="false">IFERROR(
   _xlfn.XLOOKUP(VALUE(A1748),[1]Fichajes_Realizados!A$2:A$50000,[1]Fichajes_Realizados!D$2:D$50000,,0,-1),
   _xlfn.XLOOKUP(VALUE(A1748),[1]Base_Jugadores!A$2:A$50000,[1]Base_Jugadores!C$2:C$50000)
)</f>
        <v>Borussia Mönchengladbach</v>
      </c>
      <c r="D1748" s="5" t="str">
        <f aca="false">[1]Base_Jugadores!D1748</f>
        <v>Alemania</v>
      </c>
      <c r="E1748" s="3"/>
      <c r="F1748" s="5" t="str">
        <f aca="false">[1]Base_Jugadores!E1748</f>
        <v>MCD</v>
      </c>
      <c r="G1748" s="5" t="n">
        <f aca="false">[1]Base_Jugadores!F1748</f>
        <v>71</v>
      </c>
      <c r="H1748" s="5" t="n">
        <f aca="false">[1]Base_Jugadores!G1748</f>
        <v>24</v>
      </c>
      <c r="I1748" s="7" t="n">
        <f aca="false" t="array" ref="I1748:I1748">_xlfn.XLOOKUP(G1748,{55;56;57;58;59;60;61;62;63;64;65;66;67;68;69;70;71;72;73;74;75;76;77;78;79;80;81;82;83;84;85;86;87;88;89;90;91;92;93;94;95;96;97;98;99},{100000;130000;160000;190000;220000;250000;300000;350000;400000;450000;500000;600000;700000;800000;900000;1000000;1500000;2000000;3000000;4000000;5000000;6500000;8000000;10000000;12500000;15000000;20000000;25000000;30000000;35000000;40000000;55000000;70000000;80000000;90000000;110000000;130000000;160000000;190000000;220000000;250000000;280000000;310000000;340000000;400000000})</f>
        <v>1500000</v>
      </c>
      <c r="J1748" s="7" t="n">
        <f aca="false">I1748*S1748*T1748*U1748</f>
        <v>1790100</v>
      </c>
      <c r="K1748" s="3"/>
      <c r="L1748" s="3"/>
      <c r="M1748" s="3"/>
      <c r="N1748" s="9" t="n">
        <v>0</v>
      </c>
      <c r="O1748" s="4" t="n">
        <v>0</v>
      </c>
      <c r="P1748" s="5" t="n">
        <f aca="false">IF(COUNTIF([1]Base_Jugadores!J$2:J$500,B1748)&gt;0,1,0)</f>
        <v>0</v>
      </c>
      <c r="Q1748" s="10" t="b">
        <f aca="false">--(COUNTIFS(
   [1]Fichajes_Realizados!A$2:A$5000,A1748,
   [1]Fichajes_Realizados!G$2:G$5000,$X$3
)&gt;0)</f>
        <v>0</v>
      </c>
      <c r="R1748" s="5" t="n">
        <f aca="false">_xlfn.XLOOKUP(C1748, [1]Estado_Equipos!A$2:A$500, [1]Estado_Equipos!J$2:J$500, "")</f>
        <v>71</v>
      </c>
      <c r="S1748" s="5" t="n">
        <f aca="false">IF(H1748&lt;=16,1.45,
IF(H1748&gt;=41,0.3,
CHOOSE(ROUNDDOWN((H1748-16)/2,0)+1,
1.45,1.38,1.3,1.23,1.17,1.15,1.12,1.05,0.95,0.8,0.6,0.4,0.3)))</f>
        <v>1.17</v>
      </c>
      <c r="T1748" s="5" t="n">
        <f aca="false">CHOOSE(N1748+1,1.2,1,0.85,0.7)</f>
        <v>1.2</v>
      </c>
      <c r="U1748" s="5" t="n">
        <f aca="false">IF(F1748="PO",0.6,
IF(F1748="CT",0.75,
IF(F1748="LI",0.8,
IF(F1748="LD",0.8,
IF(F1748="MCD",0.85,
IF(F1748="MC",0.95,
IF(F1748="MO",1.05,
IF(F1748="EI",1.1,
IF(F1748="ED",1.1,
IF(F1748="SD",1.15,
IF(F1748="DC",1.2,0)))))))))))</f>
        <v>0.85</v>
      </c>
    </row>
    <row r="1749" customFormat="false" ht="16.4" hidden="false" customHeight="false" outlineLevel="0" collapsed="false">
      <c r="A1749" s="1" t="n">
        <v>1748</v>
      </c>
      <c r="B1749" s="5" t="str">
        <f aca="false">[1]Base_Jugadores!B1749</f>
        <v>Ansgar Knauff</v>
      </c>
      <c r="C1749" s="5" t="str">
        <f aca="false">IFERROR(
   _xlfn.XLOOKUP(VALUE(A1749),[1]Fichajes_Realizados!A$2:A$50000,[1]Fichajes_Realizados!D$2:D$50000,,0,-1),
   _xlfn.XLOOKUP(VALUE(A1749),[1]Base_Jugadores!A$2:A$50000,[1]Base_Jugadores!C$2:C$50000)
)</f>
        <v>Eintracht Fráncfort</v>
      </c>
      <c r="D1749" s="5" t="str">
        <f aca="false">[1]Base_Jugadores!D1749</f>
        <v>Alemania</v>
      </c>
      <c r="E1749" s="3"/>
      <c r="F1749" s="5" t="str">
        <f aca="false">[1]Base_Jugadores!E1749</f>
        <v>ED</v>
      </c>
      <c r="G1749" s="5" t="n">
        <f aca="false">[1]Base_Jugadores!F1749</f>
        <v>77</v>
      </c>
      <c r="H1749" s="5" t="n">
        <f aca="false">[1]Base_Jugadores!G1749</f>
        <v>23</v>
      </c>
      <c r="I1749" s="7" t="n">
        <f aca="false" t="array" ref="I1749:I1749">_xlfn.XLOOKUP(G1749,{55;56;57;58;59;60;61;62;63;64;65;66;67;68;69;70;71;72;73;74;75;76;77;78;79;80;81;82;83;84;85;86;87;88;89;90;91;92;93;94;95;96;97;98;99},{100000;130000;160000;190000;220000;250000;300000;350000;400000;450000;500000;600000;700000;800000;900000;1000000;1500000;2000000;3000000;4000000;5000000;6500000;8000000;10000000;12500000;15000000;20000000;25000000;30000000;35000000;40000000;55000000;70000000;80000000;90000000;110000000;130000000;160000000;190000000;220000000;250000000;280000000;310000000;340000000;400000000})</f>
        <v>8000000</v>
      </c>
      <c r="J1749" s="7" t="n">
        <f aca="false">I1749*S1749*T1749*U1749</f>
        <v>12988800</v>
      </c>
      <c r="K1749" s="3"/>
      <c r="L1749" s="3"/>
      <c r="M1749" s="3"/>
      <c r="N1749" s="9" t="n">
        <v>0</v>
      </c>
      <c r="O1749" s="4" t="n">
        <v>0</v>
      </c>
      <c r="P1749" s="5" t="n">
        <f aca="false">IF(COUNTIF([1]Base_Jugadores!J$2:J$500,B1749)&gt;0,1,0)</f>
        <v>0</v>
      </c>
      <c r="Q1749" s="10" t="b">
        <f aca="false">--(COUNTIFS(
   [1]Fichajes_Realizados!A$2:A$5000,A1749,
   [1]Fichajes_Realizados!G$2:G$5000,$X$3
)&gt;0)</f>
        <v>0</v>
      </c>
      <c r="R1749" s="5" t="n">
        <f aca="false">_xlfn.XLOOKUP(C1749, [1]Estado_Equipos!A$2:A$500, [1]Estado_Equipos!J$2:J$500, "")</f>
        <v>74</v>
      </c>
      <c r="S1749" s="5" t="n">
        <f aca="false">IF(H1749&lt;=16,1.45,
IF(H1749&gt;=41,0.3,
CHOOSE(ROUNDDOWN((H1749-16)/2,0)+1,
1.45,1.38,1.3,1.23,1.17,1.15,1.12,1.05,0.95,0.8,0.6,0.4,0.3)))</f>
        <v>1.23</v>
      </c>
      <c r="T1749" s="5" t="n">
        <f aca="false">CHOOSE(N1749+1,1.2,1,0.85,0.7)</f>
        <v>1.2</v>
      </c>
      <c r="U1749" s="5" t="n">
        <f aca="false">IF(F1749="PO",0.6,
IF(F1749="CT",0.75,
IF(F1749="LI",0.8,
IF(F1749="LD",0.8,
IF(F1749="MCD",0.85,
IF(F1749="MC",0.95,
IF(F1749="MO",1.05,
IF(F1749="EI",1.1,
IF(F1749="ED",1.1,
IF(F1749="SD",1.15,
IF(F1749="DC",1.2,0)))))))))))</f>
        <v>1.1</v>
      </c>
    </row>
    <row r="1750" customFormat="false" ht="16.4" hidden="false" customHeight="false" outlineLevel="0" collapsed="false">
      <c r="A1750" s="1" t="n">
        <v>1749</v>
      </c>
      <c r="B1750" s="5" t="str">
        <f aca="false">[1]Base_Jugadores!B1750</f>
        <v>Arthur Theate</v>
      </c>
      <c r="C1750" s="5" t="str">
        <f aca="false">IFERROR(
   _xlfn.XLOOKUP(VALUE(A1750),[1]Fichajes_Realizados!A$2:A$50000,[1]Fichajes_Realizados!D$2:D$50000,,0,-1),
   _xlfn.XLOOKUP(VALUE(A1750),[1]Base_Jugadores!A$2:A$50000,[1]Base_Jugadores!C$2:C$50000)
)</f>
        <v>Eintracht Fráncfort</v>
      </c>
      <c r="D1750" s="5" t="str">
        <f aca="false">[1]Base_Jugadores!D1750</f>
        <v>Bélgica</v>
      </c>
      <c r="E1750" s="3"/>
      <c r="F1750" s="5" t="str">
        <f aca="false">[1]Base_Jugadores!E1750</f>
        <v>CT</v>
      </c>
      <c r="G1750" s="5" t="n">
        <f aca="false">[1]Base_Jugadores!F1750</f>
        <v>78</v>
      </c>
      <c r="H1750" s="5" t="n">
        <f aca="false">[1]Base_Jugadores!G1750</f>
        <v>25</v>
      </c>
      <c r="I1750" s="7" t="n">
        <f aca="false" t="array" ref="I1750:I1750">_xlfn.XLOOKUP(G1750,{55;56;57;58;59;60;61;62;63;64;65;66;67;68;69;70;71;72;73;74;75;76;77;78;79;80;81;82;83;84;85;86;87;88;89;90;91;92;93;94;95;96;97;98;99},{100000;130000;160000;190000;220000;250000;300000;350000;400000;450000;500000;600000;700000;800000;900000;1000000;1500000;2000000;3000000;4000000;5000000;6500000;8000000;10000000;12500000;15000000;20000000;25000000;30000000;35000000;40000000;55000000;70000000;80000000;90000000;110000000;130000000;160000000;190000000;220000000;250000000;280000000;310000000;340000000;400000000})</f>
        <v>10000000</v>
      </c>
      <c r="J1750" s="7" t="n">
        <f aca="false">I1750*S1750*T1750*U1750</f>
        <v>10530000</v>
      </c>
      <c r="K1750" s="3"/>
      <c r="L1750" s="3"/>
      <c r="M1750" s="3"/>
      <c r="N1750" s="9" t="n">
        <v>0</v>
      </c>
      <c r="O1750" s="4" t="n">
        <v>0</v>
      </c>
      <c r="P1750" s="5" t="n">
        <f aca="false">IF(COUNTIF([1]Base_Jugadores!J$2:J$500,B1750)&gt;0,1,0)</f>
        <v>0</v>
      </c>
      <c r="Q1750" s="10" t="b">
        <f aca="false">--(COUNTIFS(
   [1]Fichajes_Realizados!A$2:A$5000,A1750,
   [1]Fichajes_Realizados!G$2:G$5000,$X$3
)&gt;0)</f>
        <v>0</v>
      </c>
      <c r="R1750" s="5" t="n">
        <f aca="false">_xlfn.XLOOKUP(C1750, [1]Estado_Equipos!A$2:A$500, [1]Estado_Equipos!J$2:J$500, "")</f>
        <v>74</v>
      </c>
      <c r="S1750" s="5" t="n">
        <f aca="false">IF(H1750&lt;=16,1.45,
IF(H1750&gt;=41,0.3,
CHOOSE(ROUNDDOWN((H1750-16)/2,0)+1,
1.45,1.38,1.3,1.23,1.17,1.15,1.12,1.05,0.95,0.8,0.6,0.4,0.3)))</f>
        <v>1.17</v>
      </c>
      <c r="T1750" s="5" t="n">
        <f aca="false">CHOOSE(N1750+1,1.2,1,0.85,0.7)</f>
        <v>1.2</v>
      </c>
      <c r="U1750" s="5" t="n">
        <f aca="false">IF(F1750="PO",0.6,
IF(F1750="CT",0.75,
IF(F1750="LI",0.8,
IF(F1750="LD",0.8,
IF(F1750="MCD",0.85,
IF(F1750="MC",0.95,
IF(F1750="MO",1.05,
IF(F1750="EI",1.1,
IF(F1750="ED",1.1,
IF(F1750="SD",1.15,
IF(F1750="DC",1.2,0)))))))))))</f>
        <v>0.75</v>
      </c>
    </row>
    <row r="1751" customFormat="false" ht="16.4" hidden="false" customHeight="false" outlineLevel="0" collapsed="false">
      <c r="A1751" s="1" t="n">
        <v>1750</v>
      </c>
      <c r="B1751" s="5" t="str">
        <f aca="false">[1]Base_Jugadores!B1751</f>
        <v>Aurèle Amenda</v>
      </c>
      <c r="C1751" s="5" t="str">
        <f aca="false">IFERROR(
   _xlfn.XLOOKUP(VALUE(A1751),[1]Fichajes_Realizados!A$2:A$50000,[1]Fichajes_Realizados!D$2:D$50000,,0,-1),
   _xlfn.XLOOKUP(VALUE(A1751),[1]Base_Jugadores!A$2:A$50000,[1]Base_Jugadores!C$2:C$50000)
)</f>
        <v>Eintracht Fráncfort</v>
      </c>
      <c r="D1751" s="5" t="str">
        <f aca="false">[1]Base_Jugadores!D1751</f>
        <v>Suiza</v>
      </c>
      <c r="E1751" s="3"/>
      <c r="F1751" s="5" t="str">
        <f aca="false">[1]Base_Jugadores!E1751</f>
        <v>CT</v>
      </c>
      <c r="G1751" s="5" t="n">
        <f aca="false">[1]Base_Jugadores!F1751</f>
        <v>69</v>
      </c>
      <c r="H1751" s="5" t="n">
        <f aca="false">[1]Base_Jugadores!G1751</f>
        <v>22</v>
      </c>
      <c r="I1751" s="7" t="n">
        <f aca="false" t="array" ref="I1751:I1751">_xlfn.XLOOKUP(G1751,{55;56;57;58;59;60;61;62;63;64;65;66;67;68;69;70;71;72;73;74;75;76;77;78;79;80;81;82;83;84;85;86;87;88;89;90;91;92;93;94;95;96;97;98;99},{100000;130000;160000;190000;220000;250000;300000;350000;400000;450000;500000;600000;700000;800000;900000;1000000;1500000;2000000;3000000;4000000;5000000;6500000;8000000;10000000;12500000;15000000;20000000;25000000;30000000;35000000;40000000;55000000;70000000;80000000;90000000;110000000;130000000;160000000;190000000;220000000;250000000;280000000;310000000;340000000;400000000})</f>
        <v>900000</v>
      </c>
      <c r="J1751" s="7" t="n">
        <f aca="false">I1751*S1751*T1751*U1751</f>
        <v>996300</v>
      </c>
      <c r="K1751" s="3"/>
      <c r="L1751" s="3"/>
      <c r="M1751" s="3"/>
      <c r="N1751" s="9" t="n">
        <v>0</v>
      </c>
      <c r="O1751" s="4" t="n">
        <v>0</v>
      </c>
      <c r="P1751" s="5" t="n">
        <f aca="false">IF(COUNTIF([1]Base_Jugadores!J$2:J$500,B1751)&gt;0,1,0)</f>
        <v>0</v>
      </c>
      <c r="Q1751" s="10" t="b">
        <f aca="false">--(COUNTIFS(
   [1]Fichajes_Realizados!A$2:A$5000,A1751,
   [1]Fichajes_Realizados!G$2:G$5000,$X$3
)&gt;0)</f>
        <v>0</v>
      </c>
      <c r="R1751" s="5" t="n">
        <f aca="false">_xlfn.XLOOKUP(C1751, [1]Estado_Equipos!A$2:A$500, [1]Estado_Equipos!J$2:J$500, "")</f>
        <v>74</v>
      </c>
      <c r="S1751" s="5" t="n">
        <f aca="false">IF(H1751&lt;=16,1.45,
IF(H1751&gt;=41,0.3,
CHOOSE(ROUNDDOWN((H1751-16)/2,0)+1,
1.45,1.38,1.3,1.23,1.17,1.15,1.12,1.05,0.95,0.8,0.6,0.4,0.3)))</f>
        <v>1.23</v>
      </c>
      <c r="T1751" s="5" t="n">
        <f aca="false">CHOOSE(N1751+1,1.2,1,0.85,0.7)</f>
        <v>1.2</v>
      </c>
      <c r="U1751" s="5" t="n">
        <f aca="false">IF(F1751="PO",0.6,
IF(F1751="CT",0.75,
IF(F1751="LI",0.8,
IF(F1751="LD",0.8,
IF(F1751="MCD",0.85,
IF(F1751="MC",0.95,
IF(F1751="MO",1.05,
IF(F1751="EI",1.1,
IF(F1751="ED",1.1,
IF(F1751="SD",1.15,
IF(F1751="DC",1.2,0)))))))))))</f>
        <v>0.75</v>
      </c>
    </row>
    <row r="1752" customFormat="false" ht="16.4" hidden="false" customHeight="false" outlineLevel="0" collapsed="false">
      <c r="A1752" s="1" t="n">
        <v>1751</v>
      </c>
      <c r="B1752" s="5" t="str">
        <f aca="false">[1]Base_Jugadores!B1752</f>
        <v>Aurélio Buta</v>
      </c>
      <c r="C1752" s="5" t="str">
        <f aca="false">IFERROR(
   _xlfn.XLOOKUP(VALUE(A1752),[1]Fichajes_Realizados!A$2:A$50000,[1]Fichajes_Realizados!D$2:D$50000,,0,-1),
   _xlfn.XLOOKUP(VALUE(A1752),[1]Base_Jugadores!A$2:A$50000,[1]Base_Jugadores!C$2:C$50000)
)</f>
        <v>Eintracht Fráncfort</v>
      </c>
      <c r="D1752" s="5" t="str">
        <f aca="false">[1]Base_Jugadores!D1752</f>
        <v>Portugal</v>
      </c>
      <c r="E1752" s="3"/>
      <c r="F1752" s="5" t="str">
        <f aca="false">[1]Base_Jugadores!E1752</f>
        <v>LD</v>
      </c>
      <c r="G1752" s="5" t="n">
        <f aca="false">[1]Base_Jugadores!F1752</f>
        <v>75</v>
      </c>
      <c r="H1752" s="5" t="n">
        <f aca="false">[1]Base_Jugadores!G1752</f>
        <v>28</v>
      </c>
      <c r="I1752" s="7" t="n">
        <f aca="false" t="array" ref="I1752:I1752">_xlfn.XLOOKUP(G1752,{55;56;57;58;59;60;61;62;63;64;65;66;67;68;69;70;71;72;73;74;75;76;77;78;79;80;81;82;83;84;85;86;87;88;89;90;91;92;93;94;95;96;97;98;99},{100000;130000;160000;190000;220000;250000;300000;350000;400000;450000;500000;600000;700000;800000;900000;1000000;1500000;2000000;3000000;4000000;5000000;6500000;8000000;10000000;12500000;15000000;20000000;25000000;30000000;35000000;40000000;55000000;70000000;80000000;90000000;110000000;130000000;160000000;190000000;220000000;250000000;280000000;310000000;340000000;400000000})</f>
        <v>5000000</v>
      </c>
      <c r="J1752" s="7" t="n">
        <f aca="false">I1752*S1752*T1752*U1752</f>
        <v>5376000</v>
      </c>
      <c r="K1752" s="3"/>
      <c r="L1752" s="3"/>
      <c r="M1752" s="3"/>
      <c r="N1752" s="9" t="n">
        <v>0</v>
      </c>
      <c r="O1752" s="4" t="n">
        <v>0</v>
      </c>
      <c r="P1752" s="5" t="n">
        <f aca="false">IF(COUNTIF([1]Base_Jugadores!J$2:J$500,B1752)&gt;0,1,0)</f>
        <v>0</v>
      </c>
      <c r="Q1752" s="10" t="b">
        <f aca="false">--(COUNTIFS(
   [1]Fichajes_Realizados!A$2:A$5000,A1752,
   [1]Fichajes_Realizados!G$2:G$5000,$X$3
)&gt;0)</f>
        <v>0</v>
      </c>
      <c r="R1752" s="5" t="n">
        <f aca="false">_xlfn.XLOOKUP(C1752, [1]Estado_Equipos!A$2:A$500, [1]Estado_Equipos!J$2:J$500, "")</f>
        <v>74</v>
      </c>
      <c r="S1752" s="5" t="n">
        <f aca="false">IF(H1752&lt;=16,1.45,
IF(H1752&gt;=41,0.3,
CHOOSE(ROUNDDOWN((H1752-16)/2,0)+1,
1.45,1.38,1.3,1.23,1.17,1.15,1.12,1.05,0.95,0.8,0.6,0.4,0.3)))</f>
        <v>1.12</v>
      </c>
      <c r="T1752" s="5" t="n">
        <f aca="false">CHOOSE(N1752+1,1.2,1,0.85,0.7)</f>
        <v>1.2</v>
      </c>
      <c r="U1752" s="5" t="n">
        <f aca="false">IF(F1752="PO",0.6,
IF(F1752="CT",0.75,
IF(F1752="LI",0.8,
IF(F1752="LD",0.8,
IF(F1752="MCD",0.85,
IF(F1752="MC",0.95,
IF(F1752="MO",1.05,
IF(F1752="EI",1.1,
IF(F1752="ED",1.1,
IF(F1752="SD",1.15,
IF(F1752="DC",1.2,0)))))))))))</f>
        <v>0.8</v>
      </c>
    </row>
    <row r="1753" customFormat="false" ht="16.4" hidden="false" customHeight="false" outlineLevel="0" collapsed="false">
      <c r="A1753" s="1" t="n">
        <v>1752</v>
      </c>
      <c r="B1753" s="5" t="str">
        <f aca="false">[1]Base_Jugadores!B1753</f>
        <v>Can Uzun</v>
      </c>
      <c r="C1753" s="5" t="str">
        <f aca="false">IFERROR(
   _xlfn.XLOOKUP(VALUE(A1753),[1]Fichajes_Realizados!A$2:A$50000,[1]Fichajes_Realizados!D$2:D$50000,,0,-1),
   _xlfn.XLOOKUP(VALUE(A1753),[1]Base_Jugadores!A$2:A$50000,[1]Base_Jugadores!C$2:C$50000)
)</f>
        <v>Eintracht Fráncfort</v>
      </c>
      <c r="D1753" s="5" t="str">
        <f aca="false">[1]Base_Jugadores!D1753</f>
        <v>Turquía</v>
      </c>
      <c r="E1753" s="3"/>
      <c r="F1753" s="5" t="str">
        <f aca="false">[1]Base_Jugadores!E1753</f>
        <v>MO</v>
      </c>
      <c r="G1753" s="5" t="n">
        <f aca="false">[1]Base_Jugadores!F1753</f>
        <v>72</v>
      </c>
      <c r="H1753" s="5" t="n">
        <f aca="false">[1]Base_Jugadores!G1753</f>
        <v>20</v>
      </c>
      <c r="I1753" s="7" t="n">
        <f aca="false" t="array" ref="I1753:I1753">_xlfn.XLOOKUP(G1753,{55;56;57;58;59;60;61;62;63;64;65;66;67;68;69;70;71;72;73;74;75;76;77;78;79;80;81;82;83;84;85;86;87;88;89;90;91;92;93;94;95;96;97;98;99},{100000;130000;160000;190000;220000;250000;300000;350000;400000;450000;500000;600000;700000;800000;900000;1000000;1500000;2000000;3000000;4000000;5000000;6500000;8000000;10000000;12500000;15000000;20000000;25000000;30000000;35000000;40000000;55000000;70000000;80000000;90000000;110000000;130000000;160000000;190000000;220000000;250000000;280000000;310000000;340000000;400000000})</f>
        <v>2000000</v>
      </c>
      <c r="J1753" s="7" t="n">
        <f aca="false">I1753*S1753*T1753*U1753</f>
        <v>3276000</v>
      </c>
      <c r="K1753" s="3"/>
      <c r="L1753" s="3"/>
      <c r="M1753" s="3"/>
      <c r="N1753" s="9" t="n">
        <v>0</v>
      </c>
      <c r="O1753" s="4" t="n">
        <v>0</v>
      </c>
      <c r="P1753" s="5" t="n">
        <f aca="false">IF(COUNTIF([1]Base_Jugadores!J$2:J$500,B1753)&gt;0,1,0)</f>
        <v>0</v>
      </c>
      <c r="Q1753" s="10" t="b">
        <f aca="false">--(COUNTIFS(
   [1]Fichajes_Realizados!A$2:A$5000,A1753,
   [1]Fichajes_Realizados!G$2:G$5000,$X$3
)&gt;0)</f>
        <v>0</v>
      </c>
      <c r="R1753" s="5" t="n">
        <f aca="false">_xlfn.XLOOKUP(C1753, [1]Estado_Equipos!A$2:A$500, [1]Estado_Equipos!J$2:J$500, "")</f>
        <v>74</v>
      </c>
      <c r="S1753" s="5" t="n">
        <f aca="false">IF(H1753&lt;=16,1.45,
IF(H1753&gt;=41,0.3,
CHOOSE(ROUNDDOWN((H1753-16)/2,0)+1,
1.45,1.38,1.3,1.23,1.17,1.15,1.12,1.05,0.95,0.8,0.6,0.4,0.3)))</f>
        <v>1.3</v>
      </c>
      <c r="T1753" s="5" t="n">
        <f aca="false">CHOOSE(N1753+1,1.2,1,0.85,0.7)</f>
        <v>1.2</v>
      </c>
      <c r="U1753" s="5" t="n">
        <f aca="false">IF(F1753="PO",0.6,
IF(F1753="CT",0.75,
IF(F1753="LI",0.8,
IF(F1753="LD",0.8,
IF(F1753="MCD",0.85,
IF(F1753="MC",0.95,
IF(F1753="MO",1.05,
IF(F1753="EI",1.1,
IF(F1753="ED",1.1,
IF(F1753="SD",1.15,
IF(F1753="DC",1.2,0)))))))))))</f>
        <v>1.05</v>
      </c>
    </row>
    <row r="1754" customFormat="false" ht="16.4" hidden="false" customHeight="false" outlineLevel="0" collapsed="false">
      <c r="A1754" s="1" t="n">
        <v>1753</v>
      </c>
      <c r="B1754" s="5" t="str">
        <f aca="false">[1]Base_Jugadores!B1754</f>
        <v>Ellyes Skhiri</v>
      </c>
      <c r="C1754" s="5" t="str">
        <f aca="false">IFERROR(
   _xlfn.XLOOKUP(VALUE(A1754),[1]Fichajes_Realizados!A$2:A$50000,[1]Fichajes_Realizados!D$2:D$50000,,0,-1),
   _xlfn.XLOOKUP(VALUE(A1754),[1]Base_Jugadores!A$2:A$50000,[1]Base_Jugadores!C$2:C$50000)
)</f>
        <v>Eintracht Fráncfort</v>
      </c>
      <c r="D1754" s="5" t="str">
        <f aca="false">[1]Base_Jugadores!D1754</f>
        <v>Túnez</v>
      </c>
      <c r="E1754" s="3"/>
      <c r="F1754" s="5" t="str">
        <f aca="false">[1]Base_Jugadores!E1754</f>
        <v>MCD</v>
      </c>
      <c r="G1754" s="5" t="n">
        <f aca="false">[1]Base_Jugadores!F1754</f>
        <v>81</v>
      </c>
      <c r="H1754" s="5" t="n">
        <f aca="false">[1]Base_Jugadores!G1754</f>
        <v>30</v>
      </c>
      <c r="I1754" s="7" t="n">
        <f aca="false" t="array" ref="I1754:I1754">_xlfn.XLOOKUP(G1754,{55;56;57;58;59;60;61;62;63;64;65;66;67;68;69;70;71;72;73;74;75;76;77;78;79;80;81;82;83;84;85;86;87;88;89;90;91;92;93;94;95;96;97;98;99},{100000;130000;160000;190000;220000;250000;300000;350000;400000;450000;500000;600000;700000;800000;900000;1000000;1500000;2000000;3000000;4000000;5000000;6500000;8000000;10000000;12500000;15000000;20000000;25000000;30000000;35000000;40000000;55000000;70000000;80000000;90000000;110000000;130000000;160000000;190000000;220000000;250000000;280000000;310000000;340000000;400000000})</f>
        <v>20000000</v>
      </c>
      <c r="J1754" s="7" t="n">
        <f aca="false">I1754*S1754*T1754*U1754</f>
        <v>21420000</v>
      </c>
      <c r="K1754" s="3"/>
      <c r="L1754" s="3"/>
      <c r="M1754" s="3"/>
      <c r="N1754" s="9" t="n">
        <v>0</v>
      </c>
      <c r="O1754" s="4" t="n">
        <v>0</v>
      </c>
      <c r="P1754" s="5" t="n">
        <f aca="false">IF(COUNTIF([1]Base_Jugadores!J$2:J$500,B1754)&gt;0,1,0)</f>
        <v>0</v>
      </c>
      <c r="Q1754" s="10" t="b">
        <f aca="false">--(COUNTIFS(
   [1]Fichajes_Realizados!A$2:A$5000,A1754,
   [1]Fichajes_Realizados!G$2:G$5000,$X$3
)&gt;0)</f>
        <v>0</v>
      </c>
      <c r="R1754" s="5" t="n">
        <f aca="false">_xlfn.XLOOKUP(C1754, [1]Estado_Equipos!A$2:A$500, [1]Estado_Equipos!J$2:J$500, "")</f>
        <v>74</v>
      </c>
      <c r="S1754" s="5" t="n">
        <f aca="false">IF(H1754&lt;=16,1.45,
IF(H1754&gt;=41,0.3,
CHOOSE(ROUNDDOWN((H1754-16)/2,0)+1,
1.45,1.38,1.3,1.23,1.17,1.15,1.12,1.05,0.95,0.8,0.6,0.4,0.3)))</f>
        <v>1.05</v>
      </c>
      <c r="T1754" s="5" t="n">
        <f aca="false">CHOOSE(N1754+1,1.2,1,0.85,0.7)</f>
        <v>1.2</v>
      </c>
      <c r="U1754" s="5" t="n">
        <f aca="false">IF(F1754="PO",0.6,
IF(F1754="CT",0.75,
IF(F1754="LI",0.8,
IF(F1754="LD",0.8,
IF(F1754="MCD",0.85,
IF(F1754="MC",0.95,
IF(F1754="MO",1.05,
IF(F1754="EI",1.1,
IF(F1754="ED",1.1,
IF(F1754="SD",1.15,
IF(F1754="DC",1.2,0)))))))))))</f>
        <v>0.85</v>
      </c>
    </row>
    <row r="1755" customFormat="false" ht="16.4" hidden="false" customHeight="false" outlineLevel="0" collapsed="false">
      <c r="A1755" s="1" t="n">
        <v>1754</v>
      </c>
      <c r="B1755" s="5" t="str">
        <f aca="false">[1]Base_Jugadores!B1755</f>
        <v>Elye Wahi</v>
      </c>
      <c r="C1755" s="5" t="str">
        <f aca="false">IFERROR(
   _xlfn.XLOOKUP(VALUE(A1755),[1]Fichajes_Realizados!A$2:A$50000,[1]Fichajes_Realizados!D$2:D$50000,,0,-1),
   _xlfn.XLOOKUP(VALUE(A1755),[1]Base_Jugadores!A$2:A$50000,[1]Base_Jugadores!C$2:C$50000)
)</f>
        <v>Eintracht Fráncfort</v>
      </c>
      <c r="D1755" s="5" t="str">
        <f aca="false">[1]Base_Jugadores!D1755</f>
        <v>Francia</v>
      </c>
      <c r="E1755" s="3"/>
      <c r="F1755" s="5" t="str">
        <f aca="false">[1]Base_Jugadores!E1755</f>
        <v>DC</v>
      </c>
      <c r="G1755" s="5" t="n">
        <f aca="false">[1]Base_Jugadores!F1755</f>
        <v>77</v>
      </c>
      <c r="H1755" s="5" t="n">
        <f aca="false">[1]Base_Jugadores!G1755</f>
        <v>22</v>
      </c>
      <c r="I1755" s="7" t="n">
        <f aca="false" t="array" ref="I1755:I1755">_xlfn.XLOOKUP(G1755,{55;56;57;58;59;60;61;62;63;64;65;66;67;68;69;70;71;72;73;74;75;76;77;78;79;80;81;82;83;84;85;86;87;88;89;90;91;92;93;94;95;96;97;98;99},{100000;130000;160000;190000;220000;250000;300000;350000;400000;450000;500000;600000;700000;800000;900000;1000000;1500000;2000000;3000000;4000000;5000000;6500000;8000000;10000000;12500000;15000000;20000000;25000000;30000000;35000000;40000000;55000000;70000000;80000000;90000000;110000000;130000000;160000000;190000000;220000000;250000000;280000000;310000000;340000000;400000000})</f>
        <v>8000000</v>
      </c>
      <c r="J1755" s="7" t="n">
        <f aca="false">I1755*S1755*T1755*U1755</f>
        <v>14169600</v>
      </c>
      <c r="K1755" s="3"/>
      <c r="L1755" s="3"/>
      <c r="M1755" s="3"/>
      <c r="N1755" s="9" t="n">
        <v>0</v>
      </c>
      <c r="O1755" s="4" t="n">
        <v>0</v>
      </c>
      <c r="P1755" s="5" t="n">
        <f aca="false">IF(COUNTIF([1]Base_Jugadores!J$2:J$500,B1755)&gt;0,1,0)</f>
        <v>0</v>
      </c>
      <c r="Q1755" s="10" t="b">
        <f aca="false">--(COUNTIFS(
   [1]Fichajes_Realizados!A$2:A$5000,A1755,
   [1]Fichajes_Realizados!G$2:G$5000,$X$3
)&gt;0)</f>
        <v>0</v>
      </c>
      <c r="R1755" s="5" t="n">
        <f aca="false">_xlfn.XLOOKUP(C1755, [1]Estado_Equipos!A$2:A$500, [1]Estado_Equipos!J$2:J$500, "")</f>
        <v>74</v>
      </c>
      <c r="S1755" s="5" t="n">
        <f aca="false">IF(H1755&lt;=16,1.45,
IF(H1755&gt;=41,0.3,
CHOOSE(ROUNDDOWN((H1755-16)/2,0)+1,
1.45,1.38,1.3,1.23,1.17,1.15,1.12,1.05,0.95,0.8,0.6,0.4,0.3)))</f>
        <v>1.23</v>
      </c>
      <c r="T1755" s="5" t="n">
        <f aca="false">CHOOSE(N1755+1,1.2,1,0.85,0.7)</f>
        <v>1.2</v>
      </c>
      <c r="U1755" s="5" t="n">
        <f aca="false">IF(F1755="PO",0.6,
IF(F1755="CT",0.75,
IF(F1755="LI",0.8,
IF(F1755="LD",0.8,
IF(F1755="MCD",0.85,
IF(F1755="MC",0.95,
IF(F1755="MO",1.05,
IF(F1755="EI",1.1,
IF(F1755="ED",1.1,
IF(F1755="SD",1.15,
IF(F1755="DC",1.2,0)))))))))))</f>
        <v>1.2</v>
      </c>
    </row>
    <row r="1756" customFormat="false" ht="16.4" hidden="false" customHeight="false" outlineLevel="0" collapsed="false">
      <c r="A1756" s="1" t="n">
        <v>1755</v>
      </c>
      <c r="B1756" s="5" t="str">
        <f aca="false">[1]Base_Jugadores!B1756</f>
        <v>Farès Chaïbi</v>
      </c>
      <c r="C1756" s="5" t="str">
        <f aca="false">IFERROR(
   _xlfn.XLOOKUP(VALUE(A1756),[1]Fichajes_Realizados!A$2:A$50000,[1]Fichajes_Realizados!D$2:D$50000,,0,-1),
   _xlfn.XLOOKUP(VALUE(A1756),[1]Base_Jugadores!A$2:A$50000,[1]Base_Jugadores!C$2:C$50000)
)</f>
        <v>Eintracht Fráncfort</v>
      </c>
      <c r="D1756" s="5" t="str">
        <f aca="false">[1]Base_Jugadores!D1756</f>
        <v>Argelia</v>
      </c>
      <c r="E1756" s="3"/>
      <c r="F1756" s="5" t="str">
        <f aca="false">[1]Base_Jugadores!E1756</f>
        <v>MO</v>
      </c>
      <c r="G1756" s="5" t="n">
        <f aca="false">[1]Base_Jugadores!F1756</f>
        <v>76</v>
      </c>
      <c r="H1756" s="5" t="n">
        <f aca="false">[1]Base_Jugadores!G1756</f>
        <v>23</v>
      </c>
      <c r="I1756" s="7" t="n">
        <f aca="false" t="array" ref="I1756:I1756">_xlfn.XLOOKUP(G1756,{55;56;57;58;59;60;61;62;63;64;65;66;67;68;69;70;71;72;73;74;75;76;77;78;79;80;81;82;83;84;85;86;87;88;89;90;91;92;93;94;95;96;97;98;99},{100000;130000;160000;190000;220000;250000;300000;350000;400000;450000;500000;600000;700000;800000;900000;1000000;1500000;2000000;3000000;4000000;5000000;6500000;8000000;10000000;12500000;15000000;20000000;25000000;30000000;35000000;40000000;55000000;70000000;80000000;90000000;110000000;130000000;160000000;190000000;220000000;250000000;280000000;310000000;340000000;400000000})</f>
        <v>6500000</v>
      </c>
      <c r="J1756" s="7" t="n">
        <f aca="false">I1756*S1756*T1756*U1756</f>
        <v>10073700</v>
      </c>
      <c r="K1756" s="3"/>
      <c r="L1756" s="3"/>
      <c r="M1756" s="3"/>
      <c r="N1756" s="9" t="n">
        <v>0</v>
      </c>
      <c r="O1756" s="4" t="n">
        <v>0</v>
      </c>
      <c r="P1756" s="5" t="n">
        <f aca="false">IF(COUNTIF([1]Base_Jugadores!J$2:J$500,B1756)&gt;0,1,0)</f>
        <v>0</v>
      </c>
      <c r="Q1756" s="10" t="b">
        <f aca="false">--(COUNTIFS(
   [1]Fichajes_Realizados!A$2:A$5000,A1756,
   [1]Fichajes_Realizados!G$2:G$5000,$X$3
)&gt;0)</f>
        <v>0</v>
      </c>
      <c r="R1756" s="5" t="n">
        <f aca="false">_xlfn.XLOOKUP(C1756, [1]Estado_Equipos!A$2:A$500, [1]Estado_Equipos!J$2:J$500, "")</f>
        <v>74</v>
      </c>
      <c r="S1756" s="5" t="n">
        <f aca="false">IF(H1756&lt;=16,1.45,
IF(H1756&gt;=41,0.3,
CHOOSE(ROUNDDOWN((H1756-16)/2,0)+1,
1.45,1.38,1.3,1.23,1.17,1.15,1.12,1.05,0.95,0.8,0.6,0.4,0.3)))</f>
        <v>1.23</v>
      </c>
      <c r="T1756" s="5" t="n">
        <f aca="false">CHOOSE(N1756+1,1.2,1,0.85,0.7)</f>
        <v>1.2</v>
      </c>
      <c r="U1756" s="5" t="n">
        <f aca="false">IF(F1756="PO",0.6,
IF(F1756="CT",0.75,
IF(F1756="LI",0.8,
IF(F1756="LD",0.8,
IF(F1756="MCD",0.85,
IF(F1756="MC",0.95,
IF(F1756="MO",1.05,
IF(F1756="EI",1.1,
IF(F1756="ED",1.1,
IF(F1756="SD",1.15,
IF(F1756="DC",1.2,0)))))))))))</f>
        <v>1.05</v>
      </c>
    </row>
    <row r="1757" customFormat="false" ht="16.4" hidden="false" customHeight="false" outlineLevel="0" collapsed="false">
      <c r="A1757" s="1" t="n">
        <v>1756</v>
      </c>
      <c r="B1757" s="5" t="str">
        <f aca="false">[1]Base_Jugadores!B1757</f>
        <v>Hugo Larsson</v>
      </c>
      <c r="C1757" s="5" t="str">
        <f aca="false">IFERROR(
   _xlfn.XLOOKUP(VALUE(A1757),[1]Fichajes_Realizados!A$2:A$50000,[1]Fichajes_Realizados!D$2:D$50000,,0,-1),
   _xlfn.XLOOKUP(VALUE(A1757),[1]Base_Jugadores!A$2:A$50000,[1]Base_Jugadores!C$2:C$50000)
)</f>
        <v>Eintracht Fráncfort</v>
      </c>
      <c r="D1757" s="5" t="str">
        <f aca="false">[1]Base_Jugadores!D1757</f>
        <v>Suecia</v>
      </c>
      <c r="E1757" s="3"/>
      <c r="F1757" s="5" t="str">
        <f aca="false">[1]Base_Jugadores!E1757</f>
        <v>MC</v>
      </c>
      <c r="G1757" s="5" t="n">
        <f aca="false">[1]Base_Jugadores!F1757</f>
        <v>78</v>
      </c>
      <c r="H1757" s="5" t="n">
        <f aca="false">[1]Base_Jugadores!G1757</f>
        <v>21</v>
      </c>
      <c r="I1757" s="7" t="n">
        <f aca="false" t="array" ref="I1757:I1757">_xlfn.XLOOKUP(G1757,{55;56;57;58;59;60;61;62;63;64;65;66;67;68;69;70;71;72;73;74;75;76;77;78;79;80;81;82;83;84;85;86;87;88;89;90;91;92;93;94;95;96;97;98;99},{100000;130000;160000;190000;220000;250000;300000;350000;400000;450000;500000;600000;700000;800000;900000;1000000;1500000;2000000;3000000;4000000;5000000;6500000;8000000;10000000;12500000;15000000;20000000;25000000;30000000;35000000;40000000;55000000;70000000;80000000;90000000;110000000;130000000;160000000;190000000;220000000;250000000;280000000;310000000;340000000;400000000})</f>
        <v>10000000</v>
      </c>
      <c r="J1757" s="7" t="n">
        <f aca="false">I1757*S1757*T1757*U1757</f>
        <v>14820000</v>
      </c>
      <c r="K1757" s="3"/>
      <c r="L1757" s="3"/>
      <c r="M1757" s="3"/>
      <c r="N1757" s="9" t="n">
        <v>0</v>
      </c>
      <c r="O1757" s="4" t="n">
        <v>0</v>
      </c>
      <c r="P1757" s="5" t="n">
        <f aca="false">IF(COUNTIF([1]Base_Jugadores!J$2:J$500,B1757)&gt;0,1,0)</f>
        <v>0</v>
      </c>
      <c r="Q1757" s="10" t="b">
        <f aca="false">--(COUNTIFS(
   [1]Fichajes_Realizados!A$2:A$5000,A1757,
   [1]Fichajes_Realizados!G$2:G$5000,$X$3
)&gt;0)</f>
        <v>0</v>
      </c>
      <c r="R1757" s="5" t="n">
        <f aca="false">_xlfn.XLOOKUP(C1757, [1]Estado_Equipos!A$2:A$500, [1]Estado_Equipos!J$2:J$500, "")</f>
        <v>74</v>
      </c>
      <c r="S1757" s="5" t="n">
        <f aca="false">IF(H1757&lt;=16,1.45,
IF(H1757&gt;=41,0.3,
CHOOSE(ROUNDDOWN((H1757-16)/2,0)+1,
1.45,1.38,1.3,1.23,1.17,1.15,1.12,1.05,0.95,0.8,0.6,0.4,0.3)))</f>
        <v>1.3</v>
      </c>
      <c r="T1757" s="5" t="n">
        <f aca="false">CHOOSE(N1757+1,1.2,1,0.85,0.7)</f>
        <v>1.2</v>
      </c>
      <c r="U1757" s="5" t="n">
        <f aca="false">IF(F1757="PO",0.6,
IF(F1757="CT",0.75,
IF(F1757="LI",0.8,
IF(F1757="LD",0.8,
IF(F1757="MCD",0.85,
IF(F1757="MC",0.95,
IF(F1757="MO",1.05,
IF(F1757="EI",1.1,
IF(F1757="ED",1.1,
IF(F1757="SD",1.15,
IF(F1757="DC",1.2,0)))))))))))</f>
        <v>0.95</v>
      </c>
    </row>
    <row r="1758" customFormat="false" ht="16.4" hidden="false" customHeight="false" outlineLevel="0" collapsed="false">
      <c r="A1758" s="1" t="n">
        <v>1757</v>
      </c>
      <c r="B1758" s="5" t="str">
        <f aca="false">[1]Base_Jugadores!B1758</f>
        <v>Jean-Mattéo</v>
      </c>
      <c r="C1758" s="5" t="str">
        <f aca="false">IFERROR(
   _xlfn.XLOOKUP(VALUE(A1758),[1]Fichajes_Realizados!A$2:A$50000,[1]Fichajes_Realizados!D$2:D$50000,,0,-1),
   _xlfn.XLOOKUP(VALUE(A1758),[1]Base_Jugadores!A$2:A$50000,[1]Base_Jugadores!C$2:C$50000)
)</f>
        <v>Eintracht Fráncfort</v>
      </c>
      <c r="D1758" s="5" t="str">
        <f aca="false">[1]Base_Jugadores!D1758</f>
        <v>Francia</v>
      </c>
      <c r="E1758" s="3"/>
      <c r="F1758" s="5" t="str">
        <f aca="false">[1]Base_Jugadores!E1758</f>
        <v>EI</v>
      </c>
      <c r="G1758" s="5" t="n">
        <f aca="false">[1]Base_Jugadores!F1758</f>
        <v>68</v>
      </c>
      <c r="H1758" s="5" t="n">
        <f aca="false">[1]Base_Jugadores!G1758</f>
        <v>20</v>
      </c>
      <c r="I1758" s="7" t="n">
        <f aca="false" t="array" ref="I1758:I1758">_xlfn.XLOOKUP(G1758,{55;56;57;58;59;60;61;62;63;64;65;66;67;68;69;70;71;72;73;74;75;76;77;78;79;80;81;82;83;84;85;86;87;88;89;90;91;92;93;94;95;96;97;98;99},{100000;130000;160000;190000;220000;250000;300000;350000;400000;450000;500000;600000;700000;800000;900000;1000000;1500000;2000000;3000000;4000000;5000000;6500000;8000000;10000000;12500000;15000000;20000000;25000000;30000000;35000000;40000000;55000000;70000000;80000000;90000000;110000000;130000000;160000000;190000000;220000000;250000000;280000000;310000000;340000000;400000000})</f>
        <v>800000</v>
      </c>
      <c r="J1758" s="7" t="n">
        <f aca="false">I1758*S1758*T1758*U1758</f>
        <v>1372800</v>
      </c>
      <c r="K1758" s="3"/>
      <c r="L1758" s="3"/>
      <c r="M1758" s="3"/>
      <c r="N1758" s="9" t="n">
        <v>0</v>
      </c>
      <c r="O1758" s="4" t="n">
        <v>0</v>
      </c>
      <c r="P1758" s="5" t="n">
        <f aca="false">IF(COUNTIF([1]Base_Jugadores!J$2:J$500,B1758)&gt;0,1,0)</f>
        <v>0</v>
      </c>
      <c r="Q1758" s="10" t="b">
        <f aca="false">--(COUNTIFS(
   [1]Fichajes_Realizados!A$2:A$5000,A1758,
   [1]Fichajes_Realizados!G$2:G$5000,$X$3
)&gt;0)</f>
        <v>0</v>
      </c>
      <c r="R1758" s="5" t="n">
        <f aca="false">_xlfn.XLOOKUP(C1758, [1]Estado_Equipos!A$2:A$500, [1]Estado_Equipos!J$2:J$500, "")</f>
        <v>74</v>
      </c>
      <c r="S1758" s="5" t="n">
        <f aca="false">IF(H1758&lt;=16,1.45,
IF(H1758&gt;=41,0.3,
CHOOSE(ROUNDDOWN((H1758-16)/2,0)+1,
1.45,1.38,1.3,1.23,1.17,1.15,1.12,1.05,0.95,0.8,0.6,0.4,0.3)))</f>
        <v>1.3</v>
      </c>
      <c r="T1758" s="5" t="n">
        <f aca="false">CHOOSE(N1758+1,1.2,1,0.85,0.7)</f>
        <v>1.2</v>
      </c>
      <c r="U1758" s="5" t="n">
        <f aca="false">IF(F1758="PO",0.6,
IF(F1758="CT",0.75,
IF(F1758="LI",0.8,
IF(F1758="LD",0.8,
IF(F1758="MCD",0.85,
IF(F1758="MC",0.95,
IF(F1758="MO",1.05,
IF(F1758="EI",1.1,
IF(F1758="ED",1.1,
IF(F1758="SD",1.15,
IF(F1758="DC",1.2,0)))))))))))</f>
        <v>1.1</v>
      </c>
    </row>
    <row r="1759" customFormat="false" ht="16.4" hidden="false" customHeight="false" outlineLevel="0" collapsed="false">
      <c r="A1759" s="1" t="n">
        <v>1758</v>
      </c>
      <c r="B1759" s="5" t="str">
        <f aca="false">[1]Base_Jugadores!B1759</f>
        <v>Jens Grahl</v>
      </c>
      <c r="C1759" s="5" t="str">
        <f aca="false">IFERROR(
   _xlfn.XLOOKUP(VALUE(A1759),[1]Fichajes_Realizados!A$2:A$50000,[1]Fichajes_Realizados!D$2:D$50000,,0,-1),
   _xlfn.XLOOKUP(VALUE(A1759),[1]Base_Jugadores!A$2:A$50000,[1]Base_Jugadores!C$2:C$50000)
)</f>
        <v>Eintracht Fráncfort</v>
      </c>
      <c r="D1759" s="5" t="str">
        <f aca="false">[1]Base_Jugadores!D1759</f>
        <v>Alemania</v>
      </c>
      <c r="E1759" s="3"/>
      <c r="F1759" s="5" t="str">
        <f aca="false">[1]Base_Jugadores!E1759</f>
        <v>PO</v>
      </c>
      <c r="G1759" s="5" t="n">
        <f aca="false">[1]Base_Jugadores!F1759</f>
        <v>66</v>
      </c>
      <c r="H1759" s="5" t="n">
        <f aca="false">[1]Base_Jugadores!G1759</f>
        <v>37</v>
      </c>
      <c r="I1759" s="7" t="n">
        <f aca="false" t="array" ref="I1759:I1759">_xlfn.XLOOKUP(G1759,{55;56;57;58;59;60;61;62;63;64;65;66;67;68;69;70;71;72;73;74;75;76;77;78;79;80;81;82;83;84;85;86;87;88;89;90;91;92;93;94;95;96;97;98;99},{100000;130000;160000;190000;220000;250000;300000;350000;400000;450000;500000;600000;700000;800000;900000;1000000;1500000;2000000;3000000;4000000;5000000;6500000;8000000;10000000;12500000;15000000;20000000;25000000;30000000;35000000;40000000;55000000;70000000;80000000;90000000;110000000;130000000;160000000;190000000;220000000;250000000;280000000;310000000;340000000;400000000})</f>
        <v>600000</v>
      </c>
      <c r="J1759" s="7" t="n">
        <f aca="false">I1759*S1759*T1759*U1759</f>
        <v>259200</v>
      </c>
      <c r="K1759" s="3"/>
      <c r="L1759" s="3"/>
      <c r="M1759" s="3"/>
      <c r="N1759" s="9" t="n">
        <v>0</v>
      </c>
      <c r="O1759" s="4" t="n">
        <v>0</v>
      </c>
      <c r="P1759" s="5" t="n">
        <f aca="false">IF(COUNTIF([1]Base_Jugadores!J$2:J$500,B1759)&gt;0,1,0)</f>
        <v>0</v>
      </c>
      <c r="Q1759" s="10" t="b">
        <f aca="false">--(COUNTIFS(
   [1]Fichajes_Realizados!A$2:A$5000,A1759,
   [1]Fichajes_Realizados!G$2:G$5000,$X$3
)&gt;0)</f>
        <v>0</v>
      </c>
      <c r="R1759" s="5" t="n">
        <f aca="false">_xlfn.XLOOKUP(C1759, [1]Estado_Equipos!A$2:A$500, [1]Estado_Equipos!J$2:J$500, "")</f>
        <v>74</v>
      </c>
      <c r="S1759" s="5" t="n">
        <f aca="false">IF(H1759&lt;=16,1.45,
IF(H1759&gt;=41,0.3,
CHOOSE(ROUNDDOWN((H1759-16)/2,0)+1,
1.45,1.38,1.3,1.23,1.17,1.15,1.12,1.05,0.95,0.8,0.6,0.4,0.3)))</f>
        <v>0.6</v>
      </c>
      <c r="T1759" s="5" t="n">
        <f aca="false">CHOOSE(N1759+1,1.2,1,0.85,0.7)</f>
        <v>1.2</v>
      </c>
      <c r="U1759" s="5" t="n">
        <f aca="false">IF(F1759="PO",0.6,
IF(F1759="CT",0.75,
IF(F1759="LI",0.8,
IF(F1759="LD",0.8,
IF(F1759="MCD",0.85,
IF(F1759="MC",0.95,
IF(F1759="MO",1.05,
IF(F1759="EI",1.1,
IF(F1759="ED",1.1,
IF(F1759="SD",1.15,
IF(F1759="DC",1.2,0)))))))))))</f>
        <v>0.6</v>
      </c>
    </row>
    <row r="1760" customFormat="false" ht="16.4" hidden="false" customHeight="false" outlineLevel="0" collapsed="false">
      <c r="A1760" s="1" t="n">
        <v>1759</v>
      </c>
      <c r="B1760" s="5" t="str">
        <f aca="false">[1]Base_Jugadores!B1760</f>
        <v>Jessic Ngankam</v>
      </c>
      <c r="C1760" s="5" t="str">
        <f aca="false">IFERROR(
   _xlfn.XLOOKUP(VALUE(A1760),[1]Fichajes_Realizados!A$2:A$50000,[1]Fichajes_Realizados!D$2:D$50000,,0,-1),
   _xlfn.XLOOKUP(VALUE(A1760),[1]Base_Jugadores!A$2:A$50000,[1]Base_Jugadores!C$2:C$50000)
)</f>
        <v>Eintracht Fráncfort</v>
      </c>
      <c r="D1760" s="5" t="str">
        <f aca="false">[1]Base_Jugadores!D1760</f>
        <v>Alemania</v>
      </c>
      <c r="E1760" s="3"/>
      <c r="F1760" s="5" t="str">
        <f aca="false">[1]Base_Jugadores!E1760</f>
        <v>DC</v>
      </c>
      <c r="G1760" s="5" t="n">
        <f aca="false">[1]Base_Jugadores!F1760</f>
        <v>71</v>
      </c>
      <c r="H1760" s="5" t="n">
        <f aca="false">[1]Base_Jugadores!G1760</f>
        <v>25</v>
      </c>
      <c r="I1760" s="7" t="n">
        <f aca="false" t="array" ref="I1760:I1760">_xlfn.XLOOKUP(G1760,{55;56;57;58;59;60;61;62;63;64;65;66;67;68;69;70;71;72;73;74;75;76;77;78;79;80;81;82;83;84;85;86;87;88;89;90;91;92;93;94;95;96;97;98;99},{100000;130000;160000;190000;220000;250000;300000;350000;400000;450000;500000;600000;700000;800000;900000;1000000;1500000;2000000;3000000;4000000;5000000;6500000;8000000;10000000;12500000;15000000;20000000;25000000;30000000;35000000;40000000;55000000;70000000;80000000;90000000;110000000;130000000;160000000;190000000;220000000;250000000;280000000;310000000;340000000;400000000})</f>
        <v>1500000</v>
      </c>
      <c r="J1760" s="7" t="n">
        <f aca="false">I1760*S1760*T1760*U1760</f>
        <v>2527200</v>
      </c>
      <c r="K1760" s="3"/>
      <c r="L1760" s="3"/>
      <c r="M1760" s="3"/>
      <c r="N1760" s="9" t="n">
        <v>0</v>
      </c>
      <c r="O1760" s="4" t="n">
        <v>0</v>
      </c>
      <c r="P1760" s="5" t="n">
        <f aca="false">IF(COUNTIF([1]Base_Jugadores!J$2:J$500,B1760)&gt;0,1,0)</f>
        <v>0</v>
      </c>
      <c r="Q1760" s="10" t="b">
        <f aca="false">--(COUNTIFS(
   [1]Fichajes_Realizados!A$2:A$5000,A1760,
   [1]Fichajes_Realizados!G$2:G$5000,$X$3
)&gt;0)</f>
        <v>0</v>
      </c>
      <c r="R1760" s="5" t="n">
        <f aca="false">_xlfn.XLOOKUP(C1760, [1]Estado_Equipos!A$2:A$500, [1]Estado_Equipos!J$2:J$500, "")</f>
        <v>74</v>
      </c>
      <c r="S1760" s="5" t="n">
        <f aca="false">IF(H1760&lt;=16,1.45,
IF(H1760&gt;=41,0.3,
CHOOSE(ROUNDDOWN((H1760-16)/2,0)+1,
1.45,1.38,1.3,1.23,1.17,1.15,1.12,1.05,0.95,0.8,0.6,0.4,0.3)))</f>
        <v>1.17</v>
      </c>
      <c r="T1760" s="5" t="n">
        <f aca="false">CHOOSE(N1760+1,1.2,1,0.85,0.7)</f>
        <v>1.2</v>
      </c>
      <c r="U1760" s="5" t="n">
        <f aca="false">IF(F1760="PO",0.6,
IF(F1760="CT",0.75,
IF(F1760="LI",0.8,
IF(F1760="LD",0.8,
IF(F1760="MCD",0.85,
IF(F1760="MC",0.95,
IF(F1760="MO",1.05,
IF(F1760="EI",1.1,
IF(F1760="ED",1.1,
IF(F1760="SD",1.15,
IF(F1760="DC",1.2,0)))))))))))</f>
        <v>1.2</v>
      </c>
    </row>
    <row r="1761" customFormat="false" ht="16.4" hidden="false" customHeight="false" outlineLevel="0" collapsed="false">
      <c r="A1761" s="1" t="n">
        <v>1760</v>
      </c>
      <c r="B1761" s="5" t="str">
        <f aca="false">[1]Base_Jugadores!B1761</f>
        <v>Jonathan Burkardt</v>
      </c>
      <c r="C1761" s="5" t="str">
        <f aca="false">IFERROR(
   _xlfn.XLOOKUP(VALUE(A1761),[1]Fichajes_Realizados!A$2:A$50000,[1]Fichajes_Realizados!D$2:D$50000,,0,-1),
   _xlfn.XLOOKUP(VALUE(A1761),[1]Base_Jugadores!A$2:A$50000,[1]Base_Jugadores!C$2:C$50000)
)</f>
        <v>Eintracht Fráncfort</v>
      </c>
      <c r="D1761" s="5" t="str">
        <f aca="false">[1]Base_Jugadores!D1761</f>
        <v>Alemania</v>
      </c>
      <c r="E1761" s="3"/>
      <c r="F1761" s="5" t="str">
        <f aca="false">[1]Base_Jugadores!E1761</f>
        <v>DC</v>
      </c>
      <c r="G1761" s="5" t="n">
        <f aca="false">[1]Base_Jugadores!F1761</f>
        <v>80</v>
      </c>
      <c r="H1761" s="5" t="n">
        <f aca="false">[1]Base_Jugadores!G1761</f>
        <v>25</v>
      </c>
      <c r="I1761" s="7" t="n">
        <f aca="false" t="array" ref="I1761:I1761">_xlfn.XLOOKUP(G1761,{55;56;57;58;59;60;61;62;63;64;65;66;67;68;69;70;71;72;73;74;75;76;77;78;79;80;81;82;83;84;85;86;87;88;89;90;91;92;93;94;95;96;97;98;99},{100000;130000;160000;190000;220000;250000;300000;350000;400000;450000;500000;600000;700000;800000;900000;1000000;1500000;2000000;3000000;4000000;5000000;6500000;8000000;10000000;12500000;15000000;20000000;25000000;30000000;35000000;40000000;55000000;70000000;80000000;90000000;110000000;130000000;160000000;190000000;220000000;250000000;280000000;310000000;340000000;400000000})</f>
        <v>15000000</v>
      </c>
      <c r="J1761" s="7" t="n">
        <f aca="false">I1761*S1761*T1761*U1761</f>
        <v>25272000</v>
      </c>
      <c r="K1761" s="3"/>
      <c r="L1761" s="3"/>
      <c r="M1761" s="3"/>
      <c r="N1761" s="9" t="n">
        <v>0</v>
      </c>
      <c r="O1761" s="4" t="n">
        <v>0</v>
      </c>
      <c r="P1761" s="5" t="n">
        <f aca="false">IF(COUNTIF([1]Base_Jugadores!J$2:J$500,B1761)&gt;0,1,0)</f>
        <v>0</v>
      </c>
      <c r="Q1761" s="10" t="b">
        <f aca="false">--(COUNTIFS(
   [1]Fichajes_Realizados!A$2:A$5000,A1761,
   [1]Fichajes_Realizados!G$2:G$5000,$X$3
)&gt;0)</f>
        <v>0</v>
      </c>
      <c r="R1761" s="5" t="n">
        <f aca="false">_xlfn.XLOOKUP(C1761, [1]Estado_Equipos!A$2:A$500, [1]Estado_Equipos!J$2:J$500, "")</f>
        <v>74</v>
      </c>
      <c r="S1761" s="5" t="n">
        <f aca="false">IF(H1761&lt;=16,1.45,
IF(H1761&gt;=41,0.3,
CHOOSE(ROUNDDOWN((H1761-16)/2,0)+1,
1.45,1.38,1.3,1.23,1.17,1.15,1.12,1.05,0.95,0.8,0.6,0.4,0.3)))</f>
        <v>1.17</v>
      </c>
      <c r="T1761" s="5" t="n">
        <f aca="false">CHOOSE(N1761+1,1.2,1,0.85,0.7)</f>
        <v>1.2</v>
      </c>
      <c r="U1761" s="5" t="n">
        <f aca="false">IF(F1761="PO",0.6,
IF(F1761="CT",0.75,
IF(F1761="LI",0.8,
IF(F1761="LD",0.8,
IF(F1761="MCD",0.85,
IF(F1761="MC",0.95,
IF(F1761="MO",1.05,
IF(F1761="EI",1.1,
IF(F1761="ED",1.1,
IF(F1761="SD",1.15,
IF(F1761="DC",1.2,0)))))))))))</f>
        <v>1.2</v>
      </c>
    </row>
    <row r="1762" customFormat="false" ht="16.4" hidden="false" customHeight="false" outlineLevel="0" collapsed="false">
      <c r="A1762" s="1" t="n">
        <v>1761</v>
      </c>
      <c r="B1762" s="5" t="str">
        <f aca="false">[1]Base_Jugadores!B1762</f>
        <v>Kaua Santos</v>
      </c>
      <c r="C1762" s="5" t="str">
        <f aca="false">IFERROR(
   _xlfn.XLOOKUP(VALUE(A1762),[1]Fichajes_Realizados!A$2:A$50000,[1]Fichajes_Realizados!D$2:D$50000,,0,-1),
   _xlfn.XLOOKUP(VALUE(A1762),[1]Base_Jugadores!A$2:A$50000,[1]Base_Jugadores!C$2:C$50000)
)</f>
        <v>Eintracht Fráncfort</v>
      </c>
      <c r="D1762" s="5" t="str">
        <f aca="false">[1]Base_Jugadores!D1762</f>
        <v>Brasil</v>
      </c>
      <c r="E1762" s="3"/>
      <c r="F1762" s="5" t="str">
        <f aca="false">[1]Base_Jugadores!E1762</f>
        <v>PO</v>
      </c>
      <c r="G1762" s="5" t="n">
        <f aca="false">[1]Base_Jugadores!F1762</f>
        <v>62</v>
      </c>
      <c r="H1762" s="5" t="n">
        <f aca="false">[1]Base_Jugadores!G1762</f>
        <v>22</v>
      </c>
      <c r="I1762" s="7" t="n">
        <f aca="false" t="array" ref="I1762:I1762">_xlfn.XLOOKUP(G1762,{55;56;57;58;59;60;61;62;63;64;65;66;67;68;69;70;71;72;73;74;75;76;77;78;79;80;81;82;83;84;85;86;87;88;89;90;91;92;93;94;95;96;97;98;99},{100000;130000;160000;190000;220000;250000;300000;350000;400000;450000;500000;600000;700000;800000;900000;1000000;1500000;2000000;3000000;4000000;5000000;6500000;8000000;10000000;12500000;15000000;20000000;25000000;30000000;35000000;40000000;55000000;70000000;80000000;90000000;110000000;130000000;160000000;190000000;220000000;250000000;280000000;310000000;340000000;400000000})</f>
        <v>350000</v>
      </c>
      <c r="J1762" s="7" t="n">
        <f aca="false">I1762*S1762*T1762*U1762</f>
        <v>309960</v>
      </c>
      <c r="K1762" s="3"/>
      <c r="L1762" s="3"/>
      <c r="M1762" s="3"/>
      <c r="N1762" s="9" t="n">
        <v>0</v>
      </c>
      <c r="O1762" s="4" t="n">
        <v>0</v>
      </c>
      <c r="P1762" s="5" t="n">
        <f aca="false">IF(COUNTIF([1]Base_Jugadores!J$2:J$500,B1762)&gt;0,1,0)</f>
        <v>0</v>
      </c>
      <c r="Q1762" s="10" t="b">
        <f aca="false">--(COUNTIFS(
   [1]Fichajes_Realizados!A$2:A$5000,A1762,
   [1]Fichajes_Realizados!G$2:G$5000,$X$3
)&gt;0)</f>
        <v>0</v>
      </c>
      <c r="R1762" s="5" t="n">
        <f aca="false">_xlfn.XLOOKUP(C1762, [1]Estado_Equipos!A$2:A$500, [1]Estado_Equipos!J$2:J$500, "")</f>
        <v>74</v>
      </c>
      <c r="S1762" s="5" t="n">
        <f aca="false">IF(H1762&lt;=16,1.45,
IF(H1762&gt;=41,0.3,
CHOOSE(ROUNDDOWN((H1762-16)/2,0)+1,
1.45,1.38,1.3,1.23,1.17,1.15,1.12,1.05,0.95,0.8,0.6,0.4,0.3)))</f>
        <v>1.23</v>
      </c>
      <c r="T1762" s="5" t="n">
        <f aca="false">CHOOSE(N1762+1,1.2,1,0.85,0.7)</f>
        <v>1.2</v>
      </c>
      <c r="U1762" s="5" t="n">
        <f aca="false">IF(F1762="PO",0.6,
IF(F1762="CT",0.75,
IF(F1762="LI",0.8,
IF(F1762="LD",0.8,
IF(F1762="MCD",0.85,
IF(F1762="MC",0.95,
IF(F1762="MO",1.05,
IF(F1762="EI",1.1,
IF(F1762="ED",1.1,
IF(F1762="SD",1.15,
IF(F1762="DC",1.2,0)))))))))))</f>
        <v>0.6</v>
      </c>
    </row>
    <row r="1763" customFormat="false" ht="16.4" hidden="false" customHeight="false" outlineLevel="0" collapsed="false">
      <c r="A1763" s="1" t="n">
        <v>1762</v>
      </c>
      <c r="B1763" s="5" t="str">
        <f aca="false">[1]Base_Jugadores!B1763</f>
        <v>Mahmoud Dahoud</v>
      </c>
      <c r="C1763" s="5" t="str">
        <f aca="false">IFERROR(
   _xlfn.XLOOKUP(VALUE(A1763),[1]Fichajes_Realizados!A$2:A$50000,[1]Fichajes_Realizados!D$2:D$50000,,0,-1),
   _xlfn.XLOOKUP(VALUE(A1763),[1]Base_Jugadores!A$2:A$50000,[1]Base_Jugadores!C$2:C$50000)
)</f>
        <v>Eintracht Fráncfort</v>
      </c>
      <c r="D1763" s="5" t="str">
        <f aca="false">[1]Base_Jugadores!D1763</f>
        <v>Siria</v>
      </c>
      <c r="E1763" s="3"/>
      <c r="F1763" s="5" t="str">
        <f aca="false">[1]Base_Jugadores!E1763</f>
        <v>MC</v>
      </c>
      <c r="G1763" s="5" t="n">
        <f aca="false">[1]Base_Jugadores!F1763</f>
        <v>76</v>
      </c>
      <c r="H1763" s="5" t="n">
        <f aca="false">[1]Base_Jugadores!G1763</f>
        <v>29</v>
      </c>
      <c r="I1763" s="7" t="n">
        <f aca="false" t="array" ref="I1763:I1763">_xlfn.XLOOKUP(G1763,{55;56;57;58;59;60;61;62;63;64;65;66;67;68;69;70;71;72;73;74;75;76;77;78;79;80;81;82;83;84;85;86;87;88;89;90;91;92;93;94;95;96;97;98;99},{100000;130000;160000;190000;220000;250000;300000;350000;400000;450000;500000;600000;700000;800000;900000;1000000;1500000;2000000;3000000;4000000;5000000;6500000;8000000;10000000;12500000;15000000;20000000;25000000;30000000;35000000;40000000;55000000;70000000;80000000;90000000;110000000;130000000;160000000;190000000;220000000;250000000;280000000;310000000;340000000;400000000})</f>
        <v>6500000</v>
      </c>
      <c r="J1763" s="7" t="n">
        <f aca="false">I1763*S1763*T1763*U1763</f>
        <v>8299200</v>
      </c>
      <c r="K1763" s="3"/>
      <c r="L1763" s="3"/>
      <c r="M1763" s="3"/>
      <c r="N1763" s="9" t="n">
        <v>0</v>
      </c>
      <c r="O1763" s="4" t="n">
        <v>0</v>
      </c>
      <c r="P1763" s="5" t="n">
        <f aca="false">IF(COUNTIF([1]Base_Jugadores!J$2:J$500,B1763)&gt;0,1,0)</f>
        <v>0</v>
      </c>
      <c r="Q1763" s="10" t="b">
        <f aca="false">--(COUNTIFS(
   [1]Fichajes_Realizados!A$2:A$5000,A1763,
   [1]Fichajes_Realizados!G$2:G$5000,$X$3
)&gt;0)</f>
        <v>0</v>
      </c>
      <c r="R1763" s="5" t="n">
        <f aca="false">_xlfn.XLOOKUP(C1763, [1]Estado_Equipos!A$2:A$500, [1]Estado_Equipos!J$2:J$500, "")</f>
        <v>74</v>
      </c>
      <c r="S1763" s="5" t="n">
        <f aca="false">IF(H1763&lt;=16,1.45,
IF(H1763&gt;=41,0.3,
CHOOSE(ROUNDDOWN((H1763-16)/2,0)+1,
1.45,1.38,1.3,1.23,1.17,1.15,1.12,1.05,0.95,0.8,0.6,0.4,0.3)))</f>
        <v>1.12</v>
      </c>
      <c r="T1763" s="5" t="n">
        <f aca="false">CHOOSE(N1763+1,1.2,1,0.85,0.7)</f>
        <v>1.2</v>
      </c>
      <c r="U1763" s="5" t="n">
        <f aca="false">IF(F1763="PO",0.6,
IF(F1763="CT",0.75,
IF(F1763="LI",0.8,
IF(F1763="LD",0.8,
IF(F1763="MCD",0.85,
IF(F1763="MC",0.95,
IF(F1763="MO",1.05,
IF(F1763="EI",1.1,
IF(F1763="ED",1.1,
IF(F1763="SD",1.15,
IF(F1763="DC",1.2,0)))))))))))</f>
        <v>0.95</v>
      </c>
    </row>
    <row r="1764" customFormat="false" ht="16.4" hidden="false" customHeight="false" outlineLevel="0" collapsed="false">
      <c r="A1764" s="1" t="n">
        <v>1763</v>
      </c>
      <c r="B1764" s="5" t="str">
        <f aca="false">[1]Base_Jugadores!B1764</f>
        <v>Mario Götze</v>
      </c>
      <c r="C1764" s="5" t="str">
        <f aca="false">IFERROR(
   _xlfn.XLOOKUP(VALUE(A1764),[1]Fichajes_Realizados!A$2:A$50000,[1]Fichajes_Realizados!D$2:D$50000,,0,-1),
   _xlfn.XLOOKUP(VALUE(A1764),[1]Base_Jugadores!A$2:A$50000,[1]Base_Jugadores!C$2:C$50000)
)</f>
        <v>Eintracht Fráncfort</v>
      </c>
      <c r="D1764" s="5" t="str">
        <f aca="false">[1]Base_Jugadores!D1764</f>
        <v>Alemania</v>
      </c>
      <c r="E1764" s="3"/>
      <c r="F1764" s="5" t="str">
        <f aca="false">[1]Base_Jugadores!E1764</f>
        <v>MO</v>
      </c>
      <c r="G1764" s="5" t="n">
        <f aca="false">[1]Base_Jugadores!F1764</f>
        <v>80</v>
      </c>
      <c r="H1764" s="5" t="n">
        <f aca="false">[1]Base_Jugadores!G1764</f>
        <v>33</v>
      </c>
      <c r="I1764" s="7" t="n">
        <f aca="false" t="array" ref="I1764:I1764">_xlfn.XLOOKUP(G1764,{55;56;57;58;59;60;61;62;63;64;65;66;67;68;69;70;71;72;73;74;75;76;77;78;79;80;81;82;83;84;85;86;87;88;89;90;91;92;93;94;95;96;97;98;99},{100000;130000;160000;190000;220000;250000;300000;350000;400000;450000;500000;600000;700000;800000;900000;1000000;1500000;2000000;3000000;4000000;5000000;6500000;8000000;10000000;12500000;15000000;20000000;25000000;30000000;35000000;40000000;55000000;70000000;80000000;90000000;110000000;130000000;160000000;190000000;220000000;250000000;280000000;310000000;340000000;400000000})</f>
        <v>15000000</v>
      </c>
      <c r="J1764" s="7" t="n">
        <f aca="false">I1764*S1764*T1764*U1764</f>
        <v>17955000</v>
      </c>
      <c r="K1764" s="3"/>
      <c r="L1764" s="3"/>
      <c r="M1764" s="3"/>
      <c r="N1764" s="9" t="n">
        <v>0</v>
      </c>
      <c r="O1764" s="4" t="n">
        <v>0</v>
      </c>
      <c r="P1764" s="5" t="n">
        <f aca="false">IF(COUNTIF([1]Base_Jugadores!J$2:J$500,B1764)&gt;0,1,0)</f>
        <v>0</v>
      </c>
      <c r="Q1764" s="10" t="b">
        <f aca="false">--(COUNTIFS(
   [1]Fichajes_Realizados!A$2:A$5000,A1764,
   [1]Fichajes_Realizados!G$2:G$5000,$X$3
)&gt;0)</f>
        <v>0</v>
      </c>
      <c r="R1764" s="5" t="n">
        <f aca="false">_xlfn.XLOOKUP(C1764, [1]Estado_Equipos!A$2:A$500, [1]Estado_Equipos!J$2:J$500, "")</f>
        <v>74</v>
      </c>
      <c r="S1764" s="5" t="n">
        <f aca="false">IF(H1764&lt;=16,1.45,
IF(H1764&gt;=41,0.3,
CHOOSE(ROUNDDOWN((H1764-16)/2,0)+1,
1.45,1.38,1.3,1.23,1.17,1.15,1.12,1.05,0.95,0.8,0.6,0.4,0.3)))</f>
        <v>0.95</v>
      </c>
      <c r="T1764" s="5" t="n">
        <f aca="false">CHOOSE(N1764+1,1.2,1,0.85,0.7)</f>
        <v>1.2</v>
      </c>
      <c r="U1764" s="5" t="n">
        <f aca="false">IF(F1764="PO",0.6,
IF(F1764="CT",0.75,
IF(F1764="LI",0.8,
IF(F1764="LD",0.8,
IF(F1764="MCD",0.85,
IF(F1764="MC",0.95,
IF(F1764="MO",1.05,
IF(F1764="EI",1.1,
IF(F1764="ED",1.1,
IF(F1764="SD",1.15,
IF(F1764="DC",1.2,0)))))))))))</f>
        <v>1.05</v>
      </c>
    </row>
    <row r="1765" customFormat="false" ht="16.4" hidden="false" customHeight="false" outlineLevel="0" collapsed="false">
      <c r="A1765" s="1" t="n">
        <v>1764</v>
      </c>
      <c r="B1765" s="5" t="str">
        <f aca="false">[1]Base_Jugadores!B1765</f>
        <v>Michael Zetterer</v>
      </c>
      <c r="C1765" s="5" t="str">
        <f aca="false">IFERROR(
   _xlfn.XLOOKUP(VALUE(A1765),[1]Fichajes_Realizados!A$2:A$50000,[1]Fichajes_Realizados!D$2:D$50000,,0,-1),
   _xlfn.XLOOKUP(VALUE(A1765),[1]Base_Jugadores!A$2:A$50000,[1]Base_Jugadores!C$2:C$50000)
)</f>
        <v>Eintracht Fráncfort</v>
      </c>
      <c r="D1765" s="5" t="str">
        <f aca="false">[1]Base_Jugadores!D1765</f>
        <v>Alemania</v>
      </c>
      <c r="E1765" s="3"/>
      <c r="F1765" s="5" t="str">
        <f aca="false">[1]Base_Jugadores!E1765</f>
        <v>PO</v>
      </c>
      <c r="G1765" s="5" t="n">
        <f aca="false">[1]Base_Jugadores!F1765</f>
        <v>76</v>
      </c>
      <c r="H1765" s="5" t="n">
        <f aca="false">[1]Base_Jugadores!G1765</f>
        <v>30</v>
      </c>
      <c r="I1765" s="7" t="n">
        <f aca="false" t="array" ref="I1765:I1765">_xlfn.XLOOKUP(G1765,{55;56;57;58;59;60;61;62;63;64;65;66;67;68;69;70;71;72;73;74;75;76;77;78;79;80;81;82;83;84;85;86;87;88;89;90;91;92;93;94;95;96;97;98;99},{100000;130000;160000;190000;220000;250000;300000;350000;400000;450000;500000;600000;700000;800000;900000;1000000;1500000;2000000;3000000;4000000;5000000;6500000;8000000;10000000;12500000;15000000;20000000;25000000;30000000;35000000;40000000;55000000;70000000;80000000;90000000;110000000;130000000;160000000;190000000;220000000;250000000;280000000;310000000;340000000;400000000})</f>
        <v>6500000</v>
      </c>
      <c r="J1765" s="7" t="n">
        <f aca="false">I1765*S1765*T1765*U1765</f>
        <v>4914000</v>
      </c>
      <c r="K1765" s="3"/>
      <c r="L1765" s="3"/>
      <c r="M1765" s="3"/>
      <c r="N1765" s="9" t="n">
        <v>0</v>
      </c>
      <c r="O1765" s="4" t="n">
        <v>0</v>
      </c>
      <c r="P1765" s="5" t="n">
        <f aca="false">IF(COUNTIF([1]Base_Jugadores!J$2:J$500,B1765)&gt;0,1,0)</f>
        <v>0</v>
      </c>
      <c r="Q1765" s="10" t="b">
        <f aca="false">--(COUNTIFS(
   [1]Fichajes_Realizados!A$2:A$5000,A1765,
   [1]Fichajes_Realizados!G$2:G$5000,$X$3
)&gt;0)</f>
        <v>0</v>
      </c>
      <c r="R1765" s="5" t="n">
        <f aca="false">_xlfn.XLOOKUP(C1765, [1]Estado_Equipos!A$2:A$500, [1]Estado_Equipos!J$2:J$500, "")</f>
        <v>74</v>
      </c>
      <c r="S1765" s="5" t="n">
        <f aca="false">IF(H1765&lt;=16,1.45,
IF(H1765&gt;=41,0.3,
CHOOSE(ROUNDDOWN((H1765-16)/2,0)+1,
1.45,1.38,1.3,1.23,1.17,1.15,1.12,1.05,0.95,0.8,0.6,0.4,0.3)))</f>
        <v>1.05</v>
      </c>
      <c r="T1765" s="5" t="n">
        <f aca="false">CHOOSE(N1765+1,1.2,1,0.85,0.7)</f>
        <v>1.2</v>
      </c>
      <c r="U1765" s="5" t="n">
        <f aca="false">IF(F1765="PO",0.6,
IF(F1765="CT",0.75,
IF(F1765="LI",0.8,
IF(F1765="LD",0.8,
IF(F1765="MCD",0.85,
IF(F1765="MC",0.95,
IF(F1765="MO",1.05,
IF(F1765="EI",1.1,
IF(F1765="ED",1.1,
IF(F1765="SD",1.15,
IF(F1765="DC",1.2,0)))))))))))</f>
        <v>0.6</v>
      </c>
    </row>
    <row r="1766" customFormat="false" ht="16.4" hidden="false" customHeight="false" outlineLevel="0" collapsed="false">
      <c r="A1766" s="1" t="n">
        <v>1765</v>
      </c>
      <c r="B1766" s="5" t="str">
        <f aca="false">[1]Base_Jugadores!B1766</f>
        <v>Michy Batshuayi</v>
      </c>
      <c r="C1766" s="5" t="str">
        <f aca="false">IFERROR(
   _xlfn.XLOOKUP(VALUE(A1766),[1]Fichajes_Realizados!A$2:A$50000,[1]Fichajes_Realizados!D$2:D$50000,,0,-1),
   _xlfn.XLOOKUP(VALUE(A1766),[1]Base_Jugadores!A$2:A$50000,[1]Base_Jugadores!C$2:C$50000)
)</f>
        <v>Eintracht Fráncfort</v>
      </c>
      <c r="D1766" s="5" t="str">
        <f aca="false">[1]Base_Jugadores!D1766</f>
        <v>Bélgica</v>
      </c>
      <c r="E1766" s="3"/>
      <c r="F1766" s="5" t="str">
        <f aca="false">[1]Base_Jugadores!E1766</f>
        <v>DC</v>
      </c>
      <c r="G1766" s="5" t="n">
        <f aca="false">[1]Base_Jugadores!F1766</f>
        <v>77</v>
      </c>
      <c r="H1766" s="5" t="n">
        <f aca="false">[1]Base_Jugadores!G1766</f>
        <v>32</v>
      </c>
      <c r="I1766" s="7" t="n">
        <f aca="false" t="array" ref="I1766:I1766">_xlfn.XLOOKUP(G1766,{55;56;57;58;59;60;61;62;63;64;65;66;67;68;69;70;71;72;73;74;75;76;77;78;79;80;81;82;83;84;85;86;87;88;89;90;91;92;93;94;95;96;97;98;99},{100000;130000;160000;190000;220000;250000;300000;350000;400000;450000;500000;600000;700000;800000;900000;1000000;1500000;2000000;3000000;4000000;5000000;6500000;8000000;10000000;12500000;15000000;20000000;25000000;30000000;35000000;40000000;55000000;70000000;80000000;90000000;110000000;130000000;160000000;190000000;220000000;250000000;280000000;310000000;340000000;400000000})</f>
        <v>8000000</v>
      </c>
      <c r="J1766" s="7" t="n">
        <f aca="false">I1766*S1766*T1766*U1766</f>
        <v>10944000</v>
      </c>
      <c r="K1766" s="3"/>
      <c r="L1766" s="3"/>
      <c r="M1766" s="3"/>
      <c r="N1766" s="9" t="n">
        <v>0</v>
      </c>
      <c r="O1766" s="4" t="n">
        <v>0</v>
      </c>
      <c r="P1766" s="5" t="n">
        <f aca="false">IF(COUNTIF([1]Base_Jugadores!J$2:J$500,B1766)&gt;0,1,0)</f>
        <v>0</v>
      </c>
      <c r="Q1766" s="10" t="b">
        <f aca="false">--(COUNTIFS(
   [1]Fichajes_Realizados!A$2:A$5000,A1766,
   [1]Fichajes_Realizados!G$2:G$5000,$X$3
)&gt;0)</f>
        <v>0</v>
      </c>
      <c r="R1766" s="5" t="n">
        <f aca="false">_xlfn.XLOOKUP(C1766, [1]Estado_Equipos!A$2:A$500, [1]Estado_Equipos!J$2:J$500, "")</f>
        <v>74</v>
      </c>
      <c r="S1766" s="5" t="n">
        <f aca="false">IF(H1766&lt;=16,1.45,
IF(H1766&gt;=41,0.3,
CHOOSE(ROUNDDOWN((H1766-16)/2,0)+1,
1.45,1.38,1.3,1.23,1.17,1.15,1.12,1.05,0.95,0.8,0.6,0.4,0.3)))</f>
        <v>0.95</v>
      </c>
      <c r="T1766" s="5" t="n">
        <f aca="false">CHOOSE(N1766+1,1.2,1,0.85,0.7)</f>
        <v>1.2</v>
      </c>
      <c r="U1766" s="5" t="n">
        <f aca="false">IF(F1766="PO",0.6,
IF(F1766="CT",0.75,
IF(F1766="LI",0.8,
IF(F1766="LD",0.8,
IF(F1766="MCD",0.85,
IF(F1766="MC",0.95,
IF(F1766="MO",1.05,
IF(F1766="EI",1.1,
IF(F1766="ED",1.1,
IF(F1766="SD",1.15,
IF(F1766="DC",1.2,0)))))))))))</f>
        <v>1.2</v>
      </c>
    </row>
    <row r="1767" customFormat="false" ht="16.4" hidden="false" customHeight="false" outlineLevel="0" collapsed="false">
      <c r="A1767" s="1" t="n">
        <v>1766</v>
      </c>
      <c r="B1767" s="5" t="str">
        <f aca="false">[1]Base_Jugadores!B1767</f>
        <v>Nathaniel Brown</v>
      </c>
      <c r="C1767" s="5" t="str">
        <f aca="false">IFERROR(
   _xlfn.XLOOKUP(VALUE(A1767),[1]Fichajes_Realizados!A$2:A$50000,[1]Fichajes_Realizados!D$2:D$50000,,0,-1),
   _xlfn.XLOOKUP(VALUE(A1767),[1]Base_Jugadores!A$2:A$50000,[1]Base_Jugadores!C$2:C$50000)
)</f>
        <v>Eintracht Fráncfort</v>
      </c>
      <c r="D1767" s="5" t="str">
        <f aca="false">[1]Base_Jugadores!D1767</f>
        <v>Alemania</v>
      </c>
      <c r="E1767" s="3"/>
      <c r="F1767" s="5" t="str">
        <f aca="false">[1]Base_Jugadores!E1767</f>
        <v>LI</v>
      </c>
      <c r="G1767" s="5" t="n">
        <f aca="false">[1]Base_Jugadores!F1767</f>
        <v>69</v>
      </c>
      <c r="H1767" s="5" t="n">
        <f aca="false">[1]Base_Jugadores!G1767</f>
        <v>22</v>
      </c>
      <c r="I1767" s="7" t="n">
        <f aca="false" t="array" ref="I1767:I1767">_xlfn.XLOOKUP(G1767,{55;56;57;58;59;60;61;62;63;64;65;66;67;68;69;70;71;72;73;74;75;76;77;78;79;80;81;82;83;84;85;86;87;88;89;90;91;92;93;94;95;96;97;98;99},{100000;130000;160000;190000;220000;250000;300000;350000;400000;450000;500000;600000;700000;800000;900000;1000000;1500000;2000000;3000000;4000000;5000000;6500000;8000000;10000000;12500000;15000000;20000000;25000000;30000000;35000000;40000000;55000000;70000000;80000000;90000000;110000000;130000000;160000000;190000000;220000000;250000000;280000000;310000000;340000000;400000000})</f>
        <v>900000</v>
      </c>
      <c r="J1767" s="7" t="n">
        <f aca="false">I1767*S1767*T1767*U1767</f>
        <v>1062720</v>
      </c>
      <c r="K1767" s="3"/>
      <c r="L1767" s="3"/>
      <c r="M1767" s="3"/>
      <c r="N1767" s="9" t="n">
        <v>0</v>
      </c>
      <c r="O1767" s="4" t="n">
        <v>0</v>
      </c>
      <c r="P1767" s="5" t="n">
        <f aca="false">IF(COUNTIF([1]Base_Jugadores!J$2:J$500,B1767)&gt;0,1,0)</f>
        <v>0</v>
      </c>
      <c r="Q1767" s="10" t="b">
        <f aca="false">--(COUNTIFS(
   [1]Fichajes_Realizados!A$2:A$5000,A1767,
   [1]Fichajes_Realizados!G$2:G$5000,$X$3
)&gt;0)</f>
        <v>0</v>
      </c>
      <c r="R1767" s="5" t="n">
        <f aca="false">_xlfn.XLOOKUP(C1767, [1]Estado_Equipos!A$2:A$500, [1]Estado_Equipos!J$2:J$500, "")</f>
        <v>74</v>
      </c>
      <c r="S1767" s="5" t="n">
        <f aca="false">IF(H1767&lt;=16,1.45,
IF(H1767&gt;=41,0.3,
CHOOSE(ROUNDDOWN((H1767-16)/2,0)+1,
1.45,1.38,1.3,1.23,1.17,1.15,1.12,1.05,0.95,0.8,0.6,0.4,0.3)))</f>
        <v>1.23</v>
      </c>
      <c r="T1767" s="5" t="n">
        <f aca="false">CHOOSE(N1767+1,1.2,1,0.85,0.7)</f>
        <v>1.2</v>
      </c>
      <c r="U1767" s="5" t="n">
        <f aca="false">IF(F1767="PO",0.6,
IF(F1767="CT",0.75,
IF(F1767="LI",0.8,
IF(F1767="LD",0.8,
IF(F1767="MCD",0.85,
IF(F1767="MC",0.95,
IF(F1767="MO",1.05,
IF(F1767="EI",1.1,
IF(F1767="ED",1.1,
IF(F1767="SD",1.15,
IF(F1767="DC",1.2,0)))))))))))</f>
        <v>0.8</v>
      </c>
    </row>
    <row r="1768" customFormat="false" ht="16.4" hidden="false" customHeight="false" outlineLevel="0" collapsed="false">
      <c r="A1768" s="1" t="n">
        <v>1767</v>
      </c>
      <c r="B1768" s="5" t="str">
        <f aca="false">[1]Base_Jugadores!B1768</f>
        <v>Nnamdi Collins</v>
      </c>
      <c r="C1768" s="5" t="str">
        <f aca="false">IFERROR(
   _xlfn.XLOOKUP(VALUE(A1768),[1]Fichajes_Realizados!A$2:A$50000,[1]Fichajes_Realizados!D$2:D$50000,,0,-1),
   _xlfn.XLOOKUP(VALUE(A1768),[1]Base_Jugadores!A$2:A$50000,[1]Base_Jugadores!C$2:C$50000)
)</f>
        <v>Eintracht Fráncfort</v>
      </c>
      <c r="D1768" s="5" t="str">
        <f aca="false">[1]Base_Jugadores!D1768</f>
        <v>Alemania</v>
      </c>
      <c r="E1768" s="3"/>
      <c r="F1768" s="5" t="str">
        <f aca="false">[1]Base_Jugadores!E1768</f>
        <v>CT</v>
      </c>
      <c r="G1768" s="5" t="n">
        <f aca="false">[1]Base_Jugadores!F1768</f>
        <v>63</v>
      </c>
      <c r="H1768" s="5" t="n">
        <f aca="false">[1]Base_Jugadores!G1768</f>
        <v>21</v>
      </c>
      <c r="I1768" s="7" t="n">
        <f aca="false" t="array" ref="I1768:I1768">_xlfn.XLOOKUP(G1768,{55;56;57;58;59;60;61;62;63;64;65;66;67;68;69;70;71;72;73;74;75;76;77;78;79;80;81;82;83;84;85;86;87;88;89;90;91;92;93;94;95;96;97;98;99},{100000;130000;160000;190000;220000;250000;300000;350000;400000;450000;500000;600000;700000;800000;900000;1000000;1500000;2000000;3000000;4000000;5000000;6500000;8000000;10000000;12500000;15000000;20000000;25000000;30000000;35000000;40000000;55000000;70000000;80000000;90000000;110000000;130000000;160000000;190000000;220000000;250000000;280000000;310000000;340000000;400000000})</f>
        <v>400000</v>
      </c>
      <c r="J1768" s="7" t="n">
        <f aca="false">I1768*S1768*T1768*U1768</f>
        <v>468000</v>
      </c>
      <c r="K1768" s="3"/>
      <c r="L1768" s="3"/>
      <c r="M1768" s="3"/>
      <c r="N1768" s="9" t="n">
        <v>0</v>
      </c>
      <c r="O1768" s="4" t="n">
        <v>0</v>
      </c>
      <c r="P1768" s="5" t="n">
        <f aca="false">IF(COUNTIF([1]Base_Jugadores!J$2:J$500,B1768)&gt;0,1,0)</f>
        <v>0</v>
      </c>
      <c r="Q1768" s="10" t="b">
        <f aca="false">--(COUNTIFS(
   [1]Fichajes_Realizados!A$2:A$5000,A1768,
   [1]Fichajes_Realizados!G$2:G$5000,$X$3
)&gt;0)</f>
        <v>0</v>
      </c>
      <c r="R1768" s="5" t="n">
        <f aca="false">_xlfn.XLOOKUP(C1768, [1]Estado_Equipos!A$2:A$500, [1]Estado_Equipos!J$2:J$500, "")</f>
        <v>74</v>
      </c>
      <c r="S1768" s="5" t="n">
        <f aca="false">IF(H1768&lt;=16,1.45,
IF(H1768&gt;=41,0.3,
CHOOSE(ROUNDDOWN((H1768-16)/2,0)+1,
1.45,1.38,1.3,1.23,1.17,1.15,1.12,1.05,0.95,0.8,0.6,0.4,0.3)))</f>
        <v>1.3</v>
      </c>
      <c r="T1768" s="5" t="n">
        <f aca="false">CHOOSE(N1768+1,1.2,1,0.85,0.7)</f>
        <v>1.2</v>
      </c>
      <c r="U1768" s="5" t="n">
        <f aca="false">IF(F1768="PO",0.6,
IF(F1768="CT",0.75,
IF(F1768="LI",0.8,
IF(F1768="LD",0.8,
IF(F1768="MCD",0.85,
IF(F1768="MC",0.95,
IF(F1768="MO",1.05,
IF(F1768="EI",1.1,
IF(F1768="ED",1.1,
IF(F1768="SD",1.15,
IF(F1768="DC",1.2,0)))))))))))</f>
        <v>0.75</v>
      </c>
    </row>
    <row r="1769" customFormat="false" ht="16.4" hidden="false" customHeight="false" outlineLevel="0" collapsed="false">
      <c r="A1769" s="1" t="n">
        <v>1768</v>
      </c>
      <c r="B1769" s="5" t="str">
        <f aca="false">[1]Base_Jugadores!B1769</f>
        <v>Oscar Højlund</v>
      </c>
      <c r="C1769" s="5" t="str">
        <f aca="false">IFERROR(
   _xlfn.XLOOKUP(VALUE(A1769),[1]Fichajes_Realizados!A$2:A$50000,[1]Fichajes_Realizados!D$2:D$50000,,0,-1),
   _xlfn.XLOOKUP(VALUE(A1769),[1]Base_Jugadores!A$2:A$50000,[1]Base_Jugadores!C$2:C$50000)
)</f>
        <v>Eintracht Fráncfort</v>
      </c>
      <c r="D1769" s="5" t="str">
        <f aca="false">[1]Base_Jugadores!D1769</f>
        <v>Dinamarca</v>
      </c>
      <c r="E1769" s="3"/>
      <c r="F1769" s="5" t="str">
        <f aca="false">[1]Base_Jugadores!E1769</f>
        <v>MC</v>
      </c>
      <c r="G1769" s="5" t="n">
        <f aca="false">[1]Base_Jugadores!F1769</f>
        <v>64</v>
      </c>
      <c r="H1769" s="5" t="n">
        <f aca="false">[1]Base_Jugadores!G1769</f>
        <v>20</v>
      </c>
      <c r="I1769" s="7" t="n">
        <f aca="false" t="array" ref="I1769:I1769">_xlfn.XLOOKUP(G1769,{55;56;57;58;59;60;61;62;63;64;65;66;67;68;69;70;71;72;73;74;75;76;77;78;79;80;81;82;83;84;85;86;87;88;89;90;91;92;93;94;95;96;97;98;99},{100000;130000;160000;190000;220000;250000;300000;350000;400000;450000;500000;600000;700000;800000;900000;1000000;1500000;2000000;3000000;4000000;5000000;6500000;8000000;10000000;12500000;15000000;20000000;25000000;30000000;35000000;40000000;55000000;70000000;80000000;90000000;110000000;130000000;160000000;190000000;220000000;250000000;280000000;310000000;340000000;400000000})</f>
        <v>450000</v>
      </c>
      <c r="J1769" s="7" t="n">
        <f aca="false">I1769*S1769*T1769*U1769</f>
        <v>666900</v>
      </c>
      <c r="K1769" s="3"/>
      <c r="L1769" s="3"/>
      <c r="M1769" s="3"/>
      <c r="N1769" s="9" t="n">
        <v>0</v>
      </c>
      <c r="O1769" s="4" t="n">
        <v>0</v>
      </c>
      <c r="P1769" s="5" t="n">
        <f aca="false">IF(COUNTIF([1]Base_Jugadores!J$2:J$500,B1769)&gt;0,1,0)</f>
        <v>0</v>
      </c>
      <c r="Q1769" s="10" t="b">
        <f aca="false">--(COUNTIFS(
   [1]Fichajes_Realizados!A$2:A$5000,A1769,
   [1]Fichajes_Realizados!G$2:G$5000,$X$3
)&gt;0)</f>
        <v>0</v>
      </c>
      <c r="R1769" s="5" t="n">
        <f aca="false">_xlfn.XLOOKUP(C1769, [1]Estado_Equipos!A$2:A$500, [1]Estado_Equipos!J$2:J$500, "")</f>
        <v>74</v>
      </c>
      <c r="S1769" s="5" t="n">
        <f aca="false">IF(H1769&lt;=16,1.45,
IF(H1769&gt;=41,0.3,
CHOOSE(ROUNDDOWN((H1769-16)/2,0)+1,
1.45,1.38,1.3,1.23,1.17,1.15,1.12,1.05,0.95,0.8,0.6,0.4,0.3)))</f>
        <v>1.3</v>
      </c>
      <c r="T1769" s="5" t="n">
        <f aca="false">CHOOSE(N1769+1,1.2,1,0.85,0.7)</f>
        <v>1.2</v>
      </c>
      <c r="U1769" s="5" t="n">
        <f aca="false">IF(F1769="PO",0.6,
IF(F1769="CT",0.75,
IF(F1769="LI",0.8,
IF(F1769="LD",0.8,
IF(F1769="MCD",0.85,
IF(F1769="MC",0.95,
IF(F1769="MO",1.05,
IF(F1769="EI",1.1,
IF(F1769="ED",1.1,
IF(F1769="SD",1.15,
IF(F1769="DC",1.2,0)))))))))))</f>
        <v>0.95</v>
      </c>
    </row>
    <row r="1770" customFormat="false" ht="16.4" hidden="false" customHeight="false" outlineLevel="0" collapsed="false">
      <c r="A1770" s="1" t="n">
        <v>1769</v>
      </c>
      <c r="B1770" s="5" t="str">
        <f aca="false">[1]Base_Jugadores!B1770</f>
        <v>Rasmus Kristensen</v>
      </c>
      <c r="C1770" s="5" t="str">
        <f aca="false">IFERROR(
   _xlfn.XLOOKUP(VALUE(A1770),[1]Fichajes_Realizados!A$2:A$50000,[1]Fichajes_Realizados!D$2:D$50000,,0,-1),
   _xlfn.XLOOKUP(VALUE(A1770),[1]Base_Jugadores!A$2:A$50000,[1]Base_Jugadores!C$2:C$50000)
)</f>
        <v>Eintracht Fráncfort</v>
      </c>
      <c r="D1770" s="5" t="str">
        <f aca="false">[1]Base_Jugadores!D1770</f>
        <v>Dinamarca</v>
      </c>
      <c r="E1770" s="3"/>
      <c r="F1770" s="5" t="str">
        <f aca="false">[1]Base_Jugadores!E1770</f>
        <v>LD</v>
      </c>
      <c r="G1770" s="5" t="n">
        <f aca="false">[1]Base_Jugadores!F1770</f>
        <v>76</v>
      </c>
      <c r="H1770" s="5" t="n">
        <f aca="false">[1]Base_Jugadores!G1770</f>
        <v>28</v>
      </c>
      <c r="I1770" s="7" t="n">
        <f aca="false" t="array" ref="I1770:I1770">_xlfn.XLOOKUP(G1770,{55;56;57;58;59;60;61;62;63;64;65;66;67;68;69;70;71;72;73;74;75;76;77;78;79;80;81;82;83;84;85;86;87;88;89;90;91;92;93;94;95;96;97;98;99},{100000;130000;160000;190000;220000;250000;300000;350000;400000;450000;500000;600000;700000;800000;900000;1000000;1500000;2000000;3000000;4000000;5000000;6500000;8000000;10000000;12500000;15000000;20000000;25000000;30000000;35000000;40000000;55000000;70000000;80000000;90000000;110000000;130000000;160000000;190000000;220000000;250000000;280000000;310000000;340000000;400000000})</f>
        <v>6500000</v>
      </c>
      <c r="J1770" s="7" t="n">
        <f aca="false">I1770*S1770*T1770*U1770</f>
        <v>6988800</v>
      </c>
      <c r="K1770" s="3"/>
      <c r="L1770" s="3"/>
      <c r="M1770" s="3"/>
      <c r="N1770" s="9" t="n">
        <v>0</v>
      </c>
      <c r="O1770" s="4" t="n">
        <v>0</v>
      </c>
      <c r="P1770" s="5" t="n">
        <f aca="false">IF(COUNTIF([1]Base_Jugadores!J$2:J$500,B1770)&gt;0,1,0)</f>
        <v>0</v>
      </c>
      <c r="Q1770" s="10" t="b">
        <f aca="false">--(COUNTIFS(
   [1]Fichajes_Realizados!A$2:A$5000,A1770,
   [1]Fichajes_Realizados!G$2:G$5000,$X$3
)&gt;0)</f>
        <v>0</v>
      </c>
      <c r="R1770" s="5" t="n">
        <f aca="false">_xlfn.XLOOKUP(C1770, [1]Estado_Equipos!A$2:A$500, [1]Estado_Equipos!J$2:J$500, "")</f>
        <v>74</v>
      </c>
      <c r="S1770" s="5" t="n">
        <f aca="false">IF(H1770&lt;=16,1.45,
IF(H1770&gt;=41,0.3,
CHOOSE(ROUNDDOWN((H1770-16)/2,0)+1,
1.45,1.38,1.3,1.23,1.17,1.15,1.12,1.05,0.95,0.8,0.6,0.4,0.3)))</f>
        <v>1.12</v>
      </c>
      <c r="T1770" s="5" t="n">
        <f aca="false">CHOOSE(N1770+1,1.2,1,0.85,0.7)</f>
        <v>1.2</v>
      </c>
      <c r="U1770" s="5" t="n">
        <f aca="false">IF(F1770="PO",0.6,
IF(F1770="CT",0.75,
IF(F1770="LI",0.8,
IF(F1770="LD",0.8,
IF(F1770="MCD",0.85,
IF(F1770="MC",0.95,
IF(F1770="MO",1.05,
IF(F1770="EI",1.1,
IF(F1770="ED",1.1,
IF(F1770="SD",1.15,
IF(F1770="DC",1.2,0)))))))))))</f>
        <v>0.8</v>
      </c>
    </row>
    <row r="1771" customFormat="false" ht="16.4" hidden="false" customHeight="false" outlineLevel="0" collapsed="false">
      <c r="A1771" s="1" t="n">
        <v>1770</v>
      </c>
      <c r="B1771" s="5" t="str">
        <f aca="false">[1]Base_Jugadores!B1771</f>
        <v>Ritsu Doan</v>
      </c>
      <c r="C1771" s="5" t="str">
        <f aca="false">IFERROR(
   _xlfn.XLOOKUP(VALUE(A1771),[1]Fichajes_Realizados!A$2:A$50000,[1]Fichajes_Realizados!D$2:D$50000,,0,-1),
   _xlfn.XLOOKUP(VALUE(A1771),[1]Base_Jugadores!A$2:A$50000,[1]Base_Jugadores!C$2:C$50000)
)</f>
        <v>Eintracht Fráncfort</v>
      </c>
      <c r="D1771" s="5" t="str">
        <f aca="false">[1]Base_Jugadores!D1771</f>
        <v>Japón</v>
      </c>
      <c r="E1771" s="3"/>
      <c r="F1771" s="5" t="str">
        <f aca="false">[1]Base_Jugadores!E1771</f>
        <v>ED</v>
      </c>
      <c r="G1771" s="5" t="n">
        <f aca="false">[1]Base_Jugadores!F1771</f>
        <v>78</v>
      </c>
      <c r="H1771" s="5" t="n">
        <f aca="false">[1]Base_Jugadores!G1771</f>
        <v>27</v>
      </c>
      <c r="I1771" s="7" t="n">
        <f aca="false" t="array" ref="I1771:I1771">_xlfn.XLOOKUP(G1771,{55;56;57;58;59;60;61;62;63;64;65;66;67;68;69;70;71;72;73;74;75;76;77;78;79;80;81;82;83;84;85;86;87;88;89;90;91;92;93;94;95;96;97;98;99},{100000;130000;160000;190000;220000;250000;300000;350000;400000;450000;500000;600000;700000;800000;900000;1000000;1500000;2000000;3000000;4000000;5000000;6500000;8000000;10000000;12500000;15000000;20000000;25000000;30000000;35000000;40000000;55000000;70000000;80000000;90000000;110000000;130000000;160000000;190000000;220000000;250000000;280000000;310000000;340000000;400000000})</f>
        <v>10000000</v>
      </c>
      <c r="J1771" s="7" t="n">
        <f aca="false">I1771*S1771*T1771*U1771</f>
        <v>15180000</v>
      </c>
      <c r="K1771" s="3"/>
      <c r="L1771" s="3"/>
      <c r="M1771" s="3"/>
      <c r="N1771" s="9" t="n">
        <v>0</v>
      </c>
      <c r="O1771" s="4" t="n">
        <v>0</v>
      </c>
      <c r="P1771" s="5" t="n">
        <f aca="false">IF(COUNTIF([1]Base_Jugadores!J$2:J$500,B1771)&gt;0,1,0)</f>
        <v>0</v>
      </c>
      <c r="Q1771" s="10" t="b">
        <f aca="false">--(COUNTIFS(
   [1]Fichajes_Realizados!A$2:A$5000,A1771,
   [1]Fichajes_Realizados!G$2:G$5000,$X$3
)&gt;0)</f>
        <v>0</v>
      </c>
      <c r="R1771" s="5" t="n">
        <f aca="false">_xlfn.XLOOKUP(C1771, [1]Estado_Equipos!A$2:A$500, [1]Estado_Equipos!J$2:J$500, "")</f>
        <v>74</v>
      </c>
      <c r="S1771" s="5" t="n">
        <f aca="false">IF(H1771&lt;=16,1.45,
IF(H1771&gt;=41,0.3,
CHOOSE(ROUNDDOWN((H1771-16)/2,0)+1,
1.45,1.38,1.3,1.23,1.17,1.15,1.12,1.05,0.95,0.8,0.6,0.4,0.3)))</f>
        <v>1.15</v>
      </c>
      <c r="T1771" s="5" t="n">
        <f aca="false">CHOOSE(N1771+1,1.2,1,0.85,0.7)</f>
        <v>1.2</v>
      </c>
      <c r="U1771" s="5" t="n">
        <f aca="false">IF(F1771="PO",0.6,
IF(F1771="CT",0.75,
IF(F1771="LI",0.8,
IF(F1771="LD",0.8,
IF(F1771="MCD",0.85,
IF(F1771="MC",0.95,
IF(F1771="MO",1.05,
IF(F1771="EI",1.1,
IF(F1771="ED",1.1,
IF(F1771="SD",1.15,
IF(F1771="DC",1.2,0)))))))))))</f>
        <v>1.1</v>
      </c>
    </row>
    <row r="1772" customFormat="false" ht="16.4" hidden="false" customHeight="false" outlineLevel="0" collapsed="false">
      <c r="A1772" s="1" t="n">
        <v>1771</v>
      </c>
      <c r="B1772" s="5" t="str">
        <f aca="false">[1]Base_Jugadores!B1772</f>
        <v>Robin Koch</v>
      </c>
      <c r="C1772" s="5" t="str">
        <f aca="false">IFERROR(
   _xlfn.XLOOKUP(VALUE(A1772),[1]Fichajes_Realizados!A$2:A$50000,[1]Fichajes_Realizados!D$2:D$50000,,0,-1),
   _xlfn.XLOOKUP(VALUE(A1772),[1]Base_Jugadores!A$2:A$50000,[1]Base_Jugadores!C$2:C$50000)
)</f>
        <v>Eintracht Fráncfort</v>
      </c>
      <c r="D1772" s="5" t="str">
        <f aca="false">[1]Base_Jugadores!D1772</f>
        <v>Alemania</v>
      </c>
      <c r="E1772" s="3"/>
      <c r="F1772" s="5" t="str">
        <f aca="false">[1]Base_Jugadores!E1772</f>
        <v>CT</v>
      </c>
      <c r="G1772" s="5" t="n">
        <f aca="false">[1]Base_Jugadores!F1772</f>
        <v>79</v>
      </c>
      <c r="H1772" s="5" t="n">
        <f aca="false">[1]Base_Jugadores!G1772</f>
        <v>29</v>
      </c>
      <c r="I1772" s="7" t="n">
        <f aca="false" t="array" ref="I1772:I1772">_xlfn.XLOOKUP(G1772,{55;56;57;58;59;60;61;62;63;64;65;66;67;68;69;70;71;72;73;74;75;76;77;78;79;80;81;82;83;84;85;86;87;88;89;90;91;92;93;94;95;96;97;98;99},{100000;130000;160000;190000;220000;250000;300000;350000;400000;450000;500000;600000;700000;800000;900000;1000000;1500000;2000000;3000000;4000000;5000000;6500000;8000000;10000000;12500000;15000000;20000000;25000000;30000000;35000000;40000000;55000000;70000000;80000000;90000000;110000000;130000000;160000000;190000000;220000000;250000000;280000000;310000000;340000000;400000000})</f>
        <v>12500000</v>
      </c>
      <c r="J1772" s="7" t="n">
        <f aca="false">I1772*S1772*T1772*U1772</f>
        <v>12600000</v>
      </c>
      <c r="K1772" s="3"/>
      <c r="L1772" s="3"/>
      <c r="M1772" s="3"/>
      <c r="N1772" s="9" t="n">
        <v>0</v>
      </c>
      <c r="O1772" s="4" t="n">
        <v>0</v>
      </c>
      <c r="P1772" s="5" t="n">
        <f aca="false">IF(COUNTIF([1]Base_Jugadores!J$2:J$500,B1772)&gt;0,1,0)</f>
        <v>0</v>
      </c>
      <c r="Q1772" s="10" t="b">
        <f aca="false">--(COUNTIFS(
   [1]Fichajes_Realizados!A$2:A$5000,A1772,
   [1]Fichajes_Realizados!G$2:G$5000,$X$3
)&gt;0)</f>
        <v>0</v>
      </c>
      <c r="R1772" s="5" t="n">
        <f aca="false">_xlfn.XLOOKUP(C1772, [1]Estado_Equipos!A$2:A$500, [1]Estado_Equipos!J$2:J$500, "")</f>
        <v>74</v>
      </c>
      <c r="S1772" s="5" t="n">
        <f aca="false">IF(H1772&lt;=16,1.45,
IF(H1772&gt;=41,0.3,
CHOOSE(ROUNDDOWN((H1772-16)/2,0)+1,
1.45,1.38,1.3,1.23,1.17,1.15,1.12,1.05,0.95,0.8,0.6,0.4,0.3)))</f>
        <v>1.12</v>
      </c>
      <c r="T1772" s="5" t="n">
        <f aca="false">CHOOSE(N1772+1,1.2,1,0.85,0.7)</f>
        <v>1.2</v>
      </c>
      <c r="U1772" s="5" t="n">
        <f aca="false">IF(F1772="PO",0.6,
IF(F1772="CT",0.75,
IF(F1772="LI",0.8,
IF(F1772="LD",0.8,
IF(F1772="MCD",0.85,
IF(F1772="MC",0.95,
IF(F1772="MO",1.05,
IF(F1772="EI",1.1,
IF(F1772="ED",1.1,
IF(F1772="SD",1.15,
IF(F1772="DC",1.2,0)))))))))))</f>
        <v>0.75</v>
      </c>
    </row>
    <row r="1773" customFormat="false" ht="16.4" hidden="false" customHeight="false" outlineLevel="0" collapsed="false">
      <c r="A1773" s="1" t="n">
        <v>1772</v>
      </c>
      <c r="B1773" s="5" t="str">
        <f aca="false">[1]Base_Jugadores!B1773</f>
        <v>Timothy Chandler</v>
      </c>
      <c r="C1773" s="5" t="str">
        <f aca="false">IFERROR(
   _xlfn.XLOOKUP(VALUE(A1773),[1]Fichajes_Realizados!A$2:A$50000,[1]Fichajes_Realizados!D$2:D$50000,,0,-1),
   _xlfn.XLOOKUP(VALUE(A1773),[1]Base_Jugadores!A$2:A$50000,[1]Base_Jugadores!C$2:C$50000)
)</f>
        <v>Eintracht Fráncfort</v>
      </c>
      <c r="D1773" s="5" t="str">
        <f aca="false">[1]Base_Jugadores!D1773</f>
        <v>Estados Unidos</v>
      </c>
      <c r="E1773" s="3"/>
      <c r="F1773" s="5" t="str">
        <f aca="false">[1]Base_Jugadores!E1773</f>
        <v>LD</v>
      </c>
      <c r="G1773" s="5" t="n">
        <f aca="false">[1]Base_Jugadores!F1773</f>
        <v>71</v>
      </c>
      <c r="H1773" s="5" t="n">
        <f aca="false">[1]Base_Jugadores!G1773</f>
        <v>35</v>
      </c>
      <c r="I1773" s="7" t="n">
        <f aca="false" t="array" ref="I1773:I1773">_xlfn.XLOOKUP(G1773,{55;56;57;58;59;60;61;62;63;64;65;66;67;68;69;70;71;72;73;74;75;76;77;78;79;80;81;82;83;84;85;86;87;88;89;90;91;92;93;94;95;96;97;98;99},{100000;130000;160000;190000;220000;250000;300000;350000;400000;450000;500000;600000;700000;800000;900000;1000000;1500000;2000000;3000000;4000000;5000000;6500000;8000000;10000000;12500000;15000000;20000000;25000000;30000000;35000000;40000000;55000000;70000000;80000000;90000000;110000000;130000000;160000000;190000000;220000000;250000000;280000000;310000000;340000000;400000000})</f>
        <v>1500000</v>
      </c>
      <c r="J1773" s="7" t="n">
        <f aca="false">I1773*S1773*T1773*U1773</f>
        <v>1152000</v>
      </c>
      <c r="K1773" s="3"/>
      <c r="L1773" s="3"/>
      <c r="M1773" s="3"/>
      <c r="N1773" s="9" t="n">
        <v>0</v>
      </c>
      <c r="O1773" s="4" t="n">
        <v>0</v>
      </c>
      <c r="P1773" s="5" t="n">
        <f aca="false">IF(COUNTIF([1]Base_Jugadores!J$2:J$500,B1773)&gt;0,1,0)</f>
        <v>0</v>
      </c>
      <c r="Q1773" s="10" t="b">
        <f aca="false">--(COUNTIFS(
   [1]Fichajes_Realizados!A$2:A$5000,A1773,
   [1]Fichajes_Realizados!G$2:G$5000,$X$3
)&gt;0)</f>
        <v>0</v>
      </c>
      <c r="R1773" s="5" t="n">
        <f aca="false">_xlfn.XLOOKUP(C1773, [1]Estado_Equipos!A$2:A$500, [1]Estado_Equipos!J$2:J$500, "")</f>
        <v>74</v>
      </c>
      <c r="S1773" s="5" t="n">
        <f aca="false">IF(H1773&lt;=16,1.45,
IF(H1773&gt;=41,0.3,
CHOOSE(ROUNDDOWN((H1773-16)/2,0)+1,
1.45,1.38,1.3,1.23,1.17,1.15,1.12,1.05,0.95,0.8,0.6,0.4,0.3)))</f>
        <v>0.8</v>
      </c>
      <c r="T1773" s="5" t="n">
        <f aca="false">CHOOSE(N1773+1,1.2,1,0.85,0.7)</f>
        <v>1.2</v>
      </c>
      <c r="U1773" s="5" t="n">
        <f aca="false">IF(F1773="PO",0.6,
IF(F1773="CT",0.75,
IF(F1773="LI",0.8,
IF(F1773="LD",0.8,
IF(F1773="MCD",0.85,
IF(F1773="MC",0.95,
IF(F1773="MO",1.05,
IF(F1773="EI",1.1,
IF(F1773="ED",1.1,
IF(F1773="SD",1.15,
IF(F1773="DC",1.2,0)))))))))))</f>
        <v>0.8</v>
      </c>
    </row>
    <row r="1774" customFormat="false" ht="16.4" hidden="false" customHeight="false" outlineLevel="0" collapsed="false">
      <c r="A1774" s="1" t="n">
        <v>1773</v>
      </c>
      <c r="B1774" s="5" t="str">
        <f aca="false">[1]Base_Jugadores!B1774</f>
        <v>Anthony Jung</v>
      </c>
      <c r="C1774" s="5" t="str">
        <f aca="false">IFERROR(
   _xlfn.XLOOKUP(VALUE(A1774),[1]Fichajes_Realizados!A$2:A$50000,[1]Fichajes_Realizados!D$2:D$50000,,0,-1),
   _xlfn.XLOOKUP(VALUE(A1774),[1]Base_Jugadores!A$2:A$50000,[1]Base_Jugadores!C$2:C$50000)
)</f>
        <v>SC Friburgo</v>
      </c>
      <c r="D1774" s="5" t="str">
        <f aca="false">[1]Base_Jugadores!D1774</f>
        <v>Alemania</v>
      </c>
      <c r="E1774" s="3"/>
      <c r="F1774" s="5" t="str">
        <f aca="false">[1]Base_Jugadores!E1774</f>
        <v>CT</v>
      </c>
      <c r="G1774" s="5" t="n">
        <f aca="false">[1]Base_Jugadores!F1774</f>
        <v>70</v>
      </c>
      <c r="H1774" s="5" t="n">
        <f aca="false">[1]Base_Jugadores!G1774</f>
        <v>34</v>
      </c>
      <c r="I1774" s="7" t="n">
        <f aca="false" t="array" ref="I1774:I1774">_xlfn.XLOOKUP(G1774,{55;56;57;58;59;60;61;62;63;64;65;66;67;68;69;70;71;72;73;74;75;76;77;78;79;80;81;82;83;84;85;86;87;88;89;90;91;92;93;94;95;96;97;98;99},{100000;130000;160000;190000;220000;250000;300000;350000;400000;450000;500000;600000;700000;800000;900000;1000000;1500000;2000000;3000000;4000000;5000000;6500000;8000000;10000000;12500000;15000000;20000000;25000000;30000000;35000000;40000000;55000000;70000000;80000000;90000000;110000000;130000000;160000000;190000000;220000000;250000000;280000000;310000000;340000000;400000000})</f>
        <v>1000000</v>
      </c>
      <c r="J1774" s="7" t="n">
        <f aca="false">I1774*S1774*T1774*U1774</f>
        <v>720000</v>
      </c>
      <c r="K1774" s="3"/>
      <c r="L1774" s="3"/>
      <c r="M1774" s="3"/>
      <c r="N1774" s="9" t="n">
        <v>0</v>
      </c>
      <c r="O1774" s="4" t="n">
        <v>0</v>
      </c>
      <c r="P1774" s="5" t="n">
        <f aca="false">IF(COUNTIF([1]Base_Jugadores!J$2:J$500,B1774)&gt;0,1,0)</f>
        <v>0</v>
      </c>
      <c r="Q1774" s="10" t="b">
        <f aca="false">--(COUNTIFS(
   [1]Fichajes_Realizados!A$2:A$5000,A1774,
   [1]Fichajes_Realizados!G$2:G$5000,$X$3
)&gt;0)</f>
        <v>0</v>
      </c>
      <c r="R1774" s="5" t="n">
        <f aca="false">_xlfn.XLOOKUP(C1774, [1]Estado_Equipos!A$2:A$500, [1]Estado_Equipos!J$2:J$500, "")</f>
        <v>73</v>
      </c>
      <c r="S1774" s="5" t="n">
        <f aca="false">IF(H1774&lt;=16,1.45,
IF(H1774&gt;=41,0.3,
CHOOSE(ROUNDDOWN((H1774-16)/2,0)+1,
1.45,1.38,1.3,1.23,1.17,1.15,1.12,1.05,0.95,0.8,0.6,0.4,0.3)))</f>
        <v>0.8</v>
      </c>
      <c r="T1774" s="5" t="n">
        <f aca="false">CHOOSE(N1774+1,1.2,1,0.85,0.7)</f>
        <v>1.2</v>
      </c>
      <c r="U1774" s="5" t="n">
        <f aca="false">IF(F1774="PO",0.6,
IF(F1774="CT",0.75,
IF(F1774="LI",0.8,
IF(F1774="LD",0.8,
IF(F1774="MCD",0.85,
IF(F1774="MC",0.95,
IF(F1774="MO",1.05,
IF(F1774="EI",1.1,
IF(F1774="ED",1.1,
IF(F1774="SD",1.15,
IF(F1774="DC",1.2,0)))))))))))</f>
        <v>0.75</v>
      </c>
    </row>
    <row r="1775" customFormat="false" ht="16.4" hidden="false" customHeight="false" outlineLevel="0" collapsed="false">
      <c r="A1775" s="1" t="n">
        <v>1774</v>
      </c>
      <c r="B1775" s="5" t="str">
        <f aca="false">[1]Base_Jugadores!B1775</f>
        <v>Bruno Ogbus</v>
      </c>
      <c r="C1775" s="5" t="str">
        <f aca="false">IFERROR(
   _xlfn.XLOOKUP(VALUE(A1775),[1]Fichajes_Realizados!A$2:A$50000,[1]Fichajes_Realizados!D$2:D$50000,,0,-1),
   _xlfn.XLOOKUP(VALUE(A1775),[1]Base_Jugadores!A$2:A$50000,[1]Base_Jugadores!C$2:C$50000)
)</f>
        <v>SC Friburgo</v>
      </c>
      <c r="D1775" s="5" t="str">
        <f aca="false">[1]Base_Jugadores!D1775</f>
        <v>Suiza</v>
      </c>
      <c r="E1775" s="3"/>
      <c r="F1775" s="5" t="str">
        <f aca="false">[1]Base_Jugadores!E1775</f>
        <v>CT</v>
      </c>
      <c r="G1775" s="5" t="n">
        <f aca="false">[1]Base_Jugadores!F1775</f>
        <v>59</v>
      </c>
      <c r="H1775" s="5" t="n">
        <f aca="false">[1]Base_Jugadores!G1775</f>
        <v>20</v>
      </c>
      <c r="I1775" s="7" t="n">
        <f aca="false" t="array" ref="I1775:I1775">_xlfn.XLOOKUP(G1775,{55;56;57;58;59;60;61;62;63;64;65;66;67;68;69;70;71;72;73;74;75;76;77;78;79;80;81;82;83;84;85;86;87;88;89;90;91;92;93;94;95;96;97;98;99},{100000;130000;160000;190000;220000;250000;300000;350000;400000;450000;500000;600000;700000;800000;900000;1000000;1500000;2000000;3000000;4000000;5000000;6500000;8000000;10000000;12500000;15000000;20000000;25000000;30000000;35000000;40000000;55000000;70000000;80000000;90000000;110000000;130000000;160000000;190000000;220000000;250000000;280000000;310000000;340000000;400000000})</f>
        <v>220000</v>
      </c>
      <c r="J1775" s="7" t="n">
        <f aca="false">I1775*S1775*T1775*U1775</f>
        <v>257400</v>
      </c>
      <c r="K1775" s="3"/>
      <c r="L1775" s="3"/>
      <c r="M1775" s="3"/>
      <c r="N1775" s="9" t="n">
        <v>0</v>
      </c>
      <c r="O1775" s="4" t="n">
        <v>0</v>
      </c>
      <c r="P1775" s="5" t="n">
        <f aca="false">IF(COUNTIF([1]Base_Jugadores!J$2:J$500,B1775)&gt;0,1,0)</f>
        <v>0</v>
      </c>
      <c r="Q1775" s="10" t="b">
        <f aca="false">--(COUNTIFS(
   [1]Fichajes_Realizados!A$2:A$5000,A1775,
   [1]Fichajes_Realizados!G$2:G$5000,$X$3
)&gt;0)</f>
        <v>0</v>
      </c>
      <c r="R1775" s="5" t="n">
        <f aca="false">_xlfn.XLOOKUP(C1775, [1]Estado_Equipos!A$2:A$500, [1]Estado_Equipos!J$2:J$500, "")</f>
        <v>73</v>
      </c>
      <c r="S1775" s="5" t="n">
        <f aca="false">IF(H1775&lt;=16,1.45,
IF(H1775&gt;=41,0.3,
CHOOSE(ROUNDDOWN((H1775-16)/2,0)+1,
1.45,1.38,1.3,1.23,1.17,1.15,1.12,1.05,0.95,0.8,0.6,0.4,0.3)))</f>
        <v>1.3</v>
      </c>
      <c r="T1775" s="5" t="n">
        <f aca="false">CHOOSE(N1775+1,1.2,1,0.85,0.7)</f>
        <v>1.2</v>
      </c>
      <c r="U1775" s="5" t="n">
        <f aca="false">IF(F1775="PO",0.6,
IF(F1775="CT",0.75,
IF(F1775="LI",0.8,
IF(F1775="LD",0.8,
IF(F1775="MCD",0.85,
IF(F1775="MC",0.95,
IF(F1775="MO",1.05,
IF(F1775="EI",1.1,
IF(F1775="ED",1.1,
IF(F1775="SD",1.15,
IF(F1775="DC",1.2,0)))))))))))</f>
        <v>0.75</v>
      </c>
    </row>
    <row r="1776" customFormat="false" ht="16.4" hidden="false" customHeight="false" outlineLevel="0" collapsed="false">
      <c r="A1776" s="1" t="n">
        <v>1775</v>
      </c>
      <c r="B1776" s="5" t="str">
        <f aca="false">[1]Base_Jugadores!B1776</f>
        <v>Christian Günter</v>
      </c>
      <c r="C1776" s="5" t="str">
        <f aca="false">IFERROR(
   _xlfn.XLOOKUP(VALUE(A1776),[1]Fichajes_Realizados!A$2:A$50000,[1]Fichajes_Realizados!D$2:D$50000,,0,-1),
   _xlfn.XLOOKUP(VALUE(A1776),[1]Base_Jugadores!A$2:A$50000,[1]Base_Jugadores!C$2:C$50000)
)</f>
        <v>SC Friburgo</v>
      </c>
      <c r="D1776" s="5" t="str">
        <f aca="false">[1]Base_Jugadores!D1776</f>
        <v>Alemania</v>
      </c>
      <c r="E1776" s="3"/>
      <c r="F1776" s="5" t="str">
        <f aca="false">[1]Base_Jugadores!E1776</f>
        <v>LI</v>
      </c>
      <c r="G1776" s="5" t="n">
        <f aca="false">[1]Base_Jugadores!F1776</f>
        <v>79</v>
      </c>
      <c r="H1776" s="5" t="n">
        <f aca="false">[1]Base_Jugadores!G1776</f>
        <v>32</v>
      </c>
      <c r="I1776" s="7" t="n">
        <f aca="false" t="array" ref="I1776:I1776">_xlfn.XLOOKUP(G1776,{55;56;57;58;59;60;61;62;63;64;65;66;67;68;69;70;71;72;73;74;75;76;77;78;79;80;81;82;83;84;85;86;87;88;89;90;91;92;93;94;95;96;97;98;99},{100000;130000;160000;190000;220000;250000;300000;350000;400000;450000;500000;600000;700000;800000;900000;1000000;1500000;2000000;3000000;4000000;5000000;6500000;8000000;10000000;12500000;15000000;20000000;25000000;30000000;35000000;40000000;55000000;70000000;80000000;90000000;110000000;130000000;160000000;190000000;220000000;250000000;280000000;310000000;340000000;400000000})</f>
        <v>12500000</v>
      </c>
      <c r="J1776" s="7" t="n">
        <f aca="false">I1776*S1776*T1776*U1776</f>
        <v>11400000</v>
      </c>
      <c r="K1776" s="3"/>
      <c r="L1776" s="3"/>
      <c r="M1776" s="3"/>
      <c r="N1776" s="9" t="n">
        <v>0</v>
      </c>
      <c r="O1776" s="4" t="n">
        <v>0</v>
      </c>
      <c r="P1776" s="5" t="n">
        <f aca="false">IF(COUNTIF([1]Base_Jugadores!J$2:J$500,B1776)&gt;0,1,0)</f>
        <v>0</v>
      </c>
      <c r="Q1776" s="10" t="b">
        <f aca="false">--(COUNTIFS(
   [1]Fichajes_Realizados!A$2:A$5000,A1776,
   [1]Fichajes_Realizados!G$2:G$5000,$X$3
)&gt;0)</f>
        <v>0</v>
      </c>
      <c r="R1776" s="5" t="n">
        <f aca="false">_xlfn.XLOOKUP(C1776, [1]Estado_Equipos!A$2:A$500, [1]Estado_Equipos!J$2:J$500, "")</f>
        <v>73</v>
      </c>
      <c r="S1776" s="5" t="n">
        <f aca="false">IF(H1776&lt;=16,1.45,
IF(H1776&gt;=41,0.3,
CHOOSE(ROUNDDOWN((H1776-16)/2,0)+1,
1.45,1.38,1.3,1.23,1.17,1.15,1.12,1.05,0.95,0.8,0.6,0.4,0.3)))</f>
        <v>0.95</v>
      </c>
      <c r="T1776" s="5" t="n">
        <f aca="false">CHOOSE(N1776+1,1.2,1,0.85,0.7)</f>
        <v>1.2</v>
      </c>
      <c r="U1776" s="5" t="n">
        <f aca="false">IF(F1776="PO",0.6,
IF(F1776="CT",0.75,
IF(F1776="LI",0.8,
IF(F1776="LD",0.8,
IF(F1776="MCD",0.85,
IF(F1776="MC",0.95,
IF(F1776="MO",1.05,
IF(F1776="EI",1.1,
IF(F1776="ED",1.1,
IF(F1776="SD",1.15,
IF(F1776="DC",1.2,0)))))))))))</f>
        <v>0.8</v>
      </c>
    </row>
    <row r="1777" customFormat="false" ht="16.4" hidden="false" customHeight="false" outlineLevel="0" collapsed="false">
      <c r="A1777" s="1" t="n">
        <v>1776</v>
      </c>
      <c r="B1777" s="5" t="str">
        <f aca="false">[1]Base_Jugadores!B1777</f>
        <v>Cyriaque Irié</v>
      </c>
      <c r="C1777" s="5" t="str">
        <f aca="false">IFERROR(
   _xlfn.XLOOKUP(VALUE(A1777),[1]Fichajes_Realizados!A$2:A$50000,[1]Fichajes_Realizados!D$2:D$50000,,0,-1),
   _xlfn.XLOOKUP(VALUE(A1777),[1]Base_Jugadores!A$2:A$50000,[1]Base_Jugadores!C$2:C$50000)
)</f>
        <v>SC Friburgo</v>
      </c>
      <c r="D1777" s="5" t="str">
        <f aca="false">[1]Base_Jugadores!D1777</f>
        <v>Burkina Faso</v>
      </c>
      <c r="E1777" s="3"/>
      <c r="F1777" s="5" t="str">
        <f aca="false">[1]Base_Jugadores!E1777</f>
        <v>ED</v>
      </c>
      <c r="G1777" s="5" t="n">
        <f aca="false">[1]Base_Jugadores!F1777</f>
        <v>71</v>
      </c>
      <c r="H1777" s="5" t="n">
        <f aca="false">[1]Base_Jugadores!G1777</f>
        <v>20</v>
      </c>
      <c r="I1777" s="7" t="n">
        <f aca="false" t="array" ref="I1777:I1777">_xlfn.XLOOKUP(G1777,{55;56;57;58;59;60;61;62;63;64;65;66;67;68;69;70;71;72;73;74;75;76;77;78;79;80;81;82;83;84;85;86;87;88;89;90;91;92;93;94;95;96;97;98;99},{100000;130000;160000;190000;220000;250000;300000;350000;400000;450000;500000;600000;700000;800000;900000;1000000;1500000;2000000;3000000;4000000;5000000;6500000;8000000;10000000;12500000;15000000;20000000;25000000;30000000;35000000;40000000;55000000;70000000;80000000;90000000;110000000;130000000;160000000;190000000;220000000;250000000;280000000;310000000;340000000;400000000})</f>
        <v>1500000</v>
      </c>
      <c r="J1777" s="7" t="n">
        <f aca="false">I1777*S1777*T1777*U1777</f>
        <v>2574000</v>
      </c>
      <c r="K1777" s="3"/>
      <c r="L1777" s="3"/>
      <c r="M1777" s="3"/>
      <c r="N1777" s="9" t="n">
        <v>0</v>
      </c>
      <c r="O1777" s="4" t="n">
        <v>0</v>
      </c>
      <c r="P1777" s="5" t="n">
        <f aca="false">IF(COUNTIF([1]Base_Jugadores!J$2:J$500,B1777)&gt;0,1,0)</f>
        <v>0</v>
      </c>
      <c r="Q1777" s="10" t="b">
        <f aca="false">--(COUNTIFS(
   [1]Fichajes_Realizados!A$2:A$5000,A1777,
   [1]Fichajes_Realizados!G$2:G$5000,$X$3
)&gt;0)</f>
        <v>0</v>
      </c>
      <c r="R1777" s="5" t="n">
        <f aca="false">_xlfn.XLOOKUP(C1777, [1]Estado_Equipos!A$2:A$500, [1]Estado_Equipos!J$2:J$500, "")</f>
        <v>73</v>
      </c>
      <c r="S1777" s="5" t="n">
        <f aca="false">IF(H1777&lt;=16,1.45,
IF(H1777&gt;=41,0.3,
CHOOSE(ROUNDDOWN((H1777-16)/2,0)+1,
1.45,1.38,1.3,1.23,1.17,1.15,1.12,1.05,0.95,0.8,0.6,0.4,0.3)))</f>
        <v>1.3</v>
      </c>
      <c r="T1777" s="5" t="n">
        <f aca="false">CHOOSE(N1777+1,1.2,1,0.85,0.7)</f>
        <v>1.2</v>
      </c>
      <c r="U1777" s="5" t="n">
        <f aca="false">IF(F1777="PO",0.6,
IF(F1777="CT",0.75,
IF(F1777="LI",0.8,
IF(F1777="LD",0.8,
IF(F1777="MCD",0.85,
IF(F1777="MC",0.95,
IF(F1777="MO",1.05,
IF(F1777="EI",1.1,
IF(F1777="ED",1.1,
IF(F1777="SD",1.15,
IF(F1777="DC",1.2,0)))))))))))</f>
        <v>1.1</v>
      </c>
    </row>
    <row r="1778" customFormat="false" ht="16.4" hidden="false" customHeight="false" outlineLevel="0" collapsed="false">
      <c r="A1778" s="1" t="n">
        <v>1777</v>
      </c>
      <c r="B1778" s="5" t="str">
        <f aca="false">[1]Base_Jugadores!B1778</f>
        <v>Daniel-Kofi Kyereh</v>
      </c>
      <c r="C1778" s="5" t="str">
        <f aca="false">IFERROR(
   _xlfn.XLOOKUP(VALUE(A1778),[1]Fichajes_Realizados!A$2:A$50000,[1]Fichajes_Realizados!D$2:D$50000,,0,-1),
   _xlfn.XLOOKUP(VALUE(A1778),[1]Base_Jugadores!A$2:A$50000,[1]Base_Jugadores!C$2:C$50000)
)</f>
        <v>SC Friburgo</v>
      </c>
      <c r="D1778" s="5" t="str">
        <f aca="false">[1]Base_Jugadores!D1778</f>
        <v>Ghana</v>
      </c>
      <c r="E1778" s="3"/>
      <c r="F1778" s="5" t="str">
        <f aca="false">[1]Base_Jugadores!E1778</f>
        <v>MO</v>
      </c>
      <c r="G1778" s="5" t="n">
        <f aca="false">[1]Base_Jugadores!F1778</f>
        <v>74</v>
      </c>
      <c r="H1778" s="5" t="n">
        <f aca="false">[1]Base_Jugadores!G1778</f>
        <v>29</v>
      </c>
      <c r="I1778" s="7" t="n">
        <f aca="false" t="array" ref="I1778:I1778">_xlfn.XLOOKUP(G1778,{55;56;57;58;59;60;61;62;63;64;65;66;67;68;69;70;71;72;73;74;75;76;77;78;79;80;81;82;83;84;85;86;87;88;89;90;91;92;93;94;95;96;97;98;99},{100000;130000;160000;190000;220000;250000;300000;350000;400000;450000;500000;600000;700000;800000;900000;1000000;1500000;2000000;3000000;4000000;5000000;6500000;8000000;10000000;12500000;15000000;20000000;25000000;30000000;35000000;40000000;55000000;70000000;80000000;90000000;110000000;130000000;160000000;190000000;220000000;250000000;280000000;310000000;340000000;400000000})</f>
        <v>4000000</v>
      </c>
      <c r="J1778" s="7" t="n">
        <f aca="false">I1778*S1778*T1778*U1778</f>
        <v>5644800</v>
      </c>
      <c r="K1778" s="3"/>
      <c r="L1778" s="3"/>
      <c r="M1778" s="3"/>
      <c r="N1778" s="9" t="n">
        <v>0</v>
      </c>
      <c r="O1778" s="4" t="n">
        <v>0</v>
      </c>
      <c r="P1778" s="5" t="n">
        <f aca="false">IF(COUNTIF([1]Base_Jugadores!J$2:J$500,B1778)&gt;0,1,0)</f>
        <v>0</v>
      </c>
      <c r="Q1778" s="10" t="b">
        <f aca="false">--(COUNTIFS(
   [1]Fichajes_Realizados!A$2:A$5000,A1778,
   [1]Fichajes_Realizados!G$2:G$5000,$X$3
)&gt;0)</f>
        <v>0</v>
      </c>
      <c r="R1778" s="5" t="n">
        <f aca="false">_xlfn.XLOOKUP(C1778, [1]Estado_Equipos!A$2:A$500, [1]Estado_Equipos!J$2:J$500, "")</f>
        <v>73</v>
      </c>
      <c r="S1778" s="5" t="n">
        <f aca="false">IF(H1778&lt;=16,1.45,
IF(H1778&gt;=41,0.3,
CHOOSE(ROUNDDOWN((H1778-16)/2,0)+1,
1.45,1.38,1.3,1.23,1.17,1.15,1.12,1.05,0.95,0.8,0.6,0.4,0.3)))</f>
        <v>1.12</v>
      </c>
      <c r="T1778" s="5" t="n">
        <f aca="false">CHOOSE(N1778+1,1.2,1,0.85,0.7)</f>
        <v>1.2</v>
      </c>
      <c r="U1778" s="5" t="n">
        <f aca="false">IF(F1778="PO",0.6,
IF(F1778="CT",0.75,
IF(F1778="LI",0.8,
IF(F1778="LD",0.8,
IF(F1778="MCD",0.85,
IF(F1778="MC",0.95,
IF(F1778="MO",1.05,
IF(F1778="EI",1.1,
IF(F1778="ED",1.1,
IF(F1778="SD",1.15,
IF(F1778="DC",1.2,0)))))))))))</f>
        <v>1.05</v>
      </c>
    </row>
    <row r="1779" customFormat="false" ht="16.4" hidden="false" customHeight="false" outlineLevel="0" collapsed="false">
      <c r="A1779" s="1" t="n">
        <v>1778</v>
      </c>
      <c r="B1779" s="5" t="str">
        <f aca="false">[1]Base_Jugadores!B1779</f>
        <v>Eren Dinkçi</v>
      </c>
      <c r="C1779" s="5" t="str">
        <f aca="false">IFERROR(
   _xlfn.XLOOKUP(VALUE(A1779),[1]Fichajes_Realizados!A$2:A$50000,[1]Fichajes_Realizados!D$2:D$50000,,0,-1),
   _xlfn.XLOOKUP(VALUE(A1779),[1]Base_Jugadores!A$2:A$50000,[1]Base_Jugadores!C$2:C$50000)
)</f>
        <v>SC Friburgo</v>
      </c>
      <c r="D1779" s="5" t="str">
        <f aca="false">[1]Base_Jugadores!D1779</f>
        <v>Turquía</v>
      </c>
      <c r="E1779" s="3"/>
      <c r="F1779" s="5" t="str">
        <f aca="false">[1]Base_Jugadores!E1779</f>
        <v>ED</v>
      </c>
      <c r="G1779" s="5" t="n">
        <f aca="false">[1]Base_Jugadores!F1779</f>
        <v>77</v>
      </c>
      <c r="H1779" s="5" t="n">
        <f aca="false">[1]Base_Jugadores!G1779</f>
        <v>24</v>
      </c>
      <c r="I1779" s="7" t="n">
        <f aca="false" t="array" ref="I1779:I1779">_xlfn.XLOOKUP(G1779,{55;56;57;58;59;60;61;62;63;64;65;66;67;68;69;70;71;72;73;74;75;76;77;78;79;80;81;82;83;84;85;86;87;88;89;90;91;92;93;94;95;96;97;98;99},{100000;130000;160000;190000;220000;250000;300000;350000;400000;450000;500000;600000;700000;800000;900000;1000000;1500000;2000000;3000000;4000000;5000000;6500000;8000000;10000000;12500000;15000000;20000000;25000000;30000000;35000000;40000000;55000000;70000000;80000000;90000000;110000000;130000000;160000000;190000000;220000000;250000000;280000000;310000000;340000000;400000000})</f>
        <v>8000000</v>
      </c>
      <c r="J1779" s="7" t="n">
        <f aca="false">I1779*S1779*T1779*U1779</f>
        <v>12355200</v>
      </c>
      <c r="K1779" s="3"/>
      <c r="L1779" s="3"/>
      <c r="M1779" s="3"/>
      <c r="N1779" s="9" t="n">
        <v>0</v>
      </c>
      <c r="O1779" s="4" t="n">
        <v>0</v>
      </c>
      <c r="P1779" s="5" t="n">
        <f aca="false">IF(COUNTIF([1]Base_Jugadores!J$2:J$500,B1779)&gt;0,1,0)</f>
        <v>0</v>
      </c>
      <c r="Q1779" s="10" t="b">
        <f aca="false">--(COUNTIFS(
   [1]Fichajes_Realizados!A$2:A$5000,A1779,
   [1]Fichajes_Realizados!G$2:G$5000,$X$3
)&gt;0)</f>
        <v>0</v>
      </c>
      <c r="R1779" s="5" t="n">
        <f aca="false">_xlfn.XLOOKUP(C1779, [1]Estado_Equipos!A$2:A$500, [1]Estado_Equipos!J$2:J$500, "")</f>
        <v>73</v>
      </c>
      <c r="S1779" s="5" t="n">
        <f aca="false">IF(H1779&lt;=16,1.45,
IF(H1779&gt;=41,0.3,
CHOOSE(ROUNDDOWN((H1779-16)/2,0)+1,
1.45,1.38,1.3,1.23,1.17,1.15,1.12,1.05,0.95,0.8,0.6,0.4,0.3)))</f>
        <v>1.17</v>
      </c>
      <c r="T1779" s="5" t="n">
        <f aca="false">CHOOSE(N1779+1,1.2,1,0.85,0.7)</f>
        <v>1.2</v>
      </c>
      <c r="U1779" s="5" t="n">
        <f aca="false">IF(F1779="PO",0.6,
IF(F1779="CT",0.75,
IF(F1779="LI",0.8,
IF(F1779="LD",0.8,
IF(F1779="MCD",0.85,
IF(F1779="MC",0.95,
IF(F1779="MO",1.05,
IF(F1779="EI",1.1,
IF(F1779="ED",1.1,
IF(F1779="SD",1.15,
IF(F1779="DC",1.2,0)))))))))))</f>
        <v>1.1</v>
      </c>
    </row>
    <row r="1780" customFormat="false" ht="16.4" hidden="false" customHeight="false" outlineLevel="0" collapsed="false">
      <c r="A1780" s="1" t="n">
        <v>1779</v>
      </c>
      <c r="B1780" s="5" t="str">
        <f aca="false">[1]Base_Jugadores!B1780</f>
        <v>Florian Müller</v>
      </c>
      <c r="C1780" s="5" t="str">
        <f aca="false">IFERROR(
   _xlfn.XLOOKUP(VALUE(A1780),[1]Fichajes_Realizados!A$2:A$50000,[1]Fichajes_Realizados!D$2:D$50000,,0,-1),
   _xlfn.XLOOKUP(VALUE(A1780),[1]Base_Jugadores!A$2:A$50000,[1]Base_Jugadores!C$2:C$50000)
)</f>
        <v>SC Friburgo</v>
      </c>
      <c r="D1780" s="5" t="str">
        <f aca="false">[1]Base_Jugadores!D1780</f>
        <v>Alemania</v>
      </c>
      <c r="E1780" s="3"/>
      <c r="F1780" s="5" t="str">
        <f aca="false">[1]Base_Jugadores!E1780</f>
        <v>PO</v>
      </c>
      <c r="G1780" s="5" t="n">
        <f aca="false">[1]Base_Jugadores!F1780</f>
        <v>72</v>
      </c>
      <c r="H1780" s="5" t="n">
        <f aca="false">[1]Base_Jugadores!G1780</f>
        <v>28</v>
      </c>
      <c r="I1780" s="7" t="n">
        <f aca="false" t="array" ref="I1780:I1780">_xlfn.XLOOKUP(G1780,{55;56;57;58;59;60;61;62;63;64;65;66;67;68;69;70;71;72;73;74;75;76;77;78;79;80;81;82;83;84;85;86;87;88;89;90;91;92;93;94;95;96;97;98;99},{100000;130000;160000;190000;220000;250000;300000;350000;400000;450000;500000;600000;700000;800000;900000;1000000;1500000;2000000;3000000;4000000;5000000;6500000;8000000;10000000;12500000;15000000;20000000;25000000;30000000;35000000;40000000;55000000;70000000;80000000;90000000;110000000;130000000;160000000;190000000;220000000;250000000;280000000;310000000;340000000;400000000})</f>
        <v>2000000</v>
      </c>
      <c r="J1780" s="7" t="n">
        <f aca="false">I1780*S1780*T1780*U1780</f>
        <v>1612800</v>
      </c>
      <c r="K1780" s="3"/>
      <c r="L1780" s="3"/>
      <c r="M1780" s="3"/>
      <c r="N1780" s="9" t="n">
        <v>0</v>
      </c>
      <c r="O1780" s="4" t="n">
        <v>0</v>
      </c>
      <c r="P1780" s="5" t="n">
        <f aca="false">IF(COUNTIF([1]Base_Jugadores!J$2:J$500,B1780)&gt;0,1,0)</f>
        <v>0</v>
      </c>
      <c r="Q1780" s="10" t="b">
        <f aca="false">--(COUNTIFS(
   [1]Fichajes_Realizados!A$2:A$5000,A1780,
   [1]Fichajes_Realizados!G$2:G$5000,$X$3
)&gt;0)</f>
        <v>0</v>
      </c>
      <c r="R1780" s="5" t="n">
        <f aca="false">_xlfn.XLOOKUP(C1780, [1]Estado_Equipos!A$2:A$500, [1]Estado_Equipos!J$2:J$500, "")</f>
        <v>73</v>
      </c>
      <c r="S1780" s="5" t="n">
        <f aca="false">IF(H1780&lt;=16,1.45,
IF(H1780&gt;=41,0.3,
CHOOSE(ROUNDDOWN((H1780-16)/2,0)+1,
1.45,1.38,1.3,1.23,1.17,1.15,1.12,1.05,0.95,0.8,0.6,0.4,0.3)))</f>
        <v>1.12</v>
      </c>
      <c r="T1780" s="5" t="n">
        <f aca="false">CHOOSE(N1780+1,1.2,1,0.85,0.7)</f>
        <v>1.2</v>
      </c>
      <c r="U1780" s="5" t="n">
        <f aca="false">IF(F1780="PO",0.6,
IF(F1780="CT",0.75,
IF(F1780="LI",0.8,
IF(F1780="LD",0.8,
IF(F1780="MCD",0.85,
IF(F1780="MC",0.95,
IF(F1780="MO",1.05,
IF(F1780="EI",1.1,
IF(F1780="ED",1.1,
IF(F1780="SD",1.15,
IF(F1780="DC",1.2,0)))))))))))</f>
        <v>0.6</v>
      </c>
    </row>
    <row r="1781" customFormat="false" ht="16.4" hidden="false" customHeight="false" outlineLevel="0" collapsed="false">
      <c r="A1781" s="1" t="n">
        <v>1780</v>
      </c>
      <c r="B1781" s="5" t="str">
        <f aca="false">[1]Base_Jugadores!B1781</f>
        <v>Igor Matanovic</v>
      </c>
      <c r="C1781" s="5" t="str">
        <f aca="false">IFERROR(
   _xlfn.XLOOKUP(VALUE(A1781),[1]Fichajes_Realizados!A$2:A$50000,[1]Fichajes_Realizados!D$2:D$50000,,0,-1),
   _xlfn.XLOOKUP(VALUE(A1781),[1]Base_Jugadores!A$2:A$50000,[1]Base_Jugadores!C$2:C$50000)
)</f>
        <v>SC Friburgo</v>
      </c>
      <c r="D1781" s="5" t="str">
        <f aca="false">[1]Base_Jugadores!D1781</f>
        <v>Croacia</v>
      </c>
      <c r="E1781" s="3"/>
      <c r="F1781" s="5" t="str">
        <f aca="false">[1]Base_Jugadores!E1781</f>
        <v>DC</v>
      </c>
      <c r="G1781" s="5" t="n">
        <f aca="false">[1]Base_Jugadores!F1781</f>
        <v>72</v>
      </c>
      <c r="H1781" s="5" t="n">
        <f aca="false">[1]Base_Jugadores!G1781</f>
        <v>22</v>
      </c>
      <c r="I1781" s="7" t="n">
        <f aca="false" t="array" ref="I1781:I1781">_xlfn.XLOOKUP(G1781,{55;56;57;58;59;60;61;62;63;64;65;66;67;68;69;70;71;72;73;74;75;76;77;78;79;80;81;82;83;84;85;86;87;88;89;90;91;92;93;94;95;96;97;98;99},{100000;130000;160000;190000;220000;250000;300000;350000;400000;450000;500000;600000;700000;800000;900000;1000000;1500000;2000000;3000000;4000000;5000000;6500000;8000000;10000000;12500000;15000000;20000000;25000000;30000000;35000000;40000000;55000000;70000000;80000000;90000000;110000000;130000000;160000000;190000000;220000000;250000000;280000000;310000000;340000000;400000000})</f>
        <v>2000000</v>
      </c>
      <c r="J1781" s="7" t="n">
        <f aca="false">I1781*S1781*T1781*U1781</f>
        <v>3542400</v>
      </c>
      <c r="K1781" s="3"/>
      <c r="L1781" s="3"/>
      <c r="M1781" s="3"/>
      <c r="N1781" s="9" t="n">
        <v>0</v>
      </c>
      <c r="O1781" s="4" t="n">
        <v>0</v>
      </c>
      <c r="P1781" s="5" t="n">
        <f aca="false">IF(COUNTIF([1]Base_Jugadores!J$2:J$500,B1781)&gt;0,1,0)</f>
        <v>0</v>
      </c>
      <c r="Q1781" s="10" t="b">
        <f aca="false">--(COUNTIFS(
   [1]Fichajes_Realizados!A$2:A$5000,A1781,
   [1]Fichajes_Realizados!G$2:G$5000,$X$3
)&gt;0)</f>
        <v>0</v>
      </c>
      <c r="R1781" s="5" t="n">
        <f aca="false">_xlfn.XLOOKUP(C1781, [1]Estado_Equipos!A$2:A$500, [1]Estado_Equipos!J$2:J$500, "")</f>
        <v>73</v>
      </c>
      <c r="S1781" s="5" t="n">
        <f aca="false">IF(H1781&lt;=16,1.45,
IF(H1781&gt;=41,0.3,
CHOOSE(ROUNDDOWN((H1781-16)/2,0)+1,
1.45,1.38,1.3,1.23,1.17,1.15,1.12,1.05,0.95,0.8,0.6,0.4,0.3)))</f>
        <v>1.23</v>
      </c>
      <c r="T1781" s="5" t="n">
        <f aca="false">CHOOSE(N1781+1,1.2,1,0.85,0.7)</f>
        <v>1.2</v>
      </c>
      <c r="U1781" s="5" t="n">
        <f aca="false">IF(F1781="PO",0.6,
IF(F1781="CT",0.75,
IF(F1781="LI",0.8,
IF(F1781="LD",0.8,
IF(F1781="MCD",0.85,
IF(F1781="MC",0.95,
IF(F1781="MO",1.05,
IF(F1781="EI",1.1,
IF(F1781="ED",1.1,
IF(F1781="SD",1.15,
IF(F1781="DC",1.2,0)))))))))))</f>
        <v>1.2</v>
      </c>
    </row>
    <row r="1782" customFormat="false" ht="16.4" hidden="false" customHeight="false" outlineLevel="0" collapsed="false">
      <c r="A1782" s="1" t="n">
        <v>1781</v>
      </c>
      <c r="B1782" s="5" t="str">
        <f aca="false">[1]Base_Jugadores!B1782</f>
        <v>Jannik Huth</v>
      </c>
      <c r="C1782" s="5" t="str">
        <f aca="false">IFERROR(
   _xlfn.XLOOKUP(VALUE(A1782),[1]Fichajes_Realizados!A$2:A$50000,[1]Fichajes_Realizados!D$2:D$50000,,0,-1),
   _xlfn.XLOOKUP(VALUE(A1782),[1]Base_Jugadores!A$2:A$50000,[1]Base_Jugadores!C$2:C$50000)
)</f>
        <v>SC Friburgo</v>
      </c>
      <c r="D1782" s="5" t="str">
        <f aca="false">[1]Base_Jugadores!D1782</f>
        <v>Alemania</v>
      </c>
      <c r="E1782" s="3"/>
      <c r="F1782" s="5" t="str">
        <f aca="false">[1]Base_Jugadores!E1782</f>
        <v>PO</v>
      </c>
      <c r="G1782" s="5" t="n">
        <f aca="false">[1]Base_Jugadores!F1782</f>
        <v>69</v>
      </c>
      <c r="H1782" s="5" t="n">
        <f aca="false">[1]Base_Jugadores!G1782</f>
        <v>31</v>
      </c>
      <c r="I1782" s="7" t="n">
        <f aca="false" t="array" ref="I1782:I1782">_xlfn.XLOOKUP(G1782,{55;56;57;58;59;60;61;62;63;64;65;66;67;68;69;70;71;72;73;74;75;76;77;78;79;80;81;82;83;84;85;86;87;88;89;90;91;92;93;94;95;96;97;98;99},{100000;130000;160000;190000;220000;250000;300000;350000;400000;450000;500000;600000;700000;800000;900000;1000000;1500000;2000000;3000000;4000000;5000000;6500000;8000000;10000000;12500000;15000000;20000000;25000000;30000000;35000000;40000000;55000000;70000000;80000000;90000000;110000000;130000000;160000000;190000000;220000000;250000000;280000000;310000000;340000000;400000000})</f>
        <v>900000</v>
      </c>
      <c r="J1782" s="7" t="n">
        <f aca="false">I1782*S1782*T1782*U1782</f>
        <v>680400</v>
      </c>
      <c r="K1782" s="3"/>
      <c r="L1782" s="3"/>
      <c r="M1782" s="3"/>
      <c r="N1782" s="9" t="n">
        <v>0</v>
      </c>
      <c r="O1782" s="4" t="n">
        <v>0</v>
      </c>
      <c r="P1782" s="5" t="n">
        <f aca="false">IF(COUNTIF([1]Base_Jugadores!J$2:J$500,B1782)&gt;0,1,0)</f>
        <v>0</v>
      </c>
      <c r="Q1782" s="10" t="b">
        <f aca="false">--(COUNTIFS(
   [1]Fichajes_Realizados!A$2:A$5000,A1782,
   [1]Fichajes_Realizados!G$2:G$5000,$X$3
)&gt;0)</f>
        <v>0</v>
      </c>
      <c r="R1782" s="5" t="n">
        <f aca="false">_xlfn.XLOOKUP(C1782, [1]Estado_Equipos!A$2:A$500, [1]Estado_Equipos!J$2:J$500, "")</f>
        <v>73</v>
      </c>
      <c r="S1782" s="5" t="n">
        <f aca="false">IF(H1782&lt;=16,1.45,
IF(H1782&gt;=41,0.3,
CHOOSE(ROUNDDOWN((H1782-16)/2,0)+1,
1.45,1.38,1.3,1.23,1.17,1.15,1.12,1.05,0.95,0.8,0.6,0.4,0.3)))</f>
        <v>1.05</v>
      </c>
      <c r="T1782" s="5" t="n">
        <f aca="false">CHOOSE(N1782+1,1.2,1,0.85,0.7)</f>
        <v>1.2</v>
      </c>
      <c r="U1782" s="5" t="n">
        <f aca="false">IF(F1782="PO",0.6,
IF(F1782="CT",0.75,
IF(F1782="LI",0.8,
IF(F1782="LD",0.8,
IF(F1782="MCD",0.85,
IF(F1782="MC",0.95,
IF(F1782="MO",1.05,
IF(F1782="EI",1.1,
IF(F1782="ED",1.1,
IF(F1782="SD",1.15,
IF(F1782="DC",1.2,0)))))))))))</f>
        <v>0.6</v>
      </c>
    </row>
    <row r="1783" customFormat="false" ht="16.4" hidden="false" customHeight="false" outlineLevel="0" collapsed="false">
      <c r="A1783" s="1" t="n">
        <v>1782</v>
      </c>
      <c r="B1783" s="5" t="str">
        <f aca="false">[1]Base_Jugadores!B1783</f>
        <v>Johan Manzambi</v>
      </c>
      <c r="C1783" s="5" t="str">
        <f aca="false">IFERROR(
   _xlfn.XLOOKUP(VALUE(A1783),[1]Fichajes_Realizados!A$2:A$50000,[1]Fichajes_Realizados!D$2:D$50000,,0,-1),
   _xlfn.XLOOKUP(VALUE(A1783),[1]Base_Jugadores!A$2:A$50000,[1]Base_Jugadores!C$2:C$50000)
)</f>
        <v>SC Friburgo</v>
      </c>
      <c r="D1783" s="5" t="str">
        <f aca="false">[1]Base_Jugadores!D1783</f>
        <v>Suiza</v>
      </c>
      <c r="E1783" s="3"/>
      <c r="F1783" s="5" t="str">
        <f aca="false">[1]Base_Jugadores!E1783</f>
        <v>MC</v>
      </c>
      <c r="G1783" s="5" t="n">
        <f aca="false">[1]Base_Jugadores!F1783</f>
        <v>60</v>
      </c>
      <c r="H1783" s="5" t="n">
        <f aca="false">[1]Base_Jugadores!G1783</f>
        <v>20</v>
      </c>
      <c r="I1783" s="7" t="n">
        <f aca="false" t="array" ref="I1783:I1783">_xlfn.XLOOKUP(G1783,{55;56;57;58;59;60;61;62;63;64;65;66;67;68;69;70;71;72;73;74;75;76;77;78;79;80;81;82;83;84;85;86;87;88;89;90;91;92;93;94;95;96;97;98;99},{100000;130000;160000;190000;220000;250000;300000;350000;400000;450000;500000;600000;700000;800000;900000;1000000;1500000;2000000;3000000;4000000;5000000;6500000;8000000;10000000;12500000;15000000;20000000;25000000;30000000;35000000;40000000;55000000;70000000;80000000;90000000;110000000;130000000;160000000;190000000;220000000;250000000;280000000;310000000;340000000;400000000})</f>
        <v>250000</v>
      </c>
      <c r="J1783" s="7" t="n">
        <f aca="false">I1783*S1783*T1783*U1783</f>
        <v>370500</v>
      </c>
      <c r="K1783" s="3"/>
      <c r="L1783" s="3"/>
      <c r="M1783" s="3"/>
      <c r="N1783" s="9" t="n">
        <v>0</v>
      </c>
      <c r="O1783" s="4" t="n">
        <v>0</v>
      </c>
      <c r="P1783" s="5" t="n">
        <f aca="false">IF(COUNTIF([1]Base_Jugadores!J$2:J$500,B1783)&gt;0,1,0)</f>
        <v>0</v>
      </c>
      <c r="Q1783" s="10" t="b">
        <f aca="false">--(COUNTIFS(
   [1]Fichajes_Realizados!A$2:A$5000,A1783,
   [1]Fichajes_Realizados!G$2:G$5000,$X$3
)&gt;0)</f>
        <v>0</v>
      </c>
      <c r="R1783" s="5" t="n">
        <f aca="false">_xlfn.XLOOKUP(C1783, [1]Estado_Equipos!A$2:A$500, [1]Estado_Equipos!J$2:J$500, "")</f>
        <v>73</v>
      </c>
      <c r="S1783" s="5" t="n">
        <f aca="false">IF(H1783&lt;=16,1.45,
IF(H1783&gt;=41,0.3,
CHOOSE(ROUNDDOWN((H1783-16)/2,0)+1,
1.45,1.38,1.3,1.23,1.17,1.15,1.12,1.05,0.95,0.8,0.6,0.4,0.3)))</f>
        <v>1.3</v>
      </c>
      <c r="T1783" s="5" t="n">
        <f aca="false">CHOOSE(N1783+1,1.2,1,0.85,0.7)</f>
        <v>1.2</v>
      </c>
      <c r="U1783" s="5" t="n">
        <f aca="false">IF(F1783="PO",0.6,
IF(F1783="CT",0.75,
IF(F1783="LI",0.8,
IF(F1783="LD",0.8,
IF(F1783="MCD",0.85,
IF(F1783="MC",0.95,
IF(F1783="MO",1.05,
IF(F1783="EI",1.1,
IF(F1783="ED",1.1,
IF(F1783="SD",1.15,
IF(F1783="DC",1.2,0)))))))))))</f>
        <v>0.95</v>
      </c>
    </row>
    <row r="1784" customFormat="false" ht="16.4" hidden="false" customHeight="false" outlineLevel="0" collapsed="false">
      <c r="A1784" s="1" t="n">
        <v>1783</v>
      </c>
      <c r="B1784" s="5" t="str">
        <f aca="false">[1]Base_Jugadores!B1784</f>
        <v>Jordy Makengo</v>
      </c>
      <c r="C1784" s="5" t="str">
        <f aca="false">IFERROR(
   _xlfn.XLOOKUP(VALUE(A1784),[1]Fichajes_Realizados!A$2:A$50000,[1]Fichajes_Realizados!D$2:D$50000,,0,-1),
   _xlfn.XLOOKUP(VALUE(A1784),[1]Base_Jugadores!A$2:A$50000,[1]Base_Jugadores!C$2:C$50000)
)</f>
        <v>SC Friburgo</v>
      </c>
      <c r="D1784" s="5" t="str">
        <f aca="false">[1]Base_Jugadores!D1784</f>
        <v>Francia</v>
      </c>
      <c r="E1784" s="3"/>
      <c r="F1784" s="5" t="str">
        <f aca="false">[1]Base_Jugadores!E1784</f>
        <v>LI</v>
      </c>
      <c r="G1784" s="5" t="n">
        <f aca="false">[1]Base_Jugadores!F1784</f>
        <v>74</v>
      </c>
      <c r="H1784" s="5" t="n">
        <f aca="false">[1]Base_Jugadores!G1784</f>
        <v>24</v>
      </c>
      <c r="I1784" s="7" t="n">
        <f aca="false" t="array" ref="I1784:I1784">_xlfn.XLOOKUP(G1784,{55;56;57;58;59;60;61;62;63;64;65;66;67;68;69;70;71;72;73;74;75;76;77;78;79;80;81;82;83;84;85;86;87;88;89;90;91;92;93;94;95;96;97;98;99},{100000;130000;160000;190000;220000;250000;300000;350000;400000;450000;500000;600000;700000;800000;900000;1000000;1500000;2000000;3000000;4000000;5000000;6500000;8000000;10000000;12500000;15000000;20000000;25000000;30000000;35000000;40000000;55000000;70000000;80000000;90000000;110000000;130000000;160000000;190000000;220000000;250000000;280000000;310000000;340000000;400000000})</f>
        <v>4000000</v>
      </c>
      <c r="J1784" s="7" t="n">
        <f aca="false">I1784*S1784*T1784*U1784</f>
        <v>4492800</v>
      </c>
      <c r="K1784" s="3"/>
      <c r="L1784" s="3"/>
      <c r="M1784" s="3"/>
      <c r="N1784" s="9" t="n">
        <v>0</v>
      </c>
      <c r="O1784" s="4" t="n">
        <v>0</v>
      </c>
      <c r="P1784" s="5" t="n">
        <f aca="false">IF(COUNTIF([1]Base_Jugadores!J$2:J$500,B1784)&gt;0,1,0)</f>
        <v>0</v>
      </c>
      <c r="Q1784" s="10" t="b">
        <f aca="false">--(COUNTIFS(
   [1]Fichajes_Realizados!A$2:A$5000,A1784,
   [1]Fichajes_Realizados!G$2:G$5000,$X$3
)&gt;0)</f>
        <v>0</v>
      </c>
      <c r="R1784" s="5" t="n">
        <f aca="false">_xlfn.XLOOKUP(C1784, [1]Estado_Equipos!A$2:A$500, [1]Estado_Equipos!J$2:J$500, "")</f>
        <v>73</v>
      </c>
      <c r="S1784" s="5" t="n">
        <f aca="false">IF(H1784&lt;=16,1.45,
IF(H1784&gt;=41,0.3,
CHOOSE(ROUNDDOWN((H1784-16)/2,0)+1,
1.45,1.38,1.3,1.23,1.17,1.15,1.12,1.05,0.95,0.8,0.6,0.4,0.3)))</f>
        <v>1.17</v>
      </c>
      <c r="T1784" s="5" t="n">
        <f aca="false">CHOOSE(N1784+1,1.2,1,0.85,0.7)</f>
        <v>1.2</v>
      </c>
      <c r="U1784" s="5" t="n">
        <f aca="false">IF(F1784="PO",0.6,
IF(F1784="CT",0.75,
IF(F1784="LI",0.8,
IF(F1784="LD",0.8,
IF(F1784="MCD",0.85,
IF(F1784="MC",0.95,
IF(F1784="MO",1.05,
IF(F1784="EI",1.1,
IF(F1784="ED",1.1,
IF(F1784="SD",1.15,
IF(F1784="DC",1.2,0)))))))))))</f>
        <v>0.8</v>
      </c>
    </row>
    <row r="1785" customFormat="false" ht="16.4" hidden="false" customHeight="false" outlineLevel="0" collapsed="false">
      <c r="A1785" s="1" t="n">
        <v>1784</v>
      </c>
      <c r="B1785" s="5" t="str">
        <f aca="false">[1]Base_Jugadores!B1785</f>
        <v>Junior Adamu</v>
      </c>
      <c r="C1785" s="5" t="str">
        <f aca="false">IFERROR(
   _xlfn.XLOOKUP(VALUE(A1785),[1]Fichajes_Realizados!A$2:A$50000,[1]Fichajes_Realizados!D$2:D$50000,,0,-1),
   _xlfn.XLOOKUP(VALUE(A1785),[1]Base_Jugadores!A$2:A$50000,[1]Base_Jugadores!C$2:C$50000)
)</f>
        <v>SC Friburgo</v>
      </c>
      <c r="D1785" s="5" t="str">
        <f aca="false">[1]Base_Jugadores!D1785</f>
        <v>Austria</v>
      </c>
      <c r="E1785" s="3"/>
      <c r="F1785" s="5" t="str">
        <f aca="false">[1]Base_Jugadores!E1785</f>
        <v>DC</v>
      </c>
      <c r="G1785" s="5" t="n">
        <f aca="false">[1]Base_Jugadores!F1785</f>
        <v>70</v>
      </c>
      <c r="H1785" s="5" t="n">
        <f aca="false">[1]Base_Jugadores!G1785</f>
        <v>24</v>
      </c>
      <c r="I1785" s="7" t="n">
        <f aca="false" t="array" ref="I1785:I1785">_xlfn.XLOOKUP(G1785,{55;56;57;58;59;60;61;62;63;64;65;66;67;68;69;70;71;72;73;74;75;76;77;78;79;80;81;82;83;84;85;86;87;88;89;90;91;92;93;94;95;96;97;98;99},{100000;130000;160000;190000;220000;250000;300000;350000;400000;450000;500000;600000;700000;800000;900000;1000000;1500000;2000000;3000000;4000000;5000000;6500000;8000000;10000000;12500000;15000000;20000000;25000000;30000000;35000000;40000000;55000000;70000000;80000000;90000000;110000000;130000000;160000000;190000000;220000000;250000000;280000000;310000000;340000000;400000000})</f>
        <v>1000000</v>
      </c>
      <c r="J1785" s="7" t="n">
        <f aca="false">I1785*S1785*T1785*U1785</f>
        <v>1684800</v>
      </c>
      <c r="K1785" s="3"/>
      <c r="L1785" s="3"/>
      <c r="M1785" s="3"/>
      <c r="N1785" s="9" t="n">
        <v>0</v>
      </c>
      <c r="O1785" s="4" t="n">
        <v>0</v>
      </c>
      <c r="P1785" s="5" t="n">
        <f aca="false">IF(COUNTIF([1]Base_Jugadores!J$2:J$500,B1785)&gt;0,1,0)</f>
        <v>0</v>
      </c>
      <c r="Q1785" s="10" t="b">
        <f aca="false">--(COUNTIFS(
   [1]Fichajes_Realizados!A$2:A$5000,A1785,
   [1]Fichajes_Realizados!G$2:G$5000,$X$3
)&gt;0)</f>
        <v>0</v>
      </c>
      <c r="R1785" s="5" t="n">
        <f aca="false">_xlfn.XLOOKUP(C1785, [1]Estado_Equipos!A$2:A$500, [1]Estado_Equipos!J$2:J$500, "")</f>
        <v>73</v>
      </c>
      <c r="S1785" s="5" t="n">
        <f aca="false">IF(H1785&lt;=16,1.45,
IF(H1785&gt;=41,0.3,
CHOOSE(ROUNDDOWN((H1785-16)/2,0)+1,
1.45,1.38,1.3,1.23,1.17,1.15,1.12,1.05,0.95,0.8,0.6,0.4,0.3)))</f>
        <v>1.17</v>
      </c>
      <c r="T1785" s="5" t="n">
        <f aca="false">CHOOSE(N1785+1,1.2,1,0.85,0.7)</f>
        <v>1.2</v>
      </c>
      <c r="U1785" s="5" t="n">
        <f aca="false">IF(F1785="PO",0.6,
IF(F1785="CT",0.75,
IF(F1785="LI",0.8,
IF(F1785="LD",0.8,
IF(F1785="MCD",0.85,
IF(F1785="MC",0.95,
IF(F1785="MO",1.05,
IF(F1785="EI",1.1,
IF(F1785="ED",1.1,
IF(F1785="SD",1.15,
IF(F1785="DC",1.2,0)))))))))))</f>
        <v>1.2</v>
      </c>
    </row>
    <row r="1786" customFormat="false" ht="16.4" hidden="false" customHeight="false" outlineLevel="0" collapsed="false">
      <c r="A1786" s="1" t="n">
        <v>1785</v>
      </c>
      <c r="B1786" s="5" t="str">
        <f aca="false">[1]Base_Jugadores!B1786</f>
        <v>Lucas Höler</v>
      </c>
      <c r="C1786" s="5" t="str">
        <f aca="false">IFERROR(
   _xlfn.XLOOKUP(VALUE(A1786),[1]Fichajes_Realizados!A$2:A$50000,[1]Fichajes_Realizados!D$2:D$50000,,0,-1),
   _xlfn.XLOOKUP(VALUE(A1786),[1]Base_Jugadores!A$2:A$50000,[1]Base_Jugadores!C$2:C$50000)
)</f>
        <v>SC Friburgo</v>
      </c>
      <c r="D1786" s="5" t="str">
        <f aca="false">[1]Base_Jugadores!D1786</f>
        <v>Alemania</v>
      </c>
      <c r="E1786" s="3"/>
      <c r="F1786" s="5" t="str">
        <f aca="false">[1]Base_Jugadores!E1786</f>
        <v>DC</v>
      </c>
      <c r="G1786" s="5" t="n">
        <f aca="false">[1]Base_Jugadores!F1786</f>
        <v>74</v>
      </c>
      <c r="H1786" s="5" t="n">
        <f aca="false">[1]Base_Jugadores!G1786</f>
        <v>31</v>
      </c>
      <c r="I1786" s="7" t="n">
        <f aca="false" t="array" ref="I1786:I1786">_xlfn.XLOOKUP(G1786,{55;56;57;58;59;60;61;62;63;64;65;66;67;68;69;70;71;72;73;74;75;76;77;78;79;80;81;82;83;84;85;86;87;88;89;90;91;92;93;94;95;96;97;98;99},{100000;130000;160000;190000;220000;250000;300000;350000;400000;450000;500000;600000;700000;800000;900000;1000000;1500000;2000000;3000000;4000000;5000000;6500000;8000000;10000000;12500000;15000000;20000000;25000000;30000000;35000000;40000000;55000000;70000000;80000000;90000000;110000000;130000000;160000000;190000000;220000000;250000000;280000000;310000000;340000000;400000000})</f>
        <v>4000000</v>
      </c>
      <c r="J1786" s="7" t="n">
        <f aca="false">I1786*S1786*T1786*U1786</f>
        <v>6048000</v>
      </c>
      <c r="K1786" s="3"/>
      <c r="L1786" s="3"/>
      <c r="M1786" s="3"/>
      <c r="N1786" s="9" t="n">
        <v>0</v>
      </c>
      <c r="O1786" s="4" t="n">
        <v>0</v>
      </c>
      <c r="P1786" s="5" t="n">
        <f aca="false">IF(COUNTIF([1]Base_Jugadores!J$2:J$500,B1786)&gt;0,1,0)</f>
        <v>0</v>
      </c>
      <c r="Q1786" s="10" t="b">
        <f aca="false">--(COUNTIFS(
   [1]Fichajes_Realizados!A$2:A$5000,A1786,
   [1]Fichajes_Realizados!G$2:G$5000,$X$3
)&gt;0)</f>
        <v>0</v>
      </c>
      <c r="R1786" s="5" t="n">
        <f aca="false">_xlfn.XLOOKUP(C1786, [1]Estado_Equipos!A$2:A$500, [1]Estado_Equipos!J$2:J$500, "")</f>
        <v>73</v>
      </c>
      <c r="S1786" s="5" t="n">
        <f aca="false">IF(H1786&lt;=16,1.45,
IF(H1786&gt;=41,0.3,
CHOOSE(ROUNDDOWN((H1786-16)/2,0)+1,
1.45,1.38,1.3,1.23,1.17,1.15,1.12,1.05,0.95,0.8,0.6,0.4,0.3)))</f>
        <v>1.05</v>
      </c>
      <c r="T1786" s="5" t="n">
        <f aca="false">CHOOSE(N1786+1,1.2,1,0.85,0.7)</f>
        <v>1.2</v>
      </c>
      <c r="U1786" s="5" t="n">
        <f aca="false">IF(F1786="PO",0.6,
IF(F1786="CT",0.75,
IF(F1786="LI",0.8,
IF(F1786="LD",0.8,
IF(F1786="MCD",0.85,
IF(F1786="MC",0.95,
IF(F1786="MO",1.05,
IF(F1786="EI",1.1,
IF(F1786="ED",1.1,
IF(F1786="SD",1.15,
IF(F1786="DC",1.2,0)))))))))))</f>
        <v>1.2</v>
      </c>
    </row>
    <row r="1787" customFormat="false" ht="16.4" hidden="false" customHeight="false" outlineLevel="0" collapsed="false">
      <c r="A1787" s="1" t="n">
        <v>1786</v>
      </c>
      <c r="B1787" s="5" t="str">
        <f aca="false">[1]Base_Jugadores!B1787</f>
        <v>Lukas Kübler</v>
      </c>
      <c r="C1787" s="5" t="str">
        <f aca="false">IFERROR(
   _xlfn.XLOOKUP(VALUE(A1787),[1]Fichajes_Realizados!A$2:A$50000,[1]Fichajes_Realizados!D$2:D$50000,,0,-1),
   _xlfn.XLOOKUP(VALUE(A1787),[1]Base_Jugadores!A$2:A$50000,[1]Base_Jugadores!C$2:C$50000)
)</f>
        <v>SC Friburgo</v>
      </c>
      <c r="D1787" s="5" t="str">
        <f aca="false">[1]Base_Jugadores!D1787</f>
        <v>Alemania</v>
      </c>
      <c r="E1787" s="3"/>
      <c r="F1787" s="5" t="str">
        <f aca="false">[1]Base_Jugadores!E1787</f>
        <v>LD</v>
      </c>
      <c r="G1787" s="5" t="n">
        <f aca="false">[1]Base_Jugadores!F1787</f>
        <v>75</v>
      </c>
      <c r="H1787" s="5" t="n">
        <f aca="false">[1]Base_Jugadores!G1787</f>
        <v>33</v>
      </c>
      <c r="I1787" s="7" t="n">
        <f aca="false" t="array" ref="I1787:I1787">_xlfn.XLOOKUP(G1787,{55;56;57;58;59;60;61;62;63;64;65;66;67;68;69;70;71;72;73;74;75;76;77;78;79;80;81;82;83;84;85;86;87;88;89;90;91;92;93;94;95;96;97;98;99},{100000;130000;160000;190000;220000;250000;300000;350000;400000;450000;500000;600000;700000;800000;900000;1000000;1500000;2000000;3000000;4000000;5000000;6500000;8000000;10000000;12500000;15000000;20000000;25000000;30000000;35000000;40000000;55000000;70000000;80000000;90000000;110000000;130000000;160000000;190000000;220000000;250000000;280000000;310000000;340000000;400000000})</f>
        <v>5000000</v>
      </c>
      <c r="J1787" s="7" t="n">
        <f aca="false">I1787*S1787*T1787*U1787</f>
        <v>4560000</v>
      </c>
      <c r="K1787" s="3"/>
      <c r="L1787" s="3"/>
      <c r="M1787" s="3"/>
      <c r="N1787" s="9" t="n">
        <v>0</v>
      </c>
      <c r="O1787" s="4" t="n">
        <v>0</v>
      </c>
      <c r="P1787" s="5" t="n">
        <f aca="false">IF(COUNTIF([1]Base_Jugadores!J$2:J$500,B1787)&gt;0,1,0)</f>
        <v>0</v>
      </c>
      <c r="Q1787" s="10" t="b">
        <f aca="false">--(COUNTIFS(
   [1]Fichajes_Realizados!A$2:A$5000,A1787,
   [1]Fichajes_Realizados!G$2:G$5000,$X$3
)&gt;0)</f>
        <v>0</v>
      </c>
      <c r="R1787" s="5" t="n">
        <f aca="false">_xlfn.XLOOKUP(C1787, [1]Estado_Equipos!A$2:A$500, [1]Estado_Equipos!J$2:J$500, "")</f>
        <v>73</v>
      </c>
      <c r="S1787" s="5" t="n">
        <f aca="false">IF(H1787&lt;=16,1.45,
IF(H1787&gt;=41,0.3,
CHOOSE(ROUNDDOWN((H1787-16)/2,0)+1,
1.45,1.38,1.3,1.23,1.17,1.15,1.12,1.05,0.95,0.8,0.6,0.4,0.3)))</f>
        <v>0.95</v>
      </c>
      <c r="T1787" s="5" t="n">
        <f aca="false">CHOOSE(N1787+1,1.2,1,0.85,0.7)</f>
        <v>1.2</v>
      </c>
      <c r="U1787" s="5" t="n">
        <f aca="false">IF(F1787="PO",0.6,
IF(F1787="CT",0.75,
IF(F1787="LI",0.8,
IF(F1787="LD",0.8,
IF(F1787="MCD",0.85,
IF(F1787="MC",0.95,
IF(F1787="MO",1.05,
IF(F1787="EI",1.1,
IF(F1787="ED",1.1,
IF(F1787="SD",1.15,
IF(F1787="DC",1.2,0)))))))))))</f>
        <v>0.8</v>
      </c>
    </row>
    <row r="1788" customFormat="false" ht="16.4" hidden="false" customHeight="false" outlineLevel="0" collapsed="false">
      <c r="A1788" s="1" t="n">
        <v>1787</v>
      </c>
      <c r="B1788" s="5" t="str">
        <f aca="false">[1]Base_Jugadores!B1788</f>
        <v>Matthias Ginter</v>
      </c>
      <c r="C1788" s="5" t="str">
        <f aca="false">IFERROR(
   _xlfn.XLOOKUP(VALUE(A1788),[1]Fichajes_Realizados!A$2:A$50000,[1]Fichajes_Realizados!D$2:D$50000,,0,-1),
   _xlfn.XLOOKUP(VALUE(A1788),[1]Base_Jugadores!A$2:A$50000,[1]Base_Jugadores!C$2:C$50000)
)</f>
        <v>SC Friburgo</v>
      </c>
      <c r="D1788" s="5" t="str">
        <f aca="false">[1]Base_Jugadores!D1788</f>
        <v>Alemania</v>
      </c>
      <c r="E1788" s="3"/>
      <c r="F1788" s="5" t="str">
        <f aca="false">[1]Base_Jugadores!E1788</f>
        <v>CT</v>
      </c>
      <c r="G1788" s="5" t="n">
        <f aca="false">[1]Base_Jugadores!F1788</f>
        <v>82</v>
      </c>
      <c r="H1788" s="5" t="n">
        <f aca="false">[1]Base_Jugadores!G1788</f>
        <v>31</v>
      </c>
      <c r="I1788" s="7" t="n">
        <f aca="false" t="array" ref="I1788:I1788">_xlfn.XLOOKUP(G1788,{55;56;57;58;59;60;61;62;63;64;65;66;67;68;69;70;71;72;73;74;75;76;77;78;79;80;81;82;83;84;85;86;87;88;89;90;91;92;93;94;95;96;97;98;99},{100000;130000;160000;190000;220000;250000;300000;350000;400000;450000;500000;600000;700000;800000;900000;1000000;1500000;2000000;3000000;4000000;5000000;6500000;8000000;10000000;12500000;15000000;20000000;25000000;30000000;35000000;40000000;55000000;70000000;80000000;90000000;110000000;130000000;160000000;190000000;220000000;250000000;280000000;310000000;340000000;400000000})</f>
        <v>25000000</v>
      </c>
      <c r="J1788" s="7" t="n">
        <f aca="false">I1788*S1788*T1788*U1788</f>
        <v>23625000</v>
      </c>
      <c r="K1788" s="3"/>
      <c r="L1788" s="3"/>
      <c r="M1788" s="3"/>
      <c r="N1788" s="9" t="n">
        <v>0</v>
      </c>
      <c r="O1788" s="4" t="n">
        <v>0</v>
      </c>
      <c r="P1788" s="5" t="n">
        <f aca="false">IF(COUNTIF([1]Base_Jugadores!J$2:J$500,B1788)&gt;0,1,0)</f>
        <v>0</v>
      </c>
      <c r="Q1788" s="10" t="b">
        <f aca="false">--(COUNTIFS(
   [1]Fichajes_Realizados!A$2:A$5000,A1788,
   [1]Fichajes_Realizados!G$2:G$5000,$X$3
)&gt;0)</f>
        <v>0</v>
      </c>
      <c r="R1788" s="5" t="n">
        <f aca="false">_xlfn.XLOOKUP(C1788, [1]Estado_Equipos!A$2:A$500, [1]Estado_Equipos!J$2:J$500, "")</f>
        <v>73</v>
      </c>
      <c r="S1788" s="5" t="n">
        <f aca="false">IF(H1788&lt;=16,1.45,
IF(H1788&gt;=41,0.3,
CHOOSE(ROUNDDOWN((H1788-16)/2,0)+1,
1.45,1.38,1.3,1.23,1.17,1.15,1.12,1.05,0.95,0.8,0.6,0.4,0.3)))</f>
        <v>1.05</v>
      </c>
      <c r="T1788" s="5" t="n">
        <f aca="false">CHOOSE(N1788+1,1.2,1,0.85,0.7)</f>
        <v>1.2</v>
      </c>
      <c r="U1788" s="5" t="n">
        <f aca="false">IF(F1788="PO",0.6,
IF(F1788="CT",0.75,
IF(F1788="LI",0.8,
IF(F1788="LD",0.8,
IF(F1788="MCD",0.85,
IF(F1788="MC",0.95,
IF(F1788="MO",1.05,
IF(F1788="EI",1.1,
IF(F1788="ED",1.1,
IF(F1788="SD",1.15,
IF(F1788="DC",1.2,0)))))))))))</f>
        <v>0.75</v>
      </c>
    </row>
    <row r="1789" customFormat="false" ht="16.4" hidden="false" customHeight="false" outlineLevel="0" collapsed="false">
      <c r="A1789" s="1" t="n">
        <v>1788</v>
      </c>
      <c r="B1789" s="5" t="str">
        <f aca="false">[1]Base_Jugadores!B1789</f>
        <v>Max Rosenfelder</v>
      </c>
      <c r="C1789" s="5" t="str">
        <f aca="false">IFERROR(
   _xlfn.XLOOKUP(VALUE(A1789),[1]Fichajes_Realizados!A$2:A$50000,[1]Fichajes_Realizados!D$2:D$50000,,0,-1),
   _xlfn.XLOOKUP(VALUE(A1789),[1]Base_Jugadores!A$2:A$50000,[1]Base_Jugadores!C$2:C$50000)
)</f>
        <v>SC Friburgo</v>
      </c>
      <c r="D1789" s="5" t="str">
        <f aca="false">[1]Base_Jugadores!D1789</f>
        <v>Alemania</v>
      </c>
      <c r="E1789" s="3"/>
      <c r="F1789" s="5" t="str">
        <f aca="false">[1]Base_Jugadores!E1789</f>
        <v>CT</v>
      </c>
      <c r="G1789" s="5" t="n">
        <f aca="false">[1]Base_Jugadores!F1789</f>
        <v>67</v>
      </c>
      <c r="H1789" s="5" t="n">
        <f aca="false">[1]Base_Jugadores!G1789</f>
        <v>22</v>
      </c>
      <c r="I1789" s="7" t="n">
        <f aca="false" t="array" ref="I1789:I1789">_xlfn.XLOOKUP(G1789,{55;56;57;58;59;60;61;62;63;64;65;66;67;68;69;70;71;72;73;74;75;76;77;78;79;80;81;82;83;84;85;86;87;88;89;90;91;92;93;94;95;96;97;98;99},{100000;130000;160000;190000;220000;250000;300000;350000;400000;450000;500000;600000;700000;800000;900000;1000000;1500000;2000000;3000000;4000000;5000000;6500000;8000000;10000000;12500000;15000000;20000000;25000000;30000000;35000000;40000000;55000000;70000000;80000000;90000000;110000000;130000000;160000000;190000000;220000000;250000000;280000000;310000000;340000000;400000000})</f>
        <v>700000</v>
      </c>
      <c r="J1789" s="7" t="n">
        <f aca="false">I1789*S1789*T1789*U1789</f>
        <v>774900</v>
      </c>
      <c r="K1789" s="3"/>
      <c r="L1789" s="3"/>
      <c r="M1789" s="3"/>
      <c r="N1789" s="9" t="n">
        <v>0</v>
      </c>
      <c r="O1789" s="4" t="n">
        <v>0</v>
      </c>
      <c r="P1789" s="5" t="n">
        <f aca="false">IF(COUNTIF([1]Base_Jugadores!J$2:J$500,B1789)&gt;0,1,0)</f>
        <v>0</v>
      </c>
      <c r="Q1789" s="10" t="b">
        <f aca="false">--(COUNTIFS(
   [1]Fichajes_Realizados!A$2:A$5000,A1789,
   [1]Fichajes_Realizados!G$2:G$5000,$X$3
)&gt;0)</f>
        <v>0</v>
      </c>
      <c r="R1789" s="5" t="n">
        <f aca="false">_xlfn.XLOOKUP(C1789, [1]Estado_Equipos!A$2:A$500, [1]Estado_Equipos!J$2:J$500, "")</f>
        <v>73</v>
      </c>
      <c r="S1789" s="5" t="n">
        <f aca="false">IF(H1789&lt;=16,1.45,
IF(H1789&gt;=41,0.3,
CHOOSE(ROUNDDOWN((H1789-16)/2,0)+1,
1.45,1.38,1.3,1.23,1.17,1.15,1.12,1.05,0.95,0.8,0.6,0.4,0.3)))</f>
        <v>1.23</v>
      </c>
      <c r="T1789" s="5" t="n">
        <f aca="false">CHOOSE(N1789+1,1.2,1,0.85,0.7)</f>
        <v>1.2</v>
      </c>
      <c r="U1789" s="5" t="n">
        <f aca="false">IF(F1789="PO",0.6,
IF(F1789="CT",0.75,
IF(F1789="LI",0.8,
IF(F1789="LD",0.8,
IF(F1789="MCD",0.85,
IF(F1789="MC",0.95,
IF(F1789="MO",1.05,
IF(F1789="EI",1.1,
IF(F1789="ED",1.1,
IF(F1789="SD",1.15,
IF(F1789="DC",1.2,0)))))))))))</f>
        <v>0.75</v>
      </c>
    </row>
    <row r="1790" customFormat="false" ht="16.4" hidden="false" customHeight="false" outlineLevel="0" collapsed="false">
      <c r="A1790" s="1" t="n">
        <v>1789</v>
      </c>
      <c r="B1790" s="5" t="str">
        <f aca="false">[1]Base_Jugadores!B1790</f>
        <v>Maximilian Eggestein</v>
      </c>
      <c r="C1790" s="5" t="str">
        <f aca="false">IFERROR(
   _xlfn.XLOOKUP(VALUE(A1790),[1]Fichajes_Realizados!A$2:A$50000,[1]Fichajes_Realizados!D$2:D$50000,,0,-1),
   _xlfn.XLOOKUP(VALUE(A1790),[1]Base_Jugadores!A$2:A$50000,[1]Base_Jugadores!C$2:C$50000)
)</f>
        <v>SC Friburgo</v>
      </c>
      <c r="D1790" s="5" t="str">
        <f aca="false">[1]Base_Jugadores!D1790</f>
        <v>Alemania</v>
      </c>
      <c r="E1790" s="3"/>
      <c r="F1790" s="5" t="str">
        <f aca="false">[1]Base_Jugadores!E1790</f>
        <v>MC</v>
      </c>
      <c r="G1790" s="5" t="n">
        <f aca="false">[1]Base_Jugadores!F1790</f>
        <v>75</v>
      </c>
      <c r="H1790" s="5" t="n">
        <f aca="false">[1]Base_Jugadores!G1790</f>
        <v>29</v>
      </c>
      <c r="I1790" s="7" t="n">
        <f aca="false" t="array" ref="I1790:I1790">_xlfn.XLOOKUP(G1790,{55;56;57;58;59;60;61;62;63;64;65;66;67;68;69;70;71;72;73;74;75;76;77;78;79;80;81;82;83;84;85;86;87;88;89;90;91;92;93;94;95;96;97;98;99},{100000;130000;160000;190000;220000;250000;300000;350000;400000;450000;500000;600000;700000;800000;900000;1000000;1500000;2000000;3000000;4000000;5000000;6500000;8000000;10000000;12500000;15000000;20000000;25000000;30000000;35000000;40000000;55000000;70000000;80000000;90000000;110000000;130000000;160000000;190000000;220000000;250000000;280000000;310000000;340000000;400000000})</f>
        <v>5000000</v>
      </c>
      <c r="J1790" s="7" t="n">
        <f aca="false">I1790*S1790*T1790*U1790</f>
        <v>6384000</v>
      </c>
      <c r="K1790" s="3"/>
      <c r="L1790" s="3"/>
      <c r="M1790" s="3"/>
      <c r="N1790" s="9" t="n">
        <v>0</v>
      </c>
      <c r="O1790" s="4" t="n">
        <v>0</v>
      </c>
      <c r="P1790" s="5" t="n">
        <f aca="false">IF(COUNTIF([1]Base_Jugadores!J$2:J$500,B1790)&gt;0,1,0)</f>
        <v>0</v>
      </c>
      <c r="Q1790" s="10" t="b">
        <f aca="false">--(COUNTIFS(
   [1]Fichajes_Realizados!A$2:A$5000,A1790,
   [1]Fichajes_Realizados!G$2:G$5000,$X$3
)&gt;0)</f>
        <v>0</v>
      </c>
      <c r="R1790" s="5" t="n">
        <f aca="false">_xlfn.XLOOKUP(C1790, [1]Estado_Equipos!A$2:A$500, [1]Estado_Equipos!J$2:J$500, "")</f>
        <v>73</v>
      </c>
      <c r="S1790" s="5" t="n">
        <f aca="false">IF(H1790&lt;=16,1.45,
IF(H1790&gt;=41,0.3,
CHOOSE(ROUNDDOWN((H1790-16)/2,0)+1,
1.45,1.38,1.3,1.23,1.17,1.15,1.12,1.05,0.95,0.8,0.6,0.4,0.3)))</f>
        <v>1.12</v>
      </c>
      <c r="T1790" s="5" t="n">
        <f aca="false">CHOOSE(N1790+1,1.2,1,0.85,0.7)</f>
        <v>1.2</v>
      </c>
      <c r="U1790" s="5" t="n">
        <f aca="false">IF(F1790="PO",0.6,
IF(F1790="CT",0.75,
IF(F1790="LI",0.8,
IF(F1790="LD",0.8,
IF(F1790="MCD",0.85,
IF(F1790="MC",0.95,
IF(F1790="MO",1.05,
IF(F1790="EI",1.1,
IF(F1790="ED",1.1,
IF(F1790="SD",1.15,
IF(F1790="DC",1.2,0)))))))))))</f>
        <v>0.95</v>
      </c>
    </row>
    <row r="1791" customFormat="false" ht="16.4" hidden="false" customHeight="false" outlineLevel="0" collapsed="false">
      <c r="A1791" s="1" t="n">
        <v>1790</v>
      </c>
      <c r="B1791" s="5" t="str">
        <f aca="false">[1]Base_Jugadores!B1791</f>
        <v>Maximilian Philipp</v>
      </c>
      <c r="C1791" s="5" t="str">
        <f aca="false">IFERROR(
   _xlfn.XLOOKUP(VALUE(A1791),[1]Fichajes_Realizados!A$2:A$50000,[1]Fichajes_Realizados!D$2:D$50000,,0,-1),
   _xlfn.XLOOKUP(VALUE(A1791),[1]Base_Jugadores!A$2:A$50000,[1]Base_Jugadores!C$2:C$50000)
)</f>
        <v>SC Friburgo</v>
      </c>
      <c r="D1791" s="5" t="str">
        <f aca="false">[1]Base_Jugadores!D1791</f>
        <v>Alemania</v>
      </c>
      <c r="E1791" s="3"/>
      <c r="F1791" s="5" t="str">
        <f aca="false">[1]Base_Jugadores!E1791</f>
        <v>SD</v>
      </c>
      <c r="G1791" s="5" t="n">
        <f aca="false">[1]Base_Jugadores!F1791</f>
        <v>71</v>
      </c>
      <c r="H1791" s="5" t="n">
        <f aca="false">[1]Base_Jugadores!G1791</f>
        <v>31</v>
      </c>
      <c r="I1791" s="7" t="n">
        <f aca="false" t="array" ref="I1791:I1791">_xlfn.XLOOKUP(G1791,{55;56;57;58;59;60;61;62;63;64;65;66;67;68;69;70;71;72;73;74;75;76;77;78;79;80;81;82;83;84;85;86;87;88;89;90;91;92;93;94;95;96;97;98;99},{100000;130000;160000;190000;220000;250000;300000;350000;400000;450000;500000;600000;700000;800000;900000;1000000;1500000;2000000;3000000;4000000;5000000;6500000;8000000;10000000;12500000;15000000;20000000;25000000;30000000;35000000;40000000;55000000;70000000;80000000;90000000;110000000;130000000;160000000;190000000;220000000;250000000;280000000;310000000;340000000;400000000})</f>
        <v>1500000</v>
      </c>
      <c r="J1791" s="7" t="n">
        <f aca="false">I1791*S1791*T1791*U1791</f>
        <v>2173500</v>
      </c>
      <c r="K1791" s="3"/>
      <c r="L1791" s="3"/>
      <c r="M1791" s="3"/>
      <c r="N1791" s="9" t="n">
        <v>0</v>
      </c>
      <c r="O1791" s="4" t="n">
        <v>0</v>
      </c>
      <c r="P1791" s="5" t="n">
        <f aca="false">IF(COUNTIF([1]Base_Jugadores!J$2:J$500,B1791)&gt;0,1,0)</f>
        <v>0</v>
      </c>
      <c r="Q1791" s="10" t="b">
        <f aca="false">--(COUNTIFS(
   [1]Fichajes_Realizados!A$2:A$5000,A1791,
   [1]Fichajes_Realizados!G$2:G$5000,$X$3
)&gt;0)</f>
        <v>0</v>
      </c>
      <c r="R1791" s="5" t="n">
        <f aca="false">_xlfn.XLOOKUP(C1791, [1]Estado_Equipos!A$2:A$500, [1]Estado_Equipos!J$2:J$500, "")</f>
        <v>73</v>
      </c>
      <c r="S1791" s="5" t="n">
        <f aca="false">IF(H1791&lt;=16,1.45,
IF(H1791&gt;=41,0.3,
CHOOSE(ROUNDDOWN((H1791-16)/2,0)+1,
1.45,1.38,1.3,1.23,1.17,1.15,1.12,1.05,0.95,0.8,0.6,0.4,0.3)))</f>
        <v>1.05</v>
      </c>
      <c r="T1791" s="5" t="n">
        <f aca="false">CHOOSE(N1791+1,1.2,1,0.85,0.7)</f>
        <v>1.2</v>
      </c>
      <c r="U1791" s="5" t="n">
        <f aca="false">IF(F1791="PO",0.6,
IF(F1791="CT",0.75,
IF(F1791="LI",0.8,
IF(F1791="LD",0.8,
IF(F1791="MCD",0.85,
IF(F1791="MC",0.95,
IF(F1791="MO",1.05,
IF(F1791="EI",1.1,
IF(F1791="ED",1.1,
IF(F1791="SD",1.15,
IF(F1791="DC",1.2,0)))))))))))</f>
        <v>1.15</v>
      </c>
    </row>
    <row r="1792" customFormat="false" ht="16.4" hidden="false" customHeight="false" outlineLevel="0" collapsed="false">
      <c r="A1792" s="1" t="n">
        <v>1791</v>
      </c>
      <c r="B1792" s="5" t="str">
        <f aca="false">[1]Base_Jugadores!B1792</f>
        <v>Nicolas Höfler</v>
      </c>
      <c r="C1792" s="5" t="str">
        <f aca="false">IFERROR(
   _xlfn.XLOOKUP(VALUE(A1792),[1]Fichajes_Realizados!A$2:A$50000,[1]Fichajes_Realizados!D$2:D$50000,,0,-1),
   _xlfn.XLOOKUP(VALUE(A1792),[1]Base_Jugadores!A$2:A$50000,[1]Base_Jugadores!C$2:C$50000)
)</f>
        <v>SC Friburgo</v>
      </c>
      <c r="D1792" s="5" t="str">
        <f aca="false">[1]Base_Jugadores!D1792</f>
        <v>Alemania</v>
      </c>
      <c r="E1792" s="3"/>
      <c r="F1792" s="5" t="str">
        <f aca="false">[1]Base_Jugadores!E1792</f>
        <v>MCD</v>
      </c>
      <c r="G1792" s="5" t="n">
        <f aca="false">[1]Base_Jugadores!F1792</f>
        <v>76</v>
      </c>
      <c r="H1792" s="5" t="n">
        <f aca="false">[1]Base_Jugadores!G1792</f>
        <v>35</v>
      </c>
      <c r="I1792" s="7" t="n">
        <f aca="false" t="array" ref="I1792:I1792">_xlfn.XLOOKUP(G1792,{55;56;57;58;59;60;61;62;63;64;65;66;67;68;69;70;71;72;73;74;75;76;77;78;79;80;81;82;83;84;85;86;87;88;89;90;91;92;93;94;95;96;97;98;99},{100000;130000;160000;190000;220000;250000;300000;350000;400000;450000;500000;600000;700000;800000;900000;1000000;1500000;2000000;3000000;4000000;5000000;6500000;8000000;10000000;12500000;15000000;20000000;25000000;30000000;35000000;40000000;55000000;70000000;80000000;90000000;110000000;130000000;160000000;190000000;220000000;250000000;280000000;310000000;340000000;400000000})</f>
        <v>6500000</v>
      </c>
      <c r="J1792" s="7" t="n">
        <f aca="false">I1792*S1792*T1792*U1792</f>
        <v>5304000</v>
      </c>
      <c r="K1792" s="3"/>
      <c r="L1792" s="3"/>
      <c r="M1792" s="3"/>
      <c r="N1792" s="9" t="n">
        <v>0</v>
      </c>
      <c r="O1792" s="4" t="n">
        <v>0</v>
      </c>
      <c r="P1792" s="5" t="n">
        <f aca="false">IF(COUNTIF([1]Base_Jugadores!J$2:J$500,B1792)&gt;0,1,0)</f>
        <v>0</v>
      </c>
      <c r="Q1792" s="10" t="b">
        <f aca="false">--(COUNTIFS(
   [1]Fichajes_Realizados!A$2:A$5000,A1792,
   [1]Fichajes_Realizados!G$2:G$5000,$X$3
)&gt;0)</f>
        <v>0</v>
      </c>
      <c r="R1792" s="5" t="n">
        <f aca="false">_xlfn.XLOOKUP(C1792, [1]Estado_Equipos!A$2:A$500, [1]Estado_Equipos!J$2:J$500, "")</f>
        <v>73</v>
      </c>
      <c r="S1792" s="5" t="n">
        <f aca="false">IF(H1792&lt;=16,1.45,
IF(H1792&gt;=41,0.3,
CHOOSE(ROUNDDOWN((H1792-16)/2,0)+1,
1.45,1.38,1.3,1.23,1.17,1.15,1.12,1.05,0.95,0.8,0.6,0.4,0.3)))</f>
        <v>0.8</v>
      </c>
      <c r="T1792" s="5" t="n">
        <f aca="false">CHOOSE(N1792+1,1.2,1,0.85,0.7)</f>
        <v>1.2</v>
      </c>
      <c r="U1792" s="5" t="n">
        <f aca="false">IF(F1792="PO",0.6,
IF(F1792="CT",0.75,
IF(F1792="LI",0.8,
IF(F1792="LD",0.8,
IF(F1792="MCD",0.85,
IF(F1792="MC",0.95,
IF(F1792="MO",1.05,
IF(F1792="EI",1.1,
IF(F1792="ED",1.1,
IF(F1792="SD",1.15,
IF(F1792="DC",1.2,0)))))))))))</f>
        <v>0.85</v>
      </c>
    </row>
    <row r="1793" customFormat="false" ht="16.4" hidden="false" customHeight="false" outlineLevel="0" collapsed="false">
      <c r="A1793" s="1" t="n">
        <v>1792</v>
      </c>
      <c r="B1793" s="5" t="str">
        <f aca="false">[1]Base_Jugadores!B1793</f>
        <v>Niklas Beste</v>
      </c>
      <c r="C1793" s="5" t="str">
        <f aca="false">IFERROR(
   _xlfn.XLOOKUP(VALUE(A1793),[1]Fichajes_Realizados!A$2:A$50000,[1]Fichajes_Realizados!D$2:D$50000,,0,-1),
   _xlfn.XLOOKUP(VALUE(A1793),[1]Base_Jugadores!A$2:A$50000,[1]Base_Jugadores!C$2:C$50000)
)</f>
        <v>SC Friburgo</v>
      </c>
      <c r="D1793" s="5" t="str">
        <f aca="false">[1]Base_Jugadores!D1793</f>
        <v>Alemania</v>
      </c>
      <c r="E1793" s="3"/>
      <c r="F1793" s="5" t="str">
        <f aca="false">[1]Base_Jugadores!E1793</f>
        <v>ED</v>
      </c>
      <c r="G1793" s="5" t="n">
        <f aca="false">[1]Base_Jugadores!F1793</f>
        <v>78</v>
      </c>
      <c r="H1793" s="5" t="n">
        <f aca="false">[1]Base_Jugadores!G1793</f>
        <v>26</v>
      </c>
      <c r="I1793" s="7" t="n">
        <f aca="false" t="array" ref="I1793:I1793">_xlfn.XLOOKUP(G1793,{55;56;57;58;59;60;61;62;63;64;65;66;67;68;69;70;71;72;73;74;75;76;77;78;79;80;81;82;83;84;85;86;87;88;89;90;91;92;93;94;95;96;97;98;99},{100000;130000;160000;190000;220000;250000;300000;350000;400000;450000;500000;600000;700000;800000;900000;1000000;1500000;2000000;3000000;4000000;5000000;6500000;8000000;10000000;12500000;15000000;20000000;25000000;30000000;35000000;40000000;55000000;70000000;80000000;90000000;110000000;130000000;160000000;190000000;220000000;250000000;280000000;310000000;340000000;400000000})</f>
        <v>10000000</v>
      </c>
      <c r="J1793" s="7" t="n">
        <f aca="false">I1793*S1793*T1793*U1793</f>
        <v>15180000</v>
      </c>
      <c r="K1793" s="3"/>
      <c r="L1793" s="3"/>
      <c r="M1793" s="3"/>
      <c r="N1793" s="9" t="n">
        <v>0</v>
      </c>
      <c r="O1793" s="4" t="n">
        <v>0</v>
      </c>
      <c r="P1793" s="5" t="n">
        <f aca="false">IF(COUNTIF([1]Base_Jugadores!J$2:J$500,B1793)&gt;0,1,0)</f>
        <v>0</v>
      </c>
      <c r="Q1793" s="10" t="b">
        <f aca="false">--(COUNTIFS(
   [1]Fichajes_Realizados!A$2:A$5000,A1793,
   [1]Fichajes_Realizados!G$2:G$5000,$X$3
)&gt;0)</f>
        <v>0</v>
      </c>
      <c r="R1793" s="5" t="n">
        <f aca="false">_xlfn.XLOOKUP(C1793, [1]Estado_Equipos!A$2:A$500, [1]Estado_Equipos!J$2:J$500, "")</f>
        <v>73</v>
      </c>
      <c r="S1793" s="5" t="n">
        <f aca="false">IF(H1793&lt;=16,1.45,
IF(H1793&gt;=41,0.3,
CHOOSE(ROUNDDOWN((H1793-16)/2,0)+1,
1.45,1.38,1.3,1.23,1.17,1.15,1.12,1.05,0.95,0.8,0.6,0.4,0.3)))</f>
        <v>1.15</v>
      </c>
      <c r="T1793" s="5" t="n">
        <f aca="false">CHOOSE(N1793+1,1.2,1,0.85,0.7)</f>
        <v>1.2</v>
      </c>
      <c r="U1793" s="5" t="n">
        <f aca="false">IF(F1793="PO",0.6,
IF(F1793="CT",0.75,
IF(F1793="LI",0.8,
IF(F1793="LD",0.8,
IF(F1793="MCD",0.85,
IF(F1793="MC",0.95,
IF(F1793="MO",1.05,
IF(F1793="EI",1.1,
IF(F1793="ED",1.1,
IF(F1793="SD",1.15,
IF(F1793="DC",1.2,0)))))))))))</f>
        <v>1.1</v>
      </c>
    </row>
    <row r="1794" customFormat="false" ht="16.4" hidden="false" customHeight="false" outlineLevel="0" collapsed="false">
      <c r="A1794" s="1" t="n">
        <v>1793</v>
      </c>
      <c r="B1794" s="5" t="str">
        <f aca="false">[1]Base_Jugadores!B1794</f>
        <v>Noah Atubolu</v>
      </c>
      <c r="C1794" s="5" t="str">
        <f aca="false">IFERROR(
   _xlfn.XLOOKUP(VALUE(A1794),[1]Fichajes_Realizados!A$2:A$50000,[1]Fichajes_Realizados!D$2:D$50000,,0,-1),
   _xlfn.XLOOKUP(VALUE(A1794),[1]Base_Jugadores!A$2:A$50000,[1]Base_Jugadores!C$2:C$50000)
)</f>
        <v>SC Friburgo</v>
      </c>
      <c r="D1794" s="5" t="str">
        <f aca="false">[1]Base_Jugadores!D1794</f>
        <v>Alemania</v>
      </c>
      <c r="E1794" s="3"/>
      <c r="F1794" s="5" t="str">
        <f aca="false">[1]Base_Jugadores!E1794</f>
        <v>PO</v>
      </c>
      <c r="G1794" s="5" t="n">
        <f aca="false">[1]Base_Jugadores!F1794</f>
        <v>74</v>
      </c>
      <c r="H1794" s="5" t="n">
        <f aca="false">[1]Base_Jugadores!G1794</f>
        <v>23</v>
      </c>
      <c r="I1794" s="7" t="n">
        <f aca="false" t="array" ref="I1794:I1794">_xlfn.XLOOKUP(G1794,{55;56;57;58;59;60;61;62;63;64;65;66;67;68;69;70;71;72;73;74;75;76;77;78;79;80;81;82;83;84;85;86;87;88;89;90;91;92;93;94;95;96;97;98;99},{100000;130000;160000;190000;220000;250000;300000;350000;400000;450000;500000;600000;700000;800000;900000;1000000;1500000;2000000;3000000;4000000;5000000;6500000;8000000;10000000;12500000;15000000;20000000;25000000;30000000;35000000;40000000;55000000;70000000;80000000;90000000;110000000;130000000;160000000;190000000;220000000;250000000;280000000;310000000;340000000;400000000})</f>
        <v>4000000</v>
      </c>
      <c r="J1794" s="7" t="n">
        <f aca="false">I1794*S1794*T1794*U1794</f>
        <v>3542400</v>
      </c>
      <c r="K1794" s="3"/>
      <c r="L1794" s="3"/>
      <c r="M1794" s="3"/>
      <c r="N1794" s="9" t="n">
        <v>0</v>
      </c>
      <c r="O1794" s="4" t="n">
        <v>0</v>
      </c>
      <c r="P1794" s="5" t="n">
        <f aca="false">IF(COUNTIF([1]Base_Jugadores!J$2:J$500,B1794)&gt;0,1,0)</f>
        <v>0</v>
      </c>
      <c r="Q1794" s="10" t="b">
        <f aca="false">--(COUNTIFS(
   [1]Fichajes_Realizados!A$2:A$5000,A1794,
   [1]Fichajes_Realizados!G$2:G$5000,$X$3
)&gt;0)</f>
        <v>0</v>
      </c>
      <c r="R1794" s="5" t="n">
        <f aca="false">_xlfn.XLOOKUP(C1794, [1]Estado_Equipos!A$2:A$500, [1]Estado_Equipos!J$2:J$500, "")</f>
        <v>73</v>
      </c>
      <c r="S1794" s="5" t="n">
        <f aca="false">IF(H1794&lt;=16,1.45,
IF(H1794&gt;=41,0.3,
CHOOSE(ROUNDDOWN((H1794-16)/2,0)+1,
1.45,1.38,1.3,1.23,1.17,1.15,1.12,1.05,0.95,0.8,0.6,0.4,0.3)))</f>
        <v>1.23</v>
      </c>
      <c r="T1794" s="5" t="n">
        <f aca="false">CHOOSE(N1794+1,1.2,1,0.85,0.7)</f>
        <v>1.2</v>
      </c>
      <c r="U1794" s="5" t="n">
        <f aca="false">IF(F1794="PO",0.6,
IF(F1794="CT",0.75,
IF(F1794="LI",0.8,
IF(F1794="LD",0.8,
IF(F1794="MCD",0.85,
IF(F1794="MC",0.95,
IF(F1794="MO",1.05,
IF(F1794="EI",1.1,
IF(F1794="ED",1.1,
IF(F1794="SD",1.15,
IF(F1794="DC",1.2,0)))))))))))</f>
        <v>0.6</v>
      </c>
    </row>
    <row r="1795" customFormat="false" ht="16.4" hidden="false" customHeight="false" outlineLevel="0" collapsed="false">
      <c r="A1795" s="1" t="n">
        <v>1794</v>
      </c>
      <c r="B1795" s="5" t="str">
        <f aca="false">[1]Base_Jugadores!B1795</f>
        <v>Patrick Osterhage</v>
      </c>
      <c r="C1795" s="5" t="str">
        <f aca="false">IFERROR(
   _xlfn.XLOOKUP(VALUE(A1795),[1]Fichajes_Realizados!A$2:A$50000,[1]Fichajes_Realizados!D$2:D$50000,,0,-1),
   _xlfn.XLOOKUP(VALUE(A1795),[1]Base_Jugadores!A$2:A$50000,[1]Base_Jugadores!C$2:C$50000)
)</f>
        <v>SC Friburgo</v>
      </c>
      <c r="D1795" s="5" t="str">
        <f aca="false">[1]Base_Jugadores!D1795</f>
        <v>Alemania</v>
      </c>
      <c r="E1795" s="3"/>
      <c r="F1795" s="5" t="str">
        <f aca="false">[1]Base_Jugadores!E1795</f>
        <v>MCD</v>
      </c>
      <c r="G1795" s="5" t="n">
        <f aca="false">[1]Base_Jugadores!F1795</f>
        <v>76</v>
      </c>
      <c r="H1795" s="5" t="n">
        <f aca="false">[1]Base_Jugadores!G1795</f>
        <v>25</v>
      </c>
      <c r="I1795" s="7" t="n">
        <f aca="false" t="array" ref="I1795:I1795">_xlfn.XLOOKUP(G1795,{55;56;57;58;59;60;61;62;63;64;65;66;67;68;69;70;71;72;73;74;75;76;77;78;79;80;81;82;83;84;85;86;87;88;89;90;91;92;93;94;95;96;97;98;99},{100000;130000;160000;190000;220000;250000;300000;350000;400000;450000;500000;600000;700000;800000;900000;1000000;1500000;2000000;3000000;4000000;5000000;6500000;8000000;10000000;12500000;15000000;20000000;25000000;30000000;35000000;40000000;55000000;70000000;80000000;90000000;110000000;130000000;160000000;190000000;220000000;250000000;280000000;310000000;340000000;400000000})</f>
        <v>6500000</v>
      </c>
      <c r="J1795" s="7" t="n">
        <f aca="false">I1795*S1795*T1795*U1795</f>
        <v>7757100</v>
      </c>
      <c r="K1795" s="3"/>
      <c r="L1795" s="3"/>
      <c r="M1795" s="3"/>
      <c r="N1795" s="9" t="n">
        <v>0</v>
      </c>
      <c r="O1795" s="4" t="n">
        <v>0</v>
      </c>
      <c r="P1795" s="5" t="n">
        <f aca="false">IF(COUNTIF([1]Base_Jugadores!J$2:J$500,B1795)&gt;0,1,0)</f>
        <v>0</v>
      </c>
      <c r="Q1795" s="10" t="b">
        <f aca="false">--(COUNTIFS(
   [1]Fichajes_Realizados!A$2:A$5000,A1795,
   [1]Fichajes_Realizados!G$2:G$5000,$X$3
)&gt;0)</f>
        <v>0</v>
      </c>
      <c r="R1795" s="5" t="n">
        <f aca="false">_xlfn.XLOOKUP(C1795, [1]Estado_Equipos!A$2:A$500, [1]Estado_Equipos!J$2:J$500, "")</f>
        <v>73</v>
      </c>
      <c r="S1795" s="5" t="n">
        <f aca="false">IF(H1795&lt;=16,1.45,
IF(H1795&gt;=41,0.3,
CHOOSE(ROUNDDOWN((H1795-16)/2,0)+1,
1.45,1.38,1.3,1.23,1.17,1.15,1.12,1.05,0.95,0.8,0.6,0.4,0.3)))</f>
        <v>1.17</v>
      </c>
      <c r="T1795" s="5" t="n">
        <f aca="false">CHOOSE(N1795+1,1.2,1,0.85,0.7)</f>
        <v>1.2</v>
      </c>
      <c r="U1795" s="5" t="n">
        <f aca="false">IF(F1795="PO",0.6,
IF(F1795="CT",0.75,
IF(F1795="LI",0.8,
IF(F1795="LD",0.8,
IF(F1795="MCD",0.85,
IF(F1795="MC",0.95,
IF(F1795="MO",1.05,
IF(F1795="EI",1.1,
IF(F1795="ED",1.1,
IF(F1795="SD",1.15,
IF(F1795="DC",1.2,0)))))))))))</f>
        <v>0.85</v>
      </c>
    </row>
    <row r="1796" customFormat="false" ht="16.4" hidden="false" customHeight="false" outlineLevel="0" collapsed="false">
      <c r="A1796" s="1" t="n">
        <v>1795</v>
      </c>
      <c r="B1796" s="5" t="str">
        <f aca="false">[1]Base_Jugadores!B1796</f>
        <v>Philipp Lienhart</v>
      </c>
      <c r="C1796" s="5" t="str">
        <f aca="false">IFERROR(
   _xlfn.XLOOKUP(VALUE(A1796),[1]Fichajes_Realizados!A$2:A$50000,[1]Fichajes_Realizados!D$2:D$50000,,0,-1),
   _xlfn.XLOOKUP(VALUE(A1796),[1]Base_Jugadores!A$2:A$50000,[1]Base_Jugadores!C$2:C$50000)
)</f>
        <v>SC Friburgo</v>
      </c>
      <c r="D1796" s="5" t="str">
        <f aca="false">[1]Base_Jugadores!D1796</f>
        <v>Austria</v>
      </c>
      <c r="E1796" s="3"/>
      <c r="F1796" s="5" t="str">
        <f aca="false">[1]Base_Jugadores!E1796</f>
        <v>CT</v>
      </c>
      <c r="G1796" s="5" t="n">
        <f aca="false">[1]Base_Jugadores!F1796</f>
        <v>79</v>
      </c>
      <c r="H1796" s="5" t="n">
        <f aca="false">[1]Base_Jugadores!G1796</f>
        <v>29</v>
      </c>
      <c r="I1796" s="7" t="n">
        <f aca="false" t="array" ref="I1796:I1796">_xlfn.XLOOKUP(G1796,{55;56;57;58;59;60;61;62;63;64;65;66;67;68;69;70;71;72;73;74;75;76;77;78;79;80;81;82;83;84;85;86;87;88;89;90;91;92;93;94;95;96;97;98;99},{100000;130000;160000;190000;220000;250000;300000;350000;400000;450000;500000;600000;700000;800000;900000;1000000;1500000;2000000;3000000;4000000;5000000;6500000;8000000;10000000;12500000;15000000;20000000;25000000;30000000;35000000;40000000;55000000;70000000;80000000;90000000;110000000;130000000;160000000;190000000;220000000;250000000;280000000;310000000;340000000;400000000})</f>
        <v>12500000</v>
      </c>
      <c r="J1796" s="7" t="n">
        <f aca="false">I1796*S1796*T1796*U1796</f>
        <v>12600000</v>
      </c>
      <c r="K1796" s="3"/>
      <c r="L1796" s="3"/>
      <c r="M1796" s="3"/>
      <c r="N1796" s="9" t="n">
        <v>0</v>
      </c>
      <c r="O1796" s="4" t="n">
        <v>0</v>
      </c>
      <c r="P1796" s="5" t="n">
        <f aca="false">IF(COUNTIF([1]Base_Jugadores!J$2:J$500,B1796)&gt;0,1,0)</f>
        <v>0</v>
      </c>
      <c r="Q1796" s="10" t="b">
        <f aca="false">--(COUNTIFS(
   [1]Fichajes_Realizados!A$2:A$5000,A1796,
   [1]Fichajes_Realizados!G$2:G$5000,$X$3
)&gt;0)</f>
        <v>0</v>
      </c>
      <c r="R1796" s="5" t="n">
        <f aca="false">_xlfn.XLOOKUP(C1796, [1]Estado_Equipos!A$2:A$500, [1]Estado_Equipos!J$2:J$500, "")</f>
        <v>73</v>
      </c>
      <c r="S1796" s="5" t="n">
        <f aca="false">IF(H1796&lt;=16,1.45,
IF(H1796&gt;=41,0.3,
CHOOSE(ROUNDDOWN((H1796-16)/2,0)+1,
1.45,1.38,1.3,1.23,1.17,1.15,1.12,1.05,0.95,0.8,0.6,0.4,0.3)))</f>
        <v>1.12</v>
      </c>
      <c r="T1796" s="5" t="n">
        <f aca="false">CHOOSE(N1796+1,1.2,1,0.85,0.7)</f>
        <v>1.2</v>
      </c>
      <c r="U1796" s="5" t="n">
        <f aca="false">IF(F1796="PO",0.6,
IF(F1796="CT",0.75,
IF(F1796="LI",0.8,
IF(F1796="LD",0.8,
IF(F1796="MCD",0.85,
IF(F1796="MC",0.95,
IF(F1796="MO",1.05,
IF(F1796="EI",1.1,
IF(F1796="ED",1.1,
IF(F1796="SD",1.15,
IF(F1796="DC",1.2,0)))))))))))</f>
        <v>0.75</v>
      </c>
    </row>
    <row r="1797" customFormat="false" ht="16.4" hidden="false" customHeight="false" outlineLevel="0" collapsed="false">
      <c r="A1797" s="1" t="n">
        <v>1796</v>
      </c>
      <c r="B1797" s="5" t="str">
        <f aca="false">[1]Base_Jugadores!B1797</f>
        <v>Philipp Treu</v>
      </c>
      <c r="C1797" s="5" t="str">
        <f aca="false">IFERROR(
   _xlfn.XLOOKUP(VALUE(A1797),[1]Fichajes_Realizados!A$2:A$50000,[1]Fichajes_Realizados!D$2:D$50000,,0,-1),
   _xlfn.XLOOKUP(VALUE(A1797),[1]Base_Jugadores!A$2:A$50000,[1]Base_Jugadores!C$2:C$50000)
)</f>
        <v>SC Friburgo</v>
      </c>
      <c r="D1797" s="5" t="str">
        <f aca="false">[1]Base_Jugadores!D1797</f>
        <v>Alemania</v>
      </c>
      <c r="E1797" s="3"/>
      <c r="F1797" s="5" t="str">
        <f aca="false">[1]Base_Jugadores!E1797</f>
        <v>LD</v>
      </c>
      <c r="G1797" s="5" t="n">
        <f aca="false">[1]Base_Jugadores!F1797</f>
        <v>71</v>
      </c>
      <c r="H1797" s="5" t="n">
        <f aca="false">[1]Base_Jugadores!G1797</f>
        <v>25</v>
      </c>
      <c r="I1797" s="7" t="n">
        <f aca="false" t="array" ref="I1797:I1797">_xlfn.XLOOKUP(G1797,{55;56;57;58;59;60;61;62;63;64;65;66;67;68;69;70;71;72;73;74;75;76;77;78;79;80;81;82;83;84;85;86;87;88;89;90;91;92;93;94;95;96;97;98;99},{100000;130000;160000;190000;220000;250000;300000;350000;400000;450000;500000;600000;700000;800000;900000;1000000;1500000;2000000;3000000;4000000;5000000;6500000;8000000;10000000;12500000;15000000;20000000;25000000;30000000;35000000;40000000;55000000;70000000;80000000;90000000;110000000;130000000;160000000;190000000;220000000;250000000;280000000;310000000;340000000;400000000})</f>
        <v>1500000</v>
      </c>
      <c r="J1797" s="7" t="n">
        <f aca="false">I1797*S1797*T1797*U1797</f>
        <v>1684800</v>
      </c>
      <c r="K1797" s="3"/>
      <c r="L1797" s="3"/>
      <c r="M1797" s="3"/>
      <c r="N1797" s="9" t="n">
        <v>0</v>
      </c>
      <c r="O1797" s="4" t="n">
        <v>0</v>
      </c>
      <c r="P1797" s="5" t="n">
        <f aca="false">IF(COUNTIF([1]Base_Jugadores!J$2:J$500,B1797)&gt;0,1,0)</f>
        <v>0</v>
      </c>
      <c r="Q1797" s="10" t="b">
        <f aca="false">--(COUNTIFS(
   [1]Fichajes_Realizados!A$2:A$5000,A1797,
   [1]Fichajes_Realizados!G$2:G$5000,$X$3
)&gt;0)</f>
        <v>0</v>
      </c>
      <c r="R1797" s="5" t="n">
        <f aca="false">_xlfn.XLOOKUP(C1797, [1]Estado_Equipos!A$2:A$500, [1]Estado_Equipos!J$2:J$500, "")</f>
        <v>73</v>
      </c>
      <c r="S1797" s="5" t="n">
        <f aca="false">IF(H1797&lt;=16,1.45,
IF(H1797&gt;=41,0.3,
CHOOSE(ROUNDDOWN((H1797-16)/2,0)+1,
1.45,1.38,1.3,1.23,1.17,1.15,1.12,1.05,0.95,0.8,0.6,0.4,0.3)))</f>
        <v>1.17</v>
      </c>
      <c r="T1797" s="5" t="n">
        <f aca="false">CHOOSE(N1797+1,1.2,1,0.85,0.7)</f>
        <v>1.2</v>
      </c>
      <c r="U1797" s="5" t="n">
        <f aca="false">IF(F1797="PO",0.6,
IF(F1797="CT",0.75,
IF(F1797="LI",0.8,
IF(F1797="LD",0.8,
IF(F1797="MCD",0.85,
IF(F1797="MC",0.95,
IF(F1797="MO",1.05,
IF(F1797="EI",1.1,
IF(F1797="ED",1.1,
IF(F1797="SD",1.15,
IF(F1797="DC",1.2,0)))))))))))</f>
        <v>0.8</v>
      </c>
    </row>
    <row r="1798" customFormat="false" ht="16.4" hidden="false" customHeight="false" outlineLevel="0" collapsed="false">
      <c r="A1798" s="1" t="n">
        <v>1797</v>
      </c>
      <c r="B1798" s="5" t="str">
        <f aca="false">[1]Base_Jugadores!B1798</f>
        <v>Vincenzo Grifo</v>
      </c>
      <c r="C1798" s="5" t="str">
        <f aca="false">IFERROR(
   _xlfn.XLOOKUP(VALUE(A1798),[1]Fichajes_Realizados!A$2:A$50000,[1]Fichajes_Realizados!D$2:D$50000,,0,-1),
   _xlfn.XLOOKUP(VALUE(A1798),[1]Base_Jugadores!A$2:A$50000,[1]Base_Jugadores!C$2:C$50000)
)</f>
        <v>SC Friburgo</v>
      </c>
      <c r="D1798" s="5" t="str">
        <f aca="false">[1]Base_Jugadores!D1798</f>
        <v>Italia</v>
      </c>
      <c r="E1798" s="3"/>
      <c r="F1798" s="5" t="str">
        <f aca="false">[1]Base_Jugadores!E1798</f>
        <v>EI</v>
      </c>
      <c r="G1798" s="5" t="n">
        <f aca="false">[1]Base_Jugadores!F1798</f>
        <v>81</v>
      </c>
      <c r="H1798" s="5" t="n">
        <f aca="false">[1]Base_Jugadores!G1798</f>
        <v>32</v>
      </c>
      <c r="I1798" s="7" t="n">
        <f aca="false" t="array" ref="I1798:I1798">_xlfn.XLOOKUP(G1798,{55;56;57;58;59;60;61;62;63;64;65;66;67;68;69;70;71;72;73;74;75;76;77;78;79;80;81;82;83;84;85;86;87;88;89;90;91;92;93;94;95;96;97;98;99},{100000;130000;160000;190000;220000;250000;300000;350000;400000;450000;500000;600000;700000;800000;900000;1000000;1500000;2000000;3000000;4000000;5000000;6500000;8000000;10000000;12500000;15000000;20000000;25000000;30000000;35000000;40000000;55000000;70000000;80000000;90000000;110000000;130000000;160000000;190000000;220000000;250000000;280000000;310000000;340000000;400000000})</f>
        <v>20000000</v>
      </c>
      <c r="J1798" s="7" t="n">
        <f aca="false">I1798*S1798*T1798*U1798</f>
        <v>25080000</v>
      </c>
      <c r="K1798" s="3"/>
      <c r="L1798" s="3"/>
      <c r="M1798" s="3"/>
      <c r="N1798" s="9" t="n">
        <v>0</v>
      </c>
      <c r="O1798" s="4" t="n">
        <v>0</v>
      </c>
      <c r="P1798" s="5" t="n">
        <f aca="false">IF(COUNTIF([1]Base_Jugadores!J$2:J$500,B1798)&gt;0,1,0)</f>
        <v>0</v>
      </c>
      <c r="Q1798" s="10" t="b">
        <f aca="false">--(COUNTIFS(
   [1]Fichajes_Realizados!A$2:A$5000,A1798,
   [1]Fichajes_Realizados!G$2:G$5000,$X$3
)&gt;0)</f>
        <v>0</v>
      </c>
      <c r="R1798" s="5" t="n">
        <f aca="false">_xlfn.XLOOKUP(C1798, [1]Estado_Equipos!A$2:A$500, [1]Estado_Equipos!J$2:J$500, "")</f>
        <v>73</v>
      </c>
      <c r="S1798" s="5" t="n">
        <f aca="false">IF(H1798&lt;=16,1.45,
IF(H1798&gt;=41,0.3,
CHOOSE(ROUNDDOWN((H1798-16)/2,0)+1,
1.45,1.38,1.3,1.23,1.17,1.15,1.12,1.05,0.95,0.8,0.6,0.4,0.3)))</f>
        <v>0.95</v>
      </c>
      <c r="T1798" s="5" t="n">
        <f aca="false">CHOOSE(N1798+1,1.2,1,0.85,0.7)</f>
        <v>1.2</v>
      </c>
      <c r="U1798" s="5" t="n">
        <f aca="false">IF(F1798="PO",0.6,
IF(F1798="CT",0.75,
IF(F1798="LI",0.8,
IF(F1798="LD",0.8,
IF(F1798="MCD",0.85,
IF(F1798="MC",0.95,
IF(F1798="MO",1.05,
IF(F1798="EI",1.1,
IF(F1798="ED",1.1,
IF(F1798="SD",1.15,
IF(F1798="DC",1.2,0)))))))))))</f>
        <v>1.1</v>
      </c>
    </row>
    <row r="1799" customFormat="false" ht="16.4" hidden="false" customHeight="false" outlineLevel="0" collapsed="false">
      <c r="A1799" s="1" t="n">
        <v>1798</v>
      </c>
      <c r="B1799" s="5" t="str">
        <f aca="false">[1]Base_Jugadores!B1799</f>
        <v>Yuito Suzuki</v>
      </c>
      <c r="C1799" s="5" t="str">
        <f aca="false">IFERROR(
   _xlfn.XLOOKUP(VALUE(A1799),[1]Fichajes_Realizados!A$2:A$50000,[1]Fichajes_Realizados!D$2:D$50000,,0,-1),
   _xlfn.XLOOKUP(VALUE(A1799),[1]Base_Jugadores!A$2:A$50000,[1]Base_Jugadores!C$2:C$50000)
)</f>
        <v>SC Friburgo</v>
      </c>
      <c r="D1799" s="5" t="str">
        <f aca="false">[1]Base_Jugadores!D1799</f>
        <v>Japón</v>
      </c>
      <c r="E1799" s="3"/>
      <c r="F1799" s="5" t="str">
        <f aca="false">[1]Base_Jugadores!E1799</f>
        <v>SD</v>
      </c>
      <c r="G1799" s="5" t="n">
        <f aca="false">[1]Base_Jugadores!F1799</f>
        <v>68</v>
      </c>
      <c r="H1799" s="5" t="n">
        <f aca="false">[1]Base_Jugadores!G1799</f>
        <v>24</v>
      </c>
      <c r="I1799" s="7" t="n">
        <f aca="false" t="array" ref="I1799:I1799">_xlfn.XLOOKUP(G1799,{55;56;57;58;59;60;61;62;63;64;65;66;67;68;69;70;71;72;73;74;75;76;77;78;79;80;81;82;83;84;85;86;87;88;89;90;91;92;93;94;95;96;97;98;99},{100000;130000;160000;190000;220000;250000;300000;350000;400000;450000;500000;600000;700000;800000;900000;1000000;1500000;2000000;3000000;4000000;5000000;6500000;8000000;10000000;12500000;15000000;20000000;25000000;30000000;35000000;40000000;55000000;70000000;80000000;90000000;110000000;130000000;160000000;190000000;220000000;250000000;280000000;310000000;340000000;400000000})</f>
        <v>800000</v>
      </c>
      <c r="J1799" s="7" t="n">
        <f aca="false">I1799*S1799*T1799*U1799</f>
        <v>1291680</v>
      </c>
      <c r="K1799" s="3"/>
      <c r="L1799" s="3"/>
      <c r="M1799" s="3"/>
      <c r="N1799" s="9" t="n">
        <v>0</v>
      </c>
      <c r="O1799" s="4" t="n">
        <v>0</v>
      </c>
      <c r="P1799" s="5" t="n">
        <f aca="false">IF(COUNTIF([1]Base_Jugadores!J$2:J$500,B1799)&gt;0,1,0)</f>
        <v>0</v>
      </c>
      <c r="Q1799" s="10" t="b">
        <f aca="false">--(COUNTIFS(
   [1]Fichajes_Realizados!A$2:A$5000,A1799,
   [1]Fichajes_Realizados!G$2:G$5000,$X$3
)&gt;0)</f>
        <v>0</v>
      </c>
      <c r="R1799" s="5" t="n">
        <f aca="false">_xlfn.XLOOKUP(C1799, [1]Estado_Equipos!A$2:A$500, [1]Estado_Equipos!J$2:J$500, "")</f>
        <v>73</v>
      </c>
      <c r="S1799" s="5" t="n">
        <f aca="false">IF(H1799&lt;=16,1.45,
IF(H1799&gt;=41,0.3,
CHOOSE(ROUNDDOWN((H1799-16)/2,0)+1,
1.45,1.38,1.3,1.23,1.17,1.15,1.12,1.05,0.95,0.8,0.6,0.4,0.3)))</f>
        <v>1.17</v>
      </c>
      <c r="T1799" s="5" t="n">
        <f aca="false">CHOOSE(N1799+1,1.2,1,0.85,0.7)</f>
        <v>1.2</v>
      </c>
      <c r="U1799" s="5" t="n">
        <f aca="false">IF(F1799="PO",0.6,
IF(F1799="CT",0.75,
IF(F1799="LI",0.8,
IF(F1799="LD",0.8,
IF(F1799="MCD",0.85,
IF(F1799="MC",0.95,
IF(F1799="MO",1.05,
IF(F1799="EI",1.1,
IF(F1799="ED",1.1,
IF(F1799="SD",1.15,
IF(F1799="DC",1.2,0)))))))))))</f>
        <v>1.15</v>
      </c>
    </row>
    <row r="1800" customFormat="false" ht="16.4" hidden="false" customHeight="false" outlineLevel="0" collapsed="false">
      <c r="A1800" s="1" t="n">
        <v>1799</v>
      </c>
      <c r="B1800" s="5" t="str">
        <f aca="false">[1]Base_Jugadores!B1800</f>
        <v>Diant Ramaj</v>
      </c>
      <c r="C1800" s="5" t="str">
        <f aca="false">IFERROR(
   _xlfn.XLOOKUP(VALUE(A1800),[1]Fichajes_Realizados!A$2:A$50000,[1]Fichajes_Realizados!D$2:D$50000,,0,-1),
   _xlfn.XLOOKUP(VALUE(A1800),[1]Base_Jugadores!A$2:A$50000,[1]Base_Jugadores!C$2:C$50000)
)</f>
        <v>1. FC Heidenheim 1846</v>
      </c>
      <c r="D1800" s="5" t="str">
        <f aca="false">[1]Base_Jugadores!D1800</f>
        <v>Alemania</v>
      </c>
      <c r="E1800" s="3"/>
      <c r="F1800" s="5" t="str">
        <f aca="false">[1]Base_Jugadores!E1800</f>
        <v>PO</v>
      </c>
      <c r="G1800" s="5" t="n">
        <f aca="false">[1]Base_Jugadores!F1800</f>
        <v>74</v>
      </c>
      <c r="H1800" s="5" t="n">
        <f aca="false">[1]Base_Jugadores!G1800</f>
        <v>24</v>
      </c>
      <c r="I1800" s="7" t="n">
        <f aca="false" t="array" ref="I1800:I1800">_xlfn.XLOOKUP(G1800,{55;56;57;58;59;60;61;62;63;64;65;66;67;68;69;70;71;72;73;74;75;76;77;78;79;80;81;82;83;84;85;86;87;88;89;90;91;92;93;94;95;96;97;98;99},{100000;130000;160000;190000;220000;250000;300000;350000;400000;450000;500000;600000;700000;800000;900000;1000000;1500000;2000000;3000000;4000000;5000000;6500000;8000000;10000000;12500000;15000000;20000000;25000000;30000000;35000000;40000000;55000000;70000000;80000000;90000000;110000000;130000000;160000000;190000000;220000000;250000000;280000000;310000000;340000000;400000000})</f>
        <v>4000000</v>
      </c>
      <c r="J1800" s="7" t="n">
        <f aca="false">I1800*S1800*T1800*U1800</f>
        <v>3369600</v>
      </c>
      <c r="K1800" s="3"/>
      <c r="L1800" s="3"/>
      <c r="M1800" s="3"/>
      <c r="N1800" s="9" t="n">
        <v>0</v>
      </c>
      <c r="O1800" s="4" t="n">
        <v>0</v>
      </c>
      <c r="P1800" s="5" t="n">
        <f aca="false">IF(COUNTIF([1]Base_Jugadores!J$2:J$500,B1800)&gt;0,1,0)</f>
        <v>0</v>
      </c>
      <c r="Q1800" s="10" t="b">
        <f aca="false">--(COUNTIFS(
   [1]Fichajes_Realizados!A$2:A$5000,A1800,
   [1]Fichajes_Realizados!G$2:G$5000,$X$3
)&gt;0)</f>
        <v>0</v>
      </c>
      <c r="R1800" s="5" t="n">
        <f aca="false">_xlfn.XLOOKUP(C1800, [1]Estado_Equipos!A$2:A$500, [1]Estado_Equipos!J$2:J$500, "")</f>
        <v>71</v>
      </c>
      <c r="S1800" s="5" t="n">
        <f aca="false">IF(H1800&lt;=16,1.45,
IF(H1800&gt;=41,0.3,
CHOOSE(ROUNDDOWN((H1800-16)/2,0)+1,
1.45,1.38,1.3,1.23,1.17,1.15,1.12,1.05,0.95,0.8,0.6,0.4,0.3)))</f>
        <v>1.17</v>
      </c>
      <c r="T1800" s="5" t="n">
        <f aca="false">CHOOSE(N1800+1,1.2,1,0.85,0.7)</f>
        <v>1.2</v>
      </c>
      <c r="U1800" s="5" t="n">
        <f aca="false">IF(F1800="PO",0.6,
IF(F1800="CT",0.75,
IF(F1800="LI",0.8,
IF(F1800="LD",0.8,
IF(F1800="MCD",0.85,
IF(F1800="MC",0.95,
IF(F1800="MO",1.05,
IF(F1800="EI",1.1,
IF(F1800="ED",1.1,
IF(F1800="SD",1.15,
IF(F1800="DC",1.2,0)))))))))))</f>
        <v>0.6</v>
      </c>
    </row>
    <row r="1801" customFormat="false" ht="16.4" hidden="false" customHeight="false" outlineLevel="0" collapsed="false">
      <c r="A1801" s="1" t="n">
        <v>1800</v>
      </c>
      <c r="B1801" s="5" t="str">
        <f aca="false">[1]Base_Jugadores!B1801</f>
        <v>Adrian Beck</v>
      </c>
      <c r="C1801" s="5" t="str">
        <f aca="false">IFERROR(
   _xlfn.XLOOKUP(VALUE(A1801),[1]Fichajes_Realizados!A$2:A$50000,[1]Fichajes_Realizados!D$2:D$50000,,0,-1),
   _xlfn.XLOOKUP(VALUE(A1801),[1]Base_Jugadores!A$2:A$50000,[1]Base_Jugadores!C$2:C$50000)
)</f>
        <v>1. FC Heidenheim 1846</v>
      </c>
      <c r="D1801" s="5" t="str">
        <f aca="false">[1]Base_Jugadores!D1801</f>
        <v>Alemania</v>
      </c>
      <c r="E1801" s="3"/>
      <c r="F1801" s="5" t="str">
        <f aca="false">[1]Base_Jugadores!E1801</f>
        <v>MO</v>
      </c>
      <c r="G1801" s="5" t="n">
        <f aca="false">[1]Base_Jugadores!F1801</f>
        <v>71</v>
      </c>
      <c r="H1801" s="5" t="n">
        <f aca="false">[1]Base_Jugadores!G1801</f>
        <v>28</v>
      </c>
      <c r="I1801" s="7" t="n">
        <f aca="false" t="array" ref="I1801:I1801">_xlfn.XLOOKUP(G1801,{55;56;57;58;59;60;61;62;63;64;65;66;67;68;69;70;71;72;73;74;75;76;77;78;79;80;81;82;83;84;85;86;87;88;89;90;91;92;93;94;95;96;97;98;99},{100000;130000;160000;190000;220000;250000;300000;350000;400000;450000;500000;600000;700000;800000;900000;1000000;1500000;2000000;3000000;4000000;5000000;6500000;8000000;10000000;12500000;15000000;20000000;25000000;30000000;35000000;40000000;55000000;70000000;80000000;90000000;110000000;130000000;160000000;190000000;220000000;250000000;280000000;310000000;340000000;400000000})</f>
        <v>1500000</v>
      </c>
      <c r="J1801" s="7" t="n">
        <f aca="false">I1801*S1801*T1801*U1801</f>
        <v>2116800</v>
      </c>
      <c r="K1801" s="3"/>
      <c r="L1801" s="3"/>
      <c r="M1801" s="3"/>
      <c r="N1801" s="9" t="n">
        <v>0</v>
      </c>
      <c r="O1801" s="4" t="n">
        <v>0</v>
      </c>
      <c r="P1801" s="5" t="n">
        <f aca="false">IF(COUNTIF([1]Base_Jugadores!J$2:J$500,B1801)&gt;0,1,0)</f>
        <v>0</v>
      </c>
      <c r="Q1801" s="10" t="b">
        <f aca="false">--(COUNTIFS(
   [1]Fichajes_Realizados!A$2:A$5000,A1801,
   [1]Fichajes_Realizados!G$2:G$5000,$X$3
)&gt;0)</f>
        <v>0</v>
      </c>
      <c r="R1801" s="5" t="n">
        <f aca="false">_xlfn.XLOOKUP(C1801, [1]Estado_Equipos!A$2:A$500, [1]Estado_Equipos!J$2:J$500, "")</f>
        <v>71</v>
      </c>
      <c r="S1801" s="5" t="n">
        <f aca="false">IF(H1801&lt;=16,1.45,
IF(H1801&gt;=41,0.3,
CHOOSE(ROUNDDOWN((H1801-16)/2,0)+1,
1.45,1.38,1.3,1.23,1.17,1.15,1.12,1.05,0.95,0.8,0.6,0.4,0.3)))</f>
        <v>1.12</v>
      </c>
      <c r="T1801" s="5" t="n">
        <f aca="false">CHOOSE(N1801+1,1.2,1,0.85,0.7)</f>
        <v>1.2</v>
      </c>
      <c r="U1801" s="5" t="n">
        <f aca="false">IF(F1801="PO",0.6,
IF(F1801="CT",0.75,
IF(F1801="LI",0.8,
IF(F1801="LD",0.8,
IF(F1801="MCD",0.85,
IF(F1801="MC",0.95,
IF(F1801="MO",1.05,
IF(F1801="EI",1.1,
IF(F1801="ED",1.1,
IF(F1801="SD",1.15,
IF(F1801="DC",1.2,0)))))))))))</f>
        <v>1.05</v>
      </c>
    </row>
    <row r="1802" customFormat="false" ht="16.4" hidden="false" customHeight="false" outlineLevel="0" collapsed="false">
      <c r="A1802" s="1" t="n">
        <v>1801</v>
      </c>
      <c r="B1802" s="5" t="str">
        <f aca="false">[1]Base_Jugadores!B1802</f>
        <v>Arijon Ibrahimovic</v>
      </c>
      <c r="C1802" s="5" t="str">
        <f aca="false">IFERROR(
   _xlfn.XLOOKUP(VALUE(A1802),[1]Fichajes_Realizados!A$2:A$50000,[1]Fichajes_Realizados!D$2:D$50000,,0,-1),
   _xlfn.XLOOKUP(VALUE(A1802),[1]Base_Jugadores!A$2:A$50000,[1]Base_Jugadores!C$2:C$50000)
)</f>
        <v>1. FC Heidenheim 1846</v>
      </c>
      <c r="D1802" s="5" t="str">
        <f aca="false">[1]Base_Jugadores!D1802</f>
        <v>Alemania</v>
      </c>
      <c r="E1802" s="3"/>
      <c r="F1802" s="5" t="str">
        <f aca="false">[1]Base_Jugadores!E1802</f>
        <v>MO</v>
      </c>
      <c r="G1802" s="5" t="n">
        <f aca="false">[1]Base_Jugadores!F1802</f>
        <v>69</v>
      </c>
      <c r="H1802" s="5" t="n">
        <f aca="false">[1]Base_Jugadores!G1802</f>
        <v>20</v>
      </c>
      <c r="I1802" s="7" t="n">
        <f aca="false" t="array" ref="I1802:I1802">_xlfn.XLOOKUP(G1802,{55;56;57;58;59;60;61;62;63;64;65;66;67;68;69;70;71;72;73;74;75;76;77;78;79;80;81;82;83;84;85;86;87;88;89;90;91;92;93;94;95;96;97;98;99},{100000;130000;160000;190000;220000;250000;300000;350000;400000;450000;500000;600000;700000;800000;900000;1000000;1500000;2000000;3000000;4000000;5000000;6500000;8000000;10000000;12500000;15000000;20000000;25000000;30000000;35000000;40000000;55000000;70000000;80000000;90000000;110000000;130000000;160000000;190000000;220000000;250000000;280000000;310000000;340000000;400000000})</f>
        <v>900000</v>
      </c>
      <c r="J1802" s="7" t="n">
        <f aca="false">I1802*S1802*T1802*U1802</f>
        <v>1474200</v>
      </c>
      <c r="K1802" s="3"/>
      <c r="L1802" s="3"/>
      <c r="M1802" s="3"/>
      <c r="N1802" s="9" t="n">
        <v>0</v>
      </c>
      <c r="O1802" s="4" t="n">
        <v>0</v>
      </c>
      <c r="P1802" s="5" t="n">
        <f aca="false">IF(COUNTIF([1]Base_Jugadores!J$2:J$500,B1802)&gt;0,1,0)</f>
        <v>0</v>
      </c>
      <c r="Q1802" s="10" t="b">
        <f aca="false">--(COUNTIFS(
   [1]Fichajes_Realizados!A$2:A$5000,A1802,
   [1]Fichajes_Realizados!G$2:G$5000,$X$3
)&gt;0)</f>
        <v>0</v>
      </c>
      <c r="R1802" s="5" t="n">
        <f aca="false">_xlfn.XLOOKUP(C1802, [1]Estado_Equipos!A$2:A$500, [1]Estado_Equipos!J$2:J$500, "")</f>
        <v>71</v>
      </c>
      <c r="S1802" s="5" t="n">
        <f aca="false">IF(H1802&lt;=16,1.45,
IF(H1802&gt;=41,0.3,
CHOOSE(ROUNDDOWN((H1802-16)/2,0)+1,
1.45,1.38,1.3,1.23,1.17,1.15,1.12,1.05,0.95,0.8,0.6,0.4,0.3)))</f>
        <v>1.3</v>
      </c>
      <c r="T1802" s="5" t="n">
        <f aca="false">CHOOSE(N1802+1,1.2,1,0.85,0.7)</f>
        <v>1.2</v>
      </c>
      <c r="U1802" s="5" t="n">
        <f aca="false">IF(F1802="PO",0.6,
IF(F1802="CT",0.75,
IF(F1802="LI",0.8,
IF(F1802="LD",0.8,
IF(F1802="MCD",0.85,
IF(F1802="MC",0.95,
IF(F1802="MO",1.05,
IF(F1802="EI",1.1,
IF(F1802="ED",1.1,
IF(F1802="SD",1.15,
IF(F1802="DC",1.2,0)))))))))))</f>
        <v>1.05</v>
      </c>
    </row>
    <row r="1803" customFormat="false" ht="16.4" hidden="false" customHeight="false" outlineLevel="0" collapsed="false">
      <c r="A1803" s="1" t="n">
        <v>1802</v>
      </c>
      <c r="B1803" s="5" t="str">
        <f aca="false">[1]Base_Jugadores!B1803</f>
        <v>Benedikt Gimber</v>
      </c>
      <c r="C1803" s="5" t="str">
        <f aca="false">IFERROR(
   _xlfn.XLOOKUP(VALUE(A1803),[1]Fichajes_Realizados!A$2:A$50000,[1]Fichajes_Realizados!D$2:D$50000,,0,-1),
   _xlfn.XLOOKUP(VALUE(A1803),[1]Base_Jugadores!A$2:A$50000,[1]Base_Jugadores!C$2:C$50000)
)</f>
        <v>1. FC Heidenheim 1846</v>
      </c>
      <c r="D1803" s="5" t="str">
        <f aca="false">[1]Base_Jugadores!D1803</f>
        <v>Alemania</v>
      </c>
      <c r="E1803" s="3"/>
      <c r="F1803" s="5" t="str">
        <f aca="false">[1]Base_Jugadores!E1803</f>
        <v>CT</v>
      </c>
      <c r="G1803" s="5" t="n">
        <f aca="false">[1]Base_Jugadores!F1803</f>
        <v>74</v>
      </c>
      <c r="H1803" s="5" t="n">
        <f aca="false">[1]Base_Jugadores!G1803</f>
        <v>28</v>
      </c>
      <c r="I1803" s="7" t="n">
        <f aca="false" t="array" ref="I1803:I1803">_xlfn.XLOOKUP(G1803,{55;56;57;58;59;60;61;62;63;64;65;66;67;68;69;70;71;72;73;74;75;76;77;78;79;80;81;82;83;84;85;86;87;88;89;90;91;92;93;94;95;96;97;98;99},{100000;130000;160000;190000;220000;250000;300000;350000;400000;450000;500000;600000;700000;800000;900000;1000000;1500000;2000000;3000000;4000000;5000000;6500000;8000000;10000000;12500000;15000000;20000000;25000000;30000000;35000000;40000000;55000000;70000000;80000000;90000000;110000000;130000000;160000000;190000000;220000000;250000000;280000000;310000000;340000000;400000000})</f>
        <v>4000000</v>
      </c>
      <c r="J1803" s="7" t="n">
        <f aca="false">I1803*S1803*T1803*U1803</f>
        <v>4032000</v>
      </c>
      <c r="K1803" s="3"/>
      <c r="L1803" s="3"/>
      <c r="M1803" s="3"/>
      <c r="N1803" s="9" t="n">
        <v>0</v>
      </c>
      <c r="O1803" s="4" t="n">
        <v>0</v>
      </c>
      <c r="P1803" s="5" t="n">
        <f aca="false">IF(COUNTIF([1]Base_Jugadores!J$2:J$500,B1803)&gt;0,1,0)</f>
        <v>0</v>
      </c>
      <c r="Q1803" s="10" t="b">
        <f aca="false">--(COUNTIFS(
   [1]Fichajes_Realizados!A$2:A$5000,A1803,
   [1]Fichajes_Realizados!G$2:G$5000,$X$3
)&gt;0)</f>
        <v>0</v>
      </c>
      <c r="R1803" s="5" t="n">
        <f aca="false">_xlfn.XLOOKUP(C1803, [1]Estado_Equipos!A$2:A$500, [1]Estado_Equipos!J$2:J$500, "")</f>
        <v>71</v>
      </c>
      <c r="S1803" s="5" t="n">
        <f aca="false">IF(H1803&lt;=16,1.45,
IF(H1803&gt;=41,0.3,
CHOOSE(ROUNDDOWN((H1803-16)/2,0)+1,
1.45,1.38,1.3,1.23,1.17,1.15,1.12,1.05,0.95,0.8,0.6,0.4,0.3)))</f>
        <v>1.12</v>
      </c>
      <c r="T1803" s="5" t="n">
        <f aca="false">CHOOSE(N1803+1,1.2,1,0.85,0.7)</f>
        <v>1.2</v>
      </c>
      <c r="U1803" s="5" t="n">
        <f aca="false">IF(F1803="PO",0.6,
IF(F1803="CT",0.75,
IF(F1803="LI",0.8,
IF(F1803="LD",0.8,
IF(F1803="MCD",0.85,
IF(F1803="MC",0.95,
IF(F1803="MO",1.05,
IF(F1803="EI",1.1,
IF(F1803="ED",1.1,
IF(F1803="SD",1.15,
IF(F1803="DC",1.2,0)))))))))))</f>
        <v>0.75</v>
      </c>
    </row>
    <row r="1804" customFormat="false" ht="16.4" hidden="false" customHeight="false" outlineLevel="0" collapsed="false">
      <c r="A1804" s="1" t="n">
        <v>1803</v>
      </c>
      <c r="B1804" s="5" t="str">
        <f aca="false">[1]Base_Jugadores!B1804</f>
        <v>Budu Zivzivadze</v>
      </c>
      <c r="C1804" s="5" t="str">
        <f aca="false">IFERROR(
   _xlfn.XLOOKUP(VALUE(A1804),[1]Fichajes_Realizados!A$2:A$50000,[1]Fichajes_Realizados!D$2:D$50000,,0,-1),
   _xlfn.XLOOKUP(VALUE(A1804),[1]Base_Jugadores!A$2:A$50000,[1]Base_Jugadores!C$2:C$50000)
)</f>
        <v>1. FC Heidenheim 1846</v>
      </c>
      <c r="D1804" s="5" t="str">
        <f aca="false">[1]Base_Jugadores!D1804</f>
        <v>Georgia</v>
      </c>
      <c r="E1804" s="3"/>
      <c r="F1804" s="5" t="str">
        <f aca="false">[1]Base_Jugadores!E1804</f>
        <v>DC</v>
      </c>
      <c r="G1804" s="5" t="n">
        <f aca="false">[1]Base_Jugadores!F1804</f>
        <v>72</v>
      </c>
      <c r="H1804" s="5" t="n">
        <f aca="false">[1]Base_Jugadores!G1804</f>
        <v>31</v>
      </c>
      <c r="I1804" s="7" t="n">
        <f aca="false" t="array" ref="I1804:I1804">_xlfn.XLOOKUP(G1804,{55;56;57;58;59;60;61;62;63;64;65;66;67;68;69;70;71;72;73;74;75;76;77;78;79;80;81;82;83;84;85;86;87;88;89;90;91;92;93;94;95;96;97;98;99},{100000;130000;160000;190000;220000;250000;300000;350000;400000;450000;500000;600000;700000;800000;900000;1000000;1500000;2000000;3000000;4000000;5000000;6500000;8000000;10000000;12500000;15000000;20000000;25000000;30000000;35000000;40000000;55000000;70000000;80000000;90000000;110000000;130000000;160000000;190000000;220000000;250000000;280000000;310000000;340000000;400000000})</f>
        <v>2000000</v>
      </c>
      <c r="J1804" s="7" t="n">
        <f aca="false">I1804*S1804*T1804*U1804</f>
        <v>3024000</v>
      </c>
      <c r="K1804" s="3"/>
      <c r="L1804" s="3"/>
      <c r="M1804" s="3"/>
      <c r="N1804" s="9" t="n">
        <v>0</v>
      </c>
      <c r="O1804" s="4" t="n">
        <v>0</v>
      </c>
      <c r="P1804" s="5" t="n">
        <f aca="false">IF(COUNTIF([1]Base_Jugadores!J$2:J$500,B1804)&gt;0,1,0)</f>
        <v>0</v>
      </c>
      <c r="Q1804" s="10" t="b">
        <f aca="false">--(COUNTIFS(
   [1]Fichajes_Realizados!A$2:A$5000,A1804,
   [1]Fichajes_Realizados!G$2:G$5000,$X$3
)&gt;0)</f>
        <v>0</v>
      </c>
      <c r="R1804" s="5" t="n">
        <f aca="false">_xlfn.XLOOKUP(C1804, [1]Estado_Equipos!A$2:A$500, [1]Estado_Equipos!J$2:J$500, "")</f>
        <v>71</v>
      </c>
      <c r="S1804" s="5" t="n">
        <f aca="false">IF(H1804&lt;=16,1.45,
IF(H1804&gt;=41,0.3,
CHOOSE(ROUNDDOWN((H1804-16)/2,0)+1,
1.45,1.38,1.3,1.23,1.17,1.15,1.12,1.05,0.95,0.8,0.6,0.4,0.3)))</f>
        <v>1.05</v>
      </c>
      <c r="T1804" s="5" t="n">
        <f aca="false">CHOOSE(N1804+1,1.2,1,0.85,0.7)</f>
        <v>1.2</v>
      </c>
      <c r="U1804" s="5" t="n">
        <f aca="false">IF(F1804="PO",0.6,
IF(F1804="CT",0.75,
IF(F1804="LI",0.8,
IF(F1804="LD",0.8,
IF(F1804="MCD",0.85,
IF(F1804="MC",0.95,
IF(F1804="MO",1.05,
IF(F1804="EI",1.1,
IF(F1804="ED",1.1,
IF(F1804="SD",1.15,
IF(F1804="DC",1.2,0)))))))))))</f>
        <v>1.2</v>
      </c>
    </row>
    <row r="1805" customFormat="false" ht="16.4" hidden="false" customHeight="false" outlineLevel="0" collapsed="false">
      <c r="A1805" s="1" t="n">
        <v>1804</v>
      </c>
      <c r="B1805" s="5" t="str">
        <f aca="false">[1]Base_Jugadores!B1805</f>
        <v>Jan Schöppner</v>
      </c>
      <c r="C1805" s="5" t="str">
        <f aca="false">IFERROR(
   _xlfn.XLOOKUP(VALUE(A1805),[1]Fichajes_Realizados!A$2:A$50000,[1]Fichajes_Realizados!D$2:D$50000,,0,-1),
   _xlfn.XLOOKUP(VALUE(A1805),[1]Base_Jugadores!A$2:A$50000,[1]Base_Jugadores!C$2:C$50000)
)</f>
        <v>1. FC Heidenheim 1846</v>
      </c>
      <c r="D1805" s="5" t="str">
        <f aca="false">[1]Base_Jugadores!D1805</f>
        <v>Alemania</v>
      </c>
      <c r="E1805" s="3"/>
      <c r="F1805" s="5" t="str">
        <f aca="false">[1]Base_Jugadores!E1805</f>
        <v>MC</v>
      </c>
      <c r="G1805" s="5" t="n">
        <f aca="false">[1]Base_Jugadores!F1805</f>
        <v>71</v>
      </c>
      <c r="H1805" s="5" t="n">
        <f aca="false">[1]Base_Jugadores!G1805</f>
        <v>26</v>
      </c>
      <c r="I1805" s="7" t="n">
        <f aca="false" t="array" ref="I1805:I1805">_xlfn.XLOOKUP(G1805,{55;56;57;58;59;60;61;62;63;64;65;66;67;68;69;70;71;72;73;74;75;76;77;78;79;80;81;82;83;84;85;86;87;88;89;90;91;92;93;94;95;96;97;98;99},{100000;130000;160000;190000;220000;250000;300000;350000;400000;450000;500000;600000;700000;800000;900000;1000000;1500000;2000000;3000000;4000000;5000000;6500000;8000000;10000000;12500000;15000000;20000000;25000000;30000000;35000000;40000000;55000000;70000000;80000000;90000000;110000000;130000000;160000000;190000000;220000000;250000000;280000000;310000000;340000000;400000000})</f>
        <v>1500000</v>
      </c>
      <c r="J1805" s="7" t="n">
        <f aca="false">I1805*S1805*T1805*U1805</f>
        <v>1966500</v>
      </c>
      <c r="K1805" s="3"/>
      <c r="L1805" s="3"/>
      <c r="M1805" s="3"/>
      <c r="N1805" s="9" t="n">
        <v>0</v>
      </c>
      <c r="O1805" s="4" t="n">
        <v>0</v>
      </c>
      <c r="P1805" s="5" t="n">
        <f aca="false">IF(COUNTIF([1]Base_Jugadores!J$2:J$500,B1805)&gt;0,1,0)</f>
        <v>0</v>
      </c>
      <c r="Q1805" s="10" t="b">
        <f aca="false">--(COUNTIFS(
   [1]Fichajes_Realizados!A$2:A$5000,A1805,
   [1]Fichajes_Realizados!G$2:G$5000,$X$3
)&gt;0)</f>
        <v>0</v>
      </c>
      <c r="R1805" s="5" t="n">
        <f aca="false">_xlfn.XLOOKUP(C1805, [1]Estado_Equipos!A$2:A$500, [1]Estado_Equipos!J$2:J$500, "")</f>
        <v>71</v>
      </c>
      <c r="S1805" s="5" t="n">
        <f aca="false">IF(H1805&lt;=16,1.45,
IF(H1805&gt;=41,0.3,
CHOOSE(ROUNDDOWN((H1805-16)/2,0)+1,
1.45,1.38,1.3,1.23,1.17,1.15,1.12,1.05,0.95,0.8,0.6,0.4,0.3)))</f>
        <v>1.15</v>
      </c>
      <c r="T1805" s="5" t="n">
        <f aca="false">CHOOSE(N1805+1,1.2,1,0.85,0.7)</f>
        <v>1.2</v>
      </c>
      <c r="U1805" s="5" t="n">
        <f aca="false">IF(F1805="PO",0.6,
IF(F1805="CT",0.75,
IF(F1805="LI",0.8,
IF(F1805="LD",0.8,
IF(F1805="MCD",0.85,
IF(F1805="MC",0.95,
IF(F1805="MO",1.05,
IF(F1805="EI",1.1,
IF(F1805="ED",1.1,
IF(F1805="SD",1.15,
IF(F1805="DC",1.2,0)))))))))))</f>
        <v>0.95</v>
      </c>
    </row>
    <row r="1806" customFormat="false" ht="16.4" hidden="false" customHeight="false" outlineLevel="0" collapsed="false">
      <c r="A1806" s="1" t="n">
        <v>1805</v>
      </c>
      <c r="B1806" s="5" t="str">
        <f aca="false">[1]Base_Jugadores!B1806</f>
        <v>Jonas Föhrenbach</v>
      </c>
      <c r="C1806" s="5" t="str">
        <f aca="false">IFERROR(
   _xlfn.XLOOKUP(VALUE(A1806),[1]Fichajes_Realizados!A$2:A$50000,[1]Fichajes_Realizados!D$2:D$50000,,0,-1),
   _xlfn.XLOOKUP(VALUE(A1806),[1]Base_Jugadores!A$2:A$50000,[1]Base_Jugadores!C$2:C$50000)
)</f>
        <v>1. FC Heidenheim 1846</v>
      </c>
      <c r="D1806" s="5" t="str">
        <f aca="false">[1]Base_Jugadores!D1806</f>
        <v>Alemania</v>
      </c>
      <c r="E1806" s="3"/>
      <c r="F1806" s="5" t="str">
        <f aca="false">[1]Base_Jugadores!E1806</f>
        <v>LI</v>
      </c>
      <c r="G1806" s="5" t="n">
        <f aca="false">[1]Base_Jugadores!F1806</f>
        <v>72</v>
      </c>
      <c r="H1806" s="5" t="n">
        <f aca="false">[1]Base_Jugadores!G1806</f>
        <v>29</v>
      </c>
      <c r="I1806" s="7" t="n">
        <f aca="false" t="array" ref="I1806:I1806">_xlfn.XLOOKUP(G1806,{55;56;57;58;59;60;61;62;63;64;65;66;67;68;69;70;71;72;73;74;75;76;77;78;79;80;81;82;83;84;85;86;87;88;89;90;91;92;93;94;95;96;97;98;99},{100000;130000;160000;190000;220000;250000;300000;350000;400000;450000;500000;600000;700000;800000;900000;1000000;1500000;2000000;3000000;4000000;5000000;6500000;8000000;10000000;12500000;15000000;20000000;25000000;30000000;35000000;40000000;55000000;70000000;80000000;90000000;110000000;130000000;160000000;190000000;220000000;250000000;280000000;310000000;340000000;400000000})</f>
        <v>2000000</v>
      </c>
      <c r="J1806" s="7" t="n">
        <f aca="false">I1806*S1806*T1806*U1806</f>
        <v>2150400</v>
      </c>
      <c r="K1806" s="3"/>
      <c r="L1806" s="3"/>
      <c r="M1806" s="3"/>
      <c r="N1806" s="9" t="n">
        <v>0</v>
      </c>
      <c r="O1806" s="4" t="n">
        <v>0</v>
      </c>
      <c r="P1806" s="5" t="n">
        <f aca="false">IF(COUNTIF([1]Base_Jugadores!J$2:J$500,B1806)&gt;0,1,0)</f>
        <v>0</v>
      </c>
      <c r="Q1806" s="10" t="b">
        <f aca="false">--(COUNTIFS(
   [1]Fichajes_Realizados!A$2:A$5000,A1806,
   [1]Fichajes_Realizados!G$2:G$5000,$X$3
)&gt;0)</f>
        <v>0</v>
      </c>
      <c r="R1806" s="5" t="n">
        <f aca="false">_xlfn.XLOOKUP(C1806, [1]Estado_Equipos!A$2:A$500, [1]Estado_Equipos!J$2:J$500, "")</f>
        <v>71</v>
      </c>
      <c r="S1806" s="5" t="n">
        <f aca="false">IF(H1806&lt;=16,1.45,
IF(H1806&gt;=41,0.3,
CHOOSE(ROUNDDOWN((H1806-16)/2,0)+1,
1.45,1.38,1.3,1.23,1.17,1.15,1.12,1.05,0.95,0.8,0.6,0.4,0.3)))</f>
        <v>1.12</v>
      </c>
      <c r="T1806" s="5" t="n">
        <f aca="false">CHOOSE(N1806+1,1.2,1,0.85,0.7)</f>
        <v>1.2</v>
      </c>
      <c r="U1806" s="5" t="n">
        <f aca="false">IF(F1806="PO",0.6,
IF(F1806="CT",0.75,
IF(F1806="LI",0.8,
IF(F1806="LD",0.8,
IF(F1806="MCD",0.85,
IF(F1806="MC",0.95,
IF(F1806="MO",1.05,
IF(F1806="EI",1.1,
IF(F1806="ED",1.1,
IF(F1806="SD",1.15,
IF(F1806="DC",1.2,0)))))))))))</f>
        <v>0.8</v>
      </c>
    </row>
    <row r="1807" customFormat="false" ht="16.4" hidden="false" customHeight="false" outlineLevel="0" collapsed="false">
      <c r="A1807" s="1" t="n">
        <v>1806</v>
      </c>
      <c r="B1807" s="5" t="str">
        <f aca="false">[1]Base_Jugadores!B1807</f>
        <v>Julian Niehues</v>
      </c>
      <c r="C1807" s="5" t="str">
        <f aca="false">IFERROR(
   _xlfn.XLOOKUP(VALUE(A1807),[1]Fichajes_Realizados!A$2:A$50000,[1]Fichajes_Realizados!D$2:D$50000,,0,-1),
   _xlfn.XLOOKUP(VALUE(A1807),[1]Base_Jugadores!A$2:A$50000,[1]Base_Jugadores!C$2:C$50000)
)</f>
        <v>1. FC Heidenheim 1846</v>
      </c>
      <c r="D1807" s="5" t="str">
        <f aca="false">[1]Base_Jugadores!D1807</f>
        <v>Alemania</v>
      </c>
      <c r="E1807" s="3"/>
      <c r="F1807" s="5" t="str">
        <f aca="false">[1]Base_Jugadores!E1807</f>
        <v>MCD</v>
      </c>
      <c r="G1807" s="5" t="n">
        <f aca="false">[1]Base_Jugadores!F1807</f>
        <v>69</v>
      </c>
      <c r="H1807" s="5" t="n">
        <f aca="false">[1]Base_Jugadores!G1807</f>
        <v>24</v>
      </c>
      <c r="I1807" s="7" t="n">
        <f aca="false" t="array" ref="I1807:I1807">_xlfn.XLOOKUP(G1807,{55;56;57;58;59;60;61;62;63;64;65;66;67;68;69;70;71;72;73;74;75;76;77;78;79;80;81;82;83;84;85;86;87;88;89;90;91;92;93;94;95;96;97;98;99},{100000;130000;160000;190000;220000;250000;300000;350000;400000;450000;500000;600000;700000;800000;900000;1000000;1500000;2000000;3000000;4000000;5000000;6500000;8000000;10000000;12500000;15000000;20000000;25000000;30000000;35000000;40000000;55000000;70000000;80000000;90000000;110000000;130000000;160000000;190000000;220000000;250000000;280000000;310000000;340000000;400000000})</f>
        <v>900000</v>
      </c>
      <c r="J1807" s="7" t="n">
        <f aca="false">I1807*S1807*T1807*U1807</f>
        <v>1074060</v>
      </c>
      <c r="K1807" s="3"/>
      <c r="L1807" s="3"/>
      <c r="M1807" s="3"/>
      <c r="N1807" s="9" t="n">
        <v>0</v>
      </c>
      <c r="O1807" s="4" t="n">
        <v>0</v>
      </c>
      <c r="P1807" s="5" t="n">
        <f aca="false">IF(COUNTIF([1]Base_Jugadores!J$2:J$500,B1807)&gt;0,1,0)</f>
        <v>0</v>
      </c>
      <c r="Q1807" s="10" t="b">
        <f aca="false">--(COUNTIFS(
   [1]Fichajes_Realizados!A$2:A$5000,A1807,
   [1]Fichajes_Realizados!G$2:G$5000,$X$3
)&gt;0)</f>
        <v>0</v>
      </c>
      <c r="R1807" s="5" t="n">
        <f aca="false">_xlfn.XLOOKUP(C1807, [1]Estado_Equipos!A$2:A$500, [1]Estado_Equipos!J$2:J$500, "")</f>
        <v>71</v>
      </c>
      <c r="S1807" s="5" t="n">
        <f aca="false">IF(H1807&lt;=16,1.45,
IF(H1807&gt;=41,0.3,
CHOOSE(ROUNDDOWN((H1807-16)/2,0)+1,
1.45,1.38,1.3,1.23,1.17,1.15,1.12,1.05,0.95,0.8,0.6,0.4,0.3)))</f>
        <v>1.17</v>
      </c>
      <c r="T1807" s="5" t="n">
        <f aca="false">CHOOSE(N1807+1,1.2,1,0.85,0.7)</f>
        <v>1.2</v>
      </c>
      <c r="U1807" s="5" t="n">
        <f aca="false">IF(F1807="PO",0.6,
IF(F1807="CT",0.75,
IF(F1807="LI",0.8,
IF(F1807="LD",0.8,
IF(F1807="MCD",0.85,
IF(F1807="MC",0.95,
IF(F1807="MO",1.05,
IF(F1807="EI",1.1,
IF(F1807="ED",1.1,
IF(F1807="SD",1.15,
IF(F1807="DC",1.2,0)))))))))))</f>
        <v>0.85</v>
      </c>
    </row>
    <row r="1808" customFormat="false" ht="16.4" hidden="false" customHeight="false" outlineLevel="0" collapsed="false">
      <c r="A1808" s="1" t="n">
        <v>1807</v>
      </c>
      <c r="B1808" s="5" t="str">
        <f aca="false">[1]Base_Jugadores!B1808</f>
        <v>Kevin Müller</v>
      </c>
      <c r="C1808" s="5" t="str">
        <f aca="false">IFERROR(
   _xlfn.XLOOKUP(VALUE(A1808),[1]Fichajes_Realizados!A$2:A$50000,[1]Fichajes_Realizados!D$2:D$50000,,0,-1),
   _xlfn.XLOOKUP(VALUE(A1808),[1]Base_Jugadores!A$2:A$50000,[1]Base_Jugadores!C$2:C$50000)
)</f>
        <v>1. FC Heidenheim 1846</v>
      </c>
      <c r="D1808" s="5" t="str">
        <f aca="false">[1]Base_Jugadores!D1808</f>
        <v>Alemania</v>
      </c>
      <c r="E1808" s="3"/>
      <c r="F1808" s="5" t="str">
        <f aca="false">[1]Base_Jugadores!E1808</f>
        <v>PO</v>
      </c>
      <c r="G1808" s="5" t="n">
        <f aca="false">[1]Base_Jugadores!F1808</f>
        <v>75</v>
      </c>
      <c r="H1808" s="5" t="n">
        <f aca="false">[1]Base_Jugadores!G1808</f>
        <v>34</v>
      </c>
      <c r="I1808" s="7" t="n">
        <f aca="false" t="array" ref="I1808:I1808">_xlfn.XLOOKUP(G1808,{55;56;57;58;59;60;61;62;63;64;65;66;67;68;69;70;71;72;73;74;75;76;77;78;79;80;81;82;83;84;85;86;87;88;89;90;91;92;93;94;95;96;97;98;99},{100000;130000;160000;190000;220000;250000;300000;350000;400000;450000;500000;600000;700000;800000;900000;1000000;1500000;2000000;3000000;4000000;5000000;6500000;8000000;10000000;12500000;15000000;20000000;25000000;30000000;35000000;40000000;55000000;70000000;80000000;90000000;110000000;130000000;160000000;190000000;220000000;250000000;280000000;310000000;340000000;400000000})</f>
        <v>5000000</v>
      </c>
      <c r="J1808" s="7" t="n">
        <f aca="false">I1808*S1808*T1808*U1808</f>
        <v>2880000</v>
      </c>
      <c r="K1808" s="3"/>
      <c r="L1808" s="3"/>
      <c r="M1808" s="3"/>
      <c r="N1808" s="9" t="n">
        <v>0</v>
      </c>
      <c r="O1808" s="4" t="n">
        <v>0</v>
      </c>
      <c r="P1808" s="5" t="n">
        <f aca="false">IF(COUNTIF([1]Base_Jugadores!J$2:J$500,B1808)&gt;0,1,0)</f>
        <v>0</v>
      </c>
      <c r="Q1808" s="10" t="b">
        <f aca="false">--(COUNTIFS(
   [1]Fichajes_Realizados!A$2:A$5000,A1808,
   [1]Fichajes_Realizados!G$2:G$5000,$X$3
)&gt;0)</f>
        <v>0</v>
      </c>
      <c r="R1808" s="5" t="n">
        <f aca="false">_xlfn.XLOOKUP(C1808, [1]Estado_Equipos!A$2:A$500, [1]Estado_Equipos!J$2:J$500, "")</f>
        <v>71</v>
      </c>
      <c r="S1808" s="5" t="n">
        <f aca="false">IF(H1808&lt;=16,1.45,
IF(H1808&gt;=41,0.3,
CHOOSE(ROUNDDOWN((H1808-16)/2,0)+1,
1.45,1.38,1.3,1.23,1.17,1.15,1.12,1.05,0.95,0.8,0.6,0.4,0.3)))</f>
        <v>0.8</v>
      </c>
      <c r="T1808" s="5" t="n">
        <f aca="false">CHOOSE(N1808+1,1.2,1,0.85,0.7)</f>
        <v>1.2</v>
      </c>
      <c r="U1808" s="5" t="n">
        <f aca="false">IF(F1808="PO",0.6,
IF(F1808="CT",0.75,
IF(F1808="LI",0.8,
IF(F1808="LD",0.8,
IF(F1808="MCD",0.85,
IF(F1808="MC",0.95,
IF(F1808="MO",1.05,
IF(F1808="EI",1.1,
IF(F1808="ED",1.1,
IF(F1808="SD",1.15,
IF(F1808="DC",1.2,0)))))))))))</f>
        <v>0.6</v>
      </c>
    </row>
    <row r="1809" customFormat="false" ht="16.4" hidden="false" customHeight="false" outlineLevel="0" collapsed="false">
      <c r="A1809" s="1" t="n">
        <v>1808</v>
      </c>
      <c r="B1809" s="5" t="str">
        <f aca="false">[1]Base_Jugadores!B1809</f>
        <v>Luca Kerber</v>
      </c>
      <c r="C1809" s="5" t="str">
        <f aca="false">IFERROR(
   _xlfn.XLOOKUP(VALUE(A1809),[1]Fichajes_Realizados!A$2:A$50000,[1]Fichajes_Realizados!D$2:D$50000,,0,-1),
   _xlfn.XLOOKUP(VALUE(A1809),[1]Base_Jugadores!A$2:A$50000,[1]Base_Jugadores!C$2:C$50000)
)</f>
        <v>1. FC Heidenheim 1846</v>
      </c>
      <c r="D1809" s="5" t="str">
        <f aca="false">[1]Base_Jugadores!D1809</f>
        <v>Alemania</v>
      </c>
      <c r="E1809" s="3"/>
      <c r="F1809" s="5" t="str">
        <f aca="false">[1]Base_Jugadores!E1809</f>
        <v>MC</v>
      </c>
      <c r="G1809" s="5" t="n">
        <f aca="false">[1]Base_Jugadores!F1809</f>
        <v>70</v>
      </c>
      <c r="H1809" s="5" t="n">
        <f aca="false">[1]Base_Jugadores!G1809</f>
        <v>23</v>
      </c>
      <c r="I1809" s="7" t="n">
        <f aca="false" t="array" ref="I1809:I1809">_xlfn.XLOOKUP(G1809,{55;56;57;58;59;60;61;62;63;64;65;66;67;68;69;70;71;72;73;74;75;76;77;78;79;80;81;82;83;84;85;86;87;88;89;90;91;92;93;94;95;96;97;98;99},{100000;130000;160000;190000;220000;250000;300000;350000;400000;450000;500000;600000;700000;800000;900000;1000000;1500000;2000000;3000000;4000000;5000000;6500000;8000000;10000000;12500000;15000000;20000000;25000000;30000000;35000000;40000000;55000000;70000000;80000000;90000000;110000000;130000000;160000000;190000000;220000000;250000000;280000000;310000000;340000000;400000000})</f>
        <v>1000000</v>
      </c>
      <c r="J1809" s="7" t="n">
        <f aca="false">I1809*S1809*T1809*U1809</f>
        <v>1402200</v>
      </c>
      <c r="K1809" s="3"/>
      <c r="L1809" s="3"/>
      <c r="M1809" s="3"/>
      <c r="N1809" s="9" t="n">
        <v>0</v>
      </c>
      <c r="O1809" s="4" t="n">
        <v>0</v>
      </c>
      <c r="P1809" s="5" t="n">
        <f aca="false">IF(COUNTIF([1]Base_Jugadores!J$2:J$500,B1809)&gt;0,1,0)</f>
        <v>0</v>
      </c>
      <c r="Q1809" s="10" t="b">
        <f aca="false">--(COUNTIFS(
   [1]Fichajes_Realizados!A$2:A$5000,A1809,
   [1]Fichajes_Realizados!G$2:G$5000,$X$3
)&gt;0)</f>
        <v>0</v>
      </c>
      <c r="R1809" s="5" t="n">
        <f aca="false">_xlfn.XLOOKUP(C1809, [1]Estado_Equipos!A$2:A$500, [1]Estado_Equipos!J$2:J$500, "")</f>
        <v>71</v>
      </c>
      <c r="S1809" s="5" t="n">
        <f aca="false">IF(H1809&lt;=16,1.45,
IF(H1809&gt;=41,0.3,
CHOOSE(ROUNDDOWN((H1809-16)/2,0)+1,
1.45,1.38,1.3,1.23,1.17,1.15,1.12,1.05,0.95,0.8,0.6,0.4,0.3)))</f>
        <v>1.23</v>
      </c>
      <c r="T1809" s="5" t="n">
        <f aca="false">CHOOSE(N1809+1,1.2,1,0.85,0.7)</f>
        <v>1.2</v>
      </c>
      <c r="U1809" s="5" t="n">
        <f aca="false">IF(F1809="PO",0.6,
IF(F1809="CT",0.75,
IF(F1809="LI",0.8,
IF(F1809="LD",0.8,
IF(F1809="MCD",0.85,
IF(F1809="MC",0.95,
IF(F1809="MO",1.05,
IF(F1809="EI",1.1,
IF(F1809="ED",1.1,
IF(F1809="SD",1.15,
IF(F1809="DC",1.2,0)))))))))))</f>
        <v>0.95</v>
      </c>
    </row>
    <row r="1810" customFormat="false" ht="16.4" hidden="false" customHeight="false" outlineLevel="0" collapsed="false">
      <c r="A1810" s="1" t="n">
        <v>1809</v>
      </c>
      <c r="B1810" s="5" t="str">
        <f aca="false">[1]Base_Jugadores!B1810</f>
        <v>Marnon Busch</v>
      </c>
      <c r="C1810" s="5" t="str">
        <f aca="false">IFERROR(
   _xlfn.XLOOKUP(VALUE(A1810),[1]Fichajes_Realizados!A$2:A$50000,[1]Fichajes_Realizados!D$2:D$50000,,0,-1),
   _xlfn.XLOOKUP(VALUE(A1810),[1]Base_Jugadores!A$2:A$50000,[1]Base_Jugadores!C$2:C$50000)
)</f>
        <v>1. FC Heidenheim 1846</v>
      </c>
      <c r="D1810" s="5" t="str">
        <f aca="false">[1]Base_Jugadores!D1810</f>
        <v>Alemania</v>
      </c>
      <c r="E1810" s="3"/>
      <c r="F1810" s="5" t="str">
        <f aca="false">[1]Base_Jugadores!E1810</f>
        <v>LD</v>
      </c>
      <c r="G1810" s="5" t="n">
        <f aca="false">[1]Base_Jugadores!F1810</f>
        <v>72</v>
      </c>
      <c r="H1810" s="5" t="n">
        <f aca="false">[1]Base_Jugadores!G1810</f>
        <v>31</v>
      </c>
      <c r="I1810" s="7" t="n">
        <f aca="false" t="array" ref="I1810:I1810">_xlfn.XLOOKUP(G1810,{55;56;57;58;59;60;61;62;63;64;65;66;67;68;69;70;71;72;73;74;75;76;77;78;79;80;81;82;83;84;85;86;87;88;89;90;91;92;93;94;95;96;97;98;99},{100000;130000;160000;190000;220000;250000;300000;350000;400000;450000;500000;600000;700000;800000;900000;1000000;1500000;2000000;3000000;4000000;5000000;6500000;8000000;10000000;12500000;15000000;20000000;25000000;30000000;35000000;40000000;55000000;70000000;80000000;90000000;110000000;130000000;160000000;190000000;220000000;250000000;280000000;310000000;340000000;400000000})</f>
        <v>2000000</v>
      </c>
      <c r="J1810" s="7" t="n">
        <f aca="false">I1810*S1810*T1810*U1810</f>
        <v>2016000</v>
      </c>
      <c r="K1810" s="3"/>
      <c r="L1810" s="3"/>
      <c r="M1810" s="3"/>
      <c r="N1810" s="9" t="n">
        <v>0</v>
      </c>
      <c r="O1810" s="4" t="n">
        <v>0</v>
      </c>
      <c r="P1810" s="5" t="n">
        <f aca="false">IF(COUNTIF([1]Base_Jugadores!J$2:J$500,B1810)&gt;0,1,0)</f>
        <v>0</v>
      </c>
      <c r="Q1810" s="10" t="b">
        <f aca="false">--(COUNTIFS(
   [1]Fichajes_Realizados!A$2:A$5000,A1810,
   [1]Fichajes_Realizados!G$2:G$5000,$X$3
)&gt;0)</f>
        <v>0</v>
      </c>
      <c r="R1810" s="5" t="n">
        <f aca="false">_xlfn.XLOOKUP(C1810, [1]Estado_Equipos!A$2:A$500, [1]Estado_Equipos!J$2:J$500, "")</f>
        <v>71</v>
      </c>
      <c r="S1810" s="5" t="n">
        <f aca="false">IF(H1810&lt;=16,1.45,
IF(H1810&gt;=41,0.3,
CHOOSE(ROUNDDOWN((H1810-16)/2,0)+1,
1.45,1.38,1.3,1.23,1.17,1.15,1.12,1.05,0.95,0.8,0.6,0.4,0.3)))</f>
        <v>1.05</v>
      </c>
      <c r="T1810" s="5" t="n">
        <f aca="false">CHOOSE(N1810+1,1.2,1,0.85,0.7)</f>
        <v>1.2</v>
      </c>
      <c r="U1810" s="5" t="n">
        <f aca="false">IF(F1810="PO",0.6,
IF(F1810="CT",0.75,
IF(F1810="LI",0.8,
IF(F1810="LD",0.8,
IF(F1810="MCD",0.85,
IF(F1810="MC",0.95,
IF(F1810="MO",1.05,
IF(F1810="EI",1.1,
IF(F1810="ED",1.1,
IF(F1810="SD",1.15,
IF(F1810="DC",1.2,0)))))))))))</f>
        <v>0.8</v>
      </c>
    </row>
    <row r="1811" customFormat="false" ht="16.4" hidden="false" customHeight="false" outlineLevel="0" collapsed="false">
      <c r="A1811" s="1" t="n">
        <v>1810</v>
      </c>
      <c r="B1811" s="5" t="str">
        <f aca="false">[1]Base_Jugadores!B1811</f>
        <v>Marvin Pieringer</v>
      </c>
      <c r="C1811" s="5" t="str">
        <f aca="false">IFERROR(
   _xlfn.XLOOKUP(VALUE(A1811),[1]Fichajes_Realizados!A$2:A$50000,[1]Fichajes_Realizados!D$2:D$50000,,0,-1),
   _xlfn.XLOOKUP(VALUE(A1811),[1]Base_Jugadores!A$2:A$50000,[1]Base_Jugadores!C$2:C$50000)
)</f>
        <v>1. FC Heidenheim 1846</v>
      </c>
      <c r="D1811" s="5" t="str">
        <f aca="false">[1]Base_Jugadores!D1811</f>
        <v>Alemania</v>
      </c>
      <c r="E1811" s="3"/>
      <c r="F1811" s="5" t="str">
        <f aca="false">[1]Base_Jugadores!E1811</f>
        <v>DC</v>
      </c>
      <c r="G1811" s="5" t="n">
        <f aca="false">[1]Base_Jugadores!F1811</f>
        <v>72</v>
      </c>
      <c r="H1811" s="5" t="n">
        <f aca="false">[1]Base_Jugadores!G1811</f>
        <v>26</v>
      </c>
      <c r="I1811" s="7" t="n">
        <f aca="false" t="array" ref="I1811:I1811">_xlfn.XLOOKUP(G1811,{55;56;57;58;59;60;61;62;63;64;65;66;67;68;69;70;71;72;73;74;75;76;77;78;79;80;81;82;83;84;85;86;87;88;89;90;91;92;93;94;95;96;97;98;99},{100000;130000;160000;190000;220000;250000;300000;350000;400000;450000;500000;600000;700000;800000;900000;1000000;1500000;2000000;3000000;4000000;5000000;6500000;8000000;10000000;12500000;15000000;20000000;25000000;30000000;35000000;40000000;55000000;70000000;80000000;90000000;110000000;130000000;160000000;190000000;220000000;250000000;280000000;310000000;340000000;400000000})</f>
        <v>2000000</v>
      </c>
      <c r="J1811" s="7" t="n">
        <f aca="false">I1811*S1811*T1811*U1811</f>
        <v>3312000</v>
      </c>
      <c r="K1811" s="3"/>
      <c r="L1811" s="3"/>
      <c r="M1811" s="3"/>
      <c r="N1811" s="9" t="n">
        <v>0</v>
      </c>
      <c r="O1811" s="4" t="n">
        <v>0</v>
      </c>
      <c r="P1811" s="5" t="n">
        <f aca="false">IF(COUNTIF([1]Base_Jugadores!J$2:J$500,B1811)&gt;0,1,0)</f>
        <v>0</v>
      </c>
      <c r="Q1811" s="10" t="b">
        <f aca="false">--(COUNTIFS(
   [1]Fichajes_Realizados!A$2:A$5000,A1811,
   [1]Fichajes_Realizados!G$2:G$5000,$X$3
)&gt;0)</f>
        <v>0</v>
      </c>
      <c r="R1811" s="5" t="n">
        <f aca="false">_xlfn.XLOOKUP(C1811, [1]Estado_Equipos!A$2:A$500, [1]Estado_Equipos!J$2:J$500, "")</f>
        <v>71</v>
      </c>
      <c r="S1811" s="5" t="n">
        <f aca="false">IF(H1811&lt;=16,1.45,
IF(H1811&gt;=41,0.3,
CHOOSE(ROUNDDOWN((H1811-16)/2,0)+1,
1.45,1.38,1.3,1.23,1.17,1.15,1.12,1.05,0.95,0.8,0.6,0.4,0.3)))</f>
        <v>1.15</v>
      </c>
      <c r="T1811" s="5" t="n">
        <f aca="false">CHOOSE(N1811+1,1.2,1,0.85,0.7)</f>
        <v>1.2</v>
      </c>
      <c r="U1811" s="5" t="n">
        <f aca="false">IF(F1811="PO",0.6,
IF(F1811="CT",0.75,
IF(F1811="LI",0.8,
IF(F1811="LD",0.8,
IF(F1811="MCD",0.85,
IF(F1811="MC",0.95,
IF(F1811="MO",1.05,
IF(F1811="EI",1.1,
IF(F1811="ED",1.1,
IF(F1811="SD",1.15,
IF(F1811="DC",1.2,0)))))))))))</f>
        <v>1.2</v>
      </c>
    </row>
    <row r="1812" customFormat="false" ht="16.4" hidden="false" customHeight="false" outlineLevel="0" collapsed="false">
      <c r="A1812" s="1" t="n">
        <v>1811</v>
      </c>
      <c r="B1812" s="5" t="str">
        <f aca="false">[1]Base_Jugadores!B1812</f>
        <v>Mathias Honsak</v>
      </c>
      <c r="C1812" s="5" t="str">
        <f aca="false">IFERROR(
   _xlfn.XLOOKUP(VALUE(A1812),[1]Fichajes_Realizados!A$2:A$50000,[1]Fichajes_Realizados!D$2:D$50000,,0,-1),
   _xlfn.XLOOKUP(VALUE(A1812),[1]Base_Jugadores!A$2:A$50000,[1]Base_Jugadores!C$2:C$50000)
)</f>
        <v>1. FC Heidenheim 1846</v>
      </c>
      <c r="D1812" s="5" t="str">
        <f aca="false">[1]Base_Jugadores!D1812</f>
        <v>Austria</v>
      </c>
      <c r="E1812" s="3"/>
      <c r="F1812" s="5" t="str">
        <f aca="false">[1]Base_Jugadores!E1812</f>
        <v>EI</v>
      </c>
      <c r="G1812" s="5" t="n">
        <f aca="false">[1]Base_Jugadores!F1812</f>
        <v>71</v>
      </c>
      <c r="H1812" s="5" t="n">
        <f aca="false">[1]Base_Jugadores!G1812</f>
        <v>29</v>
      </c>
      <c r="I1812" s="7" t="n">
        <f aca="false" t="array" ref="I1812:I1812">_xlfn.XLOOKUP(G1812,{55;56;57;58;59;60;61;62;63;64;65;66;67;68;69;70;71;72;73;74;75;76;77;78;79;80;81;82;83;84;85;86;87;88;89;90;91;92;93;94;95;96;97;98;99},{100000;130000;160000;190000;220000;250000;300000;350000;400000;450000;500000;600000;700000;800000;900000;1000000;1500000;2000000;3000000;4000000;5000000;6500000;8000000;10000000;12500000;15000000;20000000;25000000;30000000;35000000;40000000;55000000;70000000;80000000;90000000;110000000;130000000;160000000;190000000;220000000;250000000;280000000;310000000;340000000;400000000})</f>
        <v>1500000</v>
      </c>
      <c r="J1812" s="7" t="n">
        <f aca="false">I1812*S1812*T1812*U1812</f>
        <v>2217600</v>
      </c>
      <c r="K1812" s="3"/>
      <c r="L1812" s="3"/>
      <c r="M1812" s="3"/>
      <c r="N1812" s="9" t="n">
        <v>0</v>
      </c>
      <c r="O1812" s="4" t="n">
        <v>0</v>
      </c>
      <c r="P1812" s="5" t="n">
        <f aca="false">IF(COUNTIF([1]Base_Jugadores!J$2:J$500,B1812)&gt;0,1,0)</f>
        <v>0</v>
      </c>
      <c r="Q1812" s="10" t="b">
        <f aca="false">--(COUNTIFS(
   [1]Fichajes_Realizados!A$2:A$5000,A1812,
   [1]Fichajes_Realizados!G$2:G$5000,$X$3
)&gt;0)</f>
        <v>0</v>
      </c>
      <c r="R1812" s="5" t="n">
        <f aca="false">_xlfn.XLOOKUP(C1812, [1]Estado_Equipos!A$2:A$500, [1]Estado_Equipos!J$2:J$500, "")</f>
        <v>71</v>
      </c>
      <c r="S1812" s="5" t="n">
        <f aca="false">IF(H1812&lt;=16,1.45,
IF(H1812&gt;=41,0.3,
CHOOSE(ROUNDDOWN((H1812-16)/2,0)+1,
1.45,1.38,1.3,1.23,1.17,1.15,1.12,1.05,0.95,0.8,0.6,0.4,0.3)))</f>
        <v>1.12</v>
      </c>
      <c r="T1812" s="5" t="n">
        <f aca="false">CHOOSE(N1812+1,1.2,1,0.85,0.7)</f>
        <v>1.2</v>
      </c>
      <c r="U1812" s="5" t="n">
        <f aca="false">IF(F1812="PO",0.6,
IF(F1812="CT",0.75,
IF(F1812="LI",0.8,
IF(F1812="LD",0.8,
IF(F1812="MCD",0.85,
IF(F1812="MC",0.95,
IF(F1812="MO",1.05,
IF(F1812="EI",1.1,
IF(F1812="ED",1.1,
IF(F1812="SD",1.15,
IF(F1812="DC",1.2,0)))))))))))</f>
        <v>1.1</v>
      </c>
    </row>
    <row r="1813" customFormat="false" ht="16.4" hidden="false" customHeight="false" outlineLevel="0" collapsed="false">
      <c r="A1813" s="1" t="n">
        <v>1812</v>
      </c>
      <c r="B1813" s="5" t="str">
        <f aca="false">[1]Base_Jugadores!B1813</f>
        <v>Mikkel Kaufmann</v>
      </c>
      <c r="C1813" s="5" t="str">
        <f aca="false">IFERROR(
   _xlfn.XLOOKUP(VALUE(A1813),[1]Fichajes_Realizados!A$2:A$50000,[1]Fichajes_Realizados!D$2:D$50000,,0,-1),
   _xlfn.XLOOKUP(VALUE(A1813),[1]Base_Jugadores!A$2:A$50000,[1]Base_Jugadores!C$2:C$50000)
)</f>
        <v>1. FC Heidenheim 1846</v>
      </c>
      <c r="D1813" s="5" t="str">
        <f aca="false">[1]Base_Jugadores!D1813</f>
        <v>Dinamarca</v>
      </c>
      <c r="E1813" s="3"/>
      <c r="F1813" s="5" t="str">
        <f aca="false">[1]Base_Jugadores!E1813</f>
        <v>DC</v>
      </c>
      <c r="G1813" s="5" t="n">
        <f aca="false">[1]Base_Jugadores!F1813</f>
        <v>70</v>
      </c>
      <c r="H1813" s="5" t="n">
        <f aca="false">[1]Base_Jugadores!G1813</f>
        <v>24</v>
      </c>
      <c r="I1813" s="7" t="n">
        <f aca="false" t="array" ref="I1813:I1813">_xlfn.XLOOKUP(G1813,{55;56;57;58;59;60;61;62;63;64;65;66;67;68;69;70;71;72;73;74;75;76;77;78;79;80;81;82;83;84;85;86;87;88;89;90;91;92;93;94;95;96;97;98;99},{100000;130000;160000;190000;220000;250000;300000;350000;400000;450000;500000;600000;700000;800000;900000;1000000;1500000;2000000;3000000;4000000;5000000;6500000;8000000;10000000;12500000;15000000;20000000;25000000;30000000;35000000;40000000;55000000;70000000;80000000;90000000;110000000;130000000;160000000;190000000;220000000;250000000;280000000;310000000;340000000;400000000})</f>
        <v>1000000</v>
      </c>
      <c r="J1813" s="7" t="n">
        <f aca="false">I1813*S1813*T1813*U1813</f>
        <v>1684800</v>
      </c>
      <c r="K1813" s="3"/>
      <c r="L1813" s="3"/>
      <c r="M1813" s="3"/>
      <c r="N1813" s="9" t="n">
        <v>0</v>
      </c>
      <c r="O1813" s="4" t="n">
        <v>0</v>
      </c>
      <c r="P1813" s="5" t="n">
        <f aca="false">IF(COUNTIF([1]Base_Jugadores!J$2:J$500,B1813)&gt;0,1,0)</f>
        <v>0</v>
      </c>
      <c r="Q1813" s="10" t="b">
        <f aca="false">--(COUNTIFS(
   [1]Fichajes_Realizados!A$2:A$5000,A1813,
   [1]Fichajes_Realizados!G$2:G$5000,$X$3
)&gt;0)</f>
        <v>0</v>
      </c>
      <c r="R1813" s="5" t="n">
        <f aca="false">_xlfn.XLOOKUP(C1813, [1]Estado_Equipos!A$2:A$500, [1]Estado_Equipos!J$2:J$500, "")</f>
        <v>71</v>
      </c>
      <c r="S1813" s="5" t="n">
        <f aca="false">IF(H1813&lt;=16,1.45,
IF(H1813&gt;=41,0.3,
CHOOSE(ROUNDDOWN((H1813-16)/2,0)+1,
1.45,1.38,1.3,1.23,1.17,1.15,1.12,1.05,0.95,0.8,0.6,0.4,0.3)))</f>
        <v>1.17</v>
      </c>
      <c r="T1813" s="5" t="n">
        <f aca="false">CHOOSE(N1813+1,1.2,1,0.85,0.7)</f>
        <v>1.2</v>
      </c>
      <c r="U1813" s="5" t="n">
        <f aca="false">IF(F1813="PO",0.6,
IF(F1813="CT",0.75,
IF(F1813="LI",0.8,
IF(F1813="LD",0.8,
IF(F1813="MCD",0.85,
IF(F1813="MC",0.95,
IF(F1813="MO",1.05,
IF(F1813="EI",1.1,
IF(F1813="ED",1.1,
IF(F1813="SD",1.15,
IF(F1813="DC",1.2,0)))))))))))</f>
        <v>1.2</v>
      </c>
    </row>
    <row r="1814" customFormat="false" ht="16.4" hidden="false" customHeight="false" outlineLevel="0" collapsed="false">
      <c r="A1814" s="1" t="n">
        <v>1813</v>
      </c>
      <c r="B1814" s="5" t="str">
        <f aca="false">[1]Base_Jugadores!B1814</f>
        <v>Niklas Dorsch</v>
      </c>
      <c r="C1814" s="5" t="str">
        <f aca="false">IFERROR(
   _xlfn.XLOOKUP(VALUE(A1814),[1]Fichajes_Realizados!A$2:A$50000,[1]Fichajes_Realizados!D$2:D$50000,,0,-1),
   _xlfn.XLOOKUP(VALUE(A1814),[1]Base_Jugadores!A$2:A$50000,[1]Base_Jugadores!C$2:C$50000)
)</f>
        <v>1. FC Heidenheim 1846</v>
      </c>
      <c r="D1814" s="5" t="str">
        <f aca="false">[1]Base_Jugadores!D1814</f>
        <v>Alemania</v>
      </c>
      <c r="E1814" s="3"/>
      <c r="F1814" s="5" t="str">
        <f aca="false">[1]Base_Jugadores!E1814</f>
        <v>MCD</v>
      </c>
      <c r="G1814" s="5" t="n">
        <f aca="false">[1]Base_Jugadores!F1814</f>
        <v>76</v>
      </c>
      <c r="H1814" s="5" t="n">
        <f aca="false">[1]Base_Jugadores!G1814</f>
        <v>27</v>
      </c>
      <c r="I1814" s="7" t="n">
        <f aca="false" t="array" ref="I1814:I1814">_xlfn.XLOOKUP(G1814,{55;56;57;58;59;60;61;62;63;64;65;66;67;68;69;70;71;72;73;74;75;76;77;78;79;80;81;82;83;84;85;86;87;88;89;90;91;92;93;94;95;96;97;98;99},{100000;130000;160000;190000;220000;250000;300000;350000;400000;450000;500000;600000;700000;800000;900000;1000000;1500000;2000000;3000000;4000000;5000000;6500000;8000000;10000000;12500000;15000000;20000000;25000000;30000000;35000000;40000000;55000000;70000000;80000000;90000000;110000000;130000000;160000000;190000000;220000000;250000000;280000000;310000000;340000000;400000000})</f>
        <v>6500000</v>
      </c>
      <c r="J1814" s="7" t="n">
        <f aca="false">I1814*S1814*T1814*U1814</f>
        <v>7624500</v>
      </c>
      <c r="K1814" s="3"/>
      <c r="L1814" s="3"/>
      <c r="M1814" s="3"/>
      <c r="N1814" s="9" t="n">
        <v>0</v>
      </c>
      <c r="O1814" s="4" t="n">
        <v>0</v>
      </c>
      <c r="P1814" s="5" t="n">
        <f aca="false">IF(COUNTIF([1]Base_Jugadores!J$2:J$500,B1814)&gt;0,1,0)</f>
        <v>0</v>
      </c>
      <c r="Q1814" s="10" t="b">
        <f aca="false">--(COUNTIFS(
   [1]Fichajes_Realizados!A$2:A$5000,A1814,
   [1]Fichajes_Realizados!G$2:G$5000,$X$3
)&gt;0)</f>
        <v>0</v>
      </c>
      <c r="R1814" s="5" t="n">
        <f aca="false">_xlfn.XLOOKUP(C1814, [1]Estado_Equipos!A$2:A$500, [1]Estado_Equipos!J$2:J$500, "")</f>
        <v>71</v>
      </c>
      <c r="S1814" s="5" t="n">
        <f aca="false">IF(H1814&lt;=16,1.45,
IF(H1814&gt;=41,0.3,
CHOOSE(ROUNDDOWN((H1814-16)/2,0)+1,
1.45,1.38,1.3,1.23,1.17,1.15,1.12,1.05,0.95,0.8,0.6,0.4,0.3)))</f>
        <v>1.15</v>
      </c>
      <c r="T1814" s="5" t="n">
        <f aca="false">CHOOSE(N1814+1,1.2,1,0.85,0.7)</f>
        <v>1.2</v>
      </c>
      <c r="U1814" s="5" t="n">
        <f aca="false">IF(F1814="PO",0.6,
IF(F1814="CT",0.75,
IF(F1814="LI",0.8,
IF(F1814="LD",0.8,
IF(F1814="MCD",0.85,
IF(F1814="MC",0.95,
IF(F1814="MO",1.05,
IF(F1814="EI",1.1,
IF(F1814="ED",1.1,
IF(F1814="SD",1.15,
IF(F1814="DC",1.2,0)))))))))))</f>
        <v>0.85</v>
      </c>
    </row>
    <row r="1815" customFormat="false" ht="16.4" hidden="false" customHeight="false" outlineLevel="0" collapsed="false">
      <c r="A1815" s="1" t="n">
        <v>1814</v>
      </c>
      <c r="B1815" s="5" t="str">
        <f aca="false">[1]Base_Jugadores!B1815</f>
        <v>Omar Traoré</v>
      </c>
      <c r="C1815" s="5" t="str">
        <f aca="false">IFERROR(
   _xlfn.XLOOKUP(VALUE(A1815),[1]Fichajes_Realizados!A$2:A$50000,[1]Fichajes_Realizados!D$2:D$50000,,0,-1),
   _xlfn.XLOOKUP(VALUE(A1815),[1]Base_Jugadores!A$2:A$50000,[1]Base_Jugadores!C$2:C$50000)
)</f>
        <v>1. FC Heidenheim 1846</v>
      </c>
      <c r="D1815" s="5" t="str">
        <f aca="false">[1]Base_Jugadores!D1815</f>
        <v>Alemania</v>
      </c>
      <c r="E1815" s="3"/>
      <c r="F1815" s="5" t="str">
        <f aca="false">[1]Base_Jugadores!E1815</f>
        <v>LD</v>
      </c>
      <c r="G1815" s="5" t="n">
        <f aca="false">[1]Base_Jugadores!F1815</f>
        <v>73</v>
      </c>
      <c r="H1815" s="5" t="n">
        <f aca="false">[1]Base_Jugadores!G1815</f>
        <v>27</v>
      </c>
      <c r="I1815" s="7" t="n">
        <f aca="false" t="array" ref="I1815:I1815">_xlfn.XLOOKUP(G1815,{55;56;57;58;59;60;61;62;63;64;65;66;67;68;69;70;71;72;73;74;75;76;77;78;79;80;81;82;83;84;85;86;87;88;89;90;91;92;93;94;95;96;97;98;99},{100000;130000;160000;190000;220000;250000;300000;350000;400000;450000;500000;600000;700000;800000;900000;1000000;1500000;2000000;3000000;4000000;5000000;6500000;8000000;10000000;12500000;15000000;20000000;25000000;30000000;35000000;40000000;55000000;70000000;80000000;90000000;110000000;130000000;160000000;190000000;220000000;250000000;280000000;310000000;340000000;400000000})</f>
        <v>3000000</v>
      </c>
      <c r="J1815" s="7" t="n">
        <f aca="false">I1815*S1815*T1815*U1815</f>
        <v>3312000</v>
      </c>
      <c r="K1815" s="3"/>
      <c r="L1815" s="3"/>
      <c r="M1815" s="3"/>
      <c r="N1815" s="9" t="n">
        <v>0</v>
      </c>
      <c r="O1815" s="4" t="n">
        <v>0</v>
      </c>
      <c r="P1815" s="5" t="n">
        <f aca="false">IF(COUNTIF([1]Base_Jugadores!J$2:J$500,B1815)&gt;0,1,0)</f>
        <v>0</v>
      </c>
      <c r="Q1815" s="10" t="b">
        <f aca="false">--(COUNTIFS(
   [1]Fichajes_Realizados!A$2:A$5000,A1815,
   [1]Fichajes_Realizados!G$2:G$5000,$X$3
)&gt;0)</f>
        <v>0</v>
      </c>
      <c r="R1815" s="5" t="n">
        <f aca="false">_xlfn.XLOOKUP(C1815, [1]Estado_Equipos!A$2:A$500, [1]Estado_Equipos!J$2:J$500, "")</f>
        <v>71</v>
      </c>
      <c r="S1815" s="5" t="n">
        <f aca="false">IF(H1815&lt;=16,1.45,
IF(H1815&gt;=41,0.3,
CHOOSE(ROUNDDOWN((H1815-16)/2,0)+1,
1.45,1.38,1.3,1.23,1.17,1.15,1.12,1.05,0.95,0.8,0.6,0.4,0.3)))</f>
        <v>1.15</v>
      </c>
      <c r="T1815" s="5" t="n">
        <f aca="false">CHOOSE(N1815+1,1.2,1,0.85,0.7)</f>
        <v>1.2</v>
      </c>
      <c r="U1815" s="5" t="n">
        <f aca="false">IF(F1815="PO",0.6,
IF(F1815="CT",0.75,
IF(F1815="LI",0.8,
IF(F1815="LD",0.8,
IF(F1815="MCD",0.85,
IF(F1815="MC",0.95,
IF(F1815="MO",1.05,
IF(F1815="EI",1.1,
IF(F1815="ED",1.1,
IF(F1815="SD",1.15,
IF(F1815="DC",1.2,0)))))))))))</f>
        <v>0.8</v>
      </c>
    </row>
    <row r="1816" customFormat="false" ht="16.4" hidden="false" customHeight="false" outlineLevel="0" collapsed="false">
      <c r="A1816" s="1" t="n">
        <v>1815</v>
      </c>
      <c r="B1816" s="5" t="str">
        <f aca="false">[1]Base_Jugadores!B1816</f>
        <v>Patrick Mainka</v>
      </c>
      <c r="C1816" s="5" t="str">
        <f aca="false">IFERROR(
   _xlfn.XLOOKUP(VALUE(A1816),[1]Fichajes_Realizados!A$2:A$50000,[1]Fichajes_Realizados!D$2:D$50000,,0,-1),
   _xlfn.XLOOKUP(VALUE(A1816),[1]Base_Jugadores!A$2:A$50000,[1]Base_Jugadores!C$2:C$50000)
)</f>
        <v>1. FC Heidenheim 1846</v>
      </c>
      <c r="D1816" s="5" t="str">
        <f aca="false">[1]Base_Jugadores!D1816</f>
        <v>Alemania</v>
      </c>
      <c r="E1816" s="3"/>
      <c r="F1816" s="5" t="str">
        <f aca="false">[1]Base_Jugadores!E1816</f>
        <v>CT</v>
      </c>
      <c r="G1816" s="5" t="n">
        <f aca="false">[1]Base_Jugadores!F1816</f>
        <v>76</v>
      </c>
      <c r="H1816" s="5" t="n">
        <f aca="false">[1]Base_Jugadores!G1816</f>
        <v>31</v>
      </c>
      <c r="I1816" s="7" t="n">
        <f aca="false" t="array" ref="I1816:I1816">_xlfn.XLOOKUP(G1816,{55;56;57;58;59;60;61;62;63;64;65;66;67;68;69;70;71;72;73;74;75;76;77;78;79;80;81;82;83;84;85;86;87;88;89;90;91;92;93;94;95;96;97;98;99},{100000;130000;160000;190000;220000;250000;300000;350000;400000;450000;500000;600000;700000;800000;900000;1000000;1500000;2000000;3000000;4000000;5000000;6500000;8000000;10000000;12500000;15000000;20000000;25000000;30000000;35000000;40000000;55000000;70000000;80000000;90000000;110000000;130000000;160000000;190000000;220000000;250000000;280000000;310000000;340000000;400000000})</f>
        <v>6500000</v>
      </c>
      <c r="J1816" s="7" t="n">
        <f aca="false">I1816*S1816*T1816*U1816</f>
        <v>6142500</v>
      </c>
      <c r="K1816" s="3"/>
      <c r="L1816" s="3"/>
      <c r="M1816" s="3"/>
      <c r="N1816" s="9" t="n">
        <v>0</v>
      </c>
      <c r="O1816" s="4" t="n">
        <v>0</v>
      </c>
      <c r="P1816" s="5" t="n">
        <f aca="false">IF(COUNTIF([1]Base_Jugadores!J$2:J$500,B1816)&gt;0,1,0)</f>
        <v>0</v>
      </c>
      <c r="Q1816" s="10" t="b">
        <f aca="false">--(COUNTIFS(
   [1]Fichajes_Realizados!A$2:A$5000,A1816,
   [1]Fichajes_Realizados!G$2:G$5000,$X$3
)&gt;0)</f>
        <v>0</v>
      </c>
      <c r="R1816" s="5" t="n">
        <f aca="false">_xlfn.XLOOKUP(C1816, [1]Estado_Equipos!A$2:A$500, [1]Estado_Equipos!J$2:J$500, "")</f>
        <v>71</v>
      </c>
      <c r="S1816" s="5" t="n">
        <f aca="false">IF(H1816&lt;=16,1.45,
IF(H1816&gt;=41,0.3,
CHOOSE(ROUNDDOWN((H1816-16)/2,0)+1,
1.45,1.38,1.3,1.23,1.17,1.15,1.12,1.05,0.95,0.8,0.6,0.4,0.3)))</f>
        <v>1.05</v>
      </c>
      <c r="T1816" s="5" t="n">
        <f aca="false">CHOOSE(N1816+1,1.2,1,0.85,0.7)</f>
        <v>1.2</v>
      </c>
      <c r="U1816" s="5" t="n">
        <f aca="false">IF(F1816="PO",0.6,
IF(F1816="CT",0.75,
IF(F1816="LI",0.8,
IF(F1816="LD",0.8,
IF(F1816="MCD",0.85,
IF(F1816="MC",0.95,
IF(F1816="MO",1.05,
IF(F1816="EI",1.1,
IF(F1816="ED",1.1,
IF(F1816="SD",1.15,
IF(F1816="DC",1.2,0)))))))))))</f>
        <v>0.75</v>
      </c>
    </row>
    <row r="1817" customFormat="false" ht="16.4" hidden="false" customHeight="false" outlineLevel="0" collapsed="false">
      <c r="A1817" s="1" t="n">
        <v>1816</v>
      </c>
      <c r="B1817" s="5" t="str">
        <f aca="false">[1]Base_Jugadores!B1817</f>
        <v>Paul Tschernuth</v>
      </c>
      <c r="C1817" s="5" t="str">
        <f aca="false">IFERROR(
   _xlfn.XLOOKUP(VALUE(A1817),[1]Fichajes_Realizados!A$2:A$50000,[1]Fichajes_Realizados!D$2:D$50000,,0,-1),
   _xlfn.XLOOKUP(VALUE(A1817),[1]Base_Jugadores!A$2:A$50000,[1]Base_Jugadores!C$2:C$50000)
)</f>
        <v>1. FC Heidenheim 1846</v>
      </c>
      <c r="D1817" s="5" t="str">
        <f aca="false">[1]Base_Jugadores!D1817</f>
        <v>Austria</v>
      </c>
      <c r="E1817" s="3"/>
      <c r="F1817" s="5" t="str">
        <f aca="false">[1]Base_Jugadores!E1817</f>
        <v>PO</v>
      </c>
      <c r="G1817" s="5" t="n">
        <f aca="false">[1]Base_Jugadores!F1817</f>
        <v>61</v>
      </c>
      <c r="H1817" s="5" t="n">
        <f aca="false">[1]Base_Jugadores!G1817</f>
        <v>23</v>
      </c>
      <c r="I1817" s="7" t="n">
        <f aca="false" t="array" ref="I1817:I1817">_xlfn.XLOOKUP(G1817,{55;56;57;58;59;60;61;62;63;64;65;66;67;68;69;70;71;72;73;74;75;76;77;78;79;80;81;82;83;84;85;86;87;88;89;90;91;92;93;94;95;96;97;98;99},{100000;130000;160000;190000;220000;250000;300000;350000;400000;450000;500000;600000;700000;800000;900000;1000000;1500000;2000000;3000000;4000000;5000000;6500000;8000000;10000000;12500000;15000000;20000000;25000000;30000000;35000000;40000000;55000000;70000000;80000000;90000000;110000000;130000000;160000000;190000000;220000000;250000000;280000000;310000000;340000000;400000000})</f>
        <v>300000</v>
      </c>
      <c r="J1817" s="7" t="n">
        <f aca="false">I1817*S1817*T1817*U1817</f>
        <v>265680</v>
      </c>
      <c r="K1817" s="3"/>
      <c r="L1817" s="3"/>
      <c r="M1817" s="3"/>
      <c r="N1817" s="9" t="n">
        <v>0</v>
      </c>
      <c r="O1817" s="4" t="n">
        <v>0</v>
      </c>
      <c r="P1817" s="5" t="n">
        <f aca="false">IF(COUNTIF([1]Base_Jugadores!J$2:J$500,B1817)&gt;0,1,0)</f>
        <v>0</v>
      </c>
      <c r="Q1817" s="10" t="b">
        <f aca="false">--(COUNTIFS(
   [1]Fichajes_Realizados!A$2:A$5000,A1817,
   [1]Fichajes_Realizados!G$2:G$5000,$X$3
)&gt;0)</f>
        <v>0</v>
      </c>
      <c r="R1817" s="5" t="n">
        <f aca="false">_xlfn.XLOOKUP(C1817, [1]Estado_Equipos!A$2:A$500, [1]Estado_Equipos!J$2:J$500, "")</f>
        <v>71</v>
      </c>
      <c r="S1817" s="5" t="n">
        <f aca="false">IF(H1817&lt;=16,1.45,
IF(H1817&gt;=41,0.3,
CHOOSE(ROUNDDOWN((H1817-16)/2,0)+1,
1.45,1.38,1.3,1.23,1.17,1.15,1.12,1.05,0.95,0.8,0.6,0.4,0.3)))</f>
        <v>1.23</v>
      </c>
      <c r="T1817" s="5" t="n">
        <f aca="false">CHOOSE(N1817+1,1.2,1,0.85,0.7)</f>
        <v>1.2</v>
      </c>
      <c r="U1817" s="5" t="n">
        <f aca="false">IF(F1817="PO",0.6,
IF(F1817="CT",0.75,
IF(F1817="LI",0.8,
IF(F1817="LD",0.8,
IF(F1817="MCD",0.85,
IF(F1817="MC",0.95,
IF(F1817="MO",1.05,
IF(F1817="EI",1.1,
IF(F1817="ED",1.1,
IF(F1817="SD",1.15,
IF(F1817="DC",1.2,0)))))))))))</f>
        <v>0.6</v>
      </c>
    </row>
    <row r="1818" customFormat="false" ht="16.4" hidden="false" customHeight="false" outlineLevel="0" collapsed="false">
      <c r="A1818" s="1" t="n">
        <v>1817</v>
      </c>
      <c r="B1818" s="5" t="str">
        <f aca="false">[1]Base_Jugadores!B1818</f>
        <v>Sirlord Conteh</v>
      </c>
      <c r="C1818" s="5" t="str">
        <f aca="false">IFERROR(
   _xlfn.XLOOKUP(VALUE(A1818),[1]Fichajes_Realizados!A$2:A$50000,[1]Fichajes_Realizados!D$2:D$50000,,0,-1),
   _xlfn.XLOOKUP(VALUE(A1818),[1]Base_Jugadores!A$2:A$50000,[1]Base_Jugadores!C$2:C$50000)
)</f>
        <v>1. FC Heidenheim 1846</v>
      </c>
      <c r="D1818" s="5" t="str">
        <f aca="false">[1]Base_Jugadores!D1818</f>
        <v>Alemania</v>
      </c>
      <c r="E1818" s="3"/>
      <c r="F1818" s="5" t="str">
        <f aca="false">[1]Base_Jugadores!E1818</f>
        <v>ED</v>
      </c>
      <c r="G1818" s="5" t="n">
        <f aca="false">[1]Base_Jugadores!F1818</f>
        <v>70</v>
      </c>
      <c r="H1818" s="5" t="n">
        <f aca="false">[1]Base_Jugadores!G1818</f>
        <v>29</v>
      </c>
      <c r="I1818" s="7" t="n">
        <f aca="false" t="array" ref="I1818:I1818">_xlfn.XLOOKUP(G1818,{55;56;57;58;59;60;61;62;63;64;65;66;67;68;69;70;71;72;73;74;75;76;77;78;79;80;81;82;83;84;85;86;87;88;89;90;91;92;93;94;95;96;97;98;99},{100000;130000;160000;190000;220000;250000;300000;350000;400000;450000;500000;600000;700000;800000;900000;1000000;1500000;2000000;3000000;4000000;5000000;6500000;8000000;10000000;12500000;15000000;20000000;25000000;30000000;35000000;40000000;55000000;70000000;80000000;90000000;110000000;130000000;160000000;190000000;220000000;250000000;280000000;310000000;340000000;400000000})</f>
        <v>1000000</v>
      </c>
      <c r="J1818" s="7" t="n">
        <f aca="false">I1818*S1818*T1818*U1818</f>
        <v>1478400</v>
      </c>
      <c r="K1818" s="3"/>
      <c r="L1818" s="3"/>
      <c r="M1818" s="3"/>
      <c r="N1818" s="9" t="n">
        <v>0</v>
      </c>
      <c r="O1818" s="4" t="n">
        <v>0</v>
      </c>
      <c r="P1818" s="5" t="n">
        <f aca="false">IF(COUNTIF([1]Base_Jugadores!J$2:J$500,B1818)&gt;0,1,0)</f>
        <v>0</v>
      </c>
      <c r="Q1818" s="10" t="b">
        <f aca="false">--(COUNTIFS(
   [1]Fichajes_Realizados!A$2:A$5000,A1818,
   [1]Fichajes_Realizados!G$2:G$5000,$X$3
)&gt;0)</f>
        <v>0</v>
      </c>
      <c r="R1818" s="5" t="n">
        <f aca="false">_xlfn.XLOOKUP(C1818, [1]Estado_Equipos!A$2:A$500, [1]Estado_Equipos!J$2:J$500, "")</f>
        <v>71</v>
      </c>
      <c r="S1818" s="5" t="n">
        <f aca="false">IF(H1818&lt;=16,1.45,
IF(H1818&gt;=41,0.3,
CHOOSE(ROUNDDOWN((H1818-16)/2,0)+1,
1.45,1.38,1.3,1.23,1.17,1.15,1.12,1.05,0.95,0.8,0.6,0.4,0.3)))</f>
        <v>1.12</v>
      </c>
      <c r="T1818" s="5" t="n">
        <f aca="false">CHOOSE(N1818+1,1.2,1,0.85,0.7)</f>
        <v>1.2</v>
      </c>
      <c r="U1818" s="5" t="n">
        <f aca="false">IF(F1818="PO",0.6,
IF(F1818="CT",0.75,
IF(F1818="LI",0.8,
IF(F1818="LD",0.8,
IF(F1818="MCD",0.85,
IF(F1818="MC",0.95,
IF(F1818="MO",1.05,
IF(F1818="EI",1.1,
IF(F1818="ED",1.1,
IF(F1818="SD",1.15,
IF(F1818="DC",1.2,0)))))))))))</f>
        <v>1.1</v>
      </c>
    </row>
    <row r="1819" customFormat="false" ht="16.4" hidden="false" customHeight="false" outlineLevel="0" collapsed="false">
      <c r="A1819" s="1" t="n">
        <v>1818</v>
      </c>
      <c r="B1819" s="5" t="str">
        <f aca="false">[1]Base_Jugadores!B1819</f>
        <v>Stefan Schimmer</v>
      </c>
      <c r="C1819" s="5" t="str">
        <f aca="false">IFERROR(
   _xlfn.XLOOKUP(VALUE(A1819),[1]Fichajes_Realizados!A$2:A$50000,[1]Fichajes_Realizados!D$2:D$50000,,0,-1),
   _xlfn.XLOOKUP(VALUE(A1819),[1]Base_Jugadores!A$2:A$50000,[1]Base_Jugadores!C$2:C$50000)
)</f>
        <v>1. FC Heidenheim 1846</v>
      </c>
      <c r="D1819" s="5" t="str">
        <f aca="false">[1]Base_Jugadores!D1819</f>
        <v>Alemania</v>
      </c>
      <c r="E1819" s="3"/>
      <c r="F1819" s="5" t="str">
        <f aca="false">[1]Base_Jugadores!E1819</f>
        <v>DC</v>
      </c>
      <c r="G1819" s="5" t="n">
        <f aca="false">[1]Base_Jugadores!F1819</f>
        <v>69</v>
      </c>
      <c r="H1819" s="5" t="n">
        <f aca="false">[1]Base_Jugadores!G1819</f>
        <v>31</v>
      </c>
      <c r="I1819" s="7" t="n">
        <f aca="false" t="array" ref="I1819:I1819">_xlfn.XLOOKUP(G1819,{55;56;57;58;59;60;61;62;63;64;65;66;67;68;69;70;71;72;73;74;75;76;77;78;79;80;81;82;83;84;85;86;87;88;89;90;91;92;93;94;95;96;97;98;99},{100000;130000;160000;190000;220000;250000;300000;350000;400000;450000;500000;600000;700000;800000;900000;1000000;1500000;2000000;3000000;4000000;5000000;6500000;8000000;10000000;12500000;15000000;20000000;25000000;30000000;35000000;40000000;55000000;70000000;80000000;90000000;110000000;130000000;160000000;190000000;220000000;250000000;280000000;310000000;340000000;400000000})</f>
        <v>900000</v>
      </c>
      <c r="J1819" s="7" t="n">
        <f aca="false">I1819*S1819*T1819*U1819</f>
        <v>1360800</v>
      </c>
      <c r="K1819" s="3"/>
      <c r="L1819" s="3"/>
      <c r="M1819" s="3"/>
      <c r="N1819" s="9" t="n">
        <v>0</v>
      </c>
      <c r="O1819" s="4" t="n">
        <v>0</v>
      </c>
      <c r="P1819" s="5" t="n">
        <f aca="false">IF(COUNTIF([1]Base_Jugadores!J$2:J$500,B1819)&gt;0,1,0)</f>
        <v>0</v>
      </c>
      <c r="Q1819" s="10" t="b">
        <f aca="false">--(COUNTIFS(
   [1]Fichajes_Realizados!A$2:A$5000,A1819,
   [1]Fichajes_Realizados!G$2:G$5000,$X$3
)&gt;0)</f>
        <v>0</v>
      </c>
      <c r="R1819" s="5" t="n">
        <f aca="false">_xlfn.XLOOKUP(C1819, [1]Estado_Equipos!A$2:A$500, [1]Estado_Equipos!J$2:J$500, "")</f>
        <v>71</v>
      </c>
      <c r="S1819" s="5" t="n">
        <f aca="false">IF(H1819&lt;=16,1.45,
IF(H1819&gt;=41,0.3,
CHOOSE(ROUNDDOWN((H1819-16)/2,0)+1,
1.45,1.38,1.3,1.23,1.17,1.15,1.12,1.05,0.95,0.8,0.6,0.4,0.3)))</f>
        <v>1.05</v>
      </c>
      <c r="T1819" s="5" t="n">
        <f aca="false">CHOOSE(N1819+1,1.2,1,0.85,0.7)</f>
        <v>1.2</v>
      </c>
      <c r="U1819" s="5" t="n">
        <f aca="false">IF(F1819="PO",0.6,
IF(F1819="CT",0.75,
IF(F1819="LI",0.8,
IF(F1819="LD",0.8,
IF(F1819="MCD",0.85,
IF(F1819="MC",0.95,
IF(F1819="MO",1.05,
IF(F1819="EI",1.1,
IF(F1819="ED",1.1,
IF(F1819="SD",1.15,
IF(F1819="DC",1.2,0)))))))))))</f>
        <v>1.2</v>
      </c>
    </row>
    <row r="1820" customFormat="false" ht="16.4" hidden="false" customHeight="false" outlineLevel="0" collapsed="false">
      <c r="A1820" s="1" t="n">
        <v>1819</v>
      </c>
      <c r="B1820" s="5" t="str">
        <f aca="false">[1]Base_Jugadores!B1820</f>
        <v>Thomas Keller</v>
      </c>
      <c r="C1820" s="5" t="str">
        <f aca="false">IFERROR(
   _xlfn.XLOOKUP(VALUE(A1820),[1]Fichajes_Realizados!A$2:A$50000,[1]Fichajes_Realizados!D$2:D$50000,,0,-1),
   _xlfn.XLOOKUP(VALUE(A1820),[1]Base_Jugadores!A$2:A$50000,[1]Base_Jugadores!C$2:C$50000)
)</f>
        <v>1. FC Heidenheim 1846</v>
      </c>
      <c r="D1820" s="5" t="str">
        <f aca="false">[1]Base_Jugadores!D1820</f>
        <v>Alemania</v>
      </c>
      <c r="E1820" s="3"/>
      <c r="F1820" s="5" t="str">
        <f aca="false">[1]Base_Jugadores!E1820</f>
        <v>CT</v>
      </c>
      <c r="G1820" s="5" t="n">
        <f aca="false">[1]Base_Jugadores!F1820</f>
        <v>68</v>
      </c>
      <c r="H1820" s="5" t="n">
        <f aca="false">[1]Base_Jugadores!G1820</f>
        <v>26</v>
      </c>
      <c r="I1820" s="7" t="n">
        <f aca="false" t="array" ref="I1820:I1820">_xlfn.XLOOKUP(G1820,{55;56;57;58;59;60;61;62;63;64;65;66;67;68;69;70;71;72;73;74;75;76;77;78;79;80;81;82;83;84;85;86;87;88;89;90;91;92;93;94;95;96;97;98;99},{100000;130000;160000;190000;220000;250000;300000;350000;400000;450000;500000;600000;700000;800000;900000;1000000;1500000;2000000;3000000;4000000;5000000;6500000;8000000;10000000;12500000;15000000;20000000;25000000;30000000;35000000;40000000;55000000;70000000;80000000;90000000;110000000;130000000;160000000;190000000;220000000;250000000;280000000;310000000;340000000;400000000})</f>
        <v>800000</v>
      </c>
      <c r="J1820" s="7" t="n">
        <f aca="false">I1820*S1820*T1820*U1820</f>
        <v>828000</v>
      </c>
      <c r="K1820" s="3"/>
      <c r="L1820" s="3"/>
      <c r="M1820" s="3"/>
      <c r="N1820" s="9" t="n">
        <v>0</v>
      </c>
      <c r="O1820" s="4" t="n">
        <v>0</v>
      </c>
      <c r="P1820" s="5" t="n">
        <f aca="false">IF(COUNTIF([1]Base_Jugadores!J$2:J$500,B1820)&gt;0,1,0)</f>
        <v>0</v>
      </c>
      <c r="Q1820" s="10" t="b">
        <f aca="false">--(COUNTIFS(
   [1]Fichajes_Realizados!A$2:A$5000,A1820,
   [1]Fichajes_Realizados!G$2:G$5000,$X$3
)&gt;0)</f>
        <v>0</v>
      </c>
      <c r="R1820" s="5" t="n">
        <f aca="false">_xlfn.XLOOKUP(C1820, [1]Estado_Equipos!A$2:A$500, [1]Estado_Equipos!J$2:J$500, "")</f>
        <v>71</v>
      </c>
      <c r="S1820" s="5" t="n">
        <f aca="false">IF(H1820&lt;=16,1.45,
IF(H1820&gt;=41,0.3,
CHOOSE(ROUNDDOWN((H1820-16)/2,0)+1,
1.45,1.38,1.3,1.23,1.17,1.15,1.12,1.05,0.95,0.8,0.6,0.4,0.3)))</f>
        <v>1.15</v>
      </c>
      <c r="T1820" s="5" t="n">
        <f aca="false">CHOOSE(N1820+1,1.2,1,0.85,0.7)</f>
        <v>1.2</v>
      </c>
      <c r="U1820" s="5" t="n">
        <f aca="false">IF(F1820="PO",0.6,
IF(F1820="CT",0.75,
IF(F1820="LI",0.8,
IF(F1820="LD",0.8,
IF(F1820="MCD",0.85,
IF(F1820="MC",0.95,
IF(F1820="MO",1.05,
IF(F1820="EI",1.1,
IF(F1820="ED",1.1,
IF(F1820="SD",1.15,
IF(F1820="DC",1.2,0)))))))))))</f>
        <v>0.75</v>
      </c>
    </row>
    <row r="1821" customFormat="false" ht="16.4" hidden="false" customHeight="false" outlineLevel="0" collapsed="false">
      <c r="A1821" s="1" t="n">
        <v>1820</v>
      </c>
      <c r="B1821" s="5" t="str">
        <f aca="false">[1]Base_Jugadores!B1821</f>
        <v>Tim Siersleben</v>
      </c>
      <c r="C1821" s="5" t="str">
        <f aca="false">IFERROR(
   _xlfn.XLOOKUP(VALUE(A1821),[1]Fichajes_Realizados!A$2:A$50000,[1]Fichajes_Realizados!D$2:D$50000,,0,-1),
   _xlfn.XLOOKUP(VALUE(A1821),[1]Base_Jugadores!A$2:A$50000,[1]Base_Jugadores!C$2:C$50000)
)</f>
        <v>1. FC Heidenheim 1846</v>
      </c>
      <c r="D1821" s="5" t="str">
        <f aca="false">[1]Base_Jugadores!D1821</f>
        <v>Alemania</v>
      </c>
      <c r="E1821" s="3"/>
      <c r="F1821" s="5" t="str">
        <f aca="false">[1]Base_Jugadores!E1821</f>
        <v>CT</v>
      </c>
      <c r="G1821" s="5" t="n">
        <f aca="false">[1]Base_Jugadores!F1821</f>
        <v>71</v>
      </c>
      <c r="H1821" s="5" t="n">
        <f aca="false">[1]Base_Jugadores!G1821</f>
        <v>25</v>
      </c>
      <c r="I1821" s="7" t="n">
        <f aca="false" t="array" ref="I1821:I1821">_xlfn.XLOOKUP(G1821,{55;56;57;58;59;60;61;62;63;64;65;66;67;68;69;70;71;72;73;74;75;76;77;78;79;80;81;82;83;84;85;86;87;88;89;90;91;92;93;94;95;96;97;98;99},{100000;130000;160000;190000;220000;250000;300000;350000;400000;450000;500000;600000;700000;800000;900000;1000000;1500000;2000000;3000000;4000000;5000000;6500000;8000000;10000000;12500000;15000000;20000000;25000000;30000000;35000000;40000000;55000000;70000000;80000000;90000000;110000000;130000000;160000000;190000000;220000000;250000000;280000000;310000000;340000000;400000000})</f>
        <v>1500000</v>
      </c>
      <c r="J1821" s="7" t="n">
        <f aca="false">I1821*S1821*T1821*U1821</f>
        <v>1579500</v>
      </c>
      <c r="K1821" s="3"/>
      <c r="L1821" s="3"/>
      <c r="M1821" s="3"/>
      <c r="N1821" s="9" t="n">
        <v>0</v>
      </c>
      <c r="O1821" s="4" t="n">
        <v>0</v>
      </c>
      <c r="P1821" s="5" t="n">
        <f aca="false">IF(COUNTIF([1]Base_Jugadores!J$2:J$500,B1821)&gt;0,1,0)</f>
        <v>0</v>
      </c>
      <c r="Q1821" s="10" t="b">
        <f aca="false">--(COUNTIFS(
   [1]Fichajes_Realizados!A$2:A$5000,A1821,
   [1]Fichajes_Realizados!G$2:G$5000,$X$3
)&gt;0)</f>
        <v>0</v>
      </c>
      <c r="R1821" s="5" t="n">
        <f aca="false">_xlfn.XLOOKUP(C1821, [1]Estado_Equipos!A$2:A$500, [1]Estado_Equipos!J$2:J$500, "")</f>
        <v>71</v>
      </c>
      <c r="S1821" s="5" t="n">
        <f aca="false">IF(H1821&lt;=16,1.45,
IF(H1821&gt;=41,0.3,
CHOOSE(ROUNDDOWN((H1821-16)/2,0)+1,
1.45,1.38,1.3,1.23,1.17,1.15,1.12,1.05,0.95,0.8,0.6,0.4,0.3)))</f>
        <v>1.17</v>
      </c>
      <c r="T1821" s="5" t="n">
        <f aca="false">CHOOSE(N1821+1,1.2,1,0.85,0.7)</f>
        <v>1.2</v>
      </c>
      <c r="U1821" s="5" t="n">
        <f aca="false">IF(F1821="PO",0.6,
IF(F1821="CT",0.75,
IF(F1821="LI",0.8,
IF(F1821="LD",0.8,
IF(F1821="MCD",0.85,
IF(F1821="MC",0.95,
IF(F1821="MO",1.05,
IF(F1821="EI",1.1,
IF(F1821="ED",1.1,
IF(F1821="SD",1.15,
IF(F1821="DC",1.2,0)))))))))))</f>
        <v>0.75</v>
      </c>
    </row>
    <row r="1822" customFormat="false" ht="16.4" hidden="false" customHeight="false" outlineLevel="0" collapsed="false">
      <c r="A1822" s="1" t="n">
        <v>1821</v>
      </c>
      <c r="B1822" s="5" t="str">
        <f aca="false">[1]Base_Jugadores!B1822</f>
        <v>Oliver Baumann</v>
      </c>
      <c r="C1822" s="5" t="str">
        <f aca="false">IFERROR(
   _xlfn.XLOOKUP(VALUE(A1822),[1]Fichajes_Realizados!A$2:A$50000,[1]Fichajes_Realizados!D$2:D$50000,,0,-1),
   _xlfn.XLOOKUP(VALUE(A1822),[1]Base_Jugadores!A$2:A$50000,[1]Base_Jugadores!C$2:C$50000)
)</f>
        <v>TSG 1899 Hoffenheim</v>
      </c>
      <c r="D1822" s="5" t="str">
        <f aca="false">[1]Base_Jugadores!D1822</f>
        <v>Alemania</v>
      </c>
      <c r="E1822" s="3"/>
      <c r="F1822" s="5" t="str">
        <f aca="false">[1]Base_Jugadores!E1822</f>
        <v>PO</v>
      </c>
      <c r="G1822" s="5" t="n">
        <f aca="false">[1]Base_Jugadores!F1822</f>
        <v>82</v>
      </c>
      <c r="H1822" s="5" t="n">
        <f aca="false">[1]Base_Jugadores!G1822</f>
        <v>35</v>
      </c>
      <c r="I1822" s="7" t="n">
        <f aca="false" t="array" ref="I1822:I1822">_xlfn.XLOOKUP(G1822,{55;56;57;58;59;60;61;62;63;64;65;66;67;68;69;70;71;72;73;74;75;76;77;78;79;80;81;82;83;84;85;86;87;88;89;90;91;92;93;94;95;96;97;98;99},{100000;130000;160000;190000;220000;250000;300000;350000;400000;450000;500000;600000;700000;800000;900000;1000000;1500000;2000000;3000000;4000000;5000000;6500000;8000000;10000000;12500000;15000000;20000000;25000000;30000000;35000000;40000000;55000000;70000000;80000000;90000000;110000000;130000000;160000000;190000000;220000000;250000000;280000000;310000000;340000000;400000000})</f>
        <v>25000000</v>
      </c>
      <c r="J1822" s="7" t="n">
        <f aca="false">I1822*S1822*T1822*U1822</f>
        <v>14400000</v>
      </c>
      <c r="K1822" s="3"/>
      <c r="L1822" s="3"/>
      <c r="M1822" s="3"/>
      <c r="N1822" s="9" t="n">
        <v>0</v>
      </c>
      <c r="O1822" s="4" t="n">
        <v>0</v>
      </c>
      <c r="P1822" s="5" t="n">
        <f aca="false">IF(COUNTIF([1]Base_Jugadores!J$2:J$500,B1822)&gt;0,1,0)</f>
        <v>0</v>
      </c>
      <c r="Q1822" s="10" t="b">
        <f aca="false">--(COUNTIFS(
   [1]Fichajes_Realizados!A$2:A$5000,A1822,
   [1]Fichajes_Realizados!G$2:G$5000,$X$3
)&gt;0)</f>
        <v>0</v>
      </c>
      <c r="R1822" s="5" t="n">
        <f aca="false">_xlfn.XLOOKUP(C1822, [1]Estado_Equipos!A$2:A$500, [1]Estado_Equipos!J$2:J$500, "")</f>
        <v>72</v>
      </c>
      <c r="S1822" s="5" t="n">
        <f aca="false">IF(H1822&lt;=16,1.45,
IF(H1822&gt;=41,0.3,
CHOOSE(ROUNDDOWN((H1822-16)/2,0)+1,
1.45,1.38,1.3,1.23,1.17,1.15,1.12,1.05,0.95,0.8,0.6,0.4,0.3)))</f>
        <v>0.8</v>
      </c>
      <c r="T1822" s="5" t="n">
        <f aca="false">CHOOSE(N1822+1,1.2,1,0.85,0.7)</f>
        <v>1.2</v>
      </c>
      <c r="U1822" s="5" t="n">
        <f aca="false">IF(F1822="PO",0.6,
IF(F1822="CT",0.75,
IF(F1822="LI",0.8,
IF(F1822="LD",0.8,
IF(F1822="MCD",0.85,
IF(F1822="MC",0.95,
IF(F1822="MO",1.05,
IF(F1822="EI",1.1,
IF(F1822="ED",1.1,
IF(F1822="SD",1.15,
IF(F1822="DC",1.2,0)))))))))))</f>
        <v>0.6</v>
      </c>
    </row>
    <row r="1823" customFormat="false" ht="16.4" hidden="false" customHeight="false" outlineLevel="0" collapsed="false">
      <c r="A1823" s="1" t="n">
        <v>1822</v>
      </c>
      <c r="B1823" s="5" t="str">
        <f aca="false">[1]Base_Jugadores!B1823</f>
        <v>Adam Hlozek</v>
      </c>
      <c r="C1823" s="5" t="str">
        <f aca="false">IFERROR(
   _xlfn.XLOOKUP(VALUE(A1823),[1]Fichajes_Realizados!A$2:A$50000,[1]Fichajes_Realizados!D$2:D$50000,,0,-1),
   _xlfn.XLOOKUP(VALUE(A1823),[1]Base_Jugadores!A$2:A$50000,[1]Base_Jugadores!C$2:C$50000)
)</f>
        <v>TSG 1899 Hoffenheim</v>
      </c>
      <c r="D1823" s="5" t="str">
        <f aca="false">[1]Base_Jugadores!D1823</f>
        <v>República Checa</v>
      </c>
      <c r="E1823" s="3"/>
      <c r="F1823" s="5" t="str">
        <f aca="false">[1]Base_Jugadores!E1823</f>
        <v>DC</v>
      </c>
      <c r="G1823" s="5" t="n">
        <f aca="false">[1]Base_Jugadores!F1823</f>
        <v>76</v>
      </c>
      <c r="H1823" s="5" t="n">
        <f aca="false">[1]Base_Jugadores!G1823</f>
        <v>23</v>
      </c>
      <c r="I1823" s="7" t="n">
        <f aca="false" t="array" ref="I1823:I1823">_xlfn.XLOOKUP(G1823,{55;56;57;58;59;60;61;62;63;64;65;66;67;68;69;70;71;72;73;74;75;76;77;78;79;80;81;82;83;84;85;86;87;88;89;90;91;92;93;94;95;96;97;98;99},{100000;130000;160000;190000;220000;250000;300000;350000;400000;450000;500000;600000;700000;800000;900000;1000000;1500000;2000000;3000000;4000000;5000000;6500000;8000000;10000000;12500000;15000000;20000000;25000000;30000000;35000000;40000000;55000000;70000000;80000000;90000000;110000000;130000000;160000000;190000000;220000000;250000000;280000000;310000000;340000000;400000000})</f>
        <v>6500000</v>
      </c>
      <c r="J1823" s="7" t="n">
        <f aca="false">I1823*S1823*T1823*U1823</f>
        <v>11512800</v>
      </c>
      <c r="K1823" s="3"/>
      <c r="L1823" s="3"/>
      <c r="M1823" s="3"/>
      <c r="N1823" s="9" t="n">
        <v>0</v>
      </c>
      <c r="O1823" s="4" t="n">
        <v>0</v>
      </c>
      <c r="P1823" s="5" t="n">
        <f aca="false">IF(COUNTIF([1]Base_Jugadores!J$2:J$500,B1823)&gt;0,1,0)</f>
        <v>0</v>
      </c>
      <c r="Q1823" s="10" t="b">
        <f aca="false">--(COUNTIFS(
   [1]Fichajes_Realizados!A$2:A$5000,A1823,
   [1]Fichajes_Realizados!G$2:G$5000,$X$3
)&gt;0)</f>
        <v>0</v>
      </c>
      <c r="R1823" s="5" t="n">
        <f aca="false">_xlfn.XLOOKUP(C1823, [1]Estado_Equipos!A$2:A$500, [1]Estado_Equipos!J$2:J$500, "")</f>
        <v>72</v>
      </c>
      <c r="S1823" s="5" t="n">
        <f aca="false">IF(H1823&lt;=16,1.45,
IF(H1823&gt;=41,0.3,
CHOOSE(ROUNDDOWN((H1823-16)/2,0)+1,
1.45,1.38,1.3,1.23,1.17,1.15,1.12,1.05,0.95,0.8,0.6,0.4,0.3)))</f>
        <v>1.23</v>
      </c>
      <c r="T1823" s="5" t="n">
        <f aca="false">CHOOSE(N1823+1,1.2,1,0.85,0.7)</f>
        <v>1.2</v>
      </c>
      <c r="U1823" s="5" t="n">
        <f aca="false">IF(F1823="PO",0.6,
IF(F1823="CT",0.75,
IF(F1823="LI",0.8,
IF(F1823="LD",0.8,
IF(F1823="MCD",0.85,
IF(F1823="MC",0.95,
IF(F1823="MO",1.05,
IF(F1823="EI",1.1,
IF(F1823="ED",1.1,
IF(F1823="SD",1.15,
IF(F1823="DC",1.2,0)))))))))))</f>
        <v>1.2</v>
      </c>
    </row>
    <row r="1824" customFormat="false" ht="16.4" hidden="false" customHeight="false" outlineLevel="0" collapsed="false">
      <c r="A1824" s="1" t="n">
        <v>1823</v>
      </c>
      <c r="B1824" s="5" t="str">
        <f aca="false">[1]Base_Jugadores!B1824</f>
        <v>Albian Hajdari</v>
      </c>
      <c r="C1824" s="5" t="str">
        <f aca="false">IFERROR(
   _xlfn.XLOOKUP(VALUE(A1824),[1]Fichajes_Realizados!A$2:A$50000,[1]Fichajes_Realizados!D$2:D$50000,,0,-1),
   _xlfn.XLOOKUP(VALUE(A1824),[1]Base_Jugadores!A$2:A$50000,[1]Base_Jugadores!C$2:C$50000)
)</f>
        <v>TSG 1899 Hoffenheim</v>
      </c>
      <c r="D1824" s="5" t="str">
        <f aca="false">[1]Base_Jugadores!D1824</f>
        <v>Kosovo</v>
      </c>
      <c r="E1824" s="3"/>
      <c r="F1824" s="5" t="str">
        <f aca="false">[1]Base_Jugadores!E1824</f>
        <v>CT</v>
      </c>
      <c r="G1824" s="5" t="n">
        <f aca="false">[1]Base_Jugadores!F1824</f>
        <v>70</v>
      </c>
      <c r="H1824" s="5" t="n">
        <f aca="false">[1]Base_Jugadores!G1824</f>
        <v>22</v>
      </c>
      <c r="I1824" s="7" t="n">
        <f aca="false" t="array" ref="I1824:I1824">_xlfn.XLOOKUP(G1824,{55;56;57;58;59;60;61;62;63;64;65;66;67;68;69;70;71;72;73;74;75;76;77;78;79;80;81;82;83;84;85;86;87;88;89;90;91;92;93;94;95;96;97;98;99},{100000;130000;160000;190000;220000;250000;300000;350000;400000;450000;500000;600000;700000;800000;900000;1000000;1500000;2000000;3000000;4000000;5000000;6500000;8000000;10000000;12500000;15000000;20000000;25000000;30000000;35000000;40000000;55000000;70000000;80000000;90000000;110000000;130000000;160000000;190000000;220000000;250000000;280000000;310000000;340000000;400000000})</f>
        <v>1000000</v>
      </c>
      <c r="J1824" s="7" t="n">
        <f aca="false">I1824*S1824*T1824*U1824</f>
        <v>1107000</v>
      </c>
      <c r="K1824" s="3"/>
      <c r="L1824" s="3"/>
      <c r="M1824" s="3"/>
      <c r="N1824" s="9" t="n">
        <v>0</v>
      </c>
      <c r="O1824" s="4" t="n">
        <v>0</v>
      </c>
      <c r="P1824" s="5" t="n">
        <f aca="false">IF(COUNTIF([1]Base_Jugadores!J$2:J$500,B1824)&gt;0,1,0)</f>
        <v>0</v>
      </c>
      <c r="Q1824" s="10" t="b">
        <f aca="false">--(COUNTIFS(
   [1]Fichajes_Realizados!A$2:A$5000,A1824,
   [1]Fichajes_Realizados!G$2:G$5000,$X$3
)&gt;0)</f>
        <v>0</v>
      </c>
      <c r="R1824" s="5" t="n">
        <f aca="false">_xlfn.XLOOKUP(C1824, [1]Estado_Equipos!A$2:A$500, [1]Estado_Equipos!J$2:J$500, "")</f>
        <v>72</v>
      </c>
      <c r="S1824" s="5" t="n">
        <f aca="false">IF(H1824&lt;=16,1.45,
IF(H1824&gt;=41,0.3,
CHOOSE(ROUNDDOWN((H1824-16)/2,0)+1,
1.45,1.38,1.3,1.23,1.17,1.15,1.12,1.05,0.95,0.8,0.6,0.4,0.3)))</f>
        <v>1.23</v>
      </c>
      <c r="T1824" s="5" t="n">
        <f aca="false">CHOOSE(N1824+1,1.2,1,0.85,0.7)</f>
        <v>1.2</v>
      </c>
      <c r="U1824" s="5" t="n">
        <f aca="false">IF(F1824="PO",0.6,
IF(F1824="CT",0.75,
IF(F1824="LI",0.8,
IF(F1824="LD",0.8,
IF(F1824="MCD",0.85,
IF(F1824="MC",0.95,
IF(F1824="MO",1.05,
IF(F1824="EI",1.1,
IF(F1824="ED",1.1,
IF(F1824="SD",1.15,
IF(F1824="DC",1.2,0)))))))))))</f>
        <v>0.75</v>
      </c>
    </row>
    <row r="1825" customFormat="false" ht="16.4" hidden="false" customHeight="false" outlineLevel="0" collapsed="false">
      <c r="A1825" s="1" t="n">
        <v>1824</v>
      </c>
      <c r="B1825" s="5" t="str">
        <f aca="false">[1]Base_Jugadores!B1825</f>
        <v>Alexander Prass</v>
      </c>
      <c r="C1825" s="5" t="str">
        <f aca="false">IFERROR(
   _xlfn.XLOOKUP(VALUE(A1825),[1]Fichajes_Realizados!A$2:A$50000,[1]Fichajes_Realizados!D$2:D$50000,,0,-1),
   _xlfn.XLOOKUP(VALUE(A1825),[1]Base_Jugadores!A$2:A$50000,[1]Base_Jugadores!C$2:C$50000)
)</f>
        <v>TSG 1899 Hoffenheim</v>
      </c>
      <c r="D1825" s="5" t="str">
        <f aca="false">[1]Base_Jugadores!D1825</f>
        <v>Austria</v>
      </c>
      <c r="E1825" s="3"/>
      <c r="F1825" s="5" t="str">
        <f aca="false">[1]Base_Jugadores!E1825</f>
        <v>EI</v>
      </c>
      <c r="G1825" s="5" t="n">
        <f aca="false">[1]Base_Jugadores!F1825</f>
        <v>74</v>
      </c>
      <c r="H1825" s="5" t="n">
        <f aca="false">[1]Base_Jugadores!G1825</f>
        <v>24</v>
      </c>
      <c r="I1825" s="7" t="n">
        <f aca="false" t="array" ref="I1825:I1825">_xlfn.XLOOKUP(G1825,{55;56;57;58;59;60;61;62;63;64;65;66;67;68;69;70;71;72;73;74;75;76;77;78;79;80;81;82;83;84;85;86;87;88;89;90;91;92;93;94;95;96;97;98;99},{100000;130000;160000;190000;220000;250000;300000;350000;400000;450000;500000;600000;700000;800000;900000;1000000;1500000;2000000;3000000;4000000;5000000;6500000;8000000;10000000;12500000;15000000;20000000;25000000;30000000;35000000;40000000;55000000;70000000;80000000;90000000;110000000;130000000;160000000;190000000;220000000;250000000;280000000;310000000;340000000;400000000})</f>
        <v>4000000</v>
      </c>
      <c r="J1825" s="7" t="n">
        <f aca="false">I1825*S1825*T1825*U1825</f>
        <v>6177600</v>
      </c>
      <c r="K1825" s="3"/>
      <c r="L1825" s="3"/>
      <c r="M1825" s="3"/>
      <c r="N1825" s="9" t="n">
        <v>0</v>
      </c>
      <c r="O1825" s="4" t="n">
        <v>0</v>
      </c>
      <c r="P1825" s="5" t="n">
        <f aca="false">IF(COUNTIF([1]Base_Jugadores!J$2:J$500,B1825)&gt;0,1,0)</f>
        <v>0</v>
      </c>
      <c r="Q1825" s="10" t="b">
        <f aca="false">--(COUNTIFS(
   [1]Fichajes_Realizados!A$2:A$5000,A1825,
   [1]Fichajes_Realizados!G$2:G$5000,$X$3
)&gt;0)</f>
        <v>0</v>
      </c>
      <c r="R1825" s="5" t="n">
        <f aca="false">_xlfn.XLOOKUP(C1825, [1]Estado_Equipos!A$2:A$500, [1]Estado_Equipos!J$2:J$500, "")</f>
        <v>72</v>
      </c>
      <c r="S1825" s="5" t="n">
        <f aca="false">IF(H1825&lt;=16,1.45,
IF(H1825&gt;=41,0.3,
CHOOSE(ROUNDDOWN((H1825-16)/2,0)+1,
1.45,1.38,1.3,1.23,1.17,1.15,1.12,1.05,0.95,0.8,0.6,0.4,0.3)))</f>
        <v>1.17</v>
      </c>
      <c r="T1825" s="5" t="n">
        <f aca="false">CHOOSE(N1825+1,1.2,1,0.85,0.7)</f>
        <v>1.2</v>
      </c>
      <c r="U1825" s="5" t="n">
        <f aca="false">IF(F1825="PO",0.6,
IF(F1825="CT",0.75,
IF(F1825="LI",0.8,
IF(F1825="LD",0.8,
IF(F1825="MCD",0.85,
IF(F1825="MC",0.95,
IF(F1825="MO",1.05,
IF(F1825="EI",1.1,
IF(F1825="ED",1.1,
IF(F1825="SD",1.15,
IF(F1825="DC",1.2,0)))))))))))</f>
        <v>1.1</v>
      </c>
    </row>
    <row r="1826" customFormat="false" ht="16.4" hidden="false" customHeight="false" outlineLevel="0" collapsed="false">
      <c r="A1826" s="1" t="n">
        <v>1825</v>
      </c>
      <c r="B1826" s="5" t="str">
        <f aca="false">[1]Base_Jugadores!B1826</f>
        <v>Andrej Kramaric</v>
      </c>
      <c r="C1826" s="5" t="str">
        <f aca="false">IFERROR(
   _xlfn.XLOOKUP(VALUE(A1826),[1]Fichajes_Realizados!A$2:A$50000,[1]Fichajes_Realizados!D$2:D$50000,,0,-1),
   _xlfn.XLOOKUP(VALUE(A1826),[1]Base_Jugadores!A$2:A$50000,[1]Base_Jugadores!C$2:C$50000)
)</f>
        <v>TSG 1899 Hoffenheim</v>
      </c>
      <c r="D1826" s="5" t="str">
        <f aca="false">[1]Base_Jugadores!D1826</f>
        <v>Croacia</v>
      </c>
      <c r="E1826" s="3"/>
      <c r="F1826" s="5" t="str">
        <f aca="false">[1]Base_Jugadores!E1826</f>
        <v>MO</v>
      </c>
      <c r="G1826" s="5" t="n">
        <f aca="false">[1]Base_Jugadores!F1826</f>
        <v>79</v>
      </c>
      <c r="H1826" s="5" t="n">
        <f aca="false">[1]Base_Jugadores!G1826</f>
        <v>34</v>
      </c>
      <c r="I1826" s="7" t="n">
        <f aca="false" t="array" ref="I1826:I1826">_xlfn.XLOOKUP(G1826,{55;56;57;58;59;60;61;62;63;64;65;66;67;68;69;70;71;72;73;74;75;76;77;78;79;80;81;82;83;84;85;86;87;88;89;90;91;92;93;94;95;96;97;98;99},{100000;130000;160000;190000;220000;250000;300000;350000;400000;450000;500000;600000;700000;800000;900000;1000000;1500000;2000000;3000000;4000000;5000000;6500000;8000000;10000000;12500000;15000000;20000000;25000000;30000000;35000000;40000000;55000000;70000000;80000000;90000000;110000000;130000000;160000000;190000000;220000000;250000000;280000000;310000000;340000000;400000000})</f>
        <v>12500000</v>
      </c>
      <c r="J1826" s="7" t="n">
        <f aca="false">I1826*S1826*T1826*U1826</f>
        <v>12600000</v>
      </c>
      <c r="K1826" s="3"/>
      <c r="L1826" s="3"/>
      <c r="M1826" s="3"/>
      <c r="N1826" s="9" t="n">
        <v>0</v>
      </c>
      <c r="O1826" s="4" t="n">
        <v>0</v>
      </c>
      <c r="P1826" s="5" t="n">
        <f aca="false">IF(COUNTIF([1]Base_Jugadores!J$2:J$500,B1826)&gt;0,1,0)</f>
        <v>0</v>
      </c>
      <c r="Q1826" s="10" t="b">
        <f aca="false">--(COUNTIFS(
   [1]Fichajes_Realizados!A$2:A$5000,A1826,
   [1]Fichajes_Realizados!G$2:G$5000,$X$3
)&gt;0)</f>
        <v>0</v>
      </c>
      <c r="R1826" s="5" t="n">
        <f aca="false">_xlfn.XLOOKUP(C1826, [1]Estado_Equipos!A$2:A$500, [1]Estado_Equipos!J$2:J$500, "")</f>
        <v>72</v>
      </c>
      <c r="S1826" s="5" t="n">
        <f aca="false">IF(H1826&lt;=16,1.45,
IF(H1826&gt;=41,0.3,
CHOOSE(ROUNDDOWN((H1826-16)/2,0)+1,
1.45,1.38,1.3,1.23,1.17,1.15,1.12,1.05,0.95,0.8,0.6,0.4,0.3)))</f>
        <v>0.8</v>
      </c>
      <c r="T1826" s="5" t="n">
        <f aca="false">CHOOSE(N1826+1,1.2,1,0.85,0.7)</f>
        <v>1.2</v>
      </c>
      <c r="U1826" s="5" t="n">
        <f aca="false">IF(F1826="PO",0.6,
IF(F1826="CT",0.75,
IF(F1826="LI",0.8,
IF(F1826="LD",0.8,
IF(F1826="MCD",0.85,
IF(F1826="MC",0.95,
IF(F1826="MO",1.05,
IF(F1826="EI",1.1,
IF(F1826="ED",1.1,
IF(F1826="SD",1.15,
IF(F1826="DC",1.2,0)))))))))))</f>
        <v>1.05</v>
      </c>
    </row>
    <row r="1827" customFormat="false" ht="16.4" hidden="false" customHeight="false" outlineLevel="0" collapsed="false">
      <c r="A1827" s="1" t="n">
        <v>1826</v>
      </c>
      <c r="B1827" s="5" t="str">
        <f aca="false">[1]Base_Jugadores!B1827</f>
        <v>Arthur Chaves</v>
      </c>
      <c r="C1827" s="5" t="str">
        <f aca="false">IFERROR(
   _xlfn.XLOOKUP(VALUE(A1827),[1]Fichajes_Realizados!A$2:A$50000,[1]Fichajes_Realizados!D$2:D$50000,,0,-1),
   _xlfn.XLOOKUP(VALUE(A1827),[1]Base_Jugadores!A$2:A$50000,[1]Base_Jugadores!C$2:C$50000)
)</f>
        <v>TSG 1899 Hoffenheim</v>
      </c>
      <c r="D1827" s="5" t="str">
        <f aca="false">[1]Base_Jugadores!D1827</f>
        <v>Brasil</v>
      </c>
      <c r="E1827" s="3"/>
      <c r="F1827" s="5" t="str">
        <f aca="false">[1]Base_Jugadores!E1827</f>
        <v>CT</v>
      </c>
      <c r="G1827" s="5" t="n">
        <f aca="false">[1]Base_Jugadores!F1827</f>
        <v>72</v>
      </c>
      <c r="H1827" s="5" t="n">
        <f aca="false">[1]Base_Jugadores!G1827</f>
        <v>24</v>
      </c>
      <c r="I1827" s="7" t="n">
        <f aca="false" t="array" ref="I1827:I1827">_xlfn.XLOOKUP(G1827,{55;56;57;58;59;60;61;62;63;64;65;66;67;68;69;70;71;72;73;74;75;76;77;78;79;80;81;82;83;84;85;86;87;88;89;90;91;92;93;94;95;96;97;98;99},{100000;130000;160000;190000;220000;250000;300000;350000;400000;450000;500000;600000;700000;800000;900000;1000000;1500000;2000000;3000000;4000000;5000000;6500000;8000000;10000000;12500000;15000000;20000000;25000000;30000000;35000000;40000000;55000000;70000000;80000000;90000000;110000000;130000000;160000000;190000000;220000000;250000000;280000000;310000000;340000000;400000000})</f>
        <v>2000000</v>
      </c>
      <c r="J1827" s="7" t="n">
        <f aca="false">I1827*S1827*T1827*U1827</f>
        <v>2106000</v>
      </c>
      <c r="K1827" s="3"/>
      <c r="L1827" s="3"/>
      <c r="M1827" s="3"/>
      <c r="N1827" s="9" t="n">
        <v>0</v>
      </c>
      <c r="O1827" s="4" t="n">
        <v>0</v>
      </c>
      <c r="P1827" s="5" t="n">
        <f aca="false">IF(COUNTIF([1]Base_Jugadores!J$2:J$500,B1827)&gt;0,1,0)</f>
        <v>0</v>
      </c>
      <c r="Q1827" s="10" t="b">
        <f aca="false">--(COUNTIFS(
   [1]Fichajes_Realizados!A$2:A$5000,A1827,
   [1]Fichajes_Realizados!G$2:G$5000,$X$3
)&gt;0)</f>
        <v>0</v>
      </c>
      <c r="R1827" s="5" t="n">
        <f aca="false">_xlfn.XLOOKUP(C1827, [1]Estado_Equipos!A$2:A$500, [1]Estado_Equipos!J$2:J$500, "")</f>
        <v>72</v>
      </c>
      <c r="S1827" s="5" t="n">
        <f aca="false">IF(H1827&lt;=16,1.45,
IF(H1827&gt;=41,0.3,
CHOOSE(ROUNDDOWN((H1827-16)/2,0)+1,
1.45,1.38,1.3,1.23,1.17,1.15,1.12,1.05,0.95,0.8,0.6,0.4,0.3)))</f>
        <v>1.17</v>
      </c>
      <c r="T1827" s="5" t="n">
        <f aca="false">CHOOSE(N1827+1,1.2,1,0.85,0.7)</f>
        <v>1.2</v>
      </c>
      <c r="U1827" s="5" t="n">
        <f aca="false">IF(F1827="PO",0.6,
IF(F1827="CT",0.75,
IF(F1827="LI",0.8,
IF(F1827="LD",0.8,
IF(F1827="MCD",0.85,
IF(F1827="MC",0.95,
IF(F1827="MO",1.05,
IF(F1827="EI",1.1,
IF(F1827="ED",1.1,
IF(F1827="SD",1.15,
IF(F1827="DC",1.2,0)))))))))))</f>
        <v>0.75</v>
      </c>
    </row>
    <row r="1828" customFormat="false" ht="16.4" hidden="false" customHeight="false" outlineLevel="0" collapsed="false">
      <c r="A1828" s="1" t="n">
        <v>1827</v>
      </c>
      <c r="B1828" s="5" t="str">
        <f aca="false">[1]Base_Jugadores!B1828</f>
        <v>Bazoumana Touré</v>
      </c>
      <c r="C1828" s="5" t="str">
        <f aca="false">IFERROR(
   _xlfn.XLOOKUP(VALUE(A1828),[1]Fichajes_Realizados!A$2:A$50000,[1]Fichajes_Realizados!D$2:D$50000,,0,-1),
   _xlfn.XLOOKUP(VALUE(A1828),[1]Base_Jugadores!A$2:A$50000,[1]Base_Jugadores!C$2:C$50000)
)</f>
        <v>TSG 1899 Hoffenheim</v>
      </c>
      <c r="D1828" s="5" t="str">
        <f aca="false">[1]Base_Jugadores!D1828</f>
        <v>Costa de Marfil</v>
      </c>
      <c r="E1828" s="3"/>
      <c r="F1828" s="5" t="str">
        <f aca="false">[1]Base_Jugadores!E1828</f>
        <v>EI</v>
      </c>
      <c r="G1828" s="5" t="n">
        <f aca="false">[1]Base_Jugadores!F1828</f>
        <v>60</v>
      </c>
      <c r="H1828" s="5" t="n">
        <f aca="false">[1]Base_Jugadores!G1828</f>
        <v>19</v>
      </c>
      <c r="I1828" s="7" t="n">
        <f aca="false" t="array" ref="I1828:I1828">_xlfn.XLOOKUP(G1828,{55;56;57;58;59;60;61;62;63;64;65;66;67;68;69;70;71;72;73;74;75;76;77;78;79;80;81;82;83;84;85;86;87;88;89;90;91;92;93;94;95;96;97;98;99},{100000;130000;160000;190000;220000;250000;300000;350000;400000;450000;500000;600000;700000;800000;900000;1000000;1500000;2000000;3000000;4000000;5000000;6500000;8000000;10000000;12500000;15000000;20000000;25000000;30000000;35000000;40000000;55000000;70000000;80000000;90000000;110000000;130000000;160000000;190000000;220000000;250000000;280000000;310000000;340000000;400000000})</f>
        <v>250000</v>
      </c>
      <c r="J1828" s="7" t="n">
        <f aca="false">I1828*S1828*T1828*U1828</f>
        <v>455400</v>
      </c>
      <c r="K1828" s="3"/>
      <c r="L1828" s="3"/>
      <c r="M1828" s="3"/>
      <c r="N1828" s="9" t="n">
        <v>0</v>
      </c>
      <c r="O1828" s="4" t="n">
        <v>0</v>
      </c>
      <c r="P1828" s="5" t="n">
        <f aca="false">IF(COUNTIF([1]Base_Jugadores!J$2:J$500,B1828)&gt;0,1,0)</f>
        <v>0</v>
      </c>
      <c r="Q1828" s="10" t="b">
        <f aca="false">--(COUNTIFS(
   [1]Fichajes_Realizados!A$2:A$5000,A1828,
   [1]Fichajes_Realizados!G$2:G$5000,$X$3
)&gt;0)</f>
        <v>0</v>
      </c>
      <c r="R1828" s="5" t="n">
        <f aca="false">_xlfn.XLOOKUP(C1828, [1]Estado_Equipos!A$2:A$500, [1]Estado_Equipos!J$2:J$500, "")</f>
        <v>72</v>
      </c>
      <c r="S1828" s="5" t="n">
        <f aca="false">IF(H1828&lt;=16,1.45,
IF(H1828&gt;=41,0.3,
CHOOSE(ROUNDDOWN((H1828-16)/2,0)+1,
1.45,1.38,1.3,1.23,1.17,1.15,1.12,1.05,0.95,0.8,0.6,0.4,0.3)))</f>
        <v>1.38</v>
      </c>
      <c r="T1828" s="5" t="n">
        <f aca="false">CHOOSE(N1828+1,1.2,1,0.85,0.7)</f>
        <v>1.2</v>
      </c>
      <c r="U1828" s="5" t="n">
        <f aca="false">IF(F1828="PO",0.6,
IF(F1828="CT",0.75,
IF(F1828="LI",0.8,
IF(F1828="LD",0.8,
IF(F1828="MCD",0.85,
IF(F1828="MC",0.95,
IF(F1828="MO",1.05,
IF(F1828="EI",1.1,
IF(F1828="ED",1.1,
IF(F1828="SD",1.15,
IF(F1828="DC",1.2,0)))))))))))</f>
        <v>1.1</v>
      </c>
    </row>
    <row r="1829" customFormat="false" ht="16.4" hidden="false" customHeight="false" outlineLevel="0" collapsed="false">
      <c r="A1829" s="1" t="n">
        <v>1828</v>
      </c>
      <c r="B1829" s="5" t="str">
        <f aca="false">[1]Base_Jugadores!B1829</f>
        <v>Bernardo Fernandes</v>
      </c>
      <c r="C1829" s="5" t="str">
        <f aca="false">IFERROR(
   _xlfn.XLOOKUP(VALUE(A1829),[1]Fichajes_Realizados!A$2:A$50000,[1]Fichajes_Realizados!D$2:D$50000,,0,-1),
   _xlfn.XLOOKUP(VALUE(A1829),[1]Base_Jugadores!A$2:A$50000,[1]Base_Jugadores!C$2:C$50000)
)</f>
        <v>TSG 1899 Hoffenheim</v>
      </c>
      <c r="D1829" s="5" t="str">
        <f aca="false">[1]Base_Jugadores!D1829</f>
        <v>Brasil</v>
      </c>
      <c r="E1829" s="3"/>
      <c r="F1829" s="5" t="str">
        <f aca="false">[1]Base_Jugadores!E1829</f>
        <v>LI</v>
      </c>
      <c r="G1829" s="5" t="n">
        <f aca="false">[1]Base_Jugadores!F1829</f>
        <v>75</v>
      </c>
      <c r="H1829" s="5" t="n">
        <f aca="false">[1]Base_Jugadores!G1829</f>
        <v>30</v>
      </c>
      <c r="I1829" s="7" t="n">
        <f aca="false" t="array" ref="I1829:I1829">_xlfn.XLOOKUP(G1829,{55;56;57;58;59;60;61;62;63;64;65;66;67;68;69;70;71;72;73;74;75;76;77;78;79;80;81;82;83;84;85;86;87;88;89;90;91;92;93;94;95;96;97;98;99},{100000;130000;160000;190000;220000;250000;300000;350000;400000;450000;500000;600000;700000;800000;900000;1000000;1500000;2000000;3000000;4000000;5000000;6500000;8000000;10000000;12500000;15000000;20000000;25000000;30000000;35000000;40000000;55000000;70000000;80000000;90000000;110000000;130000000;160000000;190000000;220000000;250000000;280000000;310000000;340000000;400000000})</f>
        <v>5000000</v>
      </c>
      <c r="J1829" s="7" t="n">
        <f aca="false">I1829*S1829*T1829*U1829</f>
        <v>5040000</v>
      </c>
      <c r="K1829" s="3"/>
      <c r="L1829" s="3"/>
      <c r="M1829" s="3"/>
      <c r="N1829" s="9" t="n">
        <v>0</v>
      </c>
      <c r="O1829" s="4" t="n">
        <v>0</v>
      </c>
      <c r="P1829" s="5" t="n">
        <f aca="false">IF(COUNTIF([1]Base_Jugadores!J$2:J$500,B1829)&gt;0,1,0)</f>
        <v>0</v>
      </c>
      <c r="Q1829" s="10" t="b">
        <f aca="false">--(COUNTIFS(
   [1]Fichajes_Realizados!A$2:A$5000,A1829,
   [1]Fichajes_Realizados!G$2:G$5000,$X$3
)&gt;0)</f>
        <v>0</v>
      </c>
      <c r="R1829" s="5" t="n">
        <f aca="false">_xlfn.XLOOKUP(C1829, [1]Estado_Equipos!A$2:A$500, [1]Estado_Equipos!J$2:J$500, "")</f>
        <v>72</v>
      </c>
      <c r="S1829" s="5" t="n">
        <f aca="false">IF(H1829&lt;=16,1.45,
IF(H1829&gt;=41,0.3,
CHOOSE(ROUNDDOWN((H1829-16)/2,0)+1,
1.45,1.38,1.3,1.23,1.17,1.15,1.12,1.05,0.95,0.8,0.6,0.4,0.3)))</f>
        <v>1.05</v>
      </c>
      <c r="T1829" s="5" t="n">
        <f aca="false">CHOOSE(N1829+1,1.2,1,0.85,0.7)</f>
        <v>1.2</v>
      </c>
      <c r="U1829" s="5" t="n">
        <f aca="false">IF(F1829="PO",0.6,
IF(F1829="CT",0.75,
IF(F1829="LI",0.8,
IF(F1829="LD",0.8,
IF(F1829="MCD",0.85,
IF(F1829="MC",0.95,
IF(F1829="MO",1.05,
IF(F1829="EI",1.1,
IF(F1829="ED",1.1,
IF(F1829="SD",1.15,
IF(F1829="DC",1.2,0)))))))))))</f>
        <v>0.8</v>
      </c>
    </row>
    <row r="1830" customFormat="false" ht="16.4" hidden="false" customHeight="false" outlineLevel="0" collapsed="false">
      <c r="A1830" s="1" t="n">
        <v>1829</v>
      </c>
      <c r="B1830" s="5" t="str">
        <f aca="false">[1]Base_Jugadores!B1830</f>
        <v>Dennis Geiger</v>
      </c>
      <c r="C1830" s="5" t="str">
        <f aca="false">IFERROR(
   _xlfn.XLOOKUP(VALUE(A1830),[1]Fichajes_Realizados!A$2:A$50000,[1]Fichajes_Realizados!D$2:D$50000,,0,-1),
   _xlfn.XLOOKUP(VALUE(A1830),[1]Base_Jugadores!A$2:A$50000,[1]Base_Jugadores!C$2:C$50000)
)</f>
        <v>TSG 1899 Hoffenheim</v>
      </c>
      <c r="D1830" s="5" t="str">
        <f aca="false">[1]Base_Jugadores!D1830</f>
        <v>Alemania</v>
      </c>
      <c r="E1830" s="3"/>
      <c r="F1830" s="5" t="str">
        <f aca="false">[1]Base_Jugadores!E1830</f>
        <v>MC</v>
      </c>
      <c r="G1830" s="5" t="n">
        <f aca="false">[1]Base_Jugadores!F1830</f>
        <v>75</v>
      </c>
      <c r="H1830" s="5" t="n">
        <f aca="false">[1]Base_Jugadores!G1830</f>
        <v>27</v>
      </c>
      <c r="I1830" s="7" t="n">
        <f aca="false" t="array" ref="I1830:I1830">_xlfn.XLOOKUP(G1830,{55;56;57;58;59;60;61;62;63;64;65;66;67;68;69;70;71;72;73;74;75;76;77;78;79;80;81;82;83;84;85;86;87;88;89;90;91;92;93;94;95;96;97;98;99},{100000;130000;160000;190000;220000;250000;300000;350000;400000;450000;500000;600000;700000;800000;900000;1000000;1500000;2000000;3000000;4000000;5000000;6500000;8000000;10000000;12500000;15000000;20000000;25000000;30000000;35000000;40000000;55000000;70000000;80000000;90000000;110000000;130000000;160000000;190000000;220000000;250000000;280000000;310000000;340000000;400000000})</f>
        <v>5000000</v>
      </c>
      <c r="J1830" s="7" t="n">
        <f aca="false">I1830*S1830*T1830*U1830</f>
        <v>6555000</v>
      </c>
      <c r="K1830" s="3"/>
      <c r="L1830" s="3"/>
      <c r="M1830" s="3"/>
      <c r="N1830" s="9" t="n">
        <v>0</v>
      </c>
      <c r="O1830" s="4" t="n">
        <v>0</v>
      </c>
      <c r="P1830" s="5" t="n">
        <f aca="false">IF(COUNTIF([1]Base_Jugadores!J$2:J$500,B1830)&gt;0,1,0)</f>
        <v>0</v>
      </c>
      <c r="Q1830" s="10" t="b">
        <f aca="false">--(COUNTIFS(
   [1]Fichajes_Realizados!A$2:A$5000,A1830,
   [1]Fichajes_Realizados!G$2:G$5000,$X$3
)&gt;0)</f>
        <v>0</v>
      </c>
      <c r="R1830" s="5" t="n">
        <f aca="false">_xlfn.XLOOKUP(C1830, [1]Estado_Equipos!A$2:A$500, [1]Estado_Equipos!J$2:J$500, "")</f>
        <v>72</v>
      </c>
      <c r="S1830" s="5" t="n">
        <f aca="false">IF(H1830&lt;=16,1.45,
IF(H1830&gt;=41,0.3,
CHOOSE(ROUNDDOWN((H1830-16)/2,0)+1,
1.45,1.38,1.3,1.23,1.17,1.15,1.12,1.05,0.95,0.8,0.6,0.4,0.3)))</f>
        <v>1.15</v>
      </c>
      <c r="T1830" s="5" t="n">
        <f aca="false">CHOOSE(N1830+1,1.2,1,0.85,0.7)</f>
        <v>1.2</v>
      </c>
      <c r="U1830" s="5" t="n">
        <f aca="false">IF(F1830="PO",0.6,
IF(F1830="CT",0.75,
IF(F1830="LI",0.8,
IF(F1830="LD",0.8,
IF(F1830="MCD",0.85,
IF(F1830="MC",0.95,
IF(F1830="MO",1.05,
IF(F1830="EI",1.1,
IF(F1830="ED",1.1,
IF(F1830="SD",1.15,
IF(F1830="DC",1.2,0)))))))))))</f>
        <v>0.95</v>
      </c>
    </row>
    <row r="1831" customFormat="false" ht="16.4" hidden="false" customHeight="false" outlineLevel="0" collapsed="false">
      <c r="A1831" s="1" t="n">
        <v>1830</v>
      </c>
      <c r="B1831" s="5" t="str">
        <f aca="false">[1]Base_Jugadores!B1831</f>
        <v>Grischa Prömel</v>
      </c>
      <c r="C1831" s="5" t="str">
        <f aca="false">IFERROR(
   _xlfn.XLOOKUP(VALUE(A1831),[1]Fichajes_Realizados!A$2:A$50000,[1]Fichajes_Realizados!D$2:D$50000,,0,-1),
   _xlfn.XLOOKUP(VALUE(A1831),[1]Base_Jugadores!A$2:A$50000,[1]Base_Jugadores!C$2:C$50000)
)</f>
        <v>TSG 1899 Hoffenheim</v>
      </c>
      <c r="D1831" s="5" t="str">
        <f aca="false">[1]Base_Jugadores!D1831</f>
        <v>Alemania</v>
      </c>
      <c r="E1831" s="3"/>
      <c r="F1831" s="5" t="str">
        <f aca="false">[1]Base_Jugadores!E1831</f>
        <v>MC</v>
      </c>
      <c r="G1831" s="5" t="n">
        <f aca="false">[1]Base_Jugadores!F1831</f>
        <v>76</v>
      </c>
      <c r="H1831" s="5" t="n">
        <f aca="false">[1]Base_Jugadores!G1831</f>
        <v>30</v>
      </c>
      <c r="I1831" s="7" t="n">
        <f aca="false" t="array" ref="I1831:I1831">_xlfn.XLOOKUP(G1831,{55;56;57;58;59;60;61;62;63;64;65;66;67;68;69;70;71;72;73;74;75;76;77;78;79;80;81;82;83;84;85;86;87;88;89;90;91;92;93;94;95;96;97;98;99},{100000;130000;160000;190000;220000;250000;300000;350000;400000;450000;500000;600000;700000;800000;900000;1000000;1500000;2000000;3000000;4000000;5000000;6500000;8000000;10000000;12500000;15000000;20000000;25000000;30000000;35000000;40000000;55000000;70000000;80000000;90000000;110000000;130000000;160000000;190000000;220000000;250000000;280000000;310000000;340000000;400000000})</f>
        <v>6500000</v>
      </c>
      <c r="J1831" s="7" t="n">
        <f aca="false">I1831*S1831*T1831*U1831</f>
        <v>7780500</v>
      </c>
      <c r="K1831" s="3"/>
      <c r="L1831" s="3"/>
      <c r="M1831" s="3"/>
      <c r="N1831" s="9" t="n">
        <v>0</v>
      </c>
      <c r="O1831" s="4" t="n">
        <v>0</v>
      </c>
      <c r="P1831" s="5" t="n">
        <f aca="false">IF(COUNTIF([1]Base_Jugadores!J$2:J$500,B1831)&gt;0,1,0)</f>
        <v>0</v>
      </c>
      <c r="Q1831" s="10" t="b">
        <f aca="false">--(COUNTIFS(
   [1]Fichajes_Realizados!A$2:A$5000,A1831,
   [1]Fichajes_Realizados!G$2:G$5000,$X$3
)&gt;0)</f>
        <v>0</v>
      </c>
      <c r="R1831" s="5" t="n">
        <f aca="false">_xlfn.XLOOKUP(C1831, [1]Estado_Equipos!A$2:A$500, [1]Estado_Equipos!J$2:J$500, "")</f>
        <v>72</v>
      </c>
      <c r="S1831" s="5" t="n">
        <f aca="false">IF(H1831&lt;=16,1.45,
IF(H1831&gt;=41,0.3,
CHOOSE(ROUNDDOWN((H1831-16)/2,0)+1,
1.45,1.38,1.3,1.23,1.17,1.15,1.12,1.05,0.95,0.8,0.6,0.4,0.3)))</f>
        <v>1.05</v>
      </c>
      <c r="T1831" s="5" t="n">
        <f aca="false">CHOOSE(N1831+1,1.2,1,0.85,0.7)</f>
        <v>1.2</v>
      </c>
      <c r="U1831" s="5" t="n">
        <f aca="false">IF(F1831="PO",0.6,
IF(F1831="CT",0.75,
IF(F1831="LI",0.8,
IF(F1831="LD",0.8,
IF(F1831="MCD",0.85,
IF(F1831="MC",0.95,
IF(F1831="MO",1.05,
IF(F1831="EI",1.1,
IF(F1831="ED",1.1,
IF(F1831="SD",1.15,
IF(F1831="DC",1.2,0)))))))))))</f>
        <v>0.95</v>
      </c>
    </row>
    <row r="1832" customFormat="false" ht="16.4" hidden="false" customHeight="false" outlineLevel="0" collapsed="false">
      <c r="A1832" s="1" t="n">
        <v>1831</v>
      </c>
      <c r="B1832" s="5" t="str">
        <f aca="false">[1]Base_Jugadores!B1832</f>
        <v>Ihlas Bebou</v>
      </c>
      <c r="C1832" s="5" t="str">
        <f aca="false">IFERROR(
   _xlfn.XLOOKUP(VALUE(A1832),[1]Fichajes_Realizados!A$2:A$50000,[1]Fichajes_Realizados!D$2:D$50000,,0,-1),
   _xlfn.XLOOKUP(VALUE(A1832),[1]Base_Jugadores!A$2:A$50000,[1]Base_Jugadores!C$2:C$50000)
)</f>
        <v>TSG 1899 Hoffenheim</v>
      </c>
      <c r="D1832" s="5" t="str">
        <f aca="false">[1]Base_Jugadores!D1832</f>
        <v>Togo</v>
      </c>
      <c r="E1832" s="3"/>
      <c r="F1832" s="5" t="str">
        <f aca="false">[1]Base_Jugadores!E1832</f>
        <v>DC</v>
      </c>
      <c r="G1832" s="5" t="n">
        <f aca="false">[1]Base_Jugadores!F1832</f>
        <v>76</v>
      </c>
      <c r="H1832" s="5" t="n">
        <f aca="false">[1]Base_Jugadores!G1832</f>
        <v>31</v>
      </c>
      <c r="I1832" s="7" t="n">
        <f aca="false" t="array" ref="I1832:I1832">_xlfn.XLOOKUP(G1832,{55;56;57;58;59;60;61;62;63;64;65;66;67;68;69;70;71;72;73;74;75;76;77;78;79;80;81;82;83;84;85;86;87;88;89;90;91;92;93;94;95;96;97;98;99},{100000;130000;160000;190000;220000;250000;300000;350000;400000;450000;500000;600000;700000;800000;900000;1000000;1500000;2000000;3000000;4000000;5000000;6500000;8000000;10000000;12500000;15000000;20000000;25000000;30000000;35000000;40000000;55000000;70000000;80000000;90000000;110000000;130000000;160000000;190000000;220000000;250000000;280000000;310000000;340000000;400000000})</f>
        <v>6500000</v>
      </c>
      <c r="J1832" s="7" t="n">
        <f aca="false">I1832*S1832*T1832*U1832</f>
        <v>9828000</v>
      </c>
      <c r="K1832" s="3"/>
      <c r="L1832" s="3"/>
      <c r="M1832" s="3"/>
      <c r="N1832" s="9" t="n">
        <v>0</v>
      </c>
      <c r="O1832" s="4" t="n">
        <v>0</v>
      </c>
      <c r="P1832" s="5" t="n">
        <f aca="false">IF(COUNTIF([1]Base_Jugadores!J$2:J$500,B1832)&gt;0,1,0)</f>
        <v>0</v>
      </c>
      <c r="Q1832" s="10" t="b">
        <f aca="false">--(COUNTIFS(
   [1]Fichajes_Realizados!A$2:A$5000,A1832,
   [1]Fichajes_Realizados!G$2:G$5000,$X$3
)&gt;0)</f>
        <v>0</v>
      </c>
      <c r="R1832" s="5" t="n">
        <f aca="false">_xlfn.XLOOKUP(C1832, [1]Estado_Equipos!A$2:A$500, [1]Estado_Equipos!J$2:J$500, "")</f>
        <v>72</v>
      </c>
      <c r="S1832" s="5" t="n">
        <f aca="false">IF(H1832&lt;=16,1.45,
IF(H1832&gt;=41,0.3,
CHOOSE(ROUNDDOWN((H1832-16)/2,0)+1,
1.45,1.38,1.3,1.23,1.17,1.15,1.12,1.05,0.95,0.8,0.6,0.4,0.3)))</f>
        <v>1.05</v>
      </c>
      <c r="T1832" s="5" t="n">
        <f aca="false">CHOOSE(N1832+1,1.2,1,0.85,0.7)</f>
        <v>1.2</v>
      </c>
      <c r="U1832" s="5" t="n">
        <f aca="false">IF(F1832="PO",0.6,
IF(F1832="CT",0.75,
IF(F1832="LI",0.8,
IF(F1832="LD",0.8,
IF(F1832="MCD",0.85,
IF(F1832="MC",0.95,
IF(F1832="MO",1.05,
IF(F1832="EI",1.1,
IF(F1832="ED",1.1,
IF(F1832="SD",1.15,
IF(F1832="DC",1.2,0)))))))))))</f>
        <v>1.2</v>
      </c>
    </row>
    <row r="1833" customFormat="false" ht="16.4" hidden="false" customHeight="false" outlineLevel="0" collapsed="false">
      <c r="A1833" s="1" t="n">
        <v>1832</v>
      </c>
      <c r="B1833" s="5" t="str">
        <f aca="false">[1]Base_Jugadores!B1833</f>
        <v>Kevin Akpoguma</v>
      </c>
      <c r="C1833" s="5" t="str">
        <f aca="false">IFERROR(
   _xlfn.XLOOKUP(VALUE(A1833),[1]Fichajes_Realizados!A$2:A$50000,[1]Fichajes_Realizados!D$2:D$50000,,0,-1),
   _xlfn.XLOOKUP(VALUE(A1833),[1]Base_Jugadores!A$2:A$50000,[1]Base_Jugadores!C$2:C$50000)
)</f>
        <v>TSG 1899 Hoffenheim</v>
      </c>
      <c r="D1833" s="5" t="str">
        <f aca="false">[1]Base_Jugadores!D1833</f>
        <v>Nigeria</v>
      </c>
      <c r="E1833" s="3"/>
      <c r="F1833" s="5" t="str">
        <f aca="false">[1]Base_Jugadores!E1833</f>
        <v>CT</v>
      </c>
      <c r="G1833" s="5" t="n">
        <f aca="false">[1]Base_Jugadores!F1833</f>
        <v>75</v>
      </c>
      <c r="H1833" s="5" t="n">
        <f aca="false">[1]Base_Jugadores!G1833</f>
        <v>30</v>
      </c>
      <c r="I1833" s="7" t="n">
        <f aca="false" t="array" ref="I1833:I1833">_xlfn.XLOOKUP(G1833,{55;56;57;58;59;60;61;62;63;64;65;66;67;68;69;70;71;72;73;74;75;76;77;78;79;80;81;82;83;84;85;86;87;88;89;90;91;92;93;94;95;96;97;98;99},{100000;130000;160000;190000;220000;250000;300000;350000;400000;450000;500000;600000;700000;800000;900000;1000000;1500000;2000000;3000000;4000000;5000000;6500000;8000000;10000000;12500000;15000000;20000000;25000000;30000000;35000000;40000000;55000000;70000000;80000000;90000000;110000000;130000000;160000000;190000000;220000000;250000000;280000000;310000000;340000000;400000000})</f>
        <v>5000000</v>
      </c>
      <c r="J1833" s="7" t="n">
        <f aca="false">I1833*S1833*T1833*U1833</f>
        <v>4725000</v>
      </c>
      <c r="K1833" s="3"/>
      <c r="L1833" s="3"/>
      <c r="M1833" s="3"/>
      <c r="N1833" s="9" t="n">
        <v>0</v>
      </c>
      <c r="O1833" s="4" t="n">
        <v>0</v>
      </c>
      <c r="P1833" s="5" t="n">
        <f aca="false">IF(COUNTIF([1]Base_Jugadores!J$2:J$500,B1833)&gt;0,1,0)</f>
        <v>0</v>
      </c>
      <c r="Q1833" s="10" t="b">
        <f aca="false">--(COUNTIFS(
   [1]Fichajes_Realizados!A$2:A$5000,A1833,
   [1]Fichajes_Realizados!G$2:G$5000,$X$3
)&gt;0)</f>
        <v>0</v>
      </c>
      <c r="R1833" s="5" t="n">
        <f aca="false">_xlfn.XLOOKUP(C1833, [1]Estado_Equipos!A$2:A$500, [1]Estado_Equipos!J$2:J$500, "")</f>
        <v>72</v>
      </c>
      <c r="S1833" s="5" t="n">
        <f aca="false">IF(H1833&lt;=16,1.45,
IF(H1833&gt;=41,0.3,
CHOOSE(ROUNDDOWN((H1833-16)/2,0)+1,
1.45,1.38,1.3,1.23,1.17,1.15,1.12,1.05,0.95,0.8,0.6,0.4,0.3)))</f>
        <v>1.05</v>
      </c>
      <c r="T1833" s="5" t="n">
        <f aca="false">CHOOSE(N1833+1,1.2,1,0.85,0.7)</f>
        <v>1.2</v>
      </c>
      <c r="U1833" s="5" t="n">
        <f aca="false">IF(F1833="PO",0.6,
IF(F1833="CT",0.75,
IF(F1833="LI",0.8,
IF(F1833="LD",0.8,
IF(F1833="MCD",0.85,
IF(F1833="MC",0.95,
IF(F1833="MO",1.05,
IF(F1833="EI",1.1,
IF(F1833="ED",1.1,
IF(F1833="SD",1.15,
IF(F1833="DC",1.2,0)))))))))))</f>
        <v>0.75</v>
      </c>
    </row>
    <row r="1834" customFormat="false" ht="16.4" hidden="false" customHeight="false" outlineLevel="0" collapsed="false">
      <c r="A1834" s="1" t="n">
        <v>1833</v>
      </c>
      <c r="B1834" s="5" t="str">
        <f aca="false">[1]Base_Jugadores!B1834</f>
        <v>Koki Machida</v>
      </c>
      <c r="C1834" s="5" t="str">
        <f aca="false">IFERROR(
   _xlfn.XLOOKUP(VALUE(A1834),[1]Fichajes_Realizados!A$2:A$50000,[1]Fichajes_Realizados!D$2:D$50000,,0,-1),
   _xlfn.XLOOKUP(VALUE(A1834),[1]Base_Jugadores!A$2:A$50000,[1]Base_Jugadores!C$2:C$50000)
)</f>
        <v>TSG 1899 Hoffenheim</v>
      </c>
      <c r="D1834" s="5" t="str">
        <f aca="false">[1]Base_Jugadores!D1834</f>
        <v>Japón</v>
      </c>
      <c r="E1834" s="3"/>
      <c r="F1834" s="5" t="str">
        <f aca="false">[1]Base_Jugadores!E1834</f>
        <v>CT</v>
      </c>
      <c r="G1834" s="5" t="n">
        <f aca="false">[1]Base_Jugadores!F1834</f>
        <v>74</v>
      </c>
      <c r="H1834" s="5" t="n">
        <f aca="false">[1]Base_Jugadores!G1834</f>
        <v>28</v>
      </c>
      <c r="I1834" s="7" t="n">
        <f aca="false" t="array" ref="I1834:I1834">_xlfn.XLOOKUP(G1834,{55;56;57;58;59;60;61;62;63;64;65;66;67;68;69;70;71;72;73;74;75;76;77;78;79;80;81;82;83;84;85;86;87;88;89;90;91;92;93;94;95;96;97;98;99},{100000;130000;160000;190000;220000;250000;300000;350000;400000;450000;500000;600000;700000;800000;900000;1000000;1500000;2000000;3000000;4000000;5000000;6500000;8000000;10000000;12500000;15000000;20000000;25000000;30000000;35000000;40000000;55000000;70000000;80000000;90000000;110000000;130000000;160000000;190000000;220000000;250000000;280000000;310000000;340000000;400000000})</f>
        <v>4000000</v>
      </c>
      <c r="J1834" s="7" t="n">
        <f aca="false">I1834*S1834*T1834*U1834</f>
        <v>4032000</v>
      </c>
      <c r="K1834" s="3"/>
      <c r="L1834" s="3"/>
      <c r="M1834" s="3"/>
      <c r="N1834" s="9" t="n">
        <v>0</v>
      </c>
      <c r="O1834" s="4" t="n">
        <v>0</v>
      </c>
      <c r="P1834" s="5" t="n">
        <f aca="false">IF(COUNTIF([1]Base_Jugadores!J$2:J$500,B1834)&gt;0,1,0)</f>
        <v>0</v>
      </c>
      <c r="Q1834" s="10" t="b">
        <f aca="false">--(COUNTIFS(
   [1]Fichajes_Realizados!A$2:A$5000,A1834,
   [1]Fichajes_Realizados!G$2:G$5000,$X$3
)&gt;0)</f>
        <v>0</v>
      </c>
      <c r="R1834" s="5" t="n">
        <f aca="false">_xlfn.XLOOKUP(C1834, [1]Estado_Equipos!A$2:A$500, [1]Estado_Equipos!J$2:J$500, "")</f>
        <v>72</v>
      </c>
      <c r="S1834" s="5" t="n">
        <f aca="false">IF(H1834&lt;=16,1.45,
IF(H1834&gt;=41,0.3,
CHOOSE(ROUNDDOWN((H1834-16)/2,0)+1,
1.45,1.38,1.3,1.23,1.17,1.15,1.12,1.05,0.95,0.8,0.6,0.4,0.3)))</f>
        <v>1.12</v>
      </c>
      <c r="T1834" s="5" t="n">
        <f aca="false">CHOOSE(N1834+1,1.2,1,0.85,0.7)</f>
        <v>1.2</v>
      </c>
      <c r="U1834" s="5" t="n">
        <f aca="false">IF(F1834="PO",0.6,
IF(F1834="CT",0.75,
IF(F1834="LI",0.8,
IF(F1834="LD",0.8,
IF(F1834="MCD",0.85,
IF(F1834="MC",0.95,
IF(F1834="MO",1.05,
IF(F1834="EI",1.1,
IF(F1834="ED",1.1,
IF(F1834="SD",1.15,
IF(F1834="DC",1.2,0)))))))))))</f>
        <v>0.75</v>
      </c>
    </row>
    <row r="1835" customFormat="false" ht="16.4" hidden="false" customHeight="false" outlineLevel="0" collapsed="false">
      <c r="A1835" s="1" t="n">
        <v>1834</v>
      </c>
      <c r="B1835" s="5" t="str">
        <f aca="false">[1]Base_Jugadores!B1835</f>
        <v>Leon Avdullahu</v>
      </c>
      <c r="C1835" s="5" t="str">
        <f aca="false">IFERROR(
   _xlfn.XLOOKUP(VALUE(A1835),[1]Fichajes_Realizados!A$2:A$50000,[1]Fichajes_Realizados!D$2:D$50000,,0,-1),
   _xlfn.XLOOKUP(VALUE(A1835),[1]Base_Jugadores!A$2:A$50000,[1]Base_Jugadores!C$2:C$50000)
)</f>
        <v>TSG 1899 Hoffenheim</v>
      </c>
      <c r="D1835" s="5" t="str">
        <f aca="false">[1]Base_Jugadores!D1835</f>
        <v>Kosovo</v>
      </c>
      <c r="E1835" s="3"/>
      <c r="F1835" s="5" t="str">
        <f aca="false">[1]Base_Jugadores!E1835</f>
        <v>MCD</v>
      </c>
      <c r="G1835" s="5" t="n">
        <f aca="false">[1]Base_Jugadores!F1835</f>
        <v>67</v>
      </c>
      <c r="H1835" s="5" t="n">
        <f aca="false">[1]Base_Jugadores!G1835</f>
        <v>21</v>
      </c>
      <c r="I1835" s="7" t="n">
        <f aca="false" t="array" ref="I1835:I1835">_xlfn.XLOOKUP(G1835,{55;56;57;58;59;60;61;62;63;64;65;66;67;68;69;70;71;72;73;74;75;76;77;78;79;80;81;82;83;84;85;86;87;88;89;90;91;92;93;94;95;96;97;98;99},{100000;130000;160000;190000;220000;250000;300000;350000;400000;450000;500000;600000;700000;800000;900000;1000000;1500000;2000000;3000000;4000000;5000000;6500000;8000000;10000000;12500000;15000000;20000000;25000000;30000000;35000000;40000000;55000000;70000000;80000000;90000000;110000000;130000000;160000000;190000000;220000000;250000000;280000000;310000000;340000000;400000000})</f>
        <v>700000</v>
      </c>
      <c r="J1835" s="7" t="n">
        <f aca="false">I1835*S1835*T1835*U1835</f>
        <v>928200</v>
      </c>
      <c r="K1835" s="3"/>
      <c r="L1835" s="3"/>
      <c r="M1835" s="3"/>
      <c r="N1835" s="9" t="n">
        <v>0</v>
      </c>
      <c r="O1835" s="4" t="n">
        <v>0</v>
      </c>
      <c r="P1835" s="5" t="n">
        <f aca="false">IF(COUNTIF([1]Base_Jugadores!J$2:J$500,B1835)&gt;0,1,0)</f>
        <v>0</v>
      </c>
      <c r="Q1835" s="10" t="b">
        <f aca="false">--(COUNTIFS(
   [1]Fichajes_Realizados!A$2:A$5000,A1835,
   [1]Fichajes_Realizados!G$2:G$5000,$X$3
)&gt;0)</f>
        <v>0</v>
      </c>
      <c r="R1835" s="5" t="n">
        <f aca="false">_xlfn.XLOOKUP(C1835, [1]Estado_Equipos!A$2:A$500, [1]Estado_Equipos!J$2:J$500, "")</f>
        <v>72</v>
      </c>
      <c r="S1835" s="5" t="n">
        <f aca="false">IF(H1835&lt;=16,1.45,
IF(H1835&gt;=41,0.3,
CHOOSE(ROUNDDOWN((H1835-16)/2,0)+1,
1.45,1.38,1.3,1.23,1.17,1.15,1.12,1.05,0.95,0.8,0.6,0.4,0.3)))</f>
        <v>1.3</v>
      </c>
      <c r="T1835" s="5" t="n">
        <f aca="false">CHOOSE(N1835+1,1.2,1,0.85,0.7)</f>
        <v>1.2</v>
      </c>
      <c r="U1835" s="5" t="n">
        <f aca="false">IF(F1835="PO",0.6,
IF(F1835="CT",0.75,
IF(F1835="LI",0.8,
IF(F1835="LD",0.8,
IF(F1835="MCD",0.85,
IF(F1835="MC",0.95,
IF(F1835="MO",1.05,
IF(F1835="EI",1.1,
IF(F1835="ED",1.1,
IF(F1835="SD",1.15,
IF(F1835="DC",1.2,0)))))))))))</f>
        <v>0.85</v>
      </c>
    </row>
    <row r="1836" customFormat="false" ht="16.4" hidden="false" customHeight="false" outlineLevel="0" collapsed="false">
      <c r="A1836" s="1" t="n">
        <v>1835</v>
      </c>
      <c r="B1836" s="5" t="str">
        <f aca="false">[1]Base_Jugadores!B1836</f>
        <v>Luca Philipp</v>
      </c>
      <c r="C1836" s="5" t="str">
        <f aca="false">IFERROR(
   _xlfn.XLOOKUP(VALUE(A1836),[1]Fichajes_Realizados!A$2:A$50000,[1]Fichajes_Realizados!D$2:D$50000,,0,-1),
   _xlfn.XLOOKUP(VALUE(A1836),[1]Base_Jugadores!A$2:A$50000,[1]Base_Jugadores!C$2:C$50000)
)</f>
        <v>TSG 1899 Hoffenheim</v>
      </c>
      <c r="D1836" s="5" t="str">
        <f aca="false">[1]Base_Jugadores!D1836</f>
        <v>Alemania</v>
      </c>
      <c r="E1836" s="3"/>
      <c r="F1836" s="5" t="str">
        <f aca="false">[1]Base_Jugadores!E1836</f>
        <v>PO</v>
      </c>
      <c r="G1836" s="5" t="n">
        <f aca="false">[1]Base_Jugadores!F1836</f>
        <v>65</v>
      </c>
      <c r="H1836" s="5" t="n">
        <f aca="false">[1]Base_Jugadores!G1836</f>
        <v>25</v>
      </c>
      <c r="I1836" s="7" t="n">
        <f aca="false" t="array" ref="I1836:I1836">_xlfn.XLOOKUP(G1836,{55;56;57;58;59;60;61;62;63;64;65;66;67;68;69;70;71;72;73;74;75;76;77;78;79;80;81;82;83;84;85;86;87;88;89;90;91;92;93;94;95;96;97;98;99},{100000;130000;160000;190000;220000;250000;300000;350000;400000;450000;500000;600000;700000;800000;900000;1000000;1500000;2000000;3000000;4000000;5000000;6500000;8000000;10000000;12500000;15000000;20000000;25000000;30000000;35000000;40000000;55000000;70000000;80000000;90000000;110000000;130000000;160000000;190000000;220000000;250000000;280000000;310000000;340000000;400000000})</f>
        <v>500000</v>
      </c>
      <c r="J1836" s="7" t="n">
        <f aca="false">I1836*S1836*T1836*U1836</f>
        <v>421200</v>
      </c>
      <c r="K1836" s="3"/>
      <c r="L1836" s="3"/>
      <c r="M1836" s="3"/>
      <c r="N1836" s="9" t="n">
        <v>0</v>
      </c>
      <c r="O1836" s="4" t="n">
        <v>0</v>
      </c>
      <c r="P1836" s="5" t="n">
        <f aca="false">IF(COUNTIF([1]Base_Jugadores!J$2:J$500,B1836)&gt;0,1,0)</f>
        <v>0</v>
      </c>
      <c r="Q1836" s="10" t="b">
        <f aca="false">--(COUNTIFS(
   [1]Fichajes_Realizados!A$2:A$5000,A1836,
   [1]Fichajes_Realizados!G$2:G$5000,$X$3
)&gt;0)</f>
        <v>0</v>
      </c>
      <c r="R1836" s="5" t="n">
        <f aca="false">_xlfn.XLOOKUP(C1836, [1]Estado_Equipos!A$2:A$500, [1]Estado_Equipos!J$2:J$500, "")</f>
        <v>72</v>
      </c>
      <c r="S1836" s="5" t="n">
        <f aca="false">IF(H1836&lt;=16,1.45,
IF(H1836&gt;=41,0.3,
CHOOSE(ROUNDDOWN((H1836-16)/2,0)+1,
1.45,1.38,1.3,1.23,1.17,1.15,1.12,1.05,0.95,0.8,0.6,0.4,0.3)))</f>
        <v>1.17</v>
      </c>
      <c r="T1836" s="5" t="n">
        <f aca="false">CHOOSE(N1836+1,1.2,1,0.85,0.7)</f>
        <v>1.2</v>
      </c>
      <c r="U1836" s="5" t="n">
        <f aca="false">IF(F1836="PO",0.6,
IF(F1836="CT",0.75,
IF(F1836="LI",0.8,
IF(F1836="LD",0.8,
IF(F1836="MCD",0.85,
IF(F1836="MC",0.95,
IF(F1836="MO",1.05,
IF(F1836="EI",1.1,
IF(F1836="ED",1.1,
IF(F1836="SD",1.15,
IF(F1836="DC",1.2,0)))))))))))</f>
        <v>0.6</v>
      </c>
    </row>
    <row r="1837" customFormat="false" ht="16.4" hidden="false" customHeight="false" outlineLevel="0" collapsed="false">
      <c r="A1837" s="1" t="n">
        <v>1836</v>
      </c>
      <c r="B1837" s="5" t="str">
        <f aca="false">[1]Base_Jugadores!B1837</f>
        <v>Lúkas Petersson</v>
      </c>
      <c r="C1837" s="5" t="str">
        <f aca="false">IFERROR(
   _xlfn.XLOOKUP(VALUE(A1837),[1]Fichajes_Realizados!A$2:A$50000,[1]Fichajes_Realizados!D$2:D$50000,,0,-1),
   _xlfn.XLOOKUP(VALUE(A1837),[1]Base_Jugadores!A$2:A$50000,[1]Base_Jugadores!C$2:C$50000)
)</f>
        <v>TSG 1899 Hoffenheim</v>
      </c>
      <c r="D1837" s="5" t="str">
        <f aca="false">[1]Base_Jugadores!D1837</f>
        <v>Islandia</v>
      </c>
      <c r="E1837" s="3"/>
      <c r="F1837" s="5" t="str">
        <f aca="false">[1]Base_Jugadores!E1837</f>
        <v>PO</v>
      </c>
      <c r="G1837" s="5" t="n">
        <f aca="false">[1]Base_Jugadores!F1837</f>
        <v>59</v>
      </c>
      <c r="H1837" s="5" t="n">
        <f aca="false">[1]Base_Jugadores!G1837</f>
        <v>21</v>
      </c>
      <c r="I1837" s="7" t="n">
        <f aca="false" t="array" ref="I1837:I1837">_xlfn.XLOOKUP(G1837,{55;56;57;58;59;60;61;62;63;64;65;66;67;68;69;70;71;72;73;74;75;76;77;78;79;80;81;82;83;84;85;86;87;88;89;90;91;92;93;94;95;96;97;98;99},{100000;130000;160000;190000;220000;250000;300000;350000;400000;450000;500000;600000;700000;800000;900000;1000000;1500000;2000000;3000000;4000000;5000000;6500000;8000000;10000000;12500000;15000000;20000000;25000000;30000000;35000000;40000000;55000000;70000000;80000000;90000000;110000000;130000000;160000000;190000000;220000000;250000000;280000000;310000000;340000000;400000000})</f>
        <v>220000</v>
      </c>
      <c r="J1837" s="7" t="n">
        <f aca="false">I1837*S1837*T1837*U1837</f>
        <v>205920</v>
      </c>
      <c r="K1837" s="3"/>
      <c r="L1837" s="3"/>
      <c r="M1837" s="3"/>
      <c r="N1837" s="9" t="n">
        <v>0</v>
      </c>
      <c r="O1837" s="4" t="n">
        <v>0</v>
      </c>
      <c r="P1837" s="5" t="n">
        <f aca="false">IF(COUNTIF([1]Base_Jugadores!J$2:J$500,B1837)&gt;0,1,0)</f>
        <v>0</v>
      </c>
      <c r="Q1837" s="10" t="b">
        <f aca="false">--(COUNTIFS(
   [1]Fichajes_Realizados!A$2:A$5000,A1837,
   [1]Fichajes_Realizados!G$2:G$5000,$X$3
)&gt;0)</f>
        <v>0</v>
      </c>
      <c r="R1837" s="5" t="n">
        <f aca="false">_xlfn.XLOOKUP(C1837, [1]Estado_Equipos!A$2:A$500, [1]Estado_Equipos!J$2:J$500, "")</f>
        <v>72</v>
      </c>
      <c r="S1837" s="5" t="n">
        <f aca="false">IF(H1837&lt;=16,1.45,
IF(H1837&gt;=41,0.3,
CHOOSE(ROUNDDOWN((H1837-16)/2,0)+1,
1.45,1.38,1.3,1.23,1.17,1.15,1.12,1.05,0.95,0.8,0.6,0.4,0.3)))</f>
        <v>1.3</v>
      </c>
      <c r="T1837" s="5" t="n">
        <f aca="false">CHOOSE(N1837+1,1.2,1,0.85,0.7)</f>
        <v>1.2</v>
      </c>
      <c r="U1837" s="5" t="n">
        <f aca="false">IF(F1837="PO",0.6,
IF(F1837="CT",0.75,
IF(F1837="LI",0.8,
IF(F1837="LD",0.8,
IF(F1837="MCD",0.85,
IF(F1837="MC",0.95,
IF(F1837="MO",1.05,
IF(F1837="EI",1.1,
IF(F1837="ED",1.1,
IF(F1837="SD",1.15,
IF(F1837="DC",1.2,0)))))))))))</f>
        <v>0.6</v>
      </c>
    </row>
    <row r="1838" customFormat="false" ht="16.4" hidden="false" customHeight="false" outlineLevel="0" collapsed="false">
      <c r="A1838" s="1" t="n">
        <v>1837</v>
      </c>
      <c r="B1838" s="5" t="str">
        <f aca="false">[1]Base_Jugadores!B1838</f>
        <v>Max Moerstedt</v>
      </c>
      <c r="C1838" s="5" t="str">
        <f aca="false">IFERROR(
   _xlfn.XLOOKUP(VALUE(A1838),[1]Fichajes_Realizados!A$2:A$50000,[1]Fichajes_Realizados!D$2:D$50000,,0,-1),
   _xlfn.XLOOKUP(VALUE(A1838),[1]Base_Jugadores!A$2:A$50000,[1]Base_Jugadores!C$2:C$50000)
)</f>
        <v>TSG 1899 Hoffenheim</v>
      </c>
      <c r="D1838" s="5" t="str">
        <f aca="false">[1]Base_Jugadores!D1838</f>
        <v>Alemania</v>
      </c>
      <c r="E1838" s="3"/>
      <c r="F1838" s="5" t="str">
        <f aca="false">[1]Base_Jugadores!E1838</f>
        <v>DC</v>
      </c>
      <c r="G1838" s="5" t="n">
        <f aca="false">[1]Base_Jugadores!F1838</f>
        <v>61</v>
      </c>
      <c r="H1838" s="5" t="n">
        <f aca="false">[1]Base_Jugadores!G1838</f>
        <v>19</v>
      </c>
      <c r="I1838" s="7" t="n">
        <f aca="false" t="array" ref="I1838:I1838">_xlfn.XLOOKUP(G1838,{55;56;57;58;59;60;61;62;63;64;65;66;67;68;69;70;71;72;73;74;75;76;77;78;79;80;81;82;83;84;85;86;87;88;89;90;91;92;93;94;95;96;97;98;99},{100000;130000;160000;190000;220000;250000;300000;350000;400000;450000;500000;600000;700000;800000;900000;1000000;1500000;2000000;3000000;4000000;5000000;6500000;8000000;10000000;12500000;15000000;20000000;25000000;30000000;35000000;40000000;55000000;70000000;80000000;90000000;110000000;130000000;160000000;190000000;220000000;250000000;280000000;310000000;340000000;400000000})</f>
        <v>300000</v>
      </c>
      <c r="J1838" s="7" t="n">
        <f aca="false">I1838*S1838*T1838*U1838</f>
        <v>596160</v>
      </c>
      <c r="K1838" s="3"/>
      <c r="L1838" s="3"/>
      <c r="M1838" s="3"/>
      <c r="N1838" s="9" t="n">
        <v>0</v>
      </c>
      <c r="O1838" s="4" t="n">
        <v>0</v>
      </c>
      <c r="P1838" s="5" t="n">
        <f aca="false">IF(COUNTIF([1]Base_Jugadores!J$2:J$500,B1838)&gt;0,1,0)</f>
        <v>0</v>
      </c>
      <c r="Q1838" s="10" t="b">
        <f aca="false">--(COUNTIFS(
   [1]Fichajes_Realizados!A$2:A$5000,A1838,
   [1]Fichajes_Realizados!G$2:G$5000,$X$3
)&gt;0)</f>
        <v>0</v>
      </c>
      <c r="R1838" s="5" t="n">
        <f aca="false">_xlfn.XLOOKUP(C1838, [1]Estado_Equipos!A$2:A$500, [1]Estado_Equipos!J$2:J$500, "")</f>
        <v>72</v>
      </c>
      <c r="S1838" s="5" t="n">
        <f aca="false">IF(H1838&lt;=16,1.45,
IF(H1838&gt;=41,0.3,
CHOOSE(ROUNDDOWN((H1838-16)/2,0)+1,
1.45,1.38,1.3,1.23,1.17,1.15,1.12,1.05,0.95,0.8,0.6,0.4,0.3)))</f>
        <v>1.38</v>
      </c>
      <c r="T1838" s="5" t="n">
        <f aca="false">CHOOSE(N1838+1,1.2,1,0.85,0.7)</f>
        <v>1.2</v>
      </c>
      <c r="U1838" s="5" t="n">
        <f aca="false">IF(F1838="PO",0.6,
IF(F1838="CT",0.75,
IF(F1838="LI",0.8,
IF(F1838="LD",0.8,
IF(F1838="MCD",0.85,
IF(F1838="MC",0.95,
IF(F1838="MO",1.05,
IF(F1838="EI",1.1,
IF(F1838="ED",1.1,
IF(F1838="SD",1.15,
IF(F1838="DC",1.2,0)))))))))))</f>
        <v>1.2</v>
      </c>
    </row>
    <row r="1839" customFormat="false" ht="16.4" hidden="false" customHeight="false" outlineLevel="0" collapsed="false">
      <c r="A1839" s="1" t="n">
        <v>1838</v>
      </c>
      <c r="B1839" s="5" t="str">
        <f aca="false">[1]Base_Jugadores!B1839</f>
        <v>Mergim Berisha</v>
      </c>
      <c r="C1839" s="5" t="str">
        <f aca="false">IFERROR(
   _xlfn.XLOOKUP(VALUE(A1839),[1]Fichajes_Realizados!A$2:A$50000,[1]Fichajes_Realizados!D$2:D$50000,,0,-1),
   _xlfn.XLOOKUP(VALUE(A1839),[1]Base_Jugadores!A$2:A$50000,[1]Base_Jugadores!C$2:C$50000)
)</f>
        <v>TSG 1899 Hoffenheim</v>
      </c>
      <c r="D1839" s="5" t="str">
        <f aca="false">[1]Base_Jugadores!D1839</f>
        <v>Alemania</v>
      </c>
      <c r="E1839" s="3"/>
      <c r="F1839" s="5" t="str">
        <f aca="false">[1]Base_Jugadores!E1839</f>
        <v>DC</v>
      </c>
      <c r="G1839" s="5" t="n">
        <f aca="false">[1]Base_Jugadores!F1839</f>
        <v>76</v>
      </c>
      <c r="H1839" s="5" t="n">
        <f aca="false">[1]Base_Jugadores!G1839</f>
        <v>27</v>
      </c>
      <c r="I1839" s="7" t="n">
        <f aca="false" t="array" ref="I1839:I1839">_xlfn.XLOOKUP(G1839,{55;56;57;58;59;60;61;62;63;64;65;66;67;68;69;70;71;72;73;74;75;76;77;78;79;80;81;82;83;84;85;86;87;88;89;90;91;92;93;94;95;96;97;98;99},{100000;130000;160000;190000;220000;250000;300000;350000;400000;450000;500000;600000;700000;800000;900000;1000000;1500000;2000000;3000000;4000000;5000000;6500000;8000000;10000000;12500000;15000000;20000000;25000000;30000000;35000000;40000000;55000000;70000000;80000000;90000000;110000000;130000000;160000000;190000000;220000000;250000000;280000000;310000000;340000000;400000000})</f>
        <v>6500000</v>
      </c>
      <c r="J1839" s="7" t="n">
        <f aca="false">I1839*S1839*T1839*U1839</f>
        <v>10764000</v>
      </c>
      <c r="K1839" s="3"/>
      <c r="L1839" s="3"/>
      <c r="M1839" s="3"/>
      <c r="N1839" s="9" t="n">
        <v>0</v>
      </c>
      <c r="O1839" s="4" t="n">
        <v>0</v>
      </c>
      <c r="P1839" s="5" t="n">
        <f aca="false">IF(COUNTIF([1]Base_Jugadores!J$2:J$500,B1839)&gt;0,1,0)</f>
        <v>0</v>
      </c>
      <c r="Q1839" s="10" t="b">
        <f aca="false">--(COUNTIFS(
   [1]Fichajes_Realizados!A$2:A$5000,A1839,
   [1]Fichajes_Realizados!G$2:G$5000,$X$3
)&gt;0)</f>
        <v>0</v>
      </c>
      <c r="R1839" s="5" t="n">
        <f aca="false">_xlfn.XLOOKUP(C1839, [1]Estado_Equipos!A$2:A$500, [1]Estado_Equipos!J$2:J$500, "")</f>
        <v>72</v>
      </c>
      <c r="S1839" s="5" t="n">
        <f aca="false">IF(H1839&lt;=16,1.45,
IF(H1839&gt;=41,0.3,
CHOOSE(ROUNDDOWN((H1839-16)/2,0)+1,
1.45,1.38,1.3,1.23,1.17,1.15,1.12,1.05,0.95,0.8,0.6,0.4,0.3)))</f>
        <v>1.15</v>
      </c>
      <c r="T1839" s="5" t="n">
        <f aca="false">CHOOSE(N1839+1,1.2,1,0.85,0.7)</f>
        <v>1.2</v>
      </c>
      <c r="U1839" s="5" t="n">
        <f aca="false">IF(F1839="PO",0.6,
IF(F1839="CT",0.75,
IF(F1839="LI",0.8,
IF(F1839="LD",0.8,
IF(F1839="MCD",0.85,
IF(F1839="MC",0.95,
IF(F1839="MO",1.05,
IF(F1839="EI",1.1,
IF(F1839="ED",1.1,
IF(F1839="SD",1.15,
IF(F1839="DC",1.2,0)))))))))))</f>
        <v>1.2</v>
      </c>
    </row>
    <row r="1840" customFormat="false" ht="16.4" hidden="false" customHeight="false" outlineLevel="0" collapsed="false">
      <c r="A1840" s="1" t="n">
        <v>1839</v>
      </c>
      <c r="B1840" s="5" t="str">
        <f aca="false">[1]Base_Jugadores!B1840</f>
        <v>Ozan Kabak</v>
      </c>
      <c r="C1840" s="5" t="str">
        <f aca="false">IFERROR(
   _xlfn.XLOOKUP(VALUE(A1840),[1]Fichajes_Realizados!A$2:A$50000,[1]Fichajes_Realizados!D$2:D$50000,,0,-1),
   _xlfn.XLOOKUP(VALUE(A1840),[1]Base_Jugadores!A$2:A$50000,[1]Base_Jugadores!C$2:C$50000)
)</f>
        <v>TSG 1899 Hoffenheim</v>
      </c>
      <c r="D1840" s="5" t="str">
        <f aca="false">[1]Base_Jugadores!D1840</f>
        <v>Turquía</v>
      </c>
      <c r="E1840" s="3"/>
      <c r="F1840" s="5" t="str">
        <f aca="false">[1]Base_Jugadores!E1840</f>
        <v>CT</v>
      </c>
      <c r="G1840" s="5" t="n">
        <f aca="false">[1]Base_Jugadores!F1840</f>
        <v>76</v>
      </c>
      <c r="H1840" s="5" t="n">
        <f aca="false">[1]Base_Jugadores!G1840</f>
        <v>25</v>
      </c>
      <c r="I1840" s="7" t="n">
        <f aca="false" t="array" ref="I1840:I1840">_xlfn.XLOOKUP(G1840,{55;56;57;58;59;60;61;62;63;64;65;66;67;68;69;70;71;72;73;74;75;76;77;78;79;80;81;82;83;84;85;86;87;88;89;90;91;92;93;94;95;96;97;98;99},{100000;130000;160000;190000;220000;250000;300000;350000;400000;450000;500000;600000;700000;800000;900000;1000000;1500000;2000000;3000000;4000000;5000000;6500000;8000000;10000000;12500000;15000000;20000000;25000000;30000000;35000000;40000000;55000000;70000000;80000000;90000000;110000000;130000000;160000000;190000000;220000000;250000000;280000000;310000000;340000000;400000000})</f>
        <v>6500000</v>
      </c>
      <c r="J1840" s="7" t="n">
        <f aca="false">I1840*S1840*T1840*U1840</f>
        <v>6844500</v>
      </c>
      <c r="K1840" s="3"/>
      <c r="L1840" s="3"/>
      <c r="M1840" s="3"/>
      <c r="N1840" s="9" t="n">
        <v>0</v>
      </c>
      <c r="O1840" s="4" t="n">
        <v>0</v>
      </c>
      <c r="P1840" s="5" t="n">
        <f aca="false">IF(COUNTIF([1]Base_Jugadores!J$2:J$500,B1840)&gt;0,1,0)</f>
        <v>0</v>
      </c>
      <c r="Q1840" s="10" t="b">
        <f aca="false">--(COUNTIFS(
   [1]Fichajes_Realizados!A$2:A$5000,A1840,
   [1]Fichajes_Realizados!G$2:G$5000,$X$3
)&gt;0)</f>
        <v>0</v>
      </c>
      <c r="R1840" s="5" t="n">
        <f aca="false">_xlfn.XLOOKUP(C1840, [1]Estado_Equipos!A$2:A$500, [1]Estado_Equipos!J$2:J$500, "")</f>
        <v>72</v>
      </c>
      <c r="S1840" s="5" t="n">
        <f aca="false">IF(H1840&lt;=16,1.45,
IF(H1840&gt;=41,0.3,
CHOOSE(ROUNDDOWN((H1840-16)/2,0)+1,
1.45,1.38,1.3,1.23,1.17,1.15,1.12,1.05,0.95,0.8,0.6,0.4,0.3)))</f>
        <v>1.17</v>
      </c>
      <c r="T1840" s="5" t="n">
        <f aca="false">CHOOSE(N1840+1,1.2,1,0.85,0.7)</f>
        <v>1.2</v>
      </c>
      <c r="U1840" s="5" t="n">
        <f aca="false">IF(F1840="PO",0.6,
IF(F1840="CT",0.75,
IF(F1840="LI",0.8,
IF(F1840="LD",0.8,
IF(F1840="MCD",0.85,
IF(F1840="MC",0.95,
IF(F1840="MO",1.05,
IF(F1840="EI",1.1,
IF(F1840="ED",1.1,
IF(F1840="SD",1.15,
IF(F1840="DC",1.2,0)))))))))))</f>
        <v>0.75</v>
      </c>
    </row>
    <row r="1841" customFormat="false" ht="16.4" hidden="false" customHeight="false" outlineLevel="0" collapsed="false">
      <c r="A1841" s="1" t="n">
        <v>1840</v>
      </c>
      <c r="B1841" s="5" t="str">
        <f aca="false">[1]Base_Jugadores!B1841</f>
        <v>Robin Hranac</v>
      </c>
      <c r="C1841" s="5" t="str">
        <f aca="false">IFERROR(
   _xlfn.XLOOKUP(VALUE(A1841),[1]Fichajes_Realizados!A$2:A$50000,[1]Fichajes_Realizados!D$2:D$50000,,0,-1),
   _xlfn.XLOOKUP(VALUE(A1841),[1]Base_Jugadores!A$2:A$50000,[1]Base_Jugadores!C$2:C$50000)
)</f>
        <v>TSG 1899 Hoffenheim</v>
      </c>
      <c r="D1841" s="5" t="str">
        <f aca="false">[1]Base_Jugadores!D1841</f>
        <v>República Checa</v>
      </c>
      <c r="E1841" s="3"/>
      <c r="F1841" s="5" t="str">
        <f aca="false">[1]Base_Jugadores!E1841</f>
        <v>CT</v>
      </c>
      <c r="G1841" s="5" t="n">
        <f aca="false">[1]Base_Jugadores!F1841</f>
        <v>73</v>
      </c>
      <c r="H1841" s="5" t="n">
        <f aca="false">[1]Base_Jugadores!G1841</f>
        <v>25</v>
      </c>
      <c r="I1841" s="7" t="n">
        <f aca="false" t="array" ref="I1841:I1841">_xlfn.XLOOKUP(G1841,{55;56;57;58;59;60;61;62;63;64;65;66;67;68;69;70;71;72;73;74;75;76;77;78;79;80;81;82;83;84;85;86;87;88;89;90;91;92;93;94;95;96;97;98;99},{100000;130000;160000;190000;220000;250000;300000;350000;400000;450000;500000;600000;700000;800000;900000;1000000;1500000;2000000;3000000;4000000;5000000;6500000;8000000;10000000;12500000;15000000;20000000;25000000;30000000;35000000;40000000;55000000;70000000;80000000;90000000;110000000;130000000;160000000;190000000;220000000;250000000;280000000;310000000;340000000;400000000})</f>
        <v>3000000</v>
      </c>
      <c r="J1841" s="7" t="n">
        <f aca="false">I1841*S1841*T1841*U1841</f>
        <v>3159000</v>
      </c>
      <c r="K1841" s="3"/>
      <c r="L1841" s="3"/>
      <c r="M1841" s="3"/>
      <c r="N1841" s="9" t="n">
        <v>0</v>
      </c>
      <c r="O1841" s="4" t="n">
        <v>0</v>
      </c>
      <c r="P1841" s="5" t="n">
        <f aca="false">IF(COUNTIF([1]Base_Jugadores!J$2:J$500,B1841)&gt;0,1,0)</f>
        <v>0</v>
      </c>
      <c r="Q1841" s="10" t="b">
        <f aca="false">--(COUNTIFS(
   [1]Fichajes_Realizados!A$2:A$5000,A1841,
   [1]Fichajes_Realizados!G$2:G$5000,$X$3
)&gt;0)</f>
        <v>0</v>
      </c>
      <c r="R1841" s="5" t="n">
        <f aca="false">_xlfn.XLOOKUP(C1841, [1]Estado_Equipos!A$2:A$500, [1]Estado_Equipos!J$2:J$500, "")</f>
        <v>72</v>
      </c>
      <c r="S1841" s="5" t="n">
        <f aca="false">IF(H1841&lt;=16,1.45,
IF(H1841&gt;=41,0.3,
CHOOSE(ROUNDDOWN((H1841-16)/2,0)+1,
1.45,1.38,1.3,1.23,1.17,1.15,1.12,1.05,0.95,0.8,0.6,0.4,0.3)))</f>
        <v>1.17</v>
      </c>
      <c r="T1841" s="5" t="n">
        <f aca="false">CHOOSE(N1841+1,1.2,1,0.85,0.7)</f>
        <v>1.2</v>
      </c>
      <c r="U1841" s="5" t="n">
        <f aca="false">IF(F1841="PO",0.6,
IF(F1841="CT",0.75,
IF(F1841="LI",0.8,
IF(F1841="LD",0.8,
IF(F1841="MCD",0.85,
IF(F1841="MC",0.95,
IF(F1841="MO",1.05,
IF(F1841="EI",1.1,
IF(F1841="ED",1.1,
IF(F1841="SD",1.15,
IF(F1841="DC",1.2,0)))))))))))</f>
        <v>0.75</v>
      </c>
    </row>
    <row r="1842" customFormat="false" ht="16.4" hidden="false" customHeight="false" outlineLevel="0" collapsed="false">
      <c r="A1842" s="1" t="n">
        <v>1841</v>
      </c>
      <c r="B1842" s="5" t="str">
        <f aca="false">[1]Base_Jugadores!B1842</f>
        <v>Tim Lemperle</v>
      </c>
      <c r="C1842" s="5" t="str">
        <f aca="false">IFERROR(
   _xlfn.XLOOKUP(VALUE(A1842),[1]Fichajes_Realizados!A$2:A$50000,[1]Fichajes_Realizados!D$2:D$50000,,0,-1),
   _xlfn.XLOOKUP(VALUE(A1842),[1]Base_Jugadores!A$2:A$50000,[1]Base_Jugadores!C$2:C$50000)
)</f>
        <v>TSG 1899 Hoffenheim</v>
      </c>
      <c r="D1842" s="5" t="str">
        <f aca="false">[1]Base_Jugadores!D1842</f>
        <v>Alemania</v>
      </c>
      <c r="E1842" s="3"/>
      <c r="F1842" s="5" t="str">
        <f aca="false">[1]Base_Jugadores!E1842</f>
        <v>DC</v>
      </c>
      <c r="G1842" s="5" t="n">
        <f aca="false">[1]Base_Jugadores!F1842</f>
        <v>63</v>
      </c>
      <c r="H1842" s="5" t="n">
        <f aca="false">[1]Base_Jugadores!G1842</f>
        <v>23</v>
      </c>
      <c r="I1842" s="7" t="n">
        <f aca="false" t="array" ref="I1842:I1842">_xlfn.XLOOKUP(G1842,{55;56;57;58;59;60;61;62;63;64;65;66;67;68;69;70;71;72;73;74;75;76;77;78;79;80;81;82;83;84;85;86;87;88;89;90;91;92;93;94;95;96;97;98;99},{100000;130000;160000;190000;220000;250000;300000;350000;400000;450000;500000;600000;700000;800000;900000;1000000;1500000;2000000;3000000;4000000;5000000;6500000;8000000;10000000;12500000;15000000;20000000;25000000;30000000;35000000;40000000;55000000;70000000;80000000;90000000;110000000;130000000;160000000;190000000;220000000;250000000;280000000;310000000;340000000;400000000})</f>
        <v>400000</v>
      </c>
      <c r="J1842" s="7" t="n">
        <f aca="false">I1842*S1842*T1842*U1842</f>
        <v>708480</v>
      </c>
      <c r="K1842" s="3"/>
      <c r="L1842" s="3"/>
      <c r="M1842" s="3"/>
      <c r="N1842" s="9" t="n">
        <v>0</v>
      </c>
      <c r="O1842" s="4" t="n">
        <v>0</v>
      </c>
      <c r="P1842" s="5" t="n">
        <f aca="false">IF(COUNTIF([1]Base_Jugadores!J$2:J$500,B1842)&gt;0,1,0)</f>
        <v>0</v>
      </c>
      <c r="Q1842" s="10" t="b">
        <f aca="false">--(COUNTIFS(
   [1]Fichajes_Realizados!A$2:A$5000,A1842,
   [1]Fichajes_Realizados!G$2:G$5000,$X$3
)&gt;0)</f>
        <v>0</v>
      </c>
      <c r="R1842" s="5" t="n">
        <f aca="false">_xlfn.XLOOKUP(C1842, [1]Estado_Equipos!A$2:A$500, [1]Estado_Equipos!J$2:J$500, "")</f>
        <v>72</v>
      </c>
      <c r="S1842" s="5" t="n">
        <f aca="false">IF(H1842&lt;=16,1.45,
IF(H1842&gt;=41,0.3,
CHOOSE(ROUNDDOWN((H1842-16)/2,0)+1,
1.45,1.38,1.3,1.23,1.17,1.15,1.12,1.05,0.95,0.8,0.6,0.4,0.3)))</f>
        <v>1.23</v>
      </c>
      <c r="T1842" s="5" t="n">
        <f aca="false">CHOOSE(N1842+1,1.2,1,0.85,0.7)</f>
        <v>1.2</v>
      </c>
      <c r="U1842" s="5" t="n">
        <f aca="false">IF(F1842="PO",0.6,
IF(F1842="CT",0.75,
IF(F1842="LI",0.8,
IF(F1842="LD",0.8,
IF(F1842="MCD",0.85,
IF(F1842="MC",0.95,
IF(F1842="MO",1.05,
IF(F1842="EI",1.1,
IF(F1842="ED",1.1,
IF(F1842="SD",1.15,
IF(F1842="DC",1.2,0)))))))))))</f>
        <v>1.2</v>
      </c>
    </row>
    <row r="1843" customFormat="false" ht="16.4" hidden="false" customHeight="false" outlineLevel="0" collapsed="false">
      <c r="A1843" s="1" t="n">
        <v>1842</v>
      </c>
      <c r="B1843" s="5" t="str">
        <f aca="false">[1]Base_Jugadores!B1843</f>
        <v>Umut Tohumcu</v>
      </c>
      <c r="C1843" s="5" t="str">
        <f aca="false">IFERROR(
   _xlfn.XLOOKUP(VALUE(A1843),[1]Fichajes_Realizados!A$2:A$50000,[1]Fichajes_Realizados!D$2:D$50000,,0,-1),
   _xlfn.XLOOKUP(VALUE(A1843),[1]Base_Jugadores!A$2:A$50000,[1]Base_Jugadores!C$2:C$50000)
)</f>
        <v>TSG 1899 Hoffenheim</v>
      </c>
      <c r="D1843" s="5" t="str">
        <f aca="false">[1]Base_Jugadores!D1843</f>
        <v>Alemania</v>
      </c>
      <c r="E1843" s="3"/>
      <c r="F1843" s="5" t="str">
        <f aca="false">[1]Base_Jugadores!E1843</f>
        <v>MC</v>
      </c>
      <c r="G1843" s="5" t="n">
        <f aca="false">[1]Base_Jugadores!F1843</f>
        <v>70</v>
      </c>
      <c r="H1843" s="5" t="n">
        <f aca="false">[1]Base_Jugadores!G1843</f>
        <v>21</v>
      </c>
      <c r="I1843" s="7" t="n">
        <f aca="false" t="array" ref="I1843:I1843">_xlfn.XLOOKUP(G1843,{55;56;57;58;59;60;61;62;63;64;65;66;67;68;69;70;71;72;73;74;75;76;77;78;79;80;81;82;83;84;85;86;87;88;89;90;91;92;93;94;95;96;97;98;99},{100000;130000;160000;190000;220000;250000;300000;350000;400000;450000;500000;600000;700000;800000;900000;1000000;1500000;2000000;3000000;4000000;5000000;6500000;8000000;10000000;12500000;15000000;20000000;25000000;30000000;35000000;40000000;55000000;70000000;80000000;90000000;110000000;130000000;160000000;190000000;220000000;250000000;280000000;310000000;340000000;400000000})</f>
        <v>1000000</v>
      </c>
      <c r="J1843" s="7" t="n">
        <f aca="false">I1843*S1843*T1843*U1843</f>
        <v>1482000</v>
      </c>
      <c r="K1843" s="3"/>
      <c r="L1843" s="3"/>
      <c r="M1843" s="3"/>
      <c r="N1843" s="9" t="n">
        <v>0</v>
      </c>
      <c r="O1843" s="4" t="n">
        <v>0</v>
      </c>
      <c r="P1843" s="5" t="n">
        <f aca="false">IF(COUNTIF([1]Base_Jugadores!J$2:J$500,B1843)&gt;0,1,0)</f>
        <v>0</v>
      </c>
      <c r="Q1843" s="10" t="b">
        <f aca="false">--(COUNTIFS(
   [1]Fichajes_Realizados!A$2:A$5000,A1843,
   [1]Fichajes_Realizados!G$2:G$5000,$X$3
)&gt;0)</f>
        <v>0</v>
      </c>
      <c r="R1843" s="5" t="n">
        <f aca="false">_xlfn.XLOOKUP(C1843, [1]Estado_Equipos!A$2:A$500, [1]Estado_Equipos!J$2:J$500, "")</f>
        <v>72</v>
      </c>
      <c r="S1843" s="5" t="n">
        <f aca="false">IF(H1843&lt;=16,1.45,
IF(H1843&gt;=41,0.3,
CHOOSE(ROUNDDOWN((H1843-16)/2,0)+1,
1.45,1.38,1.3,1.23,1.17,1.15,1.12,1.05,0.95,0.8,0.6,0.4,0.3)))</f>
        <v>1.3</v>
      </c>
      <c r="T1843" s="5" t="n">
        <f aca="false">CHOOSE(N1843+1,1.2,1,0.85,0.7)</f>
        <v>1.2</v>
      </c>
      <c r="U1843" s="5" t="n">
        <f aca="false">IF(F1843="PO",0.6,
IF(F1843="CT",0.75,
IF(F1843="LI",0.8,
IF(F1843="LD",0.8,
IF(F1843="MCD",0.85,
IF(F1843="MC",0.95,
IF(F1843="MO",1.05,
IF(F1843="EI",1.1,
IF(F1843="ED",1.1,
IF(F1843="SD",1.15,
IF(F1843="DC",1.2,0)))))))))))</f>
        <v>0.95</v>
      </c>
    </row>
    <row r="1844" customFormat="false" ht="16.4" hidden="false" customHeight="false" outlineLevel="0" collapsed="false">
      <c r="A1844" s="1" t="n">
        <v>1843</v>
      </c>
      <c r="B1844" s="5" t="str">
        <f aca="false">[1]Base_Jugadores!B1844</f>
        <v>Valentin Gendrey</v>
      </c>
      <c r="C1844" s="5" t="str">
        <f aca="false">IFERROR(
   _xlfn.XLOOKUP(VALUE(A1844),[1]Fichajes_Realizados!A$2:A$50000,[1]Fichajes_Realizados!D$2:D$50000,,0,-1),
   _xlfn.XLOOKUP(VALUE(A1844),[1]Base_Jugadores!A$2:A$50000,[1]Base_Jugadores!C$2:C$50000)
)</f>
        <v>TSG 1899 Hoffenheim</v>
      </c>
      <c r="D1844" s="5" t="str">
        <f aca="false">[1]Base_Jugadores!D1844</f>
        <v>Francia</v>
      </c>
      <c r="E1844" s="3"/>
      <c r="F1844" s="5" t="str">
        <f aca="false">[1]Base_Jugadores!E1844</f>
        <v>LD</v>
      </c>
      <c r="G1844" s="5" t="n">
        <f aca="false">[1]Base_Jugadores!F1844</f>
        <v>73</v>
      </c>
      <c r="H1844" s="5" t="n">
        <f aca="false">[1]Base_Jugadores!G1844</f>
        <v>25</v>
      </c>
      <c r="I1844" s="7" t="n">
        <f aca="false" t="array" ref="I1844:I1844">_xlfn.XLOOKUP(G1844,{55;56;57;58;59;60;61;62;63;64;65;66;67;68;69;70;71;72;73;74;75;76;77;78;79;80;81;82;83;84;85;86;87;88;89;90;91;92;93;94;95;96;97;98;99},{100000;130000;160000;190000;220000;250000;300000;350000;400000;450000;500000;600000;700000;800000;900000;1000000;1500000;2000000;3000000;4000000;5000000;6500000;8000000;10000000;12500000;15000000;20000000;25000000;30000000;35000000;40000000;55000000;70000000;80000000;90000000;110000000;130000000;160000000;190000000;220000000;250000000;280000000;310000000;340000000;400000000})</f>
        <v>3000000</v>
      </c>
      <c r="J1844" s="7" t="n">
        <f aca="false">I1844*S1844*T1844*U1844</f>
        <v>3369600</v>
      </c>
      <c r="K1844" s="3"/>
      <c r="L1844" s="3"/>
      <c r="M1844" s="3"/>
      <c r="N1844" s="9" t="n">
        <v>0</v>
      </c>
      <c r="O1844" s="4" t="n">
        <v>0</v>
      </c>
      <c r="P1844" s="5" t="n">
        <f aca="false">IF(COUNTIF([1]Base_Jugadores!J$2:J$500,B1844)&gt;0,1,0)</f>
        <v>0</v>
      </c>
      <c r="Q1844" s="10" t="b">
        <f aca="false">--(COUNTIFS(
   [1]Fichajes_Realizados!A$2:A$5000,A1844,
   [1]Fichajes_Realizados!G$2:G$5000,$X$3
)&gt;0)</f>
        <v>0</v>
      </c>
      <c r="R1844" s="5" t="n">
        <f aca="false">_xlfn.XLOOKUP(C1844, [1]Estado_Equipos!A$2:A$500, [1]Estado_Equipos!J$2:J$500, "")</f>
        <v>72</v>
      </c>
      <c r="S1844" s="5" t="n">
        <f aca="false">IF(H1844&lt;=16,1.45,
IF(H1844&gt;=41,0.3,
CHOOSE(ROUNDDOWN((H1844-16)/2,0)+1,
1.45,1.38,1.3,1.23,1.17,1.15,1.12,1.05,0.95,0.8,0.6,0.4,0.3)))</f>
        <v>1.17</v>
      </c>
      <c r="T1844" s="5" t="n">
        <f aca="false">CHOOSE(N1844+1,1.2,1,0.85,0.7)</f>
        <v>1.2</v>
      </c>
      <c r="U1844" s="5" t="n">
        <f aca="false">IF(F1844="PO",0.6,
IF(F1844="CT",0.75,
IF(F1844="LI",0.8,
IF(F1844="LD",0.8,
IF(F1844="MCD",0.85,
IF(F1844="MC",0.95,
IF(F1844="MO",1.05,
IF(F1844="EI",1.1,
IF(F1844="ED",1.1,
IF(F1844="SD",1.15,
IF(F1844="DC",1.2,0)))))))))))</f>
        <v>0.8</v>
      </c>
    </row>
    <row r="1845" customFormat="false" ht="16.4" hidden="false" customHeight="false" outlineLevel="0" collapsed="false">
      <c r="A1845" s="1" t="n">
        <v>1844</v>
      </c>
      <c r="B1845" s="5" t="str">
        <f aca="false">[1]Base_Jugadores!B1845</f>
        <v>Vladimír Coufal</v>
      </c>
      <c r="C1845" s="5" t="str">
        <f aca="false">IFERROR(
   _xlfn.XLOOKUP(VALUE(A1845),[1]Fichajes_Realizados!A$2:A$50000,[1]Fichajes_Realizados!D$2:D$50000,,0,-1),
   _xlfn.XLOOKUP(VALUE(A1845),[1]Base_Jugadores!A$2:A$50000,[1]Base_Jugadores!C$2:C$50000)
)</f>
        <v>TSG 1899 Hoffenheim</v>
      </c>
      <c r="D1845" s="5" t="str">
        <f aca="false">[1]Base_Jugadores!D1845</f>
        <v>República Checa</v>
      </c>
      <c r="E1845" s="3"/>
      <c r="F1845" s="5" t="str">
        <f aca="false">[1]Base_Jugadores!E1845</f>
        <v>LD</v>
      </c>
      <c r="G1845" s="5" t="n">
        <f aca="false">[1]Base_Jugadores!F1845</f>
        <v>78</v>
      </c>
      <c r="H1845" s="5" t="n">
        <f aca="false">[1]Base_Jugadores!G1845</f>
        <v>33</v>
      </c>
      <c r="I1845" s="7" t="n">
        <f aca="false" t="array" ref="I1845:I1845">_xlfn.XLOOKUP(G1845,{55;56;57;58;59;60;61;62;63;64;65;66;67;68;69;70;71;72;73;74;75;76;77;78;79;80;81;82;83;84;85;86;87;88;89;90;91;92;93;94;95;96;97;98;99},{100000;130000;160000;190000;220000;250000;300000;350000;400000;450000;500000;600000;700000;800000;900000;1000000;1500000;2000000;3000000;4000000;5000000;6500000;8000000;10000000;12500000;15000000;20000000;25000000;30000000;35000000;40000000;55000000;70000000;80000000;90000000;110000000;130000000;160000000;190000000;220000000;250000000;280000000;310000000;340000000;400000000})</f>
        <v>10000000</v>
      </c>
      <c r="J1845" s="7" t="n">
        <f aca="false">I1845*S1845*T1845*U1845</f>
        <v>9120000</v>
      </c>
      <c r="K1845" s="3"/>
      <c r="L1845" s="3"/>
      <c r="M1845" s="3"/>
      <c r="N1845" s="9" t="n">
        <v>0</v>
      </c>
      <c r="O1845" s="4" t="n">
        <v>0</v>
      </c>
      <c r="P1845" s="5" t="n">
        <f aca="false">IF(COUNTIF([1]Base_Jugadores!J$2:J$500,B1845)&gt;0,1,0)</f>
        <v>0</v>
      </c>
      <c r="Q1845" s="10" t="b">
        <f aca="false">--(COUNTIFS(
   [1]Fichajes_Realizados!A$2:A$5000,A1845,
   [1]Fichajes_Realizados!G$2:G$5000,$X$3
)&gt;0)</f>
        <v>0</v>
      </c>
      <c r="R1845" s="5" t="n">
        <f aca="false">_xlfn.XLOOKUP(C1845, [1]Estado_Equipos!A$2:A$500, [1]Estado_Equipos!J$2:J$500, "")</f>
        <v>72</v>
      </c>
      <c r="S1845" s="5" t="n">
        <f aca="false">IF(H1845&lt;=16,1.45,
IF(H1845&gt;=41,0.3,
CHOOSE(ROUNDDOWN((H1845-16)/2,0)+1,
1.45,1.38,1.3,1.23,1.17,1.15,1.12,1.05,0.95,0.8,0.6,0.4,0.3)))</f>
        <v>0.95</v>
      </c>
      <c r="T1845" s="5" t="n">
        <f aca="false">CHOOSE(N1845+1,1.2,1,0.85,0.7)</f>
        <v>1.2</v>
      </c>
      <c r="U1845" s="5" t="n">
        <f aca="false">IF(F1845="PO",0.6,
IF(F1845="CT",0.75,
IF(F1845="LI",0.8,
IF(F1845="LD",0.8,
IF(F1845="MCD",0.85,
IF(F1845="MC",0.95,
IF(F1845="MO",1.05,
IF(F1845="EI",1.1,
IF(F1845="ED",1.1,
IF(F1845="SD",1.15,
IF(F1845="DC",1.2,0)))))))))))</f>
        <v>0.8</v>
      </c>
    </row>
    <row r="1846" customFormat="false" ht="16.4" hidden="false" customHeight="false" outlineLevel="0" collapsed="false">
      <c r="A1846" s="1" t="n">
        <v>1845</v>
      </c>
      <c r="B1846" s="5" t="str">
        <f aca="false">[1]Base_Jugadores!B1846</f>
        <v>Wouter Burger</v>
      </c>
      <c r="C1846" s="5" t="str">
        <f aca="false">IFERROR(
   _xlfn.XLOOKUP(VALUE(A1846),[1]Fichajes_Realizados!A$2:A$50000,[1]Fichajes_Realizados!D$2:D$50000,,0,-1),
   _xlfn.XLOOKUP(VALUE(A1846),[1]Base_Jugadores!A$2:A$50000,[1]Base_Jugadores!C$2:C$50000)
)</f>
        <v>TSG 1899 Hoffenheim</v>
      </c>
      <c r="D1846" s="5" t="str">
        <f aca="false">[1]Base_Jugadores!D1846</f>
        <v>Países Bajos</v>
      </c>
      <c r="E1846" s="3"/>
      <c r="F1846" s="5" t="str">
        <f aca="false">[1]Base_Jugadores!E1846</f>
        <v>MCD</v>
      </c>
      <c r="G1846" s="5" t="n">
        <f aca="false">[1]Base_Jugadores!F1846</f>
        <v>76</v>
      </c>
      <c r="H1846" s="5" t="n">
        <f aca="false">[1]Base_Jugadores!G1846</f>
        <v>24</v>
      </c>
      <c r="I1846" s="7" t="n">
        <f aca="false" t="array" ref="I1846:I1846">_xlfn.XLOOKUP(G1846,{55;56;57;58;59;60;61;62;63;64;65;66;67;68;69;70;71;72;73;74;75;76;77;78;79;80;81;82;83;84;85;86;87;88;89;90;91;92;93;94;95;96;97;98;99},{100000;130000;160000;190000;220000;250000;300000;350000;400000;450000;500000;600000;700000;800000;900000;1000000;1500000;2000000;3000000;4000000;5000000;6500000;8000000;10000000;12500000;15000000;20000000;25000000;30000000;35000000;40000000;55000000;70000000;80000000;90000000;110000000;130000000;160000000;190000000;220000000;250000000;280000000;310000000;340000000;400000000})</f>
        <v>6500000</v>
      </c>
      <c r="J1846" s="7" t="n">
        <f aca="false">I1846*S1846*T1846*U1846</f>
        <v>7757100</v>
      </c>
      <c r="K1846" s="3"/>
      <c r="L1846" s="3"/>
      <c r="M1846" s="3"/>
      <c r="N1846" s="9" t="n">
        <v>0</v>
      </c>
      <c r="O1846" s="4" t="n">
        <v>0</v>
      </c>
      <c r="P1846" s="5" t="n">
        <f aca="false">IF(COUNTIF([1]Base_Jugadores!J$2:J$500,B1846)&gt;0,1,0)</f>
        <v>0</v>
      </c>
      <c r="Q1846" s="10" t="b">
        <f aca="false">--(COUNTIFS(
   [1]Fichajes_Realizados!A$2:A$5000,A1846,
   [1]Fichajes_Realizados!G$2:G$5000,$X$3
)&gt;0)</f>
        <v>0</v>
      </c>
      <c r="R1846" s="5" t="n">
        <f aca="false">_xlfn.XLOOKUP(C1846, [1]Estado_Equipos!A$2:A$500, [1]Estado_Equipos!J$2:J$500, "")</f>
        <v>72</v>
      </c>
      <c r="S1846" s="5" t="n">
        <f aca="false">IF(H1846&lt;=16,1.45,
IF(H1846&gt;=41,0.3,
CHOOSE(ROUNDDOWN((H1846-16)/2,0)+1,
1.45,1.38,1.3,1.23,1.17,1.15,1.12,1.05,0.95,0.8,0.6,0.4,0.3)))</f>
        <v>1.17</v>
      </c>
      <c r="T1846" s="5" t="n">
        <f aca="false">CHOOSE(N1846+1,1.2,1,0.85,0.7)</f>
        <v>1.2</v>
      </c>
      <c r="U1846" s="5" t="n">
        <f aca="false">IF(F1846="PO",0.6,
IF(F1846="CT",0.75,
IF(F1846="LI",0.8,
IF(F1846="LD",0.8,
IF(F1846="MCD",0.85,
IF(F1846="MC",0.95,
IF(F1846="MO",1.05,
IF(F1846="EI",1.1,
IF(F1846="ED",1.1,
IF(F1846="SD",1.15,
IF(F1846="DC",1.2,0)))))))))))</f>
        <v>0.85</v>
      </c>
    </row>
    <row r="1847" customFormat="false" ht="16.4" hidden="false" customHeight="false" outlineLevel="0" collapsed="false">
      <c r="A1847" s="1" t="n">
        <v>1846</v>
      </c>
      <c r="B1847" s="5" t="str">
        <f aca="false">[1]Base_Jugadores!B1847</f>
        <v>Jonas Krumrey</v>
      </c>
      <c r="C1847" s="5" t="str">
        <f aca="false">IFERROR(
   _xlfn.XLOOKUP(VALUE(A1847),[1]Fichajes_Realizados!A$2:A$50000,[1]Fichajes_Realizados!D$2:D$50000,,0,-1),
   _xlfn.XLOOKUP(VALUE(A1847),[1]Base_Jugadores!A$2:A$50000,[1]Base_Jugadores!C$2:C$50000)
)</f>
        <v>Holstein Kiel</v>
      </c>
      <c r="D1847" s="5" t="str">
        <f aca="false">[1]Base_Jugadores!D1847</f>
        <v>Alemania</v>
      </c>
      <c r="E1847" s="3"/>
      <c r="F1847" s="5" t="str">
        <f aca="false">[1]Base_Jugadores!E1847</f>
        <v>PO</v>
      </c>
      <c r="G1847" s="5" t="n">
        <f aca="false">[1]Base_Jugadores!F1847</f>
        <v>60</v>
      </c>
      <c r="H1847" s="5" t="n">
        <f aca="false">[1]Base_Jugadores!G1847</f>
        <v>22</v>
      </c>
      <c r="I1847" s="7" t="n">
        <f aca="false" t="array" ref="I1847:I1847">_xlfn.XLOOKUP(G1847,{55;56;57;58;59;60;61;62;63;64;65;66;67;68;69;70;71;72;73;74;75;76;77;78;79;80;81;82;83;84;85;86;87;88;89;90;91;92;93;94;95;96;97;98;99},{100000;130000;160000;190000;220000;250000;300000;350000;400000;450000;500000;600000;700000;800000;900000;1000000;1500000;2000000;3000000;4000000;5000000;6500000;8000000;10000000;12500000;15000000;20000000;25000000;30000000;35000000;40000000;55000000;70000000;80000000;90000000;110000000;130000000;160000000;190000000;220000000;250000000;280000000;310000000;340000000;400000000})</f>
        <v>250000</v>
      </c>
      <c r="J1847" s="7" t="n">
        <f aca="false">I1847*S1847*T1847*U1847</f>
        <v>221400</v>
      </c>
      <c r="K1847" s="3"/>
      <c r="L1847" s="3"/>
      <c r="M1847" s="3"/>
      <c r="N1847" s="9" t="n">
        <v>0</v>
      </c>
      <c r="O1847" s="4" t="n">
        <v>0</v>
      </c>
      <c r="P1847" s="5" t="n">
        <f aca="false">IF(COUNTIF([1]Base_Jugadores!J$2:J$500,B1847)&gt;0,1,0)</f>
        <v>0</v>
      </c>
      <c r="Q1847" s="10" t="b">
        <f aca="false">--(COUNTIFS(
   [1]Fichajes_Realizados!A$2:A$5000,A1847,
   [1]Fichajes_Realizados!G$2:G$5000,$X$3
)&gt;0)</f>
        <v>0</v>
      </c>
      <c r="R1847" s="5" t="n">
        <f aca="false">_xlfn.XLOOKUP(C1847, [1]Estado_Equipos!A$2:A$500, [1]Estado_Equipos!J$2:J$500, "")</f>
        <v>69</v>
      </c>
      <c r="S1847" s="5" t="n">
        <f aca="false">IF(H1847&lt;=16,1.45,
IF(H1847&gt;=41,0.3,
CHOOSE(ROUNDDOWN((H1847-16)/2,0)+1,
1.45,1.38,1.3,1.23,1.17,1.15,1.12,1.05,0.95,0.8,0.6,0.4,0.3)))</f>
        <v>1.23</v>
      </c>
      <c r="T1847" s="5" t="n">
        <f aca="false">CHOOSE(N1847+1,1.2,1,0.85,0.7)</f>
        <v>1.2</v>
      </c>
      <c r="U1847" s="5" t="n">
        <f aca="false">IF(F1847="PO",0.6,
IF(F1847="CT",0.75,
IF(F1847="LI",0.8,
IF(F1847="LD",0.8,
IF(F1847="MCD",0.85,
IF(F1847="MC",0.95,
IF(F1847="MO",1.05,
IF(F1847="EI",1.1,
IF(F1847="ED",1.1,
IF(F1847="SD",1.15,
IF(F1847="DC",1.2,0)))))))))))</f>
        <v>0.6</v>
      </c>
    </row>
    <row r="1848" customFormat="false" ht="16.4" hidden="false" customHeight="false" outlineLevel="0" collapsed="false">
      <c r="A1848" s="1" t="n">
        <v>1847</v>
      </c>
      <c r="B1848" s="5" t="str">
        <f aca="false">[1]Base_Jugadores!B1848</f>
        <v>Timon Weiner</v>
      </c>
      <c r="C1848" s="5" t="str">
        <f aca="false">IFERROR(
   _xlfn.XLOOKUP(VALUE(A1848),[1]Fichajes_Realizados!A$2:A$50000,[1]Fichajes_Realizados!D$2:D$50000,,0,-1),
   _xlfn.XLOOKUP(VALUE(A1848),[1]Base_Jugadores!A$2:A$50000,[1]Base_Jugadores!C$2:C$50000)
)</f>
        <v>Holstein Kiel</v>
      </c>
      <c r="D1848" s="5" t="str">
        <f aca="false">[1]Base_Jugadores!D1848</f>
        <v>Alemania</v>
      </c>
      <c r="E1848" s="3"/>
      <c r="F1848" s="5" t="str">
        <f aca="false">[1]Base_Jugadores!E1848</f>
        <v>PO</v>
      </c>
      <c r="G1848" s="5" t="n">
        <f aca="false">[1]Base_Jugadores!F1848</f>
        <v>72</v>
      </c>
      <c r="H1848" s="5" t="n">
        <f aca="false">[1]Base_Jugadores!G1848</f>
        <v>26</v>
      </c>
      <c r="I1848" s="7" t="n">
        <f aca="false" t="array" ref="I1848:I1848">_xlfn.XLOOKUP(G1848,{55;56;57;58;59;60;61;62;63;64;65;66;67;68;69;70;71;72;73;74;75;76;77;78;79;80;81;82;83;84;85;86;87;88;89;90;91;92;93;94;95;96;97;98;99},{100000;130000;160000;190000;220000;250000;300000;350000;400000;450000;500000;600000;700000;800000;900000;1000000;1500000;2000000;3000000;4000000;5000000;6500000;8000000;10000000;12500000;15000000;20000000;25000000;30000000;35000000;40000000;55000000;70000000;80000000;90000000;110000000;130000000;160000000;190000000;220000000;250000000;280000000;310000000;340000000;400000000})</f>
        <v>2000000</v>
      </c>
      <c r="J1848" s="7" t="n">
        <f aca="false">I1848*S1848*T1848*U1848</f>
        <v>1656000</v>
      </c>
      <c r="K1848" s="3"/>
      <c r="L1848" s="3"/>
      <c r="M1848" s="3"/>
      <c r="N1848" s="9" t="n">
        <v>0</v>
      </c>
      <c r="O1848" s="4" t="n">
        <v>0</v>
      </c>
      <c r="P1848" s="5" t="n">
        <f aca="false">IF(COUNTIF([1]Base_Jugadores!J$2:J$500,B1848)&gt;0,1,0)</f>
        <v>0</v>
      </c>
      <c r="Q1848" s="10" t="b">
        <f aca="false">--(COUNTIFS(
   [1]Fichajes_Realizados!A$2:A$5000,A1848,
   [1]Fichajes_Realizados!G$2:G$5000,$X$3
)&gt;0)</f>
        <v>0</v>
      </c>
      <c r="R1848" s="5" t="n">
        <f aca="false">_xlfn.XLOOKUP(C1848, [1]Estado_Equipos!A$2:A$500, [1]Estado_Equipos!J$2:J$500, "")</f>
        <v>69</v>
      </c>
      <c r="S1848" s="5" t="n">
        <f aca="false">IF(H1848&lt;=16,1.45,
IF(H1848&gt;=41,0.3,
CHOOSE(ROUNDDOWN((H1848-16)/2,0)+1,
1.45,1.38,1.3,1.23,1.17,1.15,1.12,1.05,0.95,0.8,0.6,0.4,0.3)))</f>
        <v>1.15</v>
      </c>
      <c r="T1848" s="5" t="n">
        <f aca="false">CHOOSE(N1848+1,1.2,1,0.85,0.7)</f>
        <v>1.2</v>
      </c>
      <c r="U1848" s="5" t="n">
        <f aca="false">IF(F1848="PO",0.6,
IF(F1848="CT",0.75,
IF(F1848="LI",0.8,
IF(F1848="LD",0.8,
IF(F1848="MCD",0.85,
IF(F1848="MC",0.95,
IF(F1848="MO",1.05,
IF(F1848="EI",1.1,
IF(F1848="ED",1.1,
IF(F1848="SD",1.15,
IF(F1848="DC",1.2,0)))))))))))</f>
        <v>0.6</v>
      </c>
    </row>
    <row r="1849" customFormat="false" ht="16.4" hidden="false" customHeight="false" outlineLevel="0" collapsed="false">
      <c r="A1849" s="1" t="n">
        <v>1848</v>
      </c>
      <c r="B1849" s="5" t="str">
        <f aca="false">[1]Base_Jugadores!B1849</f>
        <v>Marcel Engelhardt</v>
      </c>
      <c r="C1849" s="5" t="str">
        <f aca="false">IFERROR(
   _xlfn.XLOOKUP(VALUE(A1849),[1]Fichajes_Realizados!A$2:A$50000,[1]Fichajes_Realizados!D$2:D$50000,,0,-1),
   _xlfn.XLOOKUP(VALUE(A1849),[1]Base_Jugadores!A$2:A$50000,[1]Base_Jugadores!C$2:C$50000)
)</f>
        <v>Holstein Kiel</v>
      </c>
      <c r="D1849" s="5" t="str">
        <f aca="false">[1]Base_Jugadores!D1849</f>
        <v>Alemania</v>
      </c>
      <c r="E1849" s="3"/>
      <c r="F1849" s="5" t="str">
        <f aca="false">[1]Base_Jugadores!E1849</f>
        <v>PO</v>
      </c>
      <c r="G1849" s="5" t="n">
        <f aca="false">[1]Base_Jugadores!F1849</f>
        <v>65</v>
      </c>
      <c r="H1849" s="5" t="n">
        <f aca="false">[1]Base_Jugadores!G1849</f>
        <v>32</v>
      </c>
      <c r="I1849" s="7" t="n">
        <f aca="false" t="array" ref="I1849:I1849">_xlfn.XLOOKUP(G1849,{55;56;57;58;59;60;61;62;63;64;65;66;67;68;69;70;71;72;73;74;75;76;77;78;79;80;81;82;83;84;85;86;87;88;89;90;91;92;93;94;95;96;97;98;99},{100000;130000;160000;190000;220000;250000;300000;350000;400000;450000;500000;600000;700000;800000;900000;1000000;1500000;2000000;3000000;4000000;5000000;6500000;8000000;10000000;12500000;15000000;20000000;25000000;30000000;35000000;40000000;55000000;70000000;80000000;90000000;110000000;130000000;160000000;190000000;220000000;250000000;280000000;310000000;340000000;400000000})</f>
        <v>500000</v>
      </c>
      <c r="J1849" s="7" t="n">
        <f aca="false">I1849*S1849*T1849*U1849</f>
        <v>342000</v>
      </c>
      <c r="K1849" s="3"/>
      <c r="L1849" s="3"/>
      <c r="M1849" s="3"/>
      <c r="N1849" s="9" t="n">
        <v>0</v>
      </c>
      <c r="O1849" s="4" t="n">
        <v>0</v>
      </c>
      <c r="P1849" s="5" t="n">
        <f aca="false">IF(COUNTIF([1]Base_Jugadores!J$2:J$500,B1849)&gt;0,1,0)</f>
        <v>0</v>
      </c>
      <c r="Q1849" s="10" t="b">
        <f aca="false">--(COUNTIFS(
   [1]Fichajes_Realizados!A$2:A$5000,A1849,
   [1]Fichajes_Realizados!G$2:G$5000,$X$3
)&gt;0)</f>
        <v>0</v>
      </c>
      <c r="R1849" s="5" t="n">
        <f aca="false">_xlfn.XLOOKUP(C1849, [1]Estado_Equipos!A$2:A$500, [1]Estado_Equipos!J$2:J$500, "")</f>
        <v>69</v>
      </c>
      <c r="S1849" s="5" t="n">
        <f aca="false">IF(H1849&lt;=16,1.45,
IF(H1849&gt;=41,0.3,
CHOOSE(ROUNDDOWN((H1849-16)/2,0)+1,
1.45,1.38,1.3,1.23,1.17,1.15,1.12,1.05,0.95,0.8,0.6,0.4,0.3)))</f>
        <v>0.95</v>
      </c>
      <c r="T1849" s="5" t="n">
        <f aca="false">CHOOSE(N1849+1,1.2,1,0.85,0.7)</f>
        <v>1.2</v>
      </c>
      <c r="U1849" s="5" t="n">
        <f aca="false">IF(F1849="PO",0.6,
IF(F1849="CT",0.75,
IF(F1849="LI",0.8,
IF(F1849="LD",0.8,
IF(F1849="MCD",0.85,
IF(F1849="MC",0.95,
IF(F1849="MO",1.05,
IF(F1849="EI",1.1,
IF(F1849="ED",1.1,
IF(F1849="SD",1.15,
IF(F1849="DC",1.2,0)))))))))))</f>
        <v>0.6</v>
      </c>
    </row>
    <row r="1850" customFormat="false" ht="16.4" hidden="false" customHeight="false" outlineLevel="0" collapsed="false">
      <c r="A1850" s="1" t="n">
        <v>1849</v>
      </c>
      <c r="B1850" s="5" t="str">
        <f aca="false">[1]Base_Jugadores!B1850</f>
        <v>David Zec</v>
      </c>
      <c r="C1850" s="5" t="str">
        <f aca="false">IFERROR(
   _xlfn.XLOOKUP(VALUE(A1850),[1]Fichajes_Realizados!A$2:A$50000,[1]Fichajes_Realizados!D$2:D$50000,,0,-1),
   _xlfn.XLOOKUP(VALUE(A1850),[1]Base_Jugadores!A$2:A$50000,[1]Base_Jugadores!C$2:C$50000)
)</f>
        <v>Holstein Kiel</v>
      </c>
      <c r="D1850" s="5" t="str">
        <f aca="false">[1]Base_Jugadores!D1850</f>
        <v>Eslovenia</v>
      </c>
      <c r="E1850" s="3"/>
      <c r="F1850" s="5" t="str">
        <f aca="false">[1]Base_Jugadores!E1850</f>
        <v>CT</v>
      </c>
      <c r="G1850" s="5" t="n">
        <f aca="false">[1]Base_Jugadores!F1850</f>
        <v>70</v>
      </c>
      <c r="H1850" s="5" t="n">
        <f aca="false">[1]Base_Jugadores!G1850</f>
        <v>25</v>
      </c>
      <c r="I1850" s="7" t="n">
        <f aca="false" t="array" ref="I1850:I1850">_xlfn.XLOOKUP(G1850,{55;56;57;58;59;60;61;62;63;64;65;66;67;68;69;70;71;72;73;74;75;76;77;78;79;80;81;82;83;84;85;86;87;88;89;90;91;92;93;94;95;96;97;98;99},{100000;130000;160000;190000;220000;250000;300000;350000;400000;450000;500000;600000;700000;800000;900000;1000000;1500000;2000000;3000000;4000000;5000000;6500000;8000000;10000000;12500000;15000000;20000000;25000000;30000000;35000000;40000000;55000000;70000000;80000000;90000000;110000000;130000000;160000000;190000000;220000000;250000000;280000000;310000000;340000000;400000000})</f>
        <v>1000000</v>
      </c>
      <c r="J1850" s="7" t="n">
        <f aca="false">I1850*S1850*T1850*U1850</f>
        <v>1053000</v>
      </c>
      <c r="K1850" s="3"/>
      <c r="L1850" s="3"/>
      <c r="M1850" s="3"/>
      <c r="N1850" s="9" t="n">
        <v>0</v>
      </c>
      <c r="O1850" s="4" t="n">
        <v>0</v>
      </c>
      <c r="P1850" s="5" t="n">
        <f aca="false">IF(COUNTIF([1]Base_Jugadores!J$2:J$500,B1850)&gt;0,1,0)</f>
        <v>0</v>
      </c>
      <c r="Q1850" s="10" t="b">
        <f aca="false">--(COUNTIFS(
   [1]Fichajes_Realizados!A$2:A$5000,A1850,
   [1]Fichajes_Realizados!G$2:G$5000,$X$3
)&gt;0)</f>
        <v>0</v>
      </c>
      <c r="R1850" s="5" t="n">
        <f aca="false">_xlfn.XLOOKUP(C1850, [1]Estado_Equipos!A$2:A$500, [1]Estado_Equipos!J$2:J$500, "")</f>
        <v>69</v>
      </c>
      <c r="S1850" s="5" t="n">
        <f aca="false">IF(H1850&lt;=16,1.45,
IF(H1850&gt;=41,0.3,
CHOOSE(ROUNDDOWN((H1850-16)/2,0)+1,
1.45,1.38,1.3,1.23,1.17,1.15,1.12,1.05,0.95,0.8,0.6,0.4,0.3)))</f>
        <v>1.17</v>
      </c>
      <c r="T1850" s="5" t="n">
        <f aca="false">CHOOSE(N1850+1,1.2,1,0.85,0.7)</f>
        <v>1.2</v>
      </c>
      <c r="U1850" s="5" t="n">
        <f aca="false">IF(F1850="PO",0.6,
IF(F1850="CT",0.75,
IF(F1850="LI",0.8,
IF(F1850="LD",0.8,
IF(F1850="MCD",0.85,
IF(F1850="MC",0.95,
IF(F1850="MO",1.05,
IF(F1850="EI",1.1,
IF(F1850="ED",1.1,
IF(F1850="SD",1.15,
IF(F1850="DC",1.2,0)))))))))))</f>
        <v>0.75</v>
      </c>
    </row>
    <row r="1851" customFormat="false" ht="16.4" hidden="false" customHeight="false" outlineLevel="0" collapsed="false">
      <c r="A1851" s="1" t="n">
        <v>1850</v>
      </c>
      <c r="B1851" s="5" t="str">
        <f aca="false">[1]Base_Jugadores!B1851</f>
        <v>Marko Ivezic</v>
      </c>
      <c r="C1851" s="5" t="str">
        <f aca="false">IFERROR(
   _xlfn.XLOOKUP(VALUE(A1851),[1]Fichajes_Realizados!A$2:A$50000,[1]Fichajes_Realizados!D$2:D$50000,,0,-1),
   _xlfn.XLOOKUP(VALUE(A1851),[1]Base_Jugadores!A$2:A$50000,[1]Base_Jugadores!C$2:C$50000)
)</f>
        <v>Holstein Kiel</v>
      </c>
      <c r="D1851" s="5" t="str">
        <f aca="false">[1]Base_Jugadores!D1851</f>
        <v>Serbia</v>
      </c>
      <c r="E1851" s="3"/>
      <c r="F1851" s="5" t="str">
        <f aca="false">[1]Base_Jugadores!E1851</f>
        <v>CT</v>
      </c>
      <c r="G1851" s="5" t="n">
        <f aca="false">[1]Base_Jugadores!F1851</f>
        <v>71</v>
      </c>
      <c r="H1851" s="5" t="n">
        <f aca="false">[1]Base_Jugadores!G1851</f>
        <v>24</v>
      </c>
      <c r="I1851" s="7" t="n">
        <f aca="false" t="array" ref="I1851:I1851">_xlfn.XLOOKUP(G1851,{55;56;57;58;59;60;61;62;63;64;65;66;67;68;69;70;71;72;73;74;75;76;77;78;79;80;81;82;83;84;85;86;87;88;89;90;91;92;93;94;95;96;97;98;99},{100000;130000;160000;190000;220000;250000;300000;350000;400000;450000;500000;600000;700000;800000;900000;1000000;1500000;2000000;3000000;4000000;5000000;6500000;8000000;10000000;12500000;15000000;20000000;25000000;30000000;35000000;40000000;55000000;70000000;80000000;90000000;110000000;130000000;160000000;190000000;220000000;250000000;280000000;310000000;340000000;400000000})</f>
        <v>1500000</v>
      </c>
      <c r="J1851" s="7" t="n">
        <f aca="false">I1851*S1851*T1851*U1851</f>
        <v>1579500</v>
      </c>
      <c r="K1851" s="3"/>
      <c r="L1851" s="3"/>
      <c r="M1851" s="3"/>
      <c r="N1851" s="9" t="n">
        <v>0</v>
      </c>
      <c r="O1851" s="4" t="n">
        <v>0</v>
      </c>
      <c r="P1851" s="5" t="n">
        <f aca="false">IF(COUNTIF([1]Base_Jugadores!J$2:J$500,B1851)&gt;0,1,0)</f>
        <v>0</v>
      </c>
      <c r="Q1851" s="10" t="b">
        <f aca="false">--(COUNTIFS(
   [1]Fichajes_Realizados!A$2:A$5000,A1851,
   [1]Fichajes_Realizados!G$2:G$5000,$X$3
)&gt;0)</f>
        <v>0</v>
      </c>
      <c r="R1851" s="5" t="n">
        <f aca="false">_xlfn.XLOOKUP(C1851, [1]Estado_Equipos!A$2:A$500, [1]Estado_Equipos!J$2:J$500, "")</f>
        <v>69</v>
      </c>
      <c r="S1851" s="5" t="n">
        <f aca="false">IF(H1851&lt;=16,1.45,
IF(H1851&gt;=41,0.3,
CHOOSE(ROUNDDOWN((H1851-16)/2,0)+1,
1.45,1.38,1.3,1.23,1.17,1.15,1.12,1.05,0.95,0.8,0.6,0.4,0.3)))</f>
        <v>1.17</v>
      </c>
      <c r="T1851" s="5" t="n">
        <f aca="false">CHOOSE(N1851+1,1.2,1,0.85,0.7)</f>
        <v>1.2</v>
      </c>
      <c r="U1851" s="5" t="n">
        <f aca="false">IF(F1851="PO",0.6,
IF(F1851="CT",0.75,
IF(F1851="LI",0.8,
IF(F1851="LD",0.8,
IF(F1851="MCD",0.85,
IF(F1851="MC",0.95,
IF(F1851="MO",1.05,
IF(F1851="EI",1.1,
IF(F1851="ED",1.1,
IF(F1851="SD",1.15,
IF(F1851="DC",1.2,0)))))))))))</f>
        <v>0.75</v>
      </c>
    </row>
    <row r="1852" customFormat="false" ht="16.4" hidden="false" customHeight="false" outlineLevel="0" collapsed="false">
      <c r="A1852" s="1" t="n">
        <v>1851</v>
      </c>
      <c r="B1852" s="5" t="str">
        <f aca="false">[1]Base_Jugadores!B1852</f>
        <v>Marco Komenda</v>
      </c>
      <c r="C1852" s="5" t="str">
        <f aca="false">IFERROR(
   _xlfn.XLOOKUP(VALUE(A1852),[1]Fichajes_Realizados!A$2:A$50000,[1]Fichajes_Realizados!D$2:D$50000,,0,-1),
   _xlfn.XLOOKUP(VALUE(A1852),[1]Base_Jugadores!A$2:A$50000,[1]Base_Jugadores!C$2:C$50000)
)</f>
        <v>Holstein Kiel</v>
      </c>
      <c r="D1852" s="5" t="str">
        <f aca="false">[1]Base_Jugadores!D1852</f>
        <v>Alemania</v>
      </c>
      <c r="E1852" s="3"/>
      <c r="F1852" s="5" t="str">
        <f aca="false">[1]Base_Jugadores!E1852</f>
        <v>CT</v>
      </c>
      <c r="G1852" s="5" t="n">
        <f aca="false">[1]Base_Jugadores!F1852</f>
        <v>71</v>
      </c>
      <c r="H1852" s="5" t="n">
        <f aca="false">[1]Base_Jugadores!G1852</f>
        <v>29</v>
      </c>
      <c r="I1852" s="7" t="n">
        <f aca="false" t="array" ref="I1852:I1852">_xlfn.XLOOKUP(G1852,{55;56;57;58;59;60;61;62;63;64;65;66;67;68;69;70;71;72;73;74;75;76;77;78;79;80;81;82;83;84;85;86;87;88;89;90;91;92;93;94;95;96;97;98;99},{100000;130000;160000;190000;220000;250000;300000;350000;400000;450000;500000;600000;700000;800000;900000;1000000;1500000;2000000;3000000;4000000;5000000;6500000;8000000;10000000;12500000;15000000;20000000;25000000;30000000;35000000;40000000;55000000;70000000;80000000;90000000;110000000;130000000;160000000;190000000;220000000;250000000;280000000;310000000;340000000;400000000})</f>
        <v>1500000</v>
      </c>
      <c r="J1852" s="7" t="n">
        <f aca="false">I1852*S1852*T1852*U1852</f>
        <v>1512000</v>
      </c>
      <c r="K1852" s="3"/>
      <c r="L1852" s="3"/>
      <c r="M1852" s="3"/>
      <c r="N1852" s="9" t="n">
        <v>0</v>
      </c>
      <c r="O1852" s="4" t="n">
        <v>0</v>
      </c>
      <c r="P1852" s="5" t="n">
        <f aca="false">IF(COUNTIF([1]Base_Jugadores!J$2:J$500,B1852)&gt;0,1,0)</f>
        <v>0</v>
      </c>
      <c r="Q1852" s="10" t="b">
        <f aca="false">--(COUNTIFS(
   [1]Fichajes_Realizados!A$2:A$5000,A1852,
   [1]Fichajes_Realizados!G$2:G$5000,$X$3
)&gt;0)</f>
        <v>0</v>
      </c>
      <c r="R1852" s="5" t="n">
        <f aca="false">_xlfn.XLOOKUP(C1852, [1]Estado_Equipos!A$2:A$500, [1]Estado_Equipos!J$2:J$500, "")</f>
        <v>69</v>
      </c>
      <c r="S1852" s="5" t="n">
        <f aca="false">IF(H1852&lt;=16,1.45,
IF(H1852&gt;=41,0.3,
CHOOSE(ROUNDDOWN((H1852-16)/2,0)+1,
1.45,1.38,1.3,1.23,1.17,1.15,1.12,1.05,0.95,0.8,0.6,0.4,0.3)))</f>
        <v>1.12</v>
      </c>
      <c r="T1852" s="5" t="n">
        <f aca="false">CHOOSE(N1852+1,1.2,1,0.85,0.7)</f>
        <v>1.2</v>
      </c>
      <c r="U1852" s="5" t="n">
        <f aca="false">IF(F1852="PO",0.6,
IF(F1852="CT",0.75,
IF(F1852="LI",0.8,
IF(F1852="LD",0.8,
IF(F1852="MCD",0.85,
IF(F1852="MC",0.95,
IF(F1852="MO",1.05,
IF(F1852="EI",1.1,
IF(F1852="ED",1.1,
IF(F1852="SD",1.15,
IF(F1852="DC",1.2,0)))))))))))</f>
        <v>0.75</v>
      </c>
    </row>
    <row r="1853" customFormat="false" ht="16.4" hidden="false" customHeight="false" outlineLevel="0" collapsed="false">
      <c r="A1853" s="1" t="n">
        <v>1852</v>
      </c>
      <c r="B1853" s="5" t="str">
        <f aca="false">[1]Base_Jugadores!B1853</f>
        <v>Ivan Nekic</v>
      </c>
      <c r="C1853" s="5" t="str">
        <f aca="false">IFERROR(
   _xlfn.XLOOKUP(VALUE(A1853),[1]Fichajes_Realizados!A$2:A$50000,[1]Fichajes_Realizados!D$2:D$50000,,0,-1),
   _xlfn.XLOOKUP(VALUE(A1853),[1]Base_Jugadores!A$2:A$50000,[1]Base_Jugadores!C$2:C$50000)
)</f>
        <v>Holstein Kiel</v>
      </c>
      <c r="D1853" s="5" t="str">
        <f aca="false">[1]Base_Jugadores!D1853</f>
        <v>Croacia</v>
      </c>
      <c r="E1853" s="3"/>
      <c r="F1853" s="5" t="str">
        <f aca="false">[1]Base_Jugadores!E1853</f>
        <v>CT</v>
      </c>
      <c r="G1853" s="5" t="n">
        <f aca="false">[1]Base_Jugadores!F1853</f>
        <v>66</v>
      </c>
      <c r="H1853" s="5" t="n">
        <f aca="false">[1]Base_Jugadores!G1853</f>
        <v>25</v>
      </c>
      <c r="I1853" s="7" t="n">
        <f aca="false" t="array" ref="I1853:I1853">_xlfn.XLOOKUP(G1853,{55;56;57;58;59;60;61;62;63;64;65;66;67;68;69;70;71;72;73;74;75;76;77;78;79;80;81;82;83;84;85;86;87;88;89;90;91;92;93;94;95;96;97;98;99},{100000;130000;160000;190000;220000;250000;300000;350000;400000;450000;500000;600000;700000;800000;900000;1000000;1500000;2000000;3000000;4000000;5000000;6500000;8000000;10000000;12500000;15000000;20000000;25000000;30000000;35000000;40000000;55000000;70000000;80000000;90000000;110000000;130000000;160000000;190000000;220000000;250000000;280000000;310000000;340000000;400000000})</f>
        <v>600000</v>
      </c>
      <c r="J1853" s="7" t="n">
        <f aca="false">I1853*S1853*T1853*U1853</f>
        <v>631800</v>
      </c>
      <c r="K1853" s="3"/>
      <c r="L1853" s="3"/>
      <c r="M1853" s="3"/>
      <c r="N1853" s="9" t="n">
        <v>0</v>
      </c>
      <c r="O1853" s="4" t="n">
        <v>0</v>
      </c>
      <c r="P1853" s="5" t="n">
        <f aca="false">IF(COUNTIF([1]Base_Jugadores!J$2:J$500,B1853)&gt;0,1,0)</f>
        <v>0</v>
      </c>
      <c r="Q1853" s="10" t="b">
        <f aca="false">--(COUNTIFS(
   [1]Fichajes_Realizados!A$2:A$5000,A1853,
   [1]Fichajes_Realizados!G$2:G$5000,$X$3
)&gt;0)</f>
        <v>0</v>
      </c>
      <c r="R1853" s="5" t="n">
        <f aca="false">_xlfn.XLOOKUP(C1853, [1]Estado_Equipos!A$2:A$500, [1]Estado_Equipos!J$2:J$500, "")</f>
        <v>69</v>
      </c>
      <c r="S1853" s="5" t="n">
        <f aca="false">IF(H1853&lt;=16,1.45,
IF(H1853&gt;=41,0.3,
CHOOSE(ROUNDDOWN((H1853-16)/2,0)+1,
1.45,1.38,1.3,1.23,1.17,1.15,1.12,1.05,0.95,0.8,0.6,0.4,0.3)))</f>
        <v>1.17</v>
      </c>
      <c r="T1853" s="5" t="n">
        <f aca="false">CHOOSE(N1853+1,1.2,1,0.85,0.7)</f>
        <v>1.2</v>
      </c>
      <c r="U1853" s="5" t="n">
        <f aca="false">IF(F1853="PO",0.6,
IF(F1853="CT",0.75,
IF(F1853="LI",0.8,
IF(F1853="LD",0.8,
IF(F1853="MCD",0.85,
IF(F1853="MC",0.95,
IF(F1853="MO",1.05,
IF(F1853="EI",1.1,
IF(F1853="ED",1.1,
IF(F1853="SD",1.15,
IF(F1853="DC",1.2,0)))))))))))</f>
        <v>0.75</v>
      </c>
    </row>
    <row r="1854" customFormat="false" ht="16.4" hidden="false" customHeight="false" outlineLevel="0" collapsed="false">
      <c r="A1854" s="1" t="n">
        <v>1853</v>
      </c>
      <c r="B1854" s="5" t="str">
        <f aca="false">[1]Base_Jugadores!B1854</f>
        <v>Carl Johansson</v>
      </c>
      <c r="C1854" s="5" t="str">
        <f aca="false">IFERROR(
   _xlfn.XLOOKUP(VALUE(A1854),[1]Fichajes_Realizados!A$2:A$50000,[1]Fichajes_Realizados!D$2:D$50000,,0,-1),
   _xlfn.XLOOKUP(VALUE(A1854),[1]Base_Jugadores!A$2:A$50000,[1]Base_Jugadores!C$2:C$50000)
)</f>
        <v>Holstein Kiel</v>
      </c>
      <c r="D1854" s="5" t="str">
        <f aca="false">[1]Base_Jugadores!D1854</f>
        <v>Suecia</v>
      </c>
      <c r="E1854" s="3"/>
      <c r="F1854" s="5" t="str">
        <f aca="false">[1]Base_Jugadores!E1854</f>
        <v>CT</v>
      </c>
      <c r="G1854" s="5" t="n">
        <f aca="false">[1]Base_Jugadores!F1854</f>
        <v>71</v>
      </c>
      <c r="H1854" s="5" t="n">
        <f aca="false">[1]Base_Jugadores!G1854</f>
        <v>31</v>
      </c>
      <c r="I1854" s="7" t="n">
        <f aca="false" t="array" ref="I1854:I1854">_xlfn.XLOOKUP(G1854,{55;56;57;58;59;60;61;62;63;64;65;66;67;68;69;70;71;72;73;74;75;76;77;78;79;80;81;82;83;84;85;86;87;88;89;90;91;92;93;94;95;96;97;98;99},{100000;130000;160000;190000;220000;250000;300000;350000;400000;450000;500000;600000;700000;800000;900000;1000000;1500000;2000000;3000000;4000000;5000000;6500000;8000000;10000000;12500000;15000000;20000000;25000000;30000000;35000000;40000000;55000000;70000000;80000000;90000000;110000000;130000000;160000000;190000000;220000000;250000000;280000000;310000000;340000000;400000000})</f>
        <v>1500000</v>
      </c>
      <c r="J1854" s="7" t="n">
        <f aca="false">I1854*S1854*T1854*U1854</f>
        <v>1417500</v>
      </c>
      <c r="K1854" s="3"/>
      <c r="L1854" s="3"/>
      <c r="M1854" s="3"/>
      <c r="N1854" s="9" t="n">
        <v>0</v>
      </c>
      <c r="O1854" s="4" t="n">
        <v>0</v>
      </c>
      <c r="P1854" s="5" t="n">
        <f aca="false">IF(COUNTIF([1]Base_Jugadores!J$2:J$500,B1854)&gt;0,1,0)</f>
        <v>0</v>
      </c>
      <c r="Q1854" s="10" t="b">
        <f aca="false">--(COUNTIFS(
   [1]Fichajes_Realizados!A$2:A$5000,A1854,
   [1]Fichajes_Realizados!G$2:G$5000,$X$3
)&gt;0)</f>
        <v>0</v>
      </c>
      <c r="R1854" s="5" t="n">
        <f aca="false">_xlfn.XLOOKUP(C1854, [1]Estado_Equipos!A$2:A$500, [1]Estado_Equipos!J$2:J$500, "")</f>
        <v>69</v>
      </c>
      <c r="S1854" s="5" t="n">
        <f aca="false">IF(H1854&lt;=16,1.45,
IF(H1854&gt;=41,0.3,
CHOOSE(ROUNDDOWN((H1854-16)/2,0)+1,
1.45,1.38,1.3,1.23,1.17,1.15,1.12,1.05,0.95,0.8,0.6,0.4,0.3)))</f>
        <v>1.05</v>
      </c>
      <c r="T1854" s="5" t="n">
        <f aca="false">CHOOSE(N1854+1,1.2,1,0.85,0.7)</f>
        <v>1.2</v>
      </c>
      <c r="U1854" s="5" t="n">
        <f aca="false">IF(F1854="PO",0.6,
IF(F1854="CT",0.75,
IF(F1854="LI",0.8,
IF(F1854="LD",0.8,
IF(F1854="MCD",0.85,
IF(F1854="MC",0.95,
IF(F1854="MO",1.05,
IF(F1854="EI",1.1,
IF(F1854="ED",1.1,
IF(F1854="SD",1.15,
IF(F1854="DC",1.2,0)))))))))))</f>
        <v>0.75</v>
      </c>
    </row>
    <row r="1855" customFormat="false" ht="16.4" hidden="false" customHeight="false" outlineLevel="0" collapsed="false">
      <c r="A1855" s="1" t="n">
        <v>1854</v>
      </c>
      <c r="B1855" s="5" t="str">
        <f aca="false">[1]Base_Jugadores!B1855</f>
        <v>Patrick Erras</v>
      </c>
      <c r="C1855" s="5" t="str">
        <f aca="false">IFERROR(
   _xlfn.XLOOKUP(VALUE(A1855),[1]Fichajes_Realizados!A$2:A$50000,[1]Fichajes_Realizados!D$2:D$50000,,0,-1),
   _xlfn.XLOOKUP(VALUE(A1855),[1]Base_Jugadores!A$2:A$50000,[1]Base_Jugadores!C$2:C$50000)
)</f>
        <v>Holstein Kiel</v>
      </c>
      <c r="D1855" s="5" t="str">
        <f aca="false">[1]Base_Jugadores!D1855</f>
        <v>Alemania</v>
      </c>
      <c r="E1855" s="3"/>
      <c r="F1855" s="5" t="str">
        <f aca="false">[1]Base_Jugadores!E1855</f>
        <v>CT</v>
      </c>
      <c r="G1855" s="5" t="n">
        <f aca="false">[1]Base_Jugadores!F1855</f>
        <v>76</v>
      </c>
      <c r="H1855" s="5" t="n">
        <f aca="false">[1]Base_Jugadores!G1855</f>
        <v>30</v>
      </c>
      <c r="I1855" s="7" t="n">
        <f aca="false" t="array" ref="I1855:I1855">_xlfn.XLOOKUP(G1855,{55;56;57;58;59;60;61;62;63;64;65;66;67;68;69;70;71;72;73;74;75;76;77;78;79;80;81;82;83;84;85;86;87;88;89;90;91;92;93;94;95;96;97;98;99},{100000;130000;160000;190000;220000;250000;300000;350000;400000;450000;500000;600000;700000;800000;900000;1000000;1500000;2000000;3000000;4000000;5000000;6500000;8000000;10000000;12500000;15000000;20000000;25000000;30000000;35000000;40000000;55000000;70000000;80000000;90000000;110000000;130000000;160000000;190000000;220000000;250000000;280000000;310000000;340000000;400000000})</f>
        <v>6500000</v>
      </c>
      <c r="J1855" s="7" t="n">
        <f aca="false">I1855*S1855*T1855*U1855</f>
        <v>6142500</v>
      </c>
      <c r="K1855" s="3"/>
      <c r="L1855" s="3"/>
      <c r="M1855" s="3"/>
      <c r="N1855" s="9" t="n">
        <v>0</v>
      </c>
      <c r="O1855" s="4" t="n">
        <v>0</v>
      </c>
      <c r="P1855" s="5" t="n">
        <f aca="false">IF(COUNTIF([1]Base_Jugadores!J$2:J$500,B1855)&gt;0,1,0)</f>
        <v>0</v>
      </c>
      <c r="Q1855" s="10" t="b">
        <f aca="false">--(COUNTIFS(
   [1]Fichajes_Realizados!A$2:A$5000,A1855,
   [1]Fichajes_Realizados!G$2:G$5000,$X$3
)&gt;0)</f>
        <v>0</v>
      </c>
      <c r="R1855" s="5" t="n">
        <f aca="false">_xlfn.XLOOKUP(C1855, [1]Estado_Equipos!A$2:A$500, [1]Estado_Equipos!J$2:J$500, "")</f>
        <v>69</v>
      </c>
      <c r="S1855" s="5" t="n">
        <f aca="false">IF(H1855&lt;=16,1.45,
IF(H1855&gt;=41,0.3,
CHOOSE(ROUNDDOWN((H1855-16)/2,0)+1,
1.45,1.38,1.3,1.23,1.17,1.15,1.12,1.05,0.95,0.8,0.6,0.4,0.3)))</f>
        <v>1.05</v>
      </c>
      <c r="T1855" s="5" t="n">
        <f aca="false">CHOOSE(N1855+1,1.2,1,0.85,0.7)</f>
        <v>1.2</v>
      </c>
      <c r="U1855" s="5" t="n">
        <f aca="false">IF(F1855="PO",0.6,
IF(F1855="CT",0.75,
IF(F1855="LI",0.8,
IF(F1855="LD",0.8,
IF(F1855="MCD",0.85,
IF(F1855="MC",0.95,
IF(F1855="MO",1.05,
IF(F1855="EI",1.1,
IF(F1855="ED",1.1,
IF(F1855="SD",1.15,
IF(F1855="DC",1.2,0)))))))))))</f>
        <v>0.75</v>
      </c>
    </row>
    <row r="1856" customFormat="false" ht="16.4" hidden="false" customHeight="false" outlineLevel="0" collapsed="false">
      <c r="A1856" s="1" t="n">
        <v>1855</v>
      </c>
      <c r="B1856" s="5" t="str">
        <f aca="false">[1]Base_Jugadores!B1856</f>
        <v>John Tolkin</v>
      </c>
      <c r="C1856" s="5" t="str">
        <f aca="false">IFERROR(
   _xlfn.XLOOKUP(VALUE(A1856),[1]Fichajes_Realizados!A$2:A$50000,[1]Fichajes_Realizados!D$2:D$50000,,0,-1),
   _xlfn.XLOOKUP(VALUE(A1856),[1]Base_Jugadores!A$2:A$50000,[1]Base_Jugadores!C$2:C$50000)
)</f>
        <v>Holstein Kiel</v>
      </c>
      <c r="D1856" s="5" t="str">
        <f aca="false">[1]Base_Jugadores!D1856</f>
        <v>Estados Unidos</v>
      </c>
      <c r="E1856" s="3"/>
      <c r="F1856" s="5" t="str">
        <f aca="false">[1]Base_Jugadores!E1856</f>
        <v>LI</v>
      </c>
      <c r="G1856" s="5" t="n">
        <f aca="false">[1]Base_Jugadores!F1856</f>
        <v>71</v>
      </c>
      <c r="H1856" s="5" t="n">
        <f aca="false">[1]Base_Jugadores!G1856</f>
        <v>23</v>
      </c>
      <c r="I1856" s="7" t="n">
        <f aca="false" t="array" ref="I1856:I1856">_xlfn.XLOOKUP(G1856,{55;56;57;58;59;60;61;62;63;64;65;66;67;68;69;70;71;72;73;74;75;76;77;78;79;80;81;82;83;84;85;86;87;88;89;90;91;92;93;94;95;96;97;98;99},{100000;130000;160000;190000;220000;250000;300000;350000;400000;450000;500000;600000;700000;800000;900000;1000000;1500000;2000000;3000000;4000000;5000000;6500000;8000000;10000000;12500000;15000000;20000000;25000000;30000000;35000000;40000000;55000000;70000000;80000000;90000000;110000000;130000000;160000000;190000000;220000000;250000000;280000000;310000000;340000000;400000000})</f>
        <v>1500000</v>
      </c>
      <c r="J1856" s="7" t="n">
        <f aca="false">I1856*S1856*T1856*U1856</f>
        <v>1771200</v>
      </c>
      <c r="K1856" s="3"/>
      <c r="L1856" s="3"/>
      <c r="M1856" s="3"/>
      <c r="N1856" s="9" t="n">
        <v>0</v>
      </c>
      <c r="O1856" s="4" t="n">
        <v>0</v>
      </c>
      <c r="P1856" s="5" t="n">
        <f aca="false">IF(COUNTIF([1]Base_Jugadores!J$2:J$500,B1856)&gt;0,1,0)</f>
        <v>0</v>
      </c>
      <c r="Q1856" s="10" t="b">
        <f aca="false">--(COUNTIFS(
   [1]Fichajes_Realizados!A$2:A$5000,A1856,
   [1]Fichajes_Realizados!G$2:G$5000,$X$3
)&gt;0)</f>
        <v>0</v>
      </c>
      <c r="R1856" s="5" t="n">
        <f aca="false">_xlfn.XLOOKUP(C1856, [1]Estado_Equipos!A$2:A$500, [1]Estado_Equipos!J$2:J$500, "")</f>
        <v>69</v>
      </c>
      <c r="S1856" s="5" t="n">
        <f aca="false">IF(H1856&lt;=16,1.45,
IF(H1856&gt;=41,0.3,
CHOOSE(ROUNDDOWN((H1856-16)/2,0)+1,
1.45,1.38,1.3,1.23,1.17,1.15,1.12,1.05,0.95,0.8,0.6,0.4,0.3)))</f>
        <v>1.23</v>
      </c>
      <c r="T1856" s="5" t="n">
        <f aca="false">CHOOSE(N1856+1,1.2,1,0.85,0.7)</f>
        <v>1.2</v>
      </c>
      <c r="U1856" s="5" t="n">
        <f aca="false">IF(F1856="PO",0.6,
IF(F1856="CT",0.75,
IF(F1856="LI",0.8,
IF(F1856="LD",0.8,
IF(F1856="MCD",0.85,
IF(F1856="MC",0.95,
IF(F1856="MO",1.05,
IF(F1856="EI",1.1,
IF(F1856="ED",1.1,
IF(F1856="SD",1.15,
IF(F1856="DC",1.2,0)))))))))))</f>
        <v>0.8</v>
      </c>
    </row>
    <row r="1857" customFormat="false" ht="16.4" hidden="false" customHeight="false" outlineLevel="0" collapsed="false">
      <c r="A1857" s="1" t="n">
        <v>1856</v>
      </c>
      <c r="B1857" s="5" t="str">
        <f aca="false">[1]Base_Jugadores!B1857</f>
        <v>Lasse Rosenboom</v>
      </c>
      <c r="C1857" s="5" t="str">
        <f aca="false">IFERROR(
   _xlfn.XLOOKUP(VALUE(A1857),[1]Fichajes_Realizados!A$2:A$50000,[1]Fichajes_Realizados!D$2:D$50000,,0,-1),
   _xlfn.XLOOKUP(VALUE(A1857),[1]Base_Jugadores!A$2:A$50000,[1]Base_Jugadores!C$2:C$50000)
)</f>
        <v>Holstein Kiel</v>
      </c>
      <c r="D1857" s="5" t="str">
        <f aca="false">[1]Base_Jugadores!D1857</f>
        <v>Alemania</v>
      </c>
      <c r="E1857" s="3"/>
      <c r="F1857" s="5" t="str">
        <f aca="false">[1]Base_Jugadores!E1857</f>
        <v>LD</v>
      </c>
      <c r="G1857" s="5" t="n">
        <f aca="false">[1]Base_Jugadores!F1857</f>
        <v>69</v>
      </c>
      <c r="H1857" s="5" t="n">
        <f aca="false">[1]Base_Jugadores!G1857</f>
        <v>23</v>
      </c>
      <c r="I1857" s="7" t="n">
        <f aca="false" t="array" ref="I1857:I1857">_xlfn.XLOOKUP(G1857,{55;56;57;58;59;60;61;62;63;64;65;66;67;68;69;70;71;72;73;74;75;76;77;78;79;80;81;82;83;84;85;86;87;88;89;90;91;92;93;94;95;96;97;98;99},{100000;130000;160000;190000;220000;250000;300000;350000;400000;450000;500000;600000;700000;800000;900000;1000000;1500000;2000000;3000000;4000000;5000000;6500000;8000000;10000000;12500000;15000000;20000000;25000000;30000000;35000000;40000000;55000000;70000000;80000000;90000000;110000000;130000000;160000000;190000000;220000000;250000000;280000000;310000000;340000000;400000000})</f>
        <v>900000</v>
      </c>
      <c r="J1857" s="7" t="n">
        <f aca="false">I1857*S1857*T1857*U1857</f>
        <v>1062720</v>
      </c>
      <c r="K1857" s="3"/>
      <c r="L1857" s="3"/>
      <c r="M1857" s="3"/>
      <c r="N1857" s="9" t="n">
        <v>0</v>
      </c>
      <c r="O1857" s="4" t="n">
        <v>0</v>
      </c>
      <c r="P1857" s="5" t="n">
        <f aca="false">IF(COUNTIF([1]Base_Jugadores!J$2:J$500,B1857)&gt;0,1,0)</f>
        <v>0</v>
      </c>
      <c r="Q1857" s="10" t="b">
        <f aca="false">--(COUNTIFS(
   [1]Fichajes_Realizados!A$2:A$5000,A1857,
   [1]Fichajes_Realizados!G$2:G$5000,$X$3
)&gt;0)</f>
        <v>0</v>
      </c>
      <c r="R1857" s="5" t="n">
        <f aca="false">_xlfn.XLOOKUP(C1857, [1]Estado_Equipos!A$2:A$500, [1]Estado_Equipos!J$2:J$500, "")</f>
        <v>69</v>
      </c>
      <c r="S1857" s="5" t="n">
        <f aca="false">IF(H1857&lt;=16,1.45,
IF(H1857&gt;=41,0.3,
CHOOSE(ROUNDDOWN((H1857-16)/2,0)+1,
1.45,1.38,1.3,1.23,1.17,1.15,1.12,1.05,0.95,0.8,0.6,0.4,0.3)))</f>
        <v>1.23</v>
      </c>
      <c r="T1857" s="5" t="n">
        <f aca="false">CHOOSE(N1857+1,1.2,1,0.85,0.7)</f>
        <v>1.2</v>
      </c>
      <c r="U1857" s="5" t="n">
        <f aca="false">IF(F1857="PO",0.6,
IF(F1857="CT",0.75,
IF(F1857="LI",0.8,
IF(F1857="LD",0.8,
IF(F1857="MCD",0.85,
IF(F1857="MC",0.95,
IF(F1857="MO",1.05,
IF(F1857="EI",1.1,
IF(F1857="ED",1.1,
IF(F1857="SD",1.15,
IF(F1857="DC",1.2,0)))))))))))</f>
        <v>0.8</v>
      </c>
    </row>
    <row r="1858" customFormat="false" ht="16.4" hidden="false" customHeight="false" outlineLevel="0" collapsed="false">
      <c r="A1858" s="1" t="n">
        <v>1857</v>
      </c>
      <c r="B1858" s="5" t="str">
        <f aca="false">[1]Base_Jugadores!B1858</f>
        <v>Kasper Davidsen</v>
      </c>
      <c r="C1858" s="5" t="str">
        <f aca="false">IFERROR(
   _xlfn.XLOOKUP(VALUE(A1858),[1]Fichajes_Realizados!A$2:A$50000,[1]Fichajes_Realizados!D$2:D$50000,,0,-1),
   _xlfn.XLOOKUP(VALUE(A1858),[1]Base_Jugadores!A$2:A$50000,[1]Base_Jugadores!C$2:C$50000)
)</f>
        <v>Holstein Kiel</v>
      </c>
      <c r="D1858" s="5" t="str">
        <f aca="false">[1]Base_Jugadores!D1858</f>
        <v>Dinamarca</v>
      </c>
      <c r="E1858" s="3"/>
      <c r="F1858" s="5" t="str">
        <f aca="false">[1]Base_Jugadores!E1858</f>
        <v>MCD</v>
      </c>
      <c r="G1858" s="5" t="n">
        <f aca="false">[1]Base_Jugadores!F1858</f>
        <v>59</v>
      </c>
      <c r="H1858" s="5" t="n">
        <f aca="false">[1]Base_Jugadores!G1858</f>
        <v>20</v>
      </c>
      <c r="I1858" s="7" t="n">
        <f aca="false" t="array" ref="I1858:I1858">_xlfn.XLOOKUP(G1858,{55;56;57;58;59;60;61;62;63;64;65;66;67;68;69;70;71;72;73;74;75;76;77;78;79;80;81;82;83;84;85;86;87;88;89;90;91;92;93;94;95;96;97;98;99},{100000;130000;160000;190000;220000;250000;300000;350000;400000;450000;500000;600000;700000;800000;900000;1000000;1500000;2000000;3000000;4000000;5000000;6500000;8000000;10000000;12500000;15000000;20000000;25000000;30000000;35000000;40000000;55000000;70000000;80000000;90000000;110000000;130000000;160000000;190000000;220000000;250000000;280000000;310000000;340000000;400000000})</f>
        <v>220000</v>
      </c>
      <c r="J1858" s="7" t="n">
        <f aca="false">I1858*S1858*T1858*U1858</f>
        <v>291720</v>
      </c>
      <c r="K1858" s="3"/>
      <c r="L1858" s="3"/>
      <c r="M1858" s="3"/>
      <c r="N1858" s="9" t="n">
        <v>0</v>
      </c>
      <c r="O1858" s="4" t="n">
        <v>0</v>
      </c>
      <c r="P1858" s="5" t="n">
        <f aca="false">IF(COUNTIF([1]Base_Jugadores!J$2:J$500,B1858)&gt;0,1,0)</f>
        <v>0</v>
      </c>
      <c r="Q1858" s="10" t="b">
        <f aca="false">--(COUNTIFS(
   [1]Fichajes_Realizados!A$2:A$5000,A1858,
   [1]Fichajes_Realizados!G$2:G$5000,$X$3
)&gt;0)</f>
        <v>0</v>
      </c>
      <c r="R1858" s="5" t="n">
        <f aca="false">_xlfn.XLOOKUP(C1858, [1]Estado_Equipos!A$2:A$500, [1]Estado_Equipos!J$2:J$500, "")</f>
        <v>69</v>
      </c>
      <c r="S1858" s="5" t="n">
        <f aca="false">IF(H1858&lt;=16,1.45,
IF(H1858&gt;=41,0.3,
CHOOSE(ROUNDDOWN((H1858-16)/2,0)+1,
1.45,1.38,1.3,1.23,1.17,1.15,1.12,1.05,0.95,0.8,0.6,0.4,0.3)))</f>
        <v>1.3</v>
      </c>
      <c r="T1858" s="5" t="n">
        <f aca="false">CHOOSE(N1858+1,1.2,1,0.85,0.7)</f>
        <v>1.2</v>
      </c>
      <c r="U1858" s="5" t="n">
        <f aca="false">IF(F1858="PO",0.6,
IF(F1858="CT",0.75,
IF(F1858="LI",0.8,
IF(F1858="LD",0.8,
IF(F1858="MCD",0.85,
IF(F1858="MC",0.95,
IF(F1858="MO",1.05,
IF(F1858="EI",1.1,
IF(F1858="ED",1.1,
IF(F1858="SD",1.15,
IF(F1858="DC",1.2,0)))))))))))</f>
        <v>0.85</v>
      </c>
    </row>
    <row r="1859" customFormat="false" ht="16.4" hidden="false" customHeight="false" outlineLevel="0" collapsed="false">
      <c r="A1859" s="1" t="n">
        <v>1858</v>
      </c>
      <c r="B1859" s="5" t="str">
        <f aca="false">[1]Base_Jugadores!B1859</f>
        <v>Stefan Schwab</v>
      </c>
      <c r="C1859" s="5" t="str">
        <f aca="false">IFERROR(
   _xlfn.XLOOKUP(VALUE(A1859),[1]Fichajes_Realizados!A$2:A$50000,[1]Fichajes_Realizados!D$2:D$50000,,0,-1),
   _xlfn.XLOOKUP(VALUE(A1859),[1]Base_Jugadores!A$2:A$50000,[1]Base_Jugadores!C$2:C$50000)
)</f>
        <v>Holstein Kiel</v>
      </c>
      <c r="D1859" s="5" t="str">
        <f aca="false">[1]Base_Jugadores!D1859</f>
        <v>Austria</v>
      </c>
      <c r="E1859" s="3"/>
      <c r="F1859" s="5" t="str">
        <f aca="false">[1]Base_Jugadores!E1859</f>
        <v>MC</v>
      </c>
      <c r="G1859" s="5" t="n">
        <f aca="false">[1]Base_Jugadores!F1859</f>
        <v>73</v>
      </c>
      <c r="H1859" s="5" t="n">
        <f aca="false">[1]Base_Jugadores!G1859</f>
        <v>35</v>
      </c>
      <c r="I1859" s="7" t="n">
        <f aca="false" t="array" ref="I1859:I1859">_xlfn.XLOOKUP(G1859,{55;56;57;58;59;60;61;62;63;64;65;66;67;68;69;70;71;72;73;74;75;76;77;78;79;80;81;82;83;84;85;86;87;88;89;90;91;92;93;94;95;96;97;98;99},{100000;130000;160000;190000;220000;250000;300000;350000;400000;450000;500000;600000;700000;800000;900000;1000000;1500000;2000000;3000000;4000000;5000000;6500000;8000000;10000000;12500000;15000000;20000000;25000000;30000000;35000000;40000000;55000000;70000000;80000000;90000000;110000000;130000000;160000000;190000000;220000000;250000000;280000000;310000000;340000000;400000000})</f>
        <v>3000000</v>
      </c>
      <c r="J1859" s="7" t="n">
        <f aca="false">I1859*S1859*T1859*U1859</f>
        <v>2736000</v>
      </c>
      <c r="K1859" s="3"/>
      <c r="L1859" s="3"/>
      <c r="M1859" s="3"/>
      <c r="N1859" s="9" t="n">
        <v>0</v>
      </c>
      <c r="O1859" s="4" t="n">
        <v>0</v>
      </c>
      <c r="P1859" s="5" t="n">
        <f aca="false">IF(COUNTIF([1]Base_Jugadores!J$2:J$500,B1859)&gt;0,1,0)</f>
        <v>0</v>
      </c>
      <c r="Q1859" s="10" t="b">
        <f aca="false">--(COUNTIFS(
   [1]Fichajes_Realizados!A$2:A$5000,A1859,
   [1]Fichajes_Realizados!G$2:G$5000,$X$3
)&gt;0)</f>
        <v>0</v>
      </c>
      <c r="R1859" s="5" t="n">
        <f aca="false">_xlfn.XLOOKUP(C1859, [1]Estado_Equipos!A$2:A$500, [1]Estado_Equipos!J$2:J$500, "")</f>
        <v>69</v>
      </c>
      <c r="S1859" s="5" t="n">
        <f aca="false">IF(H1859&lt;=16,1.45,
IF(H1859&gt;=41,0.3,
CHOOSE(ROUNDDOWN((H1859-16)/2,0)+1,
1.45,1.38,1.3,1.23,1.17,1.15,1.12,1.05,0.95,0.8,0.6,0.4,0.3)))</f>
        <v>0.8</v>
      </c>
      <c r="T1859" s="5" t="n">
        <f aca="false">CHOOSE(N1859+1,1.2,1,0.85,0.7)</f>
        <v>1.2</v>
      </c>
      <c r="U1859" s="5" t="n">
        <f aca="false">IF(F1859="PO",0.6,
IF(F1859="CT",0.75,
IF(F1859="LI",0.8,
IF(F1859="LD",0.8,
IF(F1859="MCD",0.85,
IF(F1859="MC",0.95,
IF(F1859="MO",1.05,
IF(F1859="EI",1.1,
IF(F1859="ED",1.1,
IF(F1859="SD",1.15,
IF(F1859="DC",1.2,0)))))))))))</f>
        <v>0.95</v>
      </c>
    </row>
    <row r="1860" customFormat="false" ht="16.4" hidden="false" customHeight="false" outlineLevel="0" collapsed="false">
      <c r="A1860" s="1" t="n">
        <v>1859</v>
      </c>
      <c r="B1860" s="5" t="str">
        <f aca="false">[1]Base_Jugadores!B1860</f>
        <v>Andu Kelati</v>
      </c>
      <c r="C1860" s="5" t="str">
        <f aca="false">IFERROR(
   _xlfn.XLOOKUP(VALUE(A1860),[1]Fichajes_Realizados!A$2:A$50000,[1]Fichajes_Realizados!D$2:D$50000,,0,-1),
   _xlfn.XLOOKUP(VALUE(A1860),[1]Base_Jugadores!A$2:A$50000,[1]Base_Jugadores!C$2:C$50000)
)</f>
        <v>Holstein Kiel</v>
      </c>
      <c r="D1860" s="5" t="str">
        <f aca="false">[1]Base_Jugadores!D1860</f>
        <v>Alemania</v>
      </c>
      <c r="E1860" s="3"/>
      <c r="F1860" s="5" t="str">
        <f aca="false">[1]Base_Jugadores!E1860</f>
        <v>EI</v>
      </c>
      <c r="G1860" s="5" t="n">
        <f aca="false">[1]Base_Jugadores!F1860</f>
        <v>66</v>
      </c>
      <c r="H1860" s="5" t="n">
        <f aca="false">[1]Base_Jugadores!G1860</f>
        <v>23</v>
      </c>
      <c r="I1860" s="7" t="n">
        <f aca="false" t="array" ref="I1860:I1860">_xlfn.XLOOKUP(G1860,{55;56;57;58;59;60;61;62;63;64;65;66;67;68;69;70;71;72;73;74;75;76;77;78;79;80;81;82;83;84;85;86;87;88;89;90;91;92;93;94;95;96;97;98;99},{100000;130000;160000;190000;220000;250000;300000;350000;400000;450000;500000;600000;700000;800000;900000;1000000;1500000;2000000;3000000;4000000;5000000;6500000;8000000;10000000;12500000;15000000;20000000;25000000;30000000;35000000;40000000;55000000;70000000;80000000;90000000;110000000;130000000;160000000;190000000;220000000;250000000;280000000;310000000;340000000;400000000})</f>
        <v>600000</v>
      </c>
      <c r="J1860" s="7" t="n">
        <f aca="false">I1860*S1860*T1860*U1860</f>
        <v>974160</v>
      </c>
      <c r="K1860" s="3"/>
      <c r="L1860" s="3"/>
      <c r="M1860" s="3"/>
      <c r="N1860" s="9" t="n">
        <v>0</v>
      </c>
      <c r="O1860" s="4" t="n">
        <v>0</v>
      </c>
      <c r="P1860" s="5" t="n">
        <f aca="false">IF(COUNTIF([1]Base_Jugadores!J$2:J$500,B1860)&gt;0,1,0)</f>
        <v>0</v>
      </c>
      <c r="Q1860" s="10" t="b">
        <f aca="false">--(COUNTIFS(
   [1]Fichajes_Realizados!A$2:A$5000,A1860,
   [1]Fichajes_Realizados!G$2:G$5000,$X$3
)&gt;0)</f>
        <v>0</v>
      </c>
      <c r="R1860" s="5" t="n">
        <f aca="false">_xlfn.XLOOKUP(C1860, [1]Estado_Equipos!A$2:A$500, [1]Estado_Equipos!J$2:J$500, "")</f>
        <v>69</v>
      </c>
      <c r="S1860" s="5" t="n">
        <f aca="false">IF(H1860&lt;=16,1.45,
IF(H1860&gt;=41,0.3,
CHOOSE(ROUNDDOWN((H1860-16)/2,0)+1,
1.45,1.38,1.3,1.23,1.17,1.15,1.12,1.05,0.95,0.8,0.6,0.4,0.3)))</f>
        <v>1.23</v>
      </c>
      <c r="T1860" s="5" t="n">
        <f aca="false">CHOOSE(N1860+1,1.2,1,0.85,0.7)</f>
        <v>1.2</v>
      </c>
      <c r="U1860" s="5" t="n">
        <f aca="false">IF(F1860="PO",0.6,
IF(F1860="CT",0.75,
IF(F1860="LI",0.8,
IF(F1860="LD",0.8,
IF(F1860="MCD",0.85,
IF(F1860="MC",0.95,
IF(F1860="MO",1.05,
IF(F1860="EI",1.1,
IF(F1860="ED",1.1,
IF(F1860="SD",1.15,
IF(F1860="DC",1.2,0)))))))))))</f>
        <v>1.1</v>
      </c>
    </row>
    <row r="1861" customFormat="false" ht="16.4" hidden="false" customHeight="false" outlineLevel="0" collapsed="false">
      <c r="A1861" s="1" t="n">
        <v>1860</v>
      </c>
      <c r="B1861" s="5" t="str">
        <f aca="false">[1]Base_Jugadores!B1861</f>
        <v>A. Bernhardsson</v>
      </c>
      <c r="C1861" s="5" t="str">
        <f aca="false">IFERROR(
   _xlfn.XLOOKUP(VALUE(A1861),[1]Fichajes_Realizados!A$2:A$50000,[1]Fichajes_Realizados!D$2:D$50000,,0,-1),
   _xlfn.XLOOKUP(VALUE(A1861),[1]Base_Jugadores!A$2:A$50000,[1]Base_Jugadores!C$2:C$50000)
)</f>
        <v>Holstein Kiel</v>
      </c>
      <c r="D1861" s="5" t="str">
        <f aca="false">[1]Base_Jugadores!D1861</f>
        <v>Suecia</v>
      </c>
      <c r="E1861" s="3"/>
      <c r="F1861" s="5" t="str">
        <f aca="false">[1]Base_Jugadores!E1861</f>
        <v>ED</v>
      </c>
      <c r="G1861" s="5" t="n">
        <f aca="false">[1]Base_Jugadores!F1861</f>
        <v>69</v>
      </c>
      <c r="H1861" s="5" t="n">
        <f aca="false">[1]Base_Jugadores!G1861</f>
        <v>27</v>
      </c>
      <c r="I1861" s="7" t="n">
        <f aca="false" t="array" ref="I1861:I1861">_xlfn.XLOOKUP(G1861,{55;56;57;58;59;60;61;62;63;64;65;66;67;68;69;70;71;72;73;74;75;76;77;78;79;80;81;82;83;84;85;86;87;88;89;90;91;92;93;94;95;96;97;98;99},{100000;130000;160000;190000;220000;250000;300000;350000;400000;450000;500000;600000;700000;800000;900000;1000000;1500000;2000000;3000000;4000000;5000000;6500000;8000000;10000000;12500000;15000000;20000000;25000000;30000000;35000000;40000000;55000000;70000000;80000000;90000000;110000000;130000000;160000000;190000000;220000000;250000000;280000000;310000000;340000000;400000000})</f>
        <v>900000</v>
      </c>
      <c r="J1861" s="7" t="n">
        <f aca="false">I1861*S1861*T1861*U1861</f>
        <v>1366200</v>
      </c>
      <c r="K1861" s="3"/>
      <c r="L1861" s="3"/>
      <c r="M1861" s="3"/>
      <c r="N1861" s="9" t="n">
        <v>0</v>
      </c>
      <c r="O1861" s="4" t="n">
        <v>0</v>
      </c>
      <c r="P1861" s="5" t="n">
        <f aca="false">IF(COUNTIF([1]Base_Jugadores!J$2:J$500,B1861)&gt;0,1,0)</f>
        <v>0</v>
      </c>
      <c r="Q1861" s="10" t="b">
        <f aca="false">--(COUNTIFS(
   [1]Fichajes_Realizados!A$2:A$5000,A1861,
   [1]Fichajes_Realizados!G$2:G$5000,$X$3
)&gt;0)</f>
        <v>0</v>
      </c>
      <c r="R1861" s="5" t="n">
        <f aca="false">_xlfn.XLOOKUP(C1861, [1]Estado_Equipos!A$2:A$500, [1]Estado_Equipos!J$2:J$500, "")</f>
        <v>69</v>
      </c>
      <c r="S1861" s="5" t="n">
        <f aca="false">IF(H1861&lt;=16,1.45,
IF(H1861&gt;=41,0.3,
CHOOSE(ROUNDDOWN((H1861-16)/2,0)+1,
1.45,1.38,1.3,1.23,1.17,1.15,1.12,1.05,0.95,0.8,0.6,0.4,0.3)))</f>
        <v>1.15</v>
      </c>
      <c r="T1861" s="5" t="n">
        <f aca="false">CHOOSE(N1861+1,1.2,1,0.85,0.7)</f>
        <v>1.2</v>
      </c>
      <c r="U1861" s="5" t="n">
        <f aca="false">IF(F1861="PO",0.6,
IF(F1861="CT",0.75,
IF(F1861="LI",0.8,
IF(F1861="LD",0.8,
IF(F1861="MCD",0.85,
IF(F1861="MC",0.95,
IF(F1861="MO",1.05,
IF(F1861="EI",1.1,
IF(F1861="ED",1.1,
IF(F1861="SD",1.15,
IF(F1861="DC",1.2,0)))))))))))</f>
        <v>1.1</v>
      </c>
    </row>
    <row r="1862" customFormat="false" ht="16.4" hidden="false" customHeight="false" outlineLevel="0" collapsed="false">
      <c r="A1862" s="1" t="n">
        <v>1861</v>
      </c>
      <c r="B1862" s="5" t="str">
        <f aca="false">[1]Base_Jugadores!B1862</f>
        <v>Phil Harres</v>
      </c>
      <c r="C1862" s="5" t="str">
        <f aca="false">IFERROR(
   _xlfn.XLOOKUP(VALUE(A1862),[1]Fichajes_Realizados!A$2:A$50000,[1]Fichajes_Realizados!D$2:D$50000,,0,-1),
   _xlfn.XLOOKUP(VALUE(A1862),[1]Base_Jugadores!A$2:A$50000,[1]Base_Jugadores!C$2:C$50000)
)</f>
        <v>Holstein Kiel</v>
      </c>
      <c r="D1862" s="5" t="str">
        <f aca="false">[1]Base_Jugadores!D1862</f>
        <v>Alemania</v>
      </c>
      <c r="E1862" s="3"/>
      <c r="F1862" s="5" t="str">
        <f aca="false">[1]Base_Jugadores!E1862</f>
        <v>DC</v>
      </c>
      <c r="G1862" s="5" t="n">
        <f aca="false">[1]Base_Jugadores!F1862</f>
        <v>63</v>
      </c>
      <c r="H1862" s="5" t="n">
        <f aca="false">[1]Base_Jugadores!G1862</f>
        <v>23</v>
      </c>
      <c r="I1862" s="7" t="n">
        <f aca="false" t="array" ref="I1862:I1862">_xlfn.XLOOKUP(G1862,{55;56;57;58;59;60;61;62;63;64;65;66;67;68;69;70;71;72;73;74;75;76;77;78;79;80;81;82;83;84;85;86;87;88;89;90;91;92;93;94;95;96;97;98;99},{100000;130000;160000;190000;220000;250000;300000;350000;400000;450000;500000;600000;700000;800000;900000;1000000;1500000;2000000;3000000;4000000;5000000;6500000;8000000;10000000;12500000;15000000;20000000;25000000;30000000;35000000;40000000;55000000;70000000;80000000;90000000;110000000;130000000;160000000;190000000;220000000;250000000;280000000;310000000;340000000;400000000})</f>
        <v>400000</v>
      </c>
      <c r="J1862" s="7" t="n">
        <f aca="false">I1862*S1862*T1862*U1862</f>
        <v>708480</v>
      </c>
      <c r="K1862" s="3"/>
      <c r="L1862" s="3"/>
      <c r="M1862" s="3"/>
      <c r="N1862" s="9" t="n">
        <v>0</v>
      </c>
      <c r="O1862" s="4" t="n">
        <v>0</v>
      </c>
      <c r="P1862" s="5" t="n">
        <f aca="false">IF(COUNTIF([1]Base_Jugadores!J$2:J$500,B1862)&gt;0,1,0)</f>
        <v>0</v>
      </c>
      <c r="Q1862" s="10" t="b">
        <f aca="false">--(COUNTIFS(
   [1]Fichajes_Realizados!A$2:A$5000,A1862,
   [1]Fichajes_Realizados!G$2:G$5000,$X$3
)&gt;0)</f>
        <v>0</v>
      </c>
      <c r="R1862" s="5" t="n">
        <f aca="false">_xlfn.XLOOKUP(C1862, [1]Estado_Equipos!A$2:A$500, [1]Estado_Equipos!J$2:J$500, "")</f>
        <v>69</v>
      </c>
      <c r="S1862" s="5" t="n">
        <f aca="false">IF(H1862&lt;=16,1.45,
IF(H1862&gt;=41,0.3,
CHOOSE(ROUNDDOWN((H1862-16)/2,0)+1,
1.45,1.38,1.3,1.23,1.17,1.15,1.12,1.05,0.95,0.8,0.6,0.4,0.3)))</f>
        <v>1.23</v>
      </c>
      <c r="T1862" s="5" t="n">
        <f aca="false">CHOOSE(N1862+1,1.2,1,0.85,0.7)</f>
        <v>1.2</v>
      </c>
      <c r="U1862" s="5" t="n">
        <f aca="false">IF(F1862="PO",0.6,
IF(F1862="CT",0.75,
IF(F1862="LI",0.8,
IF(F1862="LD",0.8,
IF(F1862="MCD",0.85,
IF(F1862="MC",0.95,
IF(F1862="MO",1.05,
IF(F1862="EI",1.1,
IF(F1862="ED",1.1,
IF(F1862="SD",1.15,
IF(F1862="DC",1.2,0)))))))))))</f>
        <v>1.2</v>
      </c>
    </row>
    <row r="1863" customFormat="false" ht="16.4" hidden="false" customHeight="false" outlineLevel="0" collapsed="false">
      <c r="A1863" s="1" t="n">
        <v>1862</v>
      </c>
      <c r="B1863" s="5" t="str">
        <f aca="false">[1]Base_Jugadores!B1863</f>
        <v>Steven Skrzybski</v>
      </c>
      <c r="C1863" s="5" t="str">
        <f aca="false">IFERROR(
   _xlfn.XLOOKUP(VALUE(A1863),[1]Fichajes_Realizados!A$2:A$50000,[1]Fichajes_Realizados!D$2:D$50000,,0,-1),
   _xlfn.XLOOKUP(VALUE(A1863),[1]Base_Jugadores!A$2:A$50000,[1]Base_Jugadores!C$2:C$50000)
)</f>
        <v>Holstein Kiel</v>
      </c>
      <c r="D1863" s="5" t="str">
        <f aca="false">[1]Base_Jugadores!D1863</f>
        <v>Alemania</v>
      </c>
      <c r="E1863" s="3"/>
      <c r="F1863" s="5" t="str">
        <f aca="false">[1]Base_Jugadores!E1863</f>
        <v>DC</v>
      </c>
      <c r="G1863" s="5" t="n">
        <f aca="false">[1]Base_Jugadores!F1863</f>
        <v>74</v>
      </c>
      <c r="H1863" s="5" t="n">
        <f aca="false">[1]Base_Jugadores!G1863</f>
        <v>33</v>
      </c>
      <c r="I1863" s="7" t="n">
        <f aca="false" t="array" ref="I1863:I1863">_xlfn.XLOOKUP(G1863,{55;56;57;58;59;60;61;62;63;64;65;66;67;68;69;70;71;72;73;74;75;76;77;78;79;80;81;82;83;84;85;86;87;88;89;90;91;92;93;94;95;96;97;98;99},{100000;130000;160000;190000;220000;250000;300000;350000;400000;450000;500000;600000;700000;800000;900000;1000000;1500000;2000000;3000000;4000000;5000000;6500000;8000000;10000000;12500000;15000000;20000000;25000000;30000000;35000000;40000000;55000000;70000000;80000000;90000000;110000000;130000000;160000000;190000000;220000000;250000000;280000000;310000000;340000000;400000000})</f>
        <v>4000000</v>
      </c>
      <c r="J1863" s="7" t="n">
        <f aca="false">I1863*S1863*T1863*U1863</f>
        <v>5472000</v>
      </c>
      <c r="K1863" s="3"/>
      <c r="L1863" s="3"/>
      <c r="M1863" s="3"/>
      <c r="N1863" s="9" t="n">
        <v>0</v>
      </c>
      <c r="O1863" s="4" t="n">
        <v>0</v>
      </c>
      <c r="P1863" s="5" t="n">
        <f aca="false">IF(COUNTIF([1]Base_Jugadores!J$2:J$500,B1863)&gt;0,1,0)</f>
        <v>0</v>
      </c>
      <c r="Q1863" s="10" t="b">
        <f aca="false">--(COUNTIFS(
   [1]Fichajes_Realizados!A$2:A$5000,A1863,
   [1]Fichajes_Realizados!G$2:G$5000,$X$3
)&gt;0)</f>
        <v>0</v>
      </c>
      <c r="R1863" s="5" t="n">
        <f aca="false">_xlfn.XLOOKUP(C1863, [1]Estado_Equipos!A$2:A$500, [1]Estado_Equipos!J$2:J$500, "")</f>
        <v>69</v>
      </c>
      <c r="S1863" s="5" t="n">
        <f aca="false">IF(H1863&lt;=16,1.45,
IF(H1863&gt;=41,0.3,
CHOOSE(ROUNDDOWN((H1863-16)/2,0)+1,
1.45,1.38,1.3,1.23,1.17,1.15,1.12,1.05,0.95,0.8,0.6,0.4,0.3)))</f>
        <v>0.95</v>
      </c>
      <c r="T1863" s="5" t="n">
        <f aca="false">CHOOSE(N1863+1,1.2,1,0.85,0.7)</f>
        <v>1.2</v>
      </c>
      <c r="U1863" s="5" t="n">
        <f aca="false">IF(F1863="PO",0.6,
IF(F1863="CT",0.75,
IF(F1863="LI",0.8,
IF(F1863="LD",0.8,
IF(F1863="MCD",0.85,
IF(F1863="MC",0.95,
IF(F1863="MO",1.05,
IF(F1863="EI",1.1,
IF(F1863="ED",1.1,
IF(F1863="SD",1.15,
IF(F1863="DC",1.2,0)))))))))))</f>
        <v>1.2</v>
      </c>
    </row>
    <row r="1864" customFormat="false" ht="16.4" hidden="false" customHeight="false" outlineLevel="0" collapsed="false">
      <c r="A1864" s="1" t="n">
        <v>1863</v>
      </c>
      <c r="B1864" s="5" t="str">
        <f aca="false">[1]Base_Jugadores!B1864</f>
        <v>Magnus Knudsen</v>
      </c>
      <c r="C1864" s="5" t="str">
        <f aca="false">IFERROR(
   _xlfn.XLOOKUP(VALUE(A1864),[1]Fichajes_Realizados!A$2:A$50000,[1]Fichajes_Realizados!D$2:D$50000,,0,-1),
   _xlfn.XLOOKUP(VALUE(A1864),[1]Base_Jugadores!A$2:A$50000,[1]Base_Jugadores!C$2:C$50000)
)</f>
        <v>Holstein Kiel</v>
      </c>
      <c r="D1864" s="5" t="str">
        <f aca="false">[1]Base_Jugadores!D1864</f>
        <v>Noruega</v>
      </c>
      <c r="E1864" s="3"/>
      <c r="F1864" s="5" t="str">
        <f aca="false">[1]Base_Jugadores!E1864</f>
        <v>MC</v>
      </c>
      <c r="G1864" s="5" t="n">
        <f aca="false">[1]Base_Jugadores!F1864</f>
        <v>68</v>
      </c>
      <c r="H1864" s="5" t="n">
        <f aca="false">[1]Base_Jugadores!G1864</f>
        <v>24</v>
      </c>
      <c r="I1864" s="7" t="n">
        <f aca="false" t="array" ref="I1864:I1864">_xlfn.XLOOKUP(G1864,{55;56;57;58;59;60;61;62;63;64;65;66;67;68;69;70;71;72;73;74;75;76;77;78;79;80;81;82;83;84;85;86;87;88;89;90;91;92;93;94;95;96;97;98;99},{100000;130000;160000;190000;220000;250000;300000;350000;400000;450000;500000;600000;700000;800000;900000;1000000;1500000;2000000;3000000;4000000;5000000;6500000;8000000;10000000;12500000;15000000;20000000;25000000;30000000;35000000;40000000;55000000;70000000;80000000;90000000;110000000;130000000;160000000;190000000;220000000;250000000;280000000;310000000;340000000;400000000})</f>
        <v>800000</v>
      </c>
      <c r="J1864" s="7" t="n">
        <f aca="false">I1864*S1864*T1864*U1864</f>
        <v>1067040</v>
      </c>
      <c r="K1864" s="3"/>
      <c r="L1864" s="3"/>
      <c r="M1864" s="3"/>
      <c r="N1864" s="9" t="n">
        <v>0</v>
      </c>
      <c r="O1864" s="4" t="n">
        <v>0</v>
      </c>
      <c r="P1864" s="5" t="n">
        <f aca="false">IF(COUNTIF([1]Base_Jugadores!J$2:J$500,B1864)&gt;0,1,0)</f>
        <v>0</v>
      </c>
      <c r="Q1864" s="10" t="b">
        <f aca="false">--(COUNTIFS(
   [1]Fichajes_Realizados!A$2:A$5000,A1864,
   [1]Fichajes_Realizados!G$2:G$5000,$X$3
)&gt;0)</f>
        <v>0</v>
      </c>
      <c r="R1864" s="5" t="n">
        <f aca="false">_xlfn.XLOOKUP(C1864, [1]Estado_Equipos!A$2:A$500, [1]Estado_Equipos!J$2:J$500, "")</f>
        <v>69</v>
      </c>
      <c r="S1864" s="5" t="n">
        <f aca="false">IF(H1864&lt;=16,1.45,
IF(H1864&gt;=41,0.3,
CHOOSE(ROUNDDOWN((H1864-16)/2,0)+1,
1.45,1.38,1.3,1.23,1.17,1.15,1.12,1.05,0.95,0.8,0.6,0.4,0.3)))</f>
        <v>1.17</v>
      </c>
      <c r="T1864" s="5" t="n">
        <f aca="false">CHOOSE(N1864+1,1.2,1,0.85,0.7)</f>
        <v>1.2</v>
      </c>
      <c r="U1864" s="5" t="n">
        <f aca="false">IF(F1864="PO",0.6,
IF(F1864="CT",0.75,
IF(F1864="LI",0.8,
IF(F1864="LD",0.8,
IF(F1864="MCD",0.85,
IF(F1864="MC",0.95,
IF(F1864="MO",1.05,
IF(F1864="EI",1.1,
IF(F1864="ED",1.1,
IF(F1864="SD",1.15,
IF(F1864="DC",1.2,0)))))))))))</f>
        <v>0.95</v>
      </c>
    </row>
    <row r="1865" customFormat="false" ht="16.4" hidden="false" customHeight="false" outlineLevel="0" collapsed="false">
      <c r="A1865" s="1" t="n">
        <v>1864</v>
      </c>
      <c r="B1865" s="5" t="str">
        <f aca="false">[1]Base_Jugadores!B1865</f>
        <v>Robert Wagner</v>
      </c>
      <c r="C1865" s="5" t="str">
        <f aca="false">IFERROR(
   _xlfn.XLOOKUP(VALUE(A1865),[1]Fichajes_Realizados!A$2:A$50000,[1]Fichajes_Realizados!D$2:D$50000,,0,-1),
   _xlfn.XLOOKUP(VALUE(A1865),[1]Base_Jugadores!A$2:A$50000,[1]Base_Jugadores!C$2:C$50000)
)</f>
        <v>Holstein Kiel</v>
      </c>
      <c r="D1865" s="5" t="str">
        <f aca="false">[1]Base_Jugadores!D1865</f>
        <v>Alemania</v>
      </c>
      <c r="E1865" s="3"/>
      <c r="F1865" s="5" t="str">
        <f aca="false">[1]Base_Jugadores!E1865</f>
        <v>MC</v>
      </c>
      <c r="G1865" s="5" t="n">
        <f aca="false">[1]Base_Jugadores!F1865</f>
        <v>70</v>
      </c>
      <c r="H1865" s="5" t="n">
        <f aca="false">[1]Base_Jugadores!G1865</f>
        <v>22</v>
      </c>
      <c r="I1865" s="7" t="n">
        <f aca="false" t="array" ref="I1865:I1865">_xlfn.XLOOKUP(G1865,{55;56;57;58;59;60;61;62;63;64;65;66;67;68;69;70;71;72;73;74;75;76;77;78;79;80;81;82;83;84;85;86;87;88;89;90;91;92;93;94;95;96;97;98;99},{100000;130000;160000;190000;220000;250000;300000;350000;400000;450000;500000;600000;700000;800000;900000;1000000;1500000;2000000;3000000;4000000;5000000;6500000;8000000;10000000;12500000;15000000;20000000;25000000;30000000;35000000;40000000;55000000;70000000;80000000;90000000;110000000;130000000;160000000;190000000;220000000;250000000;280000000;310000000;340000000;400000000})</f>
        <v>1000000</v>
      </c>
      <c r="J1865" s="7" t="n">
        <f aca="false">I1865*S1865*T1865*U1865</f>
        <v>1402200</v>
      </c>
      <c r="K1865" s="3"/>
      <c r="L1865" s="3"/>
      <c r="M1865" s="3"/>
      <c r="N1865" s="9" t="n">
        <v>0</v>
      </c>
      <c r="O1865" s="4" t="n">
        <v>0</v>
      </c>
      <c r="P1865" s="5" t="n">
        <f aca="false">IF(COUNTIF([1]Base_Jugadores!J$2:J$500,B1865)&gt;0,1,0)</f>
        <v>0</v>
      </c>
      <c r="Q1865" s="10" t="b">
        <f aca="false">--(COUNTIFS(
   [1]Fichajes_Realizados!A$2:A$5000,A1865,
   [1]Fichajes_Realizados!G$2:G$5000,$X$3
)&gt;0)</f>
        <v>0</v>
      </c>
      <c r="R1865" s="5" t="n">
        <f aca="false">_xlfn.XLOOKUP(C1865, [1]Estado_Equipos!A$2:A$500, [1]Estado_Equipos!J$2:J$500, "")</f>
        <v>69</v>
      </c>
      <c r="S1865" s="5" t="n">
        <f aca="false">IF(H1865&lt;=16,1.45,
IF(H1865&gt;=41,0.3,
CHOOSE(ROUNDDOWN((H1865-16)/2,0)+1,
1.45,1.38,1.3,1.23,1.17,1.15,1.12,1.05,0.95,0.8,0.6,0.4,0.3)))</f>
        <v>1.23</v>
      </c>
      <c r="T1865" s="5" t="n">
        <f aca="false">CHOOSE(N1865+1,1.2,1,0.85,0.7)</f>
        <v>1.2</v>
      </c>
      <c r="U1865" s="5" t="n">
        <f aca="false">IF(F1865="PO",0.6,
IF(F1865="CT",0.75,
IF(F1865="LI",0.8,
IF(F1865="LD",0.8,
IF(F1865="MCD",0.85,
IF(F1865="MC",0.95,
IF(F1865="MO",1.05,
IF(F1865="EI",1.1,
IF(F1865="ED",1.1,
IF(F1865="SD",1.15,
IF(F1865="DC",1.2,0)))))))))))</f>
        <v>0.95</v>
      </c>
    </row>
    <row r="1866" customFormat="false" ht="16.4" hidden="false" customHeight="false" outlineLevel="0" collapsed="false">
      <c r="A1866" s="1" t="n">
        <v>1865</v>
      </c>
      <c r="B1866" s="5" t="str">
        <f aca="false">[1]Base_Jugadores!B1866</f>
        <v>A. Hanche-Olsen</v>
      </c>
      <c r="C1866" s="5" t="str">
        <f aca="false">IFERROR(
   _xlfn.XLOOKUP(VALUE(A1866),[1]Fichajes_Realizados!A$2:A$50000,[1]Fichajes_Realizados!D$2:D$50000,,0,-1),
   _xlfn.XLOOKUP(VALUE(A1866),[1]Base_Jugadores!A$2:A$50000,[1]Base_Jugadores!C$2:C$50000)
)</f>
        <v>1. FSV Mainz 05</v>
      </c>
      <c r="D1866" s="5" t="str">
        <f aca="false">[1]Base_Jugadores!D1866</f>
        <v>Noruega</v>
      </c>
      <c r="E1866" s="3"/>
      <c r="F1866" s="5" t="str">
        <f aca="false">[1]Base_Jugadores!E1866</f>
        <v>CT</v>
      </c>
      <c r="G1866" s="5" t="n">
        <f aca="false">[1]Base_Jugadores!F1866</f>
        <v>76</v>
      </c>
      <c r="H1866" s="5" t="n">
        <f aca="false">[1]Base_Jugadores!G1866</f>
        <v>28</v>
      </c>
      <c r="I1866" s="7" t="n">
        <f aca="false" t="array" ref="I1866:I1866">_xlfn.XLOOKUP(G1866,{55;56;57;58;59;60;61;62;63;64;65;66;67;68;69;70;71;72;73;74;75;76;77;78;79;80;81;82;83;84;85;86;87;88;89;90;91;92;93;94;95;96;97;98;99},{100000;130000;160000;190000;220000;250000;300000;350000;400000;450000;500000;600000;700000;800000;900000;1000000;1500000;2000000;3000000;4000000;5000000;6500000;8000000;10000000;12500000;15000000;20000000;25000000;30000000;35000000;40000000;55000000;70000000;80000000;90000000;110000000;130000000;160000000;190000000;220000000;250000000;280000000;310000000;340000000;400000000})</f>
        <v>6500000</v>
      </c>
      <c r="J1866" s="7" t="n">
        <f aca="false">I1866*S1866*T1866*U1866</f>
        <v>6552000</v>
      </c>
      <c r="K1866" s="3"/>
      <c r="L1866" s="3"/>
      <c r="M1866" s="3"/>
      <c r="N1866" s="9" t="n">
        <v>0</v>
      </c>
      <c r="O1866" s="4" t="n">
        <v>0</v>
      </c>
      <c r="P1866" s="5" t="n">
        <f aca="false">IF(COUNTIF([1]Base_Jugadores!J$2:J$500,B1866)&gt;0,1,0)</f>
        <v>0</v>
      </c>
      <c r="Q1866" s="10" t="b">
        <f aca="false">--(COUNTIFS(
   [1]Fichajes_Realizados!A$2:A$5000,A1866,
   [1]Fichajes_Realizados!G$2:G$5000,$X$3
)&gt;0)</f>
        <v>0</v>
      </c>
      <c r="R1866" s="5" t="n">
        <f aca="false">_xlfn.XLOOKUP(C1866, [1]Estado_Equipos!A$2:A$500, [1]Estado_Equipos!J$2:J$500, "")</f>
        <v>70</v>
      </c>
      <c r="S1866" s="5" t="n">
        <f aca="false">IF(H1866&lt;=16,1.45,
IF(H1866&gt;=41,0.3,
CHOOSE(ROUNDDOWN((H1866-16)/2,0)+1,
1.45,1.38,1.3,1.23,1.17,1.15,1.12,1.05,0.95,0.8,0.6,0.4,0.3)))</f>
        <v>1.12</v>
      </c>
      <c r="T1866" s="5" t="n">
        <f aca="false">CHOOSE(N1866+1,1.2,1,0.85,0.7)</f>
        <v>1.2</v>
      </c>
      <c r="U1866" s="5" t="n">
        <f aca="false">IF(F1866="PO",0.6,
IF(F1866="CT",0.75,
IF(F1866="LI",0.8,
IF(F1866="LD",0.8,
IF(F1866="MCD",0.85,
IF(F1866="MC",0.95,
IF(F1866="MO",1.05,
IF(F1866="EI",1.1,
IF(F1866="ED",1.1,
IF(F1866="SD",1.15,
IF(F1866="DC",1.2,0)))))))))))</f>
        <v>0.75</v>
      </c>
    </row>
    <row r="1867" customFormat="false" ht="16.4" hidden="false" customHeight="false" outlineLevel="0" collapsed="false">
      <c r="A1867" s="1" t="n">
        <v>1866</v>
      </c>
      <c r="B1867" s="5" t="str">
        <f aca="false">[1]Base_Jugadores!B1867</f>
        <v>Anthony Caci</v>
      </c>
      <c r="C1867" s="5" t="str">
        <f aca="false">IFERROR(
   _xlfn.XLOOKUP(VALUE(A1867),[1]Fichajes_Realizados!A$2:A$50000,[1]Fichajes_Realizados!D$2:D$50000,,0,-1),
   _xlfn.XLOOKUP(VALUE(A1867),[1]Base_Jugadores!A$2:A$50000,[1]Base_Jugadores!C$2:C$50000)
)</f>
        <v>1. FSV Mainz 05</v>
      </c>
      <c r="D1867" s="5" t="str">
        <f aca="false">[1]Base_Jugadores!D1867</f>
        <v>Francia</v>
      </c>
      <c r="E1867" s="3"/>
      <c r="F1867" s="5" t="str">
        <f aca="false">[1]Base_Jugadores!E1867</f>
        <v>LD</v>
      </c>
      <c r="G1867" s="5" t="n">
        <f aca="false">[1]Base_Jugadores!F1867</f>
        <v>75</v>
      </c>
      <c r="H1867" s="5" t="n">
        <f aca="false">[1]Base_Jugadores!G1867</f>
        <v>28</v>
      </c>
      <c r="I1867" s="7" t="n">
        <f aca="false" t="array" ref="I1867:I1867">_xlfn.XLOOKUP(G1867,{55;56;57;58;59;60;61;62;63;64;65;66;67;68;69;70;71;72;73;74;75;76;77;78;79;80;81;82;83;84;85;86;87;88;89;90;91;92;93;94;95;96;97;98;99},{100000;130000;160000;190000;220000;250000;300000;350000;400000;450000;500000;600000;700000;800000;900000;1000000;1500000;2000000;3000000;4000000;5000000;6500000;8000000;10000000;12500000;15000000;20000000;25000000;30000000;35000000;40000000;55000000;70000000;80000000;90000000;110000000;130000000;160000000;190000000;220000000;250000000;280000000;310000000;340000000;400000000})</f>
        <v>5000000</v>
      </c>
      <c r="J1867" s="7" t="n">
        <f aca="false">I1867*S1867*T1867*U1867</f>
        <v>5376000</v>
      </c>
      <c r="K1867" s="3"/>
      <c r="L1867" s="3"/>
      <c r="M1867" s="3"/>
      <c r="N1867" s="9" t="n">
        <v>0</v>
      </c>
      <c r="O1867" s="4" t="n">
        <v>0</v>
      </c>
      <c r="P1867" s="5" t="n">
        <f aca="false">IF(COUNTIF([1]Base_Jugadores!J$2:J$500,B1867)&gt;0,1,0)</f>
        <v>0</v>
      </c>
      <c r="Q1867" s="10" t="b">
        <f aca="false">--(COUNTIFS(
   [1]Fichajes_Realizados!A$2:A$5000,A1867,
   [1]Fichajes_Realizados!G$2:G$5000,$X$3
)&gt;0)</f>
        <v>0</v>
      </c>
      <c r="R1867" s="5" t="n">
        <f aca="false">_xlfn.XLOOKUP(C1867, [1]Estado_Equipos!A$2:A$500, [1]Estado_Equipos!J$2:J$500, "")</f>
        <v>70</v>
      </c>
      <c r="S1867" s="5" t="n">
        <f aca="false">IF(H1867&lt;=16,1.45,
IF(H1867&gt;=41,0.3,
CHOOSE(ROUNDDOWN((H1867-16)/2,0)+1,
1.45,1.38,1.3,1.23,1.17,1.15,1.12,1.05,0.95,0.8,0.6,0.4,0.3)))</f>
        <v>1.12</v>
      </c>
      <c r="T1867" s="5" t="n">
        <f aca="false">CHOOSE(N1867+1,1.2,1,0.85,0.7)</f>
        <v>1.2</v>
      </c>
      <c r="U1867" s="5" t="n">
        <f aca="false">IF(F1867="PO",0.6,
IF(F1867="CT",0.75,
IF(F1867="LI",0.8,
IF(F1867="LD",0.8,
IF(F1867="MCD",0.85,
IF(F1867="MC",0.95,
IF(F1867="MO",1.05,
IF(F1867="EI",1.1,
IF(F1867="ED",1.1,
IF(F1867="SD",1.15,
IF(F1867="DC",1.2,0)))))))))))</f>
        <v>0.8</v>
      </c>
    </row>
    <row r="1868" customFormat="false" ht="16.4" hidden="false" customHeight="false" outlineLevel="0" collapsed="false">
      <c r="A1868" s="1" t="n">
        <v>1867</v>
      </c>
      <c r="B1868" s="5" t="str">
        <f aca="false">[1]Base_Jugadores!B1868</f>
        <v>Armindo Sieb</v>
      </c>
      <c r="C1868" s="5" t="str">
        <f aca="false">IFERROR(
   _xlfn.XLOOKUP(VALUE(A1868),[1]Fichajes_Realizados!A$2:A$50000,[1]Fichajes_Realizados!D$2:D$50000,,0,-1),
   _xlfn.XLOOKUP(VALUE(A1868),[1]Base_Jugadores!A$2:A$50000,[1]Base_Jugadores!C$2:C$50000)
)</f>
        <v>1. FSV Mainz 05</v>
      </c>
      <c r="D1868" s="5" t="str">
        <f aca="false">[1]Base_Jugadores!D1868</f>
        <v>Alemania</v>
      </c>
      <c r="E1868" s="3"/>
      <c r="F1868" s="5" t="str">
        <f aca="false">[1]Base_Jugadores!E1868</f>
        <v>SD</v>
      </c>
      <c r="G1868" s="5" t="n">
        <f aca="false">[1]Base_Jugadores!F1868</f>
        <v>70</v>
      </c>
      <c r="H1868" s="5" t="n">
        <f aca="false">[1]Base_Jugadores!G1868</f>
        <v>22</v>
      </c>
      <c r="I1868" s="7" t="n">
        <f aca="false" t="array" ref="I1868:I1868">_xlfn.XLOOKUP(G1868,{55;56;57;58;59;60;61;62;63;64;65;66;67;68;69;70;71;72;73;74;75;76;77;78;79;80;81;82;83;84;85;86;87;88;89;90;91;92;93;94;95;96;97;98;99},{100000;130000;160000;190000;220000;250000;300000;350000;400000;450000;500000;600000;700000;800000;900000;1000000;1500000;2000000;3000000;4000000;5000000;6500000;8000000;10000000;12500000;15000000;20000000;25000000;30000000;35000000;40000000;55000000;70000000;80000000;90000000;110000000;130000000;160000000;190000000;220000000;250000000;280000000;310000000;340000000;400000000})</f>
        <v>1000000</v>
      </c>
      <c r="J1868" s="7" t="n">
        <f aca="false">I1868*S1868*T1868*U1868</f>
        <v>1697400</v>
      </c>
      <c r="K1868" s="3"/>
      <c r="L1868" s="3"/>
      <c r="M1868" s="3"/>
      <c r="N1868" s="9" t="n">
        <v>0</v>
      </c>
      <c r="O1868" s="4" t="n">
        <v>0</v>
      </c>
      <c r="P1868" s="5" t="n">
        <f aca="false">IF(COUNTIF([1]Base_Jugadores!J$2:J$500,B1868)&gt;0,1,0)</f>
        <v>0</v>
      </c>
      <c r="Q1868" s="10" t="b">
        <f aca="false">--(COUNTIFS(
   [1]Fichajes_Realizados!A$2:A$5000,A1868,
   [1]Fichajes_Realizados!G$2:G$5000,$X$3
)&gt;0)</f>
        <v>0</v>
      </c>
      <c r="R1868" s="5" t="n">
        <f aca="false">_xlfn.XLOOKUP(C1868, [1]Estado_Equipos!A$2:A$500, [1]Estado_Equipos!J$2:J$500, "")</f>
        <v>70</v>
      </c>
      <c r="S1868" s="5" t="n">
        <f aca="false">IF(H1868&lt;=16,1.45,
IF(H1868&gt;=41,0.3,
CHOOSE(ROUNDDOWN((H1868-16)/2,0)+1,
1.45,1.38,1.3,1.23,1.17,1.15,1.12,1.05,0.95,0.8,0.6,0.4,0.3)))</f>
        <v>1.23</v>
      </c>
      <c r="T1868" s="5" t="n">
        <f aca="false">CHOOSE(N1868+1,1.2,1,0.85,0.7)</f>
        <v>1.2</v>
      </c>
      <c r="U1868" s="5" t="n">
        <f aca="false">IF(F1868="PO",0.6,
IF(F1868="CT",0.75,
IF(F1868="LI",0.8,
IF(F1868="LD",0.8,
IF(F1868="MCD",0.85,
IF(F1868="MC",0.95,
IF(F1868="MO",1.05,
IF(F1868="EI",1.1,
IF(F1868="ED",1.1,
IF(F1868="SD",1.15,
IF(F1868="DC",1.2,0)))))))))))</f>
        <v>1.15</v>
      </c>
    </row>
    <row r="1869" customFormat="false" ht="16.4" hidden="false" customHeight="false" outlineLevel="0" collapsed="false">
      <c r="A1869" s="1" t="n">
        <v>1868</v>
      </c>
      <c r="B1869" s="5" t="str">
        <f aca="false">[1]Base_Jugadores!B1869</f>
        <v>Arnaud Nordin</v>
      </c>
      <c r="C1869" s="5" t="str">
        <f aca="false">IFERROR(
   _xlfn.XLOOKUP(VALUE(A1869),[1]Fichajes_Realizados!A$2:A$50000,[1]Fichajes_Realizados!D$2:D$50000,,0,-1),
   _xlfn.XLOOKUP(VALUE(A1869),[1]Base_Jugadores!A$2:A$50000,[1]Base_Jugadores!C$2:C$50000)
)</f>
        <v>1. FSV Mainz 05</v>
      </c>
      <c r="D1869" s="5" t="str">
        <f aca="false">[1]Base_Jugadores!D1869</f>
        <v>Francia</v>
      </c>
      <c r="E1869" s="3"/>
      <c r="F1869" s="5" t="str">
        <f aca="false">[1]Base_Jugadores!E1869</f>
        <v>ED</v>
      </c>
      <c r="G1869" s="5" t="n">
        <f aca="false">[1]Base_Jugadores!F1869</f>
        <v>74</v>
      </c>
      <c r="H1869" s="5" t="n">
        <f aca="false">[1]Base_Jugadores!G1869</f>
        <v>27</v>
      </c>
      <c r="I1869" s="7" t="n">
        <f aca="false" t="array" ref="I1869:I1869">_xlfn.XLOOKUP(G1869,{55;56;57;58;59;60;61;62;63;64;65;66;67;68;69;70;71;72;73;74;75;76;77;78;79;80;81;82;83;84;85;86;87;88;89;90;91;92;93;94;95;96;97;98;99},{100000;130000;160000;190000;220000;250000;300000;350000;400000;450000;500000;600000;700000;800000;900000;1000000;1500000;2000000;3000000;4000000;5000000;6500000;8000000;10000000;12500000;15000000;20000000;25000000;30000000;35000000;40000000;55000000;70000000;80000000;90000000;110000000;130000000;160000000;190000000;220000000;250000000;280000000;310000000;340000000;400000000})</f>
        <v>4000000</v>
      </c>
      <c r="J1869" s="7" t="n">
        <f aca="false">I1869*S1869*T1869*U1869</f>
        <v>6072000</v>
      </c>
      <c r="K1869" s="3"/>
      <c r="L1869" s="3"/>
      <c r="M1869" s="3"/>
      <c r="N1869" s="9" t="n">
        <v>0</v>
      </c>
      <c r="O1869" s="4" t="n">
        <v>0</v>
      </c>
      <c r="P1869" s="5" t="n">
        <f aca="false">IF(COUNTIF([1]Base_Jugadores!J$2:J$500,B1869)&gt;0,1,0)</f>
        <v>0</v>
      </c>
      <c r="Q1869" s="10" t="b">
        <f aca="false">--(COUNTIFS(
   [1]Fichajes_Realizados!A$2:A$5000,A1869,
   [1]Fichajes_Realizados!G$2:G$5000,$X$3
)&gt;0)</f>
        <v>0</v>
      </c>
      <c r="R1869" s="5" t="n">
        <f aca="false">_xlfn.XLOOKUP(C1869, [1]Estado_Equipos!A$2:A$500, [1]Estado_Equipos!J$2:J$500, "")</f>
        <v>70</v>
      </c>
      <c r="S1869" s="5" t="n">
        <f aca="false">IF(H1869&lt;=16,1.45,
IF(H1869&gt;=41,0.3,
CHOOSE(ROUNDDOWN((H1869-16)/2,0)+1,
1.45,1.38,1.3,1.23,1.17,1.15,1.12,1.05,0.95,0.8,0.6,0.4,0.3)))</f>
        <v>1.15</v>
      </c>
      <c r="T1869" s="5" t="n">
        <f aca="false">CHOOSE(N1869+1,1.2,1,0.85,0.7)</f>
        <v>1.2</v>
      </c>
      <c r="U1869" s="5" t="n">
        <f aca="false">IF(F1869="PO",0.6,
IF(F1869="CT",0.75,
IF(F1869="LI",0.8,
IF(F1869="LD",0.8,
IF(F1869="MCD",0.85,
IF(F1869="MC",0.95,
IF(F1869="MO",1.05,
IF(F1869="EI",1.1,
IF(F1869="ED",1.1,
IF(F1869="SD",1.15,
IF(F1869="DC",1.2,0)))))))))))</f>
        <v>1.1</v>
      </c>
    </row>
    <row r="1870" customFormat="false" ht="16.4" hidden="false" customHeight="false" outlineLevel="0" collapsed="false">
      <c r="A1870" s="1" t="n">
        <v>1869</v>
      </c>
      <c r="B1870" s="5" t="str">
        <f aca="false">[1]Base_Jugadores!B1870</f>
        <v>Benedict Hollerbach</v>
      </c>
      <c r="C1870" s="5" t="str">
        <f aca="false">IFERROR(
   _xlfn.XLOOKUP(VALUE(A1870),[1]Fichajes_Realizados!A$2:A$50000,[1]Fichajes_Realizados!D$2:D$50000,,0,-1),
   _xlfn.XLOOKUP(VALUE(A1870),[1]Base_Jugadores!A$2:A$50000,[1]Base_Jugadores!C$2:C$50000)
)</f>
        <v>1. FSV Mainz 05</v>
      </c>
      <c r="D1870" s="5" t="str">
        <f aca="false">[1]Base_Jugadores!D1870</f>
        <v>Alemania</v>
      </c>
      <c r="E1870" s="3"/>
      <c r="F1870" s="5" t="str">
        <f aca="false">[1]Base_Jugadores!E1870</f>
        <v>DC</v>
      </c>
      <c r="G1870" s="5" t="n">
        <f aca="false">[1]Base_Jugadores!F1870</f>
        <v>73</v>
      </c>
      <c r="H1870" s="5" t="n">
        <f aca="false">[1]Base_Jugadores!G1870</f>
        <v>24</v>
      </c>
      <c r="I1870" s="7" t="n">
        <f aca="false" t="array" ref="I1870:I1870">_xlfn.XLOOKUP(G1870,{55;56;57;58;59;60;61;62;63;64;65;66;67;68;69;70;71;72;73;74;75;76;77;78;79;80;81;82;83;84;85;86;87;88;89;90;91;92;93;94;95;96;97;98;99},{100000;130000;160000;190000;220000;250000;300000;350000;400000;450000;500000;600000;700000;800000;900000;1000000;1500000;2000000;3000000;4000000;5000000;6500000;8000000;10000000;12500000;15000000;20000000;25000000;30000000;35000000;40000000;55000000;70000000;80000000;90000000;110000000;130000000;160000000;190000000;220000000;250000000;280000000;310000000;340000000;400000000})</f>
        <v>3000000</v>
      </c>
      <c r="J1870" s="7" t="n">
        <f aca="false">I1870*S1870*T1870*U1870</f>
        <v>5054400</v>
      </c>
      <c r="K1870" s="3"/>
      <c r="L1870" s="3"/>
      <c r="M1870" s="3"/>
      <c r="N1870" s="9" t="n">
        <v>0</v>
      </c>
      <c r="O1870" s="4" t="n">
        <v>0</v>
      </c>
      <c r="P1870" s="5" t="n">
        <f aca="false">IF(COUNTIF([1]Base_Jugadores!J$2:J$500,B1870)&gt;0,1,0)</f>
        <v>0</v>
      </c>
      <c r="Q1870" s="10" t="b">
        <f aca="false">--(COUNTIFS(
   [1]Fichajes_Realizados!A$2:A$5000,A1870,
   [1]Fichajes_Realizados!G$2:G$5000,$X$3
)&gt;0)</f>
        <v>0</v>
      </c>
      <c r="R1870" s="5" t="n">
        <f aca="false">_xlfn.XLOOKUP(C1870, [1]Estado_Equipos!A$2:A$500, [1]Estado_Equipos!J$2:J$500, "")</f>
        <v>70</v>
      </c>
      <c r="S1870" s="5" t="n">
        <f aca="false">IF(H1870&lt;=16,1.45,
IF(H1870&gt;=41,0.3,
CHOOSE(ROUNDDOWN((H1870-16)/2,0)+1,
1.45,1.38,1.3,1.23,1.17,1.15,1.12,1.05,0.95,0.8,0.6,0.4,0.3)))</f>
        <v>1.17</v>
      </c>
      <c r="T1870" s="5" t="n">
        <f aca="false">CHOOSE(N1870+1,1.2,1,0.85,0.7)</f>
        <v>1.2</v>
      </c>
      <c r="U1870" s="5" t="n">
        <f aca="false">IF(F1870="PO",0.6,
IF(F1870="CT",0.75,
IF(F1870="LI",0.8,
IF(F1870="LD",0.8,
IF(F1870="MCD",0.85,
IF(F1870="MC",0.95,
IF(F1870="MO",1.05,
IF(F1870="EI",1.1,
IF(F1870="ED",1.1,
IF(F1870="SD",1.15,
IF(F1870="DC",1.2,0)))))))))))</f>
        <v>1.2</v>
      </c>
    </row>
    <row r="1871" customFormat="false" ht="16.4" hidden="false" customHeight="false" outlineLevel="0" collapsed="false">
      <c r="A1871" s="1" t="n">
        <v>1870</v>
      </c>
      <c r="B1871" s="5" t="str">
        <f aca="false">[1]Base_Jugadores!B1871</f>
        <v>Daniel Batz</v>
      </c>
      <c r="C1871" s="5" t="str">
        <f aca="false">IFERROR(
   _xlfn.XLOOKUP(VALUE(A1871),[1]Fichajes_Realizados!A$2:A$50000,[1]Fichajes_Realizados!D$2:D$50000,,0,-1),
   _xlfn.XLOOKUP(VALUE(A1871),[1]Base_Jugadores!A$2:A$50000,[1]Base_Jugadores!C$2:C$50000)
)</f>
        <v>1. FSV Mainz 05</v>
      </c>
      <c r="D1871" s="5" t="str">
        <f aca="false">[1]Base_Jugadores!D1871</f>
        <v>Alemania</v>
      </c>
      <c r="E1871" s="3"/>
      <c r="F1871" s="5" t="str">
        <f aca="false">[1]Base_Jugadores!E1871</f>
        <v>PO</v>
      </c>
      <c r="G1871" s="5" t="n">
        <f aca="false">[1]Base_Jugadores!F1871</f>
        <v>71</v>
      </c>
      <c r="H1871" s="5" t="n">
        <f aca="false">[1]Base_Jugadores!G1871</f>
        <v>34</v>
      </c>
      <c r="I1871" s="7" t="n">
        <f aca="false" t="array" ref="I1871:I1871">_xlfn.XLOOKUP(G1871,{55;56;57;58;59;60;61;62;63;64;65;66;67;68;69;70;71;72;73;74;75;76;77;78;79;80;81;82;83;84;85;86;87;88;89;90;91;92;93;94;95;96;97;98;99},{100000;130000;160000;190000;220000;250000;300000;350000;400000;450000;500000;600000;700000;800000;900000;1000000;1500000;2000000;3000000;4000000;5000000;6500000;8000000;10000000;12500000;15000000;20000000;25000000;30000000;35000000;40000000;55000000;70000000;80000000;90000000;110000000;130000000;160000000;190000000;220000000;250000000;280000000;310000000;340000000;400000000})</f>
        <v>1500000</v>
      </c>
      <c r="J1871" s="7" t="n">
        <f aca="false">I1871*S1871*T1871*U1871</f>
        <v>864000</v>
      </c>
      <c r="K1871" s="3"/>
      <c r="L1871" s="3"/>
      <c r="M1871" s="3"/>
      <c r="N1871" s="9" t="n">
        <v>0</v>
      </c>
      <c r="O1871" s="4" t="n">
        <v>0</v>
      </c>
      <c r="P1871" s="5" t="n">
        <f aca="false">IF(COUNTIF([1]Base_Jugadores!J$2:J$500,B1871)&gt;0,1,0)</f>
        <v>0</v>
      </c>
      <c r="Q1871" s="10" t="b">
        <f aca="false">--(COUNTIFS(
   [1]Fichajes_Realizados!A$2:A$5000,A1871,
   [1]Fichajes_Realizados!G$2:G$5000,$X$3
)&gt;0)</f>
        <v>0</v>
      </c>
      <c r="R1871" s="5" t="n">
        <f aca="false">_xlfn.XLOOKUP(C1871, [1]Estado_Equipos!A$2:A$500, [1]Estado_Equipos!J$2:J$500, "")</f>
        <v>70</v>
      </c>
      <c r="S1871" s="5" t="n">
        <f aca="false">IF(H1871&lt;=16,1.45,
IF(H1871&gt;=41,0.3,
CHOOSE(ROUNDDOWN((H1871-16)/2,0)+1,
1.45,1.38,1.3,1.23,1.17,1.15,1.12,1.05,0.95,0.8,0.6,0.4,0.3)))</f>
        <v>0.8</v>
      </c>
      <c r="T1871" s="5" t="n">
        <f aca="false">CHOOSE(N1871+1,1.2,1,0.85,0.7)</f>
        <v>1.2</v>
      </c>
      <c r="U1871" s="5" t="n">
        <f aca="false">IF(F1871="PO",0.6,
IF(F1871="CT",0.75,
IF(F1871="LI",0.8,
IF(F1871="LD",0.8,
IF(F1871="MCD",0.85,
IF(F1871="MC",0.95,
IF(F1871="MO",1.05,
IF(F1871="EI",1.1,
IF(F1871="ED",1.1,
IF(F1871="SD",1.15,
IF(F1871="DC",1.2,0)))))))))))</f>
        <v>0.6</v>
      </c>
    </row>
    <row r="1872" customFormat="false" ht="16.4" hidden="false" customHeight="false" outlineLevel="0" collapsed="false">
      <c r="A1872" s="1" t="n">
        <v>1871</v>
      </c>
      <c r="B1872" s="5" t="str">
        <f aca="false">[1]Base_Jugadores!B1872</f>
        <v>Danny da Costa</v>
      </c>
      <c r="C1872" s="5" t="str">
        <f aca="false">IFERROR(
   _xlfn.XLOOKUP(VALUE(A1872),[1]Fichajes_Realizados!A$2:A$50000,[1]Fichajes_Realizados!D$2:D$50000,,0,-1),
   _xlfn.XLOOKUP(VALUE(A1872),[1]Base_Jugadores!A$2:A$50000,[1]Base_Jugadores!C$2:C$50000)
)</f>
        <v>1. FSV Mainz 05</v>
      </c>
      <c r="D1872" s="5" t="str">
        <f aca="false">[1]Base_Jugadores!D1872</f>
        <v>Alemania</v>
      </c>
      <c r="E1872" s="3"/>
      <c r="F1872" s="5" t="str">
        <f aca="false">[1]Base_Jugadores!E1872</f>
        <v>CT</v>
      </c>
      <c r="G1872" s="5" t="n">
        <f aca="false">[1]Base_Jugadores!F1872</f>
        <v>73</v>
      </c>
      <c r="H1872" s="5" t="n">
        <f aca="false">[1]Base_Jugadores!G1872</f>
        <v>32</v>
      </c>
      <c r="I1872" s="7" t="n">
        <f aca="false" t="array" ref="I1872:I1872">_xlfn.XLOOKUP(G1872,{55;56;57;58;59;60;61;62;63;64;65;66;67;68;69;70;71;72;73;74;75;76;77;78;79;80;81;82;83;84;85;86;87;88;89;90;91;92;93;94;95;96;97;98;99},{100000;130000;160000;190000;220000;250000;300000;350000;400000;450000;500000;600000;700000;800000;900000;1000000;1500000;2000000;3000000;4000000;5000000;6500000;8000000;10000000;12500000;15000000;20000000;25000000;30000000;35000000;40000000;55000000;70000000;80000000;90000000;110000000;130000000;160000000;190000000;220000000;250000000;280000000;310000000;340000000;400000000})</f>
        <v>3000000</v>
      </c>
      <c r="J1872" s="7" t="n">
        <f aca="false">I1872*S1872*T1872*U1872</f>
        <v>2565000</v>
      </c>
      <c r="K1872" s="3"/>
      <c r="L1872" s="3"/>
      <c r="M1872" s="3"/>
      <c r="N1872" s="9" t="n">
        <v>0</v>
      </c>
      <c r="O1872" s="4" t="n">
        <v>0</v>
      </c>
      <c r="P1872" s="5" t="n">
        <f aca="false">IF(COUNTIF([1]Base_Jugadores!J$2:J$500,B1872)&gt;0,1,0)</f>
        <v>0</v>
      </c>
      <c r="Q1872" s="10" t="b">
        <f aca="false">--(COUNTIFS(
   [1]Fichajes_Realizados!A$2:A$5000,A1872,
   [1]Fichajes_Realizados!G$2:G$5000,$X$3
)&gt;0)</f>
        <v>0</v>
      </c>
      <c r="R1872" s="5" t="n">
        <f aca="false">_xlfn.XLOOKUP(C1872, [1]Estado_Equipos!A$2:A$500, [1]Estado_Equipos!J$2:J$500, "")</f>
        <v>70</v>
      </c>
      <c r="S1872" s="5" t="n">
        <f aca="false">IF(H1872&lt;=16,1.45,
IF(H1872&gt;=41,0.3,
CHOOSE(ROUNDDOWN((H1872-16)/2,0)+1,
1.45,1.38,1.3,1.23,1.17,1.15,1.12,1.05,0.95,0.8,0.6,0.4,0.3)))</f>
        <v>0.95</v>
      </c>
      <c r="T1872" s="5" t="n">
        <f aca="false">CHOOSE(N1872+1,1.2,1,0.85,0.7)</f>
        <v>1.2</v>
      </c>
      <c r="U1872" s="5" t="n">
        <f aca="false">IF(F1872="PO",0.6,
IF(F1872="CT",0.75,
IF(F1872="LI",0.8,
IF(F1872="LD",0.8,
IF(F1872="MCD",0.85,
IF(F1872="MC",0.95,
IF(F1872="MO",1.05,
IF(F1872="EI",1.1,
IF(F1872="ED",1.1,
IF(F1872="SD",1.15,
IF(F1872="DC",1.2,0)))))))))))</f>
        <v>0.75</v>
      </c>
    </row>
    <row r="1873" customFormat="false" ht="16.4" hidden="false" customHeight="false" outlineLevel="0" collapsed="false">
      <c r="A1873" s="1" t="n">
        <v>1872</v>
      </c>
      <c r="B1873" s="5" t="str">
        <f aca="false">[1]Base_Jugadores!B1873</f>
        <v>Dominik Kohr</v>
      </c>
      <c r="C1873" s="5" t="str">
        <f aca="false">IFERROR(
   _xlfn.XLOOKUP(VALUE(A1873),[1]Fichajes_Realizados!A$2:A$50000,[1]Fichajes_Realizados!D$2:D$50000,,0,-1),
   _xlfn.XLOOKUP(VALUE(A1873),[1]Base_Jugadores!A$2:A$50000,[1]Base_Jugadores!C$2:C$50000)
)</f>
        <v>1. FSV Mainz 05</v>
      </c>
      <c r="D1873" s="5" t="str">
        <f aca="false">[1]Base_Jugadores!D1873</f>
        <v>Alemania</v>
      </c>
      <c r="E1873" s="3"/>
      <c r="F1873" s="5" t="str">
        <f aca="false">[1]Base_Jugadores!E1873</f>
        <v>CT</v>
      </c>
      <c r="G1873" s="5" t="n">
        <f aca="false">[1]Base_Jugadores!F1873</f>
        <v>76</v>
      </c>
      <c r="H1873" s="5" t="n">
        <f aca="false">[1]Base_Jugadores!G1873</f>
        <v>31</v>
      </c>
      <c r="I1873" s="7" t="n">
        <f aca="false" t="array" ref="I1873:I1873">_xlfn.XLOOKUP(G1873,{55;56;57;58;59;60;61;62;63;64;65;66;67;68;69;70;71;72;73;74;75;76;77;78;79;80;81;82;83;84;85;86;87;88;89;90;91;92;93;94;95;96;97;98;99},{100000;130000;160000;190000;220000;250000;300000;350000;400000;450000;500000;600000;700000;800000;900000;1000000;1500000;2000000;3000000;4000000;5000000;6500000;8000000;10000000;12500000;15000000;20000000;25000000;30000000;35000000;40000000;55000000;70000000;80000000;90000000;110000000;130000000;160000000;190000000;220000000;250000000;280000000;310000000;340000000;400000000})</f>
        <v>6500000</v>
      </c>
      <c r="J1873" s="7" t="n">
        <f aca="false">I1873*S1873*T1873*U1873</f>
        <v>6142500</v>
      </c>
      <c r="K1873" s="3"/>
      <c r="L1873" s="3"/>
      <c r="M1873" s="3"/>
      <c r="N1873" s="9" t="n">
        <v>0</v>
      </c>
      <c r="O1873" s="4" t="n">
        <v>0</v>
      </c>
      <c r="P1873" s="5" t="n">
        <f aca="false">IF(COUNTIF([1]Base_Jugadores!J$2:J$500,B1873)&gt;0,1,0)</f>
        <v>0</v>
      </c>
      <c r="Q1873" s="10" t="b">
        <f aca="false">--(COUNTIFS(
   [1]Fichajes_Realizados!A$2:A$5000,A1873,
   [1]Fichajes_Realizados!G$2:G$5000,$X$3
)&gt;0)</f>
        <v>0</v>
      </c>
      <c r="R1873" s="5" t="n">
        <f aca="false">_xlfn.XLOOKUP(C1873, [1]Estado_Equipos!A$2:A$500, [1]Estado_Equipos!J$2:J$500, "")</f>
        <v>70</v>
      </c>
      <c r="S1873" s="5" t="n">
        <f aca="false">IF(H1873&lt;=16,1.45,
IF(H1873&gt;=41,0.3,
CHOOSE(ROUNDDOWN((H1873-16)/2,0)+1,
1.45,1.38,1.3,1.23,1.17,1.15,1.12,1.05,0.95,0.8,0.6,0.4,0.3)))</f>
        <v>1.05</v>
      </c>
      <c r="T1873" s="5" t="n">
        <f aca="false">CHOOSE(N1873+1,1.2,1,0.85,0.7)</f>
        <v>1.2</v>
      </c>
      <c r="U1873" s="5" t="n">
        <f aca="false">IF(F1873="PO",0.6,
IF(F1873="CT",0.75,
IF(F1873="LI",0.8,
IF(F1873="LD",0.8,
IF(F1873="MCD",0.85,
IF(F1873="MC",0.95,
IF(F1873="MO",1.05,
IF(F1873="EI",1.1,
IF(F1873="ED",1.1,
IF(F1873="SD",1.15,
IF(F1873="DC",1.2,0)))))))))))</f>
        <v>0.75</v>
      </c>
    </row>
    <row r="1874" customFormat="false" ht="16.4" hidden="false" customHeight="false" outlineLevel="0" collapsed="false">
      <c r="A1874" s="1" t="n">
        <v>1873</v>
      </c>
      <c r="B1874" s="5" t="str">
        <f aca="false">[1]Base_Jugadores!B1874</f>
        <v>Jae-sung Lee</v>
      </c>
      <c r="C1874" s="5" t="str">
        <f aca="false">IFERROR(
   _xlfn.XLOOKUP(VALUE(A1874),[1]Fichajes_Realizados!A$2:A$50000,[1]Fichajes_Realizados!D$2:D$50000,,0,-1),
   _xlfn.XLOOKUP(VALUE(A1874),[1]Base_Jugadores!A$2:A$50000,[1]Base_Jugadores!C$2:C$50000)
)</f>
        <v>1. FSV Mainz 05</v>
      </c>
      <c r="D1874" s="5" t="str">
        <f aca="false">[1]Base_Jugadores!D1874</f>
        <v>Corea del Sur</v>
      </c>
      <c r="E1874" s="3"/>
      <c r="F1874" s="5" t="str">
        <f aca="false">[1]Base_Jugadores!E1874</f>
        <v>MO</v>
      </c>
      <c r="G1874" s="5" t="n">
        <f aca="false">[1]Base_Jugadores!F1874</f>
        <v>60</v>
      </c>
      <c r="H1874" s="5" t="n">
        <f aca="false">[1]Base_Jugadores!G1874</f>
        <v>33</v>
      </c>
      <c r="I1874" s="7" t="n">
        <f aca="false" t="array" ref="I1874:I1874">_xlfn.XLOOKUP(G1874,{55;56;57;58;59;60;61;62;63;64;65;66;67;68;69;70;71;72;73;74;75;76;77;78;79;80;81;82;83;84;85;86;87;88;89;90;91;92;93;94;95;96;97;98;99},{100000;130000;160000;190000;220000;250000;300000;350000;400000;450000;500000;600000;700000;800000;900000;1000000;1500000;2000000;3000000;4000000;5000000;6500000;8000000;10000000;12500000;15000000;20000000;25000000;30000000;35000000;40000000;55000000;70000000;80000000;90000000;110000000;130000000;160000000;190000000;220000000;250000000;280000000;310000000;340000000;400000000})</f>
        <v>250000</v>
      </c>
      <c r="J1874" s="7" t="n">
        <f aca="false">I1874*S1874*T1874*U1874</f>
        <v>299250</v>
      </c>
      <c r="K1874" s="3"/>
      <c r="L1874" s="3"/>
      <c r="M1874" s="3"/>
      <c r="N1874" s="9" t="n">
        <v>0</v>
      </c>
      <c r="O1874" s="4" t="n">
        <v>0</v>
      </c>
      <c r="P1874" s="5" t="n">
        <f aca="false">IF(COUNTIF([1]Base_Jugadores!J$2:J$500,B1874)&gt;0,1,0)</f>
        <v>0</v>
      </c>
      <c r="Q1874" s="10" t="b">
        <f aca="false">--(COUNTIFS(
   [1]Fichajes_Realizados!A$2:A$5000,A1874,
   [1]Fichajes_Realizados!G$2:G$5000,$X$3
)&gt;0)</f>
        <v>0</v>
      </c>
      <c r="R1874" s="5" t="n">
        <f aca="false">_xlfn.XLOOKUP(C1874, [1]Estado_Equipos!A$2:A$500, [1]Estado_Equipos!J$2:J$500, "")</f>
        <v>70</v>
      </c>
      <c r="S1874" s="5" t="n">
        <f aca="false">IF(H1874&lt;=16,1.45,
IF(H1874&gt;=41,0.3,
CHOOSE(ROUNDDOWN((H1874-16)/2,0)+1,
1.45,1.38,1.3,1.23,1.17,1.15,1.12,1.05,0.95,0.8,0.6,0.4,0.3)))</f>
        <v>0.95</v>
      </c>
      <c r="T1874" s="5" t="n">
        <f aca="false">CHOOSE(N1874+1,1.2,1,0.85,0.7)</f>
        <v>1.2</v>
      </c>
      <c r="U1874" s="5" t="n">
        <f aca="false">IF(F1874="PO",0.6,
IF(F1874="CT",0.75,
IF(F1874="LI",0.8,
IF(F1874="LD",0.8,
IF(F1874="MCD",0.85,
IF(F1874="MC",0.95,
IF(F1874="MO",1.05,
IF(F1874="EI",1.1,
IF(F1874="ED",1.1,
IF(F1874="SD",1.15,
IF(F1874="DC",1.2,0)))))))))))</f>
        <v>1.05</v>
      </c>
    </row>
    <row r="1875" customFormat="false" ht="16.4" hidden="false" customHeight="false" outlineLevel="0" collapsed="false">
      <c r="A1875" s="1" t="n">
        <v>1874</v>
      </c>
      <c r="B1875" s="5" t="str">
        <f aca="false">[1]Base_Jugadores!B1875</f>
        <v>Kaishu Sano</v>
      </c>
      <c r="C1875" s="5" t="str">
        <f aca="false">IFERROR(
   _xlfn.XLOOKUP(VALUE(A1875),[1]Fichajes_Realizados!A$2:A$50000,[1]Fichajes_Realizados!D$2:D$50000,,0,-1),
   _xlfn.XLOOKUP(VALUE(A1875),[1]Base_Jugadores!A$2:A$50000,[1]Base_Jugadores!C$2:C$50000)
)</f>
        <v>1. FSV Mainz 05</v>
      </c>
      <c r="D1875" s="5" t="str">
        <f aca="false">[1]Base_Jugadores!D1875</f>
        <v>Japón</v>
      </c>
      <c r="E1875" s="3"/>
      <c r="F1875" s="5" t="str">
        <f aca="false">[1]Base_Jugadores!E1875</f>
        <v>MCD</v>
      </c>
      <c r="G1875" s="5" t="n">
        <f aca="false">[1]Base_Jugadores!F1875</f>
        <v>69</v>
      </c>
      <c r="H1875" s="5" t="n">
        <f aca="false">[1]Base_Jugadores!G1875</f>
        <v>25</v>
      </c>
      <c r="I1875" s="7" t="n">
        <f aca="false" t="array" ref="I1875:I1875">_xlfn.XLOOKUP(G1875,{55;56;57;58;59;60;61;62;63;64;65;66;67;68;69;70;71;72;73;74;75;76;77;78;79;80;81;82;83;84;85;86;87;88;89;90;91;92;93;94;95;96;97;98;99},{100000;130000;160000;190000;220000;250000;300000;350000;400000;450000;500000;600000;700000;800000;900000;1000000;1500000;2000000;3000000;4000000;5000000;6500000;8000000;10000000;12500000;15000000;20000000;25000000;30000000;35000000;40000000;55000000;70000000;80000000;90000000;110000000;130000000;160000000;190000000;220000000;250000000;280000000;310000000;340000000;400000000})</f>
        <v>900000</v>
      </c>
      <c r="J1875" s="7" t="n">
        <f aca="false">I1875*S1875*T1875*U1875</f>
        <v>1074060</v>
      </c>
      <c r="K1875" s="3"/>
      <c r="L1875" s="3"/>
      <c r="M1875" s="3"/>
      <c r="N1875" s="9" t="n">
        <v>0</v>
      </c>
      <c r="O1875" s="4" t="n">
        <v>0</v>
      </c>
      <c r="P1875" s="5" t="n">
        <f aca="false">IF(COUNTIF([1]Base_Jugadores!J$2:J$500,B1875)&gt;0,1,0)</f>
        <v>0</v>
      </c>
      <c r="Q1875" s="10" t="b">
        <f aca="false">--(COUNTIFS(
   [1]Fichajes_Realizados!A$2:A$5000,A1875,
   [1]Fichajes_Realizados!G$2:G$5000,$X$3
)&gt;0)</f>
        <v>0</v>
      </c>
      <c r="R1875" s="5" t="n">
        <f aca="false">_xlfn.XLOOKUP(C1875, [1]Estado_Equipos!A$2:A$500, [1]Estado_Equipos!J$2:J$500, "")</f>
        <v>70</v>
      </c>
      <c r="S1875" s="5" t="n">
        <f aca="false">IF(H1875&lt;=16,1.45,
IF(H1875&gt;=41,0.3,
CHOOSE(ROUNDDOWN((H1875-16)/2,0)+1,
1.45,1.38,1.3,1.23,1.17,1.15,1.12,1.05,0.95,0.8,0.6,0.4,0.3)))</f>
        <v>1.17</v>
      </c>
      <c r="T1875" s="5" t="n">
        <f aca="false">CHOOSE(N1875+1,1.2,1,0.85,0.7)</f>
        <v>1.2</v>
      </c>
      <c r="U1875" s="5" t="n">
        <f aca="false">IF(F1875="PO",0.6,
IF(F1875="CT",0.75,
IF(F1875="LI",0.8,
IF(F1875="LD",0.8,
IF(F1875="MCD",0.85,
IF(F1875="MC",0.95,
IF(F1875="MO",1.05,
IF(F1875="EI",1.1,
IF(F1875="ED",1.1,
IF(F1875="SD",1.15,
IF(F1875="DC",1.2,0)))))))))))</f>
        <v>0.85</v>
      </c>
    </row>
    <row r="1876" customFormat="false" ht="16.4" hidden="false" customHeight="false" outlineLevel="0" collapsed="false">
      <c r="A1876" s="1" t="n">
        <v>1875</v>
      </c>
      <c r="B1876" s="5" t="str">
        <f aca="false">[1]Base_Jugadores!B1876</f>
        <v>Lasse Rieß</v>
      </c>
      <c r="C1876" s="5" t="str">
        <f aca="false">IFERROR(
   _xlfn.XLOOKUP(VALUE(A1876),[1]Fichajes_Realizados!A$2:A$50000,[1]Fichajes_Realizados!D$2:D$50000,,0,-1),
   _xlfn.XLOOKUP(VALUE(A1876),[1]Base_Jugadores!A$2:A$50000,[1]Base_Jugadores!C$2:C$50000)
)</f>
        <v>1. FSV Mainz 05</v>
      </c>
      <c r="D1876" s="5" t="str">
        <f aca="false">[1]Base_Jugadores!D1876</f>
        <v>Alemania</v>
      </c>
      <c r="E1876" s="3"/>
      <c r="F1876" s="5" t="str">
        <f aca="false">[1]Base_Jugadores!E1876</f>
        <v>PO</v>
      </c>
      <c r="G1876" s="5" t="n">
        <f aca="false">[1]Base_Jugadores!F1876</f>
        <v>63</v>
      </c>
      <c r="H1876" s="5" t="n">
        <f aca="false">[1]Base_Jugadores!G1876</f>
        <v>24</v>
      </c>
      <c r="I1876" s="7" t="n">
        <f aca="false" t="array" ref="I1876:I1876">_xlfn.XLOOKUP(G1876,{55;56;57;58;59;60;61;62;63;64;65;66;67;68;69;70;71;72;73;74;75;76;77;78;79;80;81;82;83;84;85;86;87;88;89;90;91;92;93;94;95;96;97;98;99},{100000;130000;160000;190000;220000;250000;300000;350000;400000;450000;500000;600000;700000;800000;900000;1000000;1500000;2000000;3000000;4000000;5000000;6500000;8000000;10000000;12500000;15000000;20000000;25000000;30000000;35000000;40000000;55000000;70000000;80000000;90000000;110000000;130000000;160000000;190000000;220000000;250000000;280000000;310000000;340000000;400000000})</f>
        <v>400000</v>
      </c>
      <c r="J1876" s="7" t="n">
        <f aca="false">I1876*S1876*T1876*U1876</f>
        <v>336960</v>
      </c>
      <c r="K1876" s="3"/>
      <c r="L1876" s="3"/>
      <c r="M1876" s="3"/>
      <c r="N1876" s="9" t="n">
        <v>0</v>
      </c>
      <c r="O1876" s="4" t="n">
        <v>0</v>
      </c>
      <c r="P1876" s="5" t="n">
        <f aca="false">IF(COUNTIF([1]Base_Jugadores!J$2:J$500,B1876)&gt;0,1,0)</f>
        <v>0</v>
      </c>
      <c r="Q1876" s="10" t="b">
        <f aca="false">--(COUNTIFS(
   [1]Fichajes_Realizados!A$2:A$5000,A1876,
   [1]Fichajes_Realizados!G$2:G$5000,$X$3
)&gt;0)</f>
        <v>0</v>
      </c>
      <c r="R1876" s="5" t="n">
        <f aca="false">_xlfn.XLOOKUP(C1876, [1]Estado_Equipos!A$2:A$500, [1]Estado_Equipos!J$2:J$500, "")</f>
        <v>70</v>
      </c>
      <c r="S1876" s="5" t="n">
        <f aca="false">IF(H1876&lt;=16,1.45,
IF(H1876&gt;=41,0.3,
CHOOSE(ROUNDDOWN((H1876-16)/2,0)+1,
1.45,1.38,1.3,1.23,1.17,1.15,1.12,1.05,0.95,0.8,0.6,0.4,0.3)))</f>
        <v>1.17</v>
      </c>
      <c r="T1876" s="5" t="n">
        <f aca="false">CHOOSE(N1876+1,1.2,1,0.85,0.7)</f>
        <v>1.2</v>
      </c>
      <c r="U1876" s="5" t="n">
        <f aca="false">IF(F1876="PO",0.6,
IF(F1876="CT",0.75,
IF(F1876="LI",0.8,
IF(F1876="LD",0.8,
IF(F1876="MCD",0.85,
IF(F1876="MC",0.95,
IF(F1876="MO",1.05,
IF(F1876="EI",1.1,
IF(F1876="ED",1.1,
IF(F1876="SD",1.15,
IF(F1876="DC",1.2,0)))))))))))</f>
        <v>0.6</v>
      </c>
    </row>
    <row r="1877" customFormat="false" ht="16.4" hidden="false" customHeight="false" outlineLevel="0" collapsed="false">
      <c r="A1877" s="1" t="n">
        <v>1876</v>
      </c>
      <c r="B1877" s="5" t="str">
        <f aca="false">[1]Base_Jugadores!B1877</f>
        <v>Lennard Maloney</v>
      </c>
      <c r="C1877" s="5" t="str">
        <f aca="false">IFERROR(
   _xlfn.XLOOKUP(VALUE(A1877),[1]Fichajes_Realizados!A$2:A$50000,[1]Fichajes_Realizados!D$2:D$50000,,0,-1),
   _xlfn.XLOOKUP(VALUE(A1877),[1]Base_Jugadores!A$2:A$50000,[1]Base_Jugadores!C$2:C$50000)
)</f>
        <v>1. FSV Mainz 05</v>
      </c>
      <c r="D1877" s="5" t="str">
        <f aca="false">[1]Base_Jugadores!D1877</f>
        <v>Estados Unidos</v>
      </c>
      <c r="E1877" s="3"/>
      <c r="F1877" s="5" t="str">
        <f aca="false">[1]Base_Jugadores!E1877</f>
        <v>MCD</v>
      </c>
      <c r="G1877" s="5" t="n">
        <f aca="false">[1]Base_Jugadores!F1877</f>
        <v>73</v>
      </c>
      <c r="H1877" s="5" t="n">
        <f aca="false">[1]Base_Jugadores!G1877</f>
        <v>26</v>
      </c>
      <c r="I1877" s="7" t="n">
        <f aca="false" t="array" ref="I1877:I1877">_xlfn.XLOOKUP(G1877,{55;56;57;58;59;60;61;62;63;64;65;66;67;68;69;70;71;72;73;74;75;76;77;78;79;80;81;82;83;84;85;86;87;88;89;90;91;92;93;94;95;96;97;98;99},{100000;130000;160000;190000;220000;250000;300000;350000;400000;450000;500000;600000;700000;800000;900000;1000000;1500000;2000000;3000000;4000000;5000000;6500000;8000000;10000000;12500000;15000000;20000000;25000000;30000000;35000000;40000000;55000000;70000000;80000000;90000000;110000000;130000000;160000000;190000000;220000000;250000000;280000000;310000000;340000000;400000000})</f>
        <v>3000000</v>
      </c>
      <c r="J1877" s="7" t="n">
        <f aca="false">I1877*S1877*T1877*U1877</f>
        <v>3519000</v>
      </c>
      <c r="K1877" s="3"/>
      <c r="L1877" s="3"/>
      <c r="M1877" s="3"/>
      <c r="N1877" s="9" t="n">
        <v>0</v>
      </c>
      <c r="O1877" s="4" t="n">
        <v>0</v>
      </c>
      <c r="P1877" s="5" t="n">
        <f aca="false">IF(COUNTIF([1]Base_Jugadores!J$2:J$500,B1877)&gt;0,1,0)</f>
        <v>0</v>
      </c>
      <c r="Q1877" s="10" t="b">
        <f aca="false">--(COUNTIFS(
   [1]Fichajes_Realizados!A$2:A$5000,A1877,
   [1]Fichajes_Realizados!G$2:G$5000,$X$3
)&gt;0)</f>
        <v>0</v>
      </c>
      <c r="R1877" s="5" t="n">
        <f aca="false">_xlfn.XLOOKUP(C1877, [1]Estado_Equipos!A$2:A$500, [1]Estado_Equipos!J$2:J$500, "")</f>
        <v>70</v>
      </c>
      <c r="S1877" s="5" t="n">
        <f aca="false">IF(H1877&lt;=16,1.45,
IF(H1877&gt;=41,0.3,
CHOOSE(ROUNDDOWN((H1877-16)/2,0)+1,
1.45,1.38,1.3,1.23,1.17,1.15,1.12,1.05,0.95,0.8,0.6,0.4,0.3)))</f>
        <v>1.15</v>
      </c>
      <c r="T1877" s="5" t="n">
        <f aca="false">CHOOSE(N1877+1,1.2,1,0.85,0.7)</f>
        <v>1.2</v>
      </c>
      <c r="U1877" s="5" t="n">
        <f aca="false">IF(F1877="PO",0.6,
IF(F1877="CT",0.75,
IF(F1877="LI",0.8,
IF(F1877="LD",0.8,
IF(F1877="MCD",0.85,
IF(F1877="MC",0.95,
IF(F1877="MO",1.05,
IF(F1877="EI",1.1,
IF(F1877="ED",1.1,
IF(F1877="SD",1.15,
IF(F1877="DC",1.2,0)))))))))))</f>
        <v>0.85</v>
      </c>
    </row>
    <row r="1878" customFormat="false" ht="16.4" hidden="false" customHeight="false" outlineLevel="0" collapsed="false">
      <c r="A1878" s="1" t="n">
        <v>1877</v>
      </c>
      <c r="B1878" s="5" t="str">
        <f aca="false">[1]Base_Jugadores!B1878</f>
        <v>Maxim Dal</v>
      </c>
      <c r="C1878" s="5" t="str">
        <f aca="false">IFERROR(
   _xlfn.XLOOKUP(VALUE(A1878),[1]Fichajes_Realizados!A$2:A$50000,[1]Fichajes_Realizados!D$2:D$50000,,0,-1),
   _xlfn.XLOOKUP(VALUE(A1878),[1]Base_Jugadores!A$2:A$50000,[1]Base_Jugadores!C$2:C$50000)
)</f>
        <v>1. FSV Mainz 05</v>
      </c>
      <c r="D1878" s="5" t="str">
        <f aca="false">[1]Base_Jugadores!D1878</f>
        <v>Alemania</v>
      </c>
      <c r="E1878" s="3"/>
      <c r="F1878" s="5" t="str">
        <f aca="false">[1]Base_Jugadores!E1878</f>
        <v>CT</v>
      </c>
      <c r="G1878" s="5" t="n">
        <f aca="false">[1]Base_Jugadores!F1878</f>
        <v>62</v>
      </c>
      <c r="H1878" s="5" t="n">
        <f aca="false">[1]Base_Jugadores!G1878</f>
        <v>19</v>
      </c>
      <c r="I1878" s="7" t="n">
        <f aca="false" t="array" ref="I1878:I1878">_xlfn.XLOOKUP(G1878,{55;56;57;58;59;60;61;62;63;64;65;66;67;68;69;70;71;72;73;74;75;76;77;78;79;80;81;82;83;84;85;86;87;88;89;90;91;92;93;94;95;96;97;98;99},{100000;130000;160000;190000;220000;250000;300000;350000;400000;450000;500000;600000;700000;800000;900000;1000000;1500000;2000000;3000000;4000000;5000000;6500000;8000000;10000000;12500000;15000000;20000000;25000000;30000000;35000000;40000000;55000000;70000000;80000000;90000000;110000000;130000000;160000000;190000000;220000000;250000000;280000000;310000000;340000000;400000000})</f>
        <v>350000</v>
      </c>
      <c r="J1878" s="7" t="n">
        <f aca="false">I1878*S1878*T1878*U1878</f>
        <v>434700</v>
      </c>
      <c r="K1878" s="3"/>
      <c r="L1878" s="3"/>
      <c r="M1878" s="3"/>
      <c r="N1878" s="9" t="n">
        <v>0</v>
      </c>
      <c r="O1878" s="4" t="n">
        <v>0</v>
      </c>
      <c r="P1878" s="5" t="n">
        <f aca="false">IF(COUNTIF([1]Base_Jugadores!J$2:J$500,B1878)&gt;0,1,0)</f>
        <v>0</v>
      </c>
      <c r="Q1878" s="10" t="b">
        <f aca="false">--(COUNTIFS(
   [1]Fichajes_Realizados!A$2:A$5000,A1878,
   [1]Fichajes_Realizados!G$2:G$5000,$X$3
)&gt;0)</f>
        <v>0</v>
      </c>
      <c r="R1878" s="5" t="n">
        <f aca="false">_xlfn.XLOOKUP(C1878, [1]Estado_Equipos!A$2:A$500, [1]Estado_Equipos!J$2:J$500, "")</f>
        <v>70</v>
      </c>
      <c r="S1878" s="5" t="n">
        <f aca="false">IF(H1878&lt;=16,1.45,
IF(H1878&gt;=41,0.3,
CHOOSE(ROUNDDOWN((H1878-16)/2,0)+1,
1.45,1.38,1.3,1.23,1.17,1.15,1.12,1.05,0.95,0.8,0.6,0.4,0.3)))</f>
        <v>1.38</v>
      </c>
      <c r="T1878" s="5" t="n">
        <f aca="false">CHOOSE(N1878+1,1.2,1,0.85,0.7)</f>
        <v>1.2</v>
      </c>
      <c r="U1878" s="5" t="n">
        <f aca="false">IF(F1878="PO",0.6,
IF(F1878="CT",0.75,
IF(F1878="LI",0.8,
IF(F1878="LD",0.8,
IF(F1878="MCD",0.85,
IF(F1878="MC",0.95,
IF(F1878="MO",1.05,
IF(F1878="EI",1.1,
IF(F1878="ED",1.1,
IF(F1878="SD",1.15,
IF(F1878="DC",1.2,0)))))))))))</f>
        <v>0.75</v>
      </c>
    </row>
    <row r="1879" customFormat="false" ht="16.4" hidden="false" customHeight="false" outlineLevel="0" collapsed="false">
      <c r="A1879" s="1" t="n">
        <v>1878</v>
      </c>
      <c r="B1879" s="5" t="str">
        <f aca="false">[1]Base_Jugadores!B1879</f>
        <v>Maxim Leitsch</v>
      </c>
      <c r="C1879" s="5" t="str">
        <f aca="false">IFERROR(
   _xlfn.XLOOKUP(VALUE(A1879),[1]Fichajes_Realizados!A$2:A$50000,[1]Fichajes_Realizados!D$2:D$50000,,0,-1),
   _xlfn.XLOOKUP(VALUE(A1879),[1]Base_Jugadores!A$2:A$50000,[1]Base_Jugadores!C$2:C$50000)
)</f>
        <v>1. FSV Mainz 05</v>
      </c>
      <c r="D1879" s="5" t="str">
        <f aca="false">[1]Base_Jugadores!D1879</f>
        <v>Alemania</v>
      </c>
      <c r="E1879" s="3"/>
      <c r="F1879" s="5" t="str">
        <f aca="false">[1]Base_Jugadores!E1879</f>
        <v>CT</v>
      </c>
      <c r="G1879" s="5" t="n">
        <f aca="false">[1]Base_Jugadores!F1879</f>
        <v>72</v>
      </c>
      <c r="H1879" s="5" t="n">
        <f aca="false">[1]Base_Jugadores!G1879</f>
        <v>27</v>
      </c>
      <c r="I1879" s="7" t="n">
        <f aca="false" t="array" ref="I1879:I1879">_xlfn.XLOOKUP(G1879,{55;56;57;58;59;60;61;62;63;64;65;66;67;68;69;70;71;72;73;74;75;76;77;78;79;80;81;82;83;84;85;86;87;88;89;90;91;92;93;94;95;96;97;98;99},{100000;130000;160000;190000;220000;250000;300000;350000;400000;450000;500000;600000;700000;800000;900000;1000000;1500000;2000000;3000000;4000000;5000000;6500000;8000000;10000000;12500000;15000000;20000000;25000000;30000000;35000000;40000000;55000000;70000000;80000000;90000000;110000000;130000000;160000000;190000000;220000000;250000000;280000000;310000000;340000000;400000000})</f>
        <v>2000000</v>
      </c>
      <c r="J1879" s="7" t="n">
        <f aca="false">I1879*S1879*T1879*U1879</f>
        <v>2070000</v>
      </c>
      <c r="K1879" s="3"/>
      <c r="L1879" s="3"/>
      <c r="M1879" s="3"/>
      <c r="N1879" s="9" t="n">
        <v>0</v>
      </c>
      <c r="O1879" s="4" t="n">
        <v>0</v>
      </c>
      <c r="P1879" s="5" t="n">
        <f aca="false">IF(COUNTIF([1]Base_Jugadores!J$2:J$500,B1879)&gt;0,1,0)</f>
        <v>0</v>
      </c>
      <c r="Q1879" s="10" t="b">
        <f aca="false">--(COUNTIFS(
   [1]Fichajes_Realizados!A$2:A$5000,A1879,
   [1]Fichajes_Realizados!G$2:G$5000,$X$3
)&gt;0)</f>
        <v>0</v>
      </c>
      <c r="R1879" s="5" t="n">
        <f aca="false">_xlfn.XLOOKUP(C1879, [1]Estado_Equipos!A$2:A$500, [1]Estado_Equipos!J$2:J$500, "")</f>
        <v>70</v>
      </c>
      <c r="S1879" s="5" t="n">
        <f aca="false">IF(H1879&lt;=16,1.45,
IF(H1879&gt;=41,0.3,
CHOOSE(ROUNDDOWN((H1879-16)/2,0)+1,
1.45,1.38,1.3,1.23,1.17,1.15,1.12,1.05,0.95,0.8,0.6,0.4,0.3)))</f>
        <v>1.15</v>
      </c>
      <c r="T1879" s="5" t="n">
        <f aca="false">CHOOSE(N1879+1,1.2,1,0.85,0.7)</f>
        <v>1.2</v>
      </c>
      <c r="U1879" s="5" t="n">
        <f aca="false">IF(F1879="PO",0.6,
IF(F1879="CT",0.75,
IF(F1879="LI",0.8,
IF(F1879="LD",0.8,
IF(F1879="MCD",0.85,
IF(F1879="MC",0.95,
IF(F1879="MO",1.05,
IF(F1879="EI",1.1,
IF(F1879="ED",1.1,
IF(F1879="SD",1.15,
IF(F1879="DC",1.2,0)))))))))))</f>
        <v>0.75</v>
      </c>
    </row>
    <row r="1880" customFormat="false" ht="16.4" hidden="false" customHeight="false" outlineLevel="0" collapsed="false">
      <c r="A1880" s="1" t="n">
        <v>1879</v>
      </c>
      <c r="B1880" s="5" t="str">
        <f aca="false">[1]Base_Jugadores!B1880</f>
        <v>Nadiem Amiri</v>
      </c>
      <c r="C1880" s="5" t="str">
        <f aca="false">IFERROR(
   _xlfn.XLOOKUP(VALUE(A1880),[1]Fichajes_Realizados!A$2:A$50000,[1]Fichajes_Realizados!D$2:D$50000,,0,-1),
   _xlfn.XLOOKUP(VALUE(A1880),[1]Base_Jugadores!A$2:A$50000,[1]Base_Jugadores!C$2:C$50000)
)</f>
        <v>1. FSV Mainz 05</v>
      </c>
      <c r="D1880" s="5" t="str">
        <f aca="false">[1]Base_Jugadores!D1880</f>
        <v>Alemania</v>
      </c>
      <c r="E1880" s="3"/>
      <c r="F1880" s="5" t="str">
        <f aca="false">[1]Base_Jugadores!E1880</f>
        <v>MC</v>
      </c>
      <c r="G1880" s="5" t="n">
        <f aca="false">[1]Base_Jugadores!F1880</f>
        <v>78</v>
      </c>
      <c r="H1880" s="5" t="n">
        <f aca="false">[1]Base_Jugadores!G1880</f>
        <v>29</v>
      </c>
      <c r="I1880" s="7" t="n">
        <f aca="false" t="array" ref="I1880:I1880">_xlfn.XLOOKUP(G1880,{55;56;57;58;59;60;61;62;63;64;65;66;67;68;69;70;71;72;73;74;75;76;77;78;79;80;81;82;83;84;85;86;87;88;89;90;91;92;93;94;95;96;97;98;99},{100000;130000;160000;190000;220000;250000;300000;350000;400000;450000;500000;600000;700000;800000;900000;1000000;1500000;2000000;3000000;4000000;5000000;6500000;8000000;10000000;12500000;15000000;20000000;25000000;30000000;35000000;40000000;55000000;70000000;80000000;90000000;110000000;130000000;160000000;190000000;220000000;250000000;280000000;310000000;340000000;400000000})</f>
        <v>10000000</v>
      </c>
      <c r="J1880" s="7" t="n">
        <f aca="false">I1880*S1880*T1880*U1880</f>
        <v>12768000</v>
      </c>
      <c r="K1880" s="3"/>
      <c r="L1880" s="3"/>
      <c r="M1880" s="3"/>
      <c r="N1880" s="9" t="n">
        <v>0</v>
      </c>
      <c r="O1880" s="4" t="n">
        <v>0</v>
      </c>
      <c r="P1880" s="5" t="n">
        <f aca="false">IF(COUNTIF([1]Base_Jugadores!J$2:J$500,B1880)&gt;0,1,0)</f>
        <v>0</v>
      </c>
      <c r="Q1880" s="10" t="b">
        <f aca="false">--(COUNTIFS(
   [1]Fichajes_Realizados!A$2:A$5000,A1880,
   [1]Fichajes_Realizados!G$2:G$5000,$X$3
)&gt;0)</f>
        <v>0</v>
      </c>
      <c r="R1880" s="5" t="n">
        <f aca="false">_xlfn.XLOOKUP(C1880, [1]Estado_Equipos!A$2:A$500, [1]Estado_Equipos!J$2:J$500, "")</f>
        <v>70</v>
      </c>
      <c r="S1880" s="5" t="n">
        <f aca="false">IF(H1880&lt;=16,1.45,
IF(H1880&gt;=41,0.3,
CHOOSE(ROUNDDOWN((H1880-16)/2,0)+1,
1.45,1.38,1.3,1.23,1.17,1.15,1.12,1.05,0.95,0.8,0.6,0.4,0.3)))</f>
        <v>1.12</v>
      </c>
      <c r="T1880" s="5" t="n">
        <f aca="false">CHOOSE(N1880+1,1.2,1,0.85,0.7)</f>
        <v>1.2</v>
      </c>
      <c r="U1880" s="5" t="n">
        <f aca="false">IF(F1880="PO",0.6,
IF(F1880="CT",0.75,
IF(F1880="LI",0.8,
IF(F1880="LD",0.8,
IF(F1880="MCD",0.85,
IF(F1880="MC",0.95,
IF(F1880="MO",1.05,
IF(F1880="EI",1.1,
IF(F1880="ED",1.1,
IF(F1880="SD",1.15,
IF(F1880="DC",1.2,0)))))))))))</f>
        <v>0.95</v>
      </c>
    </row>
    <row r="1881" customFormat="false" ht="16.4" hidden="false" customHeight="false" outlineLevel="0" collapsed="false">
      <c r="A1881" s="1" t="n">
        <v>1880</v>
      </c>
      <c r="B1881" s="5" t="str">
        <f aca="false">[1]Base_Jugadores!B1881</f>
        <v>Nelson Weiper</v>
      </c>
      <c r="C1881" s="5" t="str">
        <f aca="false">IFERROR(
   _xlfn.XLOOKUP(VALUE(A1881),[1]Fichajes_Realizados!A$2:A$50000,[1]Fichajes_Realizados!D$2:D$50000,,0,-1),
   _xlfn.XLOOKUP(VALUE(A1881),[1]Base_Jugadores!A$2:A$50000,[1]Base_Jugadores!C$2:C$50000)
)</f>
        <v>1. FSV Mainz 05</v>
      </c>
      <c r="D1881" s="5" t="str">
        <f aca="false">[1]Base_Jugadores!D1881</f>
        <v>Alemania</v>
      </c>
      <c r="E1881" s="3"/>
      <c r="F1881" s="5" t="str">
        <f aca="false">[1]Base_Jugadores!E1881</f>
        <v>DC</v>
      </c>
      <c r="G1881" s="5" t="n">
        <f aca="false">[1]Base_Jugadores!F1881</f>
        <v>66</v>
      </c>
      <c r="H1881" s="5" t="n">
        <f aca="false">[1]Base_Jugadores!G1881</f>
        <v>20</v>
      </c>
      <c r="I1881" s="7" t="n">
        <f aca="false" t="array" ref="I1881:I1881">_xlfn.XLOOKUP(G1881,{55;56;57;58;59;60;61;62;63;64;65;66;67;68;69;70;71;72;73;74;75;76;77;78;79;80;81;82;83;84;85;86;87;88;89;90;91;92;93;94;95;96;97;98;99},{100000;130000;160000;190000;220000;250000;300000;350000;400000;450000;500000;600000;700000;800000;900000;1000000;1500000;2000000;3000000;4000000;5000000;6500000;8000000;10000000;12500000;15000000;20000000;25000000;30000000;35000000;40000000;55000000;70000000;80000000;90000000;110000000;130000000;160000000;190000000;220000000;250000000;280000000;310000000;340000000;400000000})</f>
        <v>600000</v>
      </c>
      <c r="J1881" s="7" t="n">
        <f aca="false">I1881*S1881*T1881*U1881</f>
        <v>1123200</v>
      </c>
      <c r="K1881" s="3"/>
      <c r="L1881" s="3"/>
      <c r="M1881" s="3"/>
      <c r="N1881" s="9" t="n">
        <v>0</v>
      </c>
      <c r="O1881" s="4" t="n">
        <v>0</v>
      </c>
      <c r="P1881" s="5" t="n">
        <f aca="false">IF(COUNTIF([1]Base_Jugadores!J$2:J$500,B1881)&gt;0,1,0)</f>
        <v>0</v>
      </c>
      <c r="Q1881" s="10" t="b">
        <f aca="false">--(COUNTIFS(
   [1]Fichajes_Realizados!A$2:A$5000,A1881,
   [1]Fichajes_Realizados!G$2:G$5000,$X$3
)&gt;0)</f>
        <v>0</v>
      </c>
      <c r="R1881" s="5" t="n">
        <f aca="false">_xlfn.XLOOKUP(C1881, [1]Estado_Equipos!A$2:A$500, [1]Estado_Equipos!J$2:J$500, "")</f>
        <v>70</v>
      </c>
      <c r="S1881" s="5" t="n">
        <f aca="false">IF(H1881&lt;=16,1.45,
IF(H1881&gt;=41,0.3,
CHOOSE(ROUNDDOWN((H1881-16)/2,0)+1,
1.45,1.38,1.3,1.23,1.17,1.15,1.12,1.05,0.95,0.8,0.6,0.4,0.3)))</f>
        <v>1.3</v>
      </c>
      <c r="T1881" s="5" t="n">
        <f aca="false">CHOOSE(N1881+1,1.2,1,0.85,0.7)</f>
        <v>1.2</v>
      </c>
      <c r="U1881" s="5" t="n">
        <f aca="false">IF(F1881="PO",0.6,
IF(F1881="CT",0.75,
IF(F1881="LI",0.8,
IF(F1881="LD",0.8,
IF(F1881="MCD",0.85,
IF(F1881="MC",0.95,
IF(F1881="MO",1.05,
IF(F1881="EI",1.1,
IF(F1881="ED",1.1,
IF(F1881="SD",1.15,
IF(F1881="DC",1.2,0)))))))))))</f>
        <v>1.2</v>
      </c>
    </row>
    <row r="1882" customFormat="false" ht="16.4" hidden="false" customHeight="false" outlineLevel="0" collapsed="false">
      <c r="A1882" s="1" t="n">
        <v>1881</v>
      </c>
      <c r="B1882" s="5" t="str">
        <f aca="false">[1]Base_Jugadores!B1882</f>
        <v>Niklas Tauer</v>
      </c>
      <c r="C1882" s="5" t="str">
        <f aca="false">IFERROR(
   _xlfn.XLOOKUP(VALUE(A1882),[1]Fichajes_Realizados!A$2:A$50000,[1]Fichajes_Realizados!D$2:D$50000,,0,-1),
   _xlfn.XLOOKUP(VALUE(A1882),[1]Base_Jugadores!A$2:A$50000,[1]Base_Jugadores!C$2:C$50000)
)</f>
        <v>1. FSV Mainz 05</v>
      </c>
      <c r="D1882" s="5" t="str">
        <f aca="false">[1]Base_Jugadores!D1882</f>
        <v>Alemania</v>
      </c>
      <c r="E1882" s="3"/>
      <c r="F1882" s="5" t="str">
        <f aca="false">[1]Base_Jugadores!E1882</f>
        <v>MCD</v>
      </c>
      <c r="G1882" s="5" t="n">
        <f aca="false">[1]Base_Jugadores!F1882</f>
        <v>57</v>
      </c>
      <c r="H1882" s="5" t="n">
        <f aca="false">[1]Base_Jugadores!G1882</f>
        <v>24</v>
      </c>
      <c r="I1882" s="7" t="n">
        <f aca="false" t="array" ref="I1882:I1882">_xlfn.XLOOKUP(G1882,{55;56;57;58;59;60;61;62;63;64;65;66;67;68;69;70;71;72;73;74;75;76;77;78;79;80;81;82;83;84;85;86;87;88;89;90;91;92;93;94;95;96;97;98;99},{100000;130000;160000;190000;220000;250000;300000;350000;400000;450000;500000;600000;700000;800000;900000;1000000;1500000;2000000;3000000;4000000;5000000;6500000;8000000;10000000;12500000;15000000;20000000;25000000;30000000;35000000;40000000;55000000;70000000;80000000;90000000;110000000;130000000;160000000;190000000;220000000;250000000;280000000;310000000;340000000;400000000})</f>
        <v>160000</v>
      </c>
      <c r="J1882" s="7" t="n">
        <f aca="false">I1882*S1882*T1882*U1882</f>
        <v>190944</v>
      </c>
      <c r="K1882" s="3"/>
      <c r="L1882" s="3"/>
      <c r="M1882" s="3"/>
      <c r="N1882" s="9" t="n">
        <v>0</v>
      </c>
      <c r="O1882" s="4" t="n">
        <v>0</v>
      </c>
      <c r="P1882" s="5" t="n">
        <f aca="false">IF(COUNTIF([1]Base_Jugadores!J$2:J$500,B1882)&gt;0,1,0)</f>
        <v>0</v>
      </c>
      <c r="Q1882" s="10" t="b">
        <f aca="false">--(COUNTIFS(
   [1]Fichajes_Realizados!A$2:A$5000,A1882,
   [1]Fichajes_Realizados!G$2:G$5000,$X$3
)&gt;0)</f>
        <v>0</v>
      </c>
      <c r="R1882" s="5" t="n">
        <f aca="false">_xlfn.XLOOKUP(C1882, [1]Estado_Equipos!A$2:A$500, [1]Estado_Equipos!J$2:J$500, "")</f>
        <v>70</v>
      </c>
      <c r="S1882" s="5" t="n">
        <f aca="false">IF(H1882&lt;=16,1.45,
IF(H1882&gt;=41,0.3,
CHOOSE(ROUNDDOWN((H1882-16)/2,0)+1,
1.45,1.38,1.3,1.23,1.17,1.15,1.12,1.05,0.95,0.8,0.6,0.4,0.3)))</f>
        <v>1.17</v>
      </c>
      <c r="T1882" s="5" t="n">
        <f aca="false">CHOOSE(N1882+1,1.2,1,0.85,0.7)</f>
        <v>1.2</v>
      </c>
      <c r="U1882" s="5" t="n">
        <f aca="false">IF(F1882="PO",0.6,
IF(F1882="CT",0.75,
IF(F1882="LI",0.8,
IF(F1882="LD",0.8,
IF(F1882="MCD",0.85,
IF(F1882="MC",0.95,
IF(F1882="MO",1.05,
IF(F1882="EI",1.1,
IF(F1882="ED",1.1,
IF(F1882="SD",1.15,
IF(F1882="DC",1.2,0)))))))))))</f>
        <v>0.85</v>
      </c>
    </row>
    <row r="1883" customFormat="false" ht="16.4" hidden="false" customHeight="false" outlineLevel="0" collapsed="false">
      <c r="A1883" s="1" t="n">
        <v>1882</v>
      </c>
      <c r="B1883" s="5" t="str">
        <f aca="false">[1]Base_Jugadores!B1883</f>
        <v>N. Veratschnig</v>
      </c>
      <c r="C1883" s="5" t="str">
        <f aca="false">IFERROR(
   _xlfn.XLOOKUP(VALUE(A1883),[1]Fichajes_Realizados!A$2:A$50000,[1]Fichajes_Realizados!D$2:D$50000,,0,-1),
   _xlfn.XLOOKUP(VALUE(A1883),[1]Base_Jugadores!A$2:A$50000,[1]Base_Jugadores!C$2:C$50000)
)</f>
        <v>1. FSV Mainz 05</v>
      </c>
      <c r="D1883" s="5" t="str">
        <f aca="false">[1]Base_Jugadores!D1883</f>
        <v>Austria</v>
      </c>
      <c r="E1883" s="3"/>
      <c r="F1883" s="5" t="str">
        <f aca="false">[1]Base_Jugadores!E1883</f>
        <v>ED</v>
      </c>
      <c r="G1883" s="5" t="n">
        <f aca="false">[1]Base_Jugadores!F1883</f>
        <v>64</v>
      </c>
      <c r="H1883" s="5" t="n">
        <f aca="false">[1]Base_Jugadores!G1883</f>
        <v>22</v>
      </c>
      <c r="I1883" s="7" t="n">
        <f aca="false" t="array" ref="I1883:I1883">_xlfn.XLOOKUP(G1883,{55;56;57;58;59;60;61;62;63;64;65;66;67;68;69;70;71;72;73;74;75;76;77;78;79;80;81;82;83;84;85;86;87;88;89;90;91;92;93;94;95;96;97;98;99},{100000;130000;160000;190000;220000;250000;300000;350000;400000;450000;500000;600000;700000;800000;900000;1000000;1500000;2000000;3000000;4000000;5000000;6500000;8000000;10000000;12500000;15000000;20000000;25000000;30000000;35000000;40000000;55000000;70000000;80000000;90000000;110000000;130000000;160000000;190000000;220000000;250000000;280000000;310000000;340000000;400000000})</f>
        <v>450000</v>
      </c>
      <c r="J1883" s="7" t="n">
        <f aca="false">I1883*S1883*T1883*U1883</f>
        <v>730620</v>
      </c>
      <c r="K1883" s="3"/>
      <c r="L1883" s="3"/>
      <c r="M1883" s="3"/>
      <c r="N1883" s="9" t="n">
        <v>0</v>
      </c>
      <c r="O1883" s="4" t="n">
        <v>0</v>
      </c>
      <c r="P1883" s="5" t="n">
        <f aca="false">IF(COUNTIF([1]Base_Jugadores!J$2:J$500,B1883)&gt;0,1,0)</f>
        <v>0</v>
      </c>
      <c r="Q1883" s="10" t="b">
        <f aca="false">--(COUNTIFS(
   [1]Fichajes_Realizados!A$2:A$5000,A1883,
   [1]Fichajes_Realizados!G$2:G$5000,$X$3
)&gt;0)</f>
        <v>0</v>
      </c>
      <c r="R1883" s="5" t="n">
        <f aca="false">_xlfn.XLOOKUP(C1883, [1]Estado_Equipos!A$2:A$500, [1]Estado_Equipos!J$2:J$500, "")</f>
        <v>70</v>
      </c>
      <c r="S1883" s="5" t="n">
        <f aca="false">IF(H1883&lt;=16,1.45,
IF(H1883&gt;=41,0.3,
CHOOSE(ROUNDDOWN((H1883-16)/2,0)+1,
1.45,1.38,1.3,1.23,1.17,1.15,1.12,1.05,0.95,0.8,0.6,0.4,0.3)))</f>
        <v>1.23</v>
      </c>
      <c r="T1883" s="5" t="n">
        <f aca="false">CHOOSE(N1883+1,1.2,1,0.85,0.7)</f>
        <v>1.2</v>
      </c>
      <c r="U1883" s="5" t="n">
        <f aca="false">IF(F1883="PO",0.6,
IF(F1883="CT",0.75,
IF(F1883="LI",0.8,
IF(F1883="LD",0.8,
IF(F1883="MCD",0.85,
IF(F1883="MC",0.95,
IF(F1883="MO",1.05,
IF(F1883="EI",1.1,
IF(F1883="ED",1.1,
IF(F1883="SD",1.15,
IF(F1883="DC",1.2,0)))))))))))</f>
        <v>1.1</v>
      </c>
    </row>
    <row r="1884" customFormat="false" ht="16.4" hidden="false" customHeight="false" outlineLevel="0" collapsed="false">
      <c r="A1884" s="1" t="n">
        <v>1883</v>
      </c>
      <c r="B1884" s="5" t="str">
        <f aca="false">[1]Base_Jugadores!B1884</f>
        <v>Paul Nebel</v>
      </c>
      <c r="C1884" s="5" t="str">
        <f aca="false">IFERROR(
   _xlfn.XLOOKUP(VALUE(A1884),[1]Fichajes_Realizados!A$2:A$50000,[1]Fichajes_Realizados!D$2:D$50000,,0,-1),
   _xlfn.XLOOKUP(VALUE(A1884),[1]Base_Jugadores!A$2:A$50000,[1]Base_Jugadores!C$2:C$50000)
)</f>
        <v>1. FSV Mainz 05</v>
      </c>
      <c r="D1884" s="5" t="str">
        <f aca="false">[1]Base_Jugadores!D1884</f>
        <v>Alemania</v>
      </c>
      <c r="E1884" s="3"/>
      <c r="F1884" s="5" t="str">
        <f aca="false">[1]Base_Jugadores!E1884</f>
        <v>MO</v>
      </c>
      <c r="G1884" s="5" t="n">
        <f aca="false">[1]Base_Jugadores!F1884</f>
        <v>71</v>
      </c>
      <c r="H1884" s="5" t="n">
        <f aca="false">[1]Base_Jugadores!G1884</f>
        <v>23</v>
      </c>
      <c r="I1884" s="7" t="n">
        <f aca="false" t="array" ref="I1884:I1884">_xlfn.XLOOKUP(G1884,{55;56;57;58;59;60;61;62;63;64;65;66;67;68;69;70;71;72;73;74;75;76;77;78;79;80;81;82;83;84;85;86;87;88;89;90;91;92;93;94;95;96;97;98;99},{100000;130000;160000;190000;220000;250000;300000;350000;400000;450000;500000;600000;700000;800000;900000;1000000;1500000;2000000;3000000;4000000;5000000;6500000;8000000;10000000;12500000;15000000;20000000;25000000;30000000;35000000;40000000;55000000;70000000;80000000;90000000;110000000;130000000;160000000;190000000;220000000;250000000;280000000;310000000;340000000;400000000})</f>
        <v>1500000</v>
      </c>
      <c r="J1884" s="7" t="n">
        <f aca="false">I1884*S1884*T1884*U1884</f>
        <v>2324700</v>
      </c>
      <c r="K1884" s="3"/>
      <c r="L1884" s="3"/>
      <c r="M1884" s="3"/>
      <c r="N1884" s="9" t="n">
        <v>0</v>
      </c>
      <c r="O1884" s="4" t="n">
        <v>0</v>
      </c>
      <c r="P1884" s="5" t="n">
        <f aca="false">IF(COUNTIF([1]Base_Jugadores!J$2:J$500,B1884)&gt;0,1,0)</f>
        <v>0</v>
      </c>
      <c r="Q1884" s="10" t="b">
        <f aca="false">--(COUNTIFS(
   [1]Fichajes_Realizados!A$2:A$5000,A1884,
   [1]Fichajes_Realizados!G$2:G$5000,$X$3
)&gt;0)</f>
        <v>0</v>
      </c>
      <c r="R1884" s="5" t="n">
        <f aca="false">_xlfn.XLOOKUP(C1884, [1]Estado_Equipos!A$2:A$500, [1]Estado_Equipos!J$2:J$500, "")</f>
        <v>70</v>
      </c>
      <c r="S1884" s="5" t="n">
        <f aca="false">IF(H1884&lt;=16,1.45,
IF(H1884&gt;=41,0.3,
CHOOSE(ROUNDDOWN((H1884-16)/2,0)+1,
1.45,1.38,1.3,1.23,1.17,1.15,1.12,1.05,0.95,0.8,0.6,0.4,0.3)))</f>
        <v>1.23</v>
      </c>
      <c r="T1884" s="5" t="n">
        <f aca="false">CHOOSE(N1884+1,1.2,1,0.85,0.7)</f>
        <v>1.2</v>
      </c>
      <c r="U1884" s="5" t="n">
        <f aca="false">IF(F1884="PO",0.6,
IF(F1884="CT",0.75,
IF(F1884="LI",0.8,
IF(F1884="LD",0.8,
IF(F1884="MCD",0.85,
IF(F1884="MC",0.95,
IF(F1884="MO",1.05,
IF(F1884="EI",1.1,
IF(F1884="ED",1.1,
IF(F1884="SD",1.15,
IF(F1884="DC",1.2,0)))))))))))</f>
        <v>1.05</v>
      </c>
    </row>
    <row r="1885" customFormat="false" ht="16.4" hidden="false" customHeight="false" outlineLevel="0" collapsed="false">
      <c r="A1885" s="1" t="n">
        <v>1884</v>
      </c>
      <c r="B1885" s="5" t="str">
        <f aca="false">[1]Base_Jugadores!B1885</f>
        <v>Phillipp Mwene</v>
      </c>
      <c r="C1885" s="5" t="str">
        <f aca="false">IFERROR(
   _xlfn.XLOOKUP(VALUE(A1885),[1]Fichajes_Realizados!A$2:A$50000,[1]Fichajes_Realizados!D$2:D$50000,,0,-1),
   _xlfn.XLOOKUP(VALUE(A1885),[1]Base_Jugadores!A$2:A$50000,[1]Base_Jugadores!C$2:C$50000)
)</f>
        <v>1. FSV Mainz 05</v>
      </c>
      <c r="D1885" s="5" t="str">
        <f aca="false">[1]Base_Jugadores!D1885</f>
        <v>Austria</v>
      </c>
      <c r="E1885" s="3"/>
      <c r="F1885" s="5" t="str">
        <f aca="false">[1]Base_Jugadores!E1885</f>
        <v>LI</v>
      </c>
      <c r="G1885" s="5" t="n">
        <f aca="false">[1]Base_Jugadores!F1885</f>
        <v>75</v>
      </c>
      <c r="H1885" s="5" t="n">
        <f aca="false">[1]Base_Jugadores!G1885</f>
        <v>31</v>
      </c>
      <c r="I1885" s="7" t="n">
        <f aca="false" t="array" ref="I1885:I1885">_xlfn.XLOOKUP(G1885,{55;56;57;58;59;60;61;62;63;64;65;66;67;68;69;70;71;72;73;74;75;76;77;78;79;80;81;82;83;84;85;86;87;88;89;90;91;92;93;94;95;96;97;98;99},{100000;130000;160000;190000;220000;250000;300000;350000;400000;450000;500000;600000;700000;800000;900000;1000000;1500000;2000000;3000000;4000000;5000000;6500000;8000000;10000000;12500000;15000000;20000000;25000000;30000000;35000000;40000000;55000000;70000000;80000000;90000000;110000000;130000000;160000000;190000000;220000000;250000000;280000000;310000000;340000000;400000000})</f>
        <v>5000000</v>
      </c>
      <c r="J1885" s="7" t="n">
        <f aca="false">I1885*S1885*T1885*U1885</f>
        <v>5040000</v>
      </c>
      <c r="K1885" s="3"/>
      <c r="L1885" s="3"/>
      <c r="M1885" s="3"/>
      <c r="N1885" s="9" t="n">
        <v>0</v>
      </c>
      <c r="O1885" s="4" t="n">
        <v>0</v>
      </c>
      <c r="P1885" s="5" t="n">
        <f aca="false">IF(COUNTIF([1]Base_Jugadores!J$2:J$500,B1885)&gt;0,1,0)</f>
        <v>0</v>
      </c>
      <c r="Q1885" s="10" t="b">
        <f aca="false">--(COUNTIFS(
   [1]Fichajes_Realizados!A$2:A$5000,A1885,
   [1]Fichajes_Realizados!G$2:G$5000,$X$3
)&gt;0)</f>
        <v>0</v>
      </c>
      <c r="R1885" s="5" t="n">
        <f aca="false">_xlfn.XLOOKUP(C1885, [1]Estado_Equipos!A$2:A$500, [1]Estado_Equipos!J$2:J$500, "")</f>
        <v>70</v>
      </c>
      <c r="S1885" s="5" t="n">
        <f aca="false">IF(H1885&lt;=16,1.45,
IF(H1885&gt;=41,0.3,
CHOOSE(ROUNDDOWN((H1885-16)/2,0)+1,
1.45,1.38,1.3,1.23,1.17,1.15,1.12,1.05,0.95,0.8,0.6,0.4,0.3)))</f>
        <v>1.05</v>
      </c>
      <c r="T1885" s="5" t="n">
        <f aca="false">CHOOSE(N1885+1,1.2,1,0.85,0.7)</f>
        <v>1.2</v>
      </c>
      <c r="U1885" s="5" t="n">
        <f aca="false">IF(F1885="PO",0.6,
IF(F1885="CT",0.75,
IF(F1885="LI",0.8,
IF(F1885="LD",0.8,
IF(F1885="MCD",0.85,
IF(F1885="MC",0.95,
IF(F1885="MO",1.05,
IF(F1885="EI",1.1,
IF(F1885="ED",1.1,
IF(F1885="SD",1.15,
IF(F1885="DC",1.2,0)))))))))))</f>
        <v>0.8</v>
      </c>
    </row>
    <row r="1886" customFormat="false" ht="16.4" hidden="false" customHeight="false" outlineLevel="0" collapsed="false">
      <c r="A1886" s="1" t="n">
        <v>1885</v>
      </c>
      <c r="B1886" s="5" t="str">
        <f aca="false">[1]Base_Jugadores!B1886</f>
        <v>Robin Zentner</v>
      </c>
      <c r="C1886" s="5" t="str">
        <f aca="false">IFERROR(
   _xlfn.XLOOKUP(VALUE(A1886),[1]Fichajes_Realizados!A$2:A$50000,[1]Fichajes_Realizados!D$2:D$50000,,0,-1),
   _xlfn.XLOOKUP(VALUE(A1886),[1]Base_Jugadores!A$2:A$50000,[1]Base_Jugadores!C$2:C$50000)
)</f>
        <v>1. FSV Mainz 05</v>
      </c>
      <c r="D1886" s="5" t="str">
        <f aca="false">[1]Base_Jugadores!D1886</f>
        <v>Alemania</v>
      </c>
      <c r="E1886" s="3"/>
      <c r="F1886" s="5" t="str">
        <f aca="false">[1]Base_Jugadores!E1886</f>
        <v>PO</v>
      </c>
      <c r="G1886" s="5" t="n">
        <f aca="false">[1]Base_Jugadores!F1886</f>
        <v>75</v>
      </c>
      <c r="H1886" s="5" t="n">
        <f aca="false">[1]Base_Jugadores!G1886</f>
        <v>31</v>
      </c>
      <c r="I1886" s="7" t="n">
        <f aca="false" t="array" ref="I1886:I1886">_xlfn.XLOOKUP(G1886,{55;56;57;58;59;60;61;62;63;64;65;66;67;68;69;70;71;72;73;74;75;76;77;78;79;80;81;82;83;84;85;86;87;88;89;90;91;92;93;94;95;96;97;98;99},{100000;130000;160000;190000;220000;250000;300000;350000;400000;450000;500000;600000;700000;800000;900000;1000000;1500000;2000000;3000000;4000000;5000000;6500000;8000000;10000000;12500000;15000000;20000000;25000000;30000000;35000000;40000000;55000000;70000000;80000000;90000000;110000000;130000000;160000000;190000000;220000000;250000000;280000000;310000000;340000000;400000000})</f>
        <v>5000000</v>
      </c>
      <c r="J1886" s="7" t="n">
        <f aca="false">I1886*S1886*T1886*U1886</f>
        <v>3780000</v>
      </c>
      <c r="K1886" s="3"/>
      <c r="L1886" s="3"/>
      <c r="M1886" s="3"/>
      <c r="N1886" s="9" t="n">
        <v>0</v>
      </c>
      <c r="O1886" s="4" t="n">
        <v>0</v>
      </c>
      <c r="P1886" s="5" t="n">
        <f aca="false">IF(COUNTIF([1]Base_Jugadores!J$2:J$500,B1886)&gt;0,1,0)</f>
        <v>0</v>
      </c>
      <c r="Q1886" s="10" t="b">
        <f aca="false">--(COUNTIFS(
   [1]Fichajes_Realizados!A$2:A$5000,A1886,
   [1]Fichajes_Realizados!G$2:G$5000,$X$3
)&gt;0)</f>
        <v>0</v>
      </c>
      <c r="R1886" s="5" t="n">
        <f aca="false">_xlfn.XLOOKUP(C1886, [1]Estado_Equipos!A$2:A$500, [1]Estado_Equipos!J$2:J$500, "")</f>
        <v>70</v>
      </c>
      <c r="S1886" s="5" t="n">
        <f aca="false">IF(H1886&lt;=16,1.45,
IF(H1886&gt;=41,0.3,
CHOOSE(ROUNDDOWN((H1886-16)/2,0)+1,
1.45,1.38,1.3,1.23,1.17,1.15,1.12,1.05,0.95,0.8,0.6,0.4,0.3)))</f>
        <v>1.05</v>
      </c>
      <c r="T1886" s="5" t="n">
        <f aca="false">CHOOSE(N1886+1,1.2,1,0.85,0.7)</f>
        <v>1.2</v>
      </c>
      <c r="U1886" s="5" t="n">
        <f aca="false">IF(F1886="PO",0.6,
IF(F1886="CT",0.75,
IF(F1886="LI",0.8,
IF(F1886="LD",0.8,
IF(F1886="MCD",0.85,
IF(F1886="MC",0.95,
IF(F1886="MO",1.05,
IF(F1886="EI",1.1,
IF(F1886="ED",1.1,
IF(F1886="SD",1.15,
IF(F1886="DC",1.2,0)))))))))))</f>
        <v>0.6</v>
      </c>
    </row>
    <row r="1887" customFormat="false" ht="16.4" hidden="false" customHeight="false" outlineLevel="0" collapsed="false">
      <c r="A1887" s="1" t="n">
        <v>1886</v>
      </c>
      <c r="B1887" s="5" t="str">
        <f aca="false">[1]Base_Jugadores!B1887</f>
        <v>Silvan Widmer</v>
      </c>
      <c r="C1887" s="5" t="str">
        <f aca="false">IFERROR(
   _xlfn.XLOOKUP(VALUE(A1887),[1]Fichajes_Realizados!A$2:A$50000,[1]Fichajes_Realizados!D$2:D$50000,,0,-1),
   _xlfn.XLOOKUP(VALUE(A1887),[1]Base_Jugadores!A$2:A$50000,[1]Base_Jugadores!C$2:C$50000)
)</f>
        <v>1. FSV Mainz 05</v>
      </c>
      <c r="D1887" s="5" t="str">
        <f aca="false">[1]Base_Jugadores!D1887</f>
        <v>Suiza</v>
      </c>
      <c r="E1887" s="3"/>
      <c r="F1887" s="5" t="str">
        <f aca="false">[1]Base_Jugadores!E1887</f>
        <v>LD</v>
      </c>
      <c r="G1887" s="5" t="n">
        <f aca="false">[1]Base_Jugadores!F1887</f>
        <v>75</v>
      </c>
      <c r="H1887" s="5" t="n">
        <f aca="false">[1]Base_Jugadores!G1887</f>
        <v>32</v>
      </c>
      <c r="I1887" s="7" t="n">
        <f aca="false" t="array" ref="I1887:I1887">_xlfn.XLOOKUP(G1887,{55;56;57;58;59;60;61;62;63;64;65;66;67;68;69;70;71;72;73;74;75;76;77;78;79;80;81;82;83;84;85;86;87;88;89;90;91;92;93;94;95;96;97;98;99},{100000;130000;160000;190000;220000;250000;300000;350000;400000;450000;500000;600000;700000;800000;900000;1000000;1500000;2000000;3000000;4000000;5000000;6500000;8000000;10000000;12500000;15000000;20000000;25000000;30000000;35000000;40000000;55000000;70000000;80000000;90000000;110000000;130000000;160000000;190000000;220000000;250000000;280000000;310000000;340000000;400000000})</f>
        <v>5000000</v>
      </c>
      <c r="J1887" s="7" t="n">
        <f aca="false">I1887*S1887*T1887*U1887</f>
        <v>4560000</v>
      </c>
      <c r="K1887" s="3"/>
      <c r="L1887" s="3"/>
      <c r="M1887" s="3"/>
      <c r="N1887" s="9" t="n">
        <v>0</v>
      </c>
      <c r="O1887" s="4" t="n">
        <v>0</v>
      </c>
      <c r="P1887" s="5" t="n">
        <f aca="false">IF(COUNTIF([1]Base_Jugadores!J$2:J$500,B1887)&gt;0,1,0)</f>
        <v>0</v>
      </c>
      <c r="Q1887" s="10" t="b">
        <f aca="false">--(COUNTIFS(
   [1]Fichajes_Realizados!A$2:A$5000,A1887,
   [1]Fichajes_Realizados!G$2:G$5000,$X$3
)&gt;0)</f>
        <v>0</v>
      </c>
      <c r="R1887" s="5" t="n">
        <f aca="false">_xlfn.XLOOKUP(C1887, [1]Estado_Equipos!A$2:A$500, [1]Estado_Equipos!J$2:J$500, "")</f>
        <v>70</v>
      </c>
      <c r="S1887" s="5" t="n">
        <f aca="false">IF(H1887&lt;=16,1.45,
IF(H1887&gt;=41,0.3,
CHOOSE(ROUNDDOWN((H1887-16)/2,0)+1,
1.45,1.38,1.3,1.23,1.17,1.15,1.12,1.05,0.95,0.8,0.6,0.4,0.3)))</f>
        <v>0.95</v>
      </c>
      <c r="T1887" s="5" t="n">
        <f aca="false">CHOOSE(N1887+1,1.2,1,0.85,0.7)</f>
        <v>1.2</v>
      </c>
      <c r="U1887" s="5" t="n">
        <f aca="false">IF(F1887="PO",0.6,
IF(F1887="CT",0.75,
IF(F1887="LI",0.8,
IF(F1887="LD",0.8,
IF(F1887="MCD",0.85,
IF(F1887="MC",0.95,
IF(F1887="MO",1.05,
IF(F1887="EI",1.1,
IF(F1887="ED",1.1,
IF(F1887="SD",1.15,
IF(F1887="DC",1.2,0)))))))))))</f>
        <v>0.8</v>
      </c>
    </row>
    <row r="1888" customFormat="false" ht="16.4" hidden="false" customHeight="false" outlineLevel="0" collapsed="false">
      <c r="A1888" s="1" t="n">
        <v>1887</v>
      </c>
      <c r="B1888" s="5" t="str">
        <f aca="false">[1]Base_Jugadores!B1888</f>
        <v>Sota Kawasaki</v>
      </c>
      <c r="C1888" s="5" t="str">
        <f aca="false">IFERROR(
   _xlfn.XLOOKUP(VALUE(A1888),[1]Fichajes_Realizados!A$2:A$50000,[1]Fichajes_Realizados!D$2:D$50000,,0,-1),
   _xlfn.XLOOKUP(VALUE(A1888),[1]Base_Jugadores!A$2:A$50000,[1]Base_Jugadores!C$2:C$50000)
)</f>
        <v>1. FSV Mainz 05</v>
      </c>
      <c r="D1888" s="5" t="str">
        <f aca="false">[1]Base_Jugadores!D1888</f>
        <v>Japón</v>
      </c>
      <c r="E1888" s="3"/>
      <c r="F1888" s="5" t="str">
        <f aca="false">[1]Base_Jugadores!E1888</f>
        <v>MCD</v>
      </c>
      <c r="G1888" s="5" t="n">
        <f aca="false">[1]Base_Jugadores!F1888</f>
        <v>72</v>
      </c>
      <c r="H1888" s="5" t="n">
        <f aca="false">[1]Base_Jugadores!G1888</f>
        <v>24</v>
      </c>
      <c r="I1888" s="7" t="n">
        <f aca="false" t="array" ref="I1888:I1888">_xlfn.XLOOKUP(G1888,{55;56;57;58;59;60;61;62;63;64;65;66;67;68;69;70;71;72;73;74;75;76;77;78;79;80;81;82;83;84;85;86;87;88;89;90;91;92;93;94;95;96;97;98;99},{100000;130000;160000;190000;220000;250000;300000;350000;400000;450000;500000;600000;700000;800000;900000;1000000;1500000;2000000;3000000;4000000;5000000;6500000;8000000;10000000;12500000;15000000;20000000;25000000;30000000;35000000;40000000;55000000;70000000;80000000;90000000;110000000;130000000;160000000;190000000;220000000;250000000;280000000;310000000;340000000;400000000})</f>
        <v>2000000</v>
      </c>
      <c r="J1888" s="7" t="n">
        <f aca="false">I1888*S1888*T1888*U1888</f>
        <v>2386800</v>
      </c>
      <c r="K1888" s="3"/>
      <c r="L1888" s="3"/>
      <c r="M1888" s="3"/>
      <c r="N1888" s="9" t="n">
        <v>0</v>
      </c>
      <c r="O1888" s="4" t="n">
        <v>0</v>
      </c>
      <c r="P1888" s="5" t="n">
        <f aca="false">IF(COUNTIF([1]Base_Jugadores!J$2:J$500,B1888)&gt;0,1,0)</f>
        <v>0</v>
      </c>
      <c r="Q1888" s="10" t="b">
        <f aca="false">--(COUNTIFS(
   [1]Fichajes_Realizados!A$2:A$5000,A1888,
   [1]Fichajes_Realizados!G$2:G$5000,$X$3
)&gt;0)</f>
        <v>0</v>
      </c>
      <c r="R1888" s="5" t="n">
        <f aca="false">_xlfn.XLOOKUP(C1888, [1]Estado_Equipos!A$2:A$500, [1]Estado_Equipos!J$2:J$500, "")</f>
        <v>70</v>
      </c>
      <c r="S1888" s="5" t="n">
        <f aca="false">IF(H1888&lt;=16,1.45,
IF(H1888&gt;=41,0.3,
CHOOSE(ROUNDDOWN((H1888-16)/2,0)+1,
1.45,1.38,1.3,1.23,1.17,1.15,1.12,1.05,0.95,0.8,0.6,0.4,0.3)))</f>
        <v>1.17</v>
      </c>
      <c r="T1888" s="5" t="n">
        <f aca="false">CHOOSE(N1888+1,1.2,1,0.85,0.7)</f>
        <v>1.2</v>
      </c>
      <c r="U1888" s="5" t="n">
        <f aca="false">IF(F1888="PO",0.6,
IF(F1888="CT",0.75,
IF(F1888="LI",0.8,
IF(F1888="LD",0.8,
IF(F1888="MCD",0.85,
IF(F1888="MC",0.95,
IF(F1888="MO",1.05,
IF(F1888="EI",1.1,
IF(F1888="ED",1.1,
IF(F1888="SD",1.15,
IF(F1888="DC",1.2,0)))))))))))</f>
        <v>0.85</v>
      </c>
    </row>
    <row r="1889" customFormat="false" ht="16.4" hidden="false" customHeight="false" outlineLevel="0" collapsed="false">
      <c r="A1889" s="1" t="n">
        <v>1888</v>
      </c>
      <c r="B1889" s="5" t="str">
        <f aca="false">[1]Base_Jugadores!B1889</f>
        <v>Stefan Bell</v>
      </c>
      <c r="C1889" s="5" t="str">
        <f aca="false">IFERROR(
   _xlfn.XLOOKUP(VALUE(A1889),[1]Fichajes_Realizados!A$2:A$50000,[1]Fichajes_Realizados!D$2:D$50000,,0,-1),
   _xlfn.XLOOKUP(VALUE(A1889),[1]Base_Jugadores!A$2:A$50000,[1]Base_Jugadores!C$2:C$50000)
)</f>
        <v>1. FSV Mainz 05</v>
      </c>
      <c r="D1889" s="5" t="str">
        <f aca="false">[1]Base_Jugadores!D1889</f>
        <v>Alemania</v>
      </c>
      <c r="E1889" s="3"/>
      <c r="F1889" s="5" t="str">
        <f aca="false">[1]Base_Jugadores!E1889</f>
        <v>CT</v>
      </c>
      <c r="G1889" s="5" t="n">
        <f aca="false">[1]Base_Jugadores!F1889</f>
        <v>72</v>
      </c>
      <c r="H1889" s="5" t="n">
        <f aca="false">[1]Base_Jugadores!G1889</f>
        <v>34</v>
      </c>
      <c r="I1889" s="7" t="n">
        <f aca="false" t="array" ref="I1889:I1889">_xlfn.XLOOKUP(G1889,{55;56;57;58;59;60;61;62;63;64;65;66;67;68;69;70;71;72;73;74;75;76;77;78;79;80;81;82;83;84;85;86;87;88;89;90;91;92;93;94;95;96;97;98;99},{100000;130000;160000;190000;220000;250000;300000;350000;400000;450000;500000;600000;700000;800000;900000;1000000;1500000;2000000;3000000;4000000;5000000;6500000;8000000;10000000;12500000;15000000;20000000;25000000;30000000;35000000;40000000;55000000;70000000;80000000;90000000;110000000;130000000;160000000;190000000;220000000;250000000;280000000;310000000;340000000;400000000})</f>
        <v>2000000</v>
      </c>
      <c r="J1889" s="7" t="n">
        <f aca="false">I1889*S1889*T1889*U1889</f>
        <v>1440000</v>
      </c>
      <c r="K1889" s="3"/>
      <c r="L1889" s="3"/>
      <c r="M1889" s="3"/>
      <c r="N1889" s="9" t="n">
        <v>0</v>
      </c>
      <c r="O1889" s="4" t="n">
        <v>0</v>
      </c>
      <c r="P1889" s="5" t="n">
        <f aca="false">IF(COUNTIF([1]Base_Jugadores!J$2:J$500,B1889)&gt;0,1,0)</f>
        <v>0</v>
      </c>
      <c r="Q1889" s="10" t="b">
        <f aca="false">--(COUNTIFS(
   [1]Fichajes_Realizados!A$2:A$5000,A1889,
   [1]Fichajes_Realizados!G$2:G$5000,$X$3
)&gt;0)</f>
        <v>0</v>
      </c>
      <c r="R1889" s="5" t="n">
        <f aca="false">_xlfn.XLOOKUP(C1889, [1]Estado_Equipos!A$2:A$500, [1]Estado_Equipos!J$2:J$500, "")</f>
        <v>70</v>
      </c>
      <c r="S1889" s="5" t="n">
        <f aca="false">IF(H1889&lt;=16,1.45,
IF(H1889&gt;=41,0.3,
CHOOSE(ROUNDDOWN((H1889-16)/2,0)+1,
1.45,1.38,1.3,1.23,1.17,1.15,1.12,1.05,0.95,0.8,0.6,0.4,0.3)))</f>
        <v>0.8</v>
      </c>
      <c r="T1889" s="5" t="n">
        <f aca="false">CHOOSE(N1889+1,1.2,1,0.85,0.7)</f>
        <v>1.2</v>
      </c>
      <c r="U1889" s="5" t="n">
        <f aca="false">IF(F1889="PO",0.6,
IF(F1889="CT",0.75,
IF(F1889="LI",0.8,
IF(F1889="LD",0.8,
IF(F1889="MCD",0.85,
IF(F1889="MC",0.95,
IF(F1889="MO",1.05,
IF(F1889="EI",1.1,
IF(F1889="ED",1.1,
IF(F1889="SD",1.15,
IF(F1889="DC",1.2,0)))))))))))</f>
        <v>0.75</v>
      </c>
    </row>
    <row r="1890" customFormat="false" ht="16.4" hidden="false" customHeight="false" outlineLevel="0" collapsed="false">
      <c r="A1890" s="1" t="n">
        <v>1889</v>
      </c>
      <c r="B1890" s="5" t="str">
        <f aca="false">[1]Base_Jugadores!B1890</f>
        <v>William Bøving</v>
      </c>
      <c r="C1890" s="5" t="str">
        <f aca="false">IFERROR(
   _xlfn.XLOOKUP(VALUE(A1890),[1]Fichajes_Realizados!A$2:A$50000,[1]Fichajes_Realizados!D$2:D$50000,,0,-1),
   _xlfn.XLOOKUP(VALUE(A1890),[1]Base_Jugadores!A$2:A$50000,[1]Base_Jugadores!C$2:C$50000)
)</f>
        <v>1. FSV Mainz 05</v>
      </c>
      <c r="D1890" s="5" t="str">
        <f aca="false">[1]Base_Jugadores!D1890</f>
        <v>Dinamarca</v>
      </c>
      <c r="E1890" s="3"/>
      <c r="F1890" s="5" t="str">
        <f aca="false">[1]Base_Jugadores!E1890</f>
        <v>DC</v>
      </c>
      <c r="G1890" s="5" t="n">
        <f aca="false">[1]Base_Jugadores!F1890</f>
        <v>70</v>
      </c>
      <c r="H1890" s="5" t="n">
        <f aca="false">[1]Base_Jugadores!G1890</f>
        <v>22</v>
      </c>
      <c r="I1890" s="7" t="n">
        <f aca="false" t="array" ref="I1890:I1890">_xlfn.XLOOKUP(G1890,{55;56;57;58;59;60;61;62;63;64;65;66;67;68;69;70;71;72;73;74;75;76;77;78;79;80;81;82;83;84;85;86;87;88;89;90;91;92;93;94;95;96;97;98;99},{100000;130000;160000;190000;220000;250000;300000;350000;400000;450000;500000;600000;700000;800000;900000;1000000;1500000;2000000;3000000;4000000;5000000;6500000;8000000;10000000;12500000;15000000;20000000;25000000;30000000;35000000;40000000;55000000;70000000;80000000;90000000;110000000;130000000;160000000;190000000;220000000;250000000;280000000;310000000;340000000;400000000})</f>
        <v>1000000</v>
      </c>
      <c r="J1890" s="7" t="n">
        <f aca="false">I1890*S1890*T1890*U1890</f>
        <v>1771200</v>
      </c>
      <c r="K1890" s="3"/>
      <c r="L1890" s="3"/>
      <c r="M1890" s="3"/>
      <c r="N1890" s="9" t="n">
        <v>0</v>
      </c>
      <c r="O1890" s="4" t="n">
        <v>0</v>
      </c>
      <c r="P1890" s="5" t="n">
        <f aca="false">IF(COUNTIF([1]Base_Jugadores!J$2:J$500,B1890)&gt;0,1,0)</f>
        <v>0</v>
      </c>
      <c r="Q1890" s="10" t="b">
        <f aca="false">--(COUNTIFS(
   [1]Fichajes_Realizados!A$2:A$5000,A1890,
   [1]Fichajes_Realizados!G$2:G$5000,$X$3
)&gt;0)</f>
        <v>0</v>
      </c>
      <c r="R1890" s="5" t="n">
        <f aca="false">_xlfn.XLOOKUP(C1890, [1]Estado_Equipos!A$2:A$500, [1]Estado_Equipos!J$2:J$500, "")</f>
        <v>70</v>
      </c>
      <c r="S1890" s="5" t="n">
        <f aca="false">IF(H1890&lt;=16,1.45,
IF(H1890&gt;=41,0.3,
CHOOSE(ROUNDDOWN((H1890-16)/2,0)+1,
1.45,1.38,1.3,1.23,1.17,1.15,1.12,1.05,0.95,0.8,0.6,0.4,0.3)))</f>
        <v>1.23</v>
      </c>
      <c r="T1890" s="5" t="n">
        <f aca="false">CHOOSE(N1890+1,1.2,1,0.85,0.7)</f>
        <v>1.2</v>
      </c>
      <c r="U1890" s="5" t="n">
        <f aca="false">IF(F1890="PO",0.6,
IF(F1890="CT",0.75,
IF(F1890="LI",0.8,
IF(F1890="LD",0.8,
IF(F1890="MCD",0.85,
IF(F1890="MC",0.95,
IF(F1890="MO",1.05,
IF(F1890="EI",1.1,
IF(F1890="ED",1.1,
IF(F1890="SD",1.15,
IF(F1890="DC",1.2,0)))))))))))</f>
        <v>1.2</v>
      </c>
    </row>
    <row r="1891" customFormat="false" ht="16.4" hidden="false" customHeight="false" outlineLevel="0" collapsed="false">
      <c r="A1891" s="1" t="n">
        <v>1890</v>
      </c>
      <c r="B1891" s="5" t="str">
        <f aca="false">[1]Base_Jugadores!B1891</f>
        <v>Amadou Haidara</v>
      </c>
      <c r="C1891" s="5" t="str">
        <f aca="false">IFERROR(
   _xlfn.XLOOKUP(VALUE(A1891),[1]Fichajes_Realizados!A$2:A$50000,[1]Fichajes_Realizados!D$2:D$50000,,0,-1),
   _xlfn.XLOOKUP(VALUE(A1891),[1]Base_Jugadores!A$2:A$50000,[1]Base_Jugadores!C$2:C$50000)
)</f>
        <v>RB Leipzig</v>
      </c>
      <c r="D1891" s="5" t="str">
        <f aca="false">[1]Base_Jugadores!D1891</f>
        <v>Malí</v>
      </c>
      <c r="E1891" s="3"/>
      <c r="F1891" s="5" t="str">
        <f aca="false">[1]Base_Jugadores!E1891</f>
        <v>MC</v>
      </c>
      <c r="G1891" s="5" t="n">
        <f aca="false">[1]Base_Jugadores!F1891</f>
        <v>77</v>
      </c>
      <c r="H1891" s="5" t="n">
        <f aca="false">[1]Base_Jugadores!G1891</f>
        <v>27</v>
      </c>
      <c r="I1891" s="7" t="n">
        <f aca="false" t="array" ref="I1891:I1891">_xlfn.XLOOKUP(G1891,{55;56;57;58;59;60;61;62;63;64;65;66;67;68;69;70;71;72;73;74;75;76;77;78;79;80;81;82;83;84;85;86;87;88;89;90;91;92;93;94;95;96;97;98;99},{100000;130000;160000;190000;220000;250000;300000;350000;400000;450000;500000;600000;700000;800000;900000;1000000;1500000;2000000;3000000;4000000;5000000;6500000;8000000;10000000;12500000;15000000;20000000;25000000;30000000;35000000;40000000;55000000;70000000;80000000;90000000;110000000;130000000;160000000;190000000;220000000;250000000;280000000;310000000;340000000;400000000})</f>
        <v>8000000</v>
      </c>
      <c r="J1891" s="7" t="n">
        <f aca="false">I1891*S1891*T1891*U1891</f>
        <v>10488000</v>
      </c>
      <c r="K1891" s="3"/>
      <c r="L1891" s="3"/>
      <c r="M1891" s="3"/>
      <c r="N1891" s="9" t="n">
        <v>0</v>
      </c>
      <c r="O1891" s="4" t="n">
        <v>0</v>
      </c>
      <c r="P1891" s="5" t="n">
        <f aca="false">IF(COUNTIF([1]Base_Jugadores!J$2:J$500,B1891)&gt;0,1,0)</f>
        <v>0</v>
      </c>
      <c r="Q1891" s="10" t="b">
        <f aca="false">--(COUNTIFS(
   [1]Fichajes_Realizados!A$2:A$5000,A1891,
   [1]Fichajes_Realizados!G$2:G$5000,$X$3
)&gt;0)</f>
        <v>0</v>
      </c>
      <c r="R1891" s="5" t="n">
        <f aca="false">_xlfn.XLOOKUP(C1891, [1]Estado_Equipos!A$2:A$500, [1]Estado_Equipos!J$2:J$500, "")</f>
        <v>75</v>
      </c>
      <c r="S1891" s="5" t="n">
        <f aca="false">IF(H1891&lt;=16,1.45,
IF(H1891&gt;=41,0.3,
CHOOSE(ROUNDDOWN((H1891-16)/2,0)+1,
1.45,1.38,1.3,1.23,1.17,1.15,1.12,1.05,0.95,0.8,0.6,0.4,0.3)))</f>
        <v>1.15</v>
      </c>
      <c r="T1891" s="5" t="n">
        <f aca="false">CHOOSE(N1891+1,1.2,1,0.85,0.7)</f>
        <v>1.2</v>
      </c>
      <c r="U1891" s="5" t="n">
        <f aca="false">IF(F1891="PO",0.6,
IF(F1891="CT",0.75,
IF(F1891="LI",0.8,
IF(F1891="LD",0.8,
IF(F1891="MCD",0.85,
IF(F1891="MC",0.95,
IF(F1891="MO",1.05,
IF(F1891="EI",1.1,
IF(F1891="ED",1.1,
IF(F1891="SD",1.15,
IF(F1891="DC",1.2,0)))))))))))</f>
        <v>0.95</v>
      </c>
    </row>
    <row r="1892" customFormat="false" ht="16.4" hidden="false" customHeight="false" outlineLevel="0" collapsed="false">
      <c r="A1892" s="1" t="n">
        <v>1891</v>
      </c>
      <c r="B1892" s="5" t="str">
        <f aca="false">[1]Base_Jugadores!B1892</f>
        <v>Andrija Maksimovic</v>
      </c>
      <c r="C1892" s="5" t="str">
        <f aca="false">IFERROR(
   _xlfn.XLOOKUP(VALUE(A1892),[1]Fichajes_Realizados!A$2:A$50000,[1]Fichajes_Realizados!D$2:D$50000,,0,-1),
   _xlfn.XLOOKUP(VALUE(A1892),[1]Base_Jugadores!A$2:A$50000,[1]Base_Jugadores!C$2:C$50000)
)</f>
        <v>RB Leipzig</v>
      </c>
      <c r="D1892" s="5" t="str">
        <f aca="false">[1]Base_Jugadores!D1892</f>
        <v>Serbia</v>
      </c>
      <c r="E1892" s="3"/>
      <c r="F1892" s="5" t="str">
        <f aca="false">[1]Base_Jugadores!E1892</f>
        <v>MO</v>
      </c>
      <c r="G1892" s="5" t="n">
        <f aca="false">[1]Base_Jugadores!F1892</f>
        <v>66</v>
      </c>
      <c r="H1892" s="5" t="n">
        <f aca="false">[1]Base_Jugadores!G1892</f>
        <v>18</v>
      </c>
      <c r="I1892" s="7" t="n">
        <f aca="false" t="array" ref="I1892:I1892">_xlfn.XLOOKUP(G1892,{55;56;57;58;59;60;61;62;63;64;65;66;67;68;69;70;71;72;73;74;75;76;77;78;79;80;81;82;83;84;85;86;87;88;89;90;91;92;93;94;95;96;97;98;99},{100000;130000;160000;190000;220000;250000;300000;350000;400000;450000;500000;600000;700000;800000;900000;1000000;1500000;2000000;3000000;4000000;5000000;6500000;8000000;10000000;12500000;15000000;20000000;25000000;30000000;35000000;40000000;55000000;70000000;80000000;90000000;110000000;130000000;160000000;190000000;220000000;250000000;280000000;310000000;340000000;400000000})</f>
        <v>600000</v>
      </c>
      <c r="J1892" s="7" t="n">
        <f aca="false">I1892*S1892*T1892*U1892</f>
        <v>1043280</v>
      </c>
      <c r="K1892" s="3"/>
      <c r="L1892" s="3"/>
      <c r="M1892" s="3"/>
      <c r="N1892" s="9" t="n">
        <v>0</v>
      </c>
      <c r="O1892" s="4" t="n">
        <v>0</v>
      </c>
      <c r="P1892" s="5" t="n">
        <f aca="false">IF(COUNTIF([1]Base_Jugadores!J$2:J$500,B1892)&gt;0,1,0)</f>
        <v>0</v>
      </c>
      <c r="Q1892" s="10" t="b">
        <f aca="false">--(COUNTIFS(
   [1]Fichajes_Realizados!A$2:A$5000,A1892,
   [1]Fichajes_Realizados!G$2:G$5000,$X$3
)&gt;0)</f>
        <v>0</v>
      </c>
      <c r="R1892" s="5" t="n">
        <f aca="false">_xlfn.XLOOKUP(C1892, [1]Estado_Equipos!A$2:A$500, [1]Estado_Equipos!J$2:J$500, "")</f>
        <v>75</v>
      </c>
      <c r="S1892" s="5" t="n">
        <f aca="false">IF(H1892&lt;=16,1.45,
IF(H1892&gt;=41,0.3,
CHOOSE(ROUNDDOWN((H1892-16)/2,0)+1,
1.45,1.38,1.3,1.23,1.17,1.15,1.12,1.05,0.95,0.8,0.6,0.4,0.3)))</f>
        <v>1.38</v>
      </c>
      <c r="T1892" s="5" t="n">
        <f aca="false">CHOOSE(N1892+1,1.2,1,0.85,0.7)</f>
        <v>1.2</v>
      </c>
      <c r="U1892" s="5" t="n">
        <f aca="false">IF(F1892="PO",0.6,
IF(F1892="CT",0.75,
IF(F1892="LI",0.8,
IF(F1892="LD",0.8,
IF(F1892="MCD",0.85,
IF(F1892="MC",0.95,
IF(F1892="MO",1.05,
IF(F1892="EI",1.1,
IF(F1892="ED",1.1,
IF(F1892="SD",1.15,
IF(F1892="DC",1.2,0)))))))))))</f>
        <v>1.05</v>
      </c>
    </row>
    <row r="1893" customFormat="false" ht="16.4" hidden="false" customHeight="false" outlineLevel="0" collapsed="false">
      <c r="A1893" s="1" t="n">
        <v>1892</v>
      </c>
      <c r="B1893" s="5" t="str">
        <f aca="false">[1]Base_Jugadores!B1893</f>
        <v>Antonio Nusa</v>
      </c>
      <c r="C1893" s="5" t="str">
        <f aca="false">IFERROR(
   _xlfn.XLOOKUP(VALUE(A1893),[1]Fichajes_Realizados!A$2:A$50000,[1]Fichajes_Realizados!D$2:D$50000,,0,-1),
   _xlfn.XLOOKUP(VALUE(A1893),[1]Base_Jugadores!A$2:A$50000,[1]Base_Jugadores!C$2:C$50000)
)</f>
        <v>RB Leipzig</v>
      </c>
      <c r="D1893" s="5" t="str">
        <f aca="false">[1]Base_Jugadores!D1893</f>
        <v>Noruega</v>
      </c>
      <c r="E1893" s="3"/>
      <c r="F1893" s="5" t="str">
        <f aca="false">[1]Base_Jugadores!E1893</f>
        <v>EI</v>
      </c>
      <c r="G1893" s="5" t="n">
        <f aca="false">[1]Base_Jugadores!F1893</f>
        <v>77</v>
      </c>
      <c r="H1893" s="5" t="n">
        <f aca="false">[1]Base_Jugadores!G1893</f>
        <v>20</v>
      </c>
      <c r="I1893" s="7" t="n">
        <f aca="false" t="array" ref="I1893:I1893">_xlfn.XLOOKUP(G1893,{55;56;57;58;59;60;61;62;63;64;65;66;67;68;69;70;71;72;73;74;75;76;77;78;79;80;81;82;83;84;85;86;87;88;89;90;91;92;93;94;95;96;97;98;99},{100000;130000;160000;190000;220000;250000;300000;350000;400000;450000;500000;600000;700000;800000;900000;1000000;1500000;2000000;3000000;4000000;5000000;6500000;8000000;10000000;12500000;15000000;20000000;25000000;30000000;35000000;40000000;55000000;70000000;80000000;90000000;110000000;130000000;160000000;190000000;220000000;250000000;280000000;310000000;340000000;400000000})</f>
        <v>8000000</v>
      </c>
      <c r="J1893" s="7" t="n">
        <f aca="false">I1893*S1893*T1893*U1893</f>
        <v>13728000</v>
      </c>
      <c r="K1893" s="3"/>
      <c r="L1893" s="3"/>
      <c r="M1893" s="3"/>
      <c r="N1893" s="9" t="n">
        <v>0</v>
      </c>
      <c r="O1893" s="4" t="n">
        <v>0</v>
      </c>
      <c r="P1893" s="5" t="n">
        <f aca="false">IF(COUNTIF([1]Base_Jugadores!J$2:J$500,B1893)&gt;0,1,0)</f>
        <v>0</v>
      </c>
      <c r="Q1893" s="10" t="b">
        <f aca="false">--(COUNTIFS(
   [1]Fichajes_Realizados!A$2:A$5000,A1893,
   [1]Fichajes_Realizados!G$2:G$5000,$X$3
)&gt;0)</f>
        <v>0</v>
      </c>
      <c r="R1893" s="5" t="n">
        <f aca="false">_xlfn.XLOOKUP(C1893, [1]Estado_Equipos!A$2:A$500, [1]Estado_Equipos!J$2:J$500, "")</f>
        <v>75</v>
      </c>
      <c r="S1893" s="5" t="n">
        <f aca="false">IF(H1893&lt;=16,1.45,
IF(H1893&gt;=41,0.3,
CHOOSE(ROUNDDOWN((H1893-16)/2,0)+1,
1.45,1.38,1.3,1.23,1.17,1.15,1.12,1.05,0.95,0.8,0.6,0.4,0.3)))</f>
        <v>1.3</v>
      </c>
      <c r="T1893" s="5" t="n">
        <f aca="false">CHOOSE(N1893+1,1.2,1,0.85,0.7)</f>
        <v>1.2</v>
      </c>
      <c r="U1893" s="5" t="n">
        <f aca="false">IF(F1893="PO",0.6,
IF(F1893="CT",0.75,
IF(F1893="LI",0.8,
IF(F1893="LD",0.8,
IF(F1893="MCD",0.85,
IF(F1893="MC",0.95,
IF(F1893="MO",1.05,
IF(F1893="EI",1.1,
IF(F1893="ED",1.1,
IF(F1893="SD",1.15,
IF(F1893="DC",1.2,0)))))))))))</f>
        <v>1.1</v>
      </c>
    </row>
    <row r="1894" customFormat="false" ht="16.4" hidden="false" customHeight="false" outlineLevel="0" collapsed="false">
      <c r="A1894" s="1" t="n">
        <v>1893</v>
      </c>
      <c r="B1894" s="5" t="str">
        <f aca="false">[1]Base_Jugadores!B1894</f>
        <v>Assan Ouédraogo</v>
      </c>
      <c r="C1894" s="5" t="str">
        <f aca="false">IFERROR(
   _xlfn.XLOOKUP(VALUE(A1894),[1]Fichajes_Realizados!A$2:A$50000,[1]Fichajes_Realizados!D$2:D$50000,,0,-1),
   _xlfn.XLOOKUP(VALUE(A1894),[1]Base_Jugadores!A$2:A$50000,[1]Base_Jugadores!C$2:C$50000)
)</f>
        <v>RB Leipzig</v>
      </c>
      <c r="D1894" s="5" t="str">
        <f aca="false">[1]Base_Jugadores!D1894</f>
        <v>Alemania</v>
      </c>
      <c r="E1894" s="3"/>
      <c r="F1894" s="5" t="str">
        <f aca="false">[1]Base_Jugadores!E1894</f>
        <v>MC</v>
      </c>
      <c r="G1894" s="5" t="n">
        <f aca="false">[1]Base_Jugadores!F1894</f>
        <v>71</v>
      </c>
      <c r="H1894" s="5" t="n">
        <f aca="false">[1]Base_Jugadores!G1894</f>
        <v>19</v>
      </c>
      <c r="I1894" s="7" t="n">
        <f aca="false" t="array" ref="I1894:I1894">_xlfn.XLOOKUP(G1894,{55;56;57;58;59;60;61;62;63;64;65;66;67;68;69;70;71;72;73;74;75;76;77;78;79;80;81;82;83;84;85;86;87;88;89;90;91;92;93;94;95;96;97;98;99},{100000;130000;160000;190000;220000;250000;300000;350000;400000;450000;500000;600000;700000;800000;900000;1000000;1500000;2000000;3000000;4000000;5000000;6500000;8000000;10000000;12500000;15000000;20000000;25000000;30000000;35000000;40000000;55000000;70000000;80000000;90000000;110000000;130000000;160000000;190000000;220000000;250000000;280000000;310000000;340000000;400000000})</f>
        <v>1500000</v>
      </c>
      <c r="J1894" s="7" t="n">
        <f aca="false">I1894*S1894*T1894*U1894</f>
        <v>2359800</v>
      </c>
      <c r="K1894" s="3"/>
      <c r="L1894" s="3"/>
      <c r="M1894" s="3"/>
      <c r="N1894" s="9" t="n">
        <v>0</v>
      </c>
      <c r="O1894" s="4" t="n">
        <v>0</v>
      </c>
      <c r="P1894" s="5" t="n">
        <f aca="false">IF(COUNTIF([1]Base_Jugadores!J$2:J$500,B1894)&gt;0,1,0)</f>
        <v>0</v>
      </c>
      <c r="Q1894" s="10" t="b">
        <f aca="false">--(COUNTIFS(
   [1]Fichajes_Realizados!A$2:A$5000,A1894,
   [1]Fichajes_Realizados!G$2:G$5000,$X$3
)&gt;0)</f>
        <v>0</v>
      </c>
      <c r="R1894" s="5" t="n">
        <f aca="false">_xlfn.XLOOKUP(C1894, [1]Estado_Equipos!A$2:A$500, [1]Estado_Equipos!J$2:J$500, "")</f>
        <v>75</v>
      </c>
      <c r="S1894" s="5" t="n">
        <f aca="false">IF(H1894&lt;=16,1.45,
IF(H1894&gt;=41,0.3,
CHOOSE(ROUNDDOWN((H1894-16)/2,0)+1,
1.45,1.38,1.3,1.23,1.17,1.15,1.12,1.05,0.95,0.8,0.6,0.4,0.3)))</f>
        <v>1.38</v>
      </c>
      <c r="T1894" s="5" t="n">
        <f aca="false">CHOOSE(N1894+1,1.2,1,0.85,0.7)</f>
        <v>1.2</v>
      </c>
      <c r="U1894" s="5" t="n">
        <f aca="false">IF(F1894="PO",0.6,
IF(F1894="CT",0.75,
IF(F1894="LI",0.8,
IF(F1894="LD",0.8,
IF(F1894="MCD",0.85,
IF(F1894="MC",0.95,
IF(F1894="MO",1.05,
IF(F1894="EI",1.1,
IF(F1894="ED",1.1,
IF(F1894="SD",1.15,
IF(F1894="DC",1.2,0)))))))))))</f>
        <v>0.95</v>
      </c>
    </row>
    <row r="1895" customFormat="false" ht="16.4" hidden="false" customHeight="false" outlineLevel="0" collapsed="false">
      <c r="A1895" s="1" t="n">
        <v>1894</v>
      </c>
      <c r="B1895" s="5" t="str">
        <f aca="false">[1]Base_Jugadores!B1895</f>
        <v>Benjamin Henrichs</v>
      </c>
      <c r="C1895" s="5" t="str">
        <f aca="false">IFERROR(
   _xlfn.XLOOKUP(VALUE(A1895),[1]Fichajes_Realizados!A$2:A$50000,[1]Fichajes_Realizados!D$2:D$50000,,0,-1),
   _xlfn.XLOOKUP(VALUE(A1895),[1]Base_Jugadores!A$2:A$50000,[1]Base_Jugadores!C$2:C$50000)
)</f>
        <v>RB Leipzig</v>
      </c>
      <c r="D1895" s="5" t="str">
        <f aca="false">[1]Base_Jugadores!D1895</f>
        <v>Alemania</v>
      </c>
      <c r="E1895" s="3"/>
      <c r="F1895" s="5" t="str">
        <f aca="false">[1]Base_Jugadores!E1895</f>
        <v>LD</v>
      </c>
      <c r="G1895" s="5" t="n">
        <f aca="false">[1]Base_Jugadores!F1895</f>
        <v>81</v>
      </c>
      <c r="H1895" s="5" t="n">
        <f aca="false">[1]Base_Jugadores!G1895</f>
        <v>28</v>
      </c>
      <c r="I1895" s="7" t="n">
        <f aca="false" t="array" ref="I1895:I1895">_xlfn.XLOOKUP(G1895,{55;56;57;58;59;60;61;62;63;64;65;66;67;68;69;70;71;72;73;74;75;76;77;78;79;80;81;82;83;84;85;86;87;88;89;90;91;92;93;94;95;96;97;98;99},{100000;130000;160000;190000;220000;250000;300000;350000;400000;450000;500000;600000;700000;800000;900000;1000000;1500000;2000000;3000000;4000000;5000000;6500000;8000000;10000000;12500000;15000000;20000000;25000000;30000000;35000000;40000000;55000000;70000000;80000000;90000000;110000000;130000000;160000000;190000000;220000000;250000000;280000000;310000000;340000000;400000000})</f>
        <v>20000000</v>
      </c>
      <c r="J1895" s="7" t="n">
        <f aca="false">I1895*S1895*T1895*U1895</f>
        <v>21504000</v>
      </c>
      <c r="K1895" s="3"/>
      <c r="L1895" s="3"/>
      <c r="M1895" s="3"/>
      <c r="N1895" s="9" t="n">
        <v>0</v>
      </c>
      <c r="O1895" s="4" t="n">
        <v>0</v>
      </c>
      <c r="P1895" s="5" t="n">
        <f aca="false">IF(COUNTIF([1]Base_Jugadores!J$2:J$500,B1895)&gt;0,1,0)</f>
        <v>0</v>
      </c>
      <c r="Q1895" s="10" t="b">
        <f aca="false">--(COUNTIFS(
   [1]Fichajes_Realizados!A$2:A$5000,A1895,
   [1]Fichajes_Realizados!G$2:G$5000,$X$3
)&gt;0)</f>
        <v>0</v>
      </c>
      <c r="R1895" s="5" t="n">
        <f aca="false">_xlfn.XLOOKUP(C1895, [1]Estado_Equipos!A$2:A$500, [1]Estado_Equipos!J$2:J$500, "")</f>
        <v>75</v>
      </c>
      <c r="S1895" s="5" t="n">
        <f aca="false">IF(H1895&lt;=16,1.45,
IF(H1895&gt;=41,0.3,
CHOOSE(ROUNDDOWN((H1895-16)/2,0)+1,
1.45,1.38,1.3,1.23,1.17,1.15,1.12,1.05,0.95,0.8,0.6,0.4,0.3)))</f>
        <v>1.12</v>
      </c>
      <c r="T1895" s="5" t="n">
        <f aca="false">CHOOSE(N1895+1,1.2,1,0.85,0.7)</f>
        <v>1.2</v>
      </c>
      <c r="U1895" s="5" t="n">
        <f aca="false">IF(F1895="PO",0.6,
IF(F1895="CT",0.75,
IF(F1895="LI",0.8,
IF(F1895="LD",0.8,
IF(F1895="MCD",0.85,
IF(F1895="MC",0.95,
IF(F1895="MO",1.05,
IF(F1895="EI",1.1,
IF(F1895="ED",1.1,
IF(F1895="SD",1.15,
IF(F1895="DC",1.2,0)))))))))))</f>
        <v>0.8</v>
      </c>
    </row>
    <row r="1896" customFormat="false" ht="16.4" hidden="false" customHeight="false" outlineLevel="0" collapsed="false">
      <c r="A1896" s="1" t="n">
        <v>1895</v>
      </c>
      <c r="B1896" s="5" t="str">
        <f aca="false">[1]Base_Jugadores!B1896</f>
        <v>Castello Lukeba</v>
      </c>
      <c r="C1896" s="5" t="str">
        <f aca="false">IFERROR(
   _xlfn.XLOOKUP(VALUE(A1896),[1]Fichajes_Realizados!A$2:A$50000,[1]Fichajes_Realizados!D$2:D$50000,,0,-1),
   _xlfn.XLOOKUP(VALUE(A1896),[1]Base_Jugadores!A$2:A$50000,[1]Base_Jugadores!C$2:C$50000)
)</f>
        <v>RB Leipzig</v>
      </c>
      <c r="D1896" s="5" t="str">
        <f aca="false">[1]Base_Jugadores!D1896</f>
        <v>Francia</v>
      </c>
      <c r="E1896" s="3"/>
      <c r="F1896" s="5" t="str">
        <f aca="false">[1]Base_Jugadores!E1896</f>
        <v>CT</v>
      </c>
      <c r="G1896" s="5" t="n">
        <f aca="false">[1]Base_Jugadores!F1896</f>
        <v>81</v>
      </c>
      <c r="H1896" s="5" t="n">
        <f aca="false">[1]Base_Jugadores!G1896</f>
        <v>23</v>
      </c>
      <c r="I1896" s="7" t="n">
        <f aca="false" t="array" ref="I1896:I1896">_xlfn.XLOOKUP(G1896,{55;56;57;58;59;60;61;62;63;64;65;66;67;68;69;70;71;72;73;74;75;76;77;78;79;80;81;82;83;84;85;86;87;88;89;90;91;92;93;94;95;96;97;98;99},{100000;130000;160000;190000;220000;250000;300000;350000;400000;450000;500000;600000;700000;800000;900000;1000000;1500000;2000000;3000000;4000000;5000000;6500000;8000000;10000000;12500000;15000000;20000000;25000000;30000000;35000000;40000000;55000000;70000000;80000000;90000000;110000000;130000000;160000000;190000000;220000000;250000000;280000000;310000000;340000000;400000000})</f>
        <v>20000000</v>
      </c>
      <c r="J1896" s="7" t="n">
        <f aca="false">I1896*S1896*T1896*U1896</f>
        <v>22140000</v>
      </c>
      <c r="K1896" s="3"/>
      <c r="L1896" s="3"/>
      <c r="M1896" s="3"/>
      <c r="N1896" s="9" t="n">
        <v>0</v>
      </c>
      <c r="O1896" s="4" t="n">
        <v>0</v>
      </c>
      <c r="P1896" s="5" t="n">
        <f aca="false">IF(COUNTIF([1]Base_Jugadores!J$2:J$500,B1896)&gt;0,1,0)</f>
        <v>0</v>
      </c>
      <c r="Q1896" s="10" t="b">
        <f aca="false">--(COUNTIFS(
   [1]Fichajes_Realizados!A$2:A$5000,A1896,
   [1]Fichajes_Realizados!G$2:G$5000,$X$3
)&gt;0)</f>
        <v>0</v>
      </c>
      <c r="R1896" s="5" t="n">
        <f aca="false">_xlfn.XLOOKUP(C1896, [1]Estado_Equipos!A$2:A$500, [1]Estado_Equipos!J$2:J$500, "")</f>
        <v>75</v>
      </c>
      <c r="S1896" s="5" t="n">
        <f aca="false">IF(H1896&lt;=16,1.45,
IF(H1896&gt;=41,0.3,
CHOOSE(ROUNDDOWN((H1896-16)/2,0)+1,
1.45,1.38,1.3,1.23,1.17,1.15,1.12,1.05,0.95,0.8,0.6,0.4,0.3)))</f>
        <v>1.23</v>
      </c>
      <c r="T1896" s="5" t="n">
        <f aca="false">CHOOSE(N1896+1,1.2,1,0.85,0.7)</f>
        <v>1.2</v>
      </c>
      <c r="U1896" s="5" t="n">
        <f aca="false">IF(F1896="PO",0.6,
IF(F1896="CT",0.75,
IF(F1896="LI",0.8,
IF(F1896="LD",0.8,
IF(F1896="MCD",0.85,
IF(F1896="MC",0.95,
IF(F1896="MO",1.05,
IF(F1896="EI",1.1,
IF(F1896="ED",1.1,
IF(F1896="SD",1.15,
IF(F1896="DC",1.2,0)))))))))))</f>
        <v>0.75</v>
      </c>
    </row>
    <row r="1897" customFormat="false" ht="16.4" hidden="false" customHeight="false" outlineLevel="0" collapsed="false">
      <c r="A1897" s="1" t="n">
        <v>1896</v>
      </c>
      <c r="B1897" s="5" t="str">
        <f aca="false">[1]Base_Jugadores!B1897</f>
        <v>C. Baumgartner</v>
      </c>
      <c r="C1897" s="5" t="str">
        <f aca="false">IFERROR(
   _xlfn.XLOOKUP(VALUE(A1897),[1]Fichajes_Realizados!A$2:A$50000,[1]Fichajes_Realizados!D$2:D$50000,,0,-1),
   _xlfn.XLOOKUP(VALUE(A1897),[1]Base_Jugadores!A$2:A$50000,[1]Base_Jugadores!C$2:C$50000)
)</f>
        <v>RB Leipzig</v>
      </c>
      <c r="D1897" s="5" t="str">
        <f aca="false">[1]Base_Jugadores!D1897</f>
        <v>Austria</v>
      </c>
      <c r="E1897" s="3"/>
      <c r="F1897" s="5" t="str">
        <f aca="false">[1]Base_Jugadores!E1897</f>
        <v>MO</v>
      </c>
      <c r="G1897" s="5" t="n">
        <f aca="false">[1]Base_Jugadores!F1897</f>
        <v>80</v>
      </c>
      <c r="H1897" s="5" t="n">
        <f aca="false">[1]Base_Jugadores!G1897</f>
        <v>26</v>
      </c>
      <c r="I1897" s="7" t="n">
        <f aca="false" t="array" ref="I1897:I1897">_xlfn.XLOOKUP(G1897,{55;56;57;58;59;60;61;62;63;64;65;66;67;68;69;70;71;72;73;74;75;76;77;78;79;80;81;82;83;84;85;86;87;88;89;90;91;92;93;94;95;96;97;98;99},{100000;130000;160000;190000;220000;250000;300000;350000;400000;450000;500000;600000;700000;800000;900000;1000000;1500000;2000000;3000000;4000000;5000000;6500000;8000000;10000000;12500000;15000000;20000000;25000000;30000000;35000000;40000000;55000000;70000000;80000000;90000000;110000000;130000000;160000000;190000000;220000000;250000000;280000000;310000000;340000000;400000000})</f>
        <v>15000000</v>
      </c>
      <c r="J1897" s="7" t="n">
        <f aca="false">I1897*S1897*T1897*U1897</f>
        <v>21735000</v>
      </c>
      <c r="K1897" s="3"/>
      <c r="L1897" s="3"/>
      <c r="M1897" s="3"/>
      <c r="N1897" s="9" t="n">
        <v>0</v>
      </c>
      <c r="O1897" s="4" t="n">
        <v>0</v>
      </c>
      <c r="P1897" s="5" t="n">
        <f aca="false">IF(COUNTIF([1]Base_Jugadores!J$2:J$500,B1897)&gt;0,1,0)</f>
        <v>0</v>
      </c>
      <c r="Q1897" s="10" t="b">
        <f aca="false">--(COUNTIFS(
   [1]Fichajes_Realizados!A$2:A$5000,A1897,
   [1]Fichajes_Realizados!G$2:G$5000,$X$3
)&gt;0)</f>
        <v>0</v>
      </c>
      <c r="R1897" s="5" t="n">
        <f aca="false">_xlfn.XLOOKUP(C1897, [1]Estado_Equipos!A$2:A$500, [1]Estado_Equipos!J$2:J$500, "")</f>
        <v>75</v>
      </c>
      <c r="S1897" s="5" t="n">
        <f aca="false">IF(H1897&lt;=16,1.45,
IF(H1897&gt;=41,0.3,
CHOOSE(ROUNDDOWN((H1897-16)/2,0)+1,
1.45,1.38,1.3,1.23,1.17,1.15,1.12,1.05,0.95,0.8,0.6,0.4,0.3)))</f>
        <v>1.15</v>
      </c>
      <c r="T1897" s="5" t="n">
        <f aca="false">CHOOSE(N1897+1,1.2,1,0.85,0.7)</f>
        <v>1.2</v>
      </c>
      <c r="U1897" s="5" t="n">
        <f aca="false">IF(F1897="PO",0.6,
IF(F1897="CT",0.75,
IF(F1897="LI",0.8,
IF(F1897="LD",0.8,
IF(F1897="MCD",0.85,
IF(F1897="MC",0.95,
IF(F1897="MO",1.05,
IF(F1897="EI",1.1,
IF(F1897="ED",1.1,
IF(F1897="SD",1.15,
IF(F1897="DC",1.2,0)))))))))))</f>
        <v>1.05</v>
      </c>
    </row>
    <row r="1898" customFormat="false" ht="16.4" hidden="false" customHeight="false" outlineLevel="0" collapsed="false">
      <c r="A1898" s="1" t="n">
        <v>1897</v>
      </c>
      <c r="B1898" s="5" t="str">
        <f aca="false">[1]Base_Jugadores!B1898</f>
        <v>Conrad Harder</v>
      </c>
      <c r="C1898" s="5" t="str">
        <f aca="false">IFERROR(
   _xlfn.XLOOKUP(VALUE(A1898),[1]Fichajes_Realizados!A$2:A$50000,[1]Fichajes_Realizados!D$2:D$50000,,0,-1),
   _xlfn.XLOOKUP(VALUE(A1898),[1]Base_Jugadores!A$2:A$50000,[1]Base_Jugadores!C$2:C$50000)
)</f>
        <v>RB Leipzig</v>
      </c>
      <c r="D1898" s="5" t="str">
        <f aca="false">[1]Base_Jugadores!D1898</f>
        <v>Dinamarca</v>
      </c>
      <c r="E1898" s="3"/>
      <c r="F1898" s="5" t="str">
        <f aca="false">[1]Base_Jugadores!E1898</f>
        <v>DC</v>
      </c>
      <c r="G1898" s="5" t="n">
        <f aca="false">[1]Base_Jugadores!F1898</f>
        <v>71</v>
      </c>
      <c r="H1898" s="5" t="n">
        <f aca="false">[1]Base_Jugadores!G1898</f>
        <v>20</v>
      </c>
      <c r="I1898" s="7" t="n">
        <f aca="false" t="array" ref="I1898:I1898">_xlfn.XLOOKUP(G1898,{55;56;57;58;59;60;61;62;63;64;65;66;67;68;69;70;71;72;73;74;75;76;77;78;79;80;81;82;83;84;85;86;87;88;89;90;91;92;93;94;95;96;97;98;99},{100000;130000;160000;190000;220000;250000;300000;350000;400000;450000;500000;600000;700000;800000;900000;1000000;1500000;2000000;3000000;4000000;5000000;6500000;8000000;10000000;12500000;15000000;20000000;25000000;30000000;35000000;40000000;55000000;70000000;80000000;90000000;110000000;130000000;160000000;190000000;220000000;250000000;280000000;310000000;340000000;400000000})</f>
        <v>1500000</v>
      </c>
      <c r="J1898" s="7" t="n">
        <f aca="false">I1898*S1898*T1898*U1898</f>
        <v>2808000</v>
      </c>
      <c r="K1898" s="3"/>
      <c r="L1898" s="3"/>
      <c r="M1898" s="3"/>
      <c r="N1898" s="9" t="n">
        <v>0</v>
      </c>
      <c r="O1898" s="4" t="n">
        <v>0</v>
      </c>
      <c r="P1898" s="5" t="n">
        <f aca="false">IF(COUNTIF([1]Base_Jugadores!J$2:J$500,B1898)&gt;0,1,0)</f>
        <v>0</v>
      </c>
      <c r="Q1898" s="10" t="b">
        <f aca="false">--(COUNTIFS(
   [1]Fichajes_Realizados!A$2:A$5000,A1898,
   [1]Fichajes_Realizados!G$2:G$5000,$X$3
)&gt;0)</f>
        <v>0</v>
      </c>
      <c r="R1898" s="5" t="n">
        <f aca="false">_xlfn.XLOOKUP(C1898, [1]Estado_Equipos!A$2:A$500, [1]Estado_Equipos!J$2:J$500, "")</f>
        <v>75</v>
      </c>
      <c r="S1898" s="5" t="n">
        <f aca="false">IF(H1898&lt;=16,1.45,
IF(H1898&gt;=41,0.3,
CHOOSE(ROUNDDOWN((H1898-16)/2,0)+1,
1.45,1.38,1.3,1.23,1.17,1.15,1.12,1.05,0.95,0.8,0.6,0.4,0.3)))</f>
        <v>1.3</v>
      </c>
      <c r="T1898" s="5" t="n">
        <f aca="false">CHOOSE(N1898+1,1.2,1,0.85,0.7)</f>
        <v>1.2</v>
      </c>
      <c r="U1898" s="5" t="n">
        <f aca="false">IF(F1898="PO",0.6,
IF(F1898="CT",0.75,
IF(F1898="LI",0.8,
IF(F1898="LD",0.8,
IF(F1898="MCD",0.85,
IF(F1898="MC",0.95,
IF(F1898="MO",1.05,
IF(F1898="EI",1.1,
IF(F1898="ED",1.1,
IF(F1898="SD",1.15,
IF(F1898="DC",1.2,0)))))))))))</f>
        <v>1.2</v>
      </c>
    </row>
    <row r="1899" customFormat="false" ht="16.4" hidden="false" customHeight="false" outlineLevel="0" collapsed="false">
      <c r="A1899" s="1" t="n">
        <v>1898</v>
      </c>
      <c r="B1899" s="5" t="str">
        <f aca="false">[1]Base_Jugadores!B1899</f>
        <v>David Raum</v>
      </c>
      <c r="C1899" s="5" t="str">
        <f aca="false">IFERROR(
   _xlfn.XLOOKUP(VALUE(A1899),[1]Fichajes_Realizados!A$2:A$50000,[1]Fichajes_Realizados!D$2:D$50000,,0,-1),
   _xlfn.XLOOKUP(VALUE(A1899),[1]Base_Jugadores!A$2:A$50000,[1]Base_Jugadores!C$2:C$50000)
)</f>
        <v>RB Leipzig</v>
      </c>
      <c r="D1899" s="5" t="str">
        <f aca="false">[1]Base_Jugadores!D1899</f>
        <v>Alemania</v>
      </c>
      <c r="E1899" s="3"/>
      <c r="F1899" s="5" t="str">
        <f aca="false">[1]Base_Jugadores!E1899</f>
        <v>LI</v>
      </c>
      <c r="G1899" s="5" t="n">
        <f aca="false">[1]Base_Jugadores!F1899</f>
        <v>81</v>
      </c>
      <c r="H1899" s="5" t="n">
        <f aca="false">[1]Base_Jugadores!G1899</f>
        <v>27</v>
      </c>
      <c r="I1899" s="7" t="n">
        <f aca="false" t="array" ref="I1899:I1899">_xlfn.XLOOKUP(G1899,{55;56;57;58;59;60;61;62;63;64;65;66;67;68;69;70;71;72;73;74;75;76;77;78;79;80;81;82;83;84;85;86;87;88;89;90;91;92;93;94;95;96;97;98;99},{100000;130000;160000;190000;220000;250000;300000;350000;400000;450000;500000;600000;700000;800000;900000;1000000;1500000;2000000;3000000;4000000;5000000;6500000;8000000;10000000;12500000;15000000;20000000;25000000;30000000;35000000;40000000;55000000;70000000;80000000;90000000;110000000;130000000;160000000;190000000;220000000;250000000;280000000;310000000;340000000;400000000})</f>
        <v>20000000</v>
      </c>
      <c r="J1899" s="7" t="n">
        <f aca="false">I1899*S1899*T1899*U1899</f>
        <v>22080000</v>
      </c>
      <c r="K1899" s="3"/>
      <c r="L1899" s="3"/>
      <c r="M1899" s="3"/>
      <c r="N1899" s="9" t="n">
        <v>0</v>
      </c>
      <c r="O1899" s="4" t="n">
        <v>0</v>
      </c>
      <c r="P1899" s="5" t="n">
        <f aca="false">IF(COUNTIF([1]Base_Jugadores!J$2:J$500,B1899)&gt;0,1,0)</f>
        <v>0</v>
      </c>
      <c r="Q1899" s="10" t="b">
        <f aca="false">--(COUNTIFS(
   [1]Fichajes_Realizados!A$2:A$5000,A1899,
   [1]Fichajes_Realizados!G$2:G$5000,$X$3
)&gt;0)</f>
        <v>0</v>
      </c>
      <c r="R1899" s="5" t="n">
        <f aca="false">_xlfn.XLOOKUP(C1899, [1]Estado_Equipos!A$2:A$500, [1]Estado_Equipos!J$2:J$500, "")</f>
        <v>75</v>
      </c>
      <c r="S1899" s="5" t="n">
        <f aca="false">IF(H1899&lt;=16,1.45,
IF(H1899&gt;=41,0.3,
CHOOSE(ROUNDDOWN((H1899-16)/2,0)+1,
1.45,1.38,1.3,1.23,1.17,1.15,1.12,1.05,0.95,0.8,0.6,0.4,0.3)))</f>
        <v>1.15</v>
      </c>
      <c r="T1899" s="5" t="n">
        <f aca="false">CHOOSE(N1899+1,1.2,1,0.85,0.7)</f>
        <v>1.2</v>
      </c>
      <c r="U1899" s="5" t="n">
        <f aca="false">IF(F1899="PO",0.6,
IF(F1899="CT",0.75,
IF(F1899="LI",0.8,
IF(F1899="LD",0.8,
IF(F1899="MCD",0.85,
IF(F1899="MC",0.95,
IF(F1899="MO",1.05,
IF(F1899="EI",1.1,
IF(F1899="ED",1.1,
IF(F1899="SD",1.15,
IF(F1899="DC",1.2,0)))))))))))</f>
        <v>0.8</v>
      </c>
    </row>
    <row r="1900" customFormat="false" ht="16.4" hidden="false" customHeight="false" outlineLevel="0" collapsed="false">
      <c r="A1900" s="1" t="n">
        <v>1899</v>
      </c>
      <c r="B1900" s="5" t="str">
        <f aca="false">[1]Base_Jugadores!B1900</f>
        <v>Bitshiabu</v>
      </c>
      <c r="C1900" s="5" t="str">
        <f aca="false">IFERROR(
   _xlfn.XLOOKUP(VALUE(A1900),[1]Fichajes_Realizados!A$2:A$50000,[1]Fichajes_Realizados!D$2:D$50000,,0,-1),
   _xlfn.XLOOKUP(VALUE(A1900),[1]Base_Jugadores!A$2:A$50000,[1]Base_Jugadores!C$2:C$50000)
)</f>
        <v>RB Leipzig</v>
      </c>
      <c r="D1900" s="5" t="str">
        <f aca="false">[1]Base_Jugadores!D1900</f>
        <v>Francia</v>
      </c>
      <c r="E1900" s="3"/>
      <c r="F1900" s="5" t="str">
        <f aca="false">[1]Base_Jugadores!E1900</f>
        <v>CT</v>
      </c>
      <c r="G1900" s="5" t="n">
        <f aca="false">[1]Base_Jugadores!F1900</f>
        <v>71</v>
      </c>
      <c r="H1900" s="5" t="n">
        <f aca="false">[1]Base_Jugadores!G1900</f>
        <v>20</v>
      </c>
      <c r="I1900" s="7" t="n">
        <f aca="false" t="array" ref="I1900:I1900">_xlfn.XLOOKUP(G1900,{55;56;57;58;59;60;61;62;63;64;65;66;67;68;69;70;71;72;73;74;75;76;77;78;79;80;81;82;83;84;85;86;87;88;89;90;91;92;93;94;95;96;97;98;99},{100000;130000;160000;190000;220000;250000;300000;350000;400000;450000;500000;600000;700000;800000;900000;1000000;1500000;2000000;3000000;4000000;5000000;6500000;8000000;10000000;12500000;15000000;20000000;25000000;30000000;35000000;40000000;55000000;70000000;80000000;90000000;110000000;130000000;160000000;190000000;220000000;250000000;280000000;310000000;340000000;400000000})</f>
        <v>1500000</v>
      </c>
      <c r="J1900" s="7" t="n">
        <f aca="false">I1900*S1900*T1900*U1900</f>
        <v>1755000</v>
      </c>
      <c r="K1900" s="3"/>
      <c r="L1900" s="3"/>
      <c r="M1900" s="3"/>
      <c r="N1900" s="9" t="n">
        <v>0</v>
      </c>
      <c r="O1900" s="4" t="n">
        <v>0</v>
      </c>
      <c r="P1900" s="5" t="n">
        <f aca="false">IF(COUNTIF([1]Base_Jugadores!J$2:J$500,B1900)&gt;0,1,0)</f>
        <v>0</v>
      </c>
      <c r="Q1900" s="10" t="b">
        <f aca="false">--(COUNTIFS(
   [1]Fichajes_Realizados!A$2:A$5000,A1900,
   [1]Fichajes_Realizados!G$2:G$5000,$X$3
)&gt;0)</f>
        <v>0</v>
      </c>
      <c r="R1900" s="5" t="n">
        <f aca="false">_xlfn.XLOOKUP(C1900, [1]Estado_Equipos!A$2:A$500, [1]Estado_Equipos!J$2:J$500, "")</f>
        <v>75</v>
      </c>
      <c r="S1900" s="5" t="n">
        <f aca="false">IF(H1900&lt;=16,1.45,
IF(H1900&gt;=41,0.3,
CHOOSE(ROUNDDOWN((H1900-16)/2,0)+1,
1.45,1.38,1.3,1.23,1.17,1.15,1.12,1.05,0.95,0.8,0.6,0.4,0.3)))</f>
        <v>1.3</v>
      </c>
      <c r="T1900" s="5" t="n">
        <f aca="false">CHOOSE(N1900+1,1.2,1,0.85,0.7)</f>
        <v>1.2</v>
      </c>
      <c r="U1900" s="5" t="n">
        <f aca="false">IF(F1900="PO",0.6,
IF(F1900="CT",0.75,
IF(F1900="LI",0.8,
IF(F1900="LD",0.8,
IF(F1900="MCD",0.85,
IF(F1900="MC",0.95,
IF(F1900="MO",1.05,
IF(F1900="EI",1.1,
IF(F1900="ED",1.1,
IF(F1900="SD",1.15,
IF(F1900="DC",1.2,0)))))))))))</f>
        <v>0.75</v>
      </c>
    </row>
    <row r="1901" customFormat="false" ht="16.4" hidden="false" customHeight="false" outlineLevel="0" collapsed="false">
      <c r="A1901" s="1" t="n">
        <v>1900</v>
      </c>
      <c r="B1901" s="5" t="str">
        <f aca="false">[1]Base_Jugadores!B1901</f>
        <v>Ezechiel Banzuzi</v>
      </c>
      <c r="C1901" s="5" t="str">
        <f aca="false">IFERROR(
   _xlfn.XLOOKUP(VALUE(A1901),[1]Fichajes_Realizados!A$2:A$50000,[1]Fichajes_Realizados!D$2:D$50000,,0,-1),
   _xlfn.XLOOKUP(VALUE(A1901),[1]Base_Jugadores!A$2:A$50000,[1]Base_Jugadores!C$2:C$50000)
)</f>
        <v>RB Leipzig</v>
      </c>
      <c r="D1901" s="5" t="str">
        <f aca="false">[1]Base_Jugadores!D1901</f>
        <v>Países Bajos</v>
      </c>
      <c r="E1901" s="3"/>
      <c r="F1901" s="5" t="str">
        <f aca="false">[1]Base_Jugadores!E1901</f>
        <v>MC</v>
      </c>
      <c r="G1901" s="5" t="n">
        <f aca="false">[1]Base_Jugadores!F1901</f>
        <v>70</v>
      </c>
      <c r="H1901" s="5" t="n">
        <f aca="false">[1]Base_Jugadores!G1901</f>
        <v>20</v>
      </c>
      <c r="I1901" s="7" t="n">
        <f aca="false" t="array" ref="I1901:I1901">_xlfn.XLOOKUP(G1901,{55;56;57;58;59;60;61;62;63;64;65;66;67;68;69;70;71;72;73;74;75;76;77;78;79;80;81;82;83;84;85;86;87;88;89;90;91;92;93;94;95;96;97;98;99},{100000;130000;160000;190000;220000;250000;300000;350000;400000;450000;500000;600000;700000;800000;900000;1000000;1500000;2000000;3000000;4000000;5000000;6500000;8000000;10000000;12500000;15000000;20000000;25000000;30000000;35000000;40000000;55000000;70000000;80000000;90000000;110000000;130000000;160000000;190000000;220000000;250000000;280000000;310000000;340000000;400000000})</f>
        <v>1000000</v>
      </c>
      <c r="J1901" s="7" t="n">
        <f aca="false">I1901*S1901*T1901*U1901</f>
        <v>1482000</v>
      </c>
      <c r="K1901" s="3"/>
      <c r="L1901" s="3"/>
      <c r="M1901" s="3"/>
      <c r="N1901" s="9" t="n">
        <v>0</v>
      </c>
      <c r="O1901" s="4" t="n">
        <v>0</v>
      </c>
      <c r="P1901" s="5" t="n">
        <f aca="false">IF(COUNTIF([1]Base_Jugadores!J$2:J$500,B1901)&gt;0,1,0)</f>
        <v>0</v>
      </c>
      <c r="Q1901" s="10" t="b">
        <f aca="false">--(COUNTIFS(
   [1]Fichajes_Realizados!A$2:A$5000,A1901,
   [1]Fichajes_Realizados!G$2:G$5000,$X$3
)&gt;0)</f>
        <v>0</v>
      </c>
      <c r="R1901" s="5" t="n">
        <f aca="false">_xlfn.XLOOKUP(C1901, [1]Estado_Equipos!A$2:A$500, [1]Estado_Equipos!J$2:J$500, "")</f>
        <v>75</v>
      </c>
      <c r="S1901" s="5" t="n">
        <f aca="false">IF(H1901&lt;=16,1.45,
IF(H1901&gt;=41,0.3,
CHOOSE(ROUNDDOWN((H1901-16)/2,0)+1,
1.45,1.38,1.3,1.23,1.17,1.15,1.12,1.05,0.95,0.8,0.6,0.4,0.3)))</f>
        <v>1.3</v>
      </c>
      <c r="T1901" s="5" t="n">
        <f aca="false">CHOOSE(N1901+1,1.2,1,0.85,0.7)</f>
        <v>1.2</v>
      </c>
      <c r="U1901" s="5" t="n">
        <f aca="false">IF(F1901="PO",0.6,
IF(F1901="CT",0.75,
IF(F1901="LI",0.8,
IF(F1901="LD",0.8,
IF(F1901="MCD",0.85,
IF(F1901="MC",0.95,
IF(F1901="MO",1.05,
IF(F1901="EI",1.1,
IF(F1901="ED",1.1,
IF(F1901="SD",1.15,
IF(F1901="DC",1.2,0)))))))))))</f>
        <v>0.95</v>
      </c>
    </row>
    <row r="1902" customFormat="false" ht="16.4" hidden="false" customHeight="false" outlineLevel="0" collapsed="false">
      <c r="A1902" s="1" t="n">
        <v>1901</v>
      </c>
      <c r="B1902" s="5" t="str">
        <f aca="false">[1]Base_Jugadores!B1902</f>
        <v>Johan Bakayoko</v>
      </c>
      <c r="C1902" s="5" t="str">
        <f aca="false">IFERROR(
   _xlfn.XLOOKUP(VALUE(A1902),[1]Fichajes_Realizados!A$2:A$50000,[1]Fichajes_Realizados!D$2:D$50000,,0,-1),
   _xlfn.XLOOKUP(VALUE(A1902),[1]Base_Jugadores!A$2:A$50000,[1]Base_Jugadores!C$2:C$50000)
)</f>
        <v>RB Leipzig</v>
      </c>
      <c r="D1902" s="5" t="str">
        <f aca="false">[1]Base_Jugadores!D1902</f>
        <v>Bélgica</v>
      </c>
      <c r="E1902" s="3"/>
      <c r="F1902" s="5" t="str">
        <f aca="false">[1]Base_Jugadores!E1902</f>
        <v>ED</v>
      </c>
      <c r="G1902" s="5" t="n">
        <f aca="false">[1]Base_Jugadores!F1902</f>
        <v>79</v>
      </c>
      <c r="H1902" s="5" t="n">
        <f aca="false">[1]Base_Jugadores!G1902</f>
        <v>22</v>
      </c>
      <c r="I1902" s="7" t="n">
        <f aca="false" t="array" ref="I1902:I1902">_xlfn.XLOOKUP(G1902,{55;56;57;58;59;60;61;62;63;64;65;66;67;68;69;70;71;72;73;74;75;76;77;78;79;80;81;82;83;84;85;86;87;88;89;90;91;92;93;94;95;96;97;98;99},{100000;130000;160000;190000;220000;250000;300000;350000;400000;450000;500000;600000;700000;800000;900000;1000000;1500000;2000000;3000000;4000000;5000000;6500000;8000000;10000000;12500000;15000000;20000000;25000000;30000000;35000000;40000000;55000000;70000000;80000000;90000000;110000000;130000000;160000000;190000000;220000000;250000000;280000000;310000000;340000000;400000000})</f>
        <v>12500000</v>
      </c>
      <c r="J1902" s="7" t="n">
        <f aca="false">I1902*S1902*T1902*U1902</f>
        <v>20295000</v>
      </c>
      <c r="K1902" s="3"/>
      <c r="L1902" s="3"/>
      <c r="M1902" s="3"/>
      <c r="N1902" s="9" t="n">
        <v>0</v>
      </c>
      <c r="O1902" s="4" t="n">
        <v>0</v>
      </c>
      <c r="P1902" s="5" t="n">
        <f aca="false">IF(COUNTIF([1]Base_Jugadores!J$2:J$500,B1902)&gt;0,1,0)</f>
        <v>0</v>
      </c>
      <c r="Q1902" s="10" t="b">
        <f aca="false">--(COUNTIFS(
   [1]Fichajes_Realizados!A$2:A$5000,A1902,
   [1]Fichajes_Realizados!G$2:G$5000,$X$3
)&gt;0)</f>
        <v>0</v>
      </c>
      <c r="R1902" s="5" t="n">
        <f aca="false">_xlfn.XLOOKUP(C1902, [1]Estado_Equipos!A$2:A$500, [1]Estado_Equipos!J$2:J$500, "")</f>
        <v>75</v>
      </c>
      <c r="S1902" s="5" t="n">
        <f aca="false">IF(H1902&lt;=16,1.45,
IF(H1902&gt;=41,0.3,
CHOOSE(ROUNDDOWN((H1902-16)/2,0)+1,
1.45,1.38,1.3,1.23,1.17,1.15,1.12,1.05,0.95,0.8,0.6,0.4,0.3)))</f>
        <v>1.23</v>
      </c>
      <c r="T1902" s="5" t="n">
        <f aca="false">CHOOSE(N1902+1,1.2,1,0.85,0.7)</f>
        <v>1.2</v>
      </c>
      <c r="U1902" s="5" t="n">
        <f aca="false">IF(F1902="PO",0.6,
IF(F1902="CT",0.75,
IF(F1902="LI",0.8,
IF(F1902="LD",0.8,
IF(F1902="MCD",0.85,
IF(F1902="MC",0.95,
IF(F1902="MO",1.05,
IF(F1902="EI",1.1,
IF(F1902="ED",1.1,
IF(F1902="SD",1.15,
IF(F1902="DC",1.2,0)))))))))))</f>
        <v>1.1</v>
      </c>
    </row>
    <row r="1903" customFormat="false" ht="16.4" hidden="false" customHeight="false" outlineLevel="0" collapsed="false">
      <c r="A1903" s="1" t="n">
        <v>1902</v>
      </c>
      <c r="B1903" s="5" t="str">
        <f aca="false">[1]Base_Jugadores!B1903</f>
        <v>Kevin Kampl</v>
      </c>
      <c r="C1903" s="5" t="str">
        <f aca="false">IFERROR(
   _xlfn.XLOOKUP(VALUE(A1903),[1]Fichajes_Realizados!A$2:A$50000,[1]Fichajes_Realizados!D$2:D$50000,,0,-1),
   _xlfn.XLOOKUP(VALUE(A1903),[1]Base_Jugadores!A$2:A$50000,[1]Base_Jugadores!C$2:C$50000)
)</f>
        <v>RB Leipzig</v>
      </c>
      <c r="D1903" s="5" t="str">
        <f aca="false">[1]Base_Jugadores!D1903</f>
        <v>Eslovenia</v>
      </c>
      <c r="E1903" s="3"/>
      <c r="F1903" s="5" t="str">
        <f aca="false">[1]Base_Jugadores!E1903</f>
        <v>MC</v>
      </c>
      <c r="G1903" s="5" t="n">
        <f aca="false">[1]Base_Jugadores!F1903</f>
        <v>79</v>
      </c>
      <c r="H1903" s="5" t="n">
        <f aca="false">[1]Base_Jugadores!G1903</f>
        <v>35</v>
      </c>
      <c r="I1903" s="7" t="n">
        <f aca="false" t="array" ref="I1903:I1903">_xlfn.XLOOKUP(G1903,{55;56;57;58;59;60;61;62;63;64;65;66;67;68;69;70;71;72;73;74;75;76;77;78;79;80;81;82;83;84;85;86;87;88;89;90;91;92;93;94;95;96;97;98;99},{100000;130000;160000;190000;220000;250000;300000;350000;400000;450000;500000;600000;700000;800000;900000;1000000;1500000;2000000;3000000;4000000;5000000;6500000;8000000;10000000;12500000;15000000;20000000;25000000;30000000;35000000;40000000;55000000;70000000;80000000;90000000;110000000;130000000;160000000;190000000;220000000;250000000;280000000;310000000;340000000;400000000})</f>
        <v>12500000</v>
      </c>
      <c r="J1903" s="7" t="n">
        <f aca="false">I1903*S1903*T1903*U1903</f>
        <v>11400000</v>
      </c>
      <c r="K1903" s="3"/>
      <c r="L1903" s="3"/>
      <c r="M1903" s="3"/>
      <c r="N1903" s="9" t="n">
        <v>0</v>
      </c>
      <c r="O1903" s="4" t="n">
        <v>0</v>
      </c>
      <c r="P1903" s="5" t="n">
        <f aca="false">IF(COUNTIF([1]Base_Jugadores!J$2:J$500,B1903)&gt;0,1,0)</f>
        <v>0</v>
      </c>
      <c r="Q1903" s="10" t="b">
        <f aca="false">--(COUNTIFS(
   [1]Fichajes_Realizados!A$2:A$5000,A1903,
   [1]Fichajes_Realizados!G$2:G$5000,$X$3
)&gt;0)</f>
        <v>0</v>
      </c>
      <c r="R1903" s="5" t="n">
        <f aca="false">_xlfn.XLOOKUP(C1903, [1]Estado_Equipos!A$2:A$500, [1]Estado_Equipos!J$2:J$500, "")</f>
        <v>75</v>
      </c>
      <c r="S1903" s="5" t="n">
        <f aca="false">IF(H1903&lt;=16,1.45,
IF(H1903&gt;=41,0.3,
CHOOSE(ROUNDDOWN((H1903-16)/2,0)+1,
1.45,1.38,1.3,1.23,1.17,1.15,1.12,1.05,0.95,0.8,0.6,0.4,0.3)))</f>
        <v>0.8</v>
      </c>
      <c r="T1903" s="5" t="n">
        <f aca="false">CHOOSE(N1903+1,1.2,1,0.85,0.7)</f>
        <v>1.2</v>
      </c>
      <c r="U1903" s="5" t="n">
        <f aca="false">IF(F1903="PO",0.6,
IF(F1903="CT",0.75,
IF(F1903="LI",0.8,
IF(F1903="LD",0.8,
IF(F1903="MCD",0.85,
IF(F1903="MC",0.95,
IF(F1903="MO",1.05,
IF(F1903="EI",1.1,
IF(F1903="ED",1.1,
IF(F1903="SD",1.15,
IF(F1903="DC",1.2,0)))))))))))</f>
        <v>0.95</v>
      </c>
    </row>
    <row r="1904" customFormat="false" ht="16.4" hidden="false" customHeight="false" outlineLevel="0" collapsed="false">
      <c r="A1904" s="1" t="n">
        <v>1903</v>
      </c>
      <c r="B1904" s="5" t="str">
        <f aca="false">[1]Base_Jugadores!B1904</f>
        <v>Kosta Nedeljkovic</v>
      </c>
      <c r="C1904" s="5" t="str">
        <f aca="false">IFERROR(
   _xlfn.XLOOKUP(VALUE(A1904),[1]Fichajes_Realizados!A$2:A$50000,[1]Fichajes_Realizados!D$2:D$50000,,0,-1),
   _xlfn.XLOOKUP(VALUE(A1904),[1]Base_Jugadores!A$2:A$50000,[1]Base_Jugadores!C$2:C$50000)
)</f>
        <v>RB Leipzig</v>
      </c>
      <c r="D1904" s="5" t="str">
        <f aca="false">[1]Base_Jugadores!D1904</f>
        <v>Serbia</v>
      </c>
      <c r="E1904" s="3"/>
      <c r="F1904" s="5" t="str">
        <f aca="false">[1]Base_Jugadores!E1904</f>
        <v>LD</v>
      </c>
      <c r="G1904" s="5" t="n">
        <f aca="false">[1]Base_Jugadores!F1904</f>
        <v>68</v>
      </c>
      <c r="H1904" s="5" t="n">
        <f aca="false">[1]Base_Jugadores!G1904</f>
        <v>20</v>
      </c>
      <c r="I1904" s="7" t="n">
        <f aca="false" t="array" ref="I1904:I1904">_xlfn.XLOOKUP(G1904,{55;56;57;58;59;60;61;62;63;64;65;66;67;68;69;70;71;72;73;74;75;76;77;78;79;80;81;82;83;84;85;86;87;88;89;90;91;92;93;94;95;96;97;98;99},{100000;130000;160000;190000;220000;250000;300000;350000;400000;450000;500000;600000;700000;800000;900000;1000000;1500000;2000000;3000000;4000000;5000000;6500000;8000000;10000000;12500000;15000000;20000000;25000000;30000000;35000000;40000000;55000000;70000000;80000000;90000000;110000000;130000000;160000000;190000000;220000000;250000000;280000000;310000000;340000000;400000000})</f>
        <v>800000</v>
      </c>
      <c r="J1904" s="7" t="n">
        <f aca="false">I1904*S1904*T1904*U1904</f>
        <v>998400</v>
      </c>
      <c r="K1904" s="3"/>
      <c r="L1904" s="3"/>
      <c r="M1904" s="3"/>
      <c r="N1904" s="9" t="n">
        <v>0</v>
      </c>
      <c r="O1904" s="4" t="n">
        <v>0</v>
      </c>
      <c r="P1904" s="5" t="n">
        <f aca="false">IF(COUNTIF([1]Base_Jugadores!J$2:J$500,B1904)&gt;0,1,0)</f>
        <v>0</v>
      </c>
      <c r="Q1904" s="10" t="b">
        <f aca="false">--(COUNTIFS(
   [1]Fichajes_Realizados!A$2:A$5000,A1904,
   [1]Fichajes_Realizados!G$2:G$5000,$X$3
)&gt;0)</f>
        <v>0</v>
      </c>
      <c r="R1904" s="5" t="n">
        <f aca="false">_xlfn.XLOOKUP(C1904, [1]Estado_Equipos!A$2:A$500, [1]Estado_Equipos!J$2:J$500, "")</f>
        <v>75</v>
      </c>
      <c r="S1904" s="5" t="n">
        <f aca="false">IF(H1904&lt;=16,1.45,
IF(H1904&gt;=41,0.3,
CHOOSE(ROUNDDOWN((H1904-16)/2,0)+1,
1.45,1.38,1.3,1.23,1.17,1.15,1.12,1.05,0.95,0.8,0.6,0.4,0.3)))</f>
        <v>1.3</v>
      </c>
      <c r="T1904" s="5" t="n">
        <f aca="false">CHOOSE(N1904+1,1.2,1,0.85,0.7)</f>
        <v>1.2</v>
      </c>
      <c r="U1904" s="5" t="n">
        <f aca="false">IF(F1904="PO",0.6,
IF(F1904="CT",0.75,
IF(F1904="LI",0.8,
IF(F1904="LD",0.8,
IF(F1904="MCD",0.85,
IF(F1904="MC",0.95,
IF(F1904="MO",1.05,
IF(F1904="EI",1.1,
IF(F1904="ED",1.1,
IF(F1904="SD",1.15,
IF(F1904="DC",1.2,0)))))))))))</f>
        <v>0.8</v>
      </c>
    </row>
    <row r="1905" customFormat="false" ht="16.4" hidden="false" customHeight="false" outlineLevel="0" collapsed="false">
      <c r="A1905" s="1" t="n">
        <v>1904</v>
      </c>
      <c r="B1905" s="5" t="str">
        <f aca="false">[1]Base_Jugadores!B1905</f>
        <v>Leopold Zingerle</v>
      </c>
      <c r="C1905" s="5" t="str">
        <f aca="false">IFERROR(
   _xlfn.XLOOKUP(VALUE(A1905),[1]Fichajes_Realizados!A$2:A$50000,[1]Fichajes_Realizados!D$2:D$50000,,0,-1),
   _xlfn.XLOOKUP(VALUE(A1905),[1]Base_Jugadores!A$2:A$50000,[1]Base_Jugadores!C$2:C$50000)
)</f>
        <v>RB Leipzig</v>
      </c>
      <c r="D1905" s="5" t="str">
        <f aca="false">[1]Base_Jugadores!D1905</f>
        <v>Alemania</v>
      </c>
      <c r="E1905" s="3"/>
      <c r="F1905" s="5" t="str">
        <f aca="false">[1]Base_Jugadores!E1905</f>
        <v>PO</v>
      </c>
      <c r="G1905" s="5" t="n">
        <f aca="false">[1]Base_Jugadores!F1905</f>
        <v>69</v>
      </c>
      <c r="H1905" s="5" t="n">
        <f aca="false">[1]Base_Jugadores!G1905</f>
        <v>31</v>
      </c>
      <c r="I1905" s="7" t="n">
        <f aca="false" t="array" ref="I1905:I1905">_xlfn.XLOOKUP(G1905,{55;56;57;58;59;60;61;62;63;64;65;66;67;68;69;70;71;72;73;74;75;76;77;78;79;80;81;82;83;84;85;86;87;88;89;90;91;92;93;94;95;96;97;98;99},{100000;130000;160000;190000;220000;250000;300000;350000;400000;450000;500000;600000;700000;800000;900000;1000000;1500000;2000000;3000000;4000000;5000000;6500000;8000000;10000000;12500000;15000000;20000000;25000000;30000000;35000000;40000000;55000000;70000000;80000000;90000000;110000000;130000000;160000000;190000000;220000000;250000000;280000000;310000000;340000000;400000000})</f>
        <v>900000</v>
      </c>
      <c r="J1905" s="7" t="n">
        <f aca="false">I1905*S1905*T1905*U1905</f>
        <v>680400</v>
      </c>
      <c r="K1905" s="3"/>
      <c r="L1905" s="3"/>
      <c r="M1905" s="3"/>
      <c r="N1905" s="9" t="n">
        <v>0</v>
      </c>
      <c r="O1905" s="4" t="n">
        <v>0</v>
      </c>
      <c r="P1905" s="5" t="n">
        <f aca="false">IF(COUNTIF([1]Base_Jugadores!J$2:J$500,B1905)&gt;0,1,0)</f>
        <v>0</v>
      </c>
      <c r="Q1905" s="10" t="b">
        <f aca="false">--(COUNTIFS(
   [1]Fichajes_Realizados!A$2:A$5000,A1905,
   [1]Fichajes_Realizados!G$2:G$5000,$X$3
)&gt;0)</f>
        <v>0</v>
      </c>
      <c r="R1905" s="5" t="n">
        <f aca="false">_xlfn.XLOOKUP(C1905, [1]Estado_Equipos!A$2:A$500, [1]Estado_Equipos!J$2:J$500, "")</f>
        <v>75</v>
      </c>
      <c r="S1905" s="5" t="n">
        <f aca="false">IF(H1905&lt;=16,1.45,
IF(H1905&gt;=41,0.3,
CHOOSE(ROUNDDOWN((H1905-16)/2,0)+1,
1.45,1.38,1.3,1.23,1.17,1.15,1.12,1.05,0.95,0.8,0.6,0.4,0.3)))</f>
        <v>1.05</v>
      </c>
      <c r="T1905" s="5" t="n">
        <f aca="false">CHOOSE(N1905+1,1.2,1,0.85,0.7)</f>
        <v>1.2</v>
      </c>
      <c r="U1905" s="5" t="n">
        <f aca="false">IF(F1905="PO",0.6,
IF(F1905="CT",0.75,
IF(F1905="LI",0.8,
IF(F1905="LD",0.8,
IF(F1905="MCD",0.85,
IF(F1905="MC",0.95,
IF(F1905="MO",1.05,
IF(F1905="EI",1.1,
IF(F1905="ED",1.1,
IF(F1905="SD",1.15,
IF(F1905="DC",1.2,0)))))))))))</f>
        <v>0.6</v>
      </c>
    </row>
    <row r="1906" customFormat="false" ht="16.4" hidden="false" customHeight="false" outlineLevel="0" collapsed="false">
      <c r="A1906" s="1" t="n">
        <v>1905</v>
      </c>
      <c r="B1906" s="5" t="str">
        <f aca="false">[1]Base_Jugadores!B1906</f>
        <v>Lukas Klostermann</v>
      </c>
      <c r="C1906" s="5" t="str">
        <f aca="false">IFERROR(
   _xlfn.XLOOKUP(VALUE(A1906),[1]Fichajes_Realizados!A$2:A$50000,[1]Fichajes_Realizados!D$2:D$50000,,0,-1),
   _xlfn.XLOOKUP(VALUE(A1906),[1]Base_Jugadores!A$2:A$50000,[1]Base_Jugadores!C$2:C$50000)
)</f>
        <v>RB Leipzig</v>
      </c>
      <c r="D1906" s="5" t="str">
        <f aca="false">[1]Base_Jugadores!D1906</f>
        <v>Alemania</v>
      </c>
      <c r="E1906" s="3"/>
      <c r="F1906" s="5" t="str">
        <f aca="false">[1]Base_Jugadores!E1906</f>
        <v>CT</v>
      </c>
      <c r="G1906" s="5" t="n">
        <f aca="false">[1]Base_Jugadores!F1906</f>
        <v>79</v>
      </c>
      <c r="H1906" s="5" t="n">
        <f aca="false">[1]Base_Jugadores!G1906</f>
        <v>29</v>
      </c>
      <c r="I1906" s="7" t="n">
        <f aca="false" t="array" ref="I1906:I1906">_xlfn.XLOOKUP(G1906,{55;56;57;58;59;60;61;62;63;64;65;66;67;68;69;70;71;72;73;74;75;76;77;78;79;80;81;82;83;84;85;86;87;88;89;90;91;92;93;94;95;96;97;98;99},{100000;130000;160000;190000;220000;250000;300000;350000;400000;450000;500000;600000;700000;800000;900000;1000000;1500000;2000000;3000000;4000000;5000000;6500000;8000000;10000000;12500000;15000000;20000000;25000000;30000000;35000000;40000000;55000000;70000000;80000000;90000000;110000000;130000000;160000000;190000000;220000000;250000000;280000000;310000000;340000000;400000000})</f>
        <v>12500000</v>
      </c>
      <c r="J1906" s="7" t="n">
        <f aca="false">I1906*S1906*T1906*U1906</f>
        <v>12600000</v>
      </c>
      <c r="K1906" s="3"/>
      <c r="L1906" s="3"/>
      <c r="M1906" s="3"/>
      <c r="N1906" s="9" t="n">
        <v>0</v>
      </c>
      <c r="O1906" s="4" t="n">
        <v>0</v>
      </c>
      <c r="P1906" s="5" t="n">
        <f aca="false">IF(COUNTIF([1]Base_Jugadores!J$2:J$500,B1906)&gt;0,1,0)</f>
        <v>0</v>
      </c>
      <c r="Q1906" s="10" t="b">
        <f aca="false">--(COUNTIFS(
   [1]Fichajes_Realizados!A$2:A$5000,A1906,
   [1]Fichajes_Realizados!G$2:G$5000,$X$3
)&gt;0)</f>
        <v>0</v>
      </c>
      <c r="R1906" s="5" t="n">
        <f aca="false">_xlfn.XLOOKUP(C1906, [1]Estado_Equipos!A$2:A$500, [1]Estado_Equipos!J$2:J$500, "")</f>
        <v>75</v>
      </c>
      <c r="S1906" s="5" t="n">
        <f aca="false">IF(H1906&lt;=16,1.45,
IF(H1906&gt;=41,0.3,
CHOOSE(ROUNDDOWN((H1906-16)/2,0)+1,
1.45,1.38,1.3,1.23,1.17,1.15,1.12,1.05,0.95,0.8,0.6,0.4,0.3)))</f>
        <v>1.12</v>
      </c>
      <c r="T1906" s="5" t="n">
        <f aca="false">CHOOSE(N1906+1,1.2,1,0.85,0.7)</f>
        <v>1.2</v>
      </c>
      <c r="U1906" s="5" t="n">
        <f aca="false">IF(F1906="PO",0.6,
IF(F1906="CT",0.75,
IF(F1906="LI",0.8,
IF(F1906="LD",0.8,
IF(F1906="MCD",0.85,
IF(F1906="MC",0.95,
IF(F1906="MO",1.05,
IF(F1906="EI",1.1,
IF(F1906="ED",1.1,
IF(F1906="SD",1.15,
IF(F1906="DC",1.2,0)))))))))))</f>
        <v>0.75</v>
      </c>
    </row>
    <row r="1907" customFormat="false" ht="16.4" hidden="false" customHeight="false" outlineLevel="0" collapsed="false">
      <c r="A1907" s="1" t="n">
        <v>1906</v>
      </c>
      <c r="B1907" s="5" t="str">
        <f aca="false">[1]Base_Jugadores!B1907</f>
        <v>M. Vandevoordt</v>
      </c>
      <c r="C1907" s="5" t="str">
        <f aca="false">IFERROR(
   _xlfn.XLOOKUP(VALUE(A1907),[1]Fichajes_Realizados!A$2:A$50000,[1]Fichajes_Realizados!D$2:D$50000,,0,-1),
   _xlfn.XLOOKUP(VALUE(A1907),[1]Base_Jugadores!A$2:A$50000,[1]Base_Jugadores!C$2:C$50000)
)</f>
        <v>RB Leipzig</v>
      </c>
      <c r="D1907" s="5" t="str">
        <f aca="false">[1]Base_Jugadores!D1907</f>
        <v>Bélgica</v>
      </c>
      <c r="E1907" s="3"/>
      <c r="F1907" s="5" t="str">
        <f aca="false">[1]Base_Jugadores!E1907</f>
        <v>PO</v>
      </c>
      <c r="G1907" s="5" t="n">
        <f aca="false">[1]Base_Jugadores!F1907</f>
        <v>75</v>
      </c>
      <c r="H1907" s="5" t="n">
        <f aca="false">[1]Base_Jugadores!G1907</f>
        <v>23</v>
      </c>
      <c r="I1907" s="7" t="n">
        <f aca="false" t="array" ref="I1907:I1907">_xlfn.XLOOKUP(G1907,{55;56;57;58;59;60;61;62;63;64;65;66;67;68;69;70;71;72;73;74;75;76;77;78;79;80;81;82;83;84;85;86;87;88;89;90;91;92;93;94;95;96;97;98;99},{100000;130000;160000;190000;220000;250000;300000;350000;400000;450000;500000;600000;700000;800000;900000;1000000;1500000;2000000;3000000;4000000;5000000;6500000;8000000;10000000;12500000;15000000;20000000;25000000;30000000;35000000;40000000;55000000;70000000;80000000;90000000;110000000;130000000;160000000;190000000;220000000;250000000;280000000;310000000;340000000;400000000})</f>
        <v>5000000</v>
      </c>
      <c r="J1907" s="7" t="n">
        <f aca="false">I1907*S1907*T1907*U1907</f>
        <v>4428000</v>
      </c>
      <c r="K1907" s="3"/>
      <c r="L1907" s="3"/>
      <c r="M1907" s="3"/>
      <c r="N1907" s="9" t="n">
        <v>0</v>
      </c>
      <c r="O1907" s="4" t="n">
        <v>0</v>
      </c>
      <c r="P1907" s="5" t="n">
        <f aca="false">IF(COUNTIF([1]Base_Jugadores!J$2:J$500,B1907)&gt;0,1,0)</f>
        <v>0</v>
      </c>
      <c r="Q1907" s="10" t="b">
        <f aca="false">--(COUNTIFS(
   [1]Fichajes_Realizados!A$2:A$5000,A1907,
   [1]Fichajes_Realizados!G$2:G$5000,$X$3
)&gt;0)</f>
        <v>0</v>
      </c>
      <c r="R1907" s="5" t="n">
        <f aca="false">_xlfn.XLOOKUP(C1907, [1]Estado_Equipos!A$2:A$500, [1]Estado_Equipos!J$2:J$500, "")</f>
        <v>75</v>
      </c>
      <c r="S1907" s="5" t="n">
        <f aca="false">IF(H1907&lt;=16,1.45,
IF(H1907&gt;=41,0.3,
CHOOSE(ROUNDDOWN((H1907-16)/2,0)+1,
1.45,1.38,1.3,1.23,1.17,1.15,1.12,1.05,0.95,0.8,0.6,0.4,0.3)))</f>
        <v>1.23</v>
      </c>
      <c r="T1907" s="5" t="n">
        <f aca="false">CHOOSE(N1907+1,1.2,1,0.85,0.7)</f>
        <v>1.2</v>
      </c>
      <c r="U1907" s="5" t="n">
        <f aca="false">IF(F1907="PO",0.6,
IF(F1907="CT",0.75,
IF(F1907="LI",0.8,
IF(F1907="LD",0.8,
IF(F1907="MCD",0.85,
IF(F1907="MC",0.95,
IF(F1907="MO",1.05,
IF(F1907="EI",1.1,
IF(F1907="ED",1.1,
IF(F1907="SD",1.15,
IF(F1907="DC",1.2,0)))))))))))</f>
        <v>0.6</v>
      </c>
    </row>
    <row r="1908" customFormat="false" ht="16.4" hidden="false" customHeight="false" outlineLevel="0" collapsed="false">
      <c r="A1908" s="1" t="n">
        <v>1907</v>
      </c>
      <c r="B1908" s="5" t="str">
        <f aca="false">[1]Base_Jugadores!B1908</f>
        <v>Max Finkgräfe</v>
      </c>
      <c r="C1908" s="5" t="str">
        <f aca="false">IFERROR(
   _xlfn.XLOOKUP(VALUE(A1908),[1]Fichajes_Realizados!A$2:A$50000,[1]Fichajes_Realizados!D$2:D$50000,,0,-1),
   _xlfn.XLOOKUP(VALUE(A1908),[1]Base_Jugadores!A$2:A$50000,[1]Base_Jugadores!C$2:C$50000)
)</f>
        <v>RB Leipzig</v>
      </c>
      <c r="D1908" s="5" t="str">
        <f aca="false">[1]Base_Jugadores!D1908</f>
        <v>Alemania</v>
      </c>
      <c r="E1908" s="3"/>
      <c r="F1908" s="5" t="str">
        <f aca="false">[1]Base_Jugadores!E1908</f>
        <v>LI</v>
      </c>
      <c r="G1908" s="5" t="n">
        <f aca="false">[1]Base_Jugadores!F1908</f>
        <v>66</v>
      </c>
      <c r="H1908" s="5" t="n">
        <f aca="false">[1]Base_Jugadores!G1908</f>
        <v>21</v>
      </c>
      <c r="I1908" s="7" t="n">
        <f aca="false" t="array" ref="I1908:I1908">_xlfn.XLOOKUP(G1908,{55;56;57;58;59;60;61;62;63;64;65;66;67;68;69;70;71;72;73;74;75;76;77;78;79;80;81;82;83;84;85;86;87;88;89;90;91;92;93;94;95;96;97;98;99},{100000;130000;160000;190000;220000;250000;300000;350000;400000;450000;500000;600000;700000;800000;900000;1000000;1500000;2000000;3000000;4000000;5000000;6500000;8000000;10000000;12500000;15000000;20000000;25000000;30000000;35000000;40000000;55000000;70000000;80000000;90000000;110000000;130000000;160000000;190000000;220000000;250000000;280000000;310000000;340000000;400000000})</f>
        <v>600000</v>
      </c>
      <c r="J1908" s="7" t="n">
        <f aca="false">I1908*S1908*T1908*U1908</f>
        <v>748800</v>
      </c>
      <c r="K1908" s="3"/>
      <c r="L1908" s="3"/>
      <c r="M1908" s="3"/>
      <c r="N1908" s="9" t="n">
        <v>0</v>
      </c>
      <c r="O1908" s="4" t="n">
        <v>0</v>
      </c>
      <c r="P1908" s="5" t="n">
        <f aca="false">IF(COUNTIF([1]Base_Jugadores!J$2:J$500,B1908)&gt;0,1,0)</f>
        <v>0</v>
      </c>
      <c r="Q1908" s="10" t="b">
        <f aca="false">--(COUNTIFS(
   [1]Fichajes_Realizados!A$2:A$5000,A1908,
   [1]Fichajes_Realizados!G$2:G$5000,$X$3
)&gt;0)</f>
        <v>0</v>
      </c>
      <c r="R1908" s="5" t="n">
        <f aca="false">_xlfn.XLOOKUP(C1908, [1]Estado_Equipos!A$2:A$500, [1]Estado_Equipos!J$2:J$500, "")</f>
        <v>75</v>
      </c>
      <c r="S1908" s="5" t="n">
        <f aca="false">IF(H1908&lt;=16,1.45,
IF(H1908&gt;=41,0.3,
CHOOSE(ROUNDDOWN((H1908-16)/2,0)+1,
1.45,1.38,1.3,1.23,1.17,1.15,1.12,1.05,0.95,0.8,0.6,0.4,0.3)))</f>
        <v>1.3</v>
      </c>
      <c r="T1908" s="5" t="n">
        <f aca="false">CHOOSE(N1908+1,1.2,1,0.85,0.7)</f>
        <v>1.2</v>
      </c>
      <c r="U1908" s="5" t="n">
        <f aca="false">IF(F1908="PO",0.6,
IF(F1908="CT",0.75,
IF(F1908="LI",0.8,
IF(F1908="LD",0.8,
IF(F1908="MCD",0.85,
IF(F1908="MC",0.95,
IF(F1908="MO",1.05,
IF(F1908="EI",1.1,
IF(F1908="ED",1.1,
IF(F1908="SD",1.15,
IF(F1908="DC",1.2,0)))))))))))</f>
        <v>0.8</v>
      </c>
    </row>
    <row r="1909" customFormat="false" ht="16.4" hidden="false" customHeight="false" outlineLevel="0" collapsed="false">
      <c r="A1909" s="1" t="n">
        <v>1908</v>
      </c>
      <c r="B1909" s="5" t="str">
        <f aca="false">[1]Base_Jugadores!B1909</f>
        <v>Nicolas Seiwald</v>
      </c>
      <c r="C1909" s="5" t="str">
        <f aca="false">IFERROR(
   _xlfn.XLOOKUP(VALUE(A1909),[1]Fichajes_Realizados!A$2:A$50000,[1]Fichajes_Realizados!D$2:D$50000,,0,-1),
   _xlfn.XLOOKUP(VALUE(A1909),[1]Base_Jugadores!A$2:A$50000,[1]Base_Jugadores!C$2:C$50000)
)</f>
        <v>RB Leipzig</v>
      </c>
      <c r="D1909" s="5" t="str">
        <f aca="false">[1]Base_Jugadores!D1909</f>
        <v>Austria</v>
      </c>
      <c r="E1909" s="3"/>
      <c r="F1909" s="5" t="str">
        <f aca="false">[1]Base_Jugadores!E1909</f>
        <v>MCD</v>
      </c>
      <c r="G1909" s="5" t="n">
        <f aca="false">[1]Base_Jugadores!F1909</f>
        <v>78</v>
      </c>
      <c r="H1909" s="5" t="n">
        <f aca="false">[1]Base_Jugadores!G1909</f>
        <v>24</v>
      </c>
      <c r="I1909" s="7" t="n">
        <f aca="false" t="array" ref="I1909:I1909">_xlfn.XLOOKUP(G1909,{55;56;57;58;59;60;61;62;63;64;65;66;67;68;69;70;71;72;73;74;75;76;77;78;79;80;81;82;83;84;85;86;87;88;89;90;91;92;93;94;95;96;97;98;99},{100000;130000;160000;190000;220000;250000;300000;350000;400000;450000;500000;600000;700000;800000;900000;1000000;1500000;2000000;3000000;4000000;5000000;6500000;8000000;10000000;12500000;15000000;20000000;25000000;30000000;35000000;40000000;55000000;70000000;80000000;90000000;110000000;130000000;160000000;190000000;220000000;250000000;280000000;310000000;340000000;400000000})</f>
        <v>10000000</v>
      </c>
      <c r="J1909" s="7" t="n">
        <f aca="false">I1909*S1909*T1909*U1909</f>
        <v>11934000</v>
      </c>
      <c r="K1909" s="3"/>
      <c r="L1909" s="3"/>
      <c r="M1909" s="3"/>
      <c r="N1909" s="9" t="n">
        <v>0</v>
      </c>
      <c r="O1909" s="4" t="n">
        <v>0</v>
      </c>
      <c r="P1909" s="5" t="n">
        <f aca="false">IF(COUNTIF([1]Base_Jugadores!J$2:J$500,B1909)&gt;0,1,0)</f>
        <v>0</v>
      </c>
      <c r="Q1909" s="10" t="b">
        <f aca="false">--(COUNTIFS(
   [1]Fichajes_Realizados!A$2:A$5000,A1909,
   [1]Fichajes_Realizados!G$2:G$5000,$X$3
)&gt;0)</f>
        <v>0</v>
      </c>
      <c r="R1909" s="5" t="n">
        <f aca="false">_xlfn.XLOOKUP(C1909, [1]Estado_Equipos!A$2:A$500, [1]Estado_Equipos!J$2:J$500, "")</f>
        <v>75</v>
      </c>
      <c r="S1909" s="5" t="n">
        <f aca="false">IF(H1909&lt;=16,1.45,
IF(H1909&gt;=41,0.3,
CHOOSE(ROUNDDOWN((H1909-16)/2,0)+1,
1.45,1.38,1.3,1.23,1.17,1.15,1.12,1.05,0.95,0.8,0.6,0.4,0.3)))</f>
        <v>1.17</v>
      </c>
      <c r="T1909" s="5" t="n">
        <f aca="false">CHOOSE(N1909+1,1.2,1,0.85,0.7)</f>
        <v>1.2</v>
      </c>
      <c r="U1909" s="5" t="n">
        <f aca="false">IF(F1909="PO",0.6,
IF(F1909="CT",0.75,
IF(F1909="LI",0.8,
IF(F1909="LD",0.8,
IF(F1909="MCD",0.85,
IF(F1909="MC",0.95,
IF(F1909="MO",1.05,
IF(F1909="EI",1.1,
IF(F1909="ED",1.1,
IF(F1909="SD",1.15,
IF(F1909="DC",1.2,0)))))))))))</f>
        <v>0.85</v>
      </c>
    </row>
    <row r="1910" customFormat="false" ht="16.4" hidden="false" customHeight="false" outlineLevel="0" collapsed="false">
      <c r="A1910" s="1" t="n">
        <v>1909</v>
      </c>
      <c r="B1910" s="5" t="str">
        <f aca="false">[1]Base_Jugadores!B1910</f>
        <v>Péter Gulácsi</v>
      </c>
      <c r="C1910" s="5" t="str">
        <f aca="false">IFERROR(
   _xlfn.XLOOKUP(VALUE(A1910),[1]Fichajes_Realizados!A$2:A$50000,[1]Fichajes_Realizados!D$2:D$50000,,0,-1),
   _xlfn.XLOOKUP(VALUE(A1910),[1]Base_Jugadores!A$2:A$50000,[1]Base_Jugadores!C$2:C$50000)
)</f>
        <v>RB Leipzig</v>
      </c>
      <c r="D1910" s="5" t="str">
        <f aca="false">[1]Base_Jugadores!D1910</f>
        <v>Hungría</v>
      </c>
      <c r="E1910" s="3"/>
      <c r="F1910" s="5" t="str">
        <f aca="false">[1]Base_Jugadores!E1910</f>
        <v>PO</v>
      </c>
      <c r="G1910" s="5" t="n">
        <f aca="false">[1]Base_Jugadores!F1910</f>
        <v>83</v>
      </c>
      <c r="H1910" s="5" t="n">
        <f aca="false">[1]Base_Jugadores!G1910</f>
        <v>35</v>
      </c>
      <c r="I1910" s="7" t="n">
        <f aca="false" t="array" ref="I1910:I1910">_xlfn.XLOOKUP(G1910,{55;56;57;58;59;60;61;62;63;64;65;66;67;68;69;70;71;72;73;74;75;76;77;78;79;80;81;82;83;84;85;86;87;88;89;90;91;92;93;94;95;96;97;98;99},{100000;130000;160000;190000;220000;250000;300000;350000;400000;450000;500000;600000;700000;800000;900000;1000000;1500000;2000000;3000000;4000000;5000000;6500000;8000000;10000000;12500000;15000000;20000000;25000000;30000000;35000000;40000000;55000000;70000000;80000000;90000000;110000000;130000000;160000000;190000000;220000000;250000000;280000000;310000000;340000000;400000000})</f>
        <v>30000000</v>
      </c>
      <c r="J1910" s="7" t="n">
        <f aca="false">I1910*S1910*T1910*U1910</f>
        <v>17280000</v>
      </c>
      <c r="K1910" s="3"/>
      <c r="L1910" s="3"/>
      <c r="M1910" s="3"/>
      <c r="N1910" s="9" t="n">
        <v>0</v>
      </c>
      <c r="O1910" s="4" t="n">
        <v>0</v>
      </c>
      <c r="P1910" s="5" t="n">
        <f aca="false">IF(COUNTIF([1]Base_Jugadores!J$2:J$500,B1910)&gt;0,1,0)</f>
        <v>0</v>
      </c>
      <c r="Q1910" s="10" t="b">
        <f aca="false">--(COUNTIFS(
   [1]Fichajes_Realizados!A$2:A$5000,A1910,
   [1]Fichajes_Realizados!G$2:G$5000,$X$3
)&gt;0)</f>
        <v>0</v>
      </c>
      <c r="R1910" s="5" t="n">
        <f aca="false">_xlfn.XLOOKUP(C1910, [1]Estado_Equipos!A$2:A$500, [1]Estado_Equipos!J$2:J$500, "")</f>
        <v>75</v>
      </c>
      <c r="S1910" s="5" t="n">
        <f aca="false">IF(H1910&lt;=16,1.45,
IF(H1910&gt;=41,0.3,
CHOOSE(ROUNDDOWN((H1910-16)/2,0)+1,
1.45,1.38,1.3,1.23,1.17,1.15,1.12,1.05,0.95,0.8,0.6,0.4,0.3)))</f>
        <v>0.8</v>
      </c>
      <c r="T1910" s="5" t="n">
        <f aca="false">CHOOSE(N1910+1,1.2,1,0.85,0.7)</f>
        <v>1.2</v>
      </c>
      <c r="U1910" s="5" t="n">
        <f aca="false">IF(F1910="PO",0.6,
IF(F1910="CT",0.75,
IF(F1910="LI",0.8,
IF(F1910="LD",0.8,
IF(F1910="MCD",0.85,
IF(F1910="MC",0.95,
IF(F1910="MO",1.05,
IF(F1910="EI",1.1,
IF(F1910="ED",1.1,
IF(F1910="SD",1.15,
IF(F1910="DC",1.2,0)))))))))))</f>
        <v>0.6</v>
      </c>
    </row>
    <row r="1911" customFormat="false" ht="16.4" hidden="false" customHeight="false" outlineLevel="0" collapsed="false">
      <c r="A1911" s="1" t="n">
        <v>1910</v>
      </c>
      <c r="B1911" s="5" t="str">
        <f aca="false">[1]Base_Jugadores!B1911</f>
        <v>Ridle Baku</v>
      </c>
      <c r="C1911" s="5" t="str">
        <f aca="false">IFERROR(
   _xlfn.XLOOKUP(VALUE(A1911),[1]Fichajes_Realizados!A$2:A$50000,[1]Fichajes_Realizados!D$2:D$50000,,0,-1),
   _xlfn.XLOOKUP(VALUE(A1911),[1]Base_Jugadores!A$2:A$50000,[1]Base_Jugadores!C$2:C$50000)
)</f>
        <v>RB Leipzig</v>
      </c>
      <c r="D1911" s="5" t="str">
        <f aca="false">[1]Base_Jugadores!D1911</f>
        <v>Alemania</v>
      </c>
      <c r="E1911" s="3"/>
      <c r="F1911" s="5" t="str">
        <f aca="false">[1]Base_Jugadores!E1911</f>
        <v>LD</v>
      </c>
      <c r="G1911" s="5" t="n">
        <f aca="false">[1]Base_Jugadores!F1911</f>
        <v>78</v>
      </c>
      <c r="H1911" s="5" t="n">
        <f aca="false">[1]Base_Jugadores!G1911</f>
        <v>27</v>
      </c>
      <c r="I1911" s="7" t="n">
        <f aca="false" t="array" ref="I1911:I1911">_xlfn.XLOOKUP(G1911,{55;56;57;58;59;60;61;62;63;64;65;66;67;68;69;70;71;72;73;74;75;76;77;78;79;80;81;82;83;84;85;86;87;88;89;90;91;92;93;94;95;96;97;98;99},{100000;130000;160000;190000;220000;250000;300000;350000;400000;450000;500000;600000;700000;800000;900000;1000000;1500000;2000000;3000000;4000000;5000000;6500000;8000000;10000000;12500000;15000000;20000000;25000000;30000000;35000000;40000000;55000000;70000000;80000000;90000000;110000000;130000000;160000000;190000000;220000000;250000000;280000000;310000000;340000000;400000000})</f>
        <v>10000000</v>
      </c>
      <c r="J1911" s="7" t="n">
        <f aca="false">I1911*S1911*T1911*U1911</f>
        <v>11040000</v>
      </c>
      <c r="K1911" s="3"/>
      <c r="L1911" s="3"/>
      <c r="M1911" s="3"/>
      <c r="N1911" s="9" t="n">
        <v>0</v>
      </c>
      <c r="O1911" s="4" t="n">
        <v>0</v>
      </c>
      <c r="P1911" s="5" t="n">
        <f aca="false">IF(COUNTIF([1]Base_Jugadores!J$2:J$500,B1911)&gt;0,1,0)</f>
        <v>0</v>
      </c>
      <c r="Q1911" s="10" t="b">
        <f aca="false">--(COUNTIFS(
   [1]Fichajes_Realizados!A$2:A$5000,A1911,
   [1]Fichajes_Realizados!G$2:G$5000,$X$3
)&gt;0)</f>
        <v>0</v>
      </c>
      <c r="R1911" s="5" t="n">
        <f aca="false">_xlfn.XLOOKUP(C1911, [1]Estado_Equipos!A$2:A$500, [1]Estado_Equipos!J$2:J$500, "")</f>
        <v>75</v>
      </c>
      <c r="S1911" s="5" t="n">
        <f aca="false">IF(H1911&lt;=16,1.45,
IF(H1911&gt;=41,0.3,
CHOOSE(ROUNDDOWN((H1911-16)/2,0)+1,
1.45,1.38,1.3,1.23,1.17,1.15,1.12,1.05,0.95,0.8,0.6,0.4,0.3)))</f>
        <v>1.15</v>
      </c>
      <c r="T1911" s="5" t="n">
        <f aca="false">CHOOSE(N1911+1,1.2,1,0.85,0.7)</f>
        <v>1.2</v>
      </c>
      <c r="U1911" s="5" t="n">
        <f aca="false">IF(F1911="PO",0.6,
IF(F1911="CT",0.75,
IF(F1911="LI",0.8,
IF(F1911="LD",0.8,
IF(F1911="MCD",0.85,
IF(F1911="MC",0.95,
IF(F1911="MO",1.05,
IF(F1911="EI",1.1,
IF(F1911="ED",1.1,
IF(F1911="SD",1.15,
IF(F1911="DC",1.2,0)))))))))))</f>
        <v>0.8</v>
      </c>
    </row>
    <row r="1912" customFormat="false" ht="16.4" hidden="false" customHeight="false" outlineLevel="0" collapsed="false">
      <c r="A1912" s="1" t="n">
        <v>1911</v>
      </c>
      <c r="B1912" s="5" t="str">
        <f aca="false">[1]Base_Jugadores!B1912</f>
        <v>Rômulo Cruz</v>
      </c>
      <c r="C1912" s="5" t="str">
        <f aca="false">IFERROR(
   _xlfn.XLOOKUP(VALUE(A1912),[1]Fichajes_Realizados!A$2:A$50000,[1]Fichajes_Realizados!D$2:D$50000,,0,-1),
   _xlfn.XLOOKUP(VALUE(A1912),[1]Base_Jugadores!A$2:A$50000,[1]Base_Jugadores!C$2:C$50000)
)</f>
        <v>RB Leipzig</v>
      </c>
      <c r="D1912" s="5" t="str">
        <f aca="false">[1]Base_Jugadores!D1912</f>
        <v>Brasil</v>
      </c>
      <c r="E1912" s="3"/>
      <c r="F1912" s="5" t="str">
        <f aca="false">[1]Base_Jugadores!E1912</f>
        <v>DC</v>
      </c>
      <c r="G1912" s="5" t="n">
        <f aca="false">[1]Base_Jugadores!F1912</f>
        <v>74</v>
      </c>
      <c r="H1912" s="5" t="n">
        <f aca="false">[1]Base_Jugadores!G1912</f>
        <v>23</v>
      </c>
      <c r="I1912" s="7" t="n">
        <f aca="false" t="array" ref="I1912:I1912">_xlfn.XLOOKUP(G1912,{55;56;57;58;59;60;61;62;63;64;65;66;67;68;69;70;71;72;73;74;75;76;77;78;79;80;81;82;83;84;85;86;87;88;89;90;91;92;93;94;95;96;97;98;99},{100000;130000;160000;190000;220000;250000;300000;350000;400000;450000;500000;600000;700000;800000;900000;1000000;1500000;2000000;3000000;4000000;5000000;6500000;8000000;10000000;12500000;15000000;20000000;25000000;30000000;35000000;40000000;55000000;70000000;80000000;90000000;110000000;130000000;160000000;190000000;220000000;250000000;280000000;310000000;340000000;400000000})</f>
        <v>4000000</v>
      </c>
      <c r="J1912" s="7" t="n">
        <f aca="false">I1912*S1912*T1912*U1912</f>
        <v>7084800</v>
      </c>
      <c r="K1912" s="3"/>
      <c r="L1912" s="3"/>
      <c r="M1912" s="3"/>
      <c r="N1912" s="9" t="n">
        <v>0</v>
      </c>
      <c r="O1912" s="4" t="n">
        <v>0</v>
      </c>
      <c r="P1912" s="5" t="n">
        <f aca="false">IF(COUNTIF([1]Base_Jugadores!J$2:J$500,B1912)&gt;0,1,0)</f>
        <v>0</v>
      </c>
      <c r="Q1912" s="10" t="b">
        <f aca="false">--(COUNTIFS(
   [1]Fichajes_Realizados!A$2:A$5000,A1912,
   [1]Fichajes_Realizados!G$2:G$5000,$X$3
)&gt;0)</f>
        <v>0</v>
      </c>
      <c r="R1912" s="5" t="n">
        <f aca="false">_xlfn.XLOOKUP(C1912, [1]Estado_Equipos!A$2:A$500, [1]Estado_Equipos!J$2:J$500, "")</f>
        <v>75</v>
      </c>
      <c r="S1912" s="5" t="n">
        <f aca="false">IF(H1912&lt;=16,1.45,
IF(H1912&gt;=41,0.3,
CHOOSE(ROUNDDOWN((H1912-16)/2,0)+1,
1.45,1.38,1.3,1.23,1.17,1.15,1.12,1.05,0.95,0.8,0.6,0.4,0.3)))</f>
        <v>1.23</v>
      </c>
      <c r="T1912" s="5" t="n">
        <f aca="false">CHOOSE(N1912+1,1.2,1,0.85,0.7)</f>
        <v>1.2</v>
      </c>
      <c r="U1912" s="5" t="n">
        <f aca="false">IF(F1912="PO",0.6,
IF(F1912="CT",0.75,
IF(F1912="LI",0.8,
IF(F1912="LD",0.8,
IF(F1912="MCD",0.85,
IF(F1912="MC",0.95,
IF(F1912="MO",1.05,
IF(F1912="EI",1.1,
IF(F1912="ED",1.1,
IF(F1912="SD",1.15,
IF(F1912="DC",1.2,0)))))))))))</f>
        <v>1.2</v>
      </c>
    </row>
    <row r="1913" customFormat="false" ht="16.4" hidden="false" customHeight="false" outlineLevel="0" collapsed="false">
      <c r="A1913" s="1" t="n">
        <v>1912</v>
      </c>
      <c r="B1913" s="5" t="str">
        <f aca="false">[1]Base_Jugadores!B1913</f>
        <v>Tidiam Gomis</v>
      </c>
      <c r="C1913" s="5" t="str">
        <f aca="false">IFERROR(
   _xlfn.XLOOKUP(VALUE(A1913),[1]Fichajes_Realizados!A$2:A$50000,[1]Fichajes_Realizados!D$2:D$50000,,0,-1),
   _xlfn.XLOOKUP(VALUE(A1913),[1]Base_Jugadores!A$2:A$50000,[1]Base_Jugadores!C$2:C$50000)
)</f>
        <v>RB Leipzig</v>
      </c>
      <c r="D1913" s="5" t="str">
        <f aca="false">[1]Base_Jugadores!D1913</f>
        <v>Francia</v>
      </c>
      <c r="E1913" s="3"/>
      <c r="F1913" s="5" t="str">
        <f aca="false">[1]Base_Jugadores!E1913</f>
        <v>EI</v>
      </c>
      <c r="G1913" s="5" t="n">
        <f aca="false">[1]Base_Jugadores!F1913</f>
        <v>64</v>
      </c>
      <c r="H1913" s="5" t="n">
        <f aca="false">[1]Base_Jugadores!G1913</f>
        <v>19</v>
      </c>
      <c r="I1913" s="7" t="n">
        <f aca="false" t="array" ref="I1913:I1913">_xlfn.XLOOKUP(G1913,{55;56;57;58;59;60;61;62;63;64;65;66;67;68;69;70;71;72;73;74;75;76;77;78;79;80;81;82;83;84;85;86;87;88;89;90;91;92;93;94;95;96;97;98;99},{100000;130000;160000;190000;220000;250000;300000;350000;400000;450000;500000;600000;700000;800000;900000;1000000;1500000;2000000;3000000;4000000;5000000;6500000;8000000;10000000;12500000;15000000;20000000;25000000;30000000;35000000;40000000;55000000;70000000;80000000;90000000;110000000;130000000;160000000;190000000;220000000;250000000;280000000;310000000;340000000;400000000})</f>
        <v>450000</v>
      </c>
      <c r="J1913" s="7" t="n">
        <f aca="false">I1913*S1913*T1913*U1913</f>
        <v>819720</v>
      </c>
      <c r="K1913" s="3"/>
      <c r="L1913" s="3"/>
      <c r="M1913" s="3"/>
      <c r="N1913" s="9" t="n">
        <v>0</v>
      </c>
      <c r="O1913" s="4" t="n">
        <v>0</v>
      </c>
      <c r="P1913" s="5" t="n">
        <f aca="false">IF(COUNTIF([1]Base_Jugadores!J$2:J$500,B1913)&gt;0,1,0)</f>
        <v>0</v>
      </c>
      <c r="Q1913" s="10" t="b">
        <f aca="false">--(COUNTIFS(
   [1]Fichajes_Realizados!A$2:A$5000,A1913,
   [1]Fichajes_Realizados!G$2:G$5000,$X$3
)&gt;0)</f>
        <v>0</v>
      </c>
      <c r="R1913" s="5" t="n">
        <f aca="false">_xlfn.XLOOKUP(C1913, [1]Estado_Equipos!A$2:A$500, [1]Estado_Equipos!J$2:J$500, "")</f>
        <v>75</v>
      </c>
      <c r="S1913" s="5" t="n">
        <f aca="false">IF(H1913&lt;=16,1.45,
IF(H1913&gt;=41,0.3,
CHOOSE(ROUNDDOWN((H1913-16)/2,0)+1,
1.45,1.38,1.3,1.23,1.17,1.15,1.12,1.05,0.95,0.8,0.6,0.4,0.3)))</f>
        <v>1.38</v>
      </c>
      <c r="T1913" s="5" t="n">
        <f aca="false">CHOOSE(N1913+1,1.2,1,0.85,0.7)</f>
        <v>1.2</v>
      </c>
      <c r="U1913" s="5" t="n">
        <f aca="false">IF(F1913="PO",0.6,
IF(F1913="CT",0.75,
IF(F1913="LI",0.8,
IF(F1913="LD",0.8,
IF(F1913="MCD",0.85,
IF(F1913="MC",0.95,
IF(F1913="MO",1.05,
IF(F1913="EI",1.1,
IF(F1913="ED",1.1,
IF(F1913="SD",1.15,
IF(F1913="DC",1.2,0)))))))))))</f>
        <v>1.1</v>
      </c>
    </row>
    <row r="1914" customFormat="false" ht="16.4" hidden="false" customHeight="false" outlineLevel="0" collapsed="false">
      <c r="A1914" s="1" t="n">
        <v>1913</v>
      </c>
      <c r="B1914" s="5" t="str">
        <f aca="false">[1]Base_Jugadores!B1914</f>
        <v>Timo Werner</v>
      </c>
      <c r="C1914" s="5" t="str">
        <f aca="false">IFERROR(
   _xlfn.XLOOKUP(VALUE(A1914),[1]Fichajes_Realizados!A$2:A$50000,[1]Fichajes_Realizados!D$2:D$50000,,0,-1),
   _xlfn.XLOOKUP(VALUE(A1914),[1]Base_Jugadores!A$2:A$50000,[1]Base_Jugadores!C$2:C$50000)
)</f>
        <v>RB Leipzig</v>
      </c>
      <c r="D1914" s="5" t="str">
        <f aca="false">[1]Base_Jugadores!D1914</f>
        <v>Alemania</v>
      </c>
      <c r="E1914" s="3"/>
      <c r="F1914" s="5" t="str">
        <f aca="false">[1]Base_Jugadores!E1914</f>
        <v>DC</v>
      </c>
      <c r="G1914" s="5" t="n">
        <f aca="false">[1]Base_Jugadores!F1914</f>
        <v>78</v>
      </c>
      <c r="H1914" s="5" t="n">
        <f aca="false">[1]Base_Jugadores!G1914</f>
        <v>29</v>
      </c>
      <c r="I1914" s="7" t="n">
        <f aca="false" t="array" ref="I1914:I1914">_xlfn.XLOOKUP(G1914,{55;56;57;58;59;60;61;62;63;64;65;66;67;68;69;70;71;72;73;74;75;76;77;78;79;80;81;82;83;84;85;86;87;88;89;90;91;92;93;94;95;96;97;98;99},{100000;130000;160000;190000;220000;250000;300000;350000;400000;450000;500000;600000;700000;800000;900000;1000000;1500000;2000000;3000000;4000000;5000000;6500000;8000000;10000000;12500000;15000000;20000000;25000000;30000000;35000000;40000000;55000000;70000000;80000000;90000000;110000000;130000000;160000000;190000000;220000000;250000000;280000000;310000000;340000000;400000000})</f>
        <v>10000000</v>
      </c>
      <c r="J1914" s="7" t="n">
        <f aca="false">I1914*S1914*T1914*U1914</f>
        <v>16128000</v>
      </c>
      <c r="K1914" s="3"/>
      <c r="L1914" s="3"/>
      <c r="M1914" s="3"/>
      <c r="N1914" s="9" t="n">
        <v>0</v>
      </c>
      <c r="O1914" s="4" t="n">
        <v>0</v>
      </c>
      <c r="P1914" s="5" t="n">
        <f aca="false">IF(COUNTIF([1]Base_Jugadores!J$2:J$500,B1914)&gt;0,1,0)</f>
        <v>0</v>
      </c>
      <c r="Q1914" s="10" t="b">
        <f aca="false">--(COUNTIFS(
   [1]Fichajes_Realizados!A$2:A$5000,A1914,
   [1]Fichajes_Realizados!G$2:G$5000,$X$3
)&gt;0)</f>
        <v>0</v>
      </c>
      <c r="R1914" s="5" t="n">
        <f aca="false">_xlfn.XLOOKUP(C1914, [1]Estado_Equipos!A$2:A$500, [1]Estado_Equipos!J$2:J$500, "")</f>
        <v>75</v>
      </c>
      <c r="S1914" s="5" t="n">
        <f aca="false">IF(H1914&lt;=16,1.45,
IF(H1914&gt;=41,0.3,
CHOOSE(ROUNDDOWN((H1914-16)/2,0)+1,
1.45,1.38,1.3,1.23,1.17,1.15,1.12,1.05,0.95,0.8,0.6,0.4,0.3)))</f>
        <v>1.12</v>
      </c>
      <c r="T1914" s="5" t="n">
        <f aca="false">CHOOSE(N1914+1,1.2,1,0.85,0.7)</f>
        <v>1.2</v>
      </c>
      <c r="U1914" s="5" t="n">
        <f aca="false">IF(F1914="PO",0.6,
IF(F1914="CT",0.75,
IF(F1914="LI",0.8,
IF(F1914="LD",0.8,
IF(F1914="MCD",0.85,
IF(F1914="MC",0.95,
IF(F1914="MO",1.05,
IF(F1914="EI",1.1,
IF(F1914="ED",1.1,
IF(F1914="SD",1.15,
IF(F1914="DC",1.2,0)))))))))))</f>
        <v>1.2</v>
      </c>
    </row>
    <row r="1915" customFormat="false" ht="16.4" hidden="false" customHeight="false" outlineLevel="0" collapsed="false">
      <c r="A1915" s="1" t="n">
        <v>1914</v>
      </c>
      <c r="B1915" s="5" t="str">
        <f aca="false">[1]Base_Jugadores!B1915</f>
        <v>Viggo Gebel</v>
      </c>
      <c r="C1915" s="5" t="str">
        <f aca="false">IFERROR(
   _xlfn.XLOOKUP(VALUE(A1915),[1]Fichajes_Realizados!A$2:A$50000,[1]Fichajes_Realizados!D$2:D$50000,,0,-1),
   _xlfn.XLOOKUP(VALUE(A1915),[1]Base_Jugadores!A$2:A$50000,[1]Base_Jugadores!C$2:C$50000)
)</f>
        <v>RB Leipzig</v>
      </c>
      <c r="D1915" s="5" t="str">
        <f aca="false">[1]Base_Jugadores!D1915</f>
        <v>Alemania</v>
      </c>
      <c r="E1915" s="3"/>
      <c r="F1915" s="5" t="str">
        <f aca="false">[1]Base_Jugadores!E1915</f>
        <v>MO</v>
      </c>
      <c r="G1915" s="5" t="n">
        <f aca="false">[1]Base_Jugadores!F1915</f>
        <v>64</v>
      </c>
      <c r="H1915" s="5" t="n">
        <f aca="false">[1]Base_Jugadores!G1915</f>
        <v>18</v>
      </c>
      <c r="I1915" s="7" t="n">
        <f aca="false" t="array" ref="I1915:I1915">_xlfn.XLOOKUP(G1915,{55;56;57;58;59;60;61;62;63;64;65;66;67;68;69;70;71;72;73;74;75;76;77;78;79;80;81;82;83;84;85;86;87;88;89;90;91;92;93;94;95;96;97;98;99},{100000;130000;160000;190000;220000;250000;300000;350000;400000;450000;500000;600000;700000;800000;900000;1000000;1500000;2000000;3000000;4000000;5000000;6500000;8000000;10000000;12500000;15000000;20000000;25000000;30000000;35000000;40000000;55000000;70000000;80000000;90000000;110000000;130000000;160000000;190000000;220000000;250000000;280000000;310000000;340000000;400000000})</f>
        <v>450000</v>
      </c>
      <c r="J1915" s="7" t="n">
        <f aca="false">I1915*S1915*T1915*U1915</f>
        <v>782460</v>
      </c>
      <c r="K1915" s="3"/>
      <c r="L1915" s="3"/>
      <c r="M1915" s="3"/>
      <c r="N1915" s="9" t="n">
        <v>0</v>
      </c>
      <c r="O1915" s="4" t="n">
        <v>0</v>
      </c>
      <c r="P1915" s="5" t="n">
        <f aca="false">IF(COUNTIF([1]Base_Jugadores!J$2:J$500,B1915)&gt;0,1,0)</f>
        <v>0</v>
      </c>
      <c r="Q1915" s="10" t="b">
        <f aca="false">--(COUNTIFS(
   [1]Fichajes_Realizados!A$2:A$5000,A1915,
   [1]Fichajes_Realizados!G$2:G$5000,$X$3
)&gt;0)</f>
        <v>0</v>
      </c>
      <c r="R1915" s="5" t="n">
        <f aca="false">_xlfn.XLOOKUP(C1915, [1]Estado_Equipos!A$2:A$500, [1]Estado_Equipos!J$2:J$500, "")</f>
        <v>75</v>
      </c>
      <c r="S1915" s="5" t="n">
        <f aca="false">IF(H1915&lt;=16,1.45,
IF(H1915&gt;=41,0.3,
CHOOSE(ROUNDDOWN((H1915-16)/2,0)+1,
1.45,1.38,1.3,1.23,1.17,1.15,1.12,1.05,0.95,0.8,0.6,0.4,0.3)))</f>
        <v>1.38</v>
      </c>
      <c r="T1915" s="5" t="n">
        <f aca="false">CHOOSE(N1915+1,1.2,1,0.85,0.7)</f>
        <v>1.2</v>
      </c>
      <c r="U1915" s="5" t="n">
        <f aca="false">IF(F1915="PO",0.6,
IF(F1915="CT",0.75,
IF(F1915="LI",0.8,
IF(F1915="LD",0.8,
IF(F1915="MCD",0.85,
IF(F1915="MC",0.95,
IF(F1915="MO",1.05,
IF(F1915="EI",1.1,
IF(F1915="ED",1.1,
IF(F1915="SD",1.15,
IF(F1915="DC",1.2,0)))))))))))</f>
        <v>1.05</v>
      </c>
    </row>
    <row r="1916" customFormat="false" ht="16.4" hidden="false" customHeight="false" outlineLevel="0" collapsed="false">
      <c r="A1916" s="1" t="n">
        <v>1915</v>
      </c>
      <c r="B1916" s="5" t="str">
        <f aca="false">[1]Base_Jugadores!B1916</f>
        <v>Willi Orbán</v>
      </c>
      <c r="C1916" s="5" t="str">
        <f aca="false">IFERROR(
   _xlfn.XLOOKUP(VALUE(A1916),[1]Fichajes_Realizados!A$2:A$50000,[1]Fichajes_Realizados!D$2:D$50000,,0,-1),
   _xlfn.XLOOKUP(VALUE(A1916),[1]Base_Jugadores!A$2:A$50000,[1]Base_Jugadores!C$2:C$50000)
)</f>
        <v>RB Leipzig</v>
      </c>
      <c r="D1916" s="5" t="str">
        <f aca="false">[1]Base_Jugadores!D1916</f>
        <v>Hungría</v>
      </c>
      <c r="E1916" s="3"/>
      <c r="F1916" s="5" t="str">
        <f aca="false">[1]Base_Jugadores!E1916</f>
        <v>CT</v>
      </c>
      <c r="G1916" s="5" t="n">
        <f aca="false">[1]Base_Jugadores!F1916</f>
        <v>83</v>
      </c>
      <c r="H1916" s="5" t="n">
        <f aca="false">[1]Base_Jugadores!G1916</f>
        <v>33</v>
      </c>
      <c r="I1916" s="7" t="n">
        <f aca="false" t="array" ref="I1916:I1916">_xlfn.XLOOKUP(G1916,{55;56;57;58;59;60;61;62;63;64;65;66;67;68;69;70;71;72;73;74;75;76;77;78;79;80;81;82;83;84;85;86;87;88;89;90;91;92;93;94;95;96;97;98;99},{100000;130000;160000;190000;220000;250000;300000;350000;400000;450000;500000;600000;700000;800000;900000;1000000;1500000;2000000;3000000;4000000;5000000;6500000;8000000;10000000;12500000;15000000;20000000;25000000;30000000;35000000;40000000;55000000;70000000;80000000;90000000;110000000;130000000;160000000;190000000;220000000;250000000;280000000;310000000;340000000;400000000})</f>
        <v>30000000</v>
      </c>
      <c r="J1916" s="7" t="n">
        <f aca="false">I1916*S1916*T1916*U1916</f>
        <v>25650000</v>
      </c>
      <c r="K1916" s="3"/>
      <c r="L1916" s="3"/>
      <c r="M1916" s="3"/>
      <c r="N1916" s="9" t="n">
        <v>0</v>
      </c>
      <c r="O1916" s="4" t="n">
        <v>0</v>
      </c>
      <c r="P1916" s="5" t="n">
        <f aca="false">IF(COUNTIF([1]Base_Jugadores!J$2:J$500,B1916)&gt;0,1,0)</f>
        <v>0</v>
      </c>
      <c r="Q1916" s="10" t="b">
        <f aca="false">--(COUNTIFS(
   [1]Fichajes_Realizados!A$2:A$5000,A1916,
   [1]Fichajes_Realizados!G$2:G$5000,$X$3
)&gt;0)</f>
        <v>0</v>
      </c>
      <c r="R1916" s="5" t="n">
        <f aca="false">_xlfn.XLOOKUP(C1916, [1]Estado_Equipos!A$2:A$500, [1]Estado_Equipos!J$2:J$500, "")</f>
        <v>75</v>
      </c>
      <c r="S1916" s="5" t="n">
        <f aca="false">IF(H1916&lt;=16,1.45,
IF(H1916&gt;=41,0.3,
CHOOSE(ROUNDDOWN((H1916-16)/2,0)+1,
1.45,1.38,1.3,1.23,1.17,1.15,1.12,1.05,0.95,0.8,0.6,0.4,0.3)))</f>
        <v>0.95</v>
      </c>
      <c r="T1916" s="5" t="n">
        <f aca="false">CHOOSE(N1916+1,1.2,1,0.85,0.7)</f>
        <v>1.2</v>
      </c>
      <c r="U1916" s="5" t="n">
        <f aca="false">IF(F1916="PO",0.6,
IF(F1916="CT",0.75,
IF(F1916="LI",0.8,
IF(F1916="LD",0.8,
IF(F1916="MCD",0.85,
IF(F1916="MC",0.95,
IF(F1916="MO",1.05,
IF(F1916="EI",1.1,
IF(F1916="ED",1.1,
IF(F1916="SD",1.15,
IF(F1916="DC",1.2,0)))))))))))</f>
        <v>0.75</v>
      </c>
    </row>
    <row r="1917" customFormat="false" ht="16.4" hidden="false" customHeight="false" outlineLevel="0" collapsed="false">
      <c r="A1917" s="1" t="n">
        <v>1916</v>
      </c>
      <c r="B1917" s="5" t="str">
        <f aca="false">[1]Base_Jugadores!B1917</f>
        <v>Xaver Schlager</v>
      </c>
      <c r="C1917" s="5" t="str">
        <f aca="false">IFERROR(
   _xlfn.XLOOKUP(VALUE(A1917),[1]Fichajes_Realizados!A$2:A$50000,[1]Fichajes_Realizados!D$2:D$50000,,0,-1),
   _xlfn.XLOOKUP(VALUE(A1917),[1]Base_Jugadores!A$2:A$50000,[1]Base_Jugadores!C$2:C$50000)
)</f>
        <v>RB Leipzig</v>
      </c>
      <c r="D1917" s="5" t="str">
        <f aca="false">[1]Base_Jugadores!D1917</f>
        <v>Austria</v>
      </c>
      <c r="E1917" s="3"/>
      <c r="F1917" s="5" t="str">
        <f aca="false">[1]Base_Jugadores!E1917</f>
        <v>MC</v>
      </c>
      <c r="G1917" s="5" t="n">
        <f aca="false">[1]Base_Jugadores!F1917</f>
        <v>80</v>
      </c>
      <c r="H1917" s="5" t="n">
        <f aca="false">[1]Base_Jugadores!G1917</f>
        <v>28</v>
      </c>
      <c r="I1917" s="7" t="n">
        <f aca="false" t="array" ref="I1917:I1917">_xlfn.XLOOKUP(G1917,{55;56;57;58;59;60;61;62;63;64;65;66;67;68;69;70;71;72;73;74;75;76;77;78;79;80;81;82;83;84;85;86;87;88;89;90;91;92;93;94;95;96;97;98;99},{100000;130000;160000;190000;220000;250000;300000;350000;400000;450000;500000;600000;700000;800000;900000;1000000;1500000;2000000;3000000;4000000;5000000;6500000;8000000;10000000;12500000;15000000;20000000;25000000;30000000;35000000;40000000;55000000;70000000;80000000;90000000;110000000;130000000;160000000;190000000;220000000;250000000;280000000;310000000;340000000;400000000})</f>
        <v>15000000</v>
      </c>
      <c r="J1917" s="7" t="n">
        <f aca="false">I1917*S1917*T1917*U1917</f>
        <v>19152000</v>
      </c>
      <c r="K1917" s="3"/>
      <c r="L1917" s="3"/>
      <c r="M1917" s="3"/>
      <c r="N1917" s="9" t="n">
        <v>0</v>
      </c>
      <c r="O1917" s="4" t="n">
        <v>0</v>
      </c>
      <c r="P1917" s="5" t="n">
        <f aca="false">IF(COUNTIF([1]Base_Jugadores!J$2:J$500,B1917)&gt;0,1,0)</f>
        <v>0</v>
      </c>
      <c r="Q1917" s="10" t="b">
        <f aca="false">--(COUNTIFS(
   [1]Fichajes_Realizados!A$2:A$5000,A1917,
   [1]Fichajes_Realizados!G$2:G$5000,$X$3
)&gt;0)</f>
        <v>0</v>
      </c>
      <c r="R1917" s="5" t="n">
        <f aca="false">_xlfn.XLOOKUP(C1917, [1]Estado_Equipos!A$2:A$500, [1]Estado_Equipos!J$2:J$500, "")</f>
        <v>75</v>
      </c>
      <c r="S1917" s="5" t="n">
        <f aca="false">IF(H1917&lt;=16,1.45,
IF(H1917&gt;=41,0.3,
CHOOSE(ROUNDDOWN((H1917-16)/2,0)+1,
1.45,1.38,1.3,1.23,1.17,1.15,1.12,1.05,0.95,0.8,0.6,0.4,0.3)))</f>
        <v>1.12</v>
      </c>
      <c r="T1917" s="5" t="n">
        <f aca="false">CHOOSE(N1917+1,1.2,1,0.85,0.7)</f>
        <v>1.2</v>
      </c>
      <c r="U1917" s="5" t="n">
        <f aca="false">IF(F1917="PO",0.6,
IF(F1917="CT",0.75,
IF(F1917="LI",0.8,
IF(F1917="LD",0.8,
IF(F1917="MCD",0.85,
IF(F1917="MC",0.95,
IF(F1917="MO",1.05,
IF(F1917="EI",1.1,
IF(F1917="ED",1.1,
IF(F1917="SD",1.15,
IF(F1917="DC",1.2,0)))))))))))</f>
        <v>0.95</v>
      </c>
    </row>
    <row r="1918" customFormat="false" ht="16.4" hidden="false" customHeight="false" outlineLevel="0" collapsed="false">
      <c r="A1918" s="1" t="n">
        <v>1917</v>
      </c>
      <c r="B1918" s="5" t="str">
        <f aca="false">[1]Base_Jugadores!B1918</f>
        <v>Yan Diomande</v>
      </c>
      <c r="C1918" s="5" t="str">
        <f aca="false">IFERROR(
   _xlfn.XLOOKUP(VALUE(A1918),[1]Fichajes_Realizados!A$2:A$50000,[1]Fichajes_Realizados!D$2:D$50000,,0,-1),
   _xlfn.XLOOKUP(VALUE(A1918),[1]Base_Jugadores!A$2:A$50000,[1]Base_Jugadores!C$2:C$50000)
)</f>
        <v>RB Leipzig</v>
      </c>
      <c r="D1918" s="5" t="str">
        <f aca="false">[1]Base_Jugadores!D1918</f>
        <v>Costa de Marfil</v>
      </c>
      <c r="E1918" s="3"/>
      <c r="F1918" s="5" t="str">
        <f aca="false">[1]Base_Jugadores!E1918</f>
        <v>EI</v>
      </c>
      <c r="G1918" s="5" t="n">
        <f aca="false">[1]Base_Jugadores!F1918</f>
        <v>64</v>
      </c>
      <c r="H1918" s="5" t="n">
        <f aca="false">[1]Base_Jugadores!G1918</f>
        <v>19</v>
      </c>
      <c r="I1918" s="7" t="n">
        <f aca="false" t="array" ref="I1918:I1918">_xlfn.XLOOKUP(G1918,{55;56;57;58;59;60;61;62;63;64;65;66;67;68;69;70;71;72;73;74;75;76;77;78;79;80;81;82;83;84;85;86;87;88;89;90;91;92;93;94;95;96;97;98;99},{100000;130000;160000;190000;220000;250000;300000;350000;400000;450000;500000;600000;700000;800000;900000;1000000;1500000;2000000;3000000;4000000;5000000;6500000;8000000;10000000;12500000;15000000;20000000;25000000;30000000;35000000;40000000;55000000;70000000;80000000;90000000;110000000;130000000;160000000;190000000;220000000;250000000;280000000;310000000;340000000;400000000})</f>
        <v>450000</v>
      </c>
      <c r="J1918" s="7" t="n">
        <f aca="false">I1918*S1918*T1918*U1918</f>
        <v>819720</v>
      </c>
      <c r="K1918" s="3"/>
      <c r="L1918" s="3"/>
      <c r="M1918" s="3"/>
      <c r="N1918" s="9" t="n">
        <v>0</v>
      </c>
      <c r="O1918" s="4" t="n">
        <v>0</v>
      </c>
      <c r="P1918" s="5" t="n">
        <f aca="false">IF(COUNTIF([1]Base_Jugadores!J$2:J$500,B1918)&gt;0,1,0)</f>
        <v>0</v>
      </c>
      <c r="Q1918" s="10" t="b">
        <f aca="false">--(COUNTIFS(
   [1]Fichajes_Realizados!A$2:A$5000,A1918,
   [1]Fichajes_Realizados!G$2:G$5000,$X$3
)&gt;0)</f>
        <v>0</v>
      </c>
      <c r="R1918" s="5" t="n">
        <f aca="false">_xlfn.XLOOKUP(C1918, [1]Estado_Equipos!A$2:A$500, [1]Estado_Equipos!J$2:J$500, "")</f>
        <v>75</v>
      </c>
      <c r="S1918" s="5" t="n">
        <f aca="false">IF(H1918&lt;=16,1.45,
IF(H1918&gt;=41,0.3,
CHOOSE(ROUNDDOWN((H1918-16)/2,0)+1,
1.45,1.38,1.3,1.23,1.17,1.15,1.12,1.05,0.95,0.8,0.6,0.4,0.3)))</f>
        <v>1.38</v>
      </c>
      <c r="T1918" s="5" t="n">
        <f aca="false">CHOOSE(N1918+1,1.2,1,0.85,0.7)</f>
        <v>1.2</v>
      </c>
      <c r="U1918" s="5" t="n">
        <f aca="false">IF(F1918="PO",0.6,
IF(F1918="CT",0.75,
IF(F1918="LI",0.8,
IF(F1918="LD",0.8,
IF(F1918="MCD",0.85,
IF(F1918="MC",0.95,
IF(F1918="MO",1.05,
IF(F1918="EI",1.1,
IF(F1918="ED",1.1,
IF(F1918="SD",1.15,
IF(F1918="DC",1.2,0)))))))))))</f>
        <v>1.1</v>
      </c>
    </row>
    <row r="1919" customFormat="false" ht="16.4" hidden="false" customHeight="false" outlineLevel="0" collapsed="false">
      <c r="A1919" s="1" t="n">
        <v>1918</v>
      </c>
      <c r="B1919" s="5" t="str">
        <f aca="false">[1]Base_Jugadores!B1919</f>
        <v>Nikola Vasilj</v>
      </c>
      <c r="C1919" s="5" t="str">
        <f aca="false">IFERROR(
   _xlfn.XLOOKUP(VALUE(A1919),[1]Fichajes_Realizados!A$2:A$50000,[1]Fichajes_Realizados!D$2:D$50000,,0,-1),
   _xlfn.XLOOKUP(VALUE(A1919),[1]Base_Jugadores!A$2:A$50000,[1]Base_Jugadores!C$2:C$50000)
)</f>
        <v>FC St. Pauli</v>
      </c>
      <c r="D1919" s="5" t="str">
        <f aca="false">[1]Base_Jugadores!D1919</f>
        <v>Bosnia y Herzegovina</v>
      </c>
      <c r="E1919" s="3"/>
      <c r="F1919" s="5" t="str">
        <f aca="false">[1]Base_Jugadores!E1919</f>
        <v>PO</v>
      </c>
      <c r="G1919" s="5" t="n">
        <f aca="false">[1]Base_Jugadores!F1919</f>
        <v>70</v>
      </c>
      <c r="H1919" s="5" t="n">
        <f aca="false">[1]Base_Jugadores!G1919</f>
        <v>30</v>
      </c>
      <c r="I1919" s="7" t="n">
        <f aca="false" t="array" ref="I1919:I1919">_xlfn.XLOOKUP(G1919,{55;56;57;58;59;60;61;62;63;64;65;66;67;68;69;70;71;72;73;74;75;76;77;78;79;80;81;82;83;84;85;86;87;88;89;90;91;92;93;94;95;96;97;98;99},{100000;130000;160000;190000;220000;250000;300000;350000;400000;450000;500000;600000;700000;800000;900000;1000000;1500000;2000000;3000000;4000000;5000000;6500000;8000000;10000000;12500000;15000000;20000000;25000000;30000000;35000000;40000000;55000000;70000000;80000000;90000000;110000000;130000000;160000000;190000000;220000000;250000000;280000000;310000000;340000000;400000000})</f>
        <v>1000000</v>
      </c>
      <c r="J1919" s="7" t="n">
        <f aca="false">I1919*S1919*T1919*U1919</f>
        <v>756000</v>
      </c>
      <c r="K1919" s="3"/>
      <c r="L1919" s="3"/>
      <c r="M1919" s="3"/>
      <c r="N1919" s="9" t="n">
        <v>0</v>
      </c>
      <c r="O1919" s="4" t="n">
        <v>0</v>
      </c>
      <c r="P1919" s="5" t="n">
        <f aca="false">IF(COUNTIF([1]Base_Jugadores!J$2:J$500,B1919)&gt;0,1,0)</f>
        <v>0</v>
      </c>
      <c r="Q1919" s="10" t="b">
        <f aca="false">--(COUNTIFS(
   [1]Fichajes_Realizados!A$2:A$5000,A1919,
   [1]Fichajes_Realizados!G$2:G$5000,$X$3
)&gt;0)</f>
        <v>0</v>
      </c>
      <c r="R1919" s="5" t="n">
        <f aca="false">_xlfn.XLOOKUP(C1919, [1]Estado_Equipos!A$2:A$500, [1]Estado_Equipos!J$2:J$500, "")</f>
        <v>70</v>
      </c>
      <c r="S1919" s="5" t="n">
        <f aca="false">IF(H1919&lt;=16,1.45,
IF(H1919&gt;=41,0.3,
CHOOSE(ROUNDDOWN((H1919-16)/2,0)+1,
1.45,1.38,1.3,1.23,1.17,1.15,1.12,1.05,0.95,0.8,0.6,0.4,0.3)))</f>
        <v>1.05</v>
      </c>
      <c r="T1919" s="5" t="n">
        <f aca="false">CHOOSE(N1919+1,1.2,1,0.85,0.7)</f>
        <v>1.2</v>
      </c>
      <c r="U1919" s="5" t="n">
        <f aca="false">IF(F1919="PO",0.6,
IF(F1919="CT",0.75,
IF(F1919="LI",0.8,
IF(F1919="LD",0.8,
IF(F1919="MCD",0.85,
IF(F1919="MC",0.95,
IF(F1919="MO",1.05,
IF(F1919="EI",1.1,
IF(F1919="ED",1.1,
IF(F1919="SD",1.15,
IF(F1919="DC",1.2,0)))))))))))</f>
        <v>0.6</v>
      </c>
    </row>
    <row r="1920" customFormat="false" ht="16.4" hidden="false" customHeight="false" outlineLevel="0" collapsed="false">
      <c r="A1920" s="1" t="n">
        <v>1919</v>
      </c>
      <c r="B1920" s="5" t="str">
        <f aca="false">[1]Base_Jugadores!B1920</f>
        <v>Abdoulie Ceesay</v>
      </c>
      <c r="C1920" s="5" t="str">
        <f aca="false">IFERROR(
   _xlfn.XLOOKUP(VALUE(A1920),[1]Fichajes_Realizados!A$2:A$50000,[1]Fichajes_Realizados!D$2:D$50000,,0,-1),
   _xlfn.XLOOKUP(VALUE(A1920),[1]Base_Jugadores!A$2:A$50000,[1]Base_Jugadores!C$2:C$50000)
)</f>
        <v>FC St. Pauli</v>
      </c>
      <c r="D1920" s="5" t="str">
        <f aca="false">[1]Base_Jugadores!D1920</f>
        <v>Gambia</v>
      </c>
      <c r="E1920" s="3"/>
      <c r="F1920" s="5" t="str">
        <f aca="false">[1]Base_Jugadores!E1920</f>
        <v>DC</v>
      </c>
      <c r="G1920" s="5" t="n">
        <f aca="false">[1]Base_Jugadores!F1920</f>
        <v>66</v>
      </c>
      <c r="H1920" s="5" t="n">
        <f aca="false">[1]Base_Jugadores!G1920</f>
        <v>21</v>
      </c>
      <c r="I1920" s="7" t="n">
        <f aca="false" t="array" ref="I1920:I1920">_xlfn.XLOOKUP(G1920,{55;56;57;58;59;60;61;62;63;64;65;66;67;68;69;70;71;72;73;74;75;76;77;78;79;80;81;82;83;84;85;86;87;88;89;90;91;92;93;94;95;96;97;98;99},{100000;130000;160000;190000;220000;250000;300000;350000;400000;450000;500000;600000;700000;800000;900000;1000000;1500000;2000000;3000000;4000000;5000000;6500000;8000000;10000000;12500000;15000000;20000000;25000000;30000000;35000000;40000000;55000000;70000000;80000000;90000000;110000000;130000000;160000000;190000000;220000000;250000000;280000000;310000000;340000000;400000000})</f>
        <v>600000</v>
      </c>
      <c r="J1920" s="7" t="n">
        <f aca="false">I1920*S1920*T1920*U1920</f>
        <v>1123200</v>
      </c>
      <c r="K1920" s="3"/>
      <c r="L1920" s="3"/>
      <c r="M1920" s="3"/>
      <c r="N1920" s="9" t="n">
        <v>0</v>
      </c>
      <c r="O1920" s="4" t="n">
        <v>0</v>
      </c>
      <c r="P1920" s="5" t="n">
        <f aca="false">IF(COUNTIF([1]Base_Jugadores!J$2:J$500,B1920)&gt;0,1,0)</f>
        <v>0</v>
      </c>
      <c r="Q1920" s="10" t="b">
        <f aca="false">--(COUNTIFS(
   [1]Fichajes_Realizados!A$2:A$5000,A1920,
   [1]Fichajes_Realizados!G$2:G$5000,$X$3
)&gt;0)</f>
        <v>0</v>
      </c>
      <c r="R1920" s="5" t="n">
        <f aca="false">_xlfn.XLOOKUP(C1920, [1]Estado_Equipos!A$2:A$500, [1]Estado_Equipos!J$2:J$500, "")</f>
        <v>70</v>
      </c>
      <c r="S1920" s="5" t="n">
        <f aca="false">IF(H1920&lt;=16,1.45,
IF(H1920&gt;=41,0.3,
CHOOSE(ROUNDDOWN((H1920-16)/2,0)+1,
1.45,1.38,1.3,1.23,1.17,1.15,1.12,1.05,0.95,0.8,0.6,0.4,0.3)))</f>
        <v>1.3</v>
      </c>
      <c r="T1920" s="5" t="n">
        <f aca="false">CHOOSE(N1920+1,1.2,1,0.85,0.7)</f>
        <v>1.2</v>
      </c>
      <c r="U1920" s="5" t="n">
        <f aca="false">IF(F1920="PO",0.6,
IF(F1920="CT",0.75,
IF(F1920="LI",0.8,
IF(F1920="LD",0.8,
IF(F1920="MCD",0.85,
IF(F1920="MC",0.95,
IF(F1920="MO",1.05,
IF(F1920="EI",1.1,
IF(F1920="ED",1.1,
IF(F1920="SD",1.15,
IF(F1920="DC",1.2,0)))))))))))</f>
        <v>1.2</v>
      </c>
    </row>
    <row r="1921" customFormat="false" ht="16.4" hidden="false" customHeight="false" outlineLevel="0" collapsed="false">
      <c r="A1921" s="1" t="n">
        <v>1920</v>
      </c>
      <c r="B1921" s="5" t="str">
        <f aca="false">[1]Base_Jugadores!B1921</f>
        <v>Adam Dzwigala</v>
      </c>
      <c r="C1921" s="5" t="str">
        <f aca="false">IFERROR(
   _xlfn.XLOOKUP(VALUE(A1921),[1]Fichajes_Realizados!A$2:A$50000,[1]Fichajes_Realizados!D$2:D$50000,,0,-1),
   _xlfn.XLOOKUP(VALUE(A1921),[1]Base_Jugadores!A$2:A$50000,[1]Base_Jugadores!C$2:C$50000)
)</f>
        <v>FC St. Pauli</v>
      </c>
      <c r="D1921" s="5" t="str">
        <f aca="false">[1]Base_Jugadores!D1921</f>
        <v>Polonia</v>
      </c>
      <c r="E1921" s="3"/>
      <c r="F1921" s="5" t="str">
        <f aca="false">[1]Base_Jugadores!E1921</f>
        <v>CT</v>
      </c>
      <c r="G1921" s="5" t="n">
        <f aca="false">[1]Base_Jugadores!F1921</f>
        <v>69</v>
      </c>
      <c r="H1921" s="5" t="n">
        <f aca="false">[1]Base_Jugadores!G1921</f>
        <v>30</v>
      </c>
      <c r="I1921" s="7" t="n">
        <f aca="false" t="array" ref="I1921:I1921">_xlfn.XLOOKUP(G1921,{55;56;57;58;59;60;61;62;63;64;65;66;67;68;69;70;71;72;73;74;75;76;77;78;79;80;81;82;83;84;85;86;87;88;89;90;91;92;93;94;95;96;97;98;99},{100000;130000;160000;190000;220000;250000;300000;350000;400000;450000;500000;600000;700000;800000;900000;1000000;1500000;2000000;3000000;4000000;5000000;6500000;8000000;10000000;12500000;15000000;20000000;25000000;30000000;35000000;40000000;55000000;70000000;80000000;90000000;110000000;130000000;160000000;190000000;220000000;250000000;280000000;310000000;340000000;400000000})</f>
        <v>900000</v>
      </c>
      <c r="J1921" s="7" t="n">
        <f aca="false">I1921*S1921*T1921*U1921</f>
        <v>850500</v>
      </c>
      <c r="K1921" s="3"/>
      <c r="L1921" s="3"/>
      <c r="M1921" s="3"/>
      <c r="N1921" s="9" t="n">
        <v>0</v>
      </c>
      <c r="O1921" s="4" t="n">
        <v>0</v>
      </c>
      <c r="P1921" s="5" t="n">
        <f aca="false">IF(COUNTIF([1]Base_Jugadores!J$2:J$500,B1921)&gt;0,1,0)</f>
        <v>0</v>
      </c>
      <c r="Q1921" s="10" t="b">
        <f aca="false">--(COUNTIFS(
   [1]Fichajes_Realizados!A$2:A$5000,A1921,
   [1]Fichajes_Realizados!G$2:G$5000,$X$3
)&gt;0)</f>
        <v>0</v>
      </c>
      <c r="R1921" s="5" t="n">
        <f aca="false">_xlfn.XLOOKUP(C1921, [1]Estado_Equipos!A$2:A$500, [1]Estado_Equipos!J$2:J$500, "")</f>
        <v>70</v>
      </c>
      <c r="S1921" s="5" t="n">
        <f aca="false">IF(H1921&lt;=16,1.45,
IF(H1921&gt;=41,0.3,
CHOOSE(ROUNDDOWN((H1921-16)/2,0)+1,
1.45,1.38,1.3,1.23,1.17,1.15,1.12,1.05,0.95,0.8,0.6,0.4,0.3)))</f>
        <v>1.05</v>
      </c>
      <c r="T1921" s="5" t="n">
        <f aca="false">CHOOSE(N1921+1,1.2,1,0.85,0.7)</f>
        <v>1.2</v>
      </c>
      <c r="U1921" s="5" t="n">
        <f aca="false">IF(F1921="PO",0.6,
IF(F1921="CT",0.75,
IF(F1921="LI",0.8,
IF(F1921="LD",0.8,
IF(F1921="MCD",0.85,
IF(F1921="MC",0.95,
IF(F1921="MO",1.05,
IF(F1921="EI",1.1,
IF(F1921="ED",1.1,
IF(F1921="SD",1.15,
IF(F1921="DC",1.2,0)))))))))))</f>
        <v>0.75</v>
      </c>
    </row>
    <row r="1922" customFormat="false" ht="16.4" hidden="false" customHeight="false" outlineLevel="0" collapsed="false">
      <c r="A1922" s="1" t="n">
        <v>1921</v>
      </c>
      <c r="B1922" s="5" t="str">
        <f aca="false">[1]Base_Jugadores!B1922</f>
        <v>A. Hountondji</v>
      </c>
      <c r="C1922" s="5" t="str">
        <f aca="false">IFERROR(
   _xlfn.XLOOKUP(VALUE(A1922),[1]Fichajes_Realizados!A$2:A$50000,[1]Fichajes_Realizados!D$2:D$50000,,0,-1),
   _xlfn.XLOOKUP(VALUE(A1922),[1]Base_Jugadores!A$2:A$50000,[1]Base_Jugadores!C$2:C$50000)
)</f>
        <v>FC St. Pauli</v>
      </c>
      <c r="D1922" s="5" t="str">
        <f aca="false">[1]Base_Jugadores!D1922</f>
        <v>Benín</v>
      </c>
      <c r="E1922" s="3"/>
      <c r="F1922" s="5" t="str">
        <f aca="false">[1]Base_Jugadores!E1922</f>
        <v>DC</v>
      </c>
      <c r="G1922" s="5" t="n">
        <f aca="false">[1]Base_Jugadores!F1922</f>
        <v>68</v>
      </c>
      <c r="H1922" s="5" t="n">
        <f aca="false">[1]Base_Jugadores!G1922</f>
        <v>23</v>
      </c>
      <c r="I1922" s="7" t="n">
        <f aca="false" t="array" ref="I1922:I1922">_xlfn.XLOOKUP(G1922,{55;56;57;58;59;60;61;62;63;64;65;66;67;68;69;70;71;72;73;74;75;76;77;78;79;80;81;82;83;84;85;86;87;88;89;90;91;92;93;94;95;96;97;98;99},{100000;130000;160000;190000;220000;250000;300000;350000;400000;450000;500000;600000;700000;800000;900000;1000000;1500000;2000000;3000000;4000000;5000000;6500000;8000000;10000000;12500000;15000000;20000000;25000000;30000000;35000000;40000000;55000000;70000000;80000000;90000000;110000000;130000000;160000000;190000000;220000000;250000000;280000000;310000000;340000000;400000000})</f>
        <v>800000</v>
      </c>
      <c r="J1922" s="7" t="n">
        <f aca="false">I1922*S1922*T1922*U1922</f>
        <v>1416960</v>
      </c>
      <c r="K1922" s="3"/>
      <c r="L1922" s="3"/>
      <c r="M1922" s="3"/>
      <c r="N1922" s="9" t="n">
        <v>0</v>
      </c>
      <c r="O1922" s="4" t="n">
        <v>0</v>
      </c>
      <c r="P1922" s="5" t="n">
        <f aca="false">IF(COUNTIF([1]Base_Jugadores!J$2:J$500,B1922)&gt;0,1,0)</f>
        <v>0</v>
      </c>
      <c r="Q1922" s="10" t="b">
        <f aca="false">--(COUNTIFS(
   [1]Fichajes_Realizados!A$2:A$5000,A1922,
   [1]Fichajes_Realizados!G$2:G$5000,$X$3
)&gt;0)</f>
        <v>0</v>
      </c>
      <c r="R1922" s="5" t="n">
        <f aca="false">_xlfn.XLOOKUP(C1922, [1]Estado_Equipos!A$2:A$500, [1]Estado_Equipos!J$2:J$500, "")</f>
        <v>70</v>
      </c>
      <c r="S1922" s="5" t="n">
        <f aca="false">IF(H1922&lt;=16,1.45,
IF(H1922&gt;=41,0.3,
CHOOSE(ROUNDDOWN((H1922-16)/2,0)+1,
1.45,1.38,1.3,1.23,1.17,1.15,1.12,1.05,0.95,0.8,0.6,0.4,0.3)))</f>
        <v>1.23</v>
      </c>
      <c r="T1922" s="5" t="n">
        <f aca="false">CHOOSE(N1922+1,1.2,1,0.85,0.7)</f>
        <v>1.2</v>
      </c>
      <c r="U1922" s="5" t="n">
        <f aca="false">IF(F1922="PO",0.6,
IF(F1922="CT",0.75,
IF(F1922="LI",0.8,
IF(F1922="LD",0.8,
IF(F1922="MCD",0.85,
IF(F1922="MC",0.95,
IF(F1922="MO",1.05,
IF(F1922="EI",1.1,
IF(F1922="ED",1.1,
IF(F1922="SD",1.15,
IF(F1922="DC",1.2,0)))))))))))</f>
        <v>1.2</v>
      </c>
    </row>
    <row r="1923" customFormat="false" ht="16.4" hidden="false" customHeight="false" outlineLevel="0" collapsed="false">
      <c r="A1923" s="1" t="n">
        <v>1922</v>
      </c>
      <c r="B1923" s="5" t="str">
        <f aca="false">[1]Base_Jugadores!B1923</f>
        <v>Ben Voll</v>
      </c>
      <c r="C1923" s="5" t="str">
        <f aca="false">IFERROR(
   _xlfn.XLOOKUP(VALUE(A1923),[1]Fichajes_Realizados!A$2:A$50000,[1]Fichajes_Realizados!D$2:D$50000,,0,-1),
   _xlfn.XLOOKUP(VALUE(A1923),[1]Base_Jugadores!A$2:A$50000,[1]Base_Jugadores!C$2:C$50000)
)</f>
        <v>FC St. Pauli</v>
      </c>
      <c r="D1923" s="5" t="str">
        <f aca="false">[1]Base_Jugadores!D1923</f>
        <v>Alemania</v>
      </c>
      <c r="E1923" s="3"/>
      <c r="F1923" s="5" t="str">
        <f aca="false">[1]Base_Jugadores!E1923</f>
        <v>PO</v>
      </c>
      <c r="G1923" s="5" t="n">
        <f aca="false">[1]Base_Jugadores!F1923</f>
        <v>67</v>
      </c>
      <c r="H1923" s="5" t="n">
        <f aca="false">[1]Base_Jugadores!G1923</f>
        <v>25</v>
      </c>
      <c r="I1923" s="7" t="n">
        <f aca="false" t="array" ref="I1923:I1923">_xlfn.XLOOKUP(G1923,{55;56;57;58;59;60;61;62;63;64;65;66;67;68;69;70;71;72;73;74;75;76;77;78;79;80;81;82;83;84;85;86;87;88;89;90;91;92;93;94;95;96;97;98;99},{100000;130000;160000;190000;220000;250000;300000;350000;400000;450000;500000;600000;700000;800000;900000;1000000;1500000;2000000;3000000;4000000;5000000;6500000;8000000;10000000;12500000;15000000;20000000;25000000;30000000;35000000;40000000;55000000;70000000;80000000;90000000;110000000;130000000;160000000;190000000;220000000;250000000;280000000;310000000;340000000;400000000})</f>
        <v>700000</v>
      </c>
      <c r="J1923" s="7" t="n">
        <f aca="false">I1923*S1923*T1923*U1923</f>
        <v>589680</v>
      </c>
      <c r="K1923" s="3"/>
      <c r="L1923" s="3"/>
      <c r="M1923" s="3"/>
      <c r="N1923" s="9" t="n">
        <v>0</v>
      </c>
      <c r="O1923" s="4" t="n">
        <v>0</v>
      </c>
      <c r="P1923" s="5" t="n">
        <f aca="false">IF(COUNTIF([1]Base_Jugadores!J$2:J$500,B1923)&gt;0,1,0)</f>
        <v>0</v>
      </c>
      <c r="Q1923" s="10" t="b">
        <f aca="false">--(COUNTIFS(
   [1]Fichajes_Realizados!A$2:A$5000,A1923,
   [1]Fichajes_Realizados!G$2:G$5000,$X$3
)&gt;0)</f>
        <v>0</v>
      </c>
      <c r="R1923" s="5" t="n">
        <f aca="false">_xlfn.XLOOKUP(C1923, [1]Estado_Equipos!A$2:A$500, [1]Estado_Equipos!J$2:J$500, "")</f>
        <v>70</v>
      </c>
      <c r="S1923" s="5" t="n">
        <f aca="false">IF(H1923&lt;=16,1.45,
IF(H1923&gt;=41,0.3,
CHOOSE(ROUNDDOWN((H1923-16)/2,0)+1,
1.45,1.38,1.3,1.23,1.17,1.15,1.12,1.05,0.95,0.8,0.6,0.4,0.3)))</f>
        <v>1.17</v>
      </c>
      <c r="T1923" s="5" t="n">
        <f aca="false">CHOOSE(N1923+1,1.2,1,0.85,0.7)</f>
        <v>1.2</v>
      </c>
      <c r="U1923" s="5" t="n">
        <f aca="false">IF(F1923="PO",0.6,
IF(F1923="CT",0.75,
IF(F1923="LI",0.8,
IF(F1923="LD",0.8,
IF(F1923="MCD",0.85,
IF(F1923="MC",0.95,
IF(F1923="MO",1.05,
IF(F1923="EI",1.1,
IF(F1923="ED",1.1,
IF(F1923="SD",1.15,
IF(F1923="DC",1.2,0)))))))))))</f>
        <v>0.6</v>
      </c>
    </row>
    <row r="1924" customFormat="false" ht="16.4" hidden="false" customHeight="false" outlineLevel="0" collapsed="false">
      <c r="A1924" s="1" t="n">
        <v>1923</v>
      </c>
      <c r="B1924" s="5" t="str">
        <f aca="false">[1]Base_Jugadores!B1924</f>
        <v>Connor Metcalfe</v>
      </c>
      <c r="C1924" s="5" t="str">
        <f aca="false">IFERROR(
   _xlfn.XLOOKUP(VALUE(A1924),[1]Fichajes_Realizados!A$2:A$50000,[1]Fichajes_Realizados!D$2:D$50000,,0,-1),
   _xlfn.XLOOKUP(VALUE(A1924),[1]Base_Jugadores!A$2:A$50000,[1]Base_Jugadores!C$2:C$50000)
)</f>
        <v>FC St. Pauli</v>
      </c>
      <c r="D1924" s="5" t="str">
        <f aca="false">[1]Base_Jugadores!D1924</f>
        <v>Australia</v>
      </c>
      <c r="E1924" s="3"/>
      <c r="F1924" s="5" t="str">
        <f aca="false">[1]Base_Jugadores!E1924</f>
        <v>MC</v>
      </c>
      <c r="G1924" s="5" t="n">
        <f aca="false">[1]Base_Jugadores!F1924</f>
        <v>69</v>
      </c>
      <c r="H1924" s="5" t="n">
        <f aca="false">[1]Base_Jugadores!G1924</f>
        <v>26</v>
      </c>
      <c r="I1924" s="7" t="n">
        <f aca="false" t="array" ref="I1924:I1924">_xlfn.XLOOKUP(G1924,{55;56;57;58;59;60;61;62;63;64;65;66;67;68;69;70;71;72;73;74;75;76;77;78;79;80;81;82;83;84;85;86;87;88;89;90;91;92;93;94;95;96;97;98;99},{100000;130000;160000;190000;220000;250000;300000;350000;400000;450000;500000;600000;700000;800000;900000;1000000;1500000;2000000;3000000;4000000;5000000;6500000;8000000;10000000;12500000;15000000;20000000;25000000;30000000;35000000;40000000;55000000;70000000;80000000;90000000;110000000;130000000;160000000;190000000;220000000;250000000;280000000;310000000;340000000;400000000})</f>
        <v>900000</v>
      </c>
      <c r="J1924" s="7" t="n">
        <f aca="false">I1924*S1924*T1924*U1924</f>
        <v>1179900</v>
      </c>
      <c r="K1924" s="3"/>
      <c r="L1924" s="3"/>
      <c r="M1924" s="3"/>
      <c r="N1924" s="9" t="n">
        <v>0</v>
      </c>
      <c r="O1924" s="4" t="n">
        <v>0</v>
      </c>
      <c r="P1924" s="5" t="n">
        <f aca="false">IF(COUNTIF([1]Base_Jugadores!J$2:J$500,B1924)&gt;0,1,0)</f>
        <v>0</v>
      </c>
      <c r="Q1924" s="10" t="b">
        <f aca="false">--(COUNTIFS(
   [1]Fichajes_Realizados!A$2:A$5000,A1924,
   [1]Fichajes_Realizados!G$2:G$5000,$X$3
)&gt;0)</f>
        <v>0</v>
      </c>
      <c r="R1924" s="5" t="n">
        <f aca="false">_xlfn.XLOOKUP(C1924, [1]Estado_Equipos!A$2:A$500, [1]Estado_Equipos!J$2:J$500, "")</f>
        <v>70</v>
      </c>
      <c r="S1924" s="5" t="n">
        <f aca="false">IF(H1924&lt;=16,1.45,
IF(H1924&gt;=41,0.3,
CHOOSE(ROUNDDOWN((H1924-16)/2,0)+1,
1.45,1.38,1.3,1.23,1.17,1.15,1.12,1.05,0.95,0.8,0.6,0.4,0.3)))</f>
        <v>1.15</v>
      </c>
      <c r="T1924" s="5" t="n">
        <f aca="false">CHOOSE(N1924+1,1.2,1,0.85,0.7)</f>
        <v>1.2</v>
      </c>
      <c r="U1924" s="5" t="n">
        <f aca="false">IF(F1924="PO",0.6,
IF(F1924="CT",0.75,
IF(F1924="LI",0.8,
IF(F1924="LD",0.8,
IF(F1924="MCD",0.85,
IF(F1924="MC",0.95,
IF(F1924="MO",1.05,
IF(F1924="EI",1.1,
IF(F1924="ED",1.1,
IF(F1924="SD",1.15,
IF(F1924="DC",1.2,0)))))))))))</f>
        <v>0.95</v>
      </c>
    </row>
    <row r="1925" customFormat="false" ht="16.4" hidden="false" customHeight="false" outlineLevel="0" collapsed="false">
      <c r="A1925" s="1" t="n">
        <v>1924</v>
      </c>
      <c r="B1925" s="5" t="str">
        <f aca="false">[1]Base_Jugadores!B1925</f>
        <v>Danel Sinani</v>
      </c>
      <c r="C1925" s="5" t="str">
        <f aca="false">IFERROR(
   _xlfn.XLOOKUP(VALUE(A1925),[1]Fichajes_Realizados!A$2:A$50000,[1]Fichajes_Realizados!D$2:D$50000,,0,-1),
   _xlfn.XLOOKUP(VALUE(A1925),[1]Base_Jugadores!A$2:A$50000,[1]Base_Jugadores!C$2:C$50000)
)</f>
        <v>FC St. Pauli</v>
      </c>
      <c r="D1925" s="5" t="str">
        <f aca="false">[1]Base_Jugadores!D1925</f>
        <v>Luxemburgo</v>
      </c>
      <c r="E1925" s="3"/>
      <c r="F1925" s="5" t="str">
        <f aca="false">[1]Base_Jugadores!E1925</f>
        <v>MO</v>
      </c>
      <c r="G1925" s="5" t="n">
        <f aca="false">[1]Base_Jugadores!F1925</f>
        <v>66</v>
      </c>
      <c r="H1925" s="5" t="n">
        <f aca="false">[1]Base_Jugadores!G1925</f>
        <v>28</v>
      </c>
      <c r="I1925" s="7" t="n">
        <f aca="false" t="array" ref="I1925:I1925">_xlfn.XLOOKUP(G1925,{55;56;57;58;59;60;61;62;63;64;65;66;67;68;69;70;71;72;73;74;75;76;77;78;79;80;81;82;83;84;85;86;87;88;89;90;91;92;93;94;95;96;97;98;99},{100000;130000;160000;190000;220000;250000;300000;350000;400000;450000;500000;600000;700000;800000;900000;1000000;1500000;2000000;3000000;4000000;5000000;6500000;8000000;10000000;12500000;15000000;20000000;25000000;30000000;35000000;40000000;55000000;70000000;80000000;90000000;110000000;130000000;160000000;190000000;220000000;250000000;280000000;310000000;340000000;400000000})</f>
        <v>600000</v>
      </c>
      <c r="J1925" s="7" t="n">
        <f aca="false">I1925*S1925*T1925*U1925</f>
        <v>846720</v>
      </c>
      <c r="K1925" s="3"/>
      <c r="L1925" s="3"/>
      <c r="M1925" s="3"/>
      <c r="N1925" s="9" t="n">
        <v>0</v>
      </c>
      <c r="O1925" s="4" t="n">
        <v>0</v>
      </c>
      <c r="P1925" s="5" t="n">
        <f aca="false">IF(COUNTIF([1]Base_Jugadores!J$2:J$500,B1925)&gt;0,1,0)</f>
        <v>0</v>
      </c>
      <c r="Q1925" s="10" t="b">
        <f aca="false">--(COUNTIFS(
   [1]Fichajes_Realizados!A$2:A$5000,A1925,
   [1]Fichajes_Realizados!G$2:G$5000,$X$3
)&gt;0)</f>
        <v>0</v>
      </c>
      <c r="R1925" s="5" t="n">
        <f aca="false">_xlfn.XLOOKUP(C1925, [1]Estado_Equipos!A$2:A$500, [1]Estado_Equipos!J$2:J$500, "")</f>
        <v>70</v>
      </c>
      <c r="S1925" s="5" t="n">
        <f aca="false">IF(H1925&lt;=16,1.45,
IF(H1925&gt;=41,0.3,
CHOOSE(ROUNDDOWN((H1925-16)/2,0)+1,
1.45,1.38,1.3,1.23,1.17,1.15,1.12,1.05,0.95,0.8,0.6,0.4,0.3)))</f>
        <v>1.12</v>
      </c>
      <c r="T1925" s="5" t="n">
        <f aca="false">CHOOSE(N1925+1,1.2,1,0.85,0.7)</f>
        <v>1.2</v>
      </c>
      <c r="U1925" s="5" t="n">
        <f aca="false">IF(F1925="PO",0.6,
IF(F1925="CT",0.75,
IF(F1925="LI",0.8,
IF(F1925="LD",0.8,
IF(F1925="MCD",0.85,
IF(F1925="MC",0.95,
IF(F1925="MO",1.05,
IF(F1925="EI",1.1,
IF(F1925="ED",1.1,
IF(F1925="SD",1.15,
IF(F1925="DC",1.2,0)))))))))))</f>
        <v>1.05</v>
      </c>
    </row>
    <row r="1926" customFormat="false" ht="16.4" hidden="false" customHeight="false" outlineLevel="0" collapsed="false">
      <c r="A1926" s="1" t="n">
        <v>1925</v>
      </c>
      <c r="B1926" s="5" t="str">
        <f aca="false">[1]Base_Jugadores!B1926</f>
        <v>David Nemeth</v>
      </c>
      <c r="C1926" s="5" t="str">
        <f aca="false">IFERROR(
   _xlfn.XLOOKUP(VALUE(A1926),[1]Fichajes_Realizados!A$2:A$50000,[1]Fichajes_Realizados!D$2:D$50000,,0,-1),
   _xlfn.XLOOKUP(VALUE(A1926),[1]Base_Jugadores!A$2:A$50000,[1]Base_Jugadores!C$2:C$50000)
)</f>
        <v>FC St. Pauli</v>
      </c>
      <c r="D1926" s="5" t="str">
        <f aca="false">[1]Base_Jugadores!D1926</f>
        <v>Austria</v>
      </c>
      <c r="E1926" s="3"/>
      <c r="F1926" s="5" t="str">
        <f aca="false">[1]Base_Jugadores!E1926</f>
        <v>CT</v>
      </c>
      <c r="G1926" s="5" t="n">
        <f aca="false">[1]Base_Jugadores!F1926</f>
        <v>70</v>
      </c>
      <c r="H1926" s="5" t="n">
        <f aca="false">[1]Base_Jugadores!G1926</f>
        <v>24</v>
      </c>
      <c r="I1926" s="7" t="n">
        <f aca="false" t="array" ref="I1926:I1926">_xlfn.XLOOKUP(G1926,{55;56;57;58;59;60;61;62;63;64;65;66;67;68;69;70;71;72;73;74;75;76;77;78;79;80;81;82;83;84;85;86;87;88;89;90;91;92;93;94;95;96;97;98;99},{100000;130000;160000;190000;220000;250000;300000;350000;400000;450000;500000;600000;700000;800000;900000;1000000;1500000;2000000;3000000;4000000;5000000;6500000;8000000;10000000;12500000;15000000;20000000;25000000;30000000;35000000;40000000;55000000;70000000;80000000;90000000;110000000;130000000;160000000;190000000;220000000;250000000;280000000;310000000;340000000;400000000})</f>
        <v>1000000</v>
      </c>
      <c r="J1926" s="7" t="n">
        <f aca="false">I1926*S1926*T1926*U1926</f>
        <v>1053000</v>
      </c>
      <c r="K1926" s="3"/>
      <c r="L1926" s="3"/>
      <c r="M1926" s="3"/>
      <c r="N1926" s="9" t="n">
        <v>0</v>
      </c>
      <c r="O1926" s="4" t="n">
        <v>0</v>
      </c>
      <c r="P1926" s="5" t="n">
        <f aca="false">IF(COUNTIF([1]Base_Jugadores!J$2:J$500,B1926)&gt;0,1,0)</f>
        <v>0</v>
      </c>
      <c r="Q1926" s="10" t="b">
        <f aca="false">--(COUNTIFS(
   [1]Fichajes_Realizados!A$2:A$5000,A1926,
   [1]Fichajes_Realizados!G$2:G$5000,$X$3
)&gt;0)</f>
        <v>0</v>
      </c>
      <c r="R1926" s="5" t="n">
        <f aca="false">_xlfn.XLOOKUP(C1926, [1]Estado_Equipos!A$2:A$500, [1]Estado_Equipos!J$2:J$500, "")</f>
        <v>70</v>
      </c>
      <c r="S1926" s="5" t="n">
        <f aca="false">IF(H1926&lt;=16,1.45,
IF(H1926&gt;=41,0.3,
CHOOSE(ROUNDDOWN((H1926-16)/2,0)+1,
1.45,1.38,1.3,1.23,1.17,1.15,1.12,1.05,0.95,0.8,0.6,0.4,0.3)))</f>
        <v>1.17</v>
      </c>
      <c r="T1926" s="5" t="n">
        <f aca="false">CHOOSE(N1926+1,1.2,1,0.85,0.7)</f>
        <v>1.2</v>
      </c>
      <c r="U1926" s="5" t="n">
        <f aca="false">IF(F1926="PO",0.6,
IF(F1926="CT",0.75,
IF(F1926="LI",0.8,
IF(F1926="LD",0.8,
IF(F1926="MCD",0.85,
IF(F1926="MC",0.95,
IF(F1926="MO",1.05,
IF(F1926="EI",1.1,
IF(F1926="ED",1.1,
IF(F1926="SD",1.15,
IF(F1926="DC",1.2,0)))))))))))</f>
        <v>0.75</v>
      </c>
    </row>
    <row r="1927" customFormat="false" ht="16.4" hidden="false" customHeight="false" outlineLevel="0" collapsed="false">
      <c r="A1927" s="1" t="n">
        <v>1926</v>
      </c>
      <c r="B1927" s="5" t="str">
        <f aca="false">[1]Base_Jugadores!B1927</f>
        <v>Eric Smith</v>
      </c>
      <c r="C1927" s="5" t="str">
        <f aca="false">IFERROR(
   _xlfn.XLOOKUP(VALUE(A1927),[1]Fichajes_Realizados!A$2:A$50000,[1]Fichajes_Realizados!D$2:D$50000,,0,-1),
   _xlfn.XLOOKUP(VALUE(A1927),[1]Base_Jugadores!A$2:A$50000,[1]Base_Jugadores!C$2:C$50000)
)</f>
        <v>FC St. Pauli</v>
      </c>
      <c r="D1927" s="5" t="str">
        <f aca="false">[1]Base_Jugadores!D1927</f>
        <v>Suecia</v>
      </c>
      <c r="E1927" s="3"/>
      <c r="F1927" s="5" t="str">
        <f aca="false">[1]Base_Jugadores!E1927</f>
        <v>CT</v>
      </c>
      <c r="G1927" s="5" t="n">
        <f aca="false">[1]Base_Jugadores!F1927</f>
        <v>77</v>
      </c>
      <c r="H1927" s="5" t="n">
        <f aca="false">[1]Base_Jugadores!G1927</f>
        <v>28</v>
      </c>
      <c r="I1927" s="7" t="n">
        <f aca="false" t="array" ref="I1927:I1927">_xlfn.XLOOKUP(G1927,{55;56;57;58;59;60;61;62;63;64;65;66;67;68;69;70;71;72;73;74;75;76;77;78;79;80;81;82;83;84;85;86;87;88;89;90;91;92;93;94;95;96;97;98;99},{100000;130000;160000;190000;220000;250000;300000;350000;400000;450000;500000;600000;700000;800000;900000;1000000;1500000;2000000;3000000;4000000;5000000;6500000;8000000;10000000;12500000;15000000;20000000;25000000;30000000;35000000;40000000;55000000;70000000;80000000;90000000;110000000;130000000;160000000;190000000;220000000;250000000;280000000;310000000;340000000;400000000})</f>
        <v>8000000</v>
      </c>
      <c r="J1927" s="7" t="n">
        <f aca="false">I1927*S1927*T1927*U1927</f>
        <v>8064000</v>
      </c>
      <c r="K1927" s="3"/>
      <c r="L1927" s="3"/>
      <c r="M1927" s="3"/>
      <c r="N1927" s="9" t="n">
        <v>0</v>
      </c>
      <c r="O1927" s="4" t="n">
        <v>0</v>
      </c>
      <c r="P1927" s="5" t="n">
        <f aca="false">IF(COUNTIF([1]Base_Jugadores!J$2:J$500,B1927)&gt;0,1,0)</f>
        <v>0</v>
      </c>
      <c r="Q1927" s="10" t="b">
        <f aca="false">--(COUNTIFS(
   [1]Fichajes_Realizados!A$2:A$5000,A1927,
   [1]Fichajes_Realizados!G$2:G$5000,$X$3
)&gt;0)</f>
        <v>0</v>
      </c>
      <c r="R1927" s="5" t="n">
        <f aca="false">_xlfn.XLOOKUP(C1927, [1]Estado_Equipos!A$2:A$500, [1]Estado_Equipos!J$2:J$500, "")</f>
        <v>70</v>
      </c>
      <c r="S1927" s="5" t="n">
        <f aca="false">IF(H1927&lt;=16,1.45,
IF(H1927&gt;=41,0.3,
CHOOSE(ROUNDDOWN((H1927-16)/2,0)+1,
1.45,1.38,1.3,1.23,1.17,1.15,1.12,1.05,0.95,0.8,0.6,0.4,0.3)))</f>
        <v>1.12</v>
      </c>
      <c r="T1927" s="5" t="n">
        <f aca="false">CHOOSE(N1927+1,1.2,1,0.85,0.7)</f>
        <v>1.2</v>
      </c>
      <c r="U1927" s="5" t="n">
        <f aca="false">IF(F1927="PO",0.6,
IF(F1927="CT",0.75,
IF(F1927="LI",0.8,
IF(F1927="LD",0.8,
IF(F1927="MCD",0.85,
IF(F1927="MC",0.95,
IF(F1927="MO",1.05,
IF(F1927="EI",1.1,
IF(F1927="ED",1.1,
IF(F1927="SD",1.15,
IF(F1927="DC",1.2,0)))))))))))</f>
        <v>0.75</v>
      </c>
    </row>
    <row r="1928" customFormat="false" ht="16.4" hidden="false" customHeight="false" outlineLevel="0" collapsed="false">
      <c r="A1928" s="1" t="n">
        <v>1927</v>
      </c>
      <c r="B1928" s="5" t="str">
        <f aca="false">[1]Base_Jugadores!B1928</f>
        <v>Erik Ahlstrand</v>
      </c>
      <c r="C1928" s="5" t="str">
        <f aca="false">IFERROR(
   _xlfn.XLOOKUP(VALUE(A1928),[1]Fichajes_Realizados!A$2:A$50000,[1]Fichajes_Realizados!D$2:D$50000,,0,-1),
   _xlfn.XLOOKUP(VALUE(A1928),[1]Base_Jugadores!A$2:A$50000,[1]Base_Jugadores!C$2:C$50000)
)</f>
        <v>FC St. Pauli</v>
      </c>
      <c r="D1928" s="5" t="str">
        <f aca="false">[1]Base_Jugadores!D1928</f>
        <v>Suecia</v>
      </c>
      <c r="E1928" s="3"/>
      <c r="F1928" s="5" t="str">
        <f aca="false">[1]Base_Jugadores!E1928</f>
        <v>MC</v>
      </c>
      <c r="G1928" s="5" t="n">
        <f aca="false">[1]Base_Jugadores!F1928</f>
        <v>67</v>
      </c>
      <c r="H1928" s="5" t="n">
        <f aca="false">[1]Base_Jugadores!G1928</f>
        <v>24</v>
      </c>
      <c r="I1928" s="7" t="n">
        <f aca="false" t="array" ref="I1928:I1928">_xlfn.XLOOKUP(G1928,{55;56;57;58;59;60;61;62;63;64;65;66;67;68;69;70;71;72;73;74;75;76;77;78;79;80;81;82;83;84;85;86;87;88;89;90;91;92;93;94;95;96;97;98;99},{100000;130000;160000;190000;220000;250000;300000;350000;400000;450000;500000;600000;700000;800000;900000;1000000;1500000;2000000;3000000;4000000;5000000;6500000;8000000;10000000;12500000;15000000;20000000;25000000;30000000;35000000;40000000;55000000;70000000;80000000;90000000;110000000;130000000;160000000;190000000;220000000;250000000;280000000;310000000;340000000;400000000})</f>
        <v>700000</v>
      </c>
      <c r="J1928" s="7" t="n">
        <f aca="false">I1928*S1928*T1928*U1928</f>
        <v>933660</v>
      </c>
      <c r="K1928" s="3"/>
      <c r="L1928" s="3"/>
      <c r="M1928" s="3"/>
      <c r="N1928" s="9" t="n">
        <v>0</v>
      </c>
      <c r="O1928" s="4" t="n">
        <v>0</v>
      </c>
      <c r="P1928" s="5" t="n">
        <f aca="false">IF(COUNTIF([1]Base_Jugadores!J$2:J$500,B1928)&gt;0,1,0)</f>
        <v>0</v>
      </c>
      <c r="Q1928" s="10" t="b">
        <f aca="false">--(COUNTIFS(
   [1]Fichajes_Realizados!A$2:A$5000,A1928,
   [1]Fichajes_Realizados!G$2:G$5000,$X$3
)&gt;0)</f>
        <v>0</v>
      </c>
      <c r="R1928" s="5" t="n">
        <f aca="false">_xlfn.XLOOKUP(C1928, [1]Estado_Equipos!A$2:A$500, [1]Estado_Equipos!J$2:J$500, "")</f>
        <v>70</v>
      </c>
      <c r="S1928" s="5" t="n">
        <f aca="false">IF(H1928&lt;=16,1.45,
IF(H1928&gt;=41,0.3,
CHOOSE(ROUNDDOWN((H1928-16)/2,0)+1,
1.45,1.38,1.3,1.23,1.17,1.15,1.12,1.05,0.95,0.8,0.6,0.4,0.3)))</f>
        <v>1.17</v>
      </c>
      <c r="T1928" s="5" t="n">
        <f aca="false">CHOOSE(N1928+1,1.2,1,0.85,0.7)</f>
        <v>1.2</v>
      </c>
      <c r="U1928" s="5" t="n">
        <f aca="false">IF(F1928="PO",0.6,
IF(F1928="CT",0.75,
IF(F1928="LI",0.8,
IF(F1928="LD",0.8,
IF(F1928="MCD",0.85,
IF(F1928="MC",0.95,
IF(F1928="MO",1.05,
IF(F1928="EI",1.1,
IF(F1928="ED",1.1,
IF(F1928="SD",1.15,
IF(F1928="DC",1.2,0)))))))))))</f>
        <v>0.95</v>
      </c>
    </row>
    <row r="1929" customFormat="false" ht="16.4" hidden="false" customHeight="false" outlineLevel="0" collapsed="false">
      <c r="A1929" s="1" t="n">
        <v>1928</v>
      </c>
      <c r="B1929" s="5" t="str">
        <f aca="false">[1]Base_Jugadores!B1929</f>
        <v>Fin Stevens</v>
      </c>
      <c r="C1929" s="5" t="str">
        <f aca="false">IFERROR(
   _xlfn.XLOOKUP(VALUE(A1929),[1]Fichajes_Realizados!A$2:A$50000,[1]Fichajes_Realizados!D$2:D$50000,,0,-1),
   _xlfn.XLOOKUP(VALUE(A1929),[1]Base_Jugadores!A$2:A$50000,[1]Base_Jugadores!C$2:C$50000)
)</f>
        <v>FC St. Pauli</v>
      </c>
      <c r="D1929" s="5" t="str">
        <f aca="false">[1]Base_Jugadores!D1929</f>
        <v>Gales</v>
      </c>
      <c r="E1929" s="3"/>
      <c r="F1929" s="5" t="str">
        <f aca="false">[1]Base_Jugadores!E1929</f>
        <v>LD</v>
      </c>
      <c r="G1929" s="5" t="n">
        <f aca="false">[1]Base_Jugadores!F1929</f>
        <v>66</v>
      </c>
      <c r="H1929" s="5" t="n">
        <f aca="false">[1]Base_Jugadores!G1929</f>
        <v>22</v>
      </c>
      <c r="I1929" s="7" t="n">
        <f aca="false" t="array" ref="I1929:I1929">_xlfn.XLOOKUP(G1929,{55;56;57;58;59;60;61;62;63;64;65;66;67;68;69;70;71;72;73;74;75;76;77;78;79;80;81;82;83;84;85;86;87;88;89;90;91;92;93;94;95;96;97;98;99},{100000;130000;160000;190000;220000;250000;300000;350000;400000;450000;500000;600000;700000;800000;900000;1000000;1500000;2000000;3000000;4000000;5000000;6500000;8000000;10000000;12500000;15000000;20000000;25000000;30000000;35000000;40000000;55000000;70000000;80000000;90000000;110000000;130000000;160000000;190000000;220000000;250000000;280000000;310000000;340000000;400000000})</f>
        <v>600000</v>
      </c>
      <c r="J1929" s="7" t="n">
        <f aca="false">I1929*S1929*T1929*U1929</f>
        <v>708480</v>
      </c>
      <c r="K1929" s="3"/>
      <c r="L1929" s="3"/>
      <c r="M1929" s="3"/>
      <c r="N1929" s="9" t="n">
        <v>0</v>
      </c>
      <c r="O1929" s="4" t="n">
        <v>0</v>
      </c>
      <c r="P1929" s="5" t="n">
        <f aca="false">IF(COUNTIF([1]Base_Jugadores!J$2:J$500,B1929)&gt;0,1,0)</f>
        <v>0</v>
      </c>
      <c r="Q1929" s="10" t="b">
        <f aca="false">--(COUNTIFS(
   [1]Fichajes_Realizados!A$2:A$5000,A1929,
   [1]Fichajes_Realizados!G$2:G$5000,$X$3
)&gt;0)</f>
        <v>0</v>
      </c>
      <c r="R1929" s="5" t="n">
        <f aca="false">_xlfn.XLOOKUP(C1929, [1]Estado_Equipos!A$2:A$500, [1]Estado_Equipos!J$2:J$500, "")</f>
        <v>70</v>
      </c>
      <c r="S1929" s="5" t="n">
        <f aca="false">IF(H1929&lt;=16,1.45,
IF(H1929&gt;=41,0.3,
CHOOSE(ROUNDDOWN((H1929-16)/2,0)+1,
1.45,1.38,1.3,1.23,1.17,1.15,1.12,1.05,0.95,0.8,0.6,0.4,0.3)))</f>
        <v>1.23</v>
      </c>
      <c r="T1929" s="5" t="n">
        <f aca="false">CHOOSE(N1929+1,1.2,1,0.85,0.7)</f>
        <v>1.2</v>
      </c>
      <c r="U1929" s="5" t="n">
        <f aca="false">IF(F1929="PO",0.6,
IF(F1929="CT",0.75,
IF(F1929="LI",0.8,
IF(F1929="LD",0.8,
IF(F1929="MCD",0.85,
IF(F1929="MC",0.95,
IF(F1929="MO",1.05,
IF(F1929="EI",1.1,
IF(F1929="ED",1.1,
IF(F1929="SD",1.15,
IF(F1929="DC",1.2,0)))))))))))</f>
        <v>0.8</v>
      </c>
    </row>
    <row r="1930" customFormat="false" ht="16.4" hidden="false" customHeight="false" outlineLevel="0" collapsed="false">
      <c r="A1930" s="1" t="n">
        <v>1929</v>
      </c>
      <c r="B1930" s="5" t="str">
        <f aca="false">[1]Base_Jugadores!B1930</f>
        <v>Hauke Wahl</v>
      </c>
      <c r="C1930" s="5" t="str">
        <f aca="false">IFERROR(
   _xlfn.XLOOKUP(VALUE(A1930),[1]Fichajes_Realizados!A$2:A$50000,[1]Fichajes_Realizados!D$2:D$50000,,0,-1),
   _xlfn.XLOOKUP(VALUE(A1930),[1]Base_Jugadores!A$2:A$50000,[1]Base_Jugadores!C$2:C$50000)
)</f>
        <v>FC St. Pauli</v>
      </c>
      <c r="D1930" s="5" t="str">
        <f aca="false">[1]Base_Jugadores!D1930</f>
        <v>Alemania</v>
      </c>
      <c r="E1930" s="3"/>
      <c r="F1930" s="5" t="str">
        <f aca="false">[1]Base_Jugadores!E1930</f>
        <v>CT</v>
      </c>
      <c r="G1930" s="5" t="n">
        <f aca="false">[1]Base_Jugadores!F1930</f>
        <v>73</v>
      </c>
      <c r="H1930" s="5" t="n">
        <f aca="false">[1]Base_Jugadores!G1930</f>
        <v>31</v>
      </c>
      <c r="I1930" s="7" t="n">
        <f aca="false" t="array" ref="I1930:I1930">_xlfn.XLOOKUP(G1930,{55;56;57;58;59;60;61;62;63;64;65;66;67;68;69;70;71;72;73;74;75;76;77;78;79;80;81;82;83;84;85;86;87;88;89;90;91;92;93;94;95;96;97;98;99},{100000;130000;160000;190000;220000;250000;300000;350000;400000;450000;500000;600000;700000;800000;900000;1000000;1500000;2000000;3000000;4000000;5000000;6500000;8000000;10000000;12500000;15000000;20000000;25000000;30000000;35000000;40000000;55000000;70000000;80000000;90000000;110000000;130000000;160000000;190000000;220000000;250000000;280000000;310000000;340000000;400000000})</f>
        <v>3000000</v>
      </c>
      <c r="J1930" s="7" t="n">
        <f aca="false">I1930*S1930*T1930*U1930</f>
        <v>2835000</v>
      </c>
      <c r="K1930" s="3"/>
      <c r="L1930" s="3"/>
      <c r="M1930" s="3"/>
      <c r="N1930" s="9" t="n">
        <v>0</v>
      </c>
      <c r="O1930" s="4" t="n">
        <v>0</v>
      </c>
      <c r="P1930" s="5" t="n">
        <f aca="false">IF(COUNTIF([1]Base_Jugadores!J$2:J$500,B1930)&gt;0,1,0)</f>
        <v>0</v>
      </c>
      <c r="Q1930" s="10" t="b">
        <f aca="false">--(COUNTIFS(
   [1]Fichajes_Realizados!A$2:A$5000,A1930,
   [1]Fichajes_Realizados!G$2:G$5000,$X$3
)&gt;0)</f>
        <v>0</v>
      </c>
      <c r="R1930" s="5" t="n">
        <f aca="false">_xlfn.XLOOKUP(C1930, [1]Estado_Equipos!A$2:A$500, [1]Estado_Equipos!J$2:J$500, "")</f>
        <v>70</v>
      </c>
      <c r="S1930" s="5" t="n">
        <f aca="false">IF(H1930&lt;=16,1.45,
IF(H1930&gt;=41,0.3,
CHOOSE(ROUNDDOWN((H1930-16)/2,0)+1,
1.45,1.38,1.3,1.23,1.17,1.15,1.12,1.05,0.95,0.8,0.6,0.4,0.3)))</f>
        <v>1.05</v>
      </c>
      <c r="T1930" s="5" t="n">
        <f aca="false">CHOOSE(N1930+1,1.2,1,0.85,0.7)</f>
        <v>1.2</v>
      </c>
      <c r="U1930" s="5" t="n">
        <f aca="false">IF(F1930="PO",0.6,
IF(F1930="CT",0.75,
IF(F1930="LI",0.8,
IF(F1930="LD",0.8,
IF(F1930="MCD",0.85,
IF(F1930="MC",0.95,
IF(F1930="MO",1.05,
IF(F1930="EI",1.1,
IF(F1930="ED",1.1,
IF(F1930="SD",1.15,
IF(F1930="DC",1.2,0)))))))))))</f>
        <v>0.75</v>
      </c>
    </row>
    <row r="1931" customFormat="false" ht="16.4" hidden="false" customHeight="false" outlineLevel="0" collapsed="false">
      <c r="A1931" s="1" t="n">
        <v>1930</v>
      </c>
      <c r="B1931" s="5" t="str">
        <f aca="false">[1]Base_Jugadores!B1931</f>
        <v>Jackson Irvine</v>
      </c>
      <c r="C1931" s="5" t="str">
        <f aca="false">IFERROR(
   _xlfn.XLOOKUP(VALUE(A1931),[1]Fichajes_Realizados!A$2:A$50000,[1]Fichajes_Realizados!D$2:D$50000,,0,-1),
   _xlfn.XLOOKUP(VALUE(A1931),[1]Base_Jugadores!A$2:A$50000,[1]Base_Jugadores!C$2:C$50000)
)</f>
        <v>FC St. Pauli</v>
      </c>
      <c r="D1931" s="5" t="str">
        <f aca="false">[1]Base_Jugadores!D1931</f>
        <v>Australia</v>
      </c>
      <c r="E1931" s="3"/>
      <c r="F1931" s="5" t="str">
        <f aca="false">[1]Base_Jugadores!E1931</f>
        <v>MC</v>
      </c>
      <c r="G1931" s="5" t="n">
        <f aca="false">[1]Base_Jugadores!F1931</f>
        <v>75</v>
      </c>
      <c r="H1931" s="5" t="n">
        <f aca="false">[1]Base_Jugadores!G1931</f>
        <v>32</v>
      </c>
      <c r="I1931" s="7" t="n">
        <f aca="false" t="array" ref="I1931:I1931">_xlfn.XLOOKUP(G1931,{55;56;57;58;59;60;61;62;63;64;65;66;67;68;69;70;71;72;73;74;75;76;77;78;79;80;81;82;83;84;85;86;87;88;89;90;91;92;93;94;95;96;97;98;99},{100000;130000;160000;190000;220000;250000;300000;350000;400000;450000;500000;600000;700000;800000;900000;1000000;1500000;2000000;3000000;4000000;5000000;6500000;8000000;10000000;12500000;15000000;20000000;25000000;30000000;35000000;40000000;55000000;70000000;80000000;90000000;110000000;130000000;160000000;190000000;220000000;250000000;280000000;310000000;340000000;400000000})</f>
        <v>5000000</v>
      </c>
      <c r="J1931" s="7" t="n">
        <f aca="false">I1931*S1931*T1931*U1931</f>
        <v>5415000</v>
      </c>
      <c r="K1931" s="3"/>
      <c r="L1931" s="3"/>
      <c r="M1931" s="3"/>
      <c r="N1931" s="9" t="n">
        <v>0</v>
      </c>
      <c r="O1931" s="4" t="n">
        <v>0</v>
      </c>
      <c r="P1931" s="5" t="n">
        <f aca="false">IF(COUNTIF([1]Base_Jugadores!J$2:J$500,B1931)&gt;0,1,0)</f>
        <v>0</v>
      </c>
      <c r="Q1931" s="10" t="b">
        <f aca="false">--(COUNTIFS(
   [1]Fichajes_Realizados!A$2:A$5000,A1931,
   [1]Fichajes_Realizados!G$2:G$5000,$X$3
)&gt;0)</f>
        <v>0</v>
      </c>
      <c r="R1931" s="5" t="n">
        <f aca="false">_xlfn.XLOOKUP(C1931, [1]Estado_Equipos!A$2:A$500, [1]Estado_Equipos!J$2:J$500, "")</f>
        <v>70</v>
      </c>
      <c r="S1931" s="5" t="n">
        <f aca="false">IF(H1931&lt;=16,1.45,
IF(H1931&gt;=41,0.3,
CHOOSE(ROUNDDOWN((H1931-16)/2,0)+1,
1.45,1.38,1.3,1.23,1.17,1.15,1.12,1.05,0.95,0.8,0.6,0.4,0.3)))</f>
        <v>0.95</v>
      </c>
      <c r="T1931" s="5" t="n">
        <f aca="false">CHOOSE(N1931+1,1.2,1,0.85,0.7)</f>
        <v>1.2</v>
      </c>
      <c r="U1931" s="5" t="n">
        <f aca="false">IF(F1931="PO",0.6,
IF(F1931="CT",0.75,
IF(F1931="LI",0.8,
IF(F1931="LD",0.8,
IF(F1931="MCD",0.85,
IF(F1931="MC",0.95,
IF(F1931="MO",1.05,
IF(F1931="EI",1.1,
IF(F1931="ED",1.1,
IF(F1931="SD",1.15,
IF(F1931="DC",1.2,0)))))))))))</f>
        <v>0.95</v>
      </c>
    </row>
    <row r="1932" customFormat="false" ht="16.4" hidden="false" customHeight="false" outlineLevel="0" collapsed="false">
      <c r="A1932" s="1" t="n">
        <v>1931</v>
      </c>
      <c r="B1932" s="5" t="str">
        <f aca="false">[1]Base_Jugadores!B1932</f>
        <v>James Sands</v>
      </c>
      <c r="C1932" s="5" t="str">
        <f aca="false">IFERROR(
   _xlfn.XLOOKUP(VALUE(A1932),[1]Fichajes_Realizados!A$2:A$50000,[1]Fichajes_Realizados!D$2:D$50000,,0,-1),
   _xlfn.XLOOKUP(VALUE(A1932),[1]Base_Jugadores!A$2:A$50000,[1]Base_Jugadores!C$2:C$50000)
)</f>
        <v>FC St. Pauli</v>
      </c>
      <c r="D1932" s="5" t="str">
        <f aca="false">[1]Base_Jugadores!D1932</f>
        <v>Estados Unidos</v>
      </c>
      <c r="E1932" s="3"/>
      <c r="F1932" s="5" t="str">
        <f aca="false">[1]Base_Jugadores!E1932</f>
        <v>MCD</v>
      </c>
      <c r="G1932" s="5" t="n">
        <f aca="false">[1]Base_Jugadores!F1932</f>
        <v>74</v>
      </c>
      <c r="H1932" s="5" t="n">
        <f aca="false">[1]Base_Jugadores!G1932</f>
        <v>25</v>
      </c>
      <c r="I1932" s="7" t="n">
        <f aca="false" t="array" ref="I1932:I1932">_xlfn.XLOOKUP(G1932,{55;56;57;58;59;60;61;62;63;64;65;66;67;68;69;70;71;72;73;74;75;76;77;78;79;80;81;82;83;84;85;86;87;88;89;90;91;92;93;94;95;96;97;98;99},{100000;130000;160000;190000;220000;250000;300000;350000;400000;450000;500000;600000;700000;800000;900000;1000000;1500000;2000000;3000000;4000000;5000000;6500000;8000000;10000000;12500000;15000000;20000000;25000000;30000000;35000000;40000000;55000000;70000000;80000000;90000000;110000000;130000000;160000000;190000000;220000000;250000000;280000000;310000000;340000000;400000000})</f>
        <v>4000000</v>
      </c>
      <c r="J1932" s="7" t="n">
        <f aca="false">I1932*S1932*T1932*U1932</f>
        <v>4773600</v>
      </c>
      <c r="K1932" s="3"/>
      <c r="L1932" s="3"/>
      <c r="M1932" s="3"/>
      <c r="N1932" s="9" t="n">
        <v>0</v>
      </c>
      <c r="O1932" s="4" t="n">
        <v>0</v>
      </c>
      <c r="P1932" s="5" t="n">
        <f aca="false">IF(COUNTIF([1]Base_Jugadores!J$2:J$500,B1932)&gt;0,1,0)</f>
        <v>0</v>
      </c>
      <c r="Q1932" s="10" t="b">
        <f aca="false">--(COUNTIFS(
   [1]Fichajes_Realizados!A$2:A$5000,A1932,
   [1]Fichajes_Realizados!G$2:G$5000,$X$3
)&gt;0)</f>
        <v>0</v>
      </c>
      <c r="R1932" s="5" t="n">
        <f aca="false">_xlfn.XLOOKUP(C1932, [1]Estado_Equipos!A$2:A$500, [1]Estado_Equipos!J$2:J$500, "")</f>
        <v>70</v>
      </c>
      <c r="S1932" s="5" t="n">
        <f aca="false">IF(H1932&lt;=16,1.45,
IF(H1932&gt;=41,0.3,
CHOOSE(ROUNDDOWN((H1932-16)/2,0)+1,
1.45,1.38,1.3,1.23,1.17,1.15,1.12,1.05,0.95,0.8,0.6,0.4,0.3)))</f>
        <v>1.17</v>
      </c>
      <c r="T1932" s="5" t="n">
        <f aca="false">CHOOSE(N1932+1,1.2,1,0.85,0.7)</f>
        <v>1.2</v>
      </c>
      <c r="U1932" s="5" t="n">
        <f aca="false">IF(F1932="PO",0.6,
IF(F1932="CT",0.75,
IF(F1932="LI",0.8,
IF(F1932="LD",0.8,
IF(F1932="MCD",0.85,
IF(F1932="MC",0.95,
IF(F1932="MO",1.05,
IF(F1932="EI",1.1,
IF(F1932="ED",1.1,
IF(F1932="SD",1.15,
IF(F1932="DC",1.2,0)))))))))))</f>
        <v>0.85</v>
      </c>
    </row>
    <row r="1933" customFormat="false" ht="16.4" hidden="false" customHeight="false" outlineLevel="0" collapsed="false">
      <c r="A1933" s="1" t="n">
        <v>1932</v>
      </c>
      <c r="B1933" s="5" t="str">
        <f aca="false">[1]Base_Jugadores!B1933</f>
        <v>Joel Chima Fujita</v>
      </c>
      <c r="C1933" s="5" t="str">
        <f aca="false">IFERROR(
   _xlfn.XLOOKUP(VALUE(A1933),[1]Fichajes_Realizados!A$2:A$50000,[1]Fichajes_Realizados!D$2:D$50000,,0,-1),
   _xlfn.XLOOKUP(VALUE(A1933),[1]Base_Jugadores!A$2:A$50000,[1]Base_Jugadores!C$2:C$50000)
)</f>
        <v>FC St. Pauli</v>
      </c>
      <c r="D1933" s="5" t="str">
        <f aca="false">[1]Base_Jugadores!D1933</f>
        <v>Japón</v>
      </c>
      <c r="E1933" s="3"/>
      <c r="F1933" s="5" t="str">
        <f aca="false">[1]Base_Jugadores!E1933</f>
        <v>MC</v>
      </c>
      <c r="G1933" s="5" t="n">
        <f aca="false">[1]Base_Jugadores!F1933</f>
        <v>65</v>
      </c>
      <c r="H1933" s="5" t="n">
        <f aca="false">[1]Base_Jugadores!G1933</f>
        <v>23</v>
      </c>
      <c r="I1933" s="7" t="n">
        <f aca="false" t="array" ref="I1933:I1933">_xlfn.XLOOKUP(G1933,{55;56;57;58;59;60;61;62;63;64;65;66;67;68;69;70;71;72;73;74;75;76;77;78;79;80;81;82;83;84;85;86;87;88;89;90;91;92;93;94;95;96;97;98;99},{100000;130000;160000;190000;220000;250000;300000;350000;400000;450000;500000;600000;700000;800000;900000;1000000;1500000;2000000;3000000;4000000;5000000;6500000;8000000;10000000;12500000;15000000;20000000;25000000;30000000;35000000;40000000;55000000;70000000;80000000;90000000;110000000;130000000;160000000;190000000;220000000;250000000;280000000;310000000;340000000;400000000})</f>
        <v>500000</v>
      </c>
      <c r="J1933" s="7" t="n">
        <f aca="false">I1933*S1933*T1933*U1933</f>
        <v>701100</v>
      </c>
      <c r="K1933" s="3"/>
      <c r="L1933" s="3"/>
      <c r="M1933" s="3"/>
      <c r="N1933" s="9" t="n">
        <v>0</v>
      </c>
      <c r="O1933" s="4" t="n">
        <v>0</v>
      </c>
      <c r="P1933" s="5" t="n">
        <f aca="false">IF(COUNTIF([1]Base_Jugadores!J$2:J$500,B1933)&gt;0,1,0)</f>
        <v>0</v>
      </c>
      <c r="Q1933" s="10" t="b">
        <f aca="false">--(COUNTIFS(
   [1]Fichajes_Realizados!A$2:A$5000,A1933,
   [1]Fichajes_Realizados!G$2:G$5000,$X$3
)&gt;0)</f>
        <v>0</v>
      </c>
      <c r="R1933" s="5" t="n">
        <f aca="false">_xlfn.XLOOKUP(C1933, [1]Estado_Equipos!A$2:A$500, [1]Estado_Equipos!J$2:J$500, "")</f>
        <v>70</v>
      </c>
      <c r="S1933" s="5" t="n">
        <f aca="false">IF(H1933&lt;=16,1.45,
IF(H1933&gt;=41,0.3,
CHOOSE(ROUNDDOWN((H1933-16)/2,0)+1,
1.45,1.38,1.3,1.23,1.17,1.15,1.12,1.05,0.95,0.8,0.6,0.4,0.3)))</f>
        <v>1.23</v>
      </c>
      <c r="T1933" s="5" t="n">
        <f aca="false">CHOOSE(N1933+1,1.2,1,0.85,0.7)</f>
        <v>1.2</v>
      </c>
      <c r="U1933" s="5" t="n">
        <f aca="false">IF(F1933="PO",0.6,
IF(F1933="CT",0.75,
IF(F1933="LI",0.8,
IF(F1933="LD",0.8,
IF(F1933="MCD",0.85,
IF(F1933="MC",0.95,
IF(F1933="MO",1.05,
IF(F1933="EI",1.1,
IF(F1933="ED",1.1,
IF(F1933="SD",1.15,
IF(F1933="DC",1.2,0)))))))))))</f>
        <v>0.95</v>
      </c>
    </row>
    <row r="1934" customFormat="false" ht="16.4" hidden="false" customHeight="false" outlineLevel="0" collapsed="false">
      <c r="A1934" s="1" t="n">
        <v>1933</v>
      </c>
      <c r="B1934" s="5" t="str">
        <f aca="false">[1]Base_Jugadores!B1934</f>
        <v>Karol Mets</v>
      </c>
      <c r="C1934" s="5" t="str">
        <f aca="false">IFERROR(
   _xlfn.XLOOKUP(VALUE(A1934),[1]Fichajes_Realizados!A$2:A$50000,[1]Fichajes_Realizados!D$2:D$50000,,0,-1),
   _xlfn.XLOOKUP(VALUE(A1934),[1]Base_Jugadores!A$2:A$50000,[1]Base_Jugadores!C$2:C$50000)
)</f>
        <v>FC St. Pauli</v>
      </c>
      <c r="D1934" s="5" t="str">
        <f aca="false">[1]Base_Jugadores!D1934</f>
        <v>Estonia</v>
      </c>
      <c r="E1934" s="3"/>
      <c r="F1934" s="5" t="str">
        <f aca="false">[1]Base_Jugadores!E1934</f>
        <v>CT</v>
      </c>
      <c r="G1934" s="5" t="n">
        <f aca="false">[1]Base_Jugadores!F1934</f>
        <v>71</v>
      </c>
      <c r="H1934" s="5" t="n">
        <f aca="false">[1]Base_Jugadores!G1934</f>
        <v>32</v>
      </c>
      <c r="I1934" s="7" t="n">
        <f aca="false" t="array" ref="I1934:I1934">_xlfn.XLOOKUP(G1934,{55;56;57;58;59;60;61;62;63;64;65;66;67;68;69;70;71;72;73;74;75;76;77;78;79;80;81;82;83;84;85;86;87;88;89;90;91;92;93;94;95;96;97;98;99},{100000;130000;160000;190000;220000;250000;300000;350000;400000;450000;500000;600000;700000;800000;900000;1000000;1500000;2000000;3000000;4000000;5000000;6500000;8000000;10000000;12500000;15000000;20000000;25000000;30000000;35000000;40000000;55000000;70000000;80000000;90000000;110000000;130000000;160000000;190000000;220000000;250000000;280000000;310000000;340000000;400000000})</f>
        <v>1500000</v>
      </c>
      <c r="J1934" s="7" t="n">
        <f aca="false">I1934*S1934*T1934*U1934</f>
        <v>1282500</v>
      </c>
      <c r="K1934" s="3"/>
      <c r="L1934" s="3"/>
      <c r="M1934" s="3"/>
      <c r="N1934" s="9" t="n">
        <v>0</v>
      </c>
      <c r="O1934" s="4" t="n">
        <v>0</v>
      </c>
      <c r="P1934" s="5" t="n">
        <f aca="false">IF(COUNTIF([1]Base_Jugadores!J$2:J$500,B1934)&gt;0,1,0)</f>
        <v>0</v>
      </c>
      <c r="Q1934" s="10" t="b">
        <f aca="false">--(COUNTIFS(
   [1]Fichajes_Realizados!A$2:A$5000,A1934,
   [1]Fichajes_Realizados!G$2:G$5000,$X$3
)&gt;0)</f>
        <v>0</v>
      </c>
      <c r="R1934" s="5" t="n">
        <f aca="false">_xlfn.XLOOKUP(C1934, [1]Estado_Equipos!A$2:A$500, [1]Estado_Equipos!J$2:J$500, "")</f>
        <v>70</v>
      </c>
      <c r="S1934" s="5" t="n">
        <f aca="false">IF(H1934&lt;=16,1.45,
IF(H1934&gt;=41,0.3,
CHOOSE(ROUNDDOWN((H1934-16)/2,0)+1,
1.45,1.38,1.3,1.23,1.17,1.15,1.12,1.05,0.95,0.8,0.6,0.4,0.3)))</f>
        <v>0.95</v>
      </c>
      <c r="T1934" s="5" t="n">
        <f aca="false">CHOOSE(N1934+1,1.2,1,0.85,0.7)</f>
        <v>1.2</v>
      </c>
      <c r="U1934" s="5" t="n">
        <f aca="false">IF(F1934="PO",0.6,
IF(F1934="CT",0.75,
IF(F1934="LI",0.8,
IF(F1934="LD",0.8,
IF(F1934="MCD",0.85,
IF(F1934="MC",0.95,
IF(F1934="MO",1.05,
IF(F1934="EI",1.1,
IF(F1934="ED",1.1,
IF(F1934="SD",1.15,
IF(F1934="DC",1.2,0)))))))))))</f>
        <v>0.75</v>
      </c>
    </row>
    <row r="1935" customFormat="false" ht="16.4" hidden="false" customHeight="false" outlineLevel="0" collapsed="false">
      <c r="A1935" s="1" t="n">
        <v>1934</v>
      </c>
      <c r="B1935" s="5" t="str">
        <f aca="false">[1]Base_Jugadores!B1935</f>
        <v>Lars Ritzka</v>
      </c>
      <c r="C1935" s="5" t="str">
        <f aca="false">IFERROR(
   _xlfn.XLOOKUP(VALUE(A1935),[1]Fichajes_Realizados!A$2:A$50000,[1]Fichajes_Realizados!D$2:D$50000,,0,-1),
   _xlfn.XLOOKUP(VALUE(A1935),[1]Base_Jugadores!A$2:A$50000,[1]Base_Jugadores!C$2:C$50000)
)</f>
        <v>FC St. Pauli</v>
      </c>
      <c r="D1935" s="5" t="str">
        <f aca="false">[1]Base_Jugadores!D1935</f>
        <v>Alemania</v>
      </c>
      <c r="E1935" s="3"/>
      <c r="F1935" s="5" t="str">
        <f aca="false">[1]Base_Jugadores!E1935</f>
        <v>LI</v>
      </c>
      <c r="G1935" s="5" t="n">
        <f aca="false">[1]Base_Jugadores!F1935</f>
        <v>69</v>
      </c>
      <c r="H1935" s="5" t="n">
        <f aca="false">[1]Base_Jugadores!G1935</f>
        <v>27</v>
      </c>
      <c r="I1935" s="7" t="n">
        <f aca="false" t="array" ref="I1935:I1935">_xlfn.XLOOKUP(G1935,{55;56;57;58;59;60;61;62;63;64;65;66;67;68;69;70;71;72;73;74;75;76;77;78;79;80;81;82;83;84;85;86;87;88;89;90;91;92;93;94;95;96;97;98;99},{100000;130000;160000;190000;220000;250000;300000;350000;400000;450000;500000;600000;700000;800000;900000;1000000;1500000;2000000;3000000;4000000;5000000;6500000;8000000;10000000;12500000;15000000;20000000;25000000;30000000;35000000;40000000;55000000;70000000;80000000;90000000;110000000;130000000;160000000;190000000;220000000;250000000;280000000;310000000;340000000;400000000})</f>
        <v>900000</v>
      </c>
      <c r="J1935" s="7" t="n">
        <f aca="false">I1935*S1935*T1935*U1935</f>
        <v>993600</v>
      </c>
      <c r="K1935" s="3"/>
      <c r="L1935" s="3"/>
      <c r="M1935" s="3"/>
      <c r="N1935" s="9" t="n">
        <v>0</v>
      </c>
      <c r="O1935" s="4" t="n">
        <v>0</v>
      </c>
      <c r="P1935" s="5" t="n">
        <f aca="false">IF(COUNTIF([1]Base_Jugadores!J$2:J$500,B1935)&gt;0,1,0)</f>
        <v>0</v>
      </c>
      <c r="Q1935" s="10" t="b">
        <f aca="false">--(COUNTIFS(
   [1]Fichajes_Realizados!A$2:A$5000,A1935,
   [1]Fichajes_Realizados!G$2:G$5000,$X$3
)&gt;0)</f>
        <v>0</v>
      </c>
      <c r="R1935" s="5" t="n">
        <f aca="false">_xlfn.XLOOKUP(C1935, [1]Estado_Equipos!A$2:A$500, [1]Estado_Equipos!J$2:J$500, "")</f>
        <v>70</v>
      </c>
      <c r="S1935" s="5" t="n">
        <f aca="false">IF(H1935&lt;=16,1.45,
IF(H1935&gt;=41,0.3,
CHOOSE(ROUNDDOWN((H1935-16)/2,0)+1,
1.45,1.38,1.3,1.23,1.17,1.15,1.12,1.05,0.95,0.8,0.6,0.4,0.3)))</f>
        <v>1.15</v>
      </c>
      <c r="T1935" s="5" t="n">
        <f aca="false">CHOOSE(N1935+1,1.2,1,0.85,0.7)</f>
        <v>1.2</v>
      </c>
      <c r="U1935" s="5" t="n">
        <f aca="false">IF(F1935="PO",0.6,
IF(F1935="CT",0.75,
IF(F1935="LI",0.8,
IF(F1935="LD",0.8,
IF(F1935="MCD",0.85,
IF(F1935="MC",0.95,
IF(F1935="MO",1.05,
IF(F1935="EI",1.1,
IF(F1935="ED",1.1,
IF(F1935="SD",1.15,
IF(F1935="DC",1.2,0)))))))))))</f>
        <v>0.8</v>
      </c>
    </row>
    <row r="1936" customFormat="false" ht="16.4" hidden="false" customHeight="false" outlineLevel="0" collapsed="false">
      <c r="A1936" s="1" t="n">
        <v>1935</v>
      </c>
      <c r="B1936" s="5" t="str">
        <f aca="false">[1]Base_Jugadores!B1936</f>
        <v>Manolis Saliakas</v>
      </c>
      <c r="C1936" s="5" t="str">
        <f aca="false">IFERROR(
   _xlfn.XLOOKUP(VALUE(A1936),[1]Fichajes_Realizados!A$2:A$50000,[1]Fichajes_Realizados!D$2:D$50000,,0,-1),
   _xlfn.XLOOKUP(VALUE(A1936),[1]Base_Jugadores!A$2:A$50000,[1]Base_Jugadores!C$2:C$50000)
)</f>
        <v>FC St. Pauli</v>
      </c>
      <c r="D1936" s="5" t="str">
        <f aca="false">[1]Base_Jugadores!D1936</f>
        <v>Grecia</v>
      </c>
      <c r="E1936" s="3"/>
      <c r="F1936" s="5" t="str">
        <f aca="false">[1]Base_Jugadores!E1936</f>
        <v>LD</v>
      </c>
      <c r="G1936" s="5" t="n">
        <f aca="false">[1]Base_Jugadores!F1936</f>
        <v>72</v>
      </c>
      <c r="H1936" s="5" t="n">
        <f aca="false">[1]Base_Jugadores!G1936</f>
        <v>29</v>
      </c>
      <c r="I1936" s="7" t="n">
        <f aca="false" t="array" ref="I1936:I1936">_xlfn.XLOOKUP(G1936,{55;56;57;58;59;60;61;62;63;64;65;66;67;68;69;70;71;72;73;74;75;76;77;78;79;80;81;82;83;84;85;86;87;88;89;90;91;92;93;94;95;96;97;98;99},{100000;130000;160000;190000;220000;250000;300000;350000;400000;450000;500000;600000;700000;800000;900000;1000000;1500000;2000000;3000000;4000000;5000000;6500000;8000000;10000000;12500000;15000000;20000000;25000000;30000000;35000000;40000000;55000000;70000000;80000000;90000000;110000000;130000000;160000000;190000000;220000000;250000000;280000000;310000000;340000000;400000000})</f>
        <v>2000000</v>
      </c>
      <c r="J1936" s="7" t="n">
        <f aca="false">I1936*S1936*T1936*U1936</f>
        <v>2150400</v>
      </c>
      <c r="K1936" s="3"/>
      <c r="L1936" s="3"/>
      <c r="M1936" s="3"/>
      <c r="N1936" s="9" t="n">
        <v>0</v>
      </c>
      <c r="O1936" s="4" t="n">
        <v>0</v>
      </c>
      <c r="P1936" s="5" t="n">
        <f aca="false">IF(COUNTIF([1]Base_Jugadores!J$2:J$500,B1936)&gt;0,1,0)</f>
        <v>0</v>
      </c>
      <c r="Q1936" s="10" t="b">
        <f aca="false">--(COUNTIFS(
   [1]Fichajes_Realizados!A$2:A$5000,A1936,
   [1]Fichajes_Realizados!G$2:G$5000,$X$3
)&gt;0)</f>
        <v>0</v>
      </c>
      <c r="R1936" s="5" t="n">
        <f aca="false">_xlfn.XLOOKUP(C1936, [1]Estado_Equipos!A$2:A$500, [1]Estado_Equipos!J$2:J$500, "")</f>
        <v>70</v>
      </c>
      <c r="S1936" s="5" t="n">
        <f aca="false">IF(H1936&lt;=16,1.45,
IF(H1936&gt;=41,0.3,
CHOOSE(ROUNDDOWN((H1936-16)/2,0)+1,
1.45,1.38,1.3,1.23,1.17,1.15,1.12,1.05,0.95,0.8,0.6,0.4,0.3)))</f>
        <v>1.12</v>
      </c>
      <c r="T1936" s="5" t="n">
        <f aca="false">CHOOSE(N1936+1,1.2,1,0.85,0.7)</f>
        <v>1.2</v>
      </c>
      <c r="U1936" s="5" t="n">
        <f aca="false">IF(F1936="PO",0.6,
IF(F1936="CT",0.75,
IF(F1936="LI",0.8,
IF(F1936="LD",0.8,
IF(F1936="MCD",0.85,
IF(F1936="MC",0.95,
IF(F1936="MO",1.05,
IF(F1936="EI",1.1,
IF(F1936="ED",1.1,
IF(F1936="SD",1.15,
IF(F1936="DC",1.2,0)))))))))))</f>
        <v>0.8</v>
      </c>
    </row>
    <row r="1937" customFormat="false" ht="16.4" hidden="false" customHeight="false" outlineLevel="0" collapsed="false">
      <c r="A1937" s="1" t="n">
        <v>1936</v>
      </c>
      <c r="B1937" s="5" t="str">
        <f aca="false">[1]Base_Jugadores!B1937</f>
        <v>M. Pereira Lage</v>
      </c>
      <c r="C1937" s="5" t="str">
        <f aca="false">IFERROR(
   _xlfn.XLOOKUP(VALUE(A1937),[1]Fichajes_Realizados!A$2:A$50000,[1]Fichajes_Realizados!D$2:D$50000,,0,-1),
   _xlfn.XLOOKUP(VALUE(A1937),[1]Base_Jugadores!A$2:A$50000,[1]Base_Jugadores!C$2:C$50000)
)</f>
        <v>FC St. Pauli</v>
      </c>
      <c r="D1937" s="5" t="str">
        <f aca="false">[1]Base_Jugadores!D1937</f>
        <v>Portugal</v>
      </c>
      <c r="E1937" s="3"/>
      <c r="F1937" s="5" t="str">
        <f aca="false">[1]Base_Jugadores!E1937</f>
        <v>EI</v>
      </c>
      <c r="G1937" s="5" t="n">
        <f aca="false">[1]Base_Jugadores!F1937</f>
        <v>76</v>
      </c>
      <c r="H1937" s="5" t="n">
        <f aca="false">[1]Base_Jugadores!G1937</f>
        <v>29</v>
      </c>
      <c r="I1937" s="7" t="n">
        <f aca="false" t="array" ref="I1937:I1937">_xlfn.XLOOKUP(G1937,{55;56;57;58;59;60;61;62;63;64;65;66;67;68;69;70;71;72;73;74;75;76;77;78;79;80;81;82;83;84;85;86;87;88;89;90;91;92;93;94;95;96;97;98;99},{100000;130000;160000;190000;220000;250000;300000;350000;400000;450000;500000;600000;700000;800000;900000;1000000;1500000;2000000;3000000;4000000;5000000;6500000;8000000;10000000;12500000;15000000;20000000;25000000;30000000;35000000;40000000;55000000;70000000;80000000;90000000;110000000;130000000;160000000;190000000;220000000;250000000;280000000;310000000;340000000;400000000})</f>
        <v>6500000</v>
      </c>
      <c r="J1937" s="7" t="n">
        <f aca="false">I1937*S1937*T1937*U1937</f>
        <v>9609600</v>
      </c>
      <c r="K1937" s="3"/>
      <c r="L1937" s="3"/>
      <c r="M1937" s="3"/>
      <c r="N1937" s="9" t="n">
        <v>0</v>
      </c>
      <c r="O1937" s="4" t="n">
        <v>0</v>
      </c>
      <c r="P1937" s="5" t="n">
        <f aca="false">IF(COUNTIF([1]Base_Jugadores!J$2:J$500,B1937)&gt;0,1,0)</f>
        <v>0</v>
      </c>
      <c r="Q1937" s="10" t="b">
        <f aca="false">--(COUNTIFS(
   [1]Fichajes_Realizados!A$2:A$5000,A1937,
   [1]Fichajes_Realizados!G$2:G$5000,$X$3
)&gt;0)</f>
        <v>0</v>
      </c>
      <c r="R1937" s="5" t="n">
        <f aca="false">_xlfn.XLOOKUP(C1937, [1]Estado_Equipos!A$2:A$500, [1]Estado_Equipos!J$2:J$500, "")</f>
        <v>70</v>
      </c>
      <c r="S1937" s="5" t="n">
        <f aca="false">IF(H1937&lt;=16,1.45,
IF(H1937&gt;=41,0.3,
CHOOSE(ROUNDDOWN((H1937-16)/2,0)+1,
1.45,1.38,1.3,1.23,1.17,1.15,1.12,1.05,0.95,0.8,0.6,0.4,0.3)))</f>
        <v>1.12</v>
      </c>
      <c r="T1937" s="5" t="n">
        <f aca="false">CHOOSE(N1937+1,1.2,1,0.85,0.7)</f>
        <v>1.2</v>
      </c>
      <c r="U1937" s="5" t="n">
        <f aca="false">IF(F1937="PO",0.6,
IF(F1937="CT",0.75,
IF(F1937="LI",0.8,
IF(F1937="LD",0.8,
IF(F1937="MCD",0.85,
IF(F1937="MC",0.95,
IF(F1937="MO",1.05,
IF(F1937="EI",1.1,
IF(F1937="ED",1.1,
IF(F1937="SD",1.15,
IF(F1937="DC",1.2,0)))))))))))</f>
        <v>1.1</v>
      </c>
    </row>
    <row r="1938" customFormat="false" ht="16.4" hidden="false" customHeight="false" outlineLevel="0" collapsed="false">
      <c r="A1938" s="1" t="n">
        <v>1937</v>
      </c>
      <c r="B1938" s="5" t="str">
        <f aca="false">[1]Base_Jugadores!B1938</f>
        <v>Oladapo Afolayan</v>
      </c>
      <c r="C1938" s="5" t="str">
        <f aca="false">IFERROR(
   _xlfn.XLOOKUP(VALUE(A1938),[1]Fichajes_Realizados!A$2:A$50000,[1]Fichajes_Realizados!D$2:D$50000,,0,-1),
   _xlfn.XLOOKUP(VALUE(A1938),[1]Base_Jugadores!A$2:A$50000,[1]Base_Jugadores!C$2:C$50000)
)</f>
        <v>FC St. Pauli</v>
      </c>
      <c r="D1938" s="5" t="str">
        <f aca="false">[1]Base_Jugadores!D1938</f>
        <v>Inglaterra</v>
      </c>
      <c r="E1938" s="3"/>
      <c r="F1938" s="5" t="str">
        <f aca="false">[1]Base_Jugadores!E1938</f>
        <v>ED</v>
      </c>
      <c r="G1938" s="5" t="n">
        <f aca="false">[1]Base_Jugadores!F1938</f>
        <v>72</v>
      </c>
      <c r="H1938" s="5" t="n">
        <f aca="false">[1]Base_Jugadores!G1938</f>
        <v>28</v>
      </c>
      <c r="I1938" s="7" t="n">
        <f aca="false" t="array" ref="I1938:I1938">_xlfn.XLOOKUP(G1938,{55;56;57;58;59;60;61;62;63;64;65;66;67;68;69;70;71;72;73;74;75;76;77;78;79;80;81;82;83;84;85;86;87;88;89;90;91;92;93;94;95;96;97;98;99},{100000;130000;160000;190000;220000;250000;300000;350000;400000;450000;500000;600000;700000;800000;900000;1000000;1500000;2000000;3000000;4000000;5000000;6500000;8000000;10000000;12500000;15000000;20000000;25000000;30000000;35000000;40000000;55000000;70000000;80000000;90000000;110000000;130000000;160000000;190000000;220000000;250000000;280000000;310000000;340000000;400000000})</f>
        <v>2000000</v>
      </c>
      <c r="J1938" s="7" t="n">
        <f aca="false">I1938*S1938*T1938*U1938</f>
        <v>2956800</v>
      </c>
      <c r="K1938" s="3"/>
      <c r="L1938" s="3"/>
      <c r="M1938" s="3"/>
      <c r="N1938" s="9" t="n">
        <v>0</v>
      </c>
      <c r="O1938" s="4" t="n">
        <v>0</v>
      </c>
      <c r="P1938" s="5" t="n">
        <f aca="false">IF(COUNTIF([1]Base_Jugadores!J$2:J$500,B1938)&gt;0,1,0)</f>
        <v>0</v>
      </c>
      <c r="Q1938" s="10" t="b">
        <f aca="false">--(COUNTIFS(
   [1]Fichajes_Realizados!A$2:A$5000,A1938,
   [1]Fichajes_Realizados!G$2:G$5000,$X$3
)&gt;0)</f>
        <v>0</v>
      </c>
      <c r="R1938" s="5" t="n">
        <f aca="false">_xlfn.XLOOKUP(C1938, [1]Estado_Equipos!A$2:A$500, [1]Estado_Equipos!J$2:J$500, "")</f>
        <v>70</v>
      </c>
      <c r="S1938" s="5" t="n">
        <f aca="false">IF(H1938&lt;=16,1.45,
IF(H1938&gt;=41,0.3,
CHOOSE(ROUNDDOWN((H1938-16)/2,0)+1,
1.45,1.38,1.3,1.23,1.17,1.15,1.12,1.05,0.95,0.8,0.6,0.4,0.3)))</f>
        <v>1.12</v>
      </c>
      <c r="T1938" s="5" t="n">
        <f aca="false">CHOOSE(N1938+1,1.2,1,0.85,0.7)</f>
        <v>1.2</v>
      </c>
      <c r="U1938" s="5" t="n">
        <f aca="false">IF(F1938="PO",0.6,
IF(F1938="CT",0.75,
IF(F1938="LI",0.8,
IF(F1938="LD",0.8,
IF(F1938="MCD",0.85,
IF(F1938="MC",0.95,
IF(F1938="MO",1.05,
IF(F1938="EI",1.1,
IF(F1938="ED",1.1,
IF(F1938="SD",1.15,
IF(F1938="DC",1.2,0)))))))))))</f>
        <v>1.1</v>
      </c>
    </row>
    <row r="1939" customFormat="false" ht="16.4" hidden="false" customHeight="false" outlineLevel="0" collapsed="false">
      <c r="A1939" s="1" t="n">
        <v>1938</v>
      </c>
      <c r="B1939" s="5" t="str">
        <f aca="false">[1]Base_Jugadores!B1939</f>
        <v>Ricky-Jade Jones</v>
      </c>
      <c r="C1939" s="5" t="str">
        <f aca="false">IFERROR(
   _xlfn.XLOOKUP(VALUE(A1939),[1]Fichajes_Realizados!A$2:A$50000,[1]Fichajes_Realizados!D$2:D$50000,,0,-1),
   _xlfn.XLOOKUP(VALUE(A1939),[1]Base_Jugadores!A$2:A$50000,[1]Base_Jugadores!C$2:C$50000)
)</f>
        <v>FC St. Pauli</v>
      </c>
      <c r="D1939" s="5" t="str">
        <f aca="false">[1]Base_Jugadores!D1939</f>
        <v>Inglaterra</v>
      </c>
      <c r="E1939" s="3"/>
      <c r="F1939" s="5" t="str">
        <f aca="false">[1]Base_Jugadores!E1939</f>
        <v>DC</v>
      </c>
      <c r="G1939" s="5" t="n">
        <f aca="false">[1]Base_Jugadores!F1939</f>
        <v>63</v>
      </c>
      <c r="H1939" s="5" t="n">
        <f aca="false">[1]Base_Jugadores!G1939</f>
        <v>23</v>
      </c>
      <c r="I1939" s="7" t="n">
        <f aca="false" t="array" ref="I1939:I1939">_xlfn.XLOOKUP(G1939,{55;56;57;58;59;60;61;62;63;64;65;66;67;68;69;70;71;72;73;74;75;76;77;78;79;80;81;82;83;84;85;86;87;88;89;90;91;92;93;94;95;96;97;98;99},{100000;130000;160000;190000;220000;250000;300000;350000;400000;450000;500000;600000;700000;800000;900000;1000000;1500000;2000000;3000000;4000000;5000000;6500000;8000000;10000000;12500000;15000000;20000000;25000000;30000000;35000000;40000000;55000000;70000000;80000000;90000000;110000000;130000000;160000000;190000000;220000000;250000000;280000000;310000000;340000000;400000000})</f>
        <v>400000</v>
      </c>
      <c r="J1939" s="7" t="n">
        <f aca="false">I1939*S1939*T1939*U1939</f>
        <v>708480</v>
      </c>
      <c r="K1939" s="3"/>
      <c r="L1939" s="3"/>
      <c r="M1939" s="3"/>
      <c r="N1939" s="9" t="n">
        <v>0</v>
      </c>
      <c r="O1939" s="4" t="n">
        <v>0</v>
      </c>
      <c r="P1939" s="5" t="n">
        <f aca="false">IF(COUNTIF([1]Base_Jugadores!J$2:J$500,B1939)&gt;0,1,0)</f>
        <v>0</v>
      </c>
      <c r="Q1939" s="10" t="b">
        <f aca="false">--(COUNTIFS(
   [1]Fichajes_Realizados!A$2:A$5000,A1939,
   [1]Fichajes_Realizados!G$2:G$5000,$X$3
)&gt;0)</f>
        <v>0</v>
      </c>
      <c r="R1939" s="5" t="n">
        <f aca="false">_xlfn.XLOOKUP(C1939, [1]Estado_Equipos!A$2:A$500, [1]Estado_Equipos!J$2:J$500, "")</f>
        <v>70</v>
      </c>
      <c r="S1939" s="5" t="n">
        <f aca="false">IF(H1939&lt;=16,1.45,
IF(H1939&gt;=41,0.3,
CHOOSE(ROUNDDOWN((H1939-16)/2,0)+1,
1.45,1.38,1.3,1.23,1.17,1.15,1.12,1.05,0.95,0.8,0.6,0.4,0.3)))</f>
        <v>1.23</v>
      </c>
      <c r="T1939" s="5" t="n">
        <f aca="false">CHOOSE(N1939+1,1.2,1,0.85,0.7)</f>
        <v>1.2</v>
      </c>
      <c r="U1939" s="5" t="n">
        <f aca="false">IF(F1939="PO",0.6,
IF(F1939="CT",0.75,
IF(F1939="LI",0.8,
IF(F1939="LD",0.8,
IF(F1939="MCD",0.85,
IF(F1939="MC",0.95,
IF(F1939="MO",1.05,
IF(F1939="EI",1.1,
IF(F1939="ED",1.1,
IF(F1939="SD",1.15,
IF(F1939="DC",1.2,0)))))))))))</f>
        <v>1.2</v>
      </c>
    </row>
    <row r="1940" customFormat="false" ht="16.4" hidden="false" customHeight="false" outlineLevel="0" collapsed="false">
      <c r="A1940" s="1" t="n">
        <v>1939</v>
      </c>
      <c r="B1940" s="5" t="str">
        <f aca="false">[1]Base_Jugadores!B1940</f>
        <v>Alexander Nübel</v>
      </c>
      <c r="C1940" s="5" t="str">
        <f aca="false">IFERROR(
   _xlfn.XLOOKUP(VALUE(A1940),[1]Fichajes_Realizados!A$2:A$50000,[1]Fichajes_Realizados!D$2:D$50000,,0,-1),
   _xlfn.XLOOKUP(VALUE(A1940),[1]Base_Jugadores!A$2:A$50000,[1]Base_Jugadores!C$2:C$50000)
)</f>
        <v>VfB Stuttgart</v>
      </c>
      <c r="D1940" s="5" t="str">
        <f aca="false">[1]Base_Jugadores!D1940</f>
        <v>Alemania</v>
      </c>
      <c r="E1940" s="3"/>
      <c r="F1940" s="5" t="str">
        <f aca="false">[1]Base_Jugadores!E1940</f>
        <v>PO</v>
      </c>
      <c r="G1940" s="5" t="n">
        <f aca="false">[1]Base_Jugadores!F1940</f>
        <v>80</v>
      </c>
      <c r="H1940" s="5" t="n">
        <f aca="false">[1]Base_Jugadores!G1940</f>
        <v>29</v>
      </c>
      <c r="I1940" s="7" t="n">
        <f aca="false" t="array" ref="I1940:I1940">_xlfn.XLOOKUP(G1940,{55;56;57;58;59;60;61;62;63;64;65;66;67;68;69;70;71;72;73;74;75;76;77;78;79;80;81;82;83;84;85;86;87;88;89;90;91;92;93;94;95;96;97;98;99},{100000;130000;160000;190000;220000;250000;300000;350000;400000;450000;500000;600000;700000;800000;900000;1000000;1500000;2000000;3000000;4000000;5000000;6500000;8000000;10000000;12500000;15000000;20000000;25000000;30000000;35000000;40000000;55000000;70000000;80000000;90000000;110000000;130000000;160000000;190000000;220000000;250000000;280000000;310000000;340000000;400000000})</f>
        <v>15000000</v>
      </c>
      <c r="J1940" s="7" t="n">
        <f aca="false">I1940*S1940*T1940*U1940</f>
        <v>12096000</v>
      </c>
      <c r="K1940" s="3"/>
      <c r="L1940" s="3"/>
      <c r="M1940" s="3"/>
      <c r="N1940" s="9" t="n">
        <v>0</v>
      </c>
      <c r="O1940" s="4" t="n">
        <v>0</v>
      </c>
      <c r="P1940" s="5" t="n">
        <f aca="false">IF(COUNTIF([1]Base_Jugadores!J$2:J$500,B1940)&gt;0,1,0)</f>
        <v>0</v>
      </c>
      <c r="Q1940" s="10" t="b">
        <f aca="false">--(COUNTIFS(
   [1]Fichajes_Realizados!A$2:A$5000,A1940,
   [1]Fichajes_Realizados!G$2:G$5000,$X$3
)&gt;0)</f>
        <v>0</v>
      </c>
      <c r="R1940" s="5" t="n">
        <f aca="false">_xlfn.XLOOKUP(C1940, [1]Estado_Equipos!A$2:A$500, [1]Estado_Equipos!J$2:J$500, "")</f>
        <v>74</v>
      </c>
      <c r="S1940" s="5" t="n">
        <f aca="false">IF(H1940&lt;=16,1.45,
IF(H1940&gt;=41,0.3,
CHOOSE(ROUNDDOWN((H1940-16)/2,0)+1,
1.45,1.38,1.3,1.23,1.17,1.15,1.12,1.05,0.95,0.8,0.6,0.4,0.3)))</f>
        <v>1.12</v>
      </c>
      <c r="T1940" s="5" t="n">
        <f aca="false">CHOOSE(N1940+1,1.2,1,0.85,0.7)</f>
        <v>1.2</v>
      </c>
      <c r="U1940" s="5" t="n">
        <f aca="false">IF(F1940="PO",0.6,
IF(F1940="CT",0.75,
IF(F1940="LI",0.8,
IF(F1940="LD",0.8,
IF(F1940="MCD",0.85,
IF(F1940="MC",0.95,
IF(F1940="MO",1.05,
IF(F1940="EI",1.1,
IF(F1940="ED",1.1,
IF(F1940="SD",1.15,
IF(F1940="DC",1.2,0)))))))))))</f>
        <v>0.6</v>
      </c>
    </row>
    <row r="1941" customFormat="false" ht="16.4" hidden="false" customHeight="false" outlineLevel="0" collapsed="false">
      <c r="A1941" s="1" t="n">
        <v>1940</v>
      </c>
      <c r="B1941" s="5" t="str">
        <f aca="false">[1]Base_Jugadores!B1941</f>
        <v>Ameen Al-Dakhil</v>
      </c>
      <c r="C1941" s="5" t="str">
        <f aca="false">IFERROR(
   _xlfn.XLOOKUP(VALUE(A1941),[1]Fichajes_Realizados!A$2:A$50000,[1]Fichajes_Realizados!D$2:D$50000,,0,-1),
   _xlfn.XLOOKUP(VALUE(A1941),[1]Base_Jugadores!A$2:A$50000,[1]Base_Jugadores!C$2:C$50000)
)</f>
        <v>VfB Stuttgart</v>
      </c>
      <c r="D1941" s="5" t="str">
        <f aca="false">[1]Base_Jugadores!D1941</f>
        <v>Bélgica</v>
      </c>
      <c r="E1941" s="3"/>
      <c r="F1941" s="5" t="str">
        <f aca="false">[1]Base_Jugadores!E1941</f>
        <v>CT</v>
      </c>
      <c r="G1941" s="5" t="n">
        <f aca="false">[1]Base_Jugadores!F1941</f>
        <v>73</v>
      </c>
      <c r="H1941" s="5" t="n">
        <f aca="false">[1]Base_Jugadores!G1941</f>
        <v>23</v>
      </c>
      <c r="I1941" s="7" t="n">
        <f aca="false" t="array" ref="I1941:I1941">_xlfn.XLOOKUP(G1941,{55;56;57;58;59;60;61;62;63;64;65;66;67;68;69;70;71;72;73;74;75;76;77;78;79;80;81;82;83;84;85;86;87;88;89;90;91;92;93;94;95;96;97;98;99},{100000;130000;160000;190000;220000;250000;300000;350000;400000;450000;500000;600000;700000;800000;900000;1000000;1500000;2000000;3000000;4000000;5000000;6500000;8000000;10000000;12500000;15000000;20000000;25000000;30000000;35000000;40000000;55000000;70000000;80000000;90000000;110000000;130000000;160000000;190000000;220000000;250000000;280000000;310000000;340000000;400000000})</f>
        <v>3000000</v>
      </c>
      <c r="J1941" s="7" t="n">
        <f aca="false">I1941*S1941*T1941*U1941</f>
        <v>3321000</v>
      </c>
      <c r="K1941" s="3"/>
      <c r="L1941" s="3"/>
      <c r="M1941" s="3"/>
      <c r="N1941" s="9" t="n">
        <v>0</v>
      </c>
      <c r="O1941" s="4" t="n">
        <v>0</v>
      </c>
      <c r="P1941" s="5" t="n">
        <f aca="false">IF(COUNTIF([1]Base_Jugadores!J$2:J$500,B1941)&gt;0,1,0)</f>
        <v>0</v>
      </c>
      <c r="Q1941" s="10" t="b">
        <f aca="false">--(COUNTIFS(
   [1]Fichajes_Realizados!A$2:A$5000,A1941,
   [1]Fichajes_Realizados!G$2:G$5000,$X$3
)&gt;0)</f>
        <v>0</v>
      </c>
      <c r="R1941" s="5" t="n">
        <f aca="false">_xlfn.XLOOKUP(C1941, [1]Estado_Equipos!A$2:A$500, [1]Estado_Equipos!J$2:J$500, "")</f>
        <v>74</v>
      </c>
      <c r="S1941" s="5" t="n">
        <f aca="false">IF(H1941&lt;=16,1.45,
IF(H1941&gt;=41,0.3,
CHOOSE(ROUNDDOWN((H1941-16)/2,0)+1,
1.45,1.38,1.3,1.23,1.17,1.15,1.12,1.05,0.95,0.8,0.6,0.4,0.3)))</f>
        <v>1.23</v>
      </c>
      <c r="T1941" s="5" t="n">
        <f aca="false">CHOOSE(N1941+1,1.2,1,0.85,0.7)</f>
        <v>1.2</v>
      </c>
      <c r="U1941" s="5" t="n">
        <f aca="false">IF(F1941="PO",0.6,
IF(F1941="CT",0.75,
IF(F1941="LI",0.8,
IF(F1941="LD",0.8,
IF(F1941="MCD",0.85,
IF(F1941="MC",0.95,
IF(F1941="MO",1.05,
IF(F1941="EI",1.1,
IF(F1941="ED",1.1,
IF(F1941="SD",1.15,
IF(F1941="DC",1.2,0)))))))))))</f>
        <v>0.75</v>
      </c>
    </row>
    <row r="1942" customFormat="false" ht="16.4" hidden="false" customHeight="false" outlineLevel="0" collapsed="false">
      <c r="A1942" s="1" t="n">
        <v>1941</v>
      </c>
      <c r="B1942" s="5" t="str">
        <f aca="false">[1]Base_Jugadores!B1942</f>
        <v>Angelo Stiller</v>
      </c>
      <c r="C1942" s="5" t="str">
        <f aca="false">IFERROR(
   _xlfn.XLOOKUP(VALUE(A1942),[1]Fichajes_Realizados!A$2:A$50000,[1]Fichajes_Realizados!D$2:D$50000,,0,-1),
   _xlfn.XLOOKUP(VALUE(A1942),[1]Base_Jugadores!A$2:A$50000,[1]Base_Jugadores!C$2:C$50000)
)</f>
        <v>VfB Stuttgart</v>
      </c>
      <c r="D1942" s="5" t="str">
        <f aca="false">[1]Base_Jugadores!D1942</f>
        <v>Alemania</v>
      </c>
      <c r="E1942" s="3"/>
      <c r="F1942" s="5" t="str">
        <f aca="false">[1]Base_Jugadores!E1942</f>
        <v>MCD</v>
      </c>
      <c r="G1942" s="5" t="n">
        <f aca="false">[1]Base_Jugadores!F1942</f>
        <v>80</v>
      </c>
      <c r="H1942" s="5" t="n">
        <f aca="false">[1]Base_Jugadores!G1942</f>
        <v>24</v>
      </c>
      <c r="I1942" s="7" t="n">
        <f aca="false" t="array" ref="I1942:I1942">_xlfn.XLOOKUP(G1942,{55;56;57;58;59;60;61;62;63;64;65;66;67;68;69;70;71;72;73;74;75;76;77;78;79;80;81;82;83;84;85;86;87;88;89;90;91;92;93;94;95;96;97;98;99},{100000;130000;160000;190000;220000;250000;300000;350000;400000;450000;500000;600000;700000;800000;900000;1000000;1500000;2000000;3000000;4000000;5000000;6500000;8000000;10000000;12500000;15000000;20000000;25000000;30000000;35000000;40000000;55000000;70000000;80000000;90000000;110000000;130000000;160000000;190000000;220000000;250000000;280000000;310000000;340000000;400000000})</f>
        <v>15000000</v>
      </c>
      <c r="J1942" s="7" t="n">
        <f aca="false">I1942*S1942*T1942*U1942</f>
        <v>17901000</v>
      </c>
      <c r="K1942" s="3"/>
      <c r="L1942" s="3"/>
      <c r="M1942" s="3"/>
      <c r="N1942" s="9" t="n">
        <v>0</v>
      </c>
      <c r="O1942" s="4" t="n">
        <v>0</v>
      </c>
      <c r="P1942" s="5" t="n">
        <f aca="false">IF(COUNTIF([1]Base_Jugadores!J$2:J$500,B1942)&gt;0,1,0)</f>
        <v>0</v>
      </c>
      <c r="Q1942" s="10" t="b">
        <f aca="false">--(COUNTIFS(
   [1]Fichajes_Realizados!A$2:A$5000,A1942,
   [1]Fichajes_Realizados!G$2:G$5000,$X$3
)&gt;0)</f>
        <v>0</v>
      </c>
      <c r="R1942" s="5" t="n">
        <f aca="false">_xlfn.XLOOKUP(C1942, [1]Estado_Equipos!A$2:A$500, [1]Estado_Equipos!J$2:J$500, "")</f>
        <v>74</v>
      </c>
      <c r="S1942" s="5" t="n">
        <f aca="false">IF(H1942&lt;=16,1.45,
IF(H1942&gt;=41,0.3,
CHOOSE(ROUNDDOWN((H1942-16)/2,0)+1,
1.45,1.38,1.3,1.23,1.17,1.15,1.12,1.05,0.95,0.8,0.6,0.4,0.3)))</f>
        <v>1.17</v>
      </c>
      <c r="T1942" s="5" t="n">
        <f aca="false">CHOOSE(N1942+1,1.2,1,0.85,0.7)</f>
        <v>1.2</v>
      </c>
      <c r="U1942" s="5" t="n">
        <f aca="false">IF(F1942="PO",0.6,
IF(F1942="CT",0.75,
IF(F1942="LI",0.8,
IF(F1942="LD",0.8,
IF(F1942="MCD",0.85,
IF(F1942="MC",0.95,
IF(F1942="MO",1.05,
IF(F1942="EI",1.1,
IF(F1942="ED",1.1,
IF(F1942="SD",1.15,
IF(F1942="DC",1.2,0)))))))))))</f>
        <v>0.85</v>
      </c>
    </row>
    <row r="1943" customFormat="false" ht="16.4" hidden="false" customHeight="false" outlineLevel="0" collapsed="false">
      <c r="A1943" s="1" t="n">
        <v>1942</v>
      </c>
      <c r="B1943" s="5" t="str">
        <f aca="false">[1]Base_Jugadores!B1943</f>
        <v>Atakan Karazor</v>
      </c>
      <c r="C1943" s="5" t="str">
        <f aca="false">IFERROR(
   _xlfn.XLOOKUP(VALUE(A1943),[1]Fichajes_Realizados!A$2:A$50000,[1]Fichajes_Realizados!D$2:D$50000,,0,-1),
   _xlfn.XLOOKUP(VALUE(A1943),[1]Base_Jugadores!A$2:A$50000,[1]Base_Jugadores!C$2:C$50000)
)</f>
        <v>VfB Stuttgart</v>
      </c>
      <c r="D1943" s="5" t="str">
        <f aca="false">[1]Base_Jugadores!D1943</f>
        <v>Turquía</v>
      </c>
      <c r="E1943" s="3"/>
      <c r="F1943" s="5" t="str">
        <f aca="false">[1]Base_Jugadores!E1943</f>
        <v>MCD</v>
      </c>
      <c r="G1943" s="5" t="n">
        <f aca="false">[1]Base_Jugadores!F1943</f>
        <v>75</v>
      </c>
      <c r="H1943" s="5" t="n">
        <f aca="false">[1]Base_Jugadores!G1943</f>
        <v>29</v>
      </c>
      <c r="I1943" s="7" t="n">
        <f aca="false" t="array" ref="I1943:I1943">_xlfn.XLOOKUP(G1943,{55;56;57;58;59;60;61;62;63;64;65;66;67;68;69;70;71;72;73;74;75;76;77;78;79;80;81;82;83;84;85;86;87;88;89;90;91;92;93;94;95;96;97;98;99},{100000;130000;160000;190000;220000;250000;300000;350000;400000;450000;500000;600000;700000;800000;900000;1000000;1500000;2000000;3000000;4000000;5000000;6500000;8000000;10000000;12500000;15000000;20000000;25000000;30000000;35000000;40000000;55000000;70000000;80000000;90000000;110000000;130000000;160000000;190000000;220000000;250000000;280000000;310000000;340000000;400000000})</f>
        <v>5000000</v>
      </c>
      <c r="J1943" s="7" t="n">
        <f aca="false">I1943*S1943*T1943*U1943</f>
        <v>5712000</v>
      </c>
      <c r="K1943" s="3"/>
      <c r="L1943" s="3"/>
      <c r="M1943" s="3"/>
      <c r="N1943" s="9" t="n">
        <v>0</v>
      </c>
      <c r="O1943" s="4" t="n">
        <v>0</v>
      </c>
      <c r="P1943" s="5" t="n">
        <f aca="false">IF(COUNTIF([1]Base_Jugadores!J$2:J$500,B1943)&gt;0,1,0)</f>
        <v>0</v>
      </c>
      <c r="Q1943" s="10" t="b">
        <f aca="false">--(COUNTIFS(
   [1]Fichajes_Realizados!A$2:A$5000,A1943,
   [1]Fichajes_Realizados!G$2:G$5000,$X$3
)&gt;0)</f>
        <v>0</v>
      </c>
      <c r="R1943" s="5" t="n">
        <f aca="false">_xlfn.XLOOKUP(C1943, [1]Estado_Equipos!A$2:A$500, [1]Estado_Equipos!J$2:J$500, "")</f>
        <v>74</v>
      </c>
      <c r="S1943" s="5" t="n">
        <f aca="false">IF(H1943&lt;=16,1.45,
IF(H1943&gt;=41,0.3,
CHOOSE(ROUNDDOWN((H1943-16)/2,0)+1,
1.45,1.38,1.3,1.23,1.17,1.15,1.12,1.05,0.95,0.8,0.6,0.4,0.3)))</f>
        <v>1.12</v>
      </c>
      <c r="T1943" s="5" t="n">
        <f aca="false">CHOOSE(N1943+1,1.2,1,0.85,0.7)</f>
        <v>1.2</v>
      </c>
      <c r="U1943" s="5" t="n">
        <f aca="false">IF(F1943="PO",0.6,
IF(F1943="CT",0.75,
IF(F1943="LI",0.8,
IF(F1943="LD",0.8,
IF(F1943="MCD",0.85,
IF(F1943="MC",0.95,
IF(F1943="MO",1.05,
IF(F1943="EI",1.1,
IF(F1943="ED",1.1,
IF(F1943="SD",1.15,
IF(F1943="DC",1.2,0)))))))))))</f>
        <v>0.85</v>
      </c>
    </row>
    <row r="1944" customFormat="false" ht="16.4" hidden="false" customHeight="false" outlineLevel="0" collapsed="false">
      <c r="A1944" s="1" t="n">
        <v>1943</v>
      </c>
      <c r="B1944" s="5" t="str">
        <f aca="false">[1]Base_Jugadores!B1944</f>
        <v>Badredine Bouanani</v>
      </c>
      <c r="C1944" s="5" t="str">
        <f aca="false">IFERROR(
   _xlfn.XLOOKUP(VALUE(A1944),[1]Fichajes_Realizados!A$2:A$50000,[1]Fichajes_Realizados!D$2:D$50000,,0,-1),
   _xlfn.XLOOKUP(VALUE(A1944),[1]Base_Jugadores!A$2:A$50000,[1]Base_Jugadores!C$2:C$50000)
)</f>
        <v>VfB Stuttgart</v>
      </c>
      <c r="D1944" s="5" t="str">
        <f aca="false">[1]Base_Jugadores!D1944</f>
        <v>Argelia</v>
      </c>
      <c r="E1944" s="3"/>
      <c r="F1944" s="5" t="str">
        <f aca="false">[1]Base_Jugadores!E1944</f>
        <v>ED</v>
      </c>
      <c r="G1944" s="5" t="n">
        <f aca="false">[1]Base_Jugadores!F1944</f>
        <v>69</v>
      </c>
      <c r="H1944" s="5" t="n">
        <f aca="false">[1]Base_Jugadores!G1944</f>
        <v>21</v>
      </c>
      <c r="I1944" s="7" t="n">
        <f aca="false" t="array" ref="I1944:I1944">_xlfn.XLOOKUP(G1944,{55;56;57;58;59;60;61;62;63;64;65;66;67;68;69;70;71;72;73;74;75;76;77;78;79;80;81;82;83;84;85;86;87;88;89;90;91;92;93;94;95;96;97;98;99},{100000;130000;160000;190000;220000;250000;300000;350000;400000;450000;500000;600000;700000;800000;900000;1000000;1500000;2000000;3000000;4000000;5000000;6500000;8000000;10000000;12500000;15000000;20000000;25000000;30000000;35000000;40000000;55000000;70000000;80000000;90000000;110000000;130000000;160000000;190000000;220000000;250000000;280000000;310000000;340000000;400000000})</f>
        <v>900000</v>
      </c>
      <c r="J1944" s="7" t="n">
        <f aca="false">I1944*S1944*T1944*U1944</f>
        <v>1544400</v>
      </c>
      <c r="K1944" s="3"/>
      <c r="L1944" s="3"/>
      <c r="M1944" s="3"/>
      <c r="N1944" s="9" t="n">
        <v>0</v>
      </c>
      <c r="O1944" s="4" t="n">
        <v>0</v>
      </c>
      <c r="P1944" s="5" t="n">
        <f aca="false">IF(COUNTIF([1]Base_Jugadores!J$2:J$500,B1944)&gt;0,1,0)</f>
        <v>0</v>
      </c>
      <c r="Q1944" s="10" t="b">
        <f aca="false">--(COUNTIFS(
   [1]Fichajes_Realizados!A$2:A$5000,A1944,
   [1]Fichajes_Realizados!G$2:G$5000,$X$3
)&gt;0)</f>
        <v>0</v>
      </c>
      <c r="R1944" s="5" t="n">
        <f aca="false">_xlfn.XLOOKUP(C1944, [1]Estado_Equipos!A$2:A$500, [1]Estado_Equipos!J$2:J$500, "")</f>
        <v>74</v>
      </c>
      <c r="S1944" s="5" t="n">
        <f aca="false">IF(H1944&lt;=16,1.45,
IF(H1944&gt;=41,0.3,
CHOOSE(ROUNDDOWN((H1944-16)/2,0)+1,
1.45,1.38,1.3,1.23,1.17,1.15,1.12,1.05,0.95,0.8,0.6,0.4,0.3)))</f>
        <v>1.3</v>
      </c>
      <c r="T1944" s="5" t="n">
        <f aca="false">CHOOSE(N1944+1,1.2,1,0.85,0.7)</f>
        <v>1.2</v>
      </c>
      <c r="U1944" s="5" t="n">
        <f aca="false">IF(F1944="PO",0.6,
IF(F1944="CT",0.75,
IF(F1944="LI",0.8,
IF(F1944="LD",0.8,
IF(F1944="MCD",0.85,
IF(F1944="MC",0.95,
IF(F1944="MO",1.05,
IF(F1944="EI",1.1,
IF(F1944="ED",1.1,
IF(F1944="SD",1.15,
IF(F1944="DC",1.2,0)))))))))))</f>
        <v>1.1</v>
      </c>
    </row>
    <row r="1945" customFormat="false" ht="16.4" hidden="false" customHeight="false" outlineLevel="0" collapsed="false">
      <c r="A1945" s="1" t="n">
        <v>1944</v>
      </c>
      <c r="B1945" s="5" t="str">
        <f aca="false">[1]Base_Jugadores!B1945</f>
        <v>Bilal El Khannouss</v>
      </c>
      <c r="C1945" s="5" t="str">
        <f aca="false">IFERROR(
   _xlfn.XLOOKUP(VALUE(A1945),[1]Fichajes_Realizados!A$2:A$50000,[1]Fichajes_Realizados!D$2:D$50000,,0,-1),
   _xlfn.XLOOKUP(VALUE(A1945),[1]Base_Jugadores!A$2:A$50000,[1]Base_Jugadores!C$2:C$50000)
)</f>
        <v>VfB Stuttgart</v>
      </c>
      <c r="D1945" s="5" t="str">
        <f aca="false">[1]Base_Jugadores!D1945</f>
        <v>Marruecos</v>
      </c>
      <c r="E1945" s="3"/>
      <c r="F1945" s="5" t="str">
        <f aca="false">[1]Base_Jugadores!E1945</f>
        <v>MO</v>
      </c>
      <c r="G1945" s="5" t="n">
        <f aca="false">[1]Base_Jugadores!F1945</f>
        <v>76</v>
      </c>
      <c r="H1945" s="5" t="n">
        <f aca="false">[1]Base_Jugadores!G1945</f>
        <v>21</v>
      </c>
      <c r="I1945" s="7" t="n">
        <f aca="false" t="array" ref="I1945:I1945">_xlfn.XLOOKUP(G1945,{55;56;57;58;59;60;61;62;63;64;65;66;67;68;69;70;71;72;73;74;75;76;77;78;79;80;81;82;83;84;85;86;87;88;89;90;91;92;93;94;95;96;97;98;99},{100000;130000;160000;190000;220000;250000;300000;350000;400000;450000;500000;600000;700000;800000;900000;1000000;1500000;2000000;3000000;4000000;5000000;6500000;8000000;10000000;12500000;15000000;20000000;25000000;30000000;35000000;40000000;55000000;70000000;80000000;90000000;110000000;130000000;160000000;190000000;220000000;250000000;280000000;310000000;340000000;400000000})</f>
        <v>6500000</v>
      </c>
      <c r="J1945" s="7" t="n">
        <f aca="false">I1945*S1945*T1945*U1945</f>
        <v>10647000</v>
      </c>
      <c r="K1945" s="3"/>
      <c r="L1945" s="3"/>
      <c r="M1945" s="3"/>
      <c r="N1945" s="9" t="n">
        <v>0</v>
      </c>
      <c r="O1945" s="4" t="n">
        <v>0</v>
      </c>
      <c r="P1945" s="5" t="n">
        <f aca="false">IF(COUNTIF([1]Base_Jugadores!J$2:J$500,B1945)&gt;0,1,0)</f>
        <v>0</v>
      </c>
      <c r="Q1945" s="10" t="b">
        <f aca="false">--(COUNTIFS(
   [1]Fichajes_Realizados!A$2:A$5000,A1945,
   [1]Fichajes_Realizados!G$2:G$5000,$X$3
)&gt;0)</f>
        <v>0</v>
      </c>
      <c r="R1945" s="5" t="n">
        <f aca="false">_xlfn.XLOOKUP(C1945, [1]Estado_Equipos!A$2:A$500, [1]Estado_Equipos!J$2:J$500, "")</f>
        <v>74</v>
      </c>
      <c r="S1945" s="5" t="n">
        <f aca="false">IF(H1945&lt;=16,1.45,
IF(H1945&gt;=41,0.3,
CHOOSE(ROUNDDOWN((H1945-16)/2,0)+1,
1.45,1.38,1.3,1.23,1.17,1.15,1.12,1.05,0.95,0.8,0.6,0.4,0.3)))</f>
        <v>1.3</v>
      </c>
      <c r="T1945" s="5" t="n">
        <f aca="false">CHOOSE(N1945+1,1.2,1,0.85,0.7)</f>
        <v>1.2</v>
      </c>
      <c r="U1945" s="5" t="n">
        <f aca="false">IF(F1945="PO",0.6,
IF(F1945="CT",0.75,
IF(F1945="LI",0.8,
IF(F1945="LD",0.8,
IF(F1945="MCD",0.85,
IF(F1945="MC",0.95,
IF(F1945="MO",1.05,
IF(F1945="EI",1.1,
IF(F1945="ED",1.1,
IF(F1945="SD",1.15,
IF(F1945="DC",1.2,0)))))))))))</f>
        <v>1.05</v>
      </c>
    </row>
    <row r="1946" customFormat="false" ht="16.4" hidden="false" customHeight="false" outlineLevel="0" collapsed="false">
      <c r="A1946" s="1" t="n">
        <v>1945</v>
      </c>
      <c r="B1946" s="5" t="str">
        <f aca="false">[1]Base_Jugadores!B1946</f>
        <v>Chris Führich</v>
      </c>
      <c r="C1946" s="5" t="str">
        <f aca="false">IFERROR(
   _xlfn.XLOOKUP(VALUE(A1946),[1]Fichajes_Realizados!A$2:A$50000,[1]Fichajes_Realizados!D$2:D$50000,,0,-1),
   _xlfn.XLOOKUP(VALUE(A1946),[1]Base_Jugadores!A$2:A$50000,[1]Base_Jugadores!C$2:C$50000)
)</f>
        <v>VfB Stuttgart</v>
      </c>
      <c r="D1946" s="5" t="str">
        <f aca="false">[1]Base_Jugadores!D1946</f>
        <v>Alemania</v>
      </c>
      <c r="E1946" s="3"/>
      <c r="F1946" s="5" t="str">
        <f aca="false">[1]Base_Jugadores!E1946</f>
        <v>EI</v>
      </c>
      <c r="G1946" s="5" t="n">
        <f aca="false">[1]Base_Jugadores!F1946</f>
        <v>79</v>
      </c>
      <c r="H1946" s="5" t="n">
        <f aca="false">[1]Base_Jugadores!G1946</f>
        <v>27</v>
      </c>
      <c r="I1946" s="7" t="n">
        <f aca="false" t="array" ref="I1946:I1946">_xlfn.XLOOKUP(G1946,{55;56;57;58;59;60;61;62;63;64;65;66;67;68;69;70;71;72;73;74;75;76;77;78;79;80;81;82;83;84;85;86;87;88;89;90;91;92;93;94;95;96;97;98;99},{100000;130000;160000;190000;220000;250000;300000;350000;400000;450000;500000;600000;700000;800000;900000;1000000;1500000;2000000;3000000;4000000;5000000;6500000;8000000;10000000;12500000;15000000;20000000;25000000;30000000;35000000;40000000;55000000;70000000;80000000;90000000;110000000;130000000;160000000;190000000;220000000;250000000;280000000;310000000;340000000;400000000})</f>
        <v>12500000</v>
      </c>
      <c r="J1946" s="7" t="n">
        <f aca="false">I1946*S1946*T1946*U1946</f>
        <v>18975000</v>
      </c>
      <c r="K1946" s="3"/>
      <c r="L1946" s="3"/>
      <c r="M1946" s="3"/>
      <c r="N1946" s="9" t="n">
        <v>0</v>
      </c>
      <c r="O1946" s="4" t="n">
        <v>0</v>
      </c>
      <c r="P1946" s="5" t="n">
        <f aca="false">IF(COUNTIF([1]Base_Jugadores!J$2:J$500,B1946)&gt;0,1,0)</f>
        <v>0</v>
      </c>
      <c r="Q1946" s="10" t="b">
        <f aca="false">--(COUNTIFS(
   [1]Fichajes_Realizados!A$2:A$5000,A1946,
   [1]Fichajes_Realizados!G$2:G$5000,$X$3
)&gt;0)</f>
        <v>0</v>
      </c>
      <c r="R1946" s="5" t="n">
        <f aca="false">_xlfn.XLOOKUP(C1946, [1]Estado_Equipos!A$2:A$500, [1]Estado_Equipos!J$2:J$500, "")</f>
        <v>74</v>
      </c>
      <c r="S1946" s="5" t="n">
        <f aca="false">IF(H1946&lt;=16,1.45,
IF(H1946&gt;=41,0.3,
CHOOSE(ROUNDDOWN((H1946-16)/2,0)+1,
1.45,1.38,1.3,1.23,1.17,1.15,1.12,1.05,0.95,0.8,0.6,0.4,0.3)))</f>
        <v>1.15</v>
      </c>
      <c r="T1946" s="5" t="n">
        <f aca="false">CHOOSE(N1946+1,1.2,1,0.85,0.7)</f>
        <v>1.2</v>
      </c>
      <c r="U1946" s="5" t="n">
        <f aca="false">IF(F1946="PO",0.6,
IF(F1946="CT",0.75,
IF(F1946="LI",0.8,
IF(F1946="LD",0.8,
IF(F1946="MCD",0.85,
IF(F1946="MC",0.95,
IF(F1946="MO",1.05,
IF(F1946="EI",1.1,
IF(F1946="ED",1.1,
IF(F1946="SD",1.15,
IF(F1946="DC",1.2,0)))))))))))</f>
        <v>1.1</v>
      </c>
    </row>
    <row r="1947" customFormat="false" ht="16.4" hidden="false" customHeight="false" outlineLevel="0" collapsed="false">
      <c r="A1947" s="1" t="n">
        <v>1946</v>
      </c>
      <c r="B1947" s="5" t="str">
        <f aca="false">[1]Base_Jugadores!B1947</f>
        <v>Dan-Axel Zagadou</v>
      </c>
      <c r="C1947" s="5" t="str">
        <f aca="false">IFERROR(
   _xlfn.XLOOKUP(VALUE(A1947),[1]Fichajes_Realizados!A$2:A$50000,[1]Fichajes_Realizados!D$2:D$50000,,0,-1),
   _xlfn.XLOOKUP(VALUE(A1947),[1]Base_Jugadores!A$2:A$50000,[1]Base_Jugadores!C$2:C$50000)
)</f>
        <v>VfB Stuttgart</v>
      </c>
      <c r="D1947" s="5" t="str">
        <f aca="false">[1]Base_Jugadores!D1947</f>
        <v>Francia</v>
      </c>
      <c r="E1947" s="3"/>
      <c r="F1947" s="5" t="str">
        <f aca="false">[1]Base_Jugadores!E1947</f>
        <v>CT</v>
      </c>
      <c r="G1947" s="5" t="n">
        <f aca="false">[1]Base_Jugadores!F1947</f>
        <v>76</v>
      </c>
      <c r="H1947" s="5" t="n">
        <f aca="false">[1]Base_Jugadores!G1947</f>
        <v>26</v>
      </c>
      <c r="I1947" s="7" t="n">
        <f aca="false" t="array" ref="I1947:I1947">_xlfn.XLOOKUP(G1947,{55;56;57;58;59;60;61;62;63;64;65;66;67;68;69;70;71;72;73;74;75;76;77;78;79;80;81;82;83;84;85;86;87;88;89;90;91;92;93;94;95;96;97;98;99},{100000;130000;160000;190000;220000;250000;300000;350000;400000;450000;500000;600000;700000;800000;900000;1000000;1500000;2000000;3000000;4000000;5000000;6500000;8000000;10000000;12500000;15000000;20000000;25000000;30000000;35000000;40000000;55000000;70000000;80000000;90000000;110000000;130000000;160000000;190000000;220000000;250000000;280000000;310000000;340000000;400000000})</f>
        <v>6500000</v>
      </c>
      <c r="J1947" s="7" t="n">
        <f aca="false">I1947*S1947*T1947*U1947</f>
        <v>6727500</v>
      </c>
      <c r="K1947" s="3"/>
      <c r="L1947" s="3"/>
      <c r="M1947" s="3"/>
      <c r="N1947" s="9" t="n">
        <v>0</v>
      </c>
      <c r="O1947" s="4" t="n">
        <v>0</v>
      </c>
      <c r="P1947" s="5" t="n">
        <f aca="false">IF(COUNTIF([1]Base_Jugadores!J$2:J$500,B1947)&gt;0,1,0)</f>
        <v>0</v>
      </c>
      <c r="Q1947" s="10" t="b">
        <f aca="false">--(COUNTIFS(
   [1]Fichajes_Realizados!A$2:A$5000,A1947,
   [1]Fichajes_Realizados!G$2:G$5000,$X$3
)&gt;0)</f>
        <v>0</v>
      </c>
      <c r="R1947" s="5" t="n">
        <f aca="false">_xlfn.XLOOKUP(C1947, [1]Estado_Equipos!A$2:A$500, [1]Estado_Equipos!J$2:J$500, "")</f>
        <v>74</v>
      </c>
      <c r="S1947" s="5" t="n">
        <f aca="false">IF(H1947&lt;=16,1.45,
IF(H1947&gt;=41,0.3,
CHOOSE(ROUNDDOWN((H1947-16)/2,0)+1,
1.45,1.38,1.3,1.23,1.17,1.15,1.12,1.05,0.95,0.8,0.6,0.4,0.3)))</f>
        <v>1.15</v>
      </c>
      <c r="T1947" s="5" t="n">
        <f aca="false">CHOOSE(N1947+1,1.2,1,0.85,0.7)</f>
        <v>1.2</v>
      </c>
      <c r="U1947" s="5" t="n">
        <f aca="false">IF(F1947="PO",0.6,
IF(F1947="CT",0.75,
IF(F1947="LI",0.8,
IF(F1947="LD",0.8,
IF(F1947="MCD",0.85,
IF(F1947="MC",0.95,
IF(F1947="MO",1.05,
IF(F1947="EI",1.1,
IF(F1947="ED",1.1,
IF(F1947="SD",1.15,
IF(F1947="DC",1.2,0)))))))))))</f>
        <v>0.75</v>
      </c>
    </row>
    <row r="1948" customFormat="false" ht="16.4" hidden="false" customHeight="false" outlineLevel="0" collapsed="false">
      <c r="A1948" s="1" t="n">
        <v>1947</v>
      </c>
      <c r="B1948" s="5" t="str">
        <f aca="false">[1]Base_Jugadores!B1948</f>
        <v>Deniz Undav</v>
      </c>
      <c r="C1948" s="5" t="str">
        <f aca="false">IFERROR(
   _xlfn.XLOOKUP(VALUE(A1948),[1]Fichajes_Realizados!A$2:A$50000,[1]Fichajes_Realizados!D$2:D$50000,,0,-1),
   _xlfn.XLOOKUP(VALUE(A1948),[1]Base_Jugadores!A$2:A$50000,[1]Base_Jugadores!C$2:C$50000)
)</f>
        <v>VfB Stuttgart</v>
      </c>
      <c r="D1948" s="5" t="str">
        <f aca="false">[1]Base_Jugadores!D1948</f>
        <v>Alemania</v>
      </c>
      <c r="E1948" s="3"/>
      <c r="F1948" s="5" t="str">
        <f aca="false">[1]Base_Jugadores!E1948</f>
        <v>DC</v>
      </c>
      <c r="G1948" s="5" t="n">
        <f aca="false">[1]Base_Jugadores!F1948</f>
        <v>81</v>
      </c>
      <c r="H1948" s="5" t="n">
        <f aca="false">[1]Base_Jugadores!G1948</f>
        <v>29</v>
      </c>
      <c r="I1948" s="7" t="n">
        <f aca="false" t="array" ref="I1948:I1948">_xlfn.XLOOKUP(G1948,{55;56;57;58;59;60;61;62;63;64;65;66;67;68;69;70;71;72;73;74;75;76;77;78;79;80;81;82;83;84;85;86;87;88;89;90;91;92;93;94;95;96;97;98;99},{100000;130000;160000;190000;220000;250000;300000;350000;400000;450000;500000;600000;700000;800000;900000;1000000;1500000;2000000;3000000;4000000;5000000;6500000;8000000;10000000;12500000;15000000;20000000;25000000;30000000;35000000;40000000;55000000;70000000;80000000;90000000;110000000;130000000;160000000;190000000;220000000;250000000;280000000;310000000;340000000;400000000})</f>
        <v>20000000</v>
      </c>
      <c r="J1948" s="7" t="n">
        <f aca="false">I1948*S1948*T1948*U1948</f>
        <v>32256000</v>
      </c>
      <c r="K1948" s="3"/>
      <c r="L1948" s="3"/>
      <c r="M1948" s="3"/>
      <c r="N1948" s="9" t="n">
        <v>0</v>
      </c>
      <c r="O1948" s="4" t="n">
        <v>0</v>
      </c>
      <c r="P1948" s="5" t="n">
        <f aca="false">IF(COUNTIF([1]Base_Jugadores!J$2:J$500,B1948)&gt;0,1,0)</f>
        <v>0</v>
      </c>
      <c r="Q1948" s="10" t="b">
        <f aca="false">--(COUNTIFS(
   [1]Fichajes_Realizados!A$2:A$5000,A1948,
   [1]Fichajes_Realizados!G$2:G$5000,$X$3
)&gt;0)</f>
        <v>0</v>
      </c>
      <c r="R1948" s="5" t="n">
        <f aca="false">_xlfn.XLOOKUP(C1948, [1]Estado_Equipos!A$2:A$500, [1]Estado_Equipos!J$2:J$500, "")</f>
        <v>74</v>
      </c>
      <c r="S1948" s="5" t="n">
        <f aca="false">IF(H1948&lt;=16,1.45,
IF(H1948&gt;=41,0.3,
CHOOSE(ROUNDDOWN((H1948-16)/2,0)+1,
1.45,1.38,1.3,1.23,1.17,1.15,1.12,1.05,0.95,0.8,0.6,0.4,0.3)))</f>
        <v>1.12</v>
      </c>
      <c r="T1948" s="5" t="n">
        <f aca="false">CHOOSE(N1948+1,1.2,1,0.85,0.7)</f>
        <v>1.2</v>
      </c>
      <c r="U1948" s="5" t="n">
        <f aca="false">IF(F1948="PO",0.6,
IF(F1948="CT",0.75,
IF(F1948="LI",0.8,
IF(F1948="LD",0.8,
IF(F1948="MCD",0.85,
IF(F1948="MC",0.95,
IF(F1948="MO",1.05,
IF(F1948="EI",1.1,
IF(F1948="ED",1.1,
IF(F1948="SD",1.15,
IF(F1948="DC",1.2,0)))))))))))</f>
        <v>1.2</v>
      </c>
    </row>
    <row r="1949" customFormat="false" ht="16.4" hidden="false" customHeight="false" outlineLevel="0" collapsed="false">
      <c r="A1949" s="1" t="n">
        <v>1948</v>
      </c>
      <c r="B1949" s="5" t="str">
        <f aca="false">[1]Base_Jugadores!B1949</f>
        <v>Ermedin Demirovic</v>
      </c>
      <c r="C1949" s="5" t="str">
        <f aca="false">IFERROR(
   _xlfn.XLOOKUP(VALUE(A1949),[1]Fichajes_Realizados!A$2:A$50000,[1]Fichajes_Realizados!D$2:D$50000,,0,-1),
   _xlfn.XLOOKUP(VALUE(A1949),[1]Base_Jugadores!A$2:A$50000,[1]Base_Jugadores!C$2:C$50000)
)</f>
        <v>VfB Stuttgart</v>
      </c>
      <c r="D1949" s="5" t="str">
        <f aca="false">[1]Base_Jugadores!D1949</f>
        <v>Bosnia y Herzegovina</v>
      </c>
      <c r="E1949" s="3"/>
      <c r="F1949" s="5" t="str">
        <f aca="false">[1]Base_Jugadores!E1949</f>
        <v>DC</v>
      </c>
      <c r="G1949" s="5" t="n">
        <f aca="false">[1]Base_Jugadores!F1949</f>
        <v>79</v>
      </c>
      <c r="H1949" s="5" t="n">
        <f aca="false">[1]Base_Jugadores!G1949</f>
        <v>27</v>
      </c>
      <c r="I1949" s="7" t="n">
        <f aca="false" t="array" ref="I1949:I1949">_xlfn.XLOOKUP(G1949,{55;56;57;58;59;60;61;62;63;64;65;66;67;68;69;70;71;72;73;74;75;76;77;78;79;80;81;82;83;84;85;86;87;88;89;90;91;92;93;94;95;96;97;98;99},{100000;130000;160000;190000;220000;250000;300000;350000;400000;450000;500000;600000;700000;800000;900000;1000000;1500000;2000000;3000000;4000000;5000000;6500000;8000000;10000000;12500000;15000000;20000000;25000000;30000000;35000000;40000000;55000000;70000000;80000000;90000000;110000000;130000000;160000000;190000000;220000000;250000000;280000000;310000000;340000000;400000000})</f>
        <v>12500000</v>
      </c>
      <c r="J1949" s="7" t="n">
        <f aca="false">I1949*S1949*T1949*U1949</f>
        <v>20700000</v>
      </c>
      <c r="K1949" s="3"/>
      <c r="L1949" s="3"/>
      <c r="M1949" s="3"/>
      <c r="N1949" s="9" t="n">
        <v>0</v>
      </c>
      <c r="O1949" s="4" t="n">
        <v>0</v>
      </c>
      <c r="P1949" s="5" t="n">
        <f aca="false">IF(COUNTIF([1]Base_Jugadores!J$2:J$500,B1949)&gt;0,1,0)</f>
        <v>0</v>
      </c>
      <c r="Q1949" s="10" t="b">
        <f aca="false">--(COUNTIFS(
   [1]Fichajes_Realizados!A$2:A$5000,A1949,
   [1]Fichajes_Realizados!G$2:G$5000,$X$3
)&gt;0)</f>
        <v>0</v>
      </c>
      <c r="R1949" s="5" t="n">
        <f aca="false">_xlfn.XLOOKUP(C1949, [1]Estado_Equipos!A$2:A$500, [1]Estado_Equipos!J$2:J$500, "")</f>
        <v>74</v>
      </c>
      <c r="S1949" s="5" t="n">
        <f aca="false">IF(H1949&lt;=16,1.45,
IF(H1949&gt;=41,0.3,
CHOOSE(ROUNDDOWN((H1949-16)/2,0)+1,
1.45,1.38,1.3,1.23,1.17,1.15,1.12,1.05,0.95,0.8,0.6,0.4,0.3)))</f>
        <v>1.15</v>
      </c>
      <c r="T1949" s="5" t="n">
        <f aca="false">CHOOSE(N1949+1,1.2,1,0.85,0.7)</f>
        <v>1.2</v>
      </c>
      <c r="U1949" s="5" t="n">
        <f aca="false">IF(F1949="PO",0.6,
IF(F1949="CT",0.75,
IF(F1949="LI",0.8,
IF(F1949="LD",0.8,
IF(F1949="MCD",0.85,
IF(F1949="MC",0.95,
IF(F1949="MO",1.05,
IF(F1949="EI",1.1,
IF(F1949="ED",1.1,
IF(F1949="SD",1.15,
IF(F1949="DC",1.2,0)))))))))))</f>
        <v>1.2</v>
      </c>
    </row>
    <row r="1950" customFormat="false" ht="16.4" hidden="false" customHeight="false" outlineLevel="0" collapsed="false">
      <c r="A1950" s="1" t="n">
        <v>1949</v>
      </c>
      <c r="B1950" s="5" t="str">
        <f aca="false">[1]Base_Jugadores!B1950</f>
        <v>Fabian Bredlow</v>
      </c>
      <c r="C1950" s="5" t="str">
        <f aca="false">IFERROR(
   _xlfn.XLOOKUP(VALUE(A1950),[1]Fichajes_Realizados!A$2:A$50000,[1]Fichajes_Realizados!D$2:D$50000,,0,-1),
   _xlfn.XLOOKUP(VALUE(A1950),[1]Base_Jugadores!A$2:A$50000,[1]Base_Jugadores!C$2:C$50000)
)</f>
        <v>VfB Stuttgart</v>
      </c>
      <c r="D1950" s="5" t="str">
        <f aca="false">[1]Base_Jugadores!D1950</f>
        <v>Alemania</v>
      </c>
      <c r="E1950" s="3"/>
      <c r="F1950" s="5" t="str">
        <f aca="false">[1]Base_Jugadores!E1950</f>
        <v>PO</v>
      </c>
      <c r="G1950" s="5" t="n">
        <f aca="false">[1]Base_Jugadores!F1950</f>
        <v>71</v>
      </c>
      <c r="H1950" s="5" t="n">
        <f aca="false">[1]Base_Jugadores!G1950</f>
        <v>30</v>
      </c>
      <c r="I1950" s="7" t="n">
        <f aca="false" t="array" ref="I1950:I1950">_xlfn.XLOOKUP(G1950,{55;56;57;58;59;60;61;62;63;64;65;66;67;68;69;70;71;72;73;74;75;76;77;78;79;80;81;82;83;84;85;86;87;88;89;90;91;92;93;94;95;96;97;98;99},{100000;130000;160000;190000;220000;250000;300000;350000;400000;450000;500000;600000;700000;800000;900000;1000000;1500000;2000000;3000000;4000000;5000000;6500000;8000000;10000000;12500000;15000000;20000000;25000000;30000000;35000000;40000000;55000000;70000000;80000000;90000000;110000000;130000000;160000000;190000000;220000000;250000000;280000000;310000000;340000000;400000000})</f>
        <v>1500000</v>
      </c>
      <c r="J1950" s="7" t="n">
        <f aca="false">I1950*S1950*T1950*U1950</f>
        <v>1134000</v>
      </c>
      <c r="K1950" s="3"/>
      <c r="L1950" s="3"/>
      <c r="M1950" s="3"/>
      <c r="N1950" s="9" t="n">
        <v>0</v>
      </c>
      <c r="O1950" s="4" t="n">
        <v>0</v>
      </c>
      <c r="P1950" s="5" t="n">
        <f aca="false">IF(COUNTIF([1]Base_Jugadores!J$2:J$500,B1950)&gt;0,1,0)</f>
        <v>0</v>
      </c>
      <c r="Q1950" s="10" t="b">
        <f aca="false">--(COUNTIFS(
   [1]Fichajes_Realizados!A$2:A$5000,A1950,
   [1]Fichajes_Realizados!G$2:G$5000,$X$3
)&gt;0)</f>
        <v>0</v>
      </c>
      <c r="R1950" s="5" t="n">
        <f aca="false">_xlfn.XLOOKUP(C1950, [1]Estado_Equipos!A$2:A$500, [1]Estado_Equipos!J$2:J$500, "")</f>
        <v>74</v>
      </c>
      <c r="S1950" s="5" t="n">
        <f aca="false">IF(H1950&lt;=16,1.45,
IF(H1950&gt;=41,0.3,
CHOOSE(ROUNDDOWN((H1950-16)/2,0)+1,
1.45,1.38,1.3,1.23,1.17,1.15,1.12,1.05,0.95,0.8,0.6,0.4,0.3)))</f>
        <v>1.05</v>
      </c>
      <c r="T1950" s="5" t="n">
        <f aca="false">CHOOSE(N1950+1,1.2,1,0.85,0.7)</f>
        <v>1.2</v>
      </c>
      <c r="U1950" s="5" t="n">
        <f aca="false">IF(F1950="PO",0.6,
IF(F1950="CT",0.75,
IF(F1950="LI",0.8,
IF(F1950="LD",0.8,
IF(F1950="MCD",0.85,
IF(F1950="MC",0.95,
IF(F1950="MO",1.05,
IF(F1950="EI",1.1,
IF(F1950="ED",1.1,
IF(F1950="SD",1.15,
IF(F1950="DC",1.2,0)))))))))))</f>
        <v>0.6</v>
      </c>
    </row>
    <row r="1951" customFormat="false" ht="16.4" hidden="false" customHeight="false" outlineLevel="0" collapsed="false">
      <c r="A1951" s="1" t="n">
        <v>1950</v>
      </c>
      <c r="B1951" s="5" t="str">
        <f aca="false">[1]Base_Jugadores!B1951</f>
        <v>Finn Jeltsch</v>
      </c>
      <c r="C1951" s="5" t="str">
        <f aca="false">IFERROR(
   _xlfn.XLOOKUP(VALUE(A1951),[1]Fichajes_Realizados!A$2:A$50000,[1]Fichajes_Realizados!D$2:D$50000,,0,-1),
   _xlfn.XLOOKUP(VALUE(A1951),[1]Base_Jugadores!A$2:A$50000,[1]Base_Jugadores!C$2:C$50000)
)</f>
        <v>VfB Stuttgart</v>
      </c>
      <c r="D1951" s="5" t="str">
        <f aca="false">[1]Base_Jugadores!D1951</f>
        <v>Alemania</v>
      </c>
      <c r="E1951" s="3"/>
      <c r="F1951" s="5" t="str">
        <f aca="false">[1]Base_Jugadores!E1951</f>
        <v>CT</v>
      </c>
      <c r="G1951" s="5" t="n">
        <f aca="false">[1]Base_Jugadores!F1951</f>
        <v>65</v>
      </c>
      <c r="H1951" s="5" t="n">
        <f aca="false">[1]Base_Jugadores!G1951</f>
        <v>19</v>
      </c>
      <c r="I1951" s="7" t="n">
        <f aca="false" t="array" ref="I1951:I1951">_xlfn.XLOOKUP(G1951,{55;56;57;58;59;60;61;62;63;64;65;66;67;68;69;70;71;72;73;74;75;76;77;78;79;80;81;82;83;84;85;86;87;88;89;90;91;92;93;94;95;96;97;98;99},{100000;130000;160000;190000;220000;250000;300000;350000;400000;450000;500000;600000;700000;800000;900000;1000000;1500000;2000000;3000000;4000000;5000000;6500000;8000000;10000000;12500000;15000000;20000000;25000000;30000000;35000000;40000000;55000000;70000000;80000000;90000000;110000000;130000000;160000000;190000000;220000000;250000000;280000000;310000000;340000000;400000000})</f>
        <v>500000</v>
      </c>
      <c r="J1951" s="7" t="n">
        <f aca="false">I1951*S1951*T1951*U1951</f>
        <v>621000</v>
      </c>
      <c r="K1951" s="3"/>
      <c r="L1951" s="3"/>
      <c r="M1951" s="3"/>
      <c r="N1951" s="9" t="n">
        <v>0</v>
      </c>
      <c r="O1951" s="4" t="n">
        <v>0</v>
      </c>
      <c r="P1951" s="5" t="n">
        <f aca="false">IF(COUNTIF([1]Base_Jugadores!J$2:J$500,B1951)&gt;0,1,0)</f>
        <v>0</v>
      </c>
      <c r="Q1951" s="10" t="b">
        <f aca="false">--(COUNTIFS(
   [1]Fichajes_Realizados!A$2:A$5000,A1951,
   [1]Fichajes_Realizados!G$2:G$5000,$X$3
)&gt;0)</f>
        <v>0</v>
      </c>
      <c r="R1951" s="5" t="n">
        <f aca="false">_xlfn.XLOOKUP(C1951, [1]Estado_Equipos!A$2:A$500, [1]Estado_Equipos!J$2:J$500, "")</f>
        <v>74</v>
      </c>
      <c r="S1951" s="5" t="n">
        <f aca="false">IF(H1951&lt;=16,1.45,
IF(H1951&gt;=41,0.3,
CHOOSE(ROUNDDOWN((H1951-16)/2,0)+1,
1.45,1.38,1.3,1.23,1.17,1.15,1.12,1.05,0.95,0.8,0.6,0.4,0.3)))</f>
        <v>1.38</v>
      </c>
      <c r="T1951" s="5" t="n">
        <f aca="false">CHOOSE(N1951+1,1.2,1,0.85,0.7)</f>
        <v>1.2</v>
      </c>
      <c r="U1951" s="5" t="n">
        <f aca="false">IF(F1951="PO",0.6,
IF(F1951="CT",0.75,
IF(F1951="LI",0.8,
IF(F1951="LD",0.8,
IF(F1951="MCD",0.85,
IF(F1951="MC",0.95,
IF(F1951="MO",1.05,
IF(F1951="EI",1.1,
IF(F1951="ED",1.1,
IF(F1951="SD",1.15,
IF(F1951="DC",1.2,0)))))))))))</f>
        <v>0.75</v>
      </c>
    </row>
    <row r="1952" customFormat="false" ht="16.4" hidden="false" customHeight="false" outlineLevel="0" collapsed="false">
      <c r="A1952" s="1" t="n">
        <v>1951</v>
      </c>
      <c r="B1952" s="5" t="str">
        <f aca="false">[1]Base_Jugadores!B1952</f>
        <v>Jeff Chabot</v>
      </c>
      <c r="C1952" s="5" t="str">
        <f aca="false">IFERROR(
   _xlfn.XLOOKUP(VALUE(A1952),[1]Fichajes_Realizados!A$2:A$50000,[1]Fichajes_Realizados!D$2:D$50000,,0,-1),
   _xlfn.XLOOKUP(VALUE(A1952),[1]Base_Jugadores!A$2:A$50000,[1]Base_Jugadores!C$2:C$50000)
)</f>
        <v>VfB Stuttgart</v>
      </c>
      <c r="D1952" s="5" t="str">
        <f aca="false">[1]Base_Jugadores!D1952</f>
        <v>Alemania</v>
      </c>
      <c r="E1952" s="3"/>
      <c r="F1952" s="5" t="str">
        <f aca="false">[1]Base_Jugadores!E1952</f>
        <v>CT</v>
      </c>
      <c r="G1952" s="5" t="n">
        <f aca="false">[1]Base_Jugadores!F1952</f>
        <v>77</v>
      </c>
      <c r="H1952" s="5" t="n">
        <f aca="false">[1]Base_Jugadores!G1952</f>
        <v>27</v>
      </c>
      <c r="I1952" s="7" t="n">
        <f aca="false" t="array" ref="I1952:I1952">_xlfn.XLOOKUP(G1952,{55;56;57;58;59;60;61;62;63;64;65;66;67;68;69;70;71;72;73;74;75;76;77;78;79;80;81;82;83;84;85;86;87;88;89;90;91;92;93;94;95;96;97;98;99},{100000;130000;160000;190000;220000;250000;300000;350000;400000;450000;500000;600000;700000;800000;900000;1000000;1500000;2000000;3000000;4000000;5000000;6500000;8000000;10000000;12500000;15000000;20000000;25000000;30000000;35000000;40000000;55000000;70000000;80000000;90000000;110000000;130000000;160000000;190000000;220000000;250000000;280000000;310000000;340000000;400000000})</f>
        <v>8000000</v>
      </c>
      <c r="J1952" s="7" t="n">
        <f aca="false">I1952*S1952*T1952*U1952</f>
        <v>8280000</v>
      </c>
      <c r="K1952" s="3"/>
      <c r="L1952" s="3"/>
      <c r="M1952" s="3"/>
      <c r="N1952" s="9" t="n">
        <v>0</v>
      </c>
      <c r="O1952" s="4" t="n">
        <v>0</v>
      </c>
      <c r="P1952" s="5" t="n">
        <f aca="false">IF(COUNTIF([1]Base_Jugadores!J$2:J$500,B1952)&gt;0,1,0)</f>
        <v>0</v>
      </c>
      <c r="Q1952" s="10" t="b">
        <f aca="false">--(COUNTIFS(
   [1]Fichajes_Realizados!A$2:A$5000,A1952,
   [1]Fichajes_Realizados!G$2:G$5000,$X$3
)&gt;0)</f>
        <v>0</v>
      </c>
      <c r="R1952" s="5" t="n">
        <f aca="false">_xlfn.XLOOKUP(C1952, [1]Estado_Equipos!A$2:A$500, [1]Estado_Equipos!J$2:J$500, "")</f>
        <v>74</v>
      </c>
      <c r="S1952" s="5" t="n">
        <f aca="false">IF(H1952&lt;=16,1.45,
IF(H1952&gt;=41,0.3,
CHOOSE(ROUNDDOWN((H1952-16)/2,0)+1,
1.45,1.38,1.3,1.23,1.17,1.15,1.12,1.05,0.95,0.8,0.6,0.4,0.3)))</f>
        <v>1.15</v>
      </c>
      <c r="T1952" s="5" t="n">
        <f aca="false">CHOOSE(N1952+1,1.2,1,0.85,0.7)</f>
        <v>1.2</v>
      </c>
      <c r="U1952" s="5" t="n">
        <f aca="false">IF(F1952="PO",0.6,
IF(F1952="CT",0.75,
IF(F1952="LI",0.8,
IF(F1952="LD",0.8,
IF(F1952="MCD",0.85,
IF(F1952="MC",0.95,
IF(F1952="MO",1.05,
IF(F1952="EI",1.1,
IF(F1952="ED",1.1,
IF(F1952="SD",1.15,
IF(F1952="DC",1.2,0)))))))))))</f>
        <v>0.75</v>
      </c>
    </row>
    <row r="1953" customFormat="false" ht="16.4" hidden="false" customHeight="false" outlineLevel="0" collapsed="false">
      <c r="A1953" s="1" t="n">
        <v>1952</v>
      </c>
      <c r="B1953" s="5" t="str">
        <f aca="false">[1]Base_Jugadores!B1953</f>
        <v>Josha Vagnoman</v>
      </c>
      <c r="C1953" s="5" t="str">
        <f aca="false">IFERROR(
   _xlfn.XLOOKUP(VALUE(A1953),[1]Fichajes_Realizados!A$2:A$50000,[1]Fichajes_Realizados!D$2:D$50000,,0,-1),
   _xlfn.XLOOKUP(VALUE(A1953),[1]Base_Jugadores!A$2:A$50000,[1]Base_Jugadores!C$2:C$50000)
)</f>
        <v>VfB Stuttgart</v>
      </c>
      <c r="D1953" s="5" t="str">
        <f aca="false">[1]Base_Jugadores!D1953</f>
        <v>Alemania</v>
      </c>
      <c r="E1953" s="3"/>
      <c r="F1953" s="5" t="str">
        <f aca="false">[1]Base_Jugadores!E1953</f>
        <v>LD</v>
      </c>
      <c r="G1953" s="5" t="n">
        <f aca="false">[1]Base_Jugadores!F1953</f>
        <v>74</v>
      </c>
      <c r="H1953" s="5" t="n">
        <f aca="false">[1]Base_Jugadores!G1953</f>
        <v>25</v>
      </c>
      <c r="I1953" s="7" t="n">
        <f aca="false" t="array" ref="I1953:I1953">_xlfn.XLOOKUP(G1953,{55;56;57;58;59;60;61;62;63;64;65;66;67;68;69;70;71;72;73;74;75;76;77;78;79;80;81;82;83;84;85;86;87;88;89;90;91;92;93;94;95;96;97;98;99},{100000;130000;160000;190000;220000;250000;300000;350000;400000;450000;500000;600000;700000;800000;900000;1000000;1500000;2000000;3000000;4000000;5000000;6500000;8000000;10000000;12500000;15000000;20000000;25000000;30000000;35000000;40000000;55000000;70000000;80000000;90000000;110000000;130000000;160000000;190000000;220000000;250000000;280000000;310000000;340000000;400000000})</f>
        <v>4000000</v>
      </c>
      <c r="J1953" s="7" t="n">
        <f aca="false">I1953*S1953*T1953*U1953</f>
        <v>4492800</v>
      </c>
      <c r="K1953" s="3"/>
      <c r="L1953" s="3"/>
      <c r="M1953" s="3"/>
      <c r="N1953" s="9" t="n">
        <v>0</v>
      </c>
      <c r="O1953" s="4" t="n">
        <v>0</v>
      </c>
      <c r="P1953" s="5" t="n">
        <f aca="false">IF(COUNTIF([1]Base_Jugadores!J$2:J$500,B1953)&gt;0,1,0)</f>
        <v>0</v>
      </c>
      <c r="Q1953" s="10" t="b">
        <f aca="false">--(COUNTIFS(
   [1]Fichajes_Realizados!A$2:A$5000,A1953,
   [1]Fichajes_Realizados!G$2:G$5000,$X$3
)&gt;0)</f>
        <v>0</v>
      </c>
      <c r="R1953" s="5" t="n">
        <f aca="false">_xlfn.XLOOKUP(C1953, [1]Estado_Equipos!A$2:A$500, [1]Estado_Equipos!J$2:J$500, "")</f>
        <v>74</v>
      </c>
      <c r="S1953" s="5" t="n">
        <f aca="false">IF(H1953&lt;=16,1.45,
IF(H1953&gt;=41,0.3,
CHOOSE(ROUNDDOWN((H1953-16)/2,0)+1,
1.45,1.38,1.3,1.23,1.17,1.15,1.12,1.05,0.95,0.8,0.6,0.4,0.3)))</f>
        <v>1.17</v>
      </c>
      <c r="T1953" s="5" t="n">
        <f aca="false">CHOOSE(N1953+1,1.2,1,0.85,0.7)</f>
        <v>1.2</v>
      </c>
      <c r="U1953" s="5" t="n">
        <f aca="false">IF(F1953="PO",0.6,
IF(F1953="CT",0.75,
IF(F1953="LI",0.8,
IF(F1953="LD",0.8,
IF(F1953="MCD",0.85,
IF(F1953="MC",0.95,
IF(F1953="MO",1.05,
IF(F1953="EI",1.1,
IF(F1953="ED",1.1,
IF(F1953="SD",1.15,
IF(F1953="DC",1.2,0)))))))))))</f>
        <v>0.8</v>
      </c>
    </row>
    <row r="1954" customFormat="false" ht="16.4" hidden="false" customHeight="false" outlineLevel="0" collapsed="false">
      <c r="A1954" s="1" t="n">
        <v>1953</v>
      </c>
      <c r="B1954" s="5" t="str">
        <f aca="false">[1]Base_Jugadores!B1954</f>
        <v>Justin Diehl</v>
      </c>
      <c r="C1954" s="5" t="str">
        <f aca="false">IFERROR(
   _xlfn.XLOOKUP(VALUE(A1954),[1]Fichajes_Realizados!A$2:A$50000,[1]Fichajes_Realizados!D$2:D$50000,,0,-1),
   _xlfn.XLOOKUP(VALUE(A1954),[1]Base_Jugadores!A$2:A$50000,[1]Base_Jugadores!C$2:C$50000)
)</f>
        <v>VfB Stuttgart</v>
      </c>
      <c r="D1954" s="5" t="str">
        <f aca="false">[1]Base_Jugadores!D1954</f>
        <v>Alemania</v>
      </c>
      <c r="E1954" s="3"/>
      <c r="F1954" s="5" t="str">
        <f aca="false">[1]Base_Jugadores!E1954</f>
        <v>EI</v>
      </c>
      <c r="G1954" s="5" t="n">
        <f aca="false">[1]Base_Jugadores!F1954</f>
        <v>69</v>
      </c>
      <c r="H1954" s="5" t="n">
        <f aca="false">[1]Base_Jugadores!G1954</f>
        <v>21</v>
      </c>
      <c r="I1954" s="7" t="n">
        <f aca="false" t="array" ref="I1954:I1954">_xlfn.XLOOKUP(G1954,{55;56;57;58;59;60;61;62;63;64;65;66;67;68;69;70;71;72;73;74;75;76;77;78;79;80;81;82;83;84;85;86;87;88;89;90;91;92;93;94;95;96;97;98;99},{100000;130000;160000;190000;220000;250000;300000;350000;400000;450000;500000;600000;700000;800000;900000;1000000;1500000;2000000;3000000;4000000;5000000;6500000;8000000;10000000;12500000;15000000;20000000;25000000;30000000;35000000;40000000;55000000;70000000;80000000;90000000;110000000;130000000;160000000;190000000;220000000;250000000;280000000;310000000;340000000;400000000})</f>
        <v>900000</v>
      </c>
      <c r="J1954" s="7" t="n">
        <f aca="false">I1954*S1954*T1954*U1954</f>
        <v>1544400</v>
      </c>
      <c r="K1954" s="3"/>
      <c r="L1954" s="3"/>
      <c r="M1954" s="3"/>
      <c r="N1954" s="9" t="n">
        <v>0</v>
      </c>
      <c r="O1954" s="4" t="n">
        <v>0</v>
      </c>
      <c r="P1954" s="5" t="n">
        <f aca="false">IF(COUNTIF([1]Base_Jugadores!J$2:J$500,B1954)&gt;0,1,0)</f>
        <v>0</v>
      </c>
      <c r="Q1954" s="10" t="b">
        <f aca="false">--(COUNTIFS(
   [1]Fichajes_Realizados!A$2:A$5000,A1954,
   [1]Fichajes_Realizados!G$2:G$5000,$X$3
)&gt;0)</f>
        <v>0</v>
      </c>
      <c r="R1954" s="5" t="n">
        <f aca="false">_xlfn.XLOOKUP(C1954, [1]Estado_Equipos!A$2:A$500, [1]Estado_Equipos!J$2:J$500, "")</f>
        <v>74</v>
      </c>
      <c r="S1954" s="5" t="n">
        <f aca="false">IF(H1954&lt;=16,1.45,
IF(H1954&gt;=41,0.3,
CHOOSE(ROUNDDOWN((H1954-16)/2,0)+1,
1.45,1.38,1.3,1.23,1.17,1.15,1.12,1.05,0.95,0.8,0.6,0.4,0.3)))</f>
        <v>1.3</v>
      </c>
      <c r="T1954" s="5" t="n">
        <f aca="false">CHOOSE(N1954+1,1.2,1,0.85,0.7)</f>
        <v>1.2</v>
      </c>
      <c r="U1954" s="5" t="n">
        <f aca="false">IF(F1954="PO",0.6,
IF(F1954="CT",0.75,
IF(F1954="LI",0.8,
IF(F1954="LD",0.8,
IF(F1954="MCD",0.85,
IF(F1954="MC",0.95,
IF(F1954="MO",1.05,
IF(F1954="EI",1.1,
IF(F1954="ED",1.1,
IF(F1954="SD",1.15,
IF(F1954="DC",1.2,0)))))))))))</f>
        <v>1.1</v>
      </c>
    </row>
    <row r="1955" customFormat="false" ht="16.4" hidden="false" customHeight="false" outlineLevel="0" collapsed="false">
      <c r="A1955" s="1" t="n">
        <v>1954</v>
      </c>
      <c r="B1955" s="5" t="str">
        <f aca="false">[1]Base_Jugadores!B1955</f>
        <v>Leonidas Stergiou</v>
      </c>
      <c r="C1955" s="5" t="str">
        <f aca="false">IFERROR(
   _xlfn.XLOOKUP(VALUE(A1955),[1]Fichajes_Realizados!A$2:A$50000,[1]Fichajes_Realizados!D$2:D$50000,,0,-1),
   _xlfn.XLOOKUP(VALUE(A1955),[1]Base_Jugadores!A$2:A$50000,[1]Base_Jugadores!C$2:C$50000)
)</f>
        <v>VfB Stuttgart</v>
      </c>
      <c r="D1955" s="5" t="str">
        <f aca="false">[1]Base_Jugadores!D1955</f>
        <v>Suiza</v>
      </c>
      <c r="E1955" s="3"/>
      <c r="F1955" s="5" t="str">
        <f aca="false">[1]Base_Jugadores!E1955</f>
        <v>LD</v>
      </c>
      <c r="G1955" s="5" t="n">
        <f aca="false">[1]Base_Jugadores!F1955</f>
        <v>74</v>
      </c>
      <c r="H1955" s="5" t="n">
        <f aca="false">[1]Base_Jugadores!G1955</f>
        <v>23</v>
      </c>
      <c r="I1955" s="7" t="n">
        <f aca="false" t="array" ref="I1955:I1955">_xlfn.XLOOKUP(G1955,{55;56;57;58;59;60;61;62;63;64;65;66;67;68;69;70;71;72;73;74;75;76;77;78;79;80;81;82;83;84;85;86;87;88;89;90;91;92;93;94;95;96;97;98;99},{100000;130000;160000;190000;220000;250000;300000;350000;400000;450000;500000;600000;700000;800000;900000;1000000;1500000;2000000;3000000;4000000;5000000;6500000;8000000;10000000;12500000;15000000;20000000;25000000;30000000;35000000;40000000;55000000;70000000;80000000;90000000;110000000;130000000;160000000;190000000;220000000;250000000;280000000;310000000;340000000;400000000})</f>
        <v>4000000</v>
      </c>
      <c r="J1955" s="7" t="n">
        <f aca="false">I1955*S1955*T1955*U1955</f>
        <v>4723200</v>
      </c>
      <c r="K1955" s="3"/>
      <c r="L1955" s="3"/>
      <c r="M1955" s="3"/>
      <c r="N1955" s="9" t="n">
        <v>0</v>
      </c>
      <c r="O1955" s="4" t="n">
        <v>0</v>
      </c>
      <c r="P1955" s="5" t="n">
        <f aca="false">IF(COUNTIF([1]Base_Jugadores!J$2:J$500,B1955)&gt;0,1,0)</f>
        <v>0</v>
      </c>
      <c r="Q1955" s="10" t="b">
        <f aca="false">--(COUNTIFS(
   [1]Fichajes_Realizados!A$2:A$5000,A1955,
   [1]Fichajes_Realizados!G$2:G$5000,$X$3
)&gt;0)</f>
        <v>0</v>
      </c>
      <c r="R1955" s="5" t="n">
        <f aca="false">_xlfn.XLOOKUP(C1955, [1]Estado_Equipos!A$2:A$500, [1]Estado_Equipos!J$2:J$500, "")</f>
        <v>74</v>
      </c>
      <c r="S1955" s="5" t="n">
        <f aca="false">IF(H1955&lt;=16,1.45,
IF(H1955&gt;=41,0.3,
CHOOSE(ROUNDDOWN((H1955-16)/2,0)+1,
1.45,1.38,1.3,1.23,1.17,1.15,1.12,1.05,0.95,0.8,0.6,0.4,0.3)))</f>
        <v>1.23</v>
      </c>
      <c r="T1955" s="5" t="n">
        <f aca="false">CHOOSE(N1955+1,1.2,1,0.85,0.7)</f>
        <v>1.2</v>
      </c>
      <c r="U1955" s="5" t="n">
        <f aca="false">IF(F1955="PO",0.6,
IF(F1955="CT",0.75,
IF(F1955="LI",0.8,
IF(F1955="LD",0.8,
IF(F1955="MCD",0.85,
IF(F1955="MC",0.95,
IF(F1955="MO",1.05,
IF(F1955="EI",1.1,
IF(F1955="ED",1.1,
IF(F1955="SD",1.15,
IF(F1955="DC",1.2,0)))))))))))</f>
        <v>0.8</v>
      </c>
    </row>
    <row r="1956" customFormat="false" ht="16.4" hidden="false" customHeight="false" outlineLevel="0" collapsed="false">
      <c r="A1956" s="1" t="n">
        <v>1955</v>
      </c>
      <c r="B1956" s="5" t="str">
        <f aca="false">[1]Base_Jugadores!B1956</f>
        <v>Lorenz Assignon</v>
      </c>
      <c r="C1956" s="5" t="str">
        <f aca="false">IFERROR(
   _xlfn.XLOOKUP(VALUE(A1956),[1]Fichajes_Realizados!A$2:A$50000,[1]Fichajes_Realizados!D$2:D$50000,,0,-1),
   _xlfn.XLOOKUP(VALUE(A1956),[1]Base_Jugadores!A$2:A$50000,[1]Base_Jugadores!C$2:C$50000)
)</f>
        <v>VfB Stuttgart</v>
      </c>
      <c r="D1956" s="5" t="str">
        <f aca="false">[1]Base_Jugadores!D1956</f>
        <v>Francia</v>
      </c>
      <c r="E1956" s="3"/>
      <c r="F1956" s="5" t="str">
        <f aca="false">[1]Base_Jugadores!E1956</f>
        <v>LD</v>
      </c>
      <c r="G1956" s="5" t="n">
        <f aca="false">[1]Base_Jugadores!F1956</f>
        <v>74</v>
      </c>
      <c r="H1956" s="5" t="n">
        <f aca="false">[1]Base_Jugadores!G1956</f>
        <v>25</v>
      </c>
      <c r="I1956" s="7" t="n">
        <f aca="false" t="array" ref="I1956:I1956">_xlfn.XLOOKUP(G1956,{55;56;57;58;59;60;61;62;63;64;65;66;67;68;69;70;71;72;73;74;75;76;77;78;79;80;81;82;83;84;85;86;87;88;89;90;91;92;93;94;95;96;97;98;99},{100000;130000;160000;190000;220000;250000;300000;350000;400000;450000;500000;600000;700000;800000;900000;1000000;1500000;2000000;3000000;4000000;5000000;6500000;8000000;10000000;12500000;15000000;20000000;25000000;30000000;35000000;40000000;55000000;70000000;80000000;90000000;110000000;130000000;160000000;190000000;220000000;250000000;280000000;310000000;340000000;400000000})</f>
        <v>4000000</v>
      </c>
      <c r="J1956" s="7" t="n">
        <f aca="false">I1956*S1956*T1956*U1956</f>
        <v>4492800</v>
      </c>
      <c r="K1956" s="3"/>
      <c r="L1956" s="3"/>
      <c r="M1956" s="3"/>
      <c r="N1956" s="9" t="n">
        <v>0</v>
      </c>
      <c r="O1956" s="4" t="n">
        <v>0</v>
      </c>
      <c r="P1956" s="5" t="n">
        <f aca="false">IF(COUNTIF([1]Base_Jugadores!J$2:J$500,B1956)&gt;0,1,0)</f>
        <v>0</v>
      </c>
      <c r="Q1956" s="10" t="b">
        <f aca="false">--(COUNTIFS(
   [1]Fichajes_Realizados!A$2:A$5000,A1956,
   [1]Fichajes_Realizados!G$2:G$5000,$X$3
)&gt;0)</f>
        <v>0</v>
      </c>
      <c r="R1956" s="5" t="n">
        <f aca="false">_xlfn.XLOOKUP(C1956, [1]Estado_Equipos!A$2:A$500, [1]Estado_Equipos!J$2:J$500, "")</f>
        <v>74</v>
      </c>
      <c r="S1956" s="5" t="n">
        <f aca="false">IF(H1956&lt;=16,1.45,
IF(H1956&gt;=41,0.3,
CHOOSE(ROUNDDOWN((H1956-16)/2,0)+1,
1.45,1.38,1.3,1.23,1.17,1.15,1.12,1.05,0.95,0.8,0.6,0.4,0.3)))</f>
        <v>1.17</v>
      </c>
      <c r="T1956" s="5" t="n">
        <f aca="false">CHOOSE(N1956+1,1.2,1,0.85,0.7)</f>
        <v>1.2</v>
      </c>
      <c r="U1956" s="5" t="n">
        <f aca="false">IF(F1956="PO",0.6,
IF(F1956="CT",0.75,
IF(F1956="LI",0.8,
IF(F1956="LD",0.8,
IF(F1956="MCD",0.85,
IF(F1956="MC",0.95,
IF(F1956="MO",1.05,
IF(F1956="EI",1.1,
IF(F1956="ED",1.1,
IF(F1956="SD",1.15,
IF(F1956="DC",1.2,0)))))))))))</f>
        <v>0.8</v>
      </c>
    </row>
    <row r="1957" customFormat="false" ht="16.4" hidden="false" customHeight="false" outlineLevel="0" collapsed="false">
      <c r="A1957" s="1" t="n">
        <v>1956</v>
      </c>
      <c r="B1957" s="5" t="str">
        <f aca="false">[1]Base_Jugadores!B1957</f>
        <v>Luca Jaquez</v>
      </c>
      <c r="C1957" s="5" t="str">
        <f aca="false">IFERROR(
   _xlfn.XLOOKUP(VALUE(A1957),[1]Fichajes_Realizados!A$2:A$50000,[1]Fichajes_Realizados!D$2:D$50000,,0,-1),
   _xlfn.XLOOKUP(VALUE(A1957),[1]Base_Jugadores!A$2:A$50000,[1]Base_Jugadores!C$2:C$50000)
)</f>
        <v>VfB Stuttgart</v>
      </c>
      <c r="D1957" s="5" t="str">
        <f aca="false">[1]Base_Jugadores!D1957</f>
        <v>Suiza</v>
      </c>
      <c r="E1957" s="3"/>
      <c r="F1957" s="5" t="str">
        <f aca="false">[1]Base_Jugadores!E1957</f>
        <v>CT</v>
      </c>
      <c r="G1957" s="5" t="n">
        <f aca="false">[1]Base_Jugadores!F1957</f>
        <v>68</v>
      </c>
      <c r="H1957" s="5" t="n">
        <f aca="false">[1]Base_Jugadores!G1957</f>
        <v>22</v>
      </c>
      <c r="I1957" s="7" t="n">
        <f aca="false" t="array" ref="I1957:I1957">_xlfn.XLOOKUP(G1957,{55;56;57;58;59;60;61;62;63;64;65;66;67;68;69;70;71;72;73;74;75;76;77;78;79;80;81;82;83;84;85;86;87;88;89;90;91;92;93;94;95;96;97;98;99},{100000;130000;160000;190000;220000;250000;300000;350000;400000;450000;500000;600000;700000;800000;900000;1000000;1500000;2000000;3000000;4000000;5000000;6500000;8000000;10000000;12500000;15000000;20000000;25000000;30000000;35000000;40000000;55000000;70000000;80000000;90000000;110000000;130000000;160000000;190000000;220000000;250000000;280000000;310000000;340000000;400000000})</f>
        <v>800000</v>
      </c>
      <c r="J1957" s="7" t="n">
        <f aca="false">I1957*S1957*T1957*U1957</f>
        <v>885600</v>
      </c>
      <c r="K1957" s="3"/>
      <c r="L1957" s="3"/>
      <c r="M1957" s="3"/>
      <c r="N1957" s="9" t="n">
        <v>0</v>
      </c>
      <c r="O1957" s="4" t="n">
        <v>0</v>
      </c>
      <c r="P1957" s="5" t="n">
        <f aca="false">IF(COUNTIF([1]Base_Jugadores!J$2:J$500,B1957)&gt;0,1,0)</f>
        <v>0</v>
      </c>
      <c r="Q1957" s="10" t="b">
        <f aca="false">--(COUNTIFS(
   [1]Fichajes_Realizados!A$2:A$5000,A1957,
   [1]Fichajes_Realizados!G$2:G$5000,$X$3
)&gt;0)</f>
        <v>0</v>
      </c>
      <c r="R1957" s="5" t="n">
        <f aca="false">_xlfn.XLOOKUP(C1957, [1]Estado_Equipos!A$2:A$500, [1]Estado_Equipos!J$2:J$500, "")</f>
        <v>74</v>
      </c>
      <c r="S1957" s="5" t="n">
        <f aca="false">IF(H1957&lt;=16,1.45,
IF(H1957&gt;=41,0.3,
CHOOSE(ROUNDDOWN((H1957-16)/2,0)+1,
1.45,1.38,1.3,1.23,1.17,1.15,1.12,1.05,0.95,0.8,0.6,0.4,0.3)))</f>
        <v>1.23</v>
      </c>
      <c r="T1957" s="5" t="n">
        <f aca="false">CHOOSE(N1957+1,1.2,1,0.85,0.7)</f>
        <v>1.2</v>
      </c>
      <c r="U1957" s="5" t="n">
        <f aca="false">IF(F1957="PO",0.6,
IF(F1957="CT",0.75,
IF(F1957="LI",0.8,
IF(F1957="LD",0.8,
IF(F1957="MCD",0.85,
IF(F1957="MC",0.95,
IF(F1957="MO",1.05,
IF(F1957="EI",1.1,
IF(F1957="ED",1.1,
IF(F1957="SD",1.15,
IF(F1957="DC",1.2,0)))))))))))</f>
        <v>0.75</v>
      </c>
    </row>
    <row r="1958" customFormat="false" ht="16.4" hidden="false" customHeight="false" outlineLevel="0" collapsed="false">
      <c r="A1958" s="1" t="n">
        <v>1957</v>
      </c>
      <c r="B1958" s="5" t="str">
        <f aca="false">[1]Base_Jugadores!B1958</f>
        <v>M. Mittelstädt</v>
      </c>
      <c r="C1958" s="5" t="str">
        <f aca="false">IFERROR(
   _xlfn.XLOOKUP(VALUE(A1958),[1]Fichajes_Realizados!A$2:A$50000,[1]Fichajes_Realizados!D$2:D$50000,,0,-1),
   _xlfn.XLOOKUP(VALUE(A1958),[1]Base_Jugadores!A$2:A$50000,[1]Base_Jugadores!C$2:C$50000)
)</f>
        <v>VfB Stuttgart</v>
      </c>
      <c r="D1958" s="5" t="str">
        <f aca="false">[1]Base_Jugadores!D1958</f>
        <v>Alemania</v>
      </c>
      <c r="E1958" s="3"/>
      <c r="F1958" s="5" t="str">
        <f aca="false">[1]Base_Jugadores!E1958</f>
        <v>LI</v>
      </c>
      <c r="G1958" s="5" t="n">
        <f aca="false">[1]Base_Jugadores!F1958</f>
        <v>79</v>
      </c>
      <c r="H1958" s="5" t="n">
        <f aca="false">[1]Base_Jugadores!G1958</f>
        <v>28</v>
      </c>
      <c r="I1958" s="7" t="n">
        <f aca="false" t="array" ref="I1958:I1958">_xlfn.XLOOKUP(G1958,{55;56;57;58;59;60;61;62;63;64;65;66;67;68;69;70;71;72;73;74;75;76;77;78;79;80;81;82;83;84;85;86;87;88;89;90;91;92;93;94;95;96;97;98;99},{100000;130000;160000;190000;220000;250000;300000;350000;400000;450000;500000;600000;700000;800000;900000;1000000;1500000;2000000;3000000;4000000;5000000;6500000;8000000;10000000;12500000;15000000;20000000;25000000;30000000;35000000;40000000;55000000;70000000;80000000;90000000;110000000;130000000;160000000;190000000;220000000;250000000;280000000;310000000;340000000;400000000})</f>
        <v>12500000</v>
      </c>
      <c r="J1958" s="7" t="n">
        <f aca="false">I1958*S1958*T1958*U1958</f>
        <v>13440000</v>
      </c>
      <c r="K1958" s="3"/>
      <c r="L1958" s="3"/>
      <c r="M1958" s="3"/>
      <c r="N1958" s="9" t="n">
        <v>0</v>
      </c>
      <c r="O1958" s="4" t="n">
        <v>0</v>
      </c>
      <c r="P1958" s="5" t="n">
        <f aca="false">IF(COUNTIF([1]Base_Jugadores!J$2:J$500,B1958)&gt;0,1,0)</f>
        <v>0</v>
      </c>
      <c r="Q1958" s="10" t="b">
        <f aca="false">--(COUNTIFS(
   [1]Fichajes_Realizados!A$2:A$5000,A1958,
   [1]Fichajes_Realizados!G$2:G$5000,$X$3
)&gt;0)</f>
        <v>0</v>
      </c>
      <c r="R1958" s="5" t="n">
        <f aca="false">_xlfn.XLOOKUP(C1958, [1]Estado_Equipos!A$2:A$500, [1]Estado_Equipos!J$2:J$500, "")</f>
        <v>74</v>
      </c>
      <c r="S1958" s="5" t="n">
        <f aca="false">IF(H1958&lt;=16,1.45,
IF(H1958&gt;=41,0.3,
CHOOSE(ROUNDDOWN((H1958-16)/2,0)+1,
1.45,1.38,1.3,1.23,1.17,1.15,1.12,1.05,0.95,0.8,0.6,0.4,0.3)))</f>
        <v>1.12</v>
      </c>
      <c r="T1958" s="5" t="n">
        <f aca="false">CHOOSE(N1958+1,1.2,1,0.85,0.7)</f>
        <v>1.2</v>
      </c>
      <c r="U1958" s="5" t="n">
        <f aca="false">IF(F1958="PO",0.6,
IF(F1958="CT",0.75,
IF(F1958="LI",0.8,
IF(F1958="LD",0.8,
IF(F1958="MCD",0.85,
IF(F1958="MC",0.95,
IF(F1958="MO",1.05,
IF(F1958="EI",1.1,
IF(F1958="ED",1.1,
IF(F1958="SD",1.15,
IF(F1958="DC",1.2,0)))))))))))</f>
        <v>0.8</v>
      </c>
    </row>
    <row r="1959" customFormat="false" ht="16.4" hidden="false" customHeight="false" outlineLevel="0" collapsed="false">
      <c r="A1959" s="1" t="n">
        <v>1958</v>
      </c>
      <c r="B1959" s="5" t="str">
        <f aca="false">[1]Base_Jugadores!B1959</f>
        <v>Nikolas Nartey</v>
      </c>
      <c r="C1959" s="5" t="str">
        <f aca="false">IFERROR(
   _xlfn.XLOOKUP(VALUE(A1959),[1]Fichajes_Realizados!A$2:A$50000,[1]Fichajes_Realizados!D$2:D$50000,,0,-1),
   _xlfn.XLOOKUP(VALUE(A1959),[1]Base_Jugadores!A$2:A$50000,[1]Base_Jugadores!C$2:C$50000)
)</f>
        <v>VfB Stuttgart</v>
      </c>
      <c r="D1959" s="5" t="str">
        <f aca="false">[1]Base_Jugadores!D1959</f>
        <v>Dinamarca</v>
      </c>
      <c r="E1959" s="3"/>
      <c r="F1959" s="5" t="str">
        <f aca="false">[1]Base_Jugadores!E1959</f>
        <v>MC</v>
      </c>
      <c r="G1959" s="5" t="n">
        <f aca="false">[1]Base_Jugadores!F1959</f>
        <v>68</v>
      </c>
      <c r="H1959" s="5" t="n">
        <f aca="false">[1]Base_Jugadores!G1959</f>
        <v>25</v>
      </c>
      <c r="I1959" s="7" t="n">
        <f aca="false" t="array" ref="I1959:I1959">_xlfn.XLOOKUP(G1959,{55;56;57;58;59;60;61;62;63;64;65;66;67;68;69;70;71;72;73;74;75;76;77;78;79;80;81;82;83;84;85;86;87;88;89;90;91;92;93;94;95;96;97;98;99},{100000;130000;160000;190000;220000;250000;300000;350000;400000;450000;500000;600000;700000;800000;900000;1000000;1500000;2000000;3000000;4000000;5000000;6500000;8000000;10000000;12500000;15000000;20000000;25000000;30000000;35000000;40000000;55000000;70000000;80000000;90000000;110000000;130000000;160000000;190000000;220000000;250000000;280000000;310000000;340000000;400000000})</f>
        <v>800000</v>
      </c>
      <c r="J1959" s="7" t="n">
        <f aca="false">I1959*S1959*T1959*U1959</f>
        <v>1067040</v>
      </c>
      <c r="K1959" s="3"/>
      <c r="L1959" s="3"/>
      <c r="M1959" s="3"/>
      <c r="N1959" s="9" t="n">
        <v>0</v>
      </c>
      <c r="O1959" s="4" t="n">
        <v>0</v>
      </c>
      <c r="P1959" s="5" t="n">
        <f aca="false">IF(COUNTIF([1]Base_Jugadores!J$2:J$500,B1959)&gt;0,1,0)</f>
        <v>0</v>
      </c>
      <c r="Q1959" s="10" t="b">
        <f aca="false">--(COUNTIFS(
   [1]Fichajes_Realizados!A$2:A$5000,A1959,
   [1]Fichajes_Realizados!G$2:G$5000,$X$3
)&gt;0)</f>
        <v>0</v>
      </c>
      <c r="R1959" s="5" t="n">
        <f aca="false">_xlfn.XLOOKUP(C1959, [1]Estado_Equipos!A$2:A$500, [1]Estado_Equipos!J$2:J$500, "")</f>
        <v>74</v>
      </c>
      <c r="S1959" s="5" t="n">
        <f aca="false">IF(H1959&lt;=16,1.45,
IF(H1959&gt;=41,0.3,
CHOOSE(ROUNDDOWN((H1959-16)/2,0)+1,
1.45,1.38,1.3,1.23,1.17,1.15,1.12,1.05,0.95,0.8,0.6,0.4,0.3)))</f>
        <v>1.17</v>
      </c>
      <c r="T1959" s="5" t="n">
        <f aca="false">CHOOSE(N1959+1,1.2,1,0.85,0.7)</f>
        <v>1.2</v>
      </c>
      <c r="U1959" s="5" t="n">
        <f aca="false">IF(F1959="PO",0.6,
IF(F1959="CT",0.75,
IF(F1959="LI",0.8,
IF(F1959="LD",0.8,
IF(F1959="MCD",0.85,
IF(F1959="MC",0.95,
IF(F1959="MO",1.05,
IF(F1959="EI",1.1,
IF(F1959="ED",1.1,
IF(F1959="SD",1.15,
IF(F1959="DC",1.2,0)))))))))))</f>
        <v>0.95</v>
      </c>
    </row>
    <row r="1960" customFormat="false" ht="16.4" hidden="false" customHeight="false" outlineLevel="0" collapsed="false">
      <c r="A1960" s="1" t="n">
        <v>1959</v>
      </c>
      <c r="B1960" s="5" t="str">
        <f aca="false">[1]Base_Jugadores!B1960</f>
        <v>Pascal Stenzel</v>
      </c>
      <c r="C1960" s="5" t="str">
        <f aca="false">IFERROR(
   _xlfn.XLOOKUP(VALUE(A1960),[1]Fichajes_Realizados!A$2:A$50000,[1]Fichajes_Realizados!D$2:D$50000,,0,-1),
   _xlfn.XLOOKUP(VALUE(A1960),[1]Base_Jugadores!A$2:A$50000,[1]Base_Jugadores!C$2:C$50000)
)</f>
        <v>VfB Stuttgart</v>
      </c>
      <c r="D1960" s="5" t="str">
        <f aca="false">[1]Base_Jugadores!D1960</f>
        <v>Alemania</v>
      </c>
      <c r="E1960" s="3"/>
      <c r="F1960" s="5" t="str">
        <f aca="false">[1]Base_Jugadores!E1960</f>
        <v>LD</v>
      </c>
      <c r="G1960" s="5" t="n">
        <f aca="false">[1]Base_Jugadores!F1960</f>
        <v>71</v>
      </c>
      <c r="H1960" s="5" t="n">
        <f aca="false">[1]Base_Jugadores!G1960</f>
        <v>29</v>
      </c>
      <c r="I1960" s="7" t="n">
        <f aca="false" t="array" ref="I1960:I1960">_xlfn.XLOOKUP(G1960,{55;56;57;58;59;60;61;62;63;64;65;66;67;68;69;70;71;72;73;74;75;76;77;78;79;80;81;82;83;84;85;86;87;88;89;90;91;92;93;94;95;96;97;98;99},{100000;130000;160000;190000;220000;250000;300000;350000;400000;450000;500000;600000;700000;800000;900000;1000000;1500000;2000000;3000000;4000000;5000000;6500000;8000000;10000000;12500000;15000000;20000000;25000000;30000000;35000000;40000000;55000000;70000000;80000000;90000000;110000000;130000000;160000000;190000000;220000000;250000000;280000000;310000000;340000000;400000000})</f>
        <v>1500000</v>
      </c>
      <c r="J1960" s="7" t="n">
        <f aca="false">I1960*S1960*T1960*U1960</f>
        <v>1612800</v>
      </c>
      <c r="K1960" s="3"/>
      <c r="L1960" s="3"/>
      <c r="M1960" s="3"/>
      <c r="N1960" s="9" t="n">
        <v>0</v>
      </c>
      <c r="O1960" s="4" t="n">
        <v>0</v>
      </c>
      <c r="P1960" s="5" t="n">
        <f aca="false">IF(COUNTIF([1]Base_Jugadores!J$2:J$500,B1960)&gt;0,1,0)</f>
        <v>0</v>
      </c>
      <c r="Q1960" s="10" t="b">
        <f aca="false">--(COUNTIFS(
   [1]Fichajes_Realizados!A$2:A$5000,A1960,
   [1]Fichajes_Realizados!G$2:G$5000,$X$3
)&gt;0)</f>
        <v>0</v>
      </c>
      <c r="R1960" s="5" t="n">
        <f aca="false">_xlfn.XLOOKUP(C1960, [1]Estado_Equipos!A$2:A$500, [1]Estado_Equipos!J$2:J$500, "")</f>
        <v>74</v>
      </c>
      <c r="S1960" s="5" t="n">
        <f aca="false">IF(H1960&lt;=16,1.45,
IF(H1960&gt;=41,0.3,
CHOOSE(ROUNDDOWN((H1960-16)/2,0)+1,
1.45,1.38,1.3,1.23,1.17,1.15,1.12,1.05,0.95,0.8,0.6,0.4,0.3)))</f>
        <v>1.12</v>
      </c>
      <c r="T1960" s="5" t="n">
        <f aca="false">CHOOSE(N1960+1,1.2,1,0.85,0.7)</f>
        <v>1.2</v>
      </c>
      <c r="U1960" s="5" t="n">
        <f aca="false">IF(F1960="PO",0.6,
IF(F1960="CT",0.75,
IF(F1960="LI",0.8,
IF(F1960="LD",0.8,
IF(F1960="MCD",0.85,
IF(F1960="MC",0.95,
IF(F1960="MO",1.05,
IF(F1960="EI",1.1,
IF(F1960="ED",1.1,
IF(F1960="SD",1.15,
IF(F1960="DC",1.2,0)))))))))))</f>
        <v>0.8</v>
      </c>
    </row>
    <row r="1961" customFormat="false" ht="16.4" hidden="false" customHeight="false" outlineLevel="0" collapsed="false">
      <c r="A1961" s="1" t="n">
        <v>1960</v>
      </c>
      <c r="B1961" s="5" t="str">
        <f aca="false">[1]Base_Jugadores!B1961</f>
        <v>Ramon Hendriks</v>
      </c>
      <c r="C1961" s="5" t="str">
        <f aca="false">IFERROR(
   _xlfn.XLOOKUP(VALUE(A1961),[1]Fichajes_Realizados!A$2:A$50000,[1]Fichajes_Realizados!D$2:D$50000,,0,-1),
   _xlfn.XLOOKUP(VALUE(A1961),[1]Base_Jugadores!A$2:A$50000,[1]Base_Jugadores!C$2:C$50000)
)</f>
        <v>VfB Stuttgart</v>
      </c>
      <c r="D1961" s="5" t="str">
        <f aca="false">[1]Base_Jugadores!D1961</f>
        <v>Países Bajos</v>
      </c>
      <c r="E1961" s="3"/>
      <c r="F1961" s="5" t="str">
        <f aca="false">[1]Base_Jugadores!E1961</f>
        <v>CT</v>
      </c>
      <c r="G1961" s="5" t="n">
        <f aca="false">[1]Base_Jugadores!F1961</f>
        <v>67</v>
      </c>
      <c r="H1961" s="5" t="n">
        <f aca="false">[1]Base_Jugadores!G1961</f>
        <v>24</v>
      </c>
      <c r="I1961" s="7" t="n">
        <f aca="false" t="array" ref="I1961:I1961">_xlfn.XLOOKUP(G1961,{55;56;57;58;59;60;61;62;63;64;65;66;67;68;69;70;71;72;73;74;75;76;77;78;79;80;81;82;83;84;85;86;87;88;89;90;91;92;93;94;95;96;97;98;99},{100000;130000;160000;190000;220000;250000;300000;350000;400000;450000;500000;600000;700000;800000;900000;1000000;1500000;2000000;3000000;4000000;5000000;6500000;8000000;10000000;12500000;15000000;20000000;25000000;30000000;35000000;40000000;55000000;70000000;80000000;90000000;110000000;130000000;160000000;190000000;220000000;250000000;280000000;310000000;340000000;400000000})</f>
        <v>700000</v>
      </c>
      <c r="J1961" s="7" t="n">
        <f aca="false">I1961*S1961*T1961*U1961</f>
        <v>737100</v>
      </c>
      <c r="K1961" s="3"/>
      <c r="L1961" s="3"/>
      <c r="M1961" s="3"/>
      <c r="N1961" s="9" t="n">
        <v>0</v>
      </c>
      <c r="O1961" s="4" t="n">
        <v>0</v>
      </c>
      <c r="P1961" s="5" t="n">
        <f aca="false">IF(COUNTIF([1]Base_Jugadores!J$2:J$500,B1961)&gt;0,1,0)</f>
        <v>0</v>
      </c>
      <c r="Q1961" s="10" t="b">
        <f aca="false">--(COUNTIFS(
   [1]Fichajes_Realizados!A$2:A$5000,A1961,
   [1]Fichajes_Realizados!G$2:G$5000,$X$3
)&gt;0)</f>
        <v>0</v>
      </c>
      <c r="R1961" s="5" t="n">
        <f aca="false">_xlfn.XLOOKUP(C1961, [1]Estado_Equipos!A$2:A$500, [1]Estado_Equipos!J$2:J$500, "")</f>
        <v>74</v>
      </c>
      <c r="S1961" s="5" t="n">
        <f aca="false">IF(H1961&lt;=16,1.45,
IF(H1961&gt;=41,0.3,
CHOOSE(ROUNDDOWN((H1961-16)/2,0)+1,
1.45,1.38,1.3,1.23,1.17,1.15,1.12,1.05,0.95,0.8,0.6,0.4,0.3)))</f>
        <v>1.17</v>
      </c>
      <c r="T1961" s="5" t="n">
        <f aca="false">CHOOSE(N1961+1,1.2,1,0.85,0.7)</f>
        <v>1.2</v>
      </c>
      <c r="U1961" s="5" t="n">
        <f aca="false">IF(F1961="PO",0.6,
IF(F1961="CT",0.75,
IF(F1961="LI",0.8,
IF(F1961="LD",0.8,
IF(F1961="MCD",0.85,
IF(F1961="MC",0.95,
IF(F1961="MO",1.05,
IF(F1961="EI",1.1,
IF(F1961="ED",1.1,
IF(F1961="SD",1.15,
IF(F1961="DC",1.2,0)))))))))))</f>
        <v>0.75</v>
      </c>
    </row>
    <row r="1962" customFormat="false" ht="16.4" hidden="false" customHeight="false" outlineLevel="0" collapsed="false">
      <c r="A1962" s="1" t="n">
        <v>1961</v>
      </c>
      <c r="B1962" s="5" t="str">
        <f aca="false">[1]Base_Jugadores!B1962</f>
        <v>Silas Katompa</v>
      </c>
      <c r="C1962" s="5" t="str">
        <f aca="false">IFERROR(
   _xlfn.XLOOKUP(VALUE(A1962),[1]Fichajes_Realizados!A$2:A$50000,[1]Fichajes_Realizados!D$2:D$50000,,0,-1),
   _xlfn.XLOOKUP(VALUE(A1962),[1]Base_Jugadores!A$2:A$50000,[1]Base_Jugadores!C$2:C$50000)
)</f>
        <v>VfB Stuttgart</v>
      </c>
      <c r="D1962" s="5" t="str">
        <f aca="false">[1]Base_Jugadores!D1962</f>
        <v>RD del Congo</v>
      </c>
      <c r="E1962" s="3"/>
      <c r="F1962" s="5" t="str">
        <f aca="false">[1]Base_Jugadores!E1962</f>
        <v>ED</v>
      </c>
      <c r="G1962" s="5" t="n">
        <f aca="false">[1]Base_Jugadores!F1962</f>
        <v>75</v>
      </c>
      <c r="H1962" s="5" t="n">
        <f aca="false">[1]Base_Jugadores!G1962</f>
        <v>27</v>
      </c>
      <c r="I1962" s="7" t="n">
        <f aca="false" t="array" ref="I1962:I1962">_xlfn.XLOOKUP(G1962,{55;56;57;58;59;60;61;62;63;64;65;66;67;68;69;70;71;72;73;74;75;76;77;78;79;80;81;82;83;84;85;86;87;88;89;90;91;92;93;94;95;96;97;98;99},{100000;130000;160000;190000;220000;250000;300000;350000;400000;450000;500000;600000;700000;800000;900000;1000000;1500000;2000000;3000000;4000000;5000000;6500000;8000000;10000000;12500000;15000000;20000000;25000000;30000000;35000000;40000000;55000000;70000000;80000000;90000000;110000000;130000000;160000000;190000000;220000000;250000000;280000000;310000000;340000000;400000000})</f>
        <v>5000000</v>
      </c>
      <c r="J1962" s="7" t="n">
        <f aca="false">I1962*S1962*T1962*U1962</f>
        <v>7590000</v>
      </c>
      <c r="K1962" s="3"/>
      <c r="L1962" s="3"/>
      <c r="M1962" s="3"/>
      <c r="N1962" s="9" t="n">
        <v>0</v>
      </c>
      <c r="O1962" s="4" t="n">
        <v>0</v>
      </c>
      <c r="P1962" s="5" t="n">
        <f aca="false">IF(COUNTIF([1]Base_Jugadores!J$2:J$500,B1962)&gt;0,1,0)</f>
        <v>0</v>
      </c>
      <c r="Q1962" s="10" t="b">
        <f aca="false">--(COUNTIFS(
   [1]Fichajes_Realizados!A$2:A$5000,A1962,
   [1]Fichajes_Realizados!G$2:G$5000,$X$3
)&gt;0)</f>
        <v>0</v>
      </c>
      <c r="R1962" s="5" t="n">
        <f aca="false">_xlfn.XLOOKUP(C1962, [1]Estado_Equipos!A$2:A$500, [1]Estado_Equipos!J$2:J$500, "")</f>
        <v>74</v>
      </c>
      <c r="S1962" s="5" t="n">
        <f aca="false">IF(H1962&lt;=16,1.45,
IF(H1962&gt;=41,0.3,
CHOOSE(ROUNDDOWN((H1962-16)/2,0)+1,
1.45,1.38,1.3,1.23,1.17,1.15,1.12,1.05,0.95,0.8,0.6,0.4,0.3)))</f>
        <v>1.15</v>
      </c>
      <c r="T1962" s="5" t="n">
        <f aca="false">CHOOSE(N1962+1,1.2,1,0.85,0.7)</f>
        <v>1.2</v>
      </c>
      <c r="U1962" s="5" t="n">
        <f aca="false">IF(F1962="PO",0.6,
IF(F1962="CT",0.75,
IF(F1962="LI",0.8,
IF(F1962="LD",0.8,
IF(F1962="MCD",0.85,
IF(F1962="MC",0.95,
IF(F1962="MO",1.05,
IF(F1962="EI",1.1,
IF(F1962="ED",1.1,
IF(F1962="SD",1.15,
IF(F1962="DC",1.2,0)))))))))))</f>
        <v>1.1</v>
      </c>
    </row>
    <row r="1963" customFormat="false" ht="16.4" hidden="false" customHeight="false" outlineLevel="0" collapsed="false">
      <c r="A1963" s="1" t="n">
        <v>1962</v>
      </c>
      <c r="B1963" s="5" t="str">
        <f aca="false">[1]Base_Jugadores!B1963</f>
        <v>Stefan Drljaca</v>
      </c>
      <c r="C1963" s="5" t="str">
        <f aca="false">IFERROR(
   _xlfn.XLOOKUP(VALUE(A1963),[1]Fichajes_Realizados!A$2:A$50000,[1]Fichajes_Realizados!D$2:D$50000,,0,-1),
   _xlfn.XLOOKUP(VALUE(A1963),[1]Base_Jugadores!A$2:A$50000,[1]Base_Jugadores!C$2:C$50000)
)</f>
        <v>VfB Stuttgart</v>
      </c>
      <c r="D1963" s="5" t="str">
        <f aca="false">[1]Base_Jugadores!D1963</f>
        <v>Alemania</v>
      </c>
      <c r="E1963" s="3"/>
      <c r="F1963" s="5" t="str">
        <f aca="false">[1]Base_Jugadores!E1963</f>
        <v>PO</v>
      </c>
      <c r="G1963" s="5" t="n">
        <f aca="false">[1]Base_Jugadores!F1963</f>
        <v>66</v>
      </c>
      <c r="H1963" s="5" t="n">
        <f aca="false">[1]Base_Jugadores!G1963</f>
        <v>26</v>
      </c>
      <c r="I1963" s="7" t="n">
        <f aca="false" t="array" ref="I1963:I1963">_xlfn.XLOOKUP(G1963,{55;56;57;58;59;60;61;62;63;64;65;66;67;68;69;70;71;72;73;74;75;76;77;78;79;80;81;82;83;84;85;86;87;88;89;90;91;92;93;94;95;96;97;98;99},{100000;130000;160000;190000;220000;250000;300000;350000;400000;450000;500000;600000;700000;800000;900000;1000000;1500000;2000000;3000000;4000000;5000000;6500000;8000000;10000000;12500000;15000000;20000000;25000000;30000000;35000000;40000000;55000000;70000000;80000000;90000000;110000000;130000000;160000000;190000000;220000000;250000000;280000000;310000000;340000000;400000000})</f>
        <v>600000</v>
      </c>
      <c r="J1963" s="7" t="n">
        <f aca="false">I1963*S1963*T1963*U1963</f>
        <v>496800</v>
      </c>
      <c r="K1963" s="3"/>
      <c r="L1963" s="3"/>
      <c r="M1963" s="3"/>
      <c r="N1963" s="9" t="n">
        <v>0</v>
      </c>
      <c r="O1963" s="4" t="n">
        <v>0</v>
      </c>
      <c r="P1963" s="5" t="n">
        <f aca="false">IF(COUNTIF([1]Base_Jugadores!J$2:J$500,B1963)&gt;0,1,0)</f>
        <v>0</v>
      </c>
      <c r="Q1963" s="10" t="b">
        <f aca="false">--(COUNTIFS(
   [1]Fichajes_Realizados!A$2:A$5000,A1963,
   [1]Fichajes_Realizados!G$2:G$5000,$X$3
)&gt;0)</f>
        <v>0</v>
      </c>
      <c r="R1963" s="5" t="n">
        <f aca="false">_xlfn.XLOOKUP(C1963, [1]Estado_Equipos!A$2:A$500, [1]Estado_Equipos!J$2:J$500, "")</f>
        <v>74</v>
      </c>
      <c r="S1963" s="5" t="n">
        <f aca="false">IF(H1963&lt;=16,1.45,
IF(H1963&gt;=41,0.3,
CHOOSE(ROUNDDOWN((H1963-16)/2,0)+1,
1.45,1.38,1.3,1.23,1.17,1.15,1.12,1.05,0.95,0.8,0.6,0.4,0.3)))</f>
        <v>1.15</v>
      </c>
      <c r="T1963" s="5" t="n">
        <f aca="false">CHOOSE(N1963+1,1.2,1,0.85,0.7)</f>
        <v>1.2</v>
      </c>
      <c r="U1963" s="5" t="n">
        <f aca="false">IF(F1963="PO",0.6,
IF(F1963="CT",0.75,
IF(F1963="LI",0.8,
IF(F1963="LD",0.8,
IF(F1963="MCD",0.85,
IF(F1963="MC",0.95,
IF(F1963="MO",1.05,
IF(F1963="EI",1.1,
IF(F1963="ED",1.1,
IF(F1963="SD",1.15,
IF(F1963="DC",1.2,0)))))))))))</f>
        <v>0.6</v>
      </c>
    </row>
    <row r="1964" customFormat="false" ht="16.4" hidden="false" customHeight="false" outlineLevel="0" collapsed="false">
      <c r="A1964" s="1" t="n">
        <v>1963</v>
      </c>
      <c r="B1964" s="5" t="str">
        <f aca="false">[1]Base_Jugadores!B1964</f>
        <v>Tiago Tomás</v>
      </c>
      <c r="C1964" s="5" t="str">
        <f aca="false">IFERROR(
   _xlfn.XLOOKUP(VALUE(A1964),[1]Fichajes_Realizados!A$2:A$50000,[1]Fichajes_Realizados!D$2:D$50000,,0,-1),
   _xlfn.XLOOKUP(VALUE(A1964),[1]Base_Jugadores!A$2:A$50000,[1]Base_Jugadores!C$2:C$50000)
)</f>
        <v>VfB Stuttgart</v>
      </c>
      <c r="D1964" s="5" t="str">
        <f aca="false">[1]Base_Jugadores!D1964</f>
        <v>Portugal</v>
      </c>
      <c r="E1964" s="3"/>
      <c r="F1964" s="5" t="str">
        <f aca="false">[1]Base_Jugadores!E1964</f>
        <v>DC</v>
      </c>
      <c r="G1964" s="5" t="n">
        <f aca="false">[1]Base_Jugadores!F1964</f>
        <v>74</v>
      </c>
      <c r="H1964" s="5" t="n">
        <f aca="false">[1]Base_Jugadores!G1964</f>
        <v>23</v>
      </c>
      <c r="I1964" s="7" t="n">
        <f aca="false" t="array" ref="I1964:I1964">_xlfn.XLOOKUP(G1964,{55;56;57;58;59;60;61;62;63;64;65;66;67;68;69;70;71;72;73;74;75;76;77;78;79;80;81;82;83;84;85;86;87;88;89;90;91;92;93;94;95;96;97;98;99},{100000;130000;160000;190000;220000;250000;300000;350000;400000;450000;500000;600000;700000;800000;900000;1000000;1500000;2000000;3000000;4000000;5000000;6500000;8000000;10000000;12500000;15000000;20000000;25000000;30000000;35000000;40000000;55000000;70000000;80000000;90000000;110000000;130000000;160000000;190000000;220000000;250000000;280000000;310000000;340000000;400000000})</f>
        <v>4000000</v>
      </c>
      <c r="J1964" s="7" t="n">
        <f aca="false">I1964*S1964*T1964*U1964</f>
        <v>7084800</v>
      </c>
      <c r="K1964" s="3"/>
      <c r="L1964" s="3"/>
      <c r="M1964" s="3"/>
      <c r="N1964" s="9" t="n">
        <v>0</v>
      </c>
      <c r="O1964" s="4" t="n">
        <v>0</v>
      </c>
      <c r="P1964" s="5" t="n">
        <f aca="false">IF(COUNTIF([1]Base_Jugadores!J$2:J$500,B1964)&gt;0,1,0)</f>
        <v>0</v>
      </c>
      <c r="Q1964" s="10" t="b">
        <f aca="false">--(COUNTIFS(
   [1]Fichajes_Realizados!A$2:A$5000,A1964,
   [1]Fichajes_Realizados!G$2:G$5000,$X$3
)&gt;0)</f>
        <v>0</v>
      </c>
      <c r="R1964" s="5" t="n">
        <f aca="false">_xlfn.XLOOKUP(C1964, [1]Estado_Equipos!A$2:A$500, [1]Estado_Equipos!J$2:J$500, "")</f>
        <v>74</v>
      </c>
      <c r="S1964" s="5" t="n">
        <f aca="false">IF(H1964&lt;=16,1.45,
IF(H1964&gt;=41,0.3,
CHOOSE(ROUNDDOWN((H1964-16)/2,0)+1,
1.45,1.38,1.3,1.23,1.17,1.15,1.12,1.05,0.95,0.8,0.6,0.4,0.3)))</f>
        <v>1.23</v>
      </c>
      <c r="T1964" s="5" t="n">
        <f aca="false">CHOOSE(N1964+1,1.2,1,0.85,0.7)</f>
        <v>1.2</v>
      </c>
      <c r="U1964" s="5" t="n">
        <f aca="false">IF(F1964="PO",0.6,
IF(F1964="CT",0.75,
IF(F1964="LI",0.8,
IF(F1964="LD",0.8,
IF(F1964="MCD",0.85,
IF(F1964="MC",0.95,
IF(F1964="MO",1.05,
IF(F1964="EI",1.1,
IF(F1964="ED",1.1,
IF(F1964="SD",1.15,
IF(F1964="DC",1.2,0)))))))))))</f>
        <v>1.2</v>
      </c>
    </row>
    <row r="1965" customFormat="false" ht="16.4" hidden="false" customHeight="false" outlineLevel="0" collapsed="false">
      <c r="A1965" s="1" t="n">
        <v>1964</v>
      </c>
      <c r="B1965" s="5" t="str">
        <f aca="false">[1]Base_Jugadores!B1965</f>
        <v>Yannik Keitel</v>
      </c>
      <c r="C1965" s="5" t="str">
        <f aca="false">IFERROR(
   _xlfn.XLOOKUP(VALUE(A1965),[1]Fichajes_Realizados!A$2:A$50000,[1]Fichajes_Realizados!D$2:D$50000,,0,-1),
   _xlfn.XLOOKUP(VALUE(A1965),[1]Base_Jugadores!A$2:A$50000,[1]Base_Jugadores!C$2:C$50000)
)</f>
        <v>VfB Stuttgart</v>
      </c>
      <c r="D1965" s="5" t="str">
        <f aca="false">[1]Base_Jugadores!D1965</f>
        <v>Alemania</v>
      </c>
      <c r="E1965" s="3"/>
      <c r="F1965" s="5" t="str">
        <f aca="false">[1]Base_Jugadores!E1965</f>
        <v>MCD</v>
      </c>
      <c r="G1965" s="5" t="n">
        <f aca="false">[1]Base_Jugadores!F1965</f>
        <v>71</v>
      </c>
      <c r="H1965" s="5" t="n">
        <f aca="false">[1]Base_Jugadores!G1965</f>
        <v>25</v>
      </c>
      <c r="I1965" s="7" t="n">
        <f aca="false" t="array" ref="I1965:I1965">_xlfn.XLOOKUP(G1965,{55;56;57;58;59;60;61;62;63;64;65;66;67;68;69;70;71;72;73;74;75;76;77;78;79;80;81;82;83;84;85;86;87;88;89;90;91;92;93;94;95;96;97;98;99},{100000;130000;160000;190000;220000;250000;300000;350000;400000;450000;500000;600000;700000;800000;900000;1000000;1500000;2000000;3000000;4000000;5000000;6500000;8000000;10000000;12500000;15000000;20000000;25000000;30000000;35000000;40000000;55000000;70000000;80000000;90000000;110000000;130000000;160000000;190000000;220000000;250000000;280000000;310000000;340000000;400000000})</f>
        <v>1500000</v>
      </c>
      <c r="J1965" s="7" t="n">
        <f aca="false">I1965*S1965*T1965*U1965</f>
        <v>1790100</v>
      </c>
      <c r="K1965" s="3"/>
      <c r="L1965" s="3"/>
      <c r="M1965" s="3"/>
      <c r="N1965" s="9" t="n">
        <v>0</v>
      </c>
      <c r="O1965" s="4" t="n">
        <v>0</v>
      </c>
      <c r="P1965" s="5" t="n">
        <f aca="false">IF(COUNTIF([1]Base_Jugadores!J$2:J$500,B1965)&gt;0,1,0)</f>
        <v>0</v>
      </c>
      <c r="Q1965" s="10" t="b">
        <f aca="false">--(COUNTIFS(
   [1]Fichajes_Realizados!A$2:A$5000,A1965,
   [1]Fichajes_Realizados!G$2:G$5000,$X$3
)&gt;0)</f>
        <v>0</v>
      </c>
      <c r="R1965" s="5" t="n">
        <f aca="false">_xlfn.XLOOKUP(C1965, [1]Estado_Equipos!A$2:A$500, [1]Estado_Equipos!J$2:J$500, "")</f>
        <v>74</v>
      </c>
      <c r="S1965" s="5" t="n">
        <f aca="false">IF(H1965&lt;=16,1.45,
IF(H1965&gt;=41,0.3,
CHOOSE(ROUNDDOWN((H1965-16)/2,0)+1,
1.45,1.38,1.3,1.23,1.17,1.15,1.12,1.05,0.95,0.8,0.6,0.4,0.3)))</f>
        <v>1.17</v>
      </c>
      <c r="T1965" s="5" t="n">
        <f aca="false">CHOOSE(N1965+1,1.2,1,0.85,0.7)</f>
        <v>1.2</v>
      </c>
      <c r="U1965" s="5" t="n">
        <f aca="false">IF(F1965="PO",0.6,
IF(F1965="CT",0.75,
IF(F1965="LI",0.8,
IF(F1965="LD",0.8,
IF(F1965="MCD",0.85,
IF(F1965="MC",0.95,
IF(F1965="MO",1.05,
IF(F1965="EI",1.1,
IF(F1965="ED",1.1,
IF(F1965="SD",1.15,
IF(F1965="DC",1.2,0)))))))))))</f>
        <v>0.85</v>
      </c>
    </row>
    <row r="1966" customFormat="false" ht="16.4" hidden="false" customHeight="false" outlineLevel="0" collapsed="false">
      <c r="A1966" s="1" t="n">
        <v>1965</v>
      </c>
      <c r="B1966" s="5" t="str">
        <f aca="false">[1]Base_Jugadores!B1966</f>
        <v>Frederik Rönnow</v>
      </c>
      <c r="C1966" s="5" t="str">
        <f aca="false">IFERROR(
   _xlfn.XLOOKUP(VALUE(A1966),[1]Fichajes_Realizados!A$2:A$50000,[1]Fichajes_Realizados!D$2:D$50000,,0,-1),
   _xlfn.XLOOKUP(VALUE(A1966),[1]Base_Jugadores!A$2:A$50000,[1]Base_Jugadores!C$2:C$50000)
)</f>
        <v>1.FC Unión Berlín</v>
      </c>
      <c r="D1966" s="5" t="str">
        <f aca="false">[1]Base_Jugadores!D1966</f>
        <v>Dinamarca</v>
      </c>
      <c r="E1966" s="3"/>
      <c r="F1966" s="5" t="str">
        <f aca="false">[1]Base_Jugadores!E1966</f>
        <v>PO</v>
      </c>
      <c r="G1966" s="5" t="n">
        <f aca="false">[1]Base_Jugadores!F1966</f>
        <v>79</v>
      </c>
      <c r="H1966" s="5" t="n">
        <f aca="false">[1]Base_Jugadores!G1966</f>
        <v>33</v>
      </c>
      <c r="I1966" s="7" t="n">
        <f aca="false" t="array" ref="I1966:I1966">_xlfn.XLOOKUP(G1966,{55;56;57;58;59;60;61;62;63;64;65;66;67;68;69;70;71;72;73;74;75;76;77;78;79;80;81;82;83;84;85;86;87;88;89;90;91;92;93;94;95;96;97;98;99},{100000;130000;160000;190000;220000;250000;300000;350000;400000;450000;500000;600000;700000;800000;900000;1000000;1500000;2000000;3000000;4000000;5000000;6500000;8000000;10000000;12500000;15000000;20000000;25000000;30000000;35000000;40000000;55000000;70000000;80000000;90000000;110000000;130000000;160000000;190000000;220000000;250000000;280000000;310000000;340000000;400000000})</f>
        <v>12500000</v>
      </c>
      <c r="J1966" s="7" t="n">
        <f aca="false">I1966*S1966*T1966*U1966</f>
        <v>8550000</v>
      </c>
      <c r="K1966" s="3"/>
      <c r="L1966" s="3"/>
      <c r="M1966" s="3"/>
      <c r="N1966" s="9" t="n">
        <v>0</v>
      </c>
      <c r="O1966" s="4" t="n">
        <v>0</v>
      </c>
      <c r="P1966" s="5" t="n">
        <f aca="false">IF(COUNTIF([1]Base_Jugadores!J$2:J$500,B1966)&gt;0,1,0)</f>
        <v>0</v>
      </c>
      <c r="Q1966" s="10" t="b">
        <f aca="false">--(COUNTIFS(
   [1]Fichajes_Realizados!A$2:A$5000,A1966,
   [1]Fichajes_Realizados!G$2:G$5000,$X$3
)&gt;0)</f>
        <v>0</v>
      </c>
      <c r="R1966" s="5" t="n">
        <f aca="false">_xlfn.XLOOKUP(C1966, [1]Estado_Equipos!A$2:A$500, [1]Estado_Equipos!J$2:J$500, "")</f>
        <v>72</v>
      </c>
      <c r="S1966" s="5" t="n">
        <f aca="false">IF(H1966&lt;=16,1.45,
IF(H1966&gt;=41,0.3,
CHOOSE(ROUNDDOWN((H1966-16)/2,0)+1,
1.45,1.38,1.3,1.23,1.17,1.15,1.12,1.05,0.95,0.8,0.6,0.4,0.3)))</f>
        <v>0.95</v>
      </c>
      <c r="T1966" s="5" t="n">
        <f aca="false">CHOOSE(N1966+1,1.2,1,0.85,0.7)</f>
        <v>1.2</v>
      </c>
      <c r="U1966" s="5" t="n">
        <f aca="false">IF(F1966="PO",0.6,
IF(F1966="CT",0.75,
IF(F1966="LI",0.8,
IF(F1966="LD",0.8,
IF(F1966="MCD",0.85,
IF(F1966="MC",0.95,
IF(F1966="MO",1.05,
IF(F1966="EI",1.1,
IF(F1966="ED",1.1,
IF(F1966="SD",1.15,
IF(F1966="DC",1.2,0)))))))))))</f>
        <v>0.6</v>
      </c>
    </row>
    <row r="1967" customFormat="false" ht="16.4" hidden="false" customHeight="false" outlineLevel="0" collapsed="false">
      <c r="A1967" s="1" t="n">
        <v>1966</v>
      </c>
      <c r="B1967" s="5" t="str">
        <f aca="false">[1]Base_Jugadores!B1967</f>
        <v>Alex Král</v>
      </c>
      <c r="C1967" s="5" t="str">
        <f aca="false">IFERROR(
   _xlfn.XLOOKUP(VALUE(A1967),[1]Fichajes_Realizados!A$2:A$50000,[1]Fichajes_Realizados!D$2:D$50000,,0,-1),
   _xlfn.XLOOKUP(VALUE(A1967),[1]Base_Jugadores!A$2:A$50000,[1]Base_Jugadores!C$2:C$50000)
)</f>
        <v>1.FC Unión Berlín</v>
      </c>
      <c r="D1967" s="5" t="str">
        <f aca="false">[1]Base_Jugadores!D1967</f>
        <v>República Checa</v>
      </c>
      <c r="E1967" s="3"/>
      <c r="F1967" s="5" t="str">
        <f aca="false">[1]Base_Jugadores!E1967</f>
        <v>MC</v>
      </c>
      <c r="G1967" s="5" t="n">
        <f aca="false">[1]Base_Jugadores!F1967</f>
        <v>74</v>
      </c>
      <c r="H1967" s="5" t="n">
        <f aca="false">[1]Base_Jugadores!G1967</f>
        <v>27</v>
      </c>
      <c r="I1967" s="7" t="n">
        <f aca="false" t="array" ref="I1967:I1967">_xlfn.XLOOKUP(G1967,{55;56;57;58;59;60;61;62;63;64;65;66;67;68;69;70;71;72;73;74;75;76;77;78;79;80;81;82;83;84;85;86;87;88;89;90;91;92;93;94;95;96;97;98;99},{100000;130000;160000;190000;220000;250000;300000;350000;400000;450000;500000;600000;700000;800000;900000;1000000;1500000;2000000;3000000;4000000;5000000;6500000;8000000;10000000;12500000;15000000;20000000;25000000;30000000;35000000;40000000;55000000;70000000;80000000;90000000;110000000;130000000;160000000;190000000;220000000;250000000;280000000;310000000;340000000;400000000})</f>
        <v>4000000</v>
      </c>
      <c r="J1967" s="7" t="n">
        <f aca="false">I1967*S1967*T1967*U1967</f>
        <v>5244000</v>
      </c>
      <c r="K1967" s="3"/>
      <c r="L1967" s="3"/>
      <c r="M1967" s="3"/>
      <c r="N1967" s="9" t="n">
        <v>0</v>
      </c>
      <c r="O1967" s="4" t="n">
        <v>0</v>
      </c>
      <c r="P1967" s="5" t="n">
        <f aca="false">IF(COUNTIF([1]Base_Jugadores!J$2:J$500,B1967)&gt;0,1,0)</f>
        <v>0</v>
      </c>
      <c r="Q1967" s="10" t="b">
        <f aca="false">--(COUNTIFS(
   [1]Fichajes_Realizados!A$2:A$5000,A1967,
   [1]Fichajes_Realizados!G$2:G$5000,$X$3
)&gt;0)</f>
        <v>0</v>
      </c>
      <c r="R1967" s="5" t="n">
        <f aca="false">_xlfn.XLOOKUP(C1967, [1]Estado_Equipos!A$2:A$500, [1]Estado_Equipos!J$2:J$500, "")</f>
        <v>72</v>
      </c>
      <c r="S1967" s="5" t="n">
        <f aca="false">IF(H1967&lt;=16,1.45,
IF(H1967&gt;=41,0.3,
CHOOSE(ROUNDDOWN((H1967-16)/2,0)+1,
1.45,1.38,1.3,1.23,1.17,1.15,1.12,1.05,0.95,0.8,0.6,0.4,0.3)))</f>
        <v>1.15</v>
      </c>
      <c r="T1967" s="5" t="n">
        <f aca="false">CHOOSE(N1967+1,1.2,1,0.85,0.7)</f>
        <v>1.2</v>
      </c>
      <c r="U1967" s="5" t="n">
        <f aca="false">IF(F1967="PO",0.6,
IF(F1967="CT",0.75,
IF(F1967="LI",0.8,
IF(F1967="LD",0.8,
IF(F1967="MCD",0.85,
IF(F1967="MC",0.95,
IF(F1967="MO",1.05,
IF(F1967="EI",1.1,
IF(F1967="ED",1.1,
IF(F1967="SD",1.15,
IF(F1967="DC",1.2,0)))))))))))</f>
        <v>0.95</v>
      </c>
    </row>
    <row r="1968" customFormat="false" ht="16.4" hidden="false" customHeight="false" outlineLevel="0" collapsed="false">
      <c r="A1968" s="1" t="n">
        <v>1967</v>
      </c>
      <c r="B1968" s="5" t="str">
        <f aca="false">[1]Base_Jugadores!B1968</f>
        <v>Aljoscha Kemlein</v>
      </c>
      <c r="C1968" s="5" t="str">
        <f aca="false">IFERROR(
   _xlfn.XLOOKUP(VALUE(A1968),[1]Fichajes_Realizados!A$2:A$50000,[1]Fichajes_Realizados!D$2:D$50000,,0,-1),
   _xlfn.XLOOKUP(VALUE(A1968),[1]Base_Jugadores!A$2:A$50000,[1]Base_Jugadores!C$2:C$50000)
)</f>
        <v>1.FC Unión Berlín</v>
      </c>
      <c r="D1968" s="5" t="str">
        <f aca="false">[1]Base_Jugadores!D1968</f>
        <v>Alemania</v>
      </c>
      <c r="E1968" s="3"/>
      <c r="F1968" s="5" t="str">
        <f aca="false">[1]Base_Jugadores!E1968</f>
        <v>MCD</v>
      </c>
      <c r="G1968" s="5" t="n">
        <f aca="false">[1]Base_Jugadores!F1968</f>
        <v>69</v>
      </c>
      <c r="H1968" s="5" t="n">
        <f aca="false">[1]Base_Jugadores!G1968</f>
        <v>21</v>
      </c>
      <c r="I1968" s="7" t="n">
        <f aca="false" t="array" ref="I1968:I1968">_xlfn.XLOOKUP(G1968,{55;56;57;58;59;60;61;62;63;64;65;66;67;68;69;70;71;72;73;74;75;76;77;78;79;80;81;82;83;84;85;86;87;88;89;90;91;92;93;94;95;96;97;98;99},{100000;130000;160000;190000;220000;250000;300000;350000;400000;450000;500000;600000;700000;800000;900000;1000000;1500000;2000000;3000000;4000000;5000000;6500000;8000000;10000000;12500000;15000000;20000000;25000000;30000000;35000000;40000000;55000000;70000000;80000000;90000000;110000000;130000000;160000000;190000000;220000000;250000000;280000000;310000000;340000000;400000000})</f>
        <v>900000</v>
      </c>
      <c r="J1968" s="7" t="n">
        <f aca="false">I1968*S1968*T1968*U1968</f>
        <v>1193400</v>
      </c>
      <c r="K1968" s="3"/>
      <c r="L1968" s="3"/>
      <c r="M1968" s="3"/>
      <c r="N1968" s="9" t="n">
        <v>0</v>
      </c>
      <c r="O1968" s="4" t="n">
        <v>0</v>
      </c>
      <c r="P1968" s="5" t="n">
        <f aca="false">IF(COUNTIF([1]Base_Jugadores!J$2:J$500,B1968)&gt;0,1,0)</f>
        <v>0</v>
      </c>
      <c r="Q1968" s="10" t="b">
        <f aca="false">--(COUNTIFS(
   [1]Fichajes_Realizados!A$2:A$5000,A1968,
   [1]Fichajes_Realizados!G$2:G$5000,$X$3
)&gt;0)</f>
        <v>0</v>
      </c>
      <c r="R1968" s="5" t="n">
        <f aca="false">_xlfn.XLOOKUP(C1968, [1]Estado_Equipos!A$2:A$500, [1]Estado_Equipos!J$2:J$500, "")</f>
        <v>72</v>
      </c>
      <c r="S1968" s="5" t="n">
        <f aca="false">IF(H1968&lt;=16,1.45,
IF(H1968&gt;=41,0.3,
CHOOSE(ROUNDDOWN((H1968-16)/2,0)+1,
1.45,1.38,1.3,1.23,1.17,1.15,1.12,1.05,0.95,0.8,0.6,0.4,0.3)))</f>
        <v>1.3</v>
      </c>
      <c r="T1968" s="5" t="n">
        <f aca="false">CHOOSE(N1968+1,1.2,1,0.85,0.7)</f>
        <v>1.2</v>
      </c>
      <c r="U1968" s="5" t="n">
        <f aca="false">IF(F1968="PO",0.6,
IF(F1968="CT",0.75,
IF(F1968="LI",0.8,
IF(F1968="LD",0.8,
IF(F1968="MCD",0.85,
IF(F1968="MC",0.95,
IF(F1968="MO",1.05,
IF(F1968="EI",1.1,
IF(F1968="ED",1.1,
IF(F1968="SD",1.15,
IF(F1968="DC",1.2,0)))))))))))</f>
        <v>0.85</v>
      </c>
    </row>
    <row r="1969" customFormat="false" ht="16.4" hidden="false" customHeight="false" outlineLevel="0" collapsed="false">
      <c r="A1969" s="1" t="n">
        <v>1968</v>
      </c>
      <c r="B1969" s="5" t="str">
        <f aca="false">[1]Base_Jugadores!B1969</f>
        <v>András Schäfer</v>
      </c>
      <c r="C1969" s="5" t="str">
        <f aca="false">IFERROR(
   _xlfn.XLOOKUP(VALUE(A1969),[1]Fichajes_Realizados!A$2:A$50000,[1]Fichajes_Realizados!D$2:D$50000,,0,-1),
   _xlfn.XLOOKUP(VALUE(A1969),[1]Base_Jugadores!A$2:A$50000,[1]Base_Jugadores!C$2:C$50000)
)</f>
        <v>1.FC Unión Berlín</v>
      </c>
      <c r="D1969" s="5" t="str">
        <f aca="false">[1]Base_Jugadores!D1969</f>
        <v>Hungría</v>
      </c>
      <c r="E1969" s="3"/>
      <c r="F1969" s="5" t="str">
        <f aca="false">[1]Base_Jugadores!E1969</f>
        <v>MC</v>
      </c>
      <c r="G1969" s="5" t="n">
        <f aca="false">[1]Base_Jugadores!F1969</f>
        <v>74</v>
      </c>
      <c r="H1969" s="5" t="n">
        <f aca="false">[1]Base_Jugadores!G1969</f>
        <v>26</v>
      </c>
      <c r="I1969" s="7" t="n">
        <f aca="false" t="array" ref="I1969:I1969">_xlfn.XLOOKUP(G1969,{55;56;57;58;59;60;61;62;63;64;65;66;67;68;69;70;71;72;73;74;75;76;77;78;79;80;81;82;83;84;85;86;87;88;89;90;91;92;93;94;95;96;97;98;99},{100000;130000;160000;190000;220000;250000;300000;350000;400000;450000;500000;600000;700000;800000;900000;1000000;1500000;2000000;3000000;4000000;5000000;6500000;8000000;10000000;12500000;15000000;20000000;25000000;30000000;35000000;40000000;55000000;70000000;80000000;90000000;110000000;130000000;160000000;190000000;220000000;250000000;280000000;310000000;340000000;400000000})</f>
        <v>4000000</v>
      </c>
      <c r="J1969" s="7" t="n">
        <f aca="false">I1969*S1969*T1969*U1969</f>
        <v>5244000</v>
      </c>
      <c r="K1969" s="3"/>
      <c r="L1969" s="3"/>
      <c r="M1969" s="3"/>
      <c r="N1969" s="9" t="n">
        <v>0</v>
      </c>
      <c r="O1969" s="4" t="n">
        <v>0</v>
      </c>
      <c r="P1969" s="5" t="n">
        <f aca="false">IF(COUNTIF([1]Base_Jugadores!J$2:J$500,B1969)&gt;0,1,0)</f>
        <v>0</v>
      </c>
      <c r="Q1969" s="10" t="b">
        <f aca="false">--(COUNTIFS(
   [1]Fichajes_Realizados!A$2:A$5000,A1969,
   [1]Fichajes_Realizados!G$2:G$5000,$X$3
)&gt;0)</f>
        <v>0</v>
      </c>
      <c r="R1969" s="5" t="n">
        <f aca="false">_xlfn.XLOOKUP(C1969, [1]Estado_Equipos!A$2:A$500, [1]Estado_Equipos!J$2:J$500, "")</f>
        <v>72</v>
      </c>
      <c r="S1969" s="5" t="n">
        <f aca="false">IF(H1969&lt;=16,1.45,
IF(H1969&gt;=41,0.3,
CHOOSE(ROUNDDOWN((H1969-16)/2,0)+1,
1.45,1.38,1.3,1.23,1.17,1.15,1.12,1.05,0.95,0.8,0.6,0.4,0.3)))</f>
        <v>1.15</v>
      </c>
      <c r="T1969" s="5" t="n">
        <f aca="false">CHOOSE(N1969+1,1.2,1,0.85,0.7)</f>
        <v>1.2</v>
      </c>
      <c r="U1969" s="5" t="n">
        <f aca="false">IF(F1969="PO",0.6,
IF(F1969="CT",0.75,
IF(F1969="LI",0.8,
IF(F1969="LD",0.8,
IF(F1969="MCD",0.85,
IF(F1969="MC",0.95,
IF(F1969="MO",1.05,
IF(F1969="EI",1.1,
IF(F1969="ED",1.1,
IF(F1969="SD",1.15,
IF(F1969="DC",1.2,0)))))))))))</f>
        <v>0.95</v>
      </c>
    </row>
    <row r="1970" customFormat="false" ht="16.4" hidden="false" customHeight="false" outlineLevel="0" collapsed="false">
      <c r="A1970" s="1" t="n">
        <v>1969</v>
      </c>
      <c r="B1970" s="5" t="str">
        <f aca="false">[1]Base_Jugadores!B1970</f>
        <v>Andrej Ilic</v>
      </c>
      <c r="C1970" s="5" t="str">
        <f aca="false">IFERROR(
   _xlfn.XLOOKUP(VALUE(A1970),[1]Fichajes_Realizados!A$2:A$50000,[1]Fichajes_Realizados!D$2:D$50000,,0,-1),
   _xlfn.XLOOKUP(VALUE(A1970),[1]Base_Jugadores!A$2:A$50000,[1]Base_Jugadores!C$2:C$50000)
)</f>
        <v>1.FC Unión Berlín</v>
      </c>
      <c r="D1970" s="5" t="str">
        <f aca="false">[1]Base_Jugadores!D1970</f>
        <v>Serbia</v>
      </c>
      <c r="E1970" s="3"/>
      <c r="F1970" s="5" t="str">
        <f aca="false">[1]Base_Jugadores!E1970</f>
        <v>DC</v>
      </c>
      <c r="G1970" s="5" t="n">
        <f aca="false">[1]Base_Jugadores!F1970</f>
        <v>67</v>
      </c>
      <c r="H1970" s="5" t="n">
        <f aca="false">[1]Base_Jugadores!G1970</f>
        <v>25</v>
      </c>
      <c r="I1970" s="7" t="n">
        <f aca="false" t="array" ref="I1970:I1970">_xlfn.XLOOKUP(G1970,{55;56;57;58;59;60;61;62;63;64;65;66;67;68;69;70;71;72;73;74;75;76;77;78;79;80;81;82;83;84;85;86;87;88;89;90;91;92;93;94;95;96;97;98;99},{100000;130000;160000;190000;220000;250000;300000;350000;400000;450000;500000;600000;700000;800000;900000;1000000;1500000;2000000;3000000;4000000;5000000;6500000;8000000;10000000;12500000;15000000;20000000;25000000;30000000;35000000;40000000;55000000;70000000;80000000;90000000;110000000;130000000;160000000;190000000;220000000;250000000;280000000;310000000;340000000;400000000})</f>
        <v>700000</v>
      </c>
      <c r="J1970" s="7" t="n">
        <f aca="false">I1970*S1970*T1970*U1970</f>
        <v>1179360</v>
      </c>
      <c r="K1970" s="3"/>
      <c r="L1970" s="3"/>
      <c r="M1970" s="3"/>
      <c r="N1970" s="9" t="n">
        <v>0</v>
      </c>
      <c r="O1970" s="4" t="n">
        <v>0</v>
      </c>
      <c r="P1970" s="5" t="n">
        <f aca="false">IF(COUNTIF([1]Base_Jugadores!J$2:J$500,B1970)&gt;0,1,0)</f>
        <v>0</v>
      </c>
      <c r="Q1970" s="10" t="b">
        <f aca="false">--(COUNTIFS(
   [1]Fichajes_Realizados!A$2:A$5000,A1970,
   [1]Fichajes_Realizados!G$2:G$5000,$X$3
)&gt;0)</f>
        <v>0</v>
      </c>
      <c r="R1970" s="5" t="n">
        <f aca="false">_xlfn.XLOOKUP(C1970, [1]Estado_Equipos!A$2:A$500, [1]Estado_Equipos!J$2:J$500, "")</f>
        <v>72</v>
      </c>
      <c r="S1970" s="5" t="n">
        <f aca="false">IF(H1970&lt;=16,1.45,
IF(H1970&gt;=41,0.3,
CHOOSE(ROUNDDOWN((H1970-16)/2,0)+1,
1.45,1.38,1.3,1.23,1.17,1.15,1.12,1.05,0.95,0.8,0.6,0.4,0.3)))</f>
        <v>1.17</v>
      </c>
      <c r="T1970" s="5" t="n">
        <f aca="false">CHOOSE(N1970+1,1.2,1,0.85,0.7)</f>
        <v>1.2</v>
      </c>
      <c r="U1970" s="5" t="n">
        <f aca="false">IF(F1970="PO",0.6,
IF(F1970="CT",0.75,
IF(F1970="LI",0.8,
IF(F1970="LD",0.8,
IF(F1970="MCD",0.85,
IF(F1970="MC",0.95,
IF(F1970="MO",1.05,
IF(F1970="EI",1.1,
IF(F1970="ED",1.1,
IF(F1970="SD",1.15,
IF(F1970="DC",1.2,0)))))))))))</f>
        <v>1.2</v>
      </c>
    </row>
    <row r="1971" customFormat="false" ht="16.4" hidden="false" customHeight="false" outlineLevel="0" collapsed="false">
      <c r="A1971" s="1" t="n">
        <v>1970</v>
      </c>
      <c r="B1971" s="5" t="str">
        <f aca="false">[1]Base_Jugadores!B1971</f>
        <v>Carl Klaus</v>
      </c>
      <c r="C1971" s="5" t="str">
        <f aca="false">IFERROR(
   _xlfn.XLOOKUP(VALUE(A1971),[1]Fichajes_Realizados!A$2:A$50000,[1]Fichajes_Realizados!D$2:D$50000,,0,-1),
   _xlfn.XLOOKUP(VALUE(A1971),[1]Base_Jugadores!A$2:A$50000,[1]Base_Jugadores!C$2:C$50000)
)</f>
        <v>1.FC Unión Berlín</v>
      </c>
      <c r="D1971" s="5" t="str">
        <f aca="false">[1]Base_Jugadores!D1971</f>
        <v>Alemania</v>
      </c>
      <c r="E1971" s="3"/>
      <c r="F1971" s="5" t="str">
        <f aca="false">[1]Base_Jugadores!E1971</f>
        <v>PO</v>
      </c>
      <c r="G1971" s="5" t="n">
        <f aca="false">[1]Base_Jugadores!F1971</f>
        <v>68</v>
      </c>
      <c r="H1971" s="5" t="n">
        <f aca="false">[1]Base_Jugadores!G1971</f>
        <v>31</v>
      </c>
      <c r="I1971" s="7" t="n">
        <f aca="false" t="array" ref="I1971:I1971">_xlfn.XLOOKUP(G1971,{55;56;57;58;59;60;61;62;63;64;65;66;67;68;69;70;71;72;73;74;75;76;77;78;79;80;81;82;83;84;85;86;87;88;89;90;91;92;93;94;95;96;97;98;99},{100000;130000;160000;190000;220000;250000;300000;350000;400000;450000;500000;600000;700000;800000;900000;1000000;1500000;2000000;3000000;4000000;5000000;6500000;8000000;10000000;12500000;15000000;20000000;25000000;30000000;35000000;40000000;55000000;70000000;80000000;90000000;110000000;130000000;160000000;190000000;220000000;250000000;280000000;310000000;340000000;400000000})</f>
        <v>800000</v>
      </c>
      <c r="J1971" s="7" t="n">
        <f aca="false">I1971*S1971*T1971*U1971</f>
        <v>604800</v>
      </c>
      <c r="K1971" s="3"/>
      <c r="L1971" s="3"/>
      <c r="M1971" s="3"/>
      <c r="N1971" s="9" t="n">
        <v>0</v>
      </c>
      <c r="O1971" s="4" t="n">
        <v>0</v>
      </c>
      <c r="P1971" s="5" t="n">
        <f aca="false">IF(COUNTIF([1]Base_Jugadores!J$2:J$500,B1971)&gt;0,1,0)</f>
        <v>0</v>
      </c>
      <c r="Q1971" s="10" t="b">
        <f aca="false">--(COUNTIFS(
   [1]Fichajes_Realizados!A$2:A$5000,A1971,
   [1]Fichajes_Realizados!G$2:G$5000,$X$3
)&gt;0)</f>
        <v>0</v>
      </c>
      <c r="R1971" s="5" t="n">
        <f aca="false">_xlfn.XLOOKUP(C1971, [1]Estado_Equipos!A$2:A$500, [1]Estado_Equipos!J$2:J$500, "")</f>
        <v>72</v>
      </c>
      <c r="S1971" s="5" t="n">
        <f aca="false">IF(H1971&lt;=16,1.45,
IF(H1971&gt;=41,0.3,
CHOOSE(ROUNDDOWN((H1971-16)/2,0)+1,
1.45,1.38,1.3,1.23,1.17,1.15,1.12,1.05,0.95,0.8,0.6,0.4,0.3)))</f>
        <v>1.05</v>
      </c>
      <c r="T1971" s="5" t="n">
        <f aca="false">CHOOSE(N1971+1,1.2,1,0.85,0.7)</f>
        <v>1.2</v>
      </c>
      <c r="U1971" s="5" t="n">
        <f aca="false">IF(F1971="PO",0.6,
IF(F1971="CT",0.75,
IF(F1971="LI",0.8,
IF(F1971="LD",0.8,
IF(F1971="MCD",0.85,
IF(F1971="MC",0.95,
IF(F1971="MO",1.05,
IF(F1971="EI",1.1,
IF(F1971="ED",1.1,
IF(F1971="SD",1.15,
IF(F1971="DC",1.2,0)))))))))))</f>
        <v>0.6</v>
      </c>
    </row>
    <row r="1972" customFormat="false" ht="16.4" hidden="false" customHeight="false" outlineLevel="0" collapsed="false">
      <c r="A1972" s="1" t="n">
        <v>1971</v>
      </c>
      <c r="B1972" s="5" t="str">
        <f aca="false">[1]Base_Jugadores!B1972</f>
        <v>Christopher Trimmel</v>
      </c>
      <c r="C1972" s="5" t="str">
        <f aca="false">IFERROR(
   _xlfn.XLOOKUP(VALUE(A1972),[1]Fichajes_Realizados!A$2:A$50000,[1]Fichajes_Realizados!D$2:D$50000,,0,-1),
   _xlfn.XLOOKUP(VALUE(A1972),[1]Base_Jugadores!A$2:A$50000,[1]Base_Jugadores!C$2:C$50000)
)</f>
        <v>1.FC Unión Berlín</v>
      </c>
      <c r="D1972" s="5" t="str">
        <f aca="false">[1]Base_Jugadores!D1972</f>
        <v>Austria</v>
      </c>
      <c r="E1972" s="3"/>
      <c r="F1972" s="5" t="str">
        <f aca="false">[1]Base_Jugadores!E1972</f>
        <v>LD</v>
      </c>
      <c r="G1972" s="5" t="n">
        <f aca="false">[1]Base_Jugadores!F1972</f>
        <v>76</v>
      </c>
      <c r="H1972" s="5" t="n">
        <f aca="false">[1]Base_Jugadores!G1972</f>
        <v>38</v>
      </c>
      <c r="I1972" s="7" t="n">
        <f aca="false" t="array" ref="I1972:I1972">_xlfn.XLOOKUP(G1972,{55;56;57;58;59;60;61;62;63;64;65;66;67;68;69;70;71;72;73;74;75;76;77;78;79;80;81;82;83;84;85;86;87;88;89;90;91;92;93;94;95;96;97;98;99},{100000;130000;160000;190000;220000;250000;300000;350000;400000;450000;500000;600000;700000;800000;900000;1000000;1500000;2000000;3000000;4000000;5000000;6500000;8000000;10000000;12500000;15000000;20000000;25000000;30000000;35000000;40000000;55000000;70000000;80000000;90000000;110000000;130000000;160000000;190000000;220000000;250000000;280000000;310000000;340000000;400000000})</f>
        <v>6500000</v>
      </c>
      <c r="J1972" s="7" t="n">
        <f aca="false">I1972*S1972*T1972*U1972</f>
        <v>2496000</v>
      </c>
      <c r="K1972" s="3"/>
      <c r="L1972" s="3"/>
      <c r="M1972" s="3"/>
      <c r="N1972" s="9" t="n">
        <v>0</v>
      </c>
      <c r="O1972" s="4" t="n">
        <v>0</v>
      </c>
      <c r="P1972" s="5" t="n">
        <f aca="false">IF(COUNTIF([1]Base_Jugadores!J$2:J$500,B1972)&gt;0,1,0)</f>
        <v>0</v>
      </c>
      <c r="Q1972" s="10" t="b">
        <f aca="false">--(COUNTIFS(
   [1]Fichajes_Realizados!A$2:A$5000,A1972,
   [1]Fichajes_Realizados!G$2:G$5000,$X$3
)&gt;0)</f>
        <v>0</v>
      </c>
      <c r="R1972" s="5" t="n">
        <f aca="false">_xlfn.XLOOKUP(C1972, [1]Estado_Equipos!A$2:A$500, [1]Estado_Equipos!J$2:J$500, "")</f>
        <v>72</v>
      </c>
      <c r="S1972" s="5" t="n">
        <f aca="false">IF(H1972&lt;=16,1.45,
IF(H1972&gt;=41,0.3,
CHOOSE(ROUNDDOWN((H1972-16)/2,0)+1,
1.45,1.38,1.3,1.23,1.17,1.15,1.12,1.05,0.95,0.8,0.6,0.4,0.3)))</f>
        <v>0.4</v>
      </c>
      <c r="T1972" s="5" t="n">
        <f aca="false">CHOOSE(N1972+1,1.2,1,0.85,0.7)</f>
        <v>1.2</v>
      </c>
      <c r="U1972" s="5" t="n">
        <f aca="false">IF(F1972="PO",0.6,
IF(F1972="CT",0.75,
IF(F1972="LI",0.8,
IF(F1972="LD",0.8,
IF(F1972="MCD",0.85,
IF(F1972="MC",0.95,
IF(F1972="MO",1.05,
IF(F1972="EI",1.1,
IF(F1972="ED",1.1,
IF(F1972="SD",1.15,
IF(F1972="DC",1.2,0)))))))))))</f>
        <v>0.8</v>
      </c>
    </row>
    <row r="1973" customFormat="false" ht="16.4" hidden="false" customHeight="false" outlineLevel="0" collapsed="false">
      <c r="A1973" s="1" t="n">
        <v>1972</v>
      </c>
      <c r="B1973" s="5" t="str">
        <f aca="false">[1]Base_Jugadores!B1973</f>
        <v>Danilho Doekhi</v>
      </c>
      <c r="C1973" s="5" t="str">
        <f aca="false">IFERROR(
   _xlfn.XLOOKUP(VALUE(A1973),[1]Fichajes_Realizados!A$2:A$50000,[1]Fichajes_Realizados!D$2:D$50000,,0,-1),
   _xlfn.XLOOKUP(VALUE(A1973),[1]Base_Jugadores!A$2:A$50000,[1]Base_Jugadores!C$2:C$50000)
)</f>
        <v>1.FC Unión Berlín</v>
      </c>
      <c r="D1973" s="5" t="str">
        <f aca="false">[1]Base_Jugadores!D1973</f>
        <v>Países Bajos</v>
      </c>
      <c r="E1973" s="3"/>
      <c r="F1973" s="5" t="str">
        <f aca="false">[1]Base_Jugadores!E1973</f>
        <v>CT</v>
      </c>
      <c r="G1973" s="5" t="n">
        <f aca="false">[1]Base_Jugadores!F1973</f>
        <v>79</v>
      </c>
      <c r="H1973" s="5" t="n">
        <f aca="false">[1]Base_Jugadores!G1973</f>
        <v>27</v>
      </c>
      <c r="I1973" s="7" t="n">
        <f aca="false" t="array" ref="I1973:I1973">_xlfn.XLOOKUP(G1973,{55;56;57;58;59;60;61;62;63;64;65;66;67;68;69;70;71;72;73;74;75;76;77;78;79;80;81;82;83;84;85;86;87;88;89;90;91;92;93;94;95;96;97;98;99},{100000;130000;160000;190000;220000;250000;300000;350000;400000;450000;500000;600000;700000;800000;900000;1000000;1500000;2000000;3000000;4000000;5000000;6500000;8000000;10000000;12500000;15000000;20000000;25000000;30000000;35000000;40000000;55000000;70000000;80000000;90000000;110000000;130000000;160000000;190000000;220000000;250000000;280000000;310000000;340000000;400000000})</f>
        <v>12500000</v>
      </c>
      <c r="J1973" s="7" t="n">
        <f aca="false">I1973*S1973*T1973*U1973</f>
        <v>12937500</v>
      </c>
      <c r="K1973" s="3"/>
      <c r="L1973" s="3"/>
      <c r="M1973" s="3"/>
      <c r="N1973" s="9" t="n">
        <v>0</v>
      </c>
      <c r="O1973" s="4" t="n">
        <v>0</v>
      </c>
      <c r="P1973" s="5" t="n">
        <f aca="false">IF(COUNTIF([1]Base_Jugadores!J$2:J$500,B1973)&gt;0,1,0)</f>
        <v>0</v>
      </c>
      <c r="Q1973" s="10" t="b">
        <f aca="false">--(COUNTIFS(
   [1]Fichajes_Realizados!A$2:A$5000,A1973,
   [1]Fichajes_Realizados!G$2:G$5000,$X$3
)&gt;0)</f>
        <v>0</v>
      </c>
      <c r="R1973" s="5" t="n">
        <f aca="false">_xlfn.XLOOKUP(C1973, [1]Estado_Equipos!A$2:A$500, [1]Estado_Equipos!J$2:J$500, "")</f>
        <v>72</v>
      </c>
      <c r="S1973" s="5" t="n">
        <f aca="false">IF(H1973&lt;=16,1.45,
IF(H1973&gt;=41,0.3,
CHOOSE(ROUNDDOWN((H1973-16)/2,0)+1,
1.45,1.38,1.3,1.23,1.17,1.15,1.12,1.05,0.95,0.8,0.6,0.4,0.3)))</f>
        <v>1.15</v>
      </c>
      <c r="T1973" s="5" t="n">
        <f aca="false">CHOOSE(N1973+1,1.2,1,0.85,0.7)</f>
        <v>1.2</v>
      </c>
      <c r="U1973" s="5" t="n">
        <f aca="false">IF(F1973="PO",0.6,
IF(F1973="CT",0.75,
IF(F1973="LI",0.8,
IF(F1973="LD",0.8,
IF(F1973="MCD",0.85,
IF(F1973="MC",0.95,
IF(F1973="MO",1.05,
IF(F1973="EI",1.1,
IF(F1973="ED",1.1,
IF(F1973="SD",1.15,
IF(F1973="DC",1.2,0)))))))))))</f>
        <v>0.75</v>
      </c>
    </row>
    <row r="1974" customFormat="false" ht="16.4" hidden="false" customHeight="false" outlineLevel="0" collapsed="false">
      <c r="A1974" s="1" t="n">
        <v>1973</v>
      </c>
      <c r="B1974" s="5" t="str">
        <f aca="false">[1]Base_Jugadores!B1974</f>
        <v>David Preu</v>
      </c>
      <c r="C1974" s="5" t="str">
        <f aca="false">IFERROR(
   _xlfn.XLOOKUP(VALUE(A1974),[1]Fichajes_Realizados!A$2:A$50000,[1]Fichajes_Realizados!D$2:D$50000,,0,-1),
   _xlfn.XLOOKUP(VALUE(A1974),[1]Base_Jugadores!A$2:A$50000,[1]Base_Jugadores!C$2:C$50000)
)</f>
        <v>1.FC Unión Berlín</v>
      </c>
      <c r="D1974" s="5" t="str">
        <f aca="false">[1]Base_Jugadores!D1974</f>
        <v>Alemania</v>
      </c>
      <c r="E1974" s="3"/>
      <c r="F1974" s="5" t="str">
        <f aca="false">[1]Base_Jugadores!E1974</f>
        <v>EI</v>
      </c>
      <c r="G1974" s="5" t="n">
        <f aca="false">[1]Base_Jugadores!F1974</f>
        <v>60</v>
      </c>
      <c r="H1974" s="5" t="n">
        <f aca="false">[1]Base_Jugadores!G1974</f>
        <v>21</v>
      </c>
      <c r="I1974" s="7" t="n">
        <f aca="false" t="array" ref="I1974:I1974">_xlfn.XLOOKUP(G1974,{55;56;57;58;59;60;61;62;63;64;65;66;67;68;69;70;71;72;73;74;75;76;77;78;79;80;81;82;83;84;85;86;87;88;89;90;91;92;93;94;95;96;97;98;99},{100000;130000;160000;190000;220000;250000;300000;350000;400000;450000;500000;600000;700000;800000;900000;1000000;1500000;2000000;3000000;4000000;5000000;6500000;8000000;10000000;12500000;15000000;20000000;25000000;30000000;35000000;40000000;55000000;70000000;80000000;90000000;110000000;130000000;160000000;190000000;220000000;250000000;280000000;310000000;340000000;400000000})</f>
        <v>250000</v>
      </c>
      <c r="J1974" s="7" t="n">
        <f aca="false">I1974*S1974*T1974*U1974</f>
        <v>429000</v>
      </c>
      <c r="K1974" s="3"/>
      <c r="L1974" s="3"/>
      <c r="M1974" s="3"/>
      <c r="N1974" s="9" t="n">
        <v>0</v>
      </c>
      <c r="O1974" s="4" t="n">
        <v>0</v>
      </c>
      <c r="P1974" s="5" t="n">
        <f aca="false">IF(COUNTIF([1]Base_Jugadores!J$2:J$500,B1974)&gt;0,1,0)</f>
        <v>0</v>
      </c>
      <c r="Q1974" s="10" t="b">
        <f aca="false">--(COUNTIFS(
   [1]Fichajes_Realizados!A$2:A$5000,A1974,
   [1]Fichajes_Realizados!G$2:G$5000,$X$3
)&gt;0)</f>
        <v>0</v>
      </c>
      <c r="R1974" s="5" t="n">
        <f aca="false">_xlfn.XLOOKUP(C1974, [1]Estado_Equipos!A$2:A$500, [1]Estado_Equipos!J$2:J$500, "")</f>
        <v>72</v>
      </c>
      <c r="S1974" s="5" t="n">
        <f aca="false">IF(H1974&lt;=16,1.45,
IF(H1974&gt;=41,0.3,
CHOOSE(ROUNDDOWN((H1974-16)/2,0)+1,
1.45,1.38,1.3,1.23,1.17,1.15,1.12,1.05,0.95,0.8,0.6,0.4,0.3)))</f>
        <v>1.3</v>
      </c>
      <c r="T1974" s="5" t="n">
        <f aca="false">CHOOSE(N1974+1,1.2,1,0.85,0.7)</f>
        <v>1.2</v>
      </c>
      <c r="U1974" s="5" t="n">
        <f aca="false">IF(F1974="PO",0.6,
IF(F1974="CT",0.75,
IF(F1974="LI",0.8,
IF(F1974="LD",0.8,
IF(F1974="MCD",0.85,
IF(F1974="MC",0.95,
IF(F1974="MO",1.05,
IF(F1974="EI",1.1,
IF(F1974="ED",1.1,
IF(F1974="SD",1.15,
IF(F1974="DC",1.2,0)))))))))))</f>
        <v>1.1</v>
      </c>
    </row>
    <row r="1975" customFormat="false" ht="16.4" hidden="false" customHeight="false" outlineLevel="0" collapsed="false">
      <c r="A1975" s="1" t="n">
        <v>1974</v>
      </c>
      <c r="B1975" s="5" t="str">
        <f aca="false">[1]Base_Jugadores!B1975</f>
        <v>Derrick Köhn</v>
      </c>
      <c r="C1975" s="5" t="str">
        <f aca="false">IFERROR(
   _xlfn.XLOOKUP(VALUE(A1975),[1]Fichajes_Realizados!A$2:A$50000,[1]Fichajes_Realizados!D$2:D$50000,,0,-1),
   _xlfn.XLOOKUP(VALUE(A1975),[1]Base_Jugadores!A$2:A$50000,[1]Base_Jugadores!C$2:C$50000)
)</f>
        <v>1.FC Unión Berlín</v>
      </c>
      <c r="D1975" s="5" t="str">
        <f aca="false">[1]Base_Jugadores!D1975</f>
        <v>Ghana</v>
      </c>
      <c r="E1975" s="3"/>
      <c r="F1975" s="5" t="str">
        <f aca="false">[1]Base_Jugadores!E1975</f>
        <v>LI</v>
      </c>
      <c r="G1975" s="5" t="n">
        <f aca="false">[1]Base_Jugadores!F1975</f>
        <v>75</v>
      </c>
      <c r="H1975" s="5" t="n">
        <f aca="false">[1]Base_Jugadores!G1975</f>
        <v>26</v>
      </c>
      <c r="I1975" s="7" t="n">
        <f aca="false" t="array" ref="I1975:I1975">_xlfn.XLOOKUP(G1975,{55;56;57;58;59;60;61;62;63;64;65;66;67;68;69;70;71;72;73;74;75;76;77;78;79;80;81;82;83;84;85;86;87;88;89;90;91;92;93;94;95;96;97;98;99},{100000;130000;160000;190000;220000;250000;300000;350000;400000;450000;500000;600000;700000;800000;900000;1000000;1500000;2000000;3000000;4000000;5000000;6500000;8000000;10000000;12500000;15000000;20000000;25000000;30000000;35000000;40000000;55000000;70000000;80000000;90000000;110000000;130000000;160000000;190000000;220000000;250000000;280000000;310000000;340000000;400000000})</f>
        <v>5000000</v>
      </c>
      <c r="J1975" s="7" t="n">
        <f aca="false">I1975*S1975*T1975*U1975</f>
        <v>5520000</v>
      </c>
      <c r="K1975" s="3"/>
      <c r="L1975" s="3"/>
      <c r="M1975" s="3"/>
      <c r="N1975" s="9" t="n">
        <v>0</v>
      </c>
      <c r="O1975" s="4" t="n">
        <v>0</v>
      </c>
      <c r="P1975" s="5" t="n">
        <f aca="false">IF(COUNTIF([1]Base_Jugadores!J$2:J$500,B1975)&gt;0,1,0)</f>
        <v>0</v>
      </c>
      <c r="Q1975" s="10" t="b">
        <f aca="false">--(COUNTIFS(
   [1]Fichajes_Realizados!A$2:A$5000,A1975,
   [1]Fichajes_Realizados!G$2:G$5000,$X$3
)&gt;0)</f>
        <v>0</v>
      </c>
      <c r="R1975" s="5" t="n">
        <f aca="false">_xlfn.XLOOKUP(C1975, [1]Estado_Equipos!A$2:A$500, [1]Estado_Equipos!J$2:J$500, "")</f>
        <v>72</v>
      </c>
      <c r="S1975" s="5" t="n">
        <f aca="false">IF(H1975&lt;=16,1.45,
IF(H1975&gt;=41,0.3,
CHOOSE(ROUNDDOWN((H1975-16)/2,0)+1,
1.45,1.38,1.3,1.23,1.17,1.15,1.12,1.05,0.95,0.8,0.6,0.4,0.3)))</f>
        <v>1.15</v>
      </c>
      <c r="T1975" s="5" t="n">
        <f aca="false">CHOOSE(N1975+1,1.2,1,0.85,0.7)</f>
        <v>1.2</v>
      </c>
      <c r="U1975" s="5" t="n">
        <f aca="false">IF(F1975="PO",0.6,
IF(F1975="CT",0.75,
IF(F1975="LI",0.8,
IF(F1975="LD",0.8,
IF(F1975="MCD",0.85,
IF(F1975="MC",0.95,
IF(F1975="MO",1.05,
IF(F1975="EI",1.1,
IF(F1975="ED",1.1,
IF(F1975="SD",1.15,
IF(F1975="DC",1.2,0)))))))))))</f>
        <v>0.8</v>
      </c>
    </row>
    <row r="1976" customFormat="false" ht="16.4" hidden="false" customHeight="false" outlineLevel="0" collapsed="false">
      <c r="A1976" s="1" t="n">
        <v>1975</v>
      </c>
      <c r="B1976" s="5" t="str">
        <f aca="false">[1]Base_Jugadores!B1976</f>
        <v>Diogo Leite</v>
      </c>
      <c r="C1976" s="5" t="str">
        <f aca="false">IFERROR(
   _xlfn.XLOOKUP(VALUE(A1976),[1]Fichajes_Realizados!A$2:A$50000,[1]Fichajes_Realizados!D$2:D$50000,,0,-1),
   _xlfn.XLOOKUP(VALUE(A1976),[1]Base_Jugadores!A$2:A$50000,[1]Base_Jugadores!C$2:C$50000)
)</f>
        <v>1.FC Unión Berlín</v>
      </c>
      <c r="D1976" s="5" t="str">
        <f aca="false">[1]Base_Jugadores!D1976</f>
        <v>Portugal</v>
      </c>
      <c r="E1976" s="3"/>
      <c r="F1976" s="5" t="str">
        <f aca="false">[1]Base_Jugadores!E1976</f>
        <v>CT</v>
      </c>
      <c r="G1976" s="5" t="n">
        <f aca="false">[1]Base_Jugadores!F1976</f>
        <v>76</v>
      </c>
      <c r="H1976" s="5" t="n">
        <f aca="false">[1]Base_Jugadores!G1976</f>
        <v>26</v>
      </c>
      <c r="I1976" s="7" t="n">
        <f aca="false" t="array" ref="I1976:I1976">_xlfn.XLOOKUP(G1976,{55;56;57;58;59;60;61;62;63;64;65;66;67;68;69;70;71;72;73;74;75;76;77;78;79;80;81;82;83;84;85;86;87;88;89;90;91;92;93;94;95;96;97;98;99},{100000;130000;160000;190000;220000;250000;300000;350000;400000;450000;500000;600000;700000;800000;900000;1000000;1500000;2000000;3000000;4000000;5000000;6500000;8000000;10000000;12500000;15000000;20000000;25000000;30000000;35000000;40000000;55000000;70000000;80000000;90000000;110000000;130000000;160000000;190000000;220000000;250000000;280000000;310000000;340000000;400000000})</f>
        <v>6500000</v>
      </c>
      <c r="J1976" s="7" t="n">
        <f aca="false">I1976*S1976*T1976*U1976</f>
        <v>6727500</v>
      </c>
      <c r="K1976" s="3"/>
      <c r="L1976" s="3"/>
      <c r="M1976" s="3"/>
      <c r="N1976" s="9" t="n">
        <v>0</v>
      </c>
      <c r="O1976" s="4" t="n">
        <v>0</v>
      </c>
      <c r="P1976" s="5" t="n">
        <f aca="false">IF(COUNTIF([1]Base_Jugadores!J$2:J$500,B1976)&gt;0,1,0)</f>
        <v>0</v>
      </c>
      <c r="Q1976" s="10" t="b">
        <f aca="false">--(COUNTIFS(
   [1]Fichajes_Realizados!A$2:A$5000,A1976,
   [1]Fichajes_Realizados!G$2:G$5000,$X$3
)&gt;0)</f>
        <v>0</v>
      </c>
      <c r="R1976" s="5" t="n">
        <f aca="false">_xlfn.XLOOKUP(C1976, [1]Estado_Equipos!A$2:A$500, [1]Estado_Equipos!J$2:J$500, "")</f>
        <v>72</v>
      </c>
      <c r="S1976" s="5" t="n">
        <f aca="false">IF(H1976&lt;=16,1.45,
IF(H1976&gt;=41,0.3,
CHOOSE(ROUNDDOWN((H1976-16)/2,0)+1,
1.45,1.38,1.3,1.23,1.17,1.15,1.12,1.05,0.95,0.8,0.6,0.4,0.3)))</f>
        <v>1.15</v>
      </c>
      <c r="T1976" s="5" t="n">
        <f aca="false">CHOOSE(N1976+1,1.2,1,0.85,0.7)</f>
        <v>1.2</v>
      </c>
      <c r="U1976" s="5" t="n">
        <f aca="false">IF(F1976="PO",0.6,
IF(F1976="CT",0.75,
IF(F1976="LI",0.8,
IF(F1976="LD",0.8,
IF(F1976="MCD",0.85,
IF(F1976="MC",0.95,
IF(F1976="MO",1.05,
IF(F1976="EI",1.1,
IF(F1976="ED",1.1,
IF(F1976="SD",1.15,
IF(F1976="DC",1.2,0)))))))))))</f>
        <v>0.75</v>
      </c>
    </row>
    <row r="1977" customFormat="false" ht="16.4" hidden="false" customHeight="false" outlineLevel="0" collapsed="false">
      <c r="A1977" s="1" t="n">
        <v>1976</v>
      </c>
      <c r="B1977" s="5" t="str">
        <f aca="false">[1]Base_Jugadores!B1977</f>
        <v>Janik Haberer</v>
      </c>
      <c r="C1977" s="5" t="str">
        <f aca="false">IFERROR(
   _xlfn.XLOOKUP(VALUE(A1977),[1]Fichajes_Realizados!A$2:A$50000,[1]Fichajes_Realizados!D$2:D$50000,,0,-1),
   _xlfn.XLOOKUP(VALUE(A1977),[1]Base_Jugadores!A$2:A$50000,[1]Base_Jugadores!C$2:C$50000)
)</f>
        <v>1.FC Unión Berlín</v>
      </c>
      <c r="D1977" s="5" t="str">
        <f aca="false">[1]Base_Jugadores!D1977</f>
        <v>Alemania</v>
      </c>
      <c r="E1977" s="3"/>
      <c r="F1977" s="5" t="str">
        <f aca="false">[1]Base_Jugadores!E1977</f>
        <v>MC</v>
      </c>
      <c r="G1977" s="5" t="n">
        <f aca="false">[1]Base_Jugadores!F1977</f>
        <v>75</v>
      </c>
      <c r="H1977" s="5" t="n">
        <f aca="false">[1]Base_Jugadores!G1977</f>
        <v>31</v>
      </c>
      <c r="I1977" s="7" t="n">
        <f aca="false" t="array" ref="I1977:I1977">_xlfn.XLOOKUP(G1977,{55;56;57;58;59;60;61;62;63;64;65;66;67;68;69;70;71;72;73;74;75;76;77;78;79;80;81;82;83;84;85;86;87;88;89;90;91;92;93;94;95;96;97;98;99},{100000;130000;160000;190000;220000;250000;300000;350000;400000;450000;500000;600000;700000;800000;900000;1000000;1500000;2000000;3000000;4000000;5000000;6500000;8000000;10000000;12500000;15000000;20000000;25000000;30000000;35000000;40000000;55000000;70000000;80000000;90000000;110000000;130000000;160000000;190000000;220000000;250000000;280000000;310000000;340000000;400000000})</f>
        <v>5000000</v>
      </c>
      <c r="J1977" s="7" t="n">
        <f aca="false">I1977*S1977*T1977*U1977</f>
        <v>5985000</v>
      </c>
      <c r="K1977" s="3"/>
      <c r="L1977" s="3"/>
      <c r="M1977" s="3"/>
      <c r="N1977" s="9" t="n">
        <v>0</v>
      </c>
      <c r="O1977" s="4" t="n">
        <v>0</v>
      </c>
      <c r="P1977" s="5" t="n">
        <f aca="false">IF(COUNTIF([1]Base_Jugadores!J$2:J$500,B1977)&gt;0,1,0)</f>
        <v>0</v>
      </c>
      <c r="Q1977" s="10" t="b">
        <f aca="false">--(COUNTIFS(
   [1]Fichajes_Realizados!A$2:A$5000,A1977,
   [1]Fichajes_Realizados!G$2:G$5000,$X$3
)&gt;0)</f>
        <v>0</v>
      </c>
      <c r="R1977" s="5" t="n">
        <f aca="false">_xlfn.XLOOKUP(C1977, [1]Estado_Equipos!A$2:A$500, [1]Estado_Equipos!J$2:J$500, "")</f>
        <v>72</v>
      </c>
      <c r="S1977" s="5" t="n">
        <f aca="false">IF(H1977&lt;=16,1.45,
IF(H1977&gt;=41,0.3,
CHOOSE(ROUNDDOWN((H1977-16)/2,0)+1,
1.45,1.38,1.3,1.23,1.17,1.15,1.12,1.05,0.95,0.8,0.6,0.4,0.3)))</f>
        <v>1.05</v>
      </c>
      <c r="T1977" s="5" t="n">
        <f aca="false">CHOOSE(N1977+1,1.2,1,0.85,0.7)</f>
        <v>1.2</v>
      </c>
      <c r="U1977" s="5" t="n">
        <f aca="false">IF(F1977="PO",0.6,
IF(F1977="CT",0.75,
IF(F1977="LI",0.8,
IF(F1977="LD",0.8,
IF(F1977="MCD",0.85,
IF(F1977="MC",0.95,
IF(F1977="MO",1.05,
IF(F1977="EI",1.1,
IF(F1977="ED",1.1,
IF(F1977="SD",1.15,
IF(F1977="DC",1.2,0)))))))))))</f>
        <v>0.95</v>
      </c>
    </row>
    <row r="1978" customFormat="false" ht="16.4" hidden="false" customHeight="false" outlineLevel="0" collapsed="false">
      <c r="A1978" s="1" t="n">
        <v>1977</v>
      </c>
      <c r="B1978" s="5" t="str">
        <f aca="false">[1]Base_Jugadores!B1978</f>
        <v>Josip Juranovic</v>
      </c>
      <c r="C1978" s="5" t="str">
        <f aca="false">IFERROR(
   _xlfn.XLOOKUP(VALUE(A1978),[1]Fichajes_Realizados!A$2:A$50000,[1]Fichajes_Realizados!D$2:D$50000,,0,-1),
   _xlfn.XLOOKUP(VALUE(A1978),[1]Base_Jugadores!A$2:A$50000,[1]Base_Jugadores!C$2:C$50000)
)</f>
        <v>1.FC Unión Berlín</v>
      </c>
      <c r="D1978" s="5" t="str">
        <f aca="false">[1]Base_Jugadores!D1978</f>
        <v>Croacia</v>
      </c>
      <c r="E1978" s="3"/>
      <c r="F1978" s="5" t="str">
        <f aca="false">[1]Base_Jugadores!E1978</f>
        <v>LD</v>
      </c>
      <c r="G1978" s="5" t="n">
        <f aca="false">[1]Base_Jugadores!F1978</f>
        <v>77</v>
      </c>
      <c r="H1978" s="5" t="n">
        <f aca="false">[1]Base_Jugadores!G1978</f>
        <v>30</v>
      </c>
      <c r="I1978" s="7" t="n">
        <f aca="false" t="array" ref="I1978:I1978">_xlfn.XLOOKUP(G1978,{55;56;57;58;59;60;61;62;63;64;65;66;67;68;69;70;71;72;73;74;75;76;77;78;79;80;81;82;83;84;85;86;87;88;89;90;91;92;93;94;95;96;97;98;99},{100000;130000;160000;190000;220000;250000;300000;350000;400000;450000;500000;600000;700000;800000;900000;1000000;1500000;2000000;3000000;4000000;5000000;6500000;8000000;10000000;12500000;15000000;20000000;25000000;30000000;35000000;40000000;55000000;70000000;80000000;90000000;110000000;130000000;160000000;190000000;220000000;250000000;280000000;310000000;340000000;400000000})</f>
        <v>8000000</v>
      </c>
      <c r="J1978" s="7" t="n">
        <f aca="false">I1978*S1978*T1978*U1978</f>
        <v>8064000</v>
      </c>
      <c r="K1978" s="3"/>
      <c r="L1978" s="3"/>
      <c r="M1978" s="3"/>
      <c r="N1978" s="9" t="n">
        <v>0</v>
      </c>
      <c r="O1978" s="4" t="n">
        <v>0</v>
      </c>
      <c r="P1978" s="5" t="n">
        <f aca="false">IF(COUNTIF([1]Base_Jugadores!J$2:J$500,B1978)&gt;0,1,0)</f>
        <v>0</v>
      </c>
      <c r="Q1978" s="10" t="b">
        <f aca="false">--(COUNTIFS(
   [1]Fichajes_Realizados!A$2:A$5000,A1978,
   [1]Fichajes_Realizados!G$2:G$5000,$X$3
)&gt;0)</f>
        <v>0</v>
      </c>
      <c r="R1978" s="5" t="n">
        <f aca="false">_xlfn.XLOOKUP(C1978, [1]Estado_Equipos!A$2:A$500, [1]Estado_Equipos!J$2:J$500, "")</f>
        <v>72</v>
      </c>
      <c r="S1978" s="5" t="n">
        <f aca="false">IF(H1978&lt;=16,1.45,
IF(H1978&gt;=41,0.3,
CHOOSE(ROUNDDOWN((H1978-16)/2,0)+1,
1.45,1.38,1.3,1.23,1.17,1.15,1.12,1.05,0.95,0.8,0.6,0.4,0.3)))</f>
        <v>1.05</v>
      </c>
      <c r="T1978" s="5" t="n">
        <f aca="false">CHOOSE(N1978+1,1.2,1,0.85,0.7)</f>
        <v>1.2</v>
      </c>
      <c r="U1978" s="5" t="n">
        <f aca="false">IF(F1978="PO",0.6,
IF(F1978="CT",0.75,
IF(F1978="LI",0.8,
IF(F1978="LD",0.8,
IF(F1978="MCD",0.85,
IF(F1978="MC",0.95,
IF(F1978="MO",1.05,
IF(F1978="EI",1.1,
IF(F1978="ED",1.1,
IF(F1978="SD",1.15,
IF(F1978="DC",1.2,0)))))))))))</f>
        <v>0.8</v>
      </c>
    </row>
    <row r="1979" customFormat="false" ht="16.4" hidden="false" customHeight="false" outlineLevel="0" collapsed="false">
      <c r="A1979" s="1" t="n">
        <v>1978</v>
      </c>
      <c r="B1979" s="5" t="str">
        <f aca="false">[1]Base_Jugadores!B1979</f>
        <v>Leopold Querfeld</v>
      </c>
      <c r="C1979" s="5" t="str">
        <f aca="false">IFERROR(
   _xlfn.XLOOKUP(VALUE(A1979),[1]Fichajes_Realizados!A$2:A$50000,[1]Fichajes_Realizados!D$2:D$50000,,0,-1),
   _xlfn.XLOOKUP(VALUE(A1979),[1]Base_Jugadores!A$2:A$50000,[1]Base_Jugadores!C$2:C$50000)
)</f>
        <v>1.FC Unión Berlín</v>
      </c>
      <c r="D1979" s="5" t="str">
        <f aca="false">[1]Base_Jugadores!D1979</f>
        <v>Austria</v>
      </c>
      <c r="E1979" s="3"/>
      <c r="F1979" s="5" t="str">
        <f aca="false">[1]Base_Jugadores!E1979</f>
        <v>CT</v>
      </c>
      <c r="G1979" s="5" t="n">
        <f aca="false">[1]Base_Jugadores!F1979</f>
        <v>74</v>
      </c>
      <c r="H1979" s="5" t="n">
        <f aca="false">[1]Base_Jugadores!G1979</f>
        <v>22</v>
      </c>
      <c r="I1979" s="7" t="n">
        <f aca="false" t="array" ref="I1979:I1979">_xlfn.XLOOKUP(G1979,{55;56;57;58;59;60;61;62;63;64;65;66;67;68;69;70;71;72;73;74;75;76;77;78;79;80;81;82;83;84;85;86;87;88;89;90;91;92;93;94;95;96;97;98;99},{100000;130000;160000;190000;220000;250000;300000;350000;400000;450000;500000;600000;700000;800000;900000;1000000;1500000;2000000;3000000;4000000;5000000;6500000;8000000;10000000;12500000;15000000;20000000;25000000;30000000;35000000;40000000;55000000;70000000;80000000;90000000;110000000;130000000;160000000;190000000;220000000;250000000;280000000;310000000;340000000;400000000})</f>
        <v>4000000</v>
      </c>
      <c r="J1979" s="7" t="n">
        <f aca="false">I1979*S1979*T1979*U1979</f>
        <v>4428000</v>
      </c>
      <c r="K1979" s="3"/>
      <c r="L1979" s="3"/>
      <c r="M1979" s="3"/>
      <c r="N1979" s="9" t="n">
        <v>0</v>
      </c>
      <c r="O1979" s="4" t="n">
        <v>0</v>
      </c>
      <c r="P1979" s="5" t="n">
        <f aca="false">IF(COUNTIF([1]Base_Jugadores!J$2:J$500,B1979)&gt;0,1,0)</f>
        <v>0</v>
      </c>
      <c r="Q1979" s="10" t="b">
        <f aca="false">--(COUNTIFS(
   [1]Fichajes_Realizados!A$2:A$5000,A1979,
   [1]Fichajes_Realizados!G$2:G$5000,$X$3
)&gt;0)</f>
        <v>0</v>
      </c>
      <c r="R1979" s="5" t="n">
        <f aca="false">_xlfn.XLOOKUP(C1979, [1]Estado_Equipos!A$2:A$500, [1]Estado_Equipos!J$2:J$500, "")</f>
        <v>72</v>
      </c>
      <c r="S1979" s="5" t="n">
        <f aca="false">IF(H1979&lt;=16,1.45,
IF(H1979&gt;=41,0.3,
CHOOSE(ROUNDDOWN((H1979-16)/2,0)+1,
1.45,1.38,1.3,1.23,1.17,1.15,1.12,1.05,0.95,0.8,0.6,0.4,0.3)))</f>
        <v>1.23</v>
      </c>
      <c r="T1979" s="5" t="n">
        <f aca="false">CHOOSE(N1979+1,1.2,1,0.85,0.7)</f>
        <v>1.2</v>
      </c>
      <c r="U1979" s="5" t="n">
        <f aca="false">IF(F1979="PO",0.6,
IF(F1979="CT",0.75,
IF(F1979="LI",0.8,
IF(F1979="LD",0.8,
IF(F1979="MCD",0.85,
IF(F1979="MC",0.95,
IF(F1979="MO",1.05,
IF(F1979="EI",1.1,
IF(F1979="ED",1.1,
IF(F1979="SD",1.15,
IF(F1979="DC",1.2,0)))))))))))</f>
        <v>0.75</v>
      </c>
    </row>
    <row r="1980" customFormat="false" ht="16.4" hidden="false" customHeight="false" outlineLevel="0" collapsed="false">
      <c r="A1980" s="1" t="n">
        <v>1979</v>
      </c>
      <c r="B1980" s="5" t="str">
        <f aca="false">[1]Base_Jugadores!B1980</f>
        <v>Oliver Burke</v>
      </c>
      <c r="C1980" s="5" t="str">
        <f aca="false">IFERROR(
   _xlfn.XLOOKUP(VALUE(A1980),[1]Fichajes_Realizados!A$2:A$50000,[1]Fichajes_Realizados!D$2:D$50000,,0,-1),
   _xlfn.XLOOKUP(VALUE(A1980),[1]Base_Jugadores!A$2:A$50000,[1]Base_Jugadores!C$2:C$50000)
)</f>
        <v>1.FC Unión Berlín</v>
      </c>
      <c r="D1980" s="5" t="str">
        <f aca="false">[1]Base_Jugadores!D1980</f>
        <v>Escocia</v>
      </c>
      <c r="E1980" s="3"/>
      <c r="F1980" s="5" t="str">
        <f aca="false">[1]Base_Jugadores!E1980</f>
        <v>DC</v>
      </c>
      <c r="G1980" s="5" t="n">
        <f aca="false">[1]Base_Jugadores!F1980</f>
        <v>69</v>
      </c>
      <c r="H1980" s="5" t="n">
        <f aca="false">[1]Base_Jugadores!G1980</f>
        <v>28</v>
      </c>
      <c r="I1980" s="7" t="n">
        <f aca="false" t="array" ref="I1980:I1980">_xlfn.XLOOKUP(G1980,{55;56;57;58;59;60;61;62;63;64;65;66;67;68;69;70;71;72;73;74;75;76;77;78;79;80;81;82;83;84;85;86;87;88;89;90;91;92;93;94;95;96;97;98;99},{100000;130000;160000;190000;220000;250000;300000;350000;400000;450000;500000;600000;700000;800000;900000;1000000;1500000;2000000;3000000;4000000;5000000;6500000;8000000;10000000;12500000;15000000;20000000;25000000;30000000;35000000;40000000;55000000;70000000;80000000;90000000;110000000;130000000;160000000;190000000;220000000;250000000;280000000;310000000;340000000;400000000})</f>
        <v>900000</v>
      </c>
      <c r="J1980" s="7" t="n">
        <f aca="false">I1980*S1980*T1980*U1980</f>
        <v>1451520</v>
      </c>
      <c r="K1980" s="3"/>
      <c r="L1980" s="3"/>
      <c r="M1980" s="3"/>
      <c r="N1980" s="9" t="n">
        <v>0</v>
      </c>
      <c r="O1980" s="4" t="n">
        <v>0</v>
      </c>
      <c r="P1980" s="5" t="n">
        <f aca="false">IF(COUNTIF([1]Base_Jugadores!J$2:J$500,B1980)&gt;0,1,0)</f>
        <v>0</v>
      </c>
      <c r="Q1980" s="10" t="b">
        <f aca="false">--(COUNTIFS(
   [1]Fichajes_Realizados!A$2:A$5000,A1980,
   [1]Fichajes_Realizados!G$2:G$5000,$X$3
)&gt;0)</f>
        <v>0</v>
      </c>
      <c r="R1980" s="5" t="n">
        <f aca="false">_xlfn.XLOOKUP(C1980, [1]Estado_Equipos!A$2:A$500, [1]Estado_Equipos!J$2:J$500, "")</f>
        <v>72</v>
      </c>
      <c r="S1980" s="5" t="n">
        <f aca="false">IF(H1980&lt;=16,1.45,
IF(H1980&gt;=41,0.3,
CHOOSE(ROUNDDOWN((H1980-16)/2,0)+1,
1.45,1.38,1.3,1.23,1.17,1.15,1.12,1.05,0.95,0.8,0.6,0.4,0.3)))</f>
        <v>1.12</v>
      </c>
      <c r="T1980" s="5" t="n">
        <f aca="false">CHOOSE(N1980+1,1.2,1,0.85,0.7)</f>
        <v>1.2</v>
      </c>
      <c r="U1980" s="5" t="n">
        <f aca="false">IF(F1980="PO",0.6,
IF(F1980="CT",0.75,
IF(F1980="LI",0.8,
IF(F1980="LD",0.8,
IF(F1980="MCD",0.85,
IF(F1980="MC",0.95,
IF(F1980="MO",1.05,
IF(F1980="EI",1.1,
IF(F1980="ED",1.1,
IF(F1980="SD",1.15,
IF(F1980="DC",1.2,0)))))))))))</f>
        <v>1.2</v>
      </c>
    </row>
    <row r="1981" customFormat="false" ht="16.4" hidden="false" customHeight="false" outlineLevel="0" collapsed="false">
      <c r="A1981" s="1" t="n">
        <v>1980</v>
      </c>
      <c r="B1981" s="5" t="str">
        <f aca="false">[1]Base_Jugadores!B1981</f>
        <v>O. Ogbemudia</v>
      </c>
      <c r="C1981" s="5" t="str">
        <f aca="false">IFERROR(
   _xlfn.XLOOKUP(VALUE(A1981),[1]Fichajes_Realizados!A$2:A$50000,[1]Fichajes_Realizados!D$2:D$50000,,0,-1),
   _xlfn.XLOOKUP(VALUE(A1981),[1]Base_Jugadores!A$2:A$50000,[1]Base_Jugadores!C$2:C$50000)
)</f>
        <v>1.FC Unión Berlín</v>
      </c>
      <c r="D1981" s="5" t="str">
        <f aca="false">[1]Base_Jugadores!D1981</f>
        <v>Alemania</v>
      </c>
      <c r="E1981" s="3"/>
      <c r="F1981" s="5" t="str">
        <f aca="false">[1]Base_Jugadores!E1981</f>
        <v>CT</v>
      </c>
      <c r="G1981" s="5" t="n">
        <f aca="false">[1]Base_Jugadores!F1981</f>
        <v>63</v>
      </c>
      <c r="H1981" s="5" t="n">
        <f aca="false">[1]Base_Jugadores!G1981</f>
        <v>19</v>
      </c>
      <c r="I1981" s="7" t="n">
        <f aca="false" t="array" ref="I1981:I1981">_xlfn.XLOOKUP(G1981,{55;56;57;58;59;60;61;62;63;64;65;66;67;68;69;70;71;72;73;74;75;76;77;78;79;80;81;82;83;84;85;86;87;88;89;90;91;92;93;94;95;96;97;98;99},{100000;130000;160000;190000;220000;250000;300000;350000;400000;450000;500000;600000;700000;800000;900000;1000000;1500000;2000000;3000000;4000000;5000000;6500000;8000000;10000000;12500000;15000000;20000000;25000000;30000000;35000000;40000000;55000000;70000000;80000000;90000000;110000000;130000000;160000000;190000000;220000000;250000000;280000000;310000000;340000000;400000000})</f>
        <v>400000</v>
      </c>
      <c r="J1981" s="7" t="n">
        <f aca="false">I1981*S1981*T1981*U1981</f>
        <v>496800</v>
      </c>
      <c r="K1981" s="3"/>
      <c r="L1981" s="3"/>
      <c r="M1981" s="3"/>
      <c r="N1981" s="9" t="n">
        <v>0</v>
      </c>
      <c r="O1981" s="4" t="n">
        <v>0</v>
      </c>
      <c r="P1981" s="5" t="n">
        <f aca="false">IF(COUNTIF([1]Base_Jugadores!J$2:J$500,B1981)&gt;0,1,0)</f>
        <v>0</v>
      </c>
      <c r="Q1981" s="10" t="b">
        <f aca="false">--(COUNTIFS(
   [1]Fichajes_Realizados!A$2:A$5000,A1981,
   [1]Fichajes_Realizados!G$2:G$5000,$X$3
)&gt;0)</f>
        <v>0</v>
      </c>
      <c r="R1981" s="5" t="n">
        <f aca="false">_xlfn.XLOOKUP(C1981, [1]Estado_Equipos!A$2:A$500, [1]Estado_Equipos!J$2:J$500, "")</f>
        <v>72</v>
      </c>
      <c r="S1981" s="5" t="n">
        <f aca="false">IF(H1981&lt;=16,1.45,
IF(H1981&gt;=41,0.3,
CHOOSE(ROUNDDOWN((H1981-16)/2,0)+1,
1.45,1.38,1.3,1.23,1.17,1.15,1.12,1.05,0.95,0.8,0.6,0.4,0.3)))</f>
        <v>1.38</v>
      </c>
      <c r="T1981" s="5" t="n">
        <f aca="false">CHOOSE(N1981+1,1.2,1,0.85,0.7)</f>
        <v>1.2</v>
      </c>
      <c r="U1981" s="5" t="n">
        <f aca="false">IF(F1981="PO",0.6,
IF(F1981="CT",0.75,
IF(F1981="LI",0.8,
IF(F1981="LD",0.8,
IF(F1981="MCD",0.85,
IF(F1981="MC",0.95,
IF(F1981="MO",1.05,
IF(F1981="EI",1.1,
IF(F1981="ED",1.1,
IF(F1981="SD",1.15,
IF(F1981="DC",1.2,0)))))))))))</f>
        <v>0.75</v>
      </c>
    </row>
    <row r="1982" customFormat="false" ht="16.4" hidden="false" customHeight="false" outlineLevel="0" collapsed="false">
      <c r="A1982" s="1" t="n">
        <v>1981</v>
      </c>
      <c r="B1982" s="5" t="str">
        <f aca="false">[1]Base_Jugadores!B1982</f>
        <v>Rani Khedira</v>
      </c>
      <c r="C1982" s="5" t="str">
        <f aca="false">IFERROR(
   _xlfn.XLOOKUP(VALUE(A1982),[1]Fichajes_Realizados!A$2:A$50000,[1]Fichajes_Realizados!D$2:D$50000,,0,-1),
   _xlfn.XLOOKUP(VALUE(A1982),[1]Base_Jugadores!A$2:A$50000,[1]Base_Jugadores!C$2:C$50000)
)</f>
        <v>1.FC Unión Berlín</v>
      </c>
      <c r="D1982" s="5" t="str">
        <f aca="false">[1]Base_Jugadores!D1982</f>
        <v>Túnez</v>
      </c>
      <c r="E1982" s="3"/>
      <c r="F1982" s="5" t="str">
        <f aca="false">[1]Base_Jugadores!E1982</f>
        <v>MCD</v>
      </c>
      <c r="G1982" s="5" t="n">
        <f aca="false">[1]Base_Jugadores!F1982</f>
        <v>75</v>
      </c>
      <c r="H1982" s="5" t="n">
        <f aca="false">[1]Base_Jugadores!G1982</f>
        <v>31</v>
      </c>
      <c r="I1982" s="7" t="n">
        <f aca="false" t="array" ref="I1982:I1982">_xlfn.XLOOKUP(G1982,{55;56;57;58;59;60;61;62;63;64;65;66;67;68;69;70;71;72;73;74;75;76;77;78;79;80;81;82;83;84;85;86;87;88;89;90;91;92;93;94;95;96;97;98;99},{100000;130000;160000;190000;220000;250000;300000;350000;400000;450000;500000;600000;700000;800000;900000;1000000;1500000;2000000;3000000;4000000;5000000;6500000;8000000;10000000;12500000;15000000;20000000;25000000;30000000;35000000;40000000;55000000;70000000;80000000;90000000;110000000;130000000;160000000;190000000;220000000;250000000;280000000;310000000;340000000;400000000})</f>
        <v>5000000</v>
      </c>
      <c r="J1982" s="7" t="n">
        <f aca="false">I1982*S1982*T1982*U1982</f>
        <v>5355000</v>
      </c>
      <c r="K1982" s="3"/>
      <c r="L1982" s="3"/>
      <c r="M1982" s="3"/>
      <c r="N1982" s="9" t="n">
        <v>0</v>
      </c>
      <c r="O1982" s="4" t="n">
        <v>0</v>
      </c>
      <c r="P1982" s="5" t="n">
        <f aca="false">IF(COUNTIF([1]Base_Jugadores!J$2:J$500,B1982)&gt;0,1,0)</f>
        <v>0</v>
      </c>
      <c r="Q1982" s="10" t="b">
        <f aca="false">--(COUNTIFS(
   [1]Fichajes_Realizados!A$2:A$5000,A1982,
   [1]Fichajes_Realizados!G$2:G$5000,$X$3
)&gt;0)</f>
        <v>0</v>
      </c>
      <c r="R1982" s="5" t="n">
        <f aca="false">_xlfn.XLOOKUP(C1982, [1]Estado_Equipos!A$2:A$500, [1]Estado_Equipos!J$2:J$500, "")</f>
        <v>72</v>
      </c>
      <c r="S1982" s="5" t="n">
        <f aca="false">IF(H1982&lt;=16,1.45,
IF(H1982&gt;=41,0.3,
CHOOSE(ROUNDDOWN((H1982-16)/2,0)+1,
1.45,1.38,1.3,1.23,1.17,1.15,1.12,1.05,0.95,0.8,0.6,0.4,0.3)))</f>
        <v>1.05</v>
      </c>
      <c r="T1982" s="5" t="n">
        <f aca="false">CHOOSE(N1982+1,1.2,1,0.85,0.7)</f>
        <v>1.2</v>
      </c>
      <c r="U1982" s="5" t="n">
        <f aca="false">IF(F1982="PO",0.6,
IF(F1982="CT",0.75,
IF(F1982="LI",0.8,
IF(F1982="LD",0.8,
IF(F1982="MCD",0.85,
IF(F1982="MC",0.95,
IF(F1982="MO",1.05,
IF(F1982="EI",1.1,
IF(F1982="ED",1.1,
IF(F1982="SD",1.15,
IF(F1982="DC",1.2,0)))))))))))</f>
        <v>0.85</v>
      </c>
    </row>
    <row r="1983" customFormat="false" ht="16.4" hidden="false" customHeight="false" outlineLevel="0" collapsed="false">
      <c r="A1983" s="1" t="n">
        <v>1982</v>
      </c>
      <c r="B1983" s="5" t="str">
        <f aca="false">[1]Base_Jugadores!B1983</f>
        <v>Robert Skov</v>
      </c>
      <c r="C1983" s="5" t="str">
        <f aca="false">IFERROR(
   _xlfn.XLOOKUP(VALUE(A1983),[1]Fichajes_Realizados!A$2:A$50000,[1]Fichajes_Realizados!D$2:D$50000,,0,-1),
   _xlfn.XLOOKUP(VALUE(A1983),[1]Base_Jugadores!A$2:A$50000,[1]Base_Jugadores!C$2:C$50000)
)</f>
        <v>1.FC Unión Berlín</v>
      </c>
      <c r="D1983" s="5" t="str">
        <f aca="false">[1]Base_Jugadores!D1983</f>
        <v>Dinamarca</v>
      </c>
      <c r="E1983" s="3"/>
      <c r="F1983" s="5" t="str">
        <f aca="false">[1]Base_Jugadores!E1983</f>
        <v>EI</v>
      </c>
      <c r="G1983" s="5" t="n">
        <f aca="false">[1]Base_Jugadores!F1983</f>
        <v>78</v>
      </c>
      <c r="H1983" s="5" t="n">
        <f aca="false">[1]Base_Jugadores!G1983</f>
        <v>29</v>
      </c>
      <c r="I1983" s="7" t="n">
        <f aca="false" t="array" ref="I1983:I1983">_xlfn.XLOOKUP(G1983,{55;56;57;58;59;60;61;62;63;64;65;66;67;68;69;70;71;72;73;74;75;76;77;78;79;80;81;82;83;84;85;86;87;88;89;90;91;92;93;94;95;96;97;98;99},{100000;130000;160000;190000;220000;250000;300000;350000;400000;450000;500000;600000;700000;800000;900000;1000000;1500000;2000000;3000000;4000000;5000000;6500000;8000000;10000000;12500000;15000000;20000000;25000000;30000000;35000000;40000000;55000000;70000000;80000000;90000000;110000000;130000000;160000000;190000000;220000000;250000000;280000000;310000000;340000000;400000000})</f>
        <v>10000000</v>
      </c>
      <c r="J1983" s="7" t="n">
        <f aca="false">I1983*S1983*T1983*U1983</f>
        <v>14784000</v>
      </c>
      <c r="K1983" s="3"/>
      <c r="L1983" s="3"/>
      <c r="M1983" s="3"/>
      <c r="N1983" s="9" t="n">
        <v>0</v>
      </c>
      <c r="O1983" s="4" t="n">
        <v>0</v>
      </c>
      <c r="P1983" s="5" t="n">
        <f aca="false">IF(COUNTIF([1]Base_Jugadores!J$2:J$500,B1983)&gt;0,1,0)</f>
        <v>0</v>
      </c>
      <c r="Q1983" s="10" t="b">
        <f aca="false">--(COUNTIFS(
   [1]Fichajes_Realizados!A$2:A$5000,A1983,
   [1]Fichajes_Realizados!G$2:G$5000,$X$3
)&gt;0)</f>
        <v>0</v>
      </c>
      <c r="R1983" s="5" t="n">
        <f aca="false">_xlfn.XLOOKUP(C1983, [1]Estado_Equipos!A$2:A$500, [1]Estado_Equipos!J$2:J$500, "")</f>
        <v>72</v>
      </c>
      <c r="S1983" s="5" t="n">
        <f aca="false">IF(H1983&lt;=16,1.45,
IF(H1983&gt;=41,0.3,
CHOOSE(ROUNDDOWN((H1983-16)/2,0)+1,
1.45,1.38,1.3,1.23,1.17,1.15,1.12,1.05,0.95,0.8,0.6,0.4,0.3)))</f>
        <v>1.12</v>
      </c>
      <c r="T1983" s="5" t="n">
        <f aca="false">CHOOSE(N1983+1,1.2,1,0.85,0.7)</f>
        <v>1.2</v>
      </c>
      <c r="U1983" s="5" t="n">
        <f aca="false">IF(F1983="PO",0.6,
IF(F1983="CT",0.75,
IF(F1983="LI",0.8,
IF(F1983="LD",0.8,
IF(F1983="MCD",0.85,
IF(F1983="MC",0.95,
IF(F1983="MO",1.05,
IF(F1983="EI",1.1,
IF(F1983="ED",1.1,
IF(F1983="SD",1.15,
IF(F1983="DC",1.2,0)))))))))))</f>
        <v>1.1</v>
      </c>
    </row>
    <row r="1984" customFormat="false" ht="16.4" hidden="false" customHeight="false" outlineLevel="0" collapsed="false">
      <c r="A1984" s="1" t="n">
        <v>1983</v>
      </c>
      <c r="B1984" s="5" t="str">
        <f aca="false">[1]Base_Jugadores!B1984</f>
        <v>Tom Rothe</v>
      </c>
      <c r="C1984" s="5" t="str">
        <f aca="false">IFERROR(
   _xlfn.XLOOKUP(VALUE(A1984),[1]Fichajes_Realizados!A$2:A$50000,[1]Fichajes_Realizados!D$2:D$50000,,0,-1),
   _xlfn.XLOOKUP(VALUE(A1984),[1]Base_Jugadores!A$2:A$50000,[1]Base_Jugadores!C$2:C$50000)
)</f>
        <v>1.FC Unión Berlín</v>
      </c>
      <c r="D1984" s="5" t="str">
        <f aca="false">[1]Base_Jugadores!D1984</f>
        <v>Alemania</v>
      </c>
      <c r="E1984" s="3"/>
      <c r="F1984" s="5" t="str">
        <f aca="false">[1]Base_Jugadores!E1984</f>
        <v>LI</v>
      </c>
      <c r="G1984" s="5" t="n">
        <f aca="false">[1]Base_Jugadores!F1984</f>
        <v>72</v>
      </c>
      <c r="H1984" s="5" t="n">
        <f aca="false">[1]Base_Jugadores!G1984</f>
        <v>21</v>
      </c>
      <c r="I1984" s="7" t="n">
        <f aca="false" t="array" ref="I1984:I1984">_xlfn.XLOOKUP(G1984,{55;56;57;58;59;60;61;62;63;64;65;66;67;68;69;70;71;72;73;74;75;76;77;78;79;80;81;82;83;84;85;86;87;88;89;90;91;92;93;94;95;96;97;98;99},{100000;130000;160000;190000;220000;250000;300000;350000;400000;450000;500000;600000;700000;800000;900000;1000000;1500000;2000000;3000000;4000000;5000000;6500000;8000000;10000000;12500000;15000000;20000000;25000000;30000000;35000000;40000000;55000000;70000000;80000000;90000000;110000000;130000000;160000000;190000000;220000000;250000000;280000000;310000000;340000000;400000000})</f>
        <v>2000000</v>
      </c>
      <c r="J1984" s="7" t="n">
        <f aca="false">I1984*S1984*T1984*U1984</f>
        <v>2496000</v>
      </c>
      <c r="K1984" s="3"/>
      <c r="L1984" s="3"/>
      <c r="M1984" s="3"/>
      <c r="N1984" s="9" t="n">
        <v>0</v>
      </c>
      <c r="O1984" s="4" t="n">
        <v>0</v>
      </c>
      <c r="P1984" s="5" t="n">
        <f aca="false">IF(COUNTIF([1]Base_Jugadores!J$2:J$500,B1984)&gt;0,1,0)</f>
        <v>0</v>
      </c>
      <c r="Q1984" s="10" t="b">
        <f aca="false">--(COUNTIFS(
   [1]Fichajes_Realizados!A$2:A$5000,A1984,
   [1]Fichajes_Realizados!G$2:G$5000,$X$3
)&gt;0)</f>
        <v>0</v>
      </c>
      <c r="R1984" s="5" t="n">
        <f aca="false">_xlfn.XLOOKUP(C1984, [1]Estado_Equipos!A$2:A$500, [1]Estado_Equipos!J$2:J$500, "")</f>
        <v>72</v>
      </c>
      <c r="S1984" s="5" t="n">
        <f aca="false">IF(H1984&lt;=16,1.45,
IF(H1984&gt;=41,0.3,
CHOOSE(ROUNDDOWN((H1984-16)/2,0)+1,
1.45,1.38,1.3,1.23,1.17,1.15,1.12,1.05,0.95,0.8,0.6,0.4,0.3)))</f>
        <v>1.3</v>
      </c>
      <c r="T1984" s="5" t="n">
        <f aca="false">CHOOSE(N1984+1,1.2,1,0.85,0.7)</f>
        <v>1.2</v>
      </c>
      <c r="U1984" s="5" t="n">
        <f aca="false">IF(F1984="PO",0.6,
IF(F1984="CT",0.75,
IF(F1984="LI",0.8,
IF(F1984="LD",0.8,
IF(F1984="MCD",0.85,
IF(F1984="MC",0.95,
IF(F1984="MO",1.05,
IF(F1984="EI",1.1,
IF(F1984="ED",1.1,
IF(F1984="SD",1.15,
IF(F1984="DC",1.2,0)))))))))))</f>
        <v>0.8</v>
      </c>
    </row>
    <row r="1985" customFormat="false" ht="16.4" hidden="false" customHeight="false" outlineLevel="0" collapsed="false">
      <c r="A1985" s="1" t="n">
        <v>1984</v>
      </c>
      <c r="B1985" s="5" t="str">
        <f aca="false">[1]Base_Jugadores!B1985</f>
        <v>Marin Ljubicic</v>
      </c>
      <c r="C1985" s="5" t="str">
        <f aca="false">IFERROR(
   _xlfn.XLOOKUP(VALUE(A1985),[1]Fichajes_Realizados!A$2:A$50000,[1]Fichajes_Realizados!D$2:D$50000,,0,-1),
   _xlfn.XLOOKUP(VALUE(A1985),[1]Base_Jugadores!A$2:A$50000,[1]Base_Jugadores!C$2:C$50000)
)</f>
        <v>1.FC Unión Berlín</v>
      </c>
      <c r="D1985" s="5" t="str">
        <f aca="false">[1]Base_Jugadores!D1985</f>
        <v>Croacia</v>
      </c>
      <c r="E1985" s="3"/>
      <c r="F1985" s="5" t="str">
        <f aca="false">[1]Base_Jugadores!E1985</f>
        <v>DC</v>
      </c>
      <c r="G1985" s="5" t="n">
        <f aca="false">[1]Base_Jugadores!F1985</f>
        <v>69</v>
      </c>
      <c r="H1985" s="5" t="n">
        <f aca="false">[1]Base_Jugadores!G1985</f>
        <v>23</v>
      </c>
      <c r="I1985" s="7" t="n">
        <f aca="false" t="array" ref="I1985:I1985">_xlfn.XLOOKUP(G1985,{55;56;57;58;59;60;61;62;63;64;65;66;67;68;69;70;71;72;73;74;75;76;77;78;79;80;81;82;83;84;85;86;87;88;89;90;91;92;93;94;95;96;97;98;99},{100000;130000;160000;190000;220000;250000;300000;350000;400000;450000;500000;600000;700000;800000;900000;1000000;1500000;2000000;3000000;4000000;5000000;6500000;8000000;10000000;12500000;15000000;20000000;25000000;30000000;35000000;40000000;55000000;70000000;80000000;90000000;110000000;130000000;160000000;190000000;220000000;250000000;280000000;310000000;340000000;400000000})</f>
        <v>900000</v>
      </c>
      <c r="J1985" s="7" t="n">
        <f aca="false">I1985*S1985*T1985*U1985</f>
        <v>1594080</v>
      </c>
      <c r="K1985" s="3"/>
      <c r="L1985" s="3"/>
      <c r="M1985" s="3"/>
      <c r="N1985" s="9" t="n">
        <v>0</v>
      </c>
      <c r="O1985" s="4" t="n">
        <v>0</v>
      </c>
      <c r="P1985" s="5" t="n">
        <f aca="false">IF(COUNTIF([1]Base_Jugadores!J$2:J$500,B1985)&gt;0,1,0)</f>
        <v>0</v>
      </c>
      <c r="Q1985" s="10" t="b">
        <f aca="false">--(COUNTIFS(
   [1]Fichajes_Realizados!A$2:A$5000,A1985,
   [1]Fichajes_Realizados!G$2:G$5000,$X$3
)&gt;0)</f>
        <v>0</v>
      </c>
      <c r="R1985" s="5" t="n">
        <f aca="false">_xlfn.XLOOKUP(C1985, [1]Estado_Equipos!A$2:A$500, [1]Estado_Equipos!J$2:J$500, "")</f>
        <v>72</v>
      </c>
      <c r="S1985" s="5" t="n">
        <f aca="false">IF(H1985&lt;=16,1.45,
IF(H1985&gt;=41,0.3,
CHOOSE(ROUNDDOWN((H1985-16)/2,0)+1,
1.45,1.38,1.3,1.23,1.17,1.15,1.12,1.05,0.95,0.8,0.6,0.4,0.3)))</f>
        <v>1.23</v>
      </c>
      <c r="T1985" s="5" t="n">
        <f aca="false">CHOOSE(N1985+1,1.2,1,0.85,0.7)</f>
        <v>1.2</v>
      </c>
      <c r="U1985" s="5" t="n">
        <f aca="false">IF(F1985="PO",0.6,
IF(F1985="CT",0.75,
IF(F1985="LI",0.8,
IF(F1985="LD",0.8,
IF(F1985="MCD",0.85,
IF(F1985="MC",0.95,
IF(F1985="MO",1.05,
IF(F1985="EI",1.1,
IF(F1985="ED",1.1,
IF(F1985="SD",1.15,
IF(F1985="DC",1.2,0)))))))))))</f>
        <v>1.2</v>
      </c>
    </row>
    <row r="1986" customFormat="false" ht="16.4" hidden="false" customHeight="false" outlineLevel="0" collapsed="false">
      <c r="A1986" s="1" t="n">
        <v>1985</v>
      </c>
      <c r="B1986" s="5" t="str">
        <f aca="false">[1]Base_Jugadores!B1986</f>
        <v>Tim Skarke</v>
      </c>
      <c r="C1986" s="5" t="str">
        <f aca="false">IFERROR(
   _xlfn.XLOOKUP(VALUE(A1986),[1]Fichajes_Realizados!A$2:A$50000,[1]Fichajes_Realizados!D$2:D$50000,,0,-1),
   _xlfn.XLOOKUP(VALUE(A1986),[1]Base_Jugadores!A$2:A$50000,[1]Base_Jugadores!C$2:C$50000)
)</f>
        <v>1.FC Unión Berlín</v>
      </c>
      <c r="D1986" s="5" t="str">
        <f aca="false">[1]Base_Jugadores!D1986</f>
        <v>Alemania</v>
      </c>
      <c r="E1986" s="3"/>
      <c r="F1986" s="5" t="str">
        <f aca="false">[1]Base_Jugadores!E1986</f>
        <v>DC</v>
      </c>
      <c r="G1986" s="5" t="n">
        <f aca="false">[1]Base_Jugadores!F1986</f>
        <v>70</v>
      </c>
      <c r="H1986" s="5" t="n">
        <f aca="false">[1]Base_Jugadores!G1986</f>
        <v>29</v>
      </c>
      <c r="I1986" s="7" t="n">
        <f aca="false" t="array" ref="I1986:I1986">_xlfn.XLOOKUP(G1986,{55;56;57;58;59;60;61;62;63;64;65;66;67;68;69;70;71;72;73;74;75;76;77;78;79;80;81;82;83;84;85;86;87;88;89;90;91;92;93;94;95;96;97;98;99},{100000;130000;160000;190000;220000;250000;300000;350000;400000;450000;500000;600000;700000;800000;900000;1000000;1500000;2000000;3000000;4000000;5000000;6500000;8000000;10000000;12500000;15000000;20000000;25000000;30000000;35000000;40000000;55000000;70000000;80000000;90000000;110000000;130000000;160000000;190000000;220000000;250000000;280000000;310000000;340000000;400000000})</f>
        <v>1000000</v>
      </c>
      <c r="J1986" s="7" t="n">
        <f aca="false">I1986*S1986*T1986*U1986</f>
        <v>1612800</v>
      </c>
      <c r="K1986" s="3"/>
      <c r="L1986" s="3"/>
      <c r="M1986" s="3"/>
      <c r="N1986" s="9" t="n">
        <v>0</v>
      </c>
      <c r="O1986" s="4" t="n">
        <v>0</v>
      </c>
      <c r="P1986" s="5" t="n">
        <f aca="false">IF(COUNTIF([1]Base_Jugadores!J$2:J$500,B1986)&gt;0,1,0)</f>
        <v>0</v>
      </c>
      <c r="Q1986" s="10" t="b">
        <f aca="false">--(COUNTIFS(
   [1]Fichajes_Realizados!A$2:A$5000,A1986,
   [1]Fichajes_Realizados!G$2:G$5000,$X$3
)&gt;0)</f>
        <v>0</v>
      </c>
      <c r="R1986" s="5" t="n">
        <f aca="false">_xlfn.XLOOKUP(C1986, [1]Estado_Equipos!A$2:A$500, [1]Estado_Equipos!J$2:J$500, "")</f>
        <v>72</v>
      </c>
      <c r="S1986" s="5" t="n">
        <f aca="false">IF(H1986&lt;=16,1.45,
IF(H1986&gt;=41,0.3,
CHOOSE(ROUNDDOWN((H1986-16)/2,0)+1,
1.45,1.38,1.3,1.23,1.17,1.15,1.12,1.05,0.95,0.8,0.6,0.4,0.3)))</f>
        <v>1.12</v>
      </c>
      <c r="T1986" s="5" t="n">
        <f aca="false">CHOOSE(N1986+1,1.2,1,0.85,0.7)</f>
        <v>1.2</v>
      </c>
      <c r="U1986" s="5" t="n">
        <f aca="false">IF(F1986="PO",0.6,
IF(F1986="CT",0.75,
IF(F1986="LI",0.8,
IF(F1986="LD",0.8,
IF(F1986="MCD",0.85,
IF(F1986="MC",0.95,
IF(F1986="MO",1.05,
IF(F1986="EI",1.1,
IF(F1986="ED",1.1,
IF(F1986="SD",1.15,
IF(F1986="DC",1.2,0)))))))))))</f>
        <v>1.2</v>
      </c>
    </row>
    <row r="1987" customFormat="false" ht="16.4" hidden="false" customHeight="false" outlineLevel="0" collapsed="false">
      <c r="A1987" s="1" t="n">
        <v>1986</v>
      </c>
      <c r="B1987" s="5" t="str">
        <f aca="false">[1]Base_Jugadores!B1987</f>
        <v>Woo-yeong Jeong</v>
      </c>
      <c r="C1987" s="5" t="str">
        <f aca="false">IFERROR(
   _xlfn.XLOOKUP(VALUE(A1987),[1]Fichajes_Realizados!A$2:A$50000,[1]Fichajes_Realizados!D$2:D$50000,,0,-1),
   _xlfn.XLOOKUP(VALUE(A1987),[1]Base_Jugadores!A$2:A$50000,[1]Base_Jugadores!C$2:C$50000)
)</f>
        <v>1.FC Unión Berlín</v>
      </c>
      <c r="D1987" s="5" t="str">
        <f aca="false">[1]Base_Jugadores!D1987</f>
        <v>Corea del Sur</v>
      </c>
      <c r="E1987" s="3"/>
      <c r="F1987" s="5" t="str">
        <f aca="false">[1]Base_Jugadores!E1987</f>
        <v>MO</v>
      </c>
      <c r="G1987" s="5" t="n">
        <f aca="false">[1]Base_Jugadores!F1987</f>
        <v>72</v>
      </c>
      <c r="H1987" s="5" t="n">
        <f aca="false">[1]Base_Jugadores!G1987</f>
        <v>26</v>
      </c>
      <c r="I1987" s="7" t="n">
        <f aca="false" t="array" ref="I1987:I1987">_xlfn.XLOOKUP(G1987,{55;56;57;58;59;60;61;62;63;64;65;66;67;68;69;70;71;72;73;74;75;76;77;78;79;80;81;82;83;84;85;86;87;88;89;90;91;92;93;94;95;96;97;98;99},{100000;130000;160000;190000;220000;250000;300000;350000;400000;450000;500000;600000;700000;800000;900000;1000000;1500000;2000000;3000000;4000000;5000000;6500000;8000000;10000000;12500000;15000000;20000000;25000000;30000000;35000000;40000000;55000000;70000000;80000000;90000000;110000000;130000000;160000000;190000000;220000000;250000000;280000000;310000000;340000000;400000000})</f>
        <v>2000000</v>
      </c>
      <c r="J1987" s="7" t="n">
        <f aca="false">I1987*S1987*T1987*U1987</f>
        <v>2898000</v>
      </c>
      <c r="K1987" s="3"/>
      <c r="L1987" s="3"/>
      <c r="M1987" s="3"/>
      <c r="N1987" s="9" t="n">
        <v>0</v>
      </c>
      <c r="O1987" s="4" t="n">
        <v>0</v>
      </c>
      <c r="P1987" s="5" t="n">
        <f aca="false">IF(COUNTIF([1]Base_Jugadores!J$2:J$500,B1987)&gt;0,1,0)</f>
        <v>0</v>
      </c>
      <c r="Q1987" s="10" t="b">
        <f aca="false">--(COUNTIFS(
   [1]Fichajes_Realizados!A$2:A$5000,A1987,
   [1]Fichajes_Realizados!G$2:G$5000,$X$3
)&gt;0)</f>
        <v>0</v>
      </c>
      <c r="R1987" s="5" t="n">
        <f aca="false">_xlfn.XLOOKUP(C1987, [1]Estado_Equipos!A$2:A$500, [1]Estado_Equipos!J$2:J$500, "")</f>
        <v>72</v>
      </c>
      <c r="S1987" s="5" t="n">
        <f aca="false">IF(H1987&lt;=16,1.45,
IF(H1987&gt;=41,0.3,
CHOOSE(ROUNDDOWN((H1987-16)/2,0)+1,
1.45,1.38,1.3,1.23,1.17,1.15,1.12,1.05,0.95,0.8,0.6,0.4,0.3)))</f>
        <v>1.15</v>
      </c>
      <c r="T1987" s="5" t="n">
        <f aca="false">CHOOSE(N1987+1,1.2,1,0.85,0.7)</f>
        <v>1.2</v>
      </c>
      <c r="U1987" s="5" t="n">
        <f aca="false">IF(F1987="PO",0.6,
IF(F1987="CT",0.75,
IF(F1987="LI",0.8,
IF(F1987="LD",0.8,
IF(F1987="MCD",0.85,
IF(F1987="MC",0.95,
IF(F1987="MO",1.05,
IF(F1987="EI",1.1,
IF(F1987="ED",1.1,
IF(F1987="SD",1.15,
IF(F1987="DC",1.2,0)))))))))))</f>
        <v>1.05</v>
      </c>
    </row>
    <row r="1988" customFormat="false" ht="16.4" hidden="false" customHeight="false" outlineLevel="0" collapsed="false">
      <c r="A1988" s="1" t="n">
        <v>1987</v>
      </c>
      <c r="B1988" s="5" t="str">
        <f aca="false">[1]Base_Jugadores!B1988</f>
        <v>Amos Pieper</v>
      </c>
      <c r="C1988" s="5" t="str">
        <f aca="false">IFERROR(
   _xlfn.XLOOKUP(VALUE(A1988),[1]Fichajes_Realizados!A$2:A$50000,[1]Fichajes_Realizados!D$2:D$50000,,0,-1),
   _xlfn.XLOOKUP(VALUE(A1988),[1]Base_Jugadores!A$2:A$50000,[1]Base_Jugadores!C$2:C$50000)
)</f>
        <v>SV Werder Bremen</v>
      </c>
      <c r="D1988" s="5" t="str">
        <f aca="false">[1]Base_Jugadores!D1988</f>
        <v>Alemania</v>
      </c>
      <c r="E1988" s="3"/>
      <c r="F1988" s="5" t="str">
        <f aca="false">[1]Base_Jugadores!E1988</f>
        <v>CT</v>
      </c>
      <c r="G1988" s="5" t="n">
        <f aca="false">[1]Base_Jugadores!F1988</f>
        <v>74</v>
      </c>
      <c r="H1988" s="5" t="n">
        <f aca="false">[1]Base_Jugadores!G1988</f>
        <v>27</v>
      </c>
      <c r="I1988" s="7" t="n">
        <f aca="false" t="array" ref="I1988:I1988">_xlfn.XLOOKUP(G1988,{55;56;57;58;59;60;61;62;63;64;65;66;67;68;69;70;71;72;73;74;75;76;77;78;79;80;81;82;83;84;85;86;87;88;89;90;91;92;93;94;95;96;97;98;99},{100000;130000;160000;190000;220000;250000;300000;350000;400000;450000;500000;600000;700000;800000;900000;1000000;1500000;2000000;3000000;4000000;5000000;6500000;8000000;10000000;12500000;15000000;20000000;25000000;30000000;35000000;40000000;55000000;70000000;80000000;90000000;110000000;130000000;160000000;190000000;220000000;250000000;280000000;310000000;340000000;400000000})</f>
        <v>4000000</v>
      </c>
      <c r="J1988" s="7" t="n">
        <f aca="false">I1988*S1988*T1988*U1988</f>
        <v>4140000</v>
      </c>
      <c r="K1988" s="3"/>
      <c r="L1988" s="3"/>
      <c r="M1988" s="3"/>
      <c r="N1988" s="9" t="n">
        <v>0</v>
      </c>
      <c r="O1988" s="4" t="n">
        <v>0</v>
      </c>
      <c r="P1988" s="5" t="n">
        <f aca="false">IF(COUNTIF([1]Base_Jugadores!J$2:J$500,B1988)&gt;0,1,0)</f>
        <v>0</v>
      </c>
      <c r="Q1988" s="10" t="b">
        <f aca="false">--(COUNTIFS(
   [1]Fichajes_Realizados!A$2:A$5000,A1988,
   [1]Fichajes_Realizados!G$2:G$5000,$X$3
)&gt;0)</f>
        <v>0</v>
      </c>
      <c r="R1988" s="5" t="n">
        <f aca="false">_xlfn.XLOOKUP(C1988, [1]Estado_Equipos!A$2:A$500, [1]Estado_Equipos!J$2:J$500, "")</f>
        <v>73</v>
      </c>
      <c r="S1988" s="5" t="n">
        <f aca="false">IF(H1988&lt;=16,1.45,
IF(H1988&gt;=41,0.3,
CHOOSE(ROUNDDOWN((H1988-16)/2,0)+1,
1.45,1.38,1.3,1.23,1.17,1.15,1.12,1.05,0.95,0.8,0.6,0.4,0.3)))</f>
        <v>1.15</v>
      </c>
      <c r="T1988" s="5" t="n">
        <f aca="false">CHOOSE(N1988+1,1.2,1,0.85,0.7)</f>
        <v>1.2</v>
      </c>
      <c r="U1988" s="5" t="n">
        <f aca="false">IF(F1988="PO",0.6,
IF(F1988="CT",0.75,
IF(F1988="LI",0.8,
IF(F1988="LD",0.8,
IF(F1988="MCD",0.85,
IF(F1988="MC",0.95,
IF(F1988="MO",1.05,
IF(F1988="EI",1.1,
IF(F1988="ED",1.1,
IF(F1988="SD",1.15,
IF(F1988="DC",1.2,0)))))))))))</f>
        <v>0.75</v>
      </c>
    </row>
    <row r="1989" customFormat="false" ht="16.4" hidden="false" customHeight="false" outlineLevel="0" collapsed="false">
      <c r="A1989" s="1" t="n">
        <v>1988</v>
      </c>
      <c r="B1989" s="5" t="str">
        <f aca="false">[1]Base_Jugadores!B1989</f>
        <v>Cameron Puertas</v>
      </c>
      <c r="C1989" s="5" t="str">
        <f aca="false">IFERROR(
   _xlfn.XLOOKUP(VALUE(A1989),[1]Fichajes_Realizados!A$2:A$50000,[1]Fichajes_Realizados!D$2:D$50000,,0,-1),
   _xlfn.XLOOKUP(VALUE(A1989),[1]Base_Jugadores!A$2:A$50000,[1]Base_Jugadores!C$2:C$50000)
)</f>
        <v>SV Werder Bremen</v>
      </c>
      <c r="D1989" s="5" t="str">
        <f aca="false">[1]Base_Jugadores!D1989</f>
        <v>España</v>
      </c>
      <c r="E1989" s="3"/>
      <c r="F1989" s="5" t="str">
        <f aca="false">[1]Base_Jugadores!E1989</f>
        <v>MO</v>
      </c>
      <c r="G1989" s="5" t="n">
        <f aca="false">[1]Base_Jugadores!F1989</f>
        <v>76</v>
      </c>
      <c r="H1989" s="5" t="n">
        <f aca="false">[1]Base_Jugadores!G1989</f>
        <v>27</v>
      </c>
      <c r="I1989" s="7" t="n">
        <f aca="false" t="array" ref="I1989:I1989">_xlfn.XLOOKUP(G1989,{55;56;57;58;59;60;61;62;63;64;65;66;67;68;69;70;71;72;73;74;75;76;77;78;79;80;81;82;83;84;85;86;87;88;89;90;91;92;93;94;95;96;97;98;99},{100000;130000;160000;190000;220000;250000;300000;350000;400000;450000;500000;600000;700000;800000;900000;1000000;1500000;2000000;3000000;4000000;5000000;6500000;8000000;10000000;12500000;15000000;20000000;25000000;30000000;35000000;40000000;55000000;70000000;80000000;90000000;110000000;130000000;160000000;190000000;220000000;250000000;280000000;310000000;340000000;400000000})</f>
        <v>6500000</v>
      </c>
      <c r="J1989" s="7" t="n">
        <f aca="false">I1989*S1989*T1989*U1989</f>
        <v>9418500</v>
      </c>
      <c r="K1989" s="3"/>
      <c r="L1989" s="3"/>
      <c r="M1989" s="3"/>
      <c r="N1989" s="9" t="n">
        <v>0</v>
      </c>
      <c r="O1989" s="4" t="n">
        <v>0</v>
      </c>
      <c r="P1989" s="5" t="n">
        <f aca="false">IF(COUNTIF([1]Base_Jugadores!J$2:J$500,B1989)&gt;0,1,0)</f>
        <v>0</v>
      </c>
      <c r="Q1989" s="10" t="b">
        <f aca="false">--(COUNTIFS(
   [1]Fichajes_Realizados!A$2:A$5000,A1989,
   [1]Fichajes_Realizados!G$2:G$5000,$X$3
)&gt;0)</f>
        <v>0</v>
      </c>
      <c r="R1989" s="5" t="n">
        <f aca="false">_xlfn.XLOOKUP(C1989, [1]Estado_Equipos!A$2:A$500, [1]Estado_Equipos!J$2:J$500, "")</f>
        <v>73</v>
      </c>
      <c r="S1989" s="5" t="n">
        <f aca="false">IF(H1989&lt;=16,1.45,
IF(H1989&gt;=41,0.3,
CHOOSE(ROUNDDOWN((H1989-16)/2,0)+1,
1.45,1.38,1.3,1.23,1.17,1.15,1.12,1.05,0.95,0.8,0.6,0.4,0.3)))</f>
        <v>1.15</v>
      </c>
      <c r="T1989" s="5" t="n">
        <f aca="false">CHOOSE(N1989+1,1.2,1,0.85,0.7)</f>
        <v>1.2</v>
      </c>
      <c r="U1989" s="5" t="n">
        <f aca="false">IF(F1989="PO",0.6,
IF(F1989="CT",0.75,
IF(F1989="LI",0.8,
IF(F1989="LD",0.8,
IF(F1989="MCD",0.85,
IF(F1989="MC",0.95,
IF(F1989="MO",1.05,
IF(F1989="EI",1.1,
IF(F1989="ED",1.1,
IF(F1989="SD",1.15,
IF(F1989="DC",1.2,0)))))))))))</f>
        <v>1.05</v>
      </c>
    </row>
    <row r="1990" customFormat="false" ht="16.4" hidden="false" customHeight="false" outlineLevel="0" collapsed="false">
      <c r="A1990" s="1" t="n">
        <v>1989</v>
      </c>
      <c r="B1990" s="5" t="str">
        <f aca="false">[1]Base_Jugadores!B1990</f>
        <v>Isaac Schmidt</v>
      </c>
      <c r="C1990" s="5" t="str">
        <f aca="false">IFERROR(
   _xlfn.XLOOKUP(VALUE(A1990),[1]Fichajes_Realizados!A$2:A$50000,[1]Fichajes_Realizados!D$2:D$50000,,0,-1),
   _xlfn.XLOOKUP(VALUE(A1990),[1]Base_Jugadores!A$2:A$50000,[1]Base_Jugadores!C$2:C$50000)
)</f>
        <v>SV Werder Bremen</v>
      </c>
      <c r="D1990" s="5" t="str">
        <f aca="false">[1]Base_Jugadores!D1990</f>
        <v>Suiza</v>
      </c>
      <c r="E1990" s="3"/>
      <c r="F1990" s="5" t="str">
        <f aca="false">[1]Base_Jugadores!E1990</f>
        <v>LI</v>
      </c>
      <c r="G1990" s="5" t="n">
        <f aca="false">[1]Base_Jugadores!F1990</f>
        <v>71</v>
      </c>
      <c r="H1990" s="5" t="n">
        <f aca="false">[1]Base_Jugadores!G1990</f>
        <v>26</v>
      </c>
      <c r="I1990" s="7" t="n">
        <f aca="false" t="array" ref="I1990:I1990">_xlfn.XLOOKUP(G1990,{55;56;57;58;59;60;61;62;63;64;65;66;67;68;69;70;71;72;73;74;75;76;77;78;79;80;81;82;83;84;85;86;87;88;89;90;91;92;93;94;95;96;97;98;99},{100000;130000;160000;190000;220000;250000;300000;350000;400000;450000;500000;600000;700000;800000;900000;1000000;1500000;2000000;3000000;4000000;5000000;6500000;8000000;10000000;12500000;15000000;20000000;25000000;30000000;35000000;40000000;55000000;70000000;80000000;90000000;110000000;130000000;160000000;190000000;220000000;250000000;280000000;310000000;340000000;400000000})</f>
        <v>1500000</v>
      </c>
      <c r="J1990" s="7" t="n">
        <f aca="false">I1990*S1990*T1990*U1990</f>
        <v>1656000</v>
      </c>
      <c r="K1990" s="3"/>
      <c r="L1990" s="3"/>
      <c r="M1990" s="3"/>
      <c r="N1990" s="9" t="n">
        <v>0</v>
      </c>
      <c r="O1990" s="4" t="n">
        <v>0</v>
      </c>
      <c r="P1990" s="5" t="n">
        <f aca="false">IF(COUNTIF([1]Base_Jugadores!J$2:J$500,B1990)&gt;0,1,0)</f>
        <v>0</v>
      </c>
      <c r="Q1990" s="10" t="b">
        <f aca="false">--(COUNTIFS(
   [1]Fichajes_Realizados!A$2:A$5000,A1990,
   [1]Fichajes_Realizados!G$2:G$5000,$X$3
)&gt;0)</f>
        <v>0</v>
      </c>
      <c r="R1990" s="5" t="n">
        <f aca="false">_xlfn.XLOOKUP(C1990, [1]Estado_Equipos!A$2:A$500, [1]Estado_Equipos!J$2:J$500, "")</f>
        <v>73</v>
      </c>
      <c r="S1990" s="5" t="n">
        <f aca="false">IF(H1990&lt;=16,1.45,
IF(H1990&gt;=41,0.3,
CHOOSE(ROUNDDOWN((H1990-16)/2,0)+1,
1.45,1.38,1.3,1.23,1.17,1.15,1.12,1.05,0.95,0.8,0.6,0.4,0.3)))</f>
        <v>1.15</v>
      </c>
      <c r="T1990" s="5" t="n">
        <f aca="false">CHOOSE(N1990+1,1.2,1,0.85,0.7)</f>
        <v>1.2</v>
      </c>
      <c r="U1990" s="5" t="n">
        <f aca="false">IF(F1990="PO",0.6,
IF(F1990="CT",0.75,
IF(F1990="LI",0.8,
IF(F1990="LD",0.8,
IF(F1990="MCD",0.85,
IF(F1990="MC",0.95,
IF(F1990="MO",1.05,
IF(F1990="EI",1.1,
IF(F1990="ED",1.1,
IF(F1990="SD",1.15,
IF(F1990="DC",1.2,0)))))))))))</f>
        <v>0.8</v>
      </c>
    </row>
    <row r="1991" customFormat="false" ht="16.4" hidden="false" customHeight="false" outlineLevel="0" collapsed="false">
      <c r="A1991" s="1" t="n">
        <v>1990</v>
      </c>
      <c r="B1991" s="5" t="str">
        <f aca="false">[1]Base_Jugadores!B1991</f>
        <v>Isak Hansen-Aarøen</v>
      </c>
      <c r="C1991" s="5" t="str">
        <f aca="false">IFERROR(
   _xlfn.XLOOKUP(VALUE(A1991),[1]Fichajes_Realizados!A$2:A$50000,[1]Fichajes_Realizados!D$2:D$50000,,0,-1),
   _xlfn.XLOOKUP(VALUE(A1991),[1]Base_Jugadores!A$2:A$50000,[1]Base_Jugadores!C$2:C$50000)
)</f>
        <v>SV Werder Bremen</v>
      </c>
      <c r="D1991" s="5" t="str">
        <f aca="false">[1]Base_Jugadores!D1991</f>
        <v>Noruega</v>
      </c>
      <c r="E1991" s="3"/>
      <c r="F1991" s="5" t="str">
        <f aca="false">[1]Base_Jugadores!E1991</f>
        <v>MO</v>
      </c>
      <c r="G1991" s="5" t="n">
        <f aca="false">[1]Base_Jugadores!F1991</f>
        <v>64</v>
      </c>
      <c r="H1991" s="5" t="n">
        <f aca="false">[1]Base_Jugadores!G1991</f>
        <v>21</v>
      </c>
      <c r="I1991" s="7" t="n">
        <f aca="false" t="array" ref="I1991:I1991">_xlfn.XLOOKUP(G1991,{55;56;57;58;59;60;61;62;63;64;65;66;67;68;69;70;71;72;73;74;75;76;77;78;79;80;81;82;83;84;85;86;87;88;89;90;91;92;93;94;95;96;97;98;99},{100000;130000;160000;190000;220000;250000;300000;350000;400000;450000;500000;600000;700000;800000;900000;1000000;1500000;2000000;3000000;4000000;5000000;6500000;8000000;10000000;12500000;15000000;20000000;25000000;30000000;35000000;40000000;55000000;70000000;80000000;90000000;110000000;130000000;160000000;190000000;220000000;250000000;280000000;310000000;340000000;400000000})</f>
        <v>450000</v>
      </c>
      <c r="J1991" s="7" t="n">
        <f aca="false">I1991*S1991*T1991*U1991</f>
        <v>737100</v>
      </c>
      <c r="K1991" s="3"/>
      <c r="L1991" s="3"/>
      <c r="M1991" s="3"/>
      <c r="N1991" s="9" t="n">
        <v>0</v>
      </c>
      <c r="O1991" s="4" t="n">
        <v>0</v>
      </c>
      <c r="P1991" s="5" t="n">
        <f aca="false">IF(COUNTIF([1]Base_Jugadores!J$2:J$500,B1991)&gt;0,1,0)</f>
        <v>0</v>
      </c>
      <c r="Q1991" s="10" t="b">
        <f aca="false">--(COUNTIFS(
   [1]Fichajes_Realizados!A$2:A$5000,A1991,
   [1]Fichajes_Realizados!G$2:G$5000,$X$3
)&gt;0)</f>
        <v>0</v>
      </c>
      <c r="R1991" s="5" t="n">
        <f aca="false">_xlfn.XLOOKUP(C1991, [1]Estado_Equipos!A$2:A$500, [1]Estado_Equipos!J$2:J$500, "")</f>
        <v>73</v>
      </c>
      <c r="S1991" s="5" t="n">
        <f aca="false">IF(H1991&lt;=16,1.45,
IF(H1991&gt;=41,0.3,
CHOOSE(ROUNDDOWN((H1991-16)/2,0)+1,
1.45,1.38,1.3,1.23,1.17,1.15,1.12,1.05,0.95,0.8,0.6,0.4,0.3)))</f>
        <v>1.3</v>
      </c>
      <c r="T1991" s="5" t="n">
        <f aca="false">CHOOSE(N1991+1,1.2,1,0.85,0.7)</f>
        <v>1.2</v>
      </c>
      <c r="U1991" s="5" t="n">
        <f aca="false">IF(F1991="PO",0.6,
IF(F1991="CT",0.75,
IF(F1991="LI",0.8,
IF(F1991="LD",0.8,
IF(F1991="MCD",0.85,
IF(F1991="MC",0.95,
IF(F1991="MO",1.05,
IF(F1991="EI",1.1,
IF(F1991="ED",1.1,
IF(F1991="SD",1.15,
IF(F1991="DC",1.2,0)))))))))))</f>
        <v>1.05</v>
      </c>
    </row>
    <row r="1992" customFormat="false" ht="16.4" hidden="false" customHeight="false" outlineLevel="0" collapsed="false">
      <c r="A1992" s="1" t="n">
        <v>1991</v>
      </c>
      <c r="B1992" s="5" t="str">
        <f aca="false">[1]Base_Jugadores!B1992</f>
        <v>Jens Stage</v>
      </c>
      <c r="C1992" s="5" t="str">
        <f aca="false">IFERROR(
   _xlfn.XLOOKUP(VALUE(A1992),[1]Fichajes_Realizados!A$2:A$50000,[1]Fichajes_Realizados!D$2:D$50000,,0,-1),
   _xlfn.XLOOKUP(VALUE(A1992),[1]Base_Jugadores!A$2:A$50000,[1]Base_Jugadores!C$2:C$50000)
)</f>
        <v>SV Werder Bremen</v>
      </c>
      <c r="D1992" s="5" t="str">
        <f aca="false">[1]Base_Jugadores!D1992</f>
        <v>Dinamarca</v>
      </c>
      <c r="E1992" s="3"/>
      <c r="F1992" s="5" t="str">
        <f aca="false">[1]Base_Jugadores!E1992</f>
        <v>MC</v>
      </c>
      <c r="G1992" s="5" t="n">
        <f aca="false">[1]Base_Jugadores!F1992</f>
        <v>75</v>
      </c>
      <c r="H1992" s="5" t="n">
        <f aca="false">[1]Base_Jugadores!G1992</f>
        <v>29</v>
      </c>
      <c r="I1992" s="7" t="n">
        <f aca="false" t="array" ref="I1992:I1992">_xlfn.XLOOKUP(G1992,{55;56;57;58;59;60;61;62;63;64;65;66;67;68;69;70;71;72;73;74;75;76;77;78;79;80;81;82;83;84;85;86;87;88;89;90;91;92;93;94;95;96;97;98;99},{100000;130000;160000;190000;220000;250000;300000;350000;400000;450000;500000;600000;700000;800000;900000;1000000;1500000;2000000;3000000;4000000;5000000;6500000;8000000;10000000;12500000;15000000;20000000;25000000;30000000;35000000;40000000;55000000;70000000;80000000;90000000;110000000;130000000;160000000;190000000;220000000;250000000;280000000;310000000;340000000;400000000})</f>
        <v>5000000</v>
      </c>
      <c r="J1992" s="7" t="n">
        <f aca="false">I1992*S1992*T1992*U1992</f>
        <v>6384000</v>
      </c>
      <c r="K1992" s="3"/>
      <c r="L1992" s="3"/>
      <c r="M1992" s="3"/>
      <c r="N1992" s="9" t="n">
        <v>0</v>
      </c>
      <c r="O1992" s="4" t="n">
        <v>0</v>
      </c>
      <c r="P1992" s="5" t="n">
        <f aca="false">IF(COUNTIF([1]Base_Jugadores!J$2:J$500,B1992)&gt;0,1,0)</f>
        <v>0</v>
      </c>
      <c r="Q1992" s="10" t="b">
        <f aca="false">--(COUNTIFS(
   [1]Fichajes_Realizados!A$2:A$5000,A1992,
   [1]Fichajes_Realizados!G$2:G$5000,$X$3
)&gt;0)</f>
        <v>0</v>
      </c>
      <c r="R1992" s="5" t="n">
        <f aca="false">_xlfn.XLOOKUP(C1992, [1]Estado_Equipos!A$2:A$500, [1]Estado_Equipos!J$2:J$500, "")</f>
        <v>73</v>
      </c>
      <c r="S1992" s="5" t="n">
        <f aca="false">IF(H1992&lt;=16,1.45,
IF(H1992&gt;=41,0.3,
CHOOSE(ROUNDDOWN((H1992-16)/2,0)+1,
1.45,1.38,1.3,1.23,1.17,1.15,1.12,1.05,0.95,0.8,0.6,0.4,0.3)))</f>
        <v>1.12</v>
      </c>
      <c r="T1992" s="5" t="n">
        <f aca="false">CHOOSE(N1992+1,1.2,1,0.85,0.7)</f>
        <v>1.2</v>
      </c>
      <c r="U1992" s="5" t="n">
        <f aca="false">IF(F1992="PO",0.6,
IF(F1992="CT",0.75,
IF(F1992="LI",0.8,
IF(F1992="LD",0.8,
IF(F1992="MCD",0.85,
IF(F1992="MC",0.95,
IF(F1992="MO",1.05,
IF(F1992="EI",1.1,
IF(F1992="ED",1.1,
IF(F1992="SD",1.15,
IF(F1992="DC",1.2,0)))))))))))</f>
        <v>0.95</v>
      </c>
    </row>
    <row r="1993" customFormat="false" ht="16.4" hidden="false" customHeight="false" outlineLevel="0" collapsed="false">
      <c r="A1993" s="1" t="n">
        <v>1992</v>
      </c>
      <c r="B1993" s="5" t="str">
        <f aca="false">[1]Base_Jugadores!B1993</f>
        <v>Julián Malatini</v>
      </c>
      <c r="C1993" s="5" t="str">
        <f aca="false">IFERROR(
   _xlfn.XLOOKUP(VALUE(A1993),[1]Fichajes_Realizados!A$2:A$50000,[1]Fichajes_Realizados!D$2:D$50000,,0,-1),
   _xlfn.XLOOKUP(VALUE(A1993),[1]Base_Jugadores!A$2:A$50000,[1]Base_Jugadores!C$2:C$50000)
)</f>
        <v>SV Werder Bremen</v>
      </c>
      <c r="D1993" s="5" t="str">
        <f aca="false">[1]Base_Jugadores!D1993</f>
        <v>Argentina</v>
      </c>
      <c r="E1993" s="3"/>
      <c r="F1993" s="5" t="str">
        <f aca="false">[1]Base_Jugadores!E1993</f>
        <v>CT</v>
      </c>
      <c r="G1993" s="5" t="n">
        <f aca="false">[1]Base_Jugadores!F1993</f>
        <v>65</v>
      </c>
      <c r="H1993" s="5" t="n">
        <f aca="false">[1]Base_Jugadores!G1993</f>
        <v>24</v>
      </c>
      <c r="I1993" s="7" t="n">
        <f aca="false" t="array" ref="I1993:I1993">_xlfn.XLOOKUP(G1993,{55;56;57;58;59;60;61;62;63;64;65;66;67;68;69;70;71;72;73;74;75;76;77;78;79;80;81;82;83;84;85;86;87;88;89;90;91;92;93;94;95;96;97;98;99},{100000;130000;160000;190000;220000;250000;300000;350000;400000;450000;500000;600000;700000;800000;900000;1000000;1500000;2000000;3000000;4000000;5000000;6500000;8000000;10000000;12500000;15000000;20000000;25000000;30000000;35000000;40000000;55000000;70000000;80000000;90000000;110000000;130000000;160000000;190000000;220000000;250000000;280000000;310000000;340000000;400000000})</f>
        <v>500000</v>
      </c>
      <c r="J1993" s="7" t="n">
        <f aca="false">I1993*S1993*T1993*U1993</f>
        <v>526500</v>
      </c>
      <c r="K1993" s="3"/>
      <c r="L1993" s="3"/>
      <c r="M1993" s="3"/>
      <c r="N1993" s="9" t="n">
        <v>0</v>
      </c>
      <c r="O1993" s="4" t="n">
        <v>0</v>
      </c>
      <c r="P1993" s="5" t="n">
        <f aca="false">IF(COUNTIF([1]Base_Jugadores!J$2:J$500,B1993)&gt;0,1,0)</f>
        <v>0</v>
      </c>
      <c r="Q1993" s="10" t="b">
        <f aca="false">--(COUNTIFS(
   [1]Fichajes_Realizados!A$2:A$5000,A1993,
   [1]Fichajes_Realizados!G$2:G$5000,$X$3
)&gt;0)</f>
        <v>0</v>
      </c>
      <c r="R1993" s="5" t="n">
        <f aca="false">_xlfn.XLOOKUP(C1993, [1]Estado_Equipos!A$2:A$500, [1]Estado_Equipos!J$2:J$500, "")</f>
        <v>73</v>
      </c>
      <c r="S1993" s="5" t="n">
        <f aca="false">IF(H1993&lt;=16,1.45,
IF(H1993&gt;=41,0.3,
CHOOSE(ROUNDDOWN((H1993-16)/2,0)+1,
1.45,1.38,1.3,1.23,1.17,1.15,1.12,1.05,0.95,0.8,0.6,0.4,0.3)))</f>
        <v>1.17</v>
      </c>
      <c r="T1993" s="5" t="n">
        <f aca="false">CHOOSE(N1993+1,1.2,1,0.85,0.7)</f>
        <v>1.2</v>
      </c>
      <c r="U1993" s="5" t="n">
        <f aca="false">IF(F1993="PO",0.6,
IF(F1993="CT",0.75,
IF(F1993="LI",0.8,
IF(F1993="LD",0.8,
IF(F1993="MCD",0.85,
IF(F1993="MC",0.95,
IF(F1993="MO",1.05,
IF(F1993="EI",1.1,
IF(F1993="ED",1.1,
IF(F1993="SD",1.15,
IF(F1993="DC",1.2,0)))))))))))</f>
        <v>0.75</v>
      </c>
    </row>
    <row r="1994" customFormat="false" ht="16.4" hidden="false" customHeight="false" outlineLevel="0" collapsed="false">
      <c r="A1994" s="1" t="n">
        <v>1993</v>
      </c>
      <c r="B1994" s="5" t="str">
        <f aca="false">[1]Base_Jugadores!B1994</f>
        <v>Justin Njinmah</v>
      </c>
      <c r="C1994" s="5" t="str">
        <f aca="false">IFERROR(
   _xlfn.XLOOKUP(VALUE(A1994),[1]Fichajes_Realizados!A$2:A$50000,[1]Fichajes_Realizados!D$2:D$50000,,0,-1),
   _xlfn.XLOOKUP(VALUE(A1994),[1]Base_Jugadores!A$2:A$50000,[1]Base_Jugadores!C$2:C$50000)
)</f>
        <v>SV Werder Bremen</v>
      </c>
      <c r="D1994" s="5" t="str">
        <f aca="false">[1]Base_Jugadores!D1994</f>
        <v>Alemania</v>
      </c>
      <c r="E1994" s="3"/>
      <c r="F1994" s="5" t="str">
        <f aca="false">[1]Base_Jugadores!E1994</f>
        <v>ED</v>
      </c>
      <c r="G1994" s="5" t="n">
        <f aca="false">[1]Base_Jugadores!F1994</f>
        <v>74</v>
      </c>
      <c r="H1994" s="5" t="n">
        <f aca="false">[1]Base_Jugadores!G1994</f>
        <v>25</v>
      </c>
      <c r="I1994" s="7" t="n">
        <f aca="false" t="array" ref="I1994:I1994">_xlfn.XLOOKUP(G1994,{55;56;57;58;59;60;61;62;63;64;65;66;67;68;69;70;71;72;73;74;75;76;77;78;79;80;81;82;83;84;85;86;87;88;89;90;91;92;93;94;95;96;97;98;99},{100000;130000;160000;190000;220000;250000;300000;350000;400000;450000;500000;600000;700000;800000;900000;1000000;1500000;2000000;3000000;4000000;5000000;6500000;8000000;10000000;12500000;15000000;20000000;25000000;30000000;35000000;40000000;55000000;70000000;80000000;90000000;110000000;130000000;160000000;190000000;220000000;250000000;280000000;310000000;340000000;400000000})</f>
        <v>4000000</v>
      </c>
      <c r="J1994" s="7" t="n">
        <f aca="false">I1994*S1994*T1994*U1994</f>
        <v>6177600</v>
      </c>
      <c r="K1994" s="3"/>
      <c r="L1994" s="3"/>
      <c r="M1994" s="3"/>
      <c r="N1994" s="9" t="n">
        <v>0</v>
      </c>
      <c r="O1994" s="4" t="n">
        <v>0</v>
      </c>
      <c r="P1994" s="5" t="n">
        <f aca="false">IF(COUNTIF([1]Base_Jugadores!J$2:J$500,B1994)&gt;0,1,0)</f>
        <v>0</v>
      </c>
      <c r="Q1994" s="10" t="b">
        <f aca="false">--(COUNTIFS(
   [1]Fichajes_Realizados!A$2:A$5000,A1994,
   [1]Fichajes_Realizados!G$2:G$5000,$X$3
)&gt;0)</f>
        <v>0</v>
      </c>
      <c r="R1994" s="5" t="n">
        <f aca="false">_xlfn.XLOOKUP(C1994, [1]Estado_Equipos!A$2:A$500, [1]Estado_Equipos!J$2:J$500, "")</f>
        <v>73</v>
      </c>
      <c r="S1994" s="5" t="n">
        <f aca="false">IF(H1994&lt;=16,1.45,
IF(H1994&gt;=41,0.3,
CHOOSE(ROUNDDOWN((H1994-16)/2,0)+1,
1.45,1.38,1.3,1.23,1.17,1.15,1.12,1.05,0.95,0.8,0.6,0.4,0.3)))</f>
        <v>1.17</v>
      </c>
      <c r="T1994" s="5" t="n">
        <f aca="false">CHOOSE(N1994+1,1.2,1,0.85,0.7)</f>
        <v>1.2</v>
      </c>
      <c r="U1994" s="5" t="n">
        <f aca="false">IF(F1994="PO",0.6,
IF(F1994="CT",0.75,
IF(F1994="LI",0.8,
IF(F1994="LD",0.8,
IF(F1994="MCD",0.85,
IF(F1994="MC",0.95,
IF(F1994="MO",1.05,
IF(F1994="EI",1.1,
IF(F1994="ED",1.1,
IF(F1994="SD",1.15,
IF(F1994="DC",1.2,0)))))))))))</f>
        <v>1.1</v>
      </c>
    </row>
    <row r="1995" customFormat="false" ht="16.4" hidden="false" customHeight="false" outlineLevel="0" collapsed="false">
      <c r="A1995" s="1" t="n">
        <v>1994</v>
      </c>
      <c r="B1995" s="5" t="str">
        <f aca="false">[1]Base_Jugadores!B1995</f>
        <v>Karl Hein</v>
      </c>
      <c r="C1995" s="5" t="str">
        <f aca="false">IFERROR(
   _xlfn.XLOOKUP(VALUE(A1995),[1]Fichajes_Realizados!A$2:A$50000,[1]Fichajes_Realizados!D$2:D$50000,,0,-1),
   _xlfn.XLOOKUP(VALUE(A1995),[1]Base_Jugadores!A$2:A$50000,[1]Base_Jugadores!C$2:C$50000)
)</f>
        <v>SV Werder Bremen</v>
      </c>
      <c r="D1995" s="5" t="str">
        <f aca="false">[1]Base_Jugadores!D1995</f>
        <v>Estonia</v>
      </c>
      <c r="E1995" s="3"/>
      <c r="F1995" s="5" t="str">
        <f aca="false">[1]Base_Jugadores!E1995</f>
        <v>PO</v>
      </c>
      <c r="G1995" s="5" t="n">
        <f aca="false">[1]Base_Jugadores!F1995</f>
        <v>71</v>
      </c>
      <c r="H1995" s="5" t="n">
        <f aca="false">[1]Base_Jugadores!G1995</f>
        <v>23</v>
      </c>
      <c r="I1995" s="7" t="n">
        <f aca="false" t="array" ref="I1995:I1995">_xlfn.XLOOKUP(G1995,{55;56;57;58;59;60;61;62;63;64;65;66;67;68;69;70;71;72;73;74;75;76;77;78;79;80;81;82;83;84;85;86;87;88;89;90;91;92;93;94;95;96;97;98;99},{100000;130000;160000;190000;220000;250000;300000;350000;400000;450000;500000;600000;700000;800000;900000;1000000;1500000;2000000;3000000;4000000;5000000;6500000;8000000;10000000;12500000;15000000;20000000;25000000;30000000;35000000;40000000;55000000;70000000;80000000;90000000;110000000;130000000;160000000;190000000;220000000;250000000;280000000;310000000;340000000;400000000})</f>
        <v>1500000</v>
      </c>
      <c r="J1995" s="7" t="n">
        <f aca="false">I1995*S1995*T1995*U1995</f>
        <v>1328400</v>
      </c>
      <c r="K1995" s="3"/>
      <c r="L1995" s="3"/>
      <c r="M1995" s="3"/>
      <c r="N1995" s="9" t="n">
        <v>0</v>
      </c>
      <c r="O1995" s="4" t="n">
        <v>0</v>
      </c>
      <c r="P1995" s="5" t="n">
        <f aca="false">IF(COUNTIF([1]Base_Jugadores!J$2:J$500,B1995)&gt;0,1,0)</f>
        <v>0</v>
      </c>
      <c r="Q1995" s="10" t="b">
        <f aca="false">--(COUNTIFS(
   [1]Fichajes_Realizados!A$2:A$5000,A1995,
   [1]Fichajes_Realizados!G$2:G$5000,$X$3
)&gt;0)</f>
        <v>0</v>
      </c>
      <c r="R1995" s="5" t="n">
        <f aca="false">_xlfn.XLOOKUP(C1995, [1]Estado_Equipos!A$2:A$500, [1]Estado_Equipos!J$2:J$500, "")</f>
        <v>73</v>
      </c>
      <c r="S1995" s="5" t="n">
        <f aca="false">IF(H1995&lt;=16,1.45,
IF(H1995&gt;=41,0.3,
CHOOSE(ROUNDDOWN((H1995-16)/2,0)+1,
1.45,1.38,1.3,1.23,1.17,1.15,1.12,1.05,0.95,0.8,0.6,0.4,0.3)))</f>
        <v>1.23</v>
      </c>
      <c r="T1995" s="5" t="n">
        <f aca="false">CHOOSE(N1995+1,1.2,1,0.85,0.7)</f>
        <v>1.2</v>
      </c>
      <c r="U1995" s="5" t="n">
        <f aca="false">IF(F1995="PO",0.6,
IF(F1995="CT",0.75,
IF(F1995="LI",0.8,
IF(F1995="LD",0.8,
IF(F1995="MCD",0.85,
IF(F1995="MC",0.95,
IF(F1995="MO",1.05,
IF(F1995="EI",1.1,
IF(F1995="ED",1.1,
IF(F1995="SD",1.15,
IF(F1995="DC",1.2,0)))))))))))</f>
        <v>0.6</v>
      </c>
    </row>
    <row r="1996" customFormat="false" ht="16.4" hidden="false" customHeight="false" outlineLevel="0" collapsed="false">
      <c r="A1996" s="1" t="n">
        <v>1995</v>
      </c>
      <c r="B1996" s="5" t="str">
        <f aca="false">[1]Base_Jugadores!B1996</f>
        <v>Keke Topp</v>
      </c>
      <c r="C1996" s="5" t="str">
        <f aca="false">IFERROR(
   _xlfn.XLOOKUP(VALUE(A1996),[1]Fichajes_Realizados!A$2:A$50000,[1]Fichajes_Realizados!D$2:D$50000,,0,-1),
   _xlfn.XLOOKUP(VALUE(A1996),[1]Base_Jugadores!A$2:A$50000,[1]Base_Jugadores!C$2:C$50000)
)</f>
        <v>SV Werder Bremen</v>
      </c>
      <c r="D1996" s="5" t="str">
        <f aca="false">[1]Base_Jugadores!D1996</f>
        <v>Alemania</v>
      </c>
      <c r="E1996" s="3"/>
      <c r="F1996" s="5" t="str">
        <f aca="false">[1]Base_Jugadores!E1996</f>
        <v>DC</v>
      </c>
      <c r="G1996" s="5" t="n">
        <f aca="false">[1]Base_Jugadores!F1996</f>
        <v>67</v>
      </c>
      <c r="H1996" s="5" t="n">
        <f aca="false">[1]Base_Jugadores!G1996</f>
        <v>21</v>
      </c>
      <c r="I1996" s="7" t="n">
        <f aca="false" t="array" ref="I1996:I1996">_xlfn.XLOOKUP(G1996,{55;56;57;58;59;60;61;62;63;64;65;66;67;68;69;70;71;72;73;74;75;76;77;78;79;80;81;82;83;84;85;86;87;88;89;90;91;92;93;94;95;96;97;98;99},{100000;130000;160000;190000;220000;250000;300000;350000;400000;450000;500000;600000;700000;800000;900000;1000000;1500000;2000000;3000000;4000000;5000000;6500000;8000000;10000000;12500000;15000000;20000000;25000000;30000000;35000000;40000000;55000000;70000000;80000000;90000000;110000000;130000000;160000000;190000000;220000000;250000000;280000000;310000000;340000000;400000000})</f>
        <v>700000</v>
      </c>
      <c r="J1996" s="7" t="n">
        <f aca="false">I1996*S1996*T1996*U1996</f>
        <v>1310400</v>
      </c>
      <c r="K1996" s="3"/>
      <c r="L1996" s="3"/>
      <c r="M1996" s="3"/>
      <c r="N1996" s="9" t="n">
        <v>0</v>
      </c>
      <c r="O1996" s="4" t="n">
        <v>0</v>
      </c>
      <c r="P1996" s="5" t="n">
        <f aca="false">IF(COUNTIF([1]Base_Jugadores!J$2:J$500,B1996)&gt;0,1,0)</f>
        <v>0</v>
      </c>
      <c r="Q1996" s="10" t="b">
        <f aca="false">--(COUNTIFS(
   [1]Fichajes_Realizados!A$2:A$5000,A1996,
   [1]Fichajes_Realizados!G$2:G$5000,$X$3
)&gt;0)</f>
        <v>0</v>
      </c>
      <c r="R1996" s="5" t="n">
        <f aca="false">_xlfn.XLOOKUP(C1996, [1]Estado_Equipos!A$2:A$500, [1]Estado_Equipos!J$2:J$500, "")</f>
        <v>73</v>
      </c>
      <c r="S1996" s="5" t="n">
        <f aca="false">IF(H1996&lt;=16,1.45,
IF(H1996&gt;=41,0.3,
CHOOSE(ROUNDDOWN((H1996-16)/2,0)+1,
1.45,1.38,1.3,1.23,1.17,1.15,1.12,1.05,0.95,0.8,0.6,0.4,0.3)))</f>
        <v>1.3</v>
      </c>
      <c r="T1996" s="5" t="n">
        <f aca="false">CHOOSE(N1996+1,1.2,1,0.85,0.7)</f>
        <v>1.2</v>
      </c>
      <c r="U1996" s="5" t="n">
        <f aca="false">IF(F1996="PO",0.6,
IF(F1996="CT",0.75,
IF(F1996="LI",0.8,
IF(F1996="LD",0.8,
IF(F1996="MCD",0.85,
IF(F1996="MC",0.95,
IF(F1996="MO",1.05,
IF(F1996="EI",1.1,
IF(F1996="ED",1.1,
IF(F1996="SD",1.15,
IF(F1996="DC",1.2,0)))))))))))</f>
        <v>1.2</v>
      </c>
    </row>
    <row r="1997" customFormat="false" ht="16.4" hidden="false" customHeight="false" outlineLevel="0" collapsed="false">
      <c r="A1997" s="1" t="n">
        <v>1996</v>
      </c>
      <c r="B1997" s="5" t="str">
        <f aca="false">[1]Base_Jugadores!B1997</f>
        <v>L. Bittencourt</v>
      </c>
      <c r="C1997" s="5" t="str">
        <f aca="false">IFERROR(
   _xlfn.XLOOKUP(VALUE(A1997),[1]Fichajes_Realizados!A$2:A$50000,[1]Fichajes_Realizados!D$2:D$50000,,0,-1),
   _xlfn.XLOOKUP(VALUE(A1997),[1]Base_Jugadores!A$2:A$50000,[1]Base_Jugadores!C$2:C$50000)
)</f>
        <v>SV Werder Bremen</v>
      </c>
      <c r="D1997" s="5" t="str">
        <f aca="false">[1]Base_Jugadores!D1997</f>
        <v>Alemania</v>
      </c>
      <c r="E1997" s="3"/>
      <c r="F1997" s="5" t="str">
        <f aca="false">[1]Base_Jugadores!E1997</f>
        <v>MC</v>
      </c>
      <c r="G1997" s="5" t="n">
        <f aca="false">[1]Base_Jugadores!F1997</f>
        <v>74</v>
      </c>
      <c r="H1997" s="5" t="n">
        <f aca="false">[1]Base_Jugadores!G1997</f>
        <v>32</v>
      </c>
      <c r="I1997" s="7" t="n">
        <f aca="false" t="array" ref="I1997:I1997">_xlfn.XLOOKUP(G1997,{55;56;57;58;59;60;61;62;63;64;65;66;67;68;69;70;71;72;73;74;75;76;77;78;79;80;81;82;83;84;85;86;87;88;89;90;91;92;93;94;95;96;97;98;99},{100000;130000;160000;190000;220000;250000;300000;350000;400000;450000;500000;600000;700000;800000;900000;1000000;1500000;2000000;3000000;4000000;5000000;6500000;8000000;10000000;12500000;15000000;20000000;25000000;30000000;35000000;40000000;55000000;70000000;80000000;90000000;110000000;130000000;160000000;190000000;220000000;250000000;280000000;310000000;340000000;400000000})</f>
        <v>4000000</v>
      </c>
      <c r="J1997" s="7" t="n">
        <f aca="false">I1997*S1997*T1997*U1997</f>
        <v>4332000</v>
      </c>
      <c r="K1997" s="3"/>
      <c r="L1997" s="3"/>
      <c r="M1997" s="3"/>
      <c r="N1997" s="9" t="n">
        <v>0</v>
      </c>
      <c r="O1997" s="4" t="n">
        <v>0</v>
      </c>
      <c r="P1997" s="5" t="n">
        <f aca="false">IF(COUNTIF([1]Base_Jugadores!J$2:J$500,B1997)&gt;0,1,0)</f>
        <v>0</v>
      </c>
      <c r="Q1997" s="10" t="b">
        <f aca="false">--(COUNTIFS(
   [1]Fichajes_Realizados!A$2:A$5000,A1997,
   [1]Fichajes_Realizados!G$2:G$5000,$X$3
)&gt;0)</f>
        <v>0</v>
      </c>
      <c r="R1997" s="5" t="n">
        <f aca="false">_xlfn.XLOOKUP(C1997, [1]Estado_Equipos!A$2:A$500, [1]Estado_Equipos!J$2:J$500, "")</f>
        <v>73</v>
      </c>
      <c r="S1997" s="5" t="n">
        <f aca="false">IF(H1997&lt;=16,1.45,
IF(H1997&gt;=41,0.3,
CHOOSE(ROUNDDOWN((H1997-16)/2,0)+1,
1.45,1.38,1.3,1.23,1.17,1.15,1.12,1.05,0.95,0.8,0.6,0.4,0.3)))</f>
        <v>0.95</v>
      </c>
      <c r="T1997" s="5" t="n">
        <f aca="false">CHOOSE(N1997+1,1.2,1,0.85,0.7)</f>
        <v>1.2</v>
      </c>
      <c r="U1997" s="5" t="n">
        <f aca="false">IF(F1997="PO",0.6,
IF(F1997="CT",0.75,
IF(F1997="LI",0.8,
IF(F1997="LD",0.8,
IF(F1997="MCD",0.85,
IF(F1997="MC",0.95,
IF(F1997="MO",1.05,
IF(F1997="EI",1.1,
IF(F1997="ED",1.1,
IF(F1997="SD",1.15,
IF(F1997="DC",1.2,0)))))))))))</f>
        <v>0.95</v>
      </c>
    </row>
    <row r="1998" customFormat="false" ht="16.4" hidden="false" customHeight="false" outlineLevel="0" collapsed="false">
      <c r="A1998" s="1" t="n">
        <v>1997</v>
      </c>
      <c r="B1998" s="5" t="str">
        <f aca="false">[1]Base_Jugadores!B1998</f>
        <v>Marco Friedl</v>
      </c>
      <c r="C1998" s="5" t="str">
        <f aca="false">IFERROR(
   _xlfn.XLOOKUP(VALUE(A1998),[1]Fichajes_Realizados!A$2:A$50000,[1]Fichajes_Realizados!D$2:D$50000,,0,-1),
   _xlfn.XLOOKUP(VALUE(A1998),[1]Base_Jugadores!A$2:A$50000,[1]Base_Jugadores!C$2:C$50000)
)</f>
        <v>SV Werder Bremen</v>
      </c>
      <c r="D1998" s="5" t="str">
        <f aca="false">[1]Base_Jugadores!D1998</f>
        <v>Austria</v>
      </c>
      <c r="E1998" s="3"/>
      <c r="F1998" s="5" t="str">
        <f aca="false">[1]Base_Jugadores!E1998</f>
        <v>CT</v>
      </c>
      <c r="G1998" s="5" t="n">
        <f aca="false">[1]Base_Jugadores!F1998</f>
        <v>75</v>
      </c>
      <c r="H1998" s="5" t="n">
        <f aca="false">[1]Base_Jugadores!G1998</f>
        <v>27</v>
      </c>
      <c r="I1998" s="7" t="n">
        <f aca="false" t="array" ref="I1998:I1998">_xlfn.XLOOKUP(G1998,{55;56;57;58;59;60;61;62;63;64;65;66;67;68;69;70;71;72;73;74;75;76;77;78;79;80;81;82;83;84;85;86;87;88;89;90;91;92;93;94;95;96;97;98;99},{100000;130000;160000;190000;220000;250000;300000;350000;400000;450000;500000;600000;700000;800000;900000;1000000;1500000;2000000;3000000;4000000;5000000;6500000;8000000;10000000;12500000;15000000;20000000;25000000;30000000;35000000;40000000;55000000;70000000;80000000;90000000;110000000;130000000;160000000;190000000;220000000;250000000;280000000;310000000;340000000;400000000})</f>
        <v>5000000</v>
      </c>
      <c r="J1998" s="7" t="n">
        <f aca="false">I1998*S1998*T1998*U1998</f>
        <v>5175000</v>
      </c>
      <c r="K1998" s="3"/>
      <c r="L1998" s="3"/>
      <c r="M1998" s="3"/>
      <c r="N1998" s="9" t="n">
        <v>0</v>
      </c>
      <c r="O1998" s="4" t="n">
        <v>0</v>
      </c>
      <c r="P1998" s="5" t="n">
        <f aca="false">IF(COUNTIF([1]Base_Jugadores!J$2:J$500,B1998)&gt;0,1,0)</f>
        <v>0</v>
      </c>
      <c r="Q1998" s="10" t="b">
        <f aca="false">--(COUNTIFS(
   [1]Fichajes_Realizados!A$2:A$5000,A1998,
   [1]Fichajes_Realizados!G$2:G$5000,$X$3
)&gt;0)</f>
        <v>0</v>
      </c>
      <c r="R1998" s="5" t="n">
        <f aca="false">_xlfn.XLOOKUP(C1998, [1]Estado_Equipos!A$2:A$500, [1]Estado_Equipos!J$2:J$500, "")</f>
        <v>73</v>
      </c>
      <c r="S1998" s="5" t="n">
        <f aca="false">IF(H1998&lt;=16,1.45,
IF(H1998&gt;=41,0.3,
CHOOSE(ROUNDDOWN((H1998-16)/2,0)+1,
1.45,1.38,1.3,1.23,1.17,1.15,1.12,1.05,0.95,0.8,0.6,0.4,0.3)))</f>
        <v>1.15</v>
      </c>
      <c r="T1998" s="5" t="n">
        <f aca="false">CHOOSE(N1998+1,1.2,1,0.85,0.7)</f>
        <v>1.2</v>
      </c>
      <c r="U1998" s="5" t="n">
        <f aca="false">IF(F1998="PO",0.6,
IF(F1998="CT",0.75,
IF(F1998="LI",0.8,
IF(F1998="LD",0.8,
IF(F1998="MCD",0.85,
IF(F1998="MC",0.95,
IF(F1998="MO",1.05,
IF(F1998="EI",1.1,
IF(F1998="ED",1.1,
IF(F1998="SD",1.15,
IF(F1998="DC",1.2,0)))))))))))</f>
        <v>0.75</v>
      </c>
    </row>
    <row r="1999" customFormat="false" ht="16.4" hidden="false" customHeight="false" outlineLevel="0" collapsed="false">
      <c r="A1999" s="1" t="n">
        <v>1998</v>
      </c>
      <c r="B1999" s="5" t="str">
        <f aca="false">[1]Base_Jugadores!B1999</f>
        <v>Marco Grüll</v>
      </c>
      <c r="C1999" s="5" t="str">
        <f aca="false">IFERROR(
   _xlfn.XLOOKUP(VALUE(A1999),[1]Fichajes_Realizados!A$2:A$50000,[1]Fichajes_Realizados!D$2:D$50000,,0,-1),
   _xlfn.XLOOKUP(VALUE(A1999),[1]Base_Jugadores!A$2:A$50000,[1]Base_Jugadores!C$2:C$50000)
)</f>
        <v>SV Werder Bremen</v>
      </c>
      <c r="D1999" s="5" t="str">
        <f aca="false">[1]Base_Jugadores!D1999</f>
        <v>Austria</v>
      </c>
      <c r="E1999" s="3"/>
      <c r="F1999" s="5" t="str">
        <f aca="false">[1]Base_Jugadores!E1999</f>
        <v>EI</v>
      </c>
      <c r="G1999" s="5" t="n">
        <f aca="false">[1]Base_Jugadores!F1999</f>
        <v>74</v>
      </c>
      <c r="H1999" s="5" t="n">
        <f aca="false">[1]Base_Jugadores!G1999</f>
        <v>27</v>
      </c>
      <c r="I1999" s="7" t="n">
        <f aca="false" t="array" ref="I1999:I1999">_xlfn.XLOOKUP(G1999,{55;56;57;58;59;60;61;62;63;64;65;66;67;68;69;70;71;72;73;74;75;76;77;78;79;80;81;82;83;84;85;86;87;88;89;90;91;92;93;94;95;96;97;98;99},{100000;130000;160000;190000;220000;250000;300000;350000;400000;450000;500000;600000;700000;800000;900000;1000000;1500000;2000000;3000000;4000000;5000000;6500000;8000000;10000000;12500000;15000000;20000000;25000000;30000000;35000000;40000000;55000000;70000000;80000000;90000000;110000000;130000000;160000000;190000000;220000000;250000000;280000000;310000000;340000000;400000000})</f>
        <v>4000000</v>
      </c>
      <c r="J1999" s="7" t="n">
        <f aca="false">I1999*S1999*T1999*U1999</f>
        <v>6072000</v>
      </c>
      <c r="K1999" s="3"/>
      <c r="L1999" s="3"/>
      <c r="M1999" s="3"/>
      <c r="N1999" s="9" t="n">
        <v>0</v>
      </c>
      <c r="O1999" s="4" t="n">
        <v>0</v>
      </c>
      <c r="P1999" s="5" t="n">
        <f aca="false">IF(COUNTIF([1]Base_Jugadores!J$2:J$500,B1999)&gt;0,1,0)</f>
        <v>0</v>
      </c>
      <c r="Q1999" s="10" t="b">
        <f aca="false">--(COUNTIFS(
   [1]Fichajes_Realizados!A$2:A$5000,A1999,
   [1]Fichajes_Realizados!G$2:G$5000,$X$3
)&gt;0)</f>
        <v>0</v>
      </c>
      <c r="R1999" s="5" t="n">
        <f aca="false">_xlfn.XLOOKUP(C1999, [1]Estado_Equipos!A$2:A$500, [1]Estado_Equipos!J$2:J$500, "")</f>
        <v>73</v>
      </c>
      <c r="S1999" s="5" t="n">
        <f aca="false">IF(H1999&lt;=16,1.45,
IF(H1999&gt;=41,0.3,
CHOOSE(ROUNDDOWN((H1999-16)/2,0)+1,
1.45,1.38,1.3,1.23,1.17,1.15,1.12,1.05,0.95,0.8,0.6,0.4,0.3)))</f>
        <v>1.15</v>
      </c>
      <c r="T1999" s="5" t="n">
        <f aca="false">CHOOSE(N1999+1,1.2,1,0.85,0.7)</f>
        <v>1.2</v>
      </c>
      <c r="U1999" s="5" t="n">
        <f aca="false">IF(F1999="PO",0.6,
IF(F1999="CT",0.75,
IF(F1999="LI",0.8,
IF(F1999="LD",0.8,
IF(F1999="MCD",0.85,
IF(F1999="MC",0.95,
IF(F1999="MO",1.05,
IF(F1999="EI",1.1,
IF(F1999="ED",1.1,
IF(F1999="SD",1.15,
IF(F1999="DC",1.2,0)))))))))))</f>
        <v>1.1</v>
      </c>
    </row>
    <row r="2000" customFormat="false" ht="16.4" hidden="false" customHeight="false" outlineLevel="0" collapsed="false">
      <c r="A2000" s="1" t="n">
        <v>1999</v>
      </c>
      <c r="B2000" s="5" t="str">
        <f aca="false">[1]Base_Jugadores!B2000</f>
        <v>Markus Kolke</v>
      </c>
      <c r="C2000" s="5" t="str">
        <f aca="false">IFERROR(
   _xlfn.XLOOKUP(VALUE(A2000),[1]Fichajes_Realizados!A$2:A$50000,[1]Fichajes_Realizados!D$2:D$50000,,0,-1),
   _xlfn.XLOOKUP(VALUE(A2000),[1]Base_Jugadores!A$2:A$50000,[1]Base_Jugadores!C$2:C$50000)
)</f>
        <v>SV Werder Bremen</v>
      </c>
      <c r="D2000" s="5" t="str">
        <f aca="false">[1]Base_Jugadores!D2000</f>
        <v>Alemania</v>
      </c>
      <c r="E2000" s="3"/>
      <c r="F2000" s="5" t="str">
        <f aca="false">[1]Base_Jugadores!E2000</f>
        <v>PO</v>
      </c>
      <c r="G2000" s="5" t="n">
        <f aca="false">[1]Base_Jugadores!F2000</f>
        <v>71</v>
      </c>
      <c r="H2000" s="5" t="n">
        <f aca="false">[1]Base_Jugadores!G2000</f>
        <v>35</v>
      </c>
      <c r="I2000" s="7" t="n">
        <f aca="false" t="array" ref="I2000:I2000">_xlfn.XLOOKUP(G2000,{55;56;57;58;59;60;61;62;63;64;65;66;67;68;69;70;71;72;73;74;75;76;77;78;79;80;81;82;83;84;85;86;87;88;89;90;91;92;93;94;95;96;97;98;99},{100000;130000;160000;190000;220000;250000;300000;350000;400000;450000;500000;600000;700000;800000;900000;1000000;1500000;2000000;3000000;4000000;5000000;6500000;8000000;10000000;12500000;15000000;20000000;25000000;30000000;35000000;40000000;55000000;70000000;80000000;90000000;110000000;130000000;160000000;190000000;220000000;250000000;280000000;310000000;340000000;400000000})</f>
        <v>1500000</v>
      </c>
      <c r="J2000" s="7" t="n">
        <f aca="false">I2000*S2000*T2000*U2000</f>
        <v>864000</v>
      </c>
      <c r="K2000" s="3"/>
      <c r="L2000" s="3"/>
      <c r="M2000" s="3"/>
      <c r="N2000" s="9" t="n">
        <v>0</v>
      </c>
      <c r="O2000" s="4" t="n">
        <v>0</v>
      </c>
      <c r="P2000" s="5" t="n">
        <f aca="false">IF(COUNTIF([1]Base_Jugadores!J$2:J$500,B2000)&gt;0,1,0)</f>
        <v>0</v>
      </c>
      <c r="Q2000" s="10" t="b">
        <f aca="false">--(COUNTIFS(
   [1]Fichajes_Realizados!A$2:A$5000,A2000,
   [1]Fichajes_Realizados!G$2:G$5000,$X$3
)&gt;0)</f>
        <v>0</v>
      </c>
      <c r="R2000" s="5" t="n">
        <f aca="false">_xlfn.XLOOKUP(C2000, [1]Estado_Equipos!A$2:A$500, [1]Estado_Equipos!J$2:J$500, "")</f>
        <v>73</v>
      </c>
      <c r="S2000" s="5" t="n">
        <f aca="false">IF(H2000&lt;=16,1.45,
IF(H2000&gt;=41,0.3,
CHOOSE(ROUNDDOWN((H2000-16)/2,0)+1,
1.45,1.38,1.3,1.23,1.17,1.15,1.12,1.05,0.95,0.8,0.6,0.4,0.3)))</f>
        <v>0.8</v>
      </c>
      <c r="T2000" s="5" t="n">
        <f aca="false">CHOOSE(N2000+1,1.2,1,0.85,0.7)</f>
        <v>1.2</v>
      </c>
      <c r="U2000" s="5" t="n">
        <f aca="false">IF(F2000="PO",0.6,
IF(F2000="CT",0.75,
IF(F2000="LI",0.8,
IF(F2000="LD",0.8,
IF(F2000="MCD",0.85,
IF(F2000="MC",0.95,
IF(F2000="MO",1.05,
IF(F2000="EI",1.1,
IF(F2000="ED",1.1,
IF(F2000="SD",1.15,
IF(F2000="DC",1.2,0)))))))))))</f>
        <v>0.6</v>
      </c>
    </row>
    <row r="2001" customFormat="false" ht="16.4" hidden="false" customHeight="false" outlineLevel="0" collapsed="false">
      <c r="A2001" s="1" t="n">
        <v>2000</v>
      </c>
      <c r="B2001" s="5" t="str">
        <f aca="false">[1]Base_Jugadores!B2001</f>
        <v>Maximilian Wöber</v>
      </c>
      <c r="C2001" s="5" t="str">
        <f aca="false">IFERROR(
   _xlfn.XLOOKUP(VALUE(A2001),[1]Fichajes_Realizados!A$2:A$50000,[1]Fichajes_Realizados!D$2:D$50000,,0,-1),
   _xlfn.XLOOKUP(VALUE(A2001),[1]Base_Jugadores!A$2:A$50000,[1]Base_Jugadores!C$2:C$50000)
)</f>
        <v>SV Werder Bremen</v>
      </c>
      <c r="D2001" s="5" t="str">
        <f aca="false">[1]Base_Jugadores!D2001</f>
        <v>Austria</v>
      </c>
      <c r="E2001" s="3"/>
      <c r="F2001" s="5" t="str">
        <f aca="false">[1]Base_Jugadores!E2001</f>
        <v>CT</v>
      </c>
      <c r="G2001" s="5" t="n">
        <f aca="false">[1]Base_Jugadores!F2001</f>
        <v>77</v>
      </c>
      <c r="H2001" s="5" t="n">
        <f aca="false">[1]Base_Jugadores!G2001</f>
        <v>27</v>
      </c>
      <c r="I2001" s="7" t="n">
        <f aca="false" t="array" ref="I2001:I2001">_xlfn.XLOOKUP(G2001,{55;56;57;58;59;60;61;62;63;64;65;66;67;68;69;70;71;72;73;74;75;76;77;78;79;80;81;82;83;84;85;86;87;88;89;90;91;92;93;94;95;96;97;98;99},{100000;130000;160000;190000;220000;250000;300000;350000;400000;450000;500000;600000;700000;800000;900000;1000000;1500000;2000000;3000000;4000000;5000000;6500000;8000000;10000000;12500000;15000000;20000000;25000000;30000000;35000000;40000000;55000000;70000000;80000000;90000000;110000000;130000000;160000000;190000000;220000000;250000000;280000000;310000000;340000000;400000000})</f>
        <v>8000000</v>
      </c>
      <c r="J2001" s="7" t="n">
        <f aca="false">I2001*S2001*T2001*U2001</f>
        <v>8280000</v>
      </c>
      <c r="K2001" s="3"/>
      <c r="L2001" s="3"/>
      <c r="M2001" s="3"/>
      <c r="N2001" s="9" t="n">
        <v>0</v>
      </c>
      <c r="O2001" s="4" t="n">
        <v>0</v>
      </c>
      <c r="P2001" s="5" t="n">
        <f aca="false">IF(COUNTIF([1]Base_Jugadores!J$2:J$500,B2001)&gt;0,1,0)</f>
        <v>0</v>
      </c>
      <c r="Q2001" s="10" t="b">
        <f aca="false">--(COUNTIFS(
   [1]Fichajes_Realizados!A$2:A$5000,A2001,
   [1]Fichajes_Realizados!G$2:G$5000,$X$3
)&gt;0)</f>
        <v>0</v>
      </c>
      <c r="R2001" s="5" t="n">
        <f aca="false">_xlfn.XLOOKUP(C2001, [1]Estado_Equipos!A$2:A$500, [1]Estado_Equipos!J$2:J$500, "")</f>
        <v>73</v>
      </c>
      <c r="S2001" s="5" t="n">
        <f aca="false">IF(H2001&lt;=16,1.45,
IF(H2001&gt;=41,0.3,
CHOOSE(ROUNDDOWN((H2001-16)/2,0)+1,
1.45,1.38,1.3,1.23,1.17,1.15,1.12,1.05,0.95,0.8,0.6,0.4,0.3)))</f>
        <v>1.15</v>
      </c>
      <c r="T2001" s="5" t="n">
        <f aca="false">CHOOSE(N2001+1,1.2,1,0.85,0.7)</f>
        <v>1.2</v>
      </c>
      <c r="U2001" s="5" t="n">
        <f aca="false">IF(F2001="PO",0.6,
IF(F2001="CT",0.75,
IF(F2001="LI",0.8,
IF(F2001="LD",0.8,
IF(F2001="MCD",0.85,
IF(F2001="MC",0.95,
IF(F2001="MO",1.05,
IF(F2001="EI",1.1,
IF(F2001="ED",1.1,
IF(F2001="SD",1.15,
IF(F2001="DC",1.2,0)))))))))))</f>
        <v>0.75</v>
      </c>
    </row>
    <row r="2002" customFormat="false" ht="16.4" hidden="false" customHeight="false" outlineLevel="0" collapsed="false">
      <c r="A2002" s="1" t="n">
        <v>2001</v>
      </c>
      <c r="B2002" s="5" t="str">
        <f aca="false">[1]Base_Jugadores!B2002</f>
        <v>Mio Backhaus</v>
      </c>
      <c r="C2002" s="5" t="str">
        <f aca="false">IFERROR(
   _xlfn.XLOOKUP(VALUE(A2002),[1]Fichajes_Realizados!A$2:A$50000,[1]Fichajes_Realizados!D$2:D$50000,,0,-1),
   _xlfn.XLOOKUP(VALUE(A2002),[1]Base_Jugadores!A$2:A$50000,[1]Base_Jugadores!C$2:C$50000)
)</f>
        <v>SV Werder Bremen</v>
      </c>
      <c r="D2002" s="5" t="str">
        <f aca="false">[1]Base_Jugadores!D2002</f>
        <v>Alemania</v>
      </c>
      <c r="E2002" s="3"/>
      <c r="F2002" s="5" t="str">
        <f aca="false">[1]Base_Jugadores!E2002</f>
        <v>PO</v>
      </c>
      <c r="G2002" s="5" t="n">
        <f aca="false">[1]Base_Jugadores!F2002</f>
        <v>65</v>
      </c>
      <c r="H2002" s="5" t="n">
        <f aca="false">[1]Base_Jugadores!G2002</f>
        <v>21</v>
      </c>
      <c r="I2002" s="7" t="n">
        <f aca="false" t="array" ref="I2002:I2002">_xlfn.XLOOKUP(G2002,{55;56;57;58;59;60;61;62;63;64;65;66;67;68;69;70;71;72;73;74;75;76;77;78;79;80;81;82;83;84;85;86;87;88;89;90;91;92;93;94;95;96;97;98;99},{100000;130000;160000;190000;220000;250000;300000;350000;400000;450000;500000;600000;700000;800000;900000;1000000;1500000;2000000;3000000;4000000;5000000;6500000;8000000;10000000;12500000;15000000;20000000;25000000;30000000;35000000;40000000;55000000;70000000;80000000;90000000;110000000;130000000;160000000;190000000;220000000;250000000;280000000;310000000;340000000;400000000})</f>
        <v>500000</v>
      </c>
      <c r="J2002" s="7" t="n">
        <f aca="false">I2002*S2002*T2002*U2002</f>
        <v>468000</v>
      </c>
      <c r="K2002" s="3"/>
      <c r="L2002" s="3"/>
      <c r="M2002" s="3"/>
      <c r="N2002" s="9" t="n">
        <v>0</v>
      </c>
      <c r="O2002" s="4" t="n">
        <v>0</v>
      </c>
      <c r="P2002" s="5" t="n">
        <f aca="false">IF(COUNTIF([1]Base_Jugadores!J$2:J$500,B2002)&gt;0,1,0)</f>
        <v>0</v>
      </c>
      <c r="Q2002" s="10" t="b">
        <f aca="false">--(COUNTIFS(
   [1]Fichajes_Realizados!A$2:A$5000,A2002,
   [1]Fichajes_Realizados!G$2:G$5000,$X$3
)&gt;0)</f>
        <v>0</v>
      </c>
      <c r="R2002" s="5" t="n">
        <f aca="false">_xlfn.XLOOKUP(C2002, [1]Estado_Equipos!A$2:A$500, [1]Estado_Equipos!J$2:J$500, "")</f>
        <v>73</v>
      </c>
      <c r="S2002" s="5" t="n">
        <f aca="false">IF(H2002&lt;=16,1.45,
IF(H2002&gt;=41,0.3,
CHOOSE(ROUNDDOWN((H2002-16)/2,0)+1,
1.45,1.38,1.3,1.23,1.17,1.15,1.12,1.05,0.95,0.8,0.6,0.4,0.3)))</f>
        <v>1.3</v>
      </c>
      <c r="T2002" s="5" t="n">
        <f aca="false">CHOOSE(N2002+1,1.2,1,0.85,0.7)</f>
        <v>1.2</v>
      </c>
      <c r="U2002" s="5" t="n">
        <f aca="false">IF(F2002="PO",0.6,
IF(F2002="CT",0.75,
IF(F2002="LI",0.8,
IF(F2002="LD",0.8,
IF(F2002="MCD",0.85,
IF(F2002="MC",0.95,
IF(F2002="MO",1.05,
IF(F2002="EI",1.1,
IF(F2002="ED",1.1,
IF(F2002="SD",1.15,
IF(F2002="DC",1.2,0)))))))))))</f>
        <v>0.6</v>
      </c>
    </row>
    <row r="2003" customFormat="false" ht="16.4" hidden="false" customHeight="false" outlineLevel="0" collapsed="false">
      <c r="A2003" s="1" t="n">
        <v>2002</v>
      </c>
      <c r="B2003" s="5" t="str">
        <f aca="false">[1]Base_Jugadores!B2003</f>
        <v>Mitchell Weiser</v>
      </c>
      <c r="C2003" s="5" t="str">
        <f aca="false">IFERROR(
   _xlfn.XLOOKUP(VALUE(A2003),[1]Fichajes_Realizados!A$2:A$50000,[1]Fichajes_Realizados!D$2:D$50000,,0,-1),
   _xlfn.XLOOKUP(VALUE(A2003),[1]Base_Jugadores!A$2:A$50000,[1]Base_Jugadores!C$2:C$50000)
)</f>
        <v>SV Werder Bremen</v>
      </c>
      <c r="D2003" s="5" t="str">
        <f aca="false">[1]Base_Jugadores!D2003</f>
        <v>Alemania</v>
      </c>
      <c r="E2003" s="3"/>
      <c r="F2003" s="5" t="str">
        <f aca="false">[1]Base_Jugadores!E2003</f>
        <v>LD</v>
      </c>
      <c r="G2003" s="5" t="n">
        <f aca="false">[1]Base_Jugadores!F2003</f>
        <v>77</v>
      </c>
      <c r="H2003" s="5" t="n">
        <f aca="false">[1]Base_Jugadores!G2003</f>
        <v>31</v>
      </c>
      <c r="I2003" s="7" t="n">
        <f aca="false" t="array" ref="I2003:I2003">_xlfn.XLOOKUP(G2003,{55;56;57;58;59;60;61;62;63;64;65;66;67;68;69;70;71;72;73;74;75;76;77;78;79;80;81;82;83;84;85;86;87;88;89;90;91;92;93;94;95;96;97;98;99},{100000;130000;160000;190000;220000;250000;300000;350000;400000;450000;500000;600000;700000;800000;900000;1000000;1500000;2000000;3000000;4000000;5000000;6500000;8000000;10000000;12500000;15000000;20000000;25000000;30000000;35000000;40000000;55000000;70000000;80000000;90000000;110000000;130000000;160000000;190000000;220000000;250000000;280000000;310000000;340000000;400000000})</f>
        <v>8000000</v>
      </c>
      <c r="J2003" s="7" t="n">
        <f aca="false">I2003*S2003*T2003*U2003</f>
        <v>8064000</v>
      </c>
      <c r="K2003" s="3"/>
      <c r="L2003" s="3"/>
      <c r="M2003" s="3"/>
      <c r="N2003" s="9" t="n">
        <v>0</v>
      </c>
      <c r="O2003" s="4" t="n">
        <v>0</v>
      </c>
      <c r="P2003" s="5" t="n">
        <f aca="false">IF(COUNTIF([1]Base_Jugadores!J$2:J$500,B2003)&gt;0,1,0)</f>
        <v>0</v>
      </c>
      <c r="Q2003" s="10" t="b">
        <f aca="false">--(COUNTIFS(
   [1]Fichajes_Realizados!A$2:A$5000,A2003,
   [1]Fichajes_Realizados!G$2:G$5000,$X$3
)&gt;0)</f>
        <v>0</v>
      </c>
      <c r="R2003" s="5" t="n">
        <f aca="false">_xlfn.XLOOKUP(C2003, [1]Estado_Equipos!A$2:A$500, [1]Estado_Equipos!J$2:J$500, "")</f>
        <v>73</v>
      </c>
      <c r="S2003" s="5" t="n">
        <f aca="false">IF(H2003&lt;=16,1.45,
IF(H2003&gt;=41,0.3,
CHOOSE(ROUNDDOWN((H2003-16)/2,0)+1,
1.45,1.38,1.3,1.23,1.17,1.15,1.12,1.05,0.95,0.8,0.6,0.4,0.3)))</f>
        <v>1.05</v>
      </c>
      <c r="T2003" s="5" t="n">
        <f aca="false">CHOOSE(N2003+1,1.2,1,0.85,0.7)</f>
        <v>1.2</v>
      </c>
      <c r="U2003" s="5" t="n">
        <f aca="false">IF(F2003="PO",0.6,
IF(F2003="CT",0.75,
IF(F2003="LI",0.8,
IF(F2003="LD",0.8,
IF(F2003="MCD",0.85,
IF(F2003="MC",0.95,
IF(F2003="MO",1.05,
IF(F2003="EI",1.1,
IF(F2003="ED",1.1,
IF(F2003="SD",1.15,
IF(F2003="DC",1.2,0)))))))))))</f>
        <v>0.8</v>
      </c>
    </row>
    <row r="2004" customFormat="false" ht="16.4" hidden="false" customHeight="false" outlineLevel="0" collapsed="false">
      <c r="A2004" s="1" t="n">
        <v>2003</v>
      </c>
      <c r="B2004" s="5" t="str">
        <f aca="false">[1]Base_Jugadores!B2004</f>
        <v>Niklas Stark</v>
      </c>
      <c r="C2004" s="5" t="str">
        <f aca="false">IFERROR(
   _xlfn.XLOOKUP(VALUE(A2004),[1]Fichajes_Realizados!A$2:A$50000,[1]Fichajes_Realizados!D$2:D$50000,,0,-1),
   _xlfn.XLOOKUP(VALUE(A2004),[1]Base_Jugadores!A$2:A$50000,[1]Base_Jugadores!C$2:C$50000)
)</f>
        <v>SV Werder Bremen</v>
      </c>
      <c r="D2004" s="5" t="str">
        <f aca="false">[1]Base_Jugadores!D2004</f>
        <v>Alemania</v>
      </c>
      <c r="E2004" s="3"/>
      <c r="F2004" s="5" t="str">
        <f aca="false">[1]Base_Jugadores!E2004</f>
        <v>CT</v>
      </c>
      <c r="G2004" s="5" t="n">
        <f aca="false">[1]Base_Jugadores!F2004</f>
        <v>74</v>
      </c>
      <c r="H2004" s="5" t="n">
        <f aca="false">[1]Base_Jugadores!G2004</f>
        <v>30</v>
      </c>
      <c r="I2004" s="7" t="n">
        <f aca="false" t="array" ref="I2004:I2004">_xlfn.XLOOKUP(G2004,{55;56;57;58;59;60;61;62;63;64;65;66;67;68;69;70;71;72;73;74;75;76;77;78;79;80;81;82;83;84;85;86;87;88;89;90;91;92;93;94;95;96;97;98;99},{100000;130000;160000;190000;220000;250000;300000;350000;400000;450000;500000;600000;700000;800000;900000;1000000;1500000;2000000;3000000;4000000;5000000;6500000;8000000;10000000;12500000;15000000;20000000;25000000;30000000;35000000;40000000;55000000;70000000;80000000;90000000;110000000;130000000;160000000;190000000;220000000;250000000;280000000;310000000;340000000;400000000})</f>
        <v>4000000</v>
      </c>
      <c r="J2004" s="7" t="n">
        <f aca="false">I2004*S2004*T2004*U2004</f>
        <v>3780000</v>
      </c>
      <c r="K2004" s="3"/>
      <c r="L2004" s="3"/>
      <c r="M2004" s="3"/>
      <c r="N2004" s="9" t="n">
        <v>0</v>
      </c>
      <c r="O2004" s="4" t="n">
        <v>0</v>
      </c>
      <c r="P2004" s="5" t="n">
        <f aca="false">IF(COUNTIF([1]Base_Jugadores!J$2:J$500,B2004)&gt;0,1,0)</f>
        <v>0</v>
      </c>
      <c r="Q2004" s="10" t="b">
        <f aca="false">--(COUNTIFS(
   [1]Fichajes_Realizados!A$2:A$5000,A2004,
   [1]Fichajes_Realizados!G$2:G$5000,$X$3
)&gt;0)</f>
        <v>0</v>
      </c>
      <c r="R2004" s="5" t="n">
        <f aca="false">_xlfn.XLOOKUP(C2004, [1]Estado_Equipos!A$2:A$500, [1]Estado_Equipos!J$2:J$500, "")</f>
        <v>73</v>
      </c>
      <c r="S2004" s="5" t="n">
        <f aca="false">IF(H2004&lt;=16,1.45,
IF(H2004&gt;=41,0.3,
CHOOSE(ROUNDDOWN((H2004-16)/2,0)+1,
1.45,1.38,1.3,1.23,1.17,1.15,1.12,1.05,0.95,0.8,0.6,0.4,0.3)))</f>
        <v>1.05</v>
      </c>
      <c r="T2004" s="5" t="n">
        <f aca="false">CHOOSE(N2004+1,1.2,1,0.85,0.7)</f>
        <v>1.2</v>
      </c>
      <c r="U2004" s="5" t="n">
        <f aca="false">IF(F2004="PO",0.6,
IF(F2004="CT",0.75,
IF(F2004="LI",0.8,
IF(F2004="LD",0.8,
IF(F2004="MCD",0.85,
IF(F2004="MC",0.95,
IF(F2004="MO",1.05,
IF(F2004="EI",1.1,
IF(F2004="ED",1.1,
IF(F2004="SD",1.15,
IF(F2004="DC",1.2,0)))))))))))</f>
        <v>0.75</v>
      </c>
    </row>
    <row r="2005" customFormat="false" ht="16.4" hidden="false" customHeight="false" outlineLevel="0" collapsed="false">
      <c r="A2005" s="1" t="n">
        <v>2004</v>
      </c>
      <c r="B2005" s="5" t="str">
        <f aca="false">[1]Base_Jugadores!B2005</f>
        <v>Olivier Deman</v>
      </c>
      <c r="C2005" s="5" t="str">
        <f aca="false">IFERROR(
   _xlfn.XLOOKUP(VALUE(A2005),[1]Fichajes_Realizados!A$2:A$50000,[1]Fichajes_Realizados!D$2:D$50000,,0,-1),
   _xlfn.XLOOKUP(VALUE(A2005),[1]Base_Jugadores!A$2:A$50000,[1]Base_Jugadores!C$2:C$50000)
)</f>
        <v>SV Werder Bremen</v>
      </c>
      <c r="D2005" s="5" t="str">
        <f aca="false">[1]Base_Jugadores!D2005</f>
        <v>Bélgica</v>
      </c>
      <c r="E2005" s="3"/>
      <c r="F2005" s="5" t="str">
        <f aca="false">[1]Base_Jugadores!E2005</f>
        <v>LI</v>
      </c>
      <c r="G2005" s="5" t="n">
        <f aca="false">[1]Base_Jugadores!F2005</f>
        <v>72</v>
      </c>
      <c r="H2005" s="5" t="n">
        <f aca="false">[1]Base_Jugadores!G2005</f>
        <v>25</v>
      </c>
      <c r="I2005" s="7" t="n">
        <f aca="false" t="array" ref="I2005:I2005">_xlfn.XLOOKUP(G2005,{55;56;57;58;59;60;61;62;63;64;65;66;67;68;69;70;71;72;73;74;75;76;77;78;79;80;81;82;83;84;85;86;87;88;89;90;91;92;93;94;95;96;97;98;99},{100000;130000;160000;190000;220000;250000;300000;350000;400000;450000;500000;600000;700000;800000;900000;1000000;1500000;2000000;3000000;4000000;5000000;6500000;8000000;10000000;12500000;15000000;20000000;25000000;30000000;35000000;40000000;55000000;70000000;80000000;90000000;110000000;130000000;160000000;190000000;220000000;250000000;280000000;310000000;340000000;400000000})</f>
        <v>2000000</v>
      </c>
      <c r="J2005" s="7" t="n">
        <f aca="false">I2005*S2005*T2005*U2005</f>
        <v>2246400</v>
      </c>
      <c r="K2005" s="3"/>
      <c r="L2005" s="3"/>
      <c r="M2005" s="3"/>
      <c r="N2005" s="9" t="n">
        <v>0</v>
      </c>
      <c r="O2005" s="4" t="n">
        <v>0</v>
      </c>
      <c r="P2005" s="5" t="n">
        <f aca="false">IF(COUNTIF([1]Base_Jugadores!J$2:J$500,B2005)&gt;0,1,0)</f>
        <v>0</v>
      </c>
      <c r="Q2005" s="10" t="b">
        <f aca="false">--(COUNTIFS(
   [1]Fichajes_Realizados!A$2:A$5000,A2005,
   [1]Fichajes_Realizados!G$2:G$5000,$X$3
)&gt;0)</f>
        <v>0</v>
      </c>
      <c r="R2005" s="5" t="n">
        <f aca="false">_xlfn.XLOOKUP(C2005, [1]Estado_Equipos!A$2:A$500, [1]Estado_Equipos!J$2:J$500, "")</f>
        <v>73</v>
      </c>
      <c r="S2005" s="5" t="n">
        <f aca="false">IF(H2005&lt;=16,1.45,
IF(H2005&gt;=41,0.3,
CHOOSE(ROUNDDOWN((H2005-16)/2,0)+1,
1.45,1.38,1.3,1.23,1.17,1.15,1.12,1.05,0.95,0.8,0.6,0.4,0.3)))</f>
        <v>1.17</v>
      </c>
      <c r="T2005" s="5" t="n">
        <f aca="false">CHOOSE(N2005+1,1.2,1,0.85,0.7)</f>
        <v>1.2</v>
      </c>
      <c r="U2005" s="5" t="n">
        <f aca="false">IF(F2005="PO",0.6,
IF(F2005="CT",0.75,
IF(F2005="LI",0.8,
IF(F2005="LD",0.8,
IF(F2005="MCD",0.85,
IF(F2005="MC",0.95,
IF(F2005="MO",1.05,
IF(F2005="EI",1.1,
IF(F2005="ED",1.1,
IF(F2005="SD",1.15,
IF(F2005="DC",1.2,0)))))))))))</f>
        <v>0.8</v>
      </c>
    </row>
    <row r="2006" customFormat="false" ht="16.4" hidden="false" customHeight="false" outlineLevel="0" collapsed="false">
      <c r="A2006" s="1" t="n">
        <v>2005</v>
      </c>
      <c r="B2006" s="5" t="str">
        <f aca="false">[1]Base_Jugadores!B2006</f>
        <v>Romano Schmid</v>
      </c>
      <c r="C2006" s="5" t="str">
        <f aca="false">IFERROR(
   _xlfn.XLOOKUP(VALUE(A2006),[1]Fichajes_Realizados!A$2:A$50000,[1]Fichajes_Realizados!D$2:D$50000,,0,-1),
   _xlfn.XLOOKUP(VALUE(A2006),[1]Base_Jugadores!A$2:A$50000,[1]Base_Jugadores!C$2:C$50000)
)</f>
        <v>SV Werder Bremen</v>
      </c>
      <c r="D2006" s="5" t="str">
        <f aca="false">[1]Base_Jugadores!D2006</f>
        <v>Austria</v>
      </c>
      <c r="E2006" s="3"/>
      <c r="F2006" s="5" t="str">
        <f aca="false">[1]Base_Jugadores!E2006</f>
        <v>MO</v>
      </c>
      <c r="G2006" s="5" t="n">
        <f aca="false">[1]Base_Jugadores!F2006</f>
        <v>76</v>
      </c>
      <c r="H2006" s="5" t="n">
        <f aca="false">[1]Base_Jugadores!G2006</f>
        <v>25</v>
      </c>
      <c r="I2006" s="7" t="n">
        <f aca="false" t="array" ref="I2006:I2006">_xlfn.XLOOKUP(G2006,{55;56;57;58;59;60;61;62;63;64;65;66;67;68;69;70;71;72;73;74;75;76;77;78;79;80;81;82;83;84;85;86;87;88;89;90;91;92;93;94;95;96;97;98;99},{100000;130000;160000;190000;220000;250000;300000;350000;400000;450000;500000;600000;700000;800000;900000;1000000;1500000;2000000;3000000;4000000;5000000;6500000;8000000;10000000;12500000;15000000;20000000;25000000;30000000;35000000;40000000;55000000;70000000;80000000;90000000;110000000;130000000;160000000;190000000;220000000;250000000;280000000;310000000;340000000;400000000})</f>
        <v>6500000</v>
      </c>
      <c r="J2006" s="7" t="n">
        <f aca="false">I2006*S2006*T2006*U2006</f>
        <v>9582300</v>
      </c>
      <c r="K2006" s="3"/>
      <c r="L2006" s="3"/>
      <c r="M2006" s="3"/>
      <c r="N2006" s="9" t="n">
        <v>0</v>
      </c>
      <c r="O2006" s="4" t="n">
        <v>0</v>
      </c>
      <c r="P2006" s="5" t="n">
        <f aca="false">IF(COUNTIF([1]Base_Jugadores!J$2:J$500,B2006)&gt;0,1,0)</f>
        <v>0</v>
      </c>
      <c r="Q2006" s="10" t="b">
        <f aca="false">--(COUNTIFS(
   [1]Fichajes_Realizados!A$2:A$5000,A2006,
   [1]Fichajes_Realizados!G$2:G$5000,$X$3
)&gt;0)</f>
        <v>0</v>
      </c>
      <c r="R2006" s="5" t="n">
        <f aca="false">_xlfn.XLOOKUP(C2006, [1]Estado_Equipos!A$2:A$500, [1]Estado_Equipos!J$2:J$500, "")</f>
        <v>73</v>
      </c>
      <c r="S2006" s="5" t="n">
        <f aca="false">IF(H2006&lt;=16,1.45,
IF(H2006&gt;=41,0.3,
CHOOSE(ROUNDDOWN((H2006-16)/2,0)+1,
1.45,1.38,1.3,1.23,1.17,1.15,1.12,1.05,0.95,0.8,0.6,0.4,0.3)))</f>
        <v>1.17</v>
      </c>
      <c r="T2006" s="5" t="n">
        <f aca="false">CHOOSE(N2006+1,1.2,1,0.85,0.7)</f>
        <v>1.2</v>
      </c>
      <c r="U2006" s="5" t="n">
        <f aca="false">IF(F2006="PO",0.6,
IF(F2006="CT",0.75,
IF(F2006="LI",0.8,
IF(F2006="LD",0.8,
IF(F2006="MCD",0.85,
IF(F2006="MC",0.95,
IF(F2006="MO",1.05,
IF(F2006="EI",1.1,
IF(F2006="ED",1.1,
IF(F2006="SD",1.15,
IF(F2006="DC",1.2,0)))))))))))</f>
        <v>1.05</v>
      </c>
    </row>
    <row r="2007" customFormat="false" ht="16.4" hidden="false" customHeight="false" outlineLevel="0" collapsed="false">
      <c r="A2007" s="1" t="n">
        <v>2006</v>
      </c>
      <c r="B2007" s="5" t="str">
        <f aca="false">[1]Base_Jugadores!B2007</f>
        <v>Samuel Mbangula</v>
      </c>
      <c r="C2007" s="5" t="str">
        <f aca="false">IFERROR(
   _xlfn.XLOOKUP(VALUE(A2007),[1]Fichajes_Realizados!A$2:A$50000,[1]Fichajes_Realizados!D$2:D$50000,,0,-1),
   _xlfn.XLOOKUP(VALUE(A2007),[1]Base_Jugadores!A$2:A$50000,[1]Base_Jugadores!C$2:C$50000)
)</f>
        <v>SV Werder Bremen</v>
      </c>
      <c r="D2007" s="5" t="str">
        <f aca="false">[1]Base_Jugadores!D2007</f>
        <v>Bélgica</v>
      </c>
      <c r="E2007" s="3"/>
      <c r="F2007" s="5" t="str">
        <f aca="false">[1]Base_Jugadores!E2007</f>
        <v>EI</v>
      </c>
      <c r="G2007" s="5" t="n">
        <f aca="false">[1]Base_Jugadores!F2007</f>
        <v>71</v>
      </c>
      <c r="H2007" s="5" t="n">
        <f aca="false">[1]Base_Jugadores!G2007</f>
        <v>21</v>
      </c>
      <c r="I2007" s="7" t="n">
        <f aca="false" t="array" ref="I2007:I2007">_xlfn.XLOOKUP(G2007,{55;56;57;58;59;60;61;62;63;64;65;66;67;68;69;70;71;72;73;74;75;76;77;78;79;80;81;82;83;84;85;86;87;88;89;90;91;92;93;94;95;96;97;98;99},{100000;130000;160000;190000;220000;250000;300000;350000;400000;450000;500000;600000;700000;800000;900000;1000000;1500000;2000000;3000000;4000000;5000000;6500000;8000000;10000000;12500000;15000000;20000000;25000000;30000000;35000000;40000000;55000000;70000000;80000000;90000000;110000000;130000000;160000000;190000000;220000000;250000000;280000000;310000000;340000000;400000000})</f>
        <v>1500000</v>
      </c>
      <c r="J2007" s="7" t="n">
        <f aca="false">I2007*S2007*T2007*U2007</f>
        <v>2574000</v>
      </c>
      <c r="K2007" s="3"/>
      <c r="L2007" s="3"/>
      <c r="M2007" s="3"/>
      <c r="N2007" s="9" t="n">
        <v>0</v>
      </c>
      <c r="O2007" s="4" t="n">
        <v>0</v>
      </c>
      <c r="P2007" s="5" t="n">
        <f aca="false">IF(COUNTIF([1]Base_Jugadores!J$2:J$500,B2007)&gt;0,1,0)</f>
        <v>0</v>
      </c>
      <c r="Q2007" s="10" t="b">
        <f aca="false">--(COUNTIFS(
   [1]Fichajes_Realizados!A$2:A$5000,A2007,
   [1]Fichajes_Realizados!G$2:G$5000,$X$3
)&gt;0)</f>
        <v>0</v>
      </c>
      <c r="R2007" s="5" t="n">
        <f aca="false">_xlfn.XLOOKUP(C2007, [1]Estado_Equipos!A$2:A$500, [1]Estado_Equipos!J$2:J$500, "")</f>
        <v>73</v>
      </c>
      <c r="S2007" s="5" t="n">
        <f aca="false">IF(H2007&lt;=16,1.45,
IF(H2007&gt;=41,0.3,
CHOOSE(ROUNDDOWN((H2007-16)/2,0)+1,
1.45,1.38,1.3,1.23,1.17,1.15,1.12,1.05,0.95,0.8,0.6,0.4,0.3)))</f>
        <v>1.3</v>
      </c>
      <c r="T2007" s="5" t="n">
        <f aca="false">CHOOSE(N2007+1,1.2,1,0.85,0.7)</f>
        <v>1.2</v>
      </c>
      <c r="U2007" s="5" t="n">
        <f aca="false">IF(F2007="PO",0.6,
IF(F2007="CT",0.75,
IF(F2007="LI",0.8,
IF(F2007="LD",0.8,
IF(F2007="MCD",0.85,
IF(F2007="MC",0.95,
IF(F2007="MO",1.05,
IF(F2007="EI",1.1,
IF(F2007="ED",1.1,
IF(F2007="SD",1.15,
IF(F2007="DC",1.2,0)))))))))))</f>
        <v>1.1</v>
      </c>
    </row>
    <row r="2008" customFormat="false" ht="16.4" hidden="false" customHeight="false" outlineLevel="0" collapsed="false">
      <c r="A2008" s="1" t="n">
        <v>2007</v>
      </c>
      <c r="B2008" s="5" t="str">
        <f aca="false">[1]Base_Jugadores!B2008</f>
        <v>Senne Lynen</v>
      </c>
      <c r="C2008" s="5" t="str">
        <f aca="false">IFERROR(
   _xlfn.XLOOKUP(VALUE(A2008),[1]Fichajes_Realizados!A$2:A$50000,[1]Fichajes_Realizados!D$2:D$50000,,0,-1),
   _xlfn.XLOOKUP(VALUE(A2008),[1]Base_Jugadores!A$2:A$50000,[1]Base_Jugadores!C$2:C$50000)
)</f>
        <v>SV Werder Bremen</v>
      </c>
      <c r="D2008" s="5" t="str">
        <f aca="false">[1]Base_Jugadores!D2008</f>
        <v>Bélgica</v>
      </c>
      <c r="E2008" s="3"/>
      <c r="F2008" s="5" t="str">
        <f aca="false">[1]Base_Jugadores!E2008</f>
        <v>MCD</v>
      </c>
      <c r="G2008" s="5" t="n">
        <f aca="false">[1]Base_Jugadores!F2008</f>
        <v>78</v>
      </c>
      <c r="H2008" s="5" t="n">
        <f aca="false">[1]Base_Jugadores!G2008</f>
        <v>26</v>
      </c>
      <c r="I2008" s="7" t="n">
        <f aca="false" t="array" ref="I2008:I2008">_xlfn.XLOOKUP(G2008,{55;56;57;58;59;60;61;62;63;64;65;66;67;68;69;70;71;72;73;74;75;76;77;78;79;80;81;82;83;84;85;86;87;88;89;90;91;92;93;94;95;96;97;98;99},{100000;130000;160000;190000;220000;250000;300000;350000;400000;450000;500000;600000;700000;800000;900000;1000000;1500000;2000000;3000000;4000000;5000000;6500000;8000000;10000000;12500000;15000000;20000000;25000000;30000000;35000000;40000000;55000000;70000000;80000000;90000000;110000000;130000000;160000000;190000000;220000000;250000000;280000000;310000000;340000000;400000000})</f>
        <v>10000000</v>
      </c>
      <c r="J2008" s="7" t="n">
        <f aca="false">I2008*S2008*T2008*U2008</f>
        <v>11730000</v>
      </c>
      <c r="K2008" s="3"/>
      <c r="L2008" s="3"/>
      <c r="M2008" s="3"/>
      <c r="N2008" s="9" t="n">
        <v>0</v>
      </c>
      <c r="O2008" s="4" t="n">
        <v>0</v>
      </c>
      <c r="P2008" s="5" t="n">
        <f aca="false">IF(COUNTIF([1]Base_Jugadores!J$2:J$500,B2008)&gt;0,1,0)</f>
        <v>0</v>
      </c>
      <c r="Q2008" s="10" t="b">
        <f aca="false">--(COUNTIFS(
   [1]Fichajes_Realizados!A$2:A$5000,A2008,
   [1]Fichajes_Realizados!G$2:G$5000,$X$3
)&gt;0)</f>
        <v>0</v>
      </c>
      <c r="R2008" s="5" t="n">
        <f aca="false">_xlfn.XLOOKUP(C2008, [1]Estado_Equipos!A$2:A$500, [1]Estado_Equipos!J$2:J$500, "")</f>
        <v>73</v>
      </c>
      <c r="S2008" s="5" t="n">
        <f aca="false">IF(H2008&lt;=16,1.45,
IF(H2008&gt;=41,0.3,
CHOOSE(ROUNDDOWN((H2008-16)/2,0)+1,
1.45,1.38,1.3,1.23,1.17,1.15,1.12,1.05,0.95,0.8,0.6,0.4,0.3)))</f>
        <v>1.15</v>
      </c>
      <c r="T2008" s="5" t="n">
        <f aca="false">CHOOSE(N2008+1,1.2,1,0.85,0.7)</f>
        <v>1.2</v>
      </c>
      <c r="U2008" s="5" t="n">
        <f aca="false">IF(F2008="PO",0.6,
IF(F2008="CT",0.75,
IF(F2008="LI",0.8,
IF(F2008="LD",0.8,
IF(F2008="MCD",0.85,
IF(F2008="MC",0.95,
IF(F2008="MO",1.05,
IF(F2008="EI",1.1,
IF(F2008="ED",1.1,
IF(F2008="SD",1.15,
IF(F2008="DC",1.2,0)))))))))))</f>
        <v>0.85</v>
      </c>
    </row>
    <row r="2009" customFormat="false" ht="16.4" hidden="false" customHeight="false" outlineLevel="0" collapsed="false">
      <c r="A2009" s="1" t="n">
        <v>2008</v>
      </c>
      <c r="B2009" s="5" t="str">
        <f aca="false">[1]Base_Jugadores!B2009</f>
        <v>Skelly Alvero</v>
      </c>
      <c r="C2009" s="5" t="str">
        <f aca="false">IFERROR(
   _xlfn.XLOOKUP(VALUE(A2009),[1]Fichajes_Realizados!A$2:A$50000,[1]Fichajes_Realizados!D$2:D$50000,,0,-1),
   _xlfn.XLOOKUP(VALUE(A2009),[1]Base_Jugadores!A$2:A$50000,[1]Base_Jugadores!C$2:C$50000)
)</f>
        <v>SV Werder Bremen</v>
      </c>
      <c r="D2009" s="5" t="str">
        <f aca="false">[1]Base_Jugadores!D2009</f>
        <v>Francia</v>
      </c>
      <c r="E2009" s="3"/>
      <c r="F2009" s="5" t="str">
        <f aca="false">[1]Base_Jugadores!E2009</f>
        <v>MCD</v>
      </c>
      <c r="G2009" s="5" t="n">
        <f aca="false">[1]Base_Jugadores!F2009</f>
        <v>70</v>
      </c>
      <c r="H2009" s="5" t="n">
        <f aca="false">[1]Base_Jugadores!G2009</f>
        <v>23</v>
      </c>
      <c r="I2009" s="7" t="n">
        <f aca="false" t="array" ref="I2009:I2009">_xlfn.XLOOKUP(G2009,{55;56;57;58;59;60;61;62;63;64;65;66;67;68;69;70;71;72;73;74;75;76;77;78;79;80;81;82;83;84;85;86;87;88;89;90;91;92;93;94;95;96;97;98;99},{100000;130000;160000;190000;220000;250000;300000;350000;400000;450000;500000;600000;700000;800000;900000;1000000;1500000;2000000;3000000;4000000;5000000;6500000;8000000;10000000;12500000;15000000;20000000;25000000;30000000;35000000;40000000;55000000;70000000;80000000;90000000;110000000;130000000;160000000;190000000;220000000;250000000;280000000;310000000;340000000;400000000})</f>
        <v>1000000</v>
      </c>
      <c r="J2009" s="7" t="n">
        <f aca="false">I2009*S2009*T2009*U2009</f>
        <v>1254600</v>
      </c>
      <c r="K2009" s="3"/>
      <c r="L2009" s="3"/>
      <c r="M2009" s="3"/>
      <c r="N2009" s="9" t="n">
        <v>0</v>
      </c>
      <c r="O2009" s="4" t="n">
        <v>0</v>
      </c>
      <c r="P2009" s="5" t="n">
        <f aca="false">IF(COUNTIF([1]Base_Jugadores!J$2:J$500,B2009)&gt;0,1,0)</f>
        <v>0</v>
      </c>
      <c r="Q2009" s="10" t="b">
        <f aca="false">--(COUNTIFS(
   [1]Fichajes_Realizados!A$2:A$5000,A2009,
   [1]Fichajes_Realizados!G$2:G$5000,$X$3
)&gt;0)</f>
        <v>0</v>
      </c>
      <c r="R2009" s="5" t="n">
        <f aca="false">_xlfn.XLOOKUP(C2009, [1]Estado_Equipos!A$2:A$500, [1]Estado_Equipos!J$2:J$500, "")</f>
        <v>73</v>
      </c>
      <c r="S2009" s="5" t="n">
        <f aca="false">IF(H2009&lt;=16,1.45,
IF(H2009&gt;=41,0.3,
CHOOSE(ROUNDDOWN((H2009-16)/2,0)+1,
1.45,1.38,1.3,1.23,1.17,1.15,1.12,1.05,0.95,0.8,0.6,0.4,0.3)))</f>
        <v>1.23</v>
      </c>
      <c r="T2009" s="5" t="n">
        <f aca="false">CHOOSE(N2009+1,1.2,1,0.85,0.7)</f>
        <v>1.2</v>
      </c>
      <c r="U2009" s="5" t="n">
        <f aca="false">IF(F2009="PO",0.6,
IF(F2009="CT",0.75,
IF(F2009="LI",0.8,
IF(F2009="LD",0.8,
IF(F2009="MCD",0.85,
IF(F2009="MC",0.95,
IF(F2009="MO",1.05,
IF(F2009="EI",1.1,
IF(F2009="ED",1.1,
IF(F2009="SD",1.15,
IF(F2009="DC",1.2,0)))))))))))</f>
        <v>0.85</v>
      </c>
    </row>
    <row r="2010" customFormat="false" ht="16.4" hidden="false" customHeight="false" outlineLevel="0" collapsed="false">
      <c r="A2010" s="1" t="n">
        <v>2009</v>
      </c>
      <c r="B2010" s="5" t="str">
        <f aca="false">[1]Base_Jugadores!B2010</f>
        <v>Victor Boniface</v>
      </c>
      <c r="C2010" s="5" t="str">
        <f aca="false">IFERROR(
   _xlfn.XLOOKUP(VALUE(A2010),[1]Fichajes_Realizados!A$2:A$50000,[1]Fichajes_Realizados!D$2:D$50000,,0,-1),
   _xlfn.XLOOKUP(VALUE(A2010),[1]Base_Jugadores!A$2:A$50000,[1]Base_Jugadores!C$2:C$50000)
)</f>
        <v>SV Werder Bremen</v>
      </c>
      <c r="D2010" s="5" t="str">
        <f aca="false">[1]Base_Jugadores!D2010</f>
        <v>Nigeria</v>
      </c>
      <c r="E2010" s="3"/>
      <c r="F2010" s="5" t="str">
        <f aca="false">[1]Base_Jugadores!E2010</f>
        <v>DC</v>
      </c>
      <c r="G2010" s="5" t="n">
        <f aca="false">[1]Base_Jugadores!F2010</f>
        <v>82</v>
      </c>
      <c r="H2010" s="5" t="n">
        <f aca="false">[1]Base_Jugadores!G2010</f>
        <v>25</v>
      </c>
      <c r="I2010" s="7" t="n">
        <f aca="false" t="array" ref="I2010:I2010">_xlfn.XLOOKUP(G2010,{55;56;57;58;59;60;61;62;63;64;65;66;67;68;69;70;71;72;73;74;75;76;77;78;79;80;81;82;83;84;85;86;87;88;89;90;91;92;93;94;95;96;97;98;99},{100000;130000;160000;190000;220000;250000;300000;350000;400000;450000;500000;600000;700000;800000;900000;1000000;1500000;2000000;3000000;4000000;5000000;6500000;8000000;10000000;12500000;15000000;20000000;25000000;30000000;35000000;40000000;55000000;70000000;80000000;90000000;110000000;130000000;160000000;190000000;220000000;250000000;280000000;310000000;340000000;400000000})</f>
        <v>25000000</v>
      </c>
      <c r="J2010" s="7" t="n">
        <f aca="false">I2010*S2010*T2010*U2010</f>
        <v>42120000</v>
      </c>
      <c r="K2010" s="3"/>
      <c r="L2010" s="3"/>
      <c r="M2010" s="3"/>
      <c r="N2010" s="9" t="n">
        <v>0</v>
      </c>
      <c r="O2010" s="4" t="n">
        <v>0</v>
      </c>
      <c r="P2010" s="5" t="n">
        <f aca="false">IF(COUNTIF([1]Base_Jugadores!J$2:J$500,B2010)&gt;0,1,0)</f>
        <v>0</v>
      </c>
      <c r="Q2010" s="10" t="b">
        <f aca="false">--(COUNTIFS(
   [1]Fichajes_Realizados!A$2:A$5000,A2010,
   [1]Fichajes_Realizados!G$2:G$5000,$X$3
)&gt;0)</f>
        <v>0</v>
      </c>
      <c r="R2010" s="5" t="n">
        <f aca="false">_xlfn.XLOOKUP(C2010, [1]Estado_Equipos!A$2:A$500, [1]Estado_Equipos!J$2:J$500, "")</f>
        <v>73</v>
      </c>
      <c r="S2010" s="5" t="n">
        <f aca="false">IF(H2010&lt;=16,1.45,
IF(H2010&gt;=41,0.3,
CHOOSE(ROUNDDOWN((H2010-16)/2,0)+1,
1.45,1.38,1.3,1.23,1.17,1.15,1.12,1.05,0.95,0.8,0.6,0.4,0.3)))</f>
        <v>1.17</v>
      </c>
      <c r="T2010" s="5" t="n">
        <f aca="false">CHOOSE(N2010+1,1.2,1,0.85,0.7)</f>
        <v>1.2</v>
      </c>
      <c r="U2010" s="5" t="n">
        <f aca="false">IF(F2010="PO",0.6,
IF(F2010="CT",0.75,
IF(F2010="LI",0.8,
IF(F2010="LD",0.8,
IF(F2010="MCD",0.85,
IF(F2010="MC",0.95,
IF(F2010="MO",1.05,
IF(F2010="EI",1.1,
IF(F2010="ED",1.1,
IF(F2010="SD",1.15,
IF(F2010="DC",1.2,0)))))))))))</f>
        <v>1.2</v>
      </c>
    </row>
    <row r="2011" customFormat="false" ht="16.4" hidden="false" customHeight="false" outlineLevel="0" collapsed="false">
      <c r="A2011" s="1" t="n">
        <v>2010</v>
      </c>
      <c r="B2011" s="5" t="str">
        <f aca="false">[1]Base_Jugadores!B2011</f>
        <v>Yukinari Sugawara</v>
      </c>
      <c r="C2011" s="5" t="str">
        <f aca="false">IFERROR(
   _xlfn.XLOOKUP(VALUE(A2011),[1]Fichajes_Realizados!A$2:A$50000,[1]Fichajes_Realizados!D$2:D$50000,,0,-1),
   _xlfn.XLOOKUP(VALUE(A2011),[1]Base_Jugadores!A$2:A$50000,[1]Base_Jugadores!C$2:C$50000)
)</f>
        <v>SV Werder Bremen</v>
      </c>
      <c r="D2011" s="5" t="str">
        <f aca="false">[1]Base_Jugadores!D2011</f>
        <v>Japón</v>
      </c>
      <c r="E2011" s="3"/>
      <c r="F2011" s="5" t="str">
        <f aca="false">[1]Base_Jugadores!E2011</f>
        <v>LD</v>
      </c>
      <c r="G2011" s="5" t="n">
        <f aca="false">[1]Base_Jugadores!F2011</f>
        <v>78</v>
      </c>
      <c r="H2011" s="5" t="n">
        <f aca="false">[1]Base_Jugadores!G2011</f>
        <v>25</v>
      </c>
      <c r="I2011" s="7" t="n">
        <f aca="false" t="array" ref="I2011:I2011">_xlfn.XLOOKUP(G2011,{55;56;57;58;59;60;61;62;63;64;65;66;67;68;69;70;71;72;73;74;75;76;77;78;79;80;81;82;83;84;85;86;87;88;89;90;91;92;93;94;95;96;97;98;99},{100000;130000;160000;190000;220000;250000;300000;350000;400000;450000;500000;600000;700000;800000;900000;1000000;1500000;2000000;3000000;4000000;5000000;6500000;8000000;10000000;12500000;15000000;20000000;25000000;30000000;35000000;40000000;55000000;70000000;80000000;90000000;110000000;130000000;160000000;190000000;220000000;250000000;280000000;310000000;340000000;400000000})</f>
        <v>10000000</v>
      </c>
      <c r="J2011" s="7" t="n">
        <f aca="false">I2011*S2011*T2011*U2011</f>
        <v>11232000</v>
      </c>
      <c r="K2011" s="3"/>
      <c r="L2011" s="3"/>
      <c r="M2011" s="3"/>
      <c r="N2011" s="9" t="n">
        <v>0</v>
      </c>
      <c r="O2011" s="4" t="n">
        <v>0</v>
      </c>
      <c r="P2011" s="5" t="n">
        <f aca="false">IF(COUNTIF([1]Base_Jugadores!J$2:J$500,B2011)&gt;0,1,0)</f>
        <v>0</v>
      </c>
      <c r="Q2011" s="10" t="b">
        <f aca="false">--(COUNTIFS(
   [1]Fichajes_Realizados!A$2:A$5000,A2011,
   [1]Fichajes_Realizados!G$2:G$5000,$X$3
)&gt;0)</f>
        <v>0</v>
      </c>
      <c r="R2011" s="5" t="n">
        <f aca="false">_xlfn.XLOOKUP(C2011, [1]Estado_Equipos!A$2:A$500, [1]Estado_Equipos!J$2:J$500, "")</f>
        <v>73</v>
      </c>
      <c r="S2011" s="5" t="n">
        <f aca="false">IF(H2011&lt;=16,1.45,
IF(H2011&gt;=41,0.3,
CHOOSE(ROUNDDOWN((H2011-16)/2,0)+1,
1.45,1.38,1.3,1.23,1.17,1.15,1.12,1.05,0.95,0.8,0.6,0.4,0.3)))</f>
        <v>1.17</v>
      </c>
      <c r="T2011" s="5" t="n">
        <f aca="false">CHOOSE(N2011+1,1.2,1,0.85,0.7)</f>
        <v>1.2</v>
      </c>
      <c r="U2011" s="5" t="n">
        <f aca="false">IF(F2011="PO",0.6,
IF(F2011="CT",0.75,
IF(F2011="LI",0.8,
IF(F2011="LD",0.8,
IF(F2011="MCD",0.85,
IF(F2011="MC",0.95,
IF(F2011="MO",1.05,
IF(F2011="EI",1.1,
IF(F2011="ED",1.1,
IF(F2011="SD",1.15,
IF(F2011="DC",1.2,0)))))))))))</f>
        <v>0.8</v>
      </c>
    </row>
    <row r="2012" customFormat="false" ht="16.4" hidden="false" customHeight="false" outlineLevel="0" collapsed="false">
      <c r="A2012" s="1" t="n">
        <v>2011</v>
      </c>
      <c r="B2012" s="5" t="str">
        <f aca="false">[1]Base_Jugadores!B2012</f>
        <v>Kamil Grabara</v>
      </c>
      <c r="C2012" s="5" t="str">
        <f aca="false">IFERROR(
   _xlfn.XLOOKUP(VALUE(A2012),[1]Fichajes_Realizados!A$2:A$50000,[1]Fichajes_Realizados!D$2:D$50000,,0,-1),
   _xlfn.XLOOKUP(VALUE(A2012),[1]Base_Jugadores!A$2:A$50000,[1]Base_Jugadores!C$2:C$50000)
)</f>
        <v>VfL Wolfsburgo</v>
      </c>
      <c r="D2012" s="5" t="str">
        <f aca="false">[1]Base_Jugadores!D2012</f>
        <v>Polonia</v>
      </c>
      <c r="E2012" s="3"/>
      <c r="F2012" s="5" t="str">
        <f aca="false">[1]Base_Jugadores!E2012</f>
        <v>PO</v>
      </c>
      <c r="G2012" s="5" t="n">
        <f aca="false">[1]Base_Jugadores!F2012</f>
        <v>79</v>
      </c>
      <c r="H2012" s="5" t="n">
        <f aca="false">[1]Base_Jugadores!G2012</f>
        <v>26</v>
      </c>
      <c r="I2012" s="7" t="n">
        <f aca="false" t="array" ref="I2012:I2012">_xlfn.XLOOKUP(G2012,{55;56;57;58;59;60;61;62;63;64;65;66;67;68;69;70;71;72;73;74;75;76;77;78;79;80;81;82;83;84;85;86;87;88;89;90;91;92;93;94;95;96;97;98;99},{100000;130000;160000;190000;220000;250000;300000;350000;400000;450000;500000;600000;700000;800000;900000;1000000;1500000;2000000;3000000;4000000;5000000;6500000;8000000;10000000;12500000;15000000;20000000;25000000;30000000;35000000;40000000;55000000;70000000;80000000;90000000;110000000;130000000;160000000;190000000;220000000;250000000;280000000;310000000;340000000;400000000})</f>
        <v>12500000</v>
      </c>
      <c r="J2012" s="7" t="n">
        <f aca="false">I2012*S2012*T2012*U2012</f>
        <v>10350000</v>
      </c>
      <c r="K2012" s="3"/>
      <c r="L2012" s="3"/>
      <c r="M2012" s="3"/>
      <c r="N2012" s="9" t="n">
        <v>0</v>
      </c>
      <c r="O2012" s="4" t="n">
        <v>0</v>
      </c>
      <c r="P2012" s="5" t="n">
        <f aca="false">IF(COUNTIF([1]Base_Jugadores!J$2:J$500,B2012)&gt;0,1,0)</f>
        <v>0</v>
      </c>
      <c r="Q2012" s="10" t="b">
        <f aca="false">--(COUNTIFS(
   [1]Fichajes_Realizados!A$2:A$5000,A2012,
   [1]Fichajes_Realizados!G$2:G$5000,$X$3
)&gt;0)</f>
        <v>0</v>
      </c>
      <c r="R2012" s="5" t="n">
        <f aca="false">_xlfn.XLOOKUP(C2012, [1]Estado_Equipos!A$2:A$500, [1]Estado_Equipos!J$2:J$500, "")</f>
        <v>74</v>
      </c>
      <c r="S2012" s="5" t="n">
        <f aca="false">IF(H2012&lt;=16,1.45,
IF(H2012&gt;=41,0.3,
CHOOSE(ROUNDDOWN((H2012-16)/2,0)+1,
1.45,1.38,1.3,1.23,1.17,1.15,1.12,1.05,0.95,0.8,0.6,0.4,0.3)))</f>
        <v>1.15</v>
      </c>
      <c r="T2012" s="5" t="n">
        <f aca="false">CHOOSE(N2012+1,1.2,1,0.85,0.7)</f>
        <v>1.2</v>
      </c>
      <c r="U2012" s="5" t="n">
        <f aca="false">IF(F2012="PO",0.6,
IF(F2012="CT",0.75,
IF(F2012="LI",0.8,
IF(F2012="LD",0.8,
IF(F2012="MCD",0.85,
IF(F2012="MC",0.95,
IF(F2012="MO",1.05,
IF(F2012="EI",1.1,
IF(F2012="ED",1.1,
IF(F2012="SD",1.15,
IF(F2012="DC",1.2,0)))))))))))</f>
        <v>0.6</v>
      </c>
    </row>
    <row r="2013" customFormat="false" ht="16.4" hidden="false" customHeight="false" outlineLevel="0" collapsed="false">
      <c r="A2013" s="1" t="n">
        <v>2012</v>
      </c>
      <c r="B2013" s="5" t="str">
        <f aca="false">[1]Base_Jugadores!B2013</f>
        <v>Adam Daghim</v>
      </c>
      <c r="C2013" s="5" t="str">
        <f aca="false">IFERROR(
   _xlfn.XLOOKUP(VALUE(A2013),[1]Fichajes_Realizados!A$2:A$50000,[1]Fichajes_Realizados!D$2:D$50000,,0,-1),
   _xlfn.XLOOKUP(VALUE(A2013),[1]Base_Jugadores!A$2:A$50000,[1]Base_Jugadores!C$2:C$50000)
)</f>
        <v>VfL Wolfsburgo</v>
      </c>
      <c r="D2013" s="5" t="str">
        <f aca="false">[1]Base_Jugadores!D2013</f>
        <v>Dinamarca</v>
      </c>
      <c r="E2013" s="3"/>
      <c r="F2013" s="5" t="str">
        <f aca="false">[1]Base_Jugadores!E2013</f>
        <v>ED</v>
      </c>
      <c r="G2013" s="5" t="n">
        <f aca="false">[1]Base_Jugadores!F2013</f>
        <v>66</v>
      </c>
      <c r="H2013" s="5" t="n">
        <f aca="false">[1]Base_Jugadores!G2013</f>
        <v>20</v>
      </c>
      <c r="I2013" s="7" t="n">
        <f aca="false" t="array" ref="I2013:I2013">_xlfn.XLOOKUP(G2013,{55;56;57;58;59;60;61;62;63;64;65;66;67;68;69;70;71;72;73;74;75;76;77;78;79;80;81;82;83;84;85;86;87;88;89;90;91;92;93;94;95;96;97;98;99},{100000;130000;160000;190000;220000;250000;300000;350000;400000;450000;500000;600000;700000;800000;900000;1000000;1500000;2000000;3000000;4000000;5000000;6500000;8000000;10000000;12500000;15000000;20000000;25000000;30000000;35000000;40000000;55000000;70000000;80000000;90000000;110000000;130000000;160000000;190000000;220000000;250000000;280000000;310000000;340000000;400000000})</f>
        <v>600000</v>
      </c>
      <c r="J2013" s="7" t="n">
        <f aca="false">I2013*S2013*T2013*U2013</f>
        <v>1029600</v>
      </c>
      <c r="K2013" s="3"/>
      <c r="L2013" s="3"/>
      <c r="M2013" s="3"/>
      <c r="N2013" s="9" t="n">
        <v>0</v>
      </c>
      <c r="O2013" s="4" t="n">
        <v>0</v>
      </c>
      <c r="P2013" s="5" t="n">
        <f aca="false">IF(COUNTIF([1]Base_Jugadores!J$2:J$500,B2013)&gt;0,1,0)</f>
        <v>0</v>
      </c>
      <c r="Q2013" s="10" t="b">
        <f aca="false">--(COUNTIFS(
   [1]Fichajes_Realizados!A$2:A$5000,A2013,
   [1]Fichajes_Realizados!G$2:G$5000,$X$3
)&gt;0)</f>
        <v>0</v>
      </c>
      <c r="R2013" s="5" t="n">
        <f aca="false">_xlfn.XLOOKUP(C2013, [1]Estado_Equipos!A$2:A$500, [1]Estado_Equipos!J$2:J$500, "")</f>
        <v>74</v>
      </c>
      <c r="S2013" s="5" t="n">
        <f aca="false">IF(H2013&lt;=16,1.45,
IF(H2013&gt;=41,0.3,
CHOOSE(ROUNDDOWN((H2013-16)/2,0)+1,
1.45,1.38,1.3,1.23,1.17,1.15,1.12,1.05,0.95,0.8,0.6,0.4,0.3)))</f>
        <v>1.3</v>
      </c>
      <c r="T2013" s="5" t="n">
        <f aca="false">CHOOSE(N2013+1,1.2,1,0.85,0.7)</f>
        <v>1.2</v>
      </c>
      <c r="U2013" s="5" t="n">
        <f aca="false">IF(F2013="PO",0.6,
IF(F2013="CT",0.75,
IF(F2013="LI",0.8,
IF(F2013="LD",0.8,
IF(F2013="MCD",0.85,
IF(F2013="MC",0.95,
IF(F2013="MO",1.05,
IF(F2013="EI",1.1,
IF(F2013="ED",1.1,
IF(F2013="SD",1.15,
IF(F2013="DC",1.2,0)))))))))))</f>
        <v>1.1</v>
      </c>
    </row>
    <row r="2014" customFormat="false" ht="16.4" hidden="false" customHeight="false" outlineLevel="0" collapsed="false">
      <c r="A2014" s="1" t="n">
        <v>2013</v>
      </c>
      <c r="B2014" s="5" t="str">
        <f aca="false">[1]Base_Jugadores!B2014</f>
        <v>Andreas Skov Olsen</v>
      </c>
      <c r="C2014" s="5" t="str">
        <f aca="false">IFERROR(
   _xlfn.XLOOKUP(VALUE(A2014),[1]Fichajes_Realizados!A$2:A$50000,[1]Fichajes_Realizados!D$2:D$50000,,0,-1),
   _xlfn.XLOOKUP(VALUE(A2014),[1]Base_Jugadores!A$2:A$50000,[1]Base_Jugadores!C$2:C$50000)
)</f>
        <v>VfL Wolfsburgo</v>
      </c>
      <c r="D2014" s="5" t="str">
        <f aca="false">[1]Base_Jugadores!D2014</f>
        <v>Dinamarca</v>
      </c>
      <c r="E2014" s="3"/>
      <c r="F2014" s="5" t="str">
        <f aca="false">[1]Base_Jugadores!E2014</f>
        <v>ED</v>
      </c>
      <c r="G2014" s="5" t="n">
        <f aca="false">[1]Base_Jugadores!F2014</f>
        <v>78</v>
      </c>
      <c r="H2014" s="5" t="n">
        <f aca="false">[1]Base_Jugadores!G2014</f>
        <v>26</v>
      </c>
      <c r="I2014" s="7" t="n">
        <f aca="false" t="array" ref="I2014:I2014">_xlfn.XLOOKUP(G2014,{55;56;57;58;59;60;61;62;63;64;65;66;67;68;69;70;71;72;73;74;75;76;77;78;79;80;81;82;83;84;85;86;87;88;89;90;91;92;93;94;95;96;97;98;99},{100000;130000;160000;190000;220000;250000;300000;350000;400000;450000;500000;600000;700000;800000;900000;1000000;1500000;2000000;3000000;4000000;5000000;6500000;8000000;10000000;12500000;15000000;20000000;25000000;30000000;35000000;40000000;55000000;70000000;80000000;90000000;110000000;130000000;160000000;190000000;220000000;250000000;280000000;310000000;340000000;400000000})</f>
        <v>10000000</v>
      </c>
      <c r="J2014" s="7" t="n">
        <f aca="false">I2014*S2014*T2014*U2014</f>
        <v>15180000</v>
      </c>
      <c r="K2014" s="3"/>
      <c r="L2014" s="3"/>
      <c r="M2014" s="3"/>
      <c r="N2014" s="9" t="n">
        <v>0</v>
      </c>
      <c r="O2014" s="4" t="n">
        <v>0</v>
      </c>
      <c r="P2014" s="5" t="n">
        <f aca="false">IF(COUNTIF([1]Base_Jugadores!J$2:J$500,B2014)&gt;0,1,0)</f>
        <v>0</v>
      </c>
      <c r="Q2014" s="10" t="b">
        <f aca="false">--(COUNTIFS(
   [1]Fichajes_Realizados!A$2:A$5000,A2014,
   [1]Fichajes_Realizados!G$2:G$5000,$X$3
)&gt;0)</f>
        <v>0</v>
      </c>
      <c r="R2014" s="5" t="n">
        <f aca="false">_xlfn.XLOOKUP(C2014, [1]Estado_Equipos!A$2:A$500, [1]Estado_Equipos!J$2:J$500, "")</f>
        <v>74</v>
      </c>
      <c r="S2014" s="5" t="n">
        <f aca="false">IF(H2014&lt;=16,1.45,
IF(H2014&gt;=41,0.3,
CHOOSE(ROUNDDOWN((H2014-16)/2,0)+1,
1.45,1.38,1.3,1.23,1.17,1.15,1.12,1.05,0.95,0.8,0.6,0.4,0.3)))</f>
        <v>1.15</v>
      </c>
      <c r="T2014" s="5" t="n">
        <f aca="false">CHOOSE(N2014+1,1.2,1,0.85,0.7)</f>
        <v>1.2</v>
      </c>
      <c r="U2014" s="5" t="n">
        <f aca="false">IF(F2014="PO",0.6,
IF(F2014="CT",0.75,
IF(F2014="LI",0.8,
IF(F2014="LD",0.8,
IF(F2014="MCD",0.85,
IF(F2014="MC",0.95,
IF(F2014="MO",1.05,
IF(F2014="EI",1.1,
IF(F2014="ED",1.1,
IF(F2014="SD",1.15,
IF(F2014="DC",1.2,0)))))))))))</f>
        <v>1.1</v>
      </c>
    </row>
    <row r="2015" customFormat="false" ht="16.4" hidden="false" customHeight="false" outlineLevel="0" collapsed="false">
      <c r="A2015" s="1" t="n">
        <v>2014</v>
      </c>
      <c r="B2015" s="5" t="str">
        <f aca="false">[1]Base_Jugadores!B2015</f>
        <v>Bence Dárdai</v>
      </c>
      <c r="C2015" s="5" t="str">
        <f aca="false">IFERROR(
   _xlfn.XLOOKUP(VALUE(A2015),[1]Fichajes_Realizados!A$2:A$50000,[1]Fichajes_Realizados!D$2:D$50000,,0,-1),
   _xlfn.XLOOKUP(VALUE(A2015),[1]Base_Jugadores!A$2:A$50000,[1]Base_Jugadores!C$2:C$50000)
)</f>
        <v>VfL Wolfsburgo</v>
      </c>
      <c r="D2015" s="5" t="str">
        <f aca="false">[1]Base_Jugadores!D2015</f>
        <v>Hungría</v>
      </c>
      <c r="E2015" s="3"/>
      <c r="F2015" s="5" t="str">
        <f aca="false">[1]Base_Jugadores!E2015</f>
        <v>MO</v>
      </c>
      <c r="G2015" s="5" t="n">
        <f aca="false">[1]Base_Jugadores!F2015</f>
        <v>67</v>
      </c>
      <c r="H2015" s="5" t="n">
        <f aca="false">[1]Base_Jugadores!G2015</f>
        <v>19</v>
      </c>
      <c r="I2015" s="7" t="n">
        <f aca="false" t="array" ref="I2015:I2015">_xlfn.XLOOKUP(G2015,{55;56;57;58;59;60;61;62;63;64;65;66;67;68;69;70;71;72;73;74;75;76;77;78;79;80;81;82;83;84;85;86;87;88;89;90;91;92;93;94;95;96;97;98;99},{100000;130000;160000;190000;220000;250000;300000;350000;400000;450000;500000;600000;700000;800000;900000;1000000;1500000;2000000;3000000;4000000;5000000;6500000;8000000;10000000;12500000;15000000;20000000;25000000;30000000;35000000;40000000;55000000;70000000;80000000;90000000;110000000;130000000;160000000;190000000;220000000;250000000;280000000;310000000;340000000;400000000})</f>
        <v>700000</v>
      </c>
      <c r="J2015" s="7" t="n">
        <f aca="false">I2015*S2015*T2015*U2015</f>
        <v>1217160</v>
      </c>
      <c r="K2015" s="3"/>
      <c r="L2015" s="3"/>
      <c r="M2015" s="3"/>
      <c r="N2015" s="9" t="n">
        <v>0</v>
      </c>
      <c r="O2015" s="4" t="n">
        <v>0</v>
      </c>
      <c r="P2015" s="5" t="n">
        <f aca="false">IF(COUNTIF([1]Base_Jugadores!J$2:J$500,B2015)&gt;0,1,0)</f>
        <v>0</v>
      </c>
      <c r="Q2015" s="10" t="b">
        <f aca="false">--(COUNTIFS(
   [1]Fichajes_Realizados!A$2:A$5000,A2015,
   [1]Fichajes_Realizados!G$2:G$5000,$X$3
)&gt;0)</f>
        <v>0</v>
      </c>
      <c r="R2015" s="5" t="n">
        <f aca="false">_xlfn.XLOOKUP(C2015, [1]Estado_Equipos!A$2:A$500, [1]Estado_Equipos!J$2:J$500, "")</f>
        <v>74</v>
      </c>
      <c r="S2015" s="5" t="n">
        <f aca="false">IF(H2015&lt;=16,1.45,
IF(H2015&gt;=41,0.3,
CHOOSE(ROUNDDOWN((H2015-16)/2,0)+1,
1.45,1.38,1.3,1.23,1.17,1.15,1.12,1.05,0.95,0.8,0.6,0.4,0.3)))</f>
        <v>1.38</v>
      </c>
      <c r="T2015" s="5" t="n">
        <f aca="false">CHOOSE(N2015+1,1.2,1,0.85,0.7)</f>
        <v>1.2</v>
      </c>
      <c r="U2015" s="5" t="n">
        <f aca="false">IF(F2015="PO",0.6,
IF(F2015="CT",0.75,
IF(F2015="LI",0.8,
IF(F2015="LD",0.8,
IF(F2015="MCD",0.85,
IF(F2015="MC",0.95,
IF(F2015="MO",1.05,
IF(F2015="EI",1.1,
IF(F2015="ED",1.1,
IF(F2015="SD",1.15,
IF(F2015="DC",1.2,0)))))))))))</f>
        <v>1.05</v>
      </c>
    </row>
    <row r="2016" customFormat="false" ht="16.4" hidden="false" customHeight="false" outlineLevel="0" collapsed="false">
      <c r="A2016" s="1" t="n">
        <v>2015</v>
      </c>
      <c r="B2016" s="5" t="str">
        <f aca="false">[1]Base_Jugadores!B2016</f>
        <v>Christian Eriksen</v>
      </c>
      <c r="C2016" s="5" t="str">
        <f aca="false">IFERROR(
   _xlfn.XLOOKUP(VALUE(A2016),[1]Fichajes_Realizados!A$2:A$50000,[1]Fichajes_Realizados!D$2:D$50000,,0,-1),
   _xlfn.XLOOKUP(VALUE(A2016),[1]Base_Jugadores!A$2:A$50000,[1]Base_Jugadores!C$2:C$50000)
)</f>
        <v>VfL Wolfsburgo</v>
      </c>
      <c r="D2016" s="5" t="str">
        <f aca="false">[1]Base_Jugadores!D2016</f>
        <v>Dinamarca</v>
      </c>
      <c r="E2016" s="3"/>
      <c r="F2016" s="5" t="str">
        <f aca="false">[1]Base_Jugadores!E2016</f>
        <v>MO</v>
      </c>
      <c r="G2016" s="5" t="n">
        <f aca="false">[1]Base_Jugadores!F2016</f>
        <v>79</v>
      </c>
      <c r="H2016" s="5" t="n">
        <f aca="false">[1]Base_Jugadores!G2016</f>
        <v>33</v>
      </c>
      <c r="I2016" s="7" t="n">
        <f aca="false" t="array" ref="I2016:I2016">_xlfn.XLOOKUP(G2016,{55;56;57;58;59;60;61;62;63;64;65;66;67;68;69;70;71;72;73;74;75;76;77;78;79;80;81;82;83;84;85;86;87;88;89;90;91;92;93;94;95;96;97;98;99},{100000;130000;160000;190000;220000;250000;300000;350000;400000;450000;500000;600000;700000;800000;900000;1000000;1500000;2000000;3000000;4000000;5000000;6500000;8000000;10000000;12500000;15000000;20000000;25000000;30000000;35000000;40000000;55000000;70000000;80000000;90000000;110000000;130000000;160000000;190000000;220000000;250000000;280000000;310000000;340000000;400000000})</f>
        <v>12500000</v>
      </c>
      <c r="J2016" s="7" t="n">
        <f aca="false">I2016*S2016*T2016*U2016</f>
        <v>14962500</v>
      </c>
      <c r="K2016" s="3"/>
      <c r="L2016" s="3"/>
      <c r="M2016" s="3"/>
      <c r="N2016" s="9" t="n">
        <v>0</v>
      </c>
      <c r="O2016" s="4" t="n">
        <v>0</v>
      </c>
      <c r="P2016" s="5" t="n">
        <f aca="false">IF(COUNTIF([1]Base_Jugadores!J$2:J$500,B2016)&gt;0,1,0)</f>
        <v>0</v>
      </c>
      <c r="Q2016" s="10" t="b">
        <f aca="false">--(COUNTIFS(
   [1]Fichajes_Realizados!A$2:A$5000,A2016,
   [1]Fichajes_Realizados!G$2:G$5000,$X$3
)&gt;0)</f>
        <v>0</v>
      </c>
      <c r="R2016" s="5" t="n">
        <f aca="false">_xlfn.XLOOKUP(C2016, [1]Estado_Equipos!A$2:A$500, [1]Estado_Equipos!J$2:J$500, "")</f>
        <v>74</v>
      </c>
      <c r="S2016" s="5" t="n">
        <f aca="false">IF(H2016&lt;=16,1.45,
IF(H2016&gt;=41,0.3,
CHOOSE(ROUNDDOWN((H2016-16)/2,0)+1,
1.45,1.38,1.3,1.23,1.17,1.15,1.12,1.05,0.95,0.8,0.6,0.4,0.3)))</f>
        <v>0.95</v>
      </c>
      <c r="T2016" s="5" t="n">
        <f aca="false">CHOOSE(N2016+1,1.2,1,0.85,0.7)</f>
        <v>1.2</v>
      </c>
      <c r="U2016" s="5" t="n">
        <f aca="false">IF(F2016="PO",0.6,
IF(F2016="CT",0.75,
IF(F2016="LI",0.8,
IF(F2016="LD",0.8,
IF(F2016="MCD",0.85,
IF(F2016="MC",0.95,
IF(F2016="MO",1.05,
IF(F2016="EI",1.1,
IF(F2016="ED",1.1,
IF(F2016="SD",1.15,
IF(F2016="DC",1.2,0)))))))))))</f>
        <v>1.05</v>
      </c>
    </row>
    <row r="2017" customFormat="false" ht="16.4" hidden="false" customHeight="false" outlineLevel="0" collapsed="false">
      <c r="A2017" s="1" t="n">
        <v>2016</v>
      </c>
      <c r="B2017" s="5" t="str">
        <f aca="false">[1]Base_Jugadores!B2017</f>
        <v>Denis Vavro</v>
      </c>
      <c r="C2017" s="5" t="str">
        <f aca="false">IFERROR(
   _xlfn.XLOOKUP(VALUE(A2017),[1]Fichajes_Realizados!A$2:A$50000,[1]Fichajes_Realizados!D$2:D$50000,,0,-1),
   _xlfn.XLOOKUP(VALUE(A2017),[1]Base_Jugadores!A$2:A$50000,[1]Base_Jugadores!C$2:C$50000)
)</f>
        <v>VfL Wolfsburgo</v>
      </c>
      <c r="D2017" s="5" t="str">
        <f aca="false">[1]Base_Jugadores!D2017</f>
        <v>Eslovaquia</v>
      </c>
      <c r="E2017" s="3"/>
      <c r="F2017" s="5" t="str">
        <f aca="false">[1]Base_Jugadores!E2017</f>
        <v>CT</v>
      </c>
      <c r="G2017" s="5" t="n">
        <f aca="false">[1]Base_Jugadores!F2017</f>
        <v>74</v>
      </c>
      <c r="H2017" s="5" t="n">
        <f aca="false">[1]Base_Jugadores!G2017</f>
        <v>29</v>
      </c>
      <c r="I2017" s="7" t="n">
        <f aca="false" t="array" ref="I2017:I2017">_xlfn.XLOOKUP(G2017,{55;56;57;58;59;60;61;62;63;64;65;66;67;68;69;70;71;72;73;74;75;76;77;78;79;80;81;82;83;84;85;86;87;88;89;90;91;92;93;94;95;96;97;98;99},{100000;130000;160000;190000;220000;250000;300000;350000;400000;450000;500000;600000;700000;800000;900000;1000000;1500000;2000000;3000000;4000000;5000000;6500000;8000000;10000000;12500000;15000000;20000000;25000000;30000000;35000000;40000000;55000000;70000000;80000000;90000000;110000000;130000000;160000000;190000000;220000000;250000000;280000000;310000000;340000000;400000000})</f>
        <v>4000000</v>
      </c>
      <c r="J2017" s="7" t="n">
        <f aca="false">I2017*S2017*T2017*U2017</f>
        <v>4032000</v>
      </c>
      <c r="K2017" s="3"/>
      <c r="L2017" s="3"/>
      <c r="M2017" s="3"/>
      <c r="N2017" s="9" t="n">
        <v>0</v>
      </c>
      <c r="O2017" s="4" t="n">
        <v>0</v>
      </c>
      <c r="P2017" s="5" t="n">
        <f aca="false">IF(COUNTIF([1]Base_Jugadores!J$2:J$500,B2017)&gt;0,1,0)</f>
        <v>0</v>
      </c>
      <c r="Q2017" s="10" t="b">
        <f aca="false">--(COUNTIFS(
   [1]Fichajes_Realizados!A$2:A$5000,A2017,
   [1]Fichajes_Realizados!G$2:G$5000,$X$3
)&gt;0)</f>
        <v>0</v>
      </c>
      <c r="R2017" s="5" t="n">
        <f aca="false">_xlfn.XLOOKUP(C2017, [1]Estado_Equipos!A$2:A$500, [1]Estado_Equipos!J$2:J$500, "")</f>
        <v>74</v>
      </c>
      <c r="S2017" s="5" t="n">
        <f aca="false">IF(H2017&lt;=16,1.45,
IF(H2017&gt;=41,0.3,
CHOOSE(ROUNDDOWN((H2017-16)/2,0)+1,
1.45,1.38,1.3,1.23,1.17,1.15,1.12,1.05,0.95,0.8,0.6,0.4,0.3)))</f>
        <v>1.12</v>
      </c>
      <c r="T2017" s="5" t="n">
        <f aca="false">CHOOSE(N2017+1,1.2,1,0.85,0.7)</f>
        <v>1.2</v>
      </c>
      <c r="U2017" s="5" t="n">
        <f aca="false">IF(F2017="PO",0.6,
IF(F2017="CT",0.75,
IF(F2017="LI",0.8,
IF(F2017="LD",0.8,
IF(F2017="MCD",0.85,
IF(F2017="MC",0.95,
IF(F2017="MO",1.05,
IF(F2017="EI",1.1,
IF(F2017="ED",1.1,
IF(F2017="SD",1.15,
IF(F2017="DC",1.2,0)))))))))))</f>
        <v>0.75</v>
      </c>
    </row>
    <row r="2018" customFormat="false" ht="16.4" hidden="false" customHeight="false" outlineLevel="0" collapsed="false">
      <c r="A2018" s="1" t="n">
        <v>2017</v>
      </c>
      <c r="B2018" s="5" t="str">
        <f aca="false">[1]Base_Jugadores!B2018</f>
        <v>Dzenan Pejcinovic</v>
      </c>
      <c r="C2018" s="5" t="str">
        <f aca="false">IFERROR(
   _xlfn.XLOOKUP(VALUE(A2018),[1]Fichajes_Realizados!A$2:A$50000,[1]Fichajes_Realizados!D$2:D$50000,,0,-1),
   _xlfn.XLOOKUP(VALUE(A2018),[1]Base_Jugadores!A$2:A$50000,[1]Base_Jugadores!C$2:C$50000)
)</f>
        <v>VfL Wolfsburgo</v>
      </c>
      <c r="D2018" s="5" t="str">
        <f aca="false">[1]Base_Jugadores!D2018</f>
        <v>Alemania</v>
      </c>
      <c r="E2018" s="3"/>
      <c r="F2018" s="5" t="str">
        <f aca="false">[1]Base_Jugadores!E2018</f>
        <v>DC</v>
      </c>
      <c r="G2018" s="5" t="n">
        <f aca="false">[1]Base_Jugadores!F2018</f>
        <v>61</v>
      </c>
      <c r="H2018" s="5" t="n">
        <f aca="false">[1]Base_Jugadores!G2018</f>
        <v>20</v>
      </c>
      <c r="I2018" s="7" t="n">
        <f aca="false" t="array" ref="I2018:I2018">_xlfn.XLOOKUP(G2018,{55;56;57;58;59;60;61;62;63;64;65;66;67;68;69;70;71;72;73;74;75;76;77;78;79;80;81;82;83;84;85;86;87;88;89;90;91;92;93;94;95;96;97;98;99},{100000;130000;160000;190000;220000;250000;300000;350000;400000;450000;500000;600000;700000;800000;900000;1000000;1500000;2000000;3000000;4000000;5000000;6500000;8000000;10000000;12500000;15000000;20000000;25000000;30000000;35000000;40000000;55000000;70000000;80000000;90000000;110000000;130000000;160000000;190000000;220000000;250000000;280000000;310000000;340000000;400000000})</f>
        <v>300000</v>
      </c>
      <c r="J2018" s="7" t="n">
        <f aca="false">I2018*S2018*T2018*U2018</f>
        <v>561600</v>
      </c>
      <c r="K2018" s="3"/>
      <c r="L2018" s="3"/>
      <c r="M2018" s="3"/>
      <c r="N2018" s="9" t="n">
        <v>0</v>
      </c>
      <c r="O2018" s="4" t="n">
        <v>0</v>
      </c>
      <c r="P2018" s="5" t="n">
        <f aca="false">IF(COUNTIF([1]Base_Jugadores!J$2:J$500,B2018)&gt;0,1,0)</f>
        <v>0</v>
      </c>
      <c r="Q2018" s="10" t="b">
        <f aca="false">--(COUNTIFS(
   [1]Fichajes_Realizados!A$2:A$5000,A2018,
   [1]Fichajes_Realizados!G$2:G$5000,$X$3
)&gt;0)</f>
        <v>0</v>
      </c>
      <c r="R2018" s="5" t="n">
        <f aca="false">_xlfn.XLOOKUP(C2018, [1]Estado_Equipos!A$2:A$500, [1]Estado_Equipos!J$2:J$500, "")</f>
        <v>74</v>
      </c>
      <c r="S2018" s="5" t="n">
        <f aca="false">IF(H2018&lt;=16,1.45,
IF(H2018&gt;=41,0.3,
CHOOSE(ROUNDDOWN((H2018-16)/2,0)+1,
1.45,1.38,1.3,1.23,1.17,1.15,1.12,1.05,0.95,0.8,0.6,0.4,0.3)))</f>
        <v>1.3</v>
      </c>
      <c r="T2018" s="5" t="n">
        <f aca="false">CHOOSE(N2018+1,1.2,1,0.85,0.7)</f>
        <v>1.2</v>
      </c>
      <c r="U2018" s="5" t="n">
        <f aca="false">IF(F2018="PO",0.6,
IF(F2018="CT",0.75,
IF(F2018="LI",0.8,
IF(F2018="LD",0.8,
IF(F2018="MCD",0.85,
IF(F2018="MC",0.95,
IF(F2018="MO",1.05,
IF(F2018="EI",1.1,
IF(F2018="ED",1.1,
IF(F2018="SD",1.15,
IF(F2018="DC",1.2,0)))))))))))</f>
        <v>1.2</v>
      </c>
    </row>
    <row r="2019" customFormat="false" ht="16.4" hidden="false" customHeight="false" outlineLevel="0" collapsed="false">
      <c r="A2019" s="1" t="n">
        <v>2018</v>
      </c>
      <c r="B2019" s="5" t="str">
        <f aca="false">[1]Base_Jugadores!B2019</f>
        <v>Jenson Seelt</v>
      </c>
      <c r="C2019" s="5" t="str">
        <f aca="false">IFERROR(
   _xlfn.XLOOKUP(VALUE(A2019),[1]Fichajes_Realizados!A$2:A$50000,[1]Fichajes_Realizados!D$2:D$50000,,0,-1),
   _xlfn.XLOOKUP(VALUE(A2019),[1]Base_Jugadores!A$2:A$50000,[1]Base_Jugadores!C$2:C$50000)
)</f>
        <v>VfL Wolfsburgo</v>
      </c>
      <c r="D2019" s="5" t="str">
        <f aca="false">[1]Base_Jugadores!D2019</f>
        <v>Países Bajos</v>
      </c>
      <c r="E2019" s="3"/>
      <c r="F2019" s="5" t="str">
        <f aca="false">[1]Base_Jugadores!E2019</f>
        <v>CT</v>
      </c>
      <c r="G2019" s="5" t="n">
        <f aca="false">[1]Base_Jugadores!F2019</f>
        <v>66</v>
      </c>
      <c r="H2019" s="5" t="n">
        <f aca="false">[1]Base_Jugadores!G2019</f>
        <v>22</v>
      </c>
      <c r="I2019" s="7" t="n">
        <f aca="false" t="array" ref="I2019:I2019">_xlfn.XLOOKUP(G2019,{55;56;57;58;59;60;61;62;63;64;65;66;67;68;69;70;71;72;73;74;75;76;77;78;79;80;81;82;83;84;85;86;87;88;89;90;91;92;93;94;95;96;97;98;99},{100000;130000;160000;190000;220000;250000;300000;350000;400000;450000;500000;600000;700000;800000;900000;1000000;1500000;2000000;3000000;4000000;5000000;6500000;8000000;10000000;12500000;15000000;20000000;25000000;30000000;35000000;40000000;55000000;70000000;80000000;90000000;110000000;130000000;160000000;190000000;220000000;250000000;280000000;310000000;340000000;400000000})</f>
        <v>600000</v>
      </c>
      <c r="J2019" s="7" t="n">
        <f aca="false">I2019*S2019*T2019*U2019</f>
        <v>664200</v>
      </c>
      <c r="K2019" s="3"/>
      <c r="L2019" s="3"/>
      <c r="M2019" s="3"/>
      <c r="N2019" s="9" t="n">
        <v>0</v>
      </c>
      <c r="O2019" s="4" t="n">
        <v>0</v>
      </c>
      <c r="P2019" s="5" t="n">
        <f aca="false">IF(COUNTIF([1]Base_Jugadores!J$2:J$500,B2019)&gt;0,1,0)</f>
        <v>0</v>
      </c>
      <c r="Q2019" s="10" t="b">
        <f aca="false">--(COUNTIFS(
   [1]Fichajes_Realizados!A$2:A$5000,A2019,
   [1]Fichajes_Realizados!G$2:G$5000,$X$3
)&gt;0)</f>
        <v>0</v>
      </c>
      <c r="R2019" s="5" t="n">
        <f aca="false">_xlfn.XLOOKUP(C2019, [1]Estado_Equipos!A$2:A$500, [1]Estado_Equipos!J$2:J$500, "")</f>
        <v>74</v>
      </c>
      <c r="S2019" s="5" t="n">
        <f aca="false">IF(H2019&lt;=16,1.45,
IF(H2019&gt;=41,0.3,
CHOOSE(ROUNDDOWN((H2019-16)/2,0)+1,
1.45,1.38,1.3,1.23,1.17,1.15,1.12,1.05,0.95,0.8,0.6,0.4,0.3)))</f>
        <v>1.23</v>
      </c>
      <c r="T2019" s="5" t="n">
        <f aca="false">CHOOSE(N2019+1,1.2,1,0.85,0.7)</f>
        <v>1.2</v>
      </c>
      <c r="U2019" s="5" t="n">
        <f aca="false">IF(F2019="PO",0.6,
IF(F2019="CT",0.75,
IF(F2019="LI",0.8,
IF(F2019="LD",0.8,
IF(F2019="MCD",0.85,
IF(F2019="MC",0.95,
IF(F2019="MO",1.05,
IF(F2019="EI",1.1,
IF(F2019="ED",1.1,
IF(F2019="SD",1.15,
IF(F2019="DC",1.2,0)))))))))))</f>
        <v>0.75</v>
      </c>
    </row>
    <row r="2020" customFormat="false" ht="16.4" hidden="false" customHeight="false" outlineLevel="0" collapsed="false">
      <c r="A2020" s="1" t="n">
        <v>2019</v>
      </c>
      <c r="B2020" s="5" t="str">
        <f aca="false">[1]Base_Jugadores!B2020</f>
        <v>Jesper Lindstrøm</v>
      </c>
      <c r="C2020" s="5" t="str">
        <f aca="false">IFERROR(
   _xlfn.XLOOKUP(VALUE(A2020),[1]Fichajes_Realizados!A$2:A$50000,[1]Fichajes_Realizados!D$2:D$50000,,0,-1),
   _xlfn.XLOOKUP(VALUE(A2020),[1]Base_Jugadores!A$2:A$50000,[1]Base_Jugadores!C$2:C$50000)
)</f>
        <v>VfL Wolfsburgo</v>
      </c>
      <c r="D2020" s="5" t="str">
        <f aca="false">[1]Base_Jugadores!D2020</f>
        <v>Dinamarca</v>
      </c>
      <c r="E2020" s="3"/>
      <c r="F2020" s="5" t="str">
        <f aca="false">[1]Base_Jugadores!E2020</f>
        <v>ED</v>
      </c>
      <c r="G2020" s="5" t="n">
        <f aca="false">[1]Base_Jugadores!F2020</f>
        <v>76</v>
      </c>
      <c r="H2020" s="5" t="n">
        <f aca="false">[1]Base_Jugadores!G2020</f>
        <v>25</v>
      </c>
      <c r="I2020" s="7" t="n">
        <f aca="false" t="array" ref="I2020:I2020">_xlfn.XLOOKUP(G2020,{55;56;57;58;59;60;61;62;63;64;65;66;67;68;69;70;71;72;73;74;75;76;77;78;79;80;81;82;83;84;85;86;87;88;89;90;91;92;93;94;95;96;97;98;99},{100000;130000;160000;190000;220000;250000;300000;350000;400000;450000;500000;600000;700000;800000;900000;1000000;1500000;2000000;3000000;4000000;5000000;6500000;8000000;10000000;12500000;15000000;20000000;25000000;30000000;35000000;40000000;55000000;70000000;80000000;90000000;110000000;130000000;160000000;190000000;220000000;250000000;280000000;310000000;340000000;400000000})</f>
        <v>6500000</v>
      </c>
      <c r="J2020" s="7" t="n">
        <f aca="false">I2020*S2020*T2020*U2020</f>
        <v>10038600</v>
      </c>
      <c r="K2020" s="3"/>
      <c r="L2020" s="3"/>
      <c r="M2020" s="3"/>
      <c r="N2020" s="9" t="n">
        <v>0</v>
      </c>
      <c r="O2020" s="4" t="n">
        <v>0</v>
      </c>
      <c r="P2020" s="5" t="n">
        <f aca="false">IF(COUNTIF([1]Base_Jugadores!J$2:J$500,B2020)&gt;0,1,0)</f>
        <v>0</v>
      </c>
      <c r="Q2020" s="10" t="b">
        <f aca="false">--(COUNTIFS(
   [1]Fichajes_Realizados!A$2:A$5000,A2020,
   [1]Fichajes_Realizados!G$2:G$5000,$X$3
)&gt;0)</f>
        <v>0</v>
      </c>
      <c r="R2020" s="5" t="n">
        <f aca="false">_xlfn.XLOOKUP(C2020, [1]Estado_Equipos!A$2:A$500, [1]Estado_Equipos!J$2:J$500, "")</f>
        <v>74</v>
      </c>
      <c r="S2020" s="5" t="n">
        <f aca="false">IF(H2020&lt;=16,1.45,
IF(H2020&gt;=41,0.3,
CHOOSE(ROUNDDOWN((H2020-16)/2,0)+1,
1.45,1.38,1.3,1.23,1.17,1.15,1.12,1.05,0.95,0.8,0.6,0.4,0.3)))</f>
        <v>1.17</v>
      </c>
      <c r="T2020" s="5" t="n">
        <f aca="false">CHOOSE(N2020+1,1.2,1,0.85,0.7)</f>
        <v>1.2</v>
      </c>
      <c r="U2020" s="5" t="n">
        <f aca="false">IF(F2020="PO",0.6,
IF(F2020="CT",0.75,
IF(F2020="LI",0.8,
IF(F2020="LD",0.8,
IF(F2020="MCD",0.85,
IF(F2020="MC",0.95,
IF(F2020="MO",1.05,
IF(F2020="EI",1.1,
IF(F2020="ED",1.1,
IF(F2020="SD",1.15,
IF(F2020="DC",1.2,0)))))))))))</f>
        <v>1.1</v>
      </c>
    </row>
    <row r="2021" customFormat="false" ht="16.4" hidden="false" customHeight="false" outlineLevel="0" collapsed="false">
      <c r="A2021" s="1" t="n">
        <v>2020</v>
      </c>
      <c r="B2021" s="5" t="str">
        <f aca="false">[1]Base_Jugadores!B2021</f>
        <v>Jonas Wind</v>
      </c>
      <c r="C2021" s="5" t="str">
        <f aca="false">IFERROR(
   _xlfn.XLOOKUP(VALUE(A2021),[1]Fichajes_Realizados!A$2:A$50000,[1]Fichajes_Realizados!D$2:D$50000,,0,-1),
   _xlfn.XLOOKUP(VALUE(A2021),[1]Base_Jugadores!A$2:A$50000,[1]Base_Jugadores!C$2:C$50000)
)</f>
        <v>VfL Wolfsburgo</v>
      </c>
      <c r="D2021" s="5" t="str">
        <f aca="false">[1]Base_Jugadores!D2021</f>
        <v>Dinamarca</v>
      </c>
      <c r="E2021" s="3"/>
      <c r="F2021" s="5" t="str">
        <f aca="false">[1]Base_Jugadores!E2021</f>
        <v>DC</v>
      </c>
      <c r="G2021" s="5" t="n">
        <f aca="false">[1]Base_Jugadores!F2021</f>
        <v>78</v>
      </c>
      <c r="H2021" s="5" t="n">
        <f aca="false">[1]Base_Jugadores!G2021</f>
        <v>26</v>
      </c>
      <c r="I2021" s="7" t="n">
        <f aca="false" t="array" ref="I2021:I2021">_xlfn.XLOOKUP(G2021,{55;56;57;58;59;60;61;62;63;64;65;66;67;68;69;70;71;72;73;74;75;76;77;78;79;80;81;82;83;84;85;86;87;88;89;90;91;92;93;94;95;96;97;98;99},{100000;130000;160000;190000;220000;250000;300000;350000;400000;450000;500000;600000;700000;800000;900000;1000000;1500000;2000000;3000000;4000000;5000000;6500000;8000000;10000000;12500000;15000000;20000000;25000000;30000000;35000000;40000000;55000000;70000000;80000000;90000000;110000000;130000000;160000000;190000000;220000000;250000000;280000000;310000000;340000000;400000000})</f>
        <v>10000000</v>
      </c>
      <c r="J2021" s="7" t="n">
        <f aca="false">I2021*S2021*T2021*U2021</f>
        <v>16560000</v>
      </c>
      <c r="K2021" s="3"/>
      <c r="L2021" s="3"/>
      <c r="M2021" s="3"/>
      <c r="N2021" s="9" t="n">
        <v>0</v>
      </c>
      <c r="O2021" s="4" t="n">
        <v>0</v>
      </c>
      <c r="P2021" s="5" t="n">
        <f aca="false">IF(COUNTIF([1]Base_Jugadores!J$2:J$500,B2021)&gt;0,1,0)</f>
        <v>0</v>
      </c>
      <c r="Q2021" s="10" t="b">
        <f aca="false">--(COUNTIFS(
   [1]Fichajes_Realizados!A$2:A$5000,A2021,
   [1]Fichajes_Realizados!G$2:G$5000,$X$3
)&gt;0)</f>
        <v>0</v>
      </c>
      <c r="R2021" s="5" t="n">
        <f aca="false">_xlfn.XLOOKUP(C2021, [1]Estado_Equipos!A$2:A$500, [1]Estado_Equipos!J$2:J$500, "")</f>
        <v>74</v>
      </c>
      <c r="S2021" s="5" t="n">
        <f aca="false">IF(H2021&lt;=16,1.45,
IF(H2021&gt;=41,0.3,
CHOOSE(ROUNDDOWN((H2021-16)/2,0)+1,
1.45,1.38,1.3,1.23,1.17,1.15,1.12,1.05,0.95,0.8,0.6,0.4,0.3)))</f>
        <v>1.15</v>
      </c>
      <c r="T2021" s="5" t="n">
        <f aca="false">CHOOSE(N2021+1,1.2,1,0.85,0.7)</f>
        <v>1.2</v>
      </c>
      <c r="U2021" s="5" t="n">
        <f aca="false">IF(F2021="PO",0.6,
IF(F2021="CT",0.75,
IF(F2021="LI",0.8,
IF(F2021="LD",0.8,
IF(F2021="MCD",0.85,
IF(F2021="MC",0.95,
IF(F2021="MO",1.05,
IF(F2021="EI",1.1,
IF(F2021="ED",1.1,
IF(F2021="SD",1.15,
IF(F2021="DC",1.2,0)))))))))))</f>
        <v>1.2</v>
      </c>
    </row>
    <row r="2022" customFormat="false" ht="16.4" hidden="false" customHeight="false" outlineLevel="0" collapsed="false">
      <c r="A2022" s="1" t="n">
        <v>2021</v>
      </c>
      <c r="B2022" s="5" t="str">
        <f aca="false">[1]Base_Jugadores!B2022</f>
        <v>Kevin Paredes</v>
      </c>
      <c r="C2022" s="5" t="str">
        <f aca="false">IFERROR(
   _xlfn.XLOOKUP(VALUE(A2022),[1]Fichajes_Realizados!A$2:A$50000,[1]Fichajes_Realizados!D$2:D$50000,,0,-1),
   _xlfn.XLOOKUP(VALUE(A2022),[1]Base_Jugadores!A$2:A$50000,[1]Base_Jugadores!C$2:C$50000)
)</f>
        <v>VfL Wolfsburgo</v>
      </c>
      <c r="D2022" s="5" t="str">
        <f aca="false">[1]Base_Jugadores!D2022</f>
        <v>Estados Unidos</v>
      </c>
      <c r="E2022" s="3"/>
      <c r="F2022" s="5" t="str">
        <f aca="false">[1]Base_Jugadores!E2022</f>
        <v>EI</v>
      </c>
      <c r="G2022" s="5" t="n">
        <f aca="false">[1]Base_Jugadores!F2022</f>
        <v>75</v>
      </c>
      <c r="H2022" s="5" t="n">
        <f aca="false">[1]Base_Jugadores!G2022</f>
        <v>22</v>
      </c>
      <c r="I2022" s="7" t="n">
        <f aca="false" t="array" ref="I2022:I2022">_xlfn.XLOOKUP(G2022,{55;56;57;58;59;60;61;62;63;64;65;66;67;68;69;70;71;72;73;74;75;76;77;78;79;80;81;82;83;84;85;86;87;88;89;90;91;92;93;94;95;96;97;98;99},{100000;130000;160000;190000;220000;250000;300000;350000;400000;450000;500000;600000;700000;800000;900000;1000000;1500000;2000000;3000000;4000000;5000000;6500000;8000000;10000000;12500000;15000000;20000000;25000000;30000000;35000000;40000000;55000000;70000000;80000000;90000000;110000000;130000000;160000000;190000000;220000000;250000000;280000000;310000000;340000000;400000000})</f>
        <v>5000000</v>
      </c>
      <c r="J2022" s="7" t="n">
        <f aca="false">I2022*S2022*T2022*U2022</f>
        <v>8118000</v>
      </c>
      <c r="K2022" s="3"/>
      <c r="L2022" s="3"/>
      <c r="M2022" s="3"/>
      <c r="N2022" s="9" t="n">
        <v>0</v>
      </c>
      <c r="O2022" s="4" t="n">
        <v>0</v>
      </c>
      <c r="P2022" s="5" t="n">
        <f aca="false">IF(COUNTIF([1]Base_Jugadores!J$2:J$500,B2022)&gt;0,1,0)</f>
        <v>0</v>
      </c>
      <c r="Q2022" s="10" t="b">
        <f aca="false">--(COUNTIFS(
   [1]Fichajes_Realizados!A$2:A$5000,A2022,
   [1]Fichajes_Realizados!G$2:G$5000,$X$3
)&gt;0)</f>
        <v>0</v>
      </c>
      <c r="R2022" s="5" t="n">
        <f aca="false">_xlfn.XLOOKUP(C2022, [1]Estado_Equipos!A$2:A$500, [1]Estado_Equipos!J$2:J$500, "")</f>
        <v>74</v>
      </c>
      <c r="S2022" s="5" t="n">
        <f aca="false">IF(H2022&lt;=16,1.45,
IF(H2022&gt;=41,0.3,
CHOOSE(ROUNDDOWN((H2022-16)/2,0)+1,
1.45,1.38,1.3,1.23,1.17,1.15,1.12,1.05,0.95,0.8,0.6,0.4,0.3)))</f>
        <v>1.23</v>
      </c>
      <c r="T2022" s="5" t="n">
        <f aca="false">CHOOSE(N2022+1,1.2,1,0.85,0.7)</f>
        <v>1.2</v>
      </c>
      <c r="U2022" s="5" t="n">
        <f aca="false">IF(F2022="PO",0.6,
IF(F2022="CT",0.75,
IF(F2022="LI",0.8,
IF(F2022="LD",0.8,
IF(F2022="MCD",0.85,
IF(F2022="MC",0.95,
IF(F2022="MO",1.05,
IF(F2022="EI",1.1,
IF(F2022="ED",1.1,
IF(F2022="SD",1.15,
IF(F2022="DC",1.2,0)))))))))))</f>
        <v>1.1</v>
      </c>
    </row>
    <row r="2023" customFormat="false" ht="16.4" hidden="false" customHeight="false" outlineLevel="0" collapsed="false">
      <c r="A2023" s="1" t="n">
        <v>2022</v>
      </c>
      <c r="B2023" s="5" t="str">
        <f aca="false">[1]Base_Jugadores!B2023</f>
        <v>Kilian Fischer</v>
      </c>
      <c r="C2023" s="5" t="str">
        <f aca="false">IFERROR(
   _xlfn.XLOOKUP(VALUE(A2023),[1]Fichajes_Realizados!A$2:A$50000,[1]Fichajes_Realizados!D$2:D$50000,,0,-1),
   _xlfn.XLOOKUP(VALUE(A2023),[1]Base_Jugadores!A$2:A$50000,[1]Base_Jugadores!C$2:C$50000)
)</f>
        <v>VfL Wolfsburgo</v>
      </c>
      <c r="D2023" s="5" t="str">
        <f aca="false">[1]Base_Jugadores!D2023</f>
        <v>Alemania</v>
      </c>
      <c r="E2023" s="3"/>
      <c r="F2023" s="5" t="str">
        <f aca="false">[1]Base_Jugadores!E2023</f>
        <v>LD</v>
      </c>
      <c r="G2023" s="5" t="n">
        <f aca="false">[1]Base_Jugadores!F2023</f>
        <v>71</v>
      </c>
      <c r="H2023" s="5" t="n">
        <f aca="false">[1]Base_Jugadores!G2023</f>
        <v>25</v>
      </c>
      <c r="I2023" s="7" t="n">
        <f aca="false" t="array" ref="I2023:I2023">_xlfn.XLOOKUP(G2023,{55;56;57;58;59;60;61;62;63;64;65;66;67;68;69;70;71;72;73;74;75;76;77;78;79;80;81;82;83;84;85;86;87;88;89;90;91;92;93;94;95;96;97;98;99},{100000;130000;160000;190000;220000;250000;300000;350000;400000;450000;500000;600000;700000;800000;900000;1000000;1500000;2000000;3000000;4000000;5000000;6500000;8000000;10000000;12500000;15000000;20000000;25000000;30000000;35000000;40000000;55000000;70000000;80000000;90000000;110000000;130000000;160000000;190000000;220000000;250000000;280000000;310000000;340000000;400000000})</f>
        <v>1500000</v>
      </c>
      <c r="J2023" s="7" t="n">
        <f aca="false">I2023*S2023*T2023*U2023</f>
        <v>1684800</v>
      </c>
      <c r="K2023" s="3"/>
      <c r="L2023" s="3"/>
      <c r="M2023" s="3"/>
      <c r="N2023" s="9" t="n">
        <v>0</v>
      </c>
      <c r="O2023" s="4" t="n">
        <v>0</v>
      </c>
      <c r="P2023" s="5" t="n">
        <f aca="false">IF(COUNTIF([1]Base_Jugadores!J$2:J$500,B2023)&gt;0,1,0)</f>
        <v>0</v>
      </c>
      <c r="Q2023" s="10" t="b">
        <f aca="false">--(COUNTIFS(
   [1]Fichajes_Realizados!A$2:A$5000,A2023,
   [1]Fichajes_Realizados!G$2:G$5000,$X$3
)&gt;0)</f>
        <v>0</v>
      </c>
      <c r="R2023" s="5" t="n">
        <f aca="false">_xlfn.XLOOKUP(C2023, [1]Estado_Equipos!A$2:A$500, [1]Estado_Equipos!J$2:J$500, "")</f>
        <v>74</v>
      </c>
      <c r="S2023" s="5" t="n">
        <f aca="false">IF(H2023&lt;=16,1.45,
IF(H2023&gt;=41,0.3,
CHOOSE(ROUNDDOWN((H2023-16)/2,0)+1,
1.45,1.38,1.3,1.23,1.17,1.15,1.12,1.05,0.95,0.8,0.6,0.4,0.3)))</f>
        <v>1.17</v>
      </c>
      <c r="T2023" s="5" t="n">
        <f aca="false">CHOOSE(N2023+1,1.2,1,0.85,0.7)</f>
        <v>1.2</v>
      </c>
      <c r="U2023" s="5" t="n">
        <f aca="false">IF(F2023="PO",0.6,
IF(F2023="CT",0.75,
IF(F2023="LI",0.8,
IF(F2023="LD",0.8,
IF(F2023="MCD",0.85,
IF(F2023="MC",0.95,
IF(F2023="MO",1.05,
IF(F2023="EI",1.1,
IF(F2023="ED",1.1,
IF(F2023="SD",1.15,
IF(F2023="DC",1.2,0)))))))))))</f>
        <v>0.8</v>
      </c>
    </row>
    <row r="2024" customFormat="false" ht="16.4" hidden="false" customHeight="false" outlineLevel="0" collapsed="false">
      <c r="A2024" s="1" t="n">
        <v>2023</v>
      </c>
      <c r="B2024" s="5" t="str">
        <f aca="false">[1]Base_Jugadores!B2024</f>
        <v>K. Koulierakis</v>
      </c>
      <c r="C2024" s="5" t="str">
        <f aca="false">IFERROR(
   _xlfn.XLOOKUP(VALUE(A2024),[1]Fichajes_Realizados!A$2:A$50000,[1]Fichajes_Realizados!D$2:D$50000,,0,-1),
   _xlfn.XLOOKUP(VALUE(A2024),[1]Base_Jugadores!A$2:A$50000,[1]Base_Jugadores!C$2:C$50000)
)</f>
        <v>VfL Wolfsburgo</v>
      </c>
      <c r="D2024" s="5" t="str">
        <f aca="false">[1]Base_Jugadores!D2024</f>
        <v>Grecia</v>
      </c>
      <c r="E2024" s="3"/>
      <c r="F2024" s="5" t="str">
        <f aca="false">[1]Base_Jugadores!E2024</f>
        <v>CT</v>
      </c>
      <c r="G2024" s="5" t="n">
        <f aca="false">[1]Base_Jugadores!F2024</f>
        <v>75</v>
      </c>
      <c r="H2024" s="5" t="n">
        <f aca="false">[1]Base_Jugadores!G2024</f>
        <v>22</v>
      </c>
      <c r="I2024" s="7" t="n">
        <f aca="false" t="array" ref="I2024:I2024">_xlfn.XLOOKUP(G2024,{55;56;57;58;59;60;61;62;63;64;65;66;67;68;69;70;71;72;73;74;75;76;77;78;79;80;81;82;83;84;85;86;87;88;89;90;91;92;93;94;95;96;97;98;99},{100000;130000;160000;190000;220000;250000;300000;350000;400000;450000;500000;600000;700000;800000;900000;1000000;1500000;2000000;3000000;4000000;5000000;6500000;8000000;10000000;12500000;15000000;20000000;25000000;30000000;35000000;40000000;55000000;70000000;80000000;90000000;110000000;130000000;160000000;190000000;220000000;250000000;280000000;310000000;340000000;400000000})</f>
        <v>5000000</v>
      </c>
      <c r="J2024" s="7" t="n">
        <f aca="false">I2024*S2024*T2024*U2024</f>
        <v>5535000</v>
      </c>
      <c r="K2024" s="3"/>
      <c r="L2024" s="3"/>
      <c r="M2024" s="3"/>
      <c r="N2024" s="9" t="n">
        <v>0</v>
      </c>
      <c r="O2024" s="4" t="n">
        <v>0</v>
      </c>
      <c r="P2024" s="5" t="n">
        <f aca="false">IF(COUNTIF([1]Base_Jugadores!J$2:J$500,B2024)&gt;0,1,0)</f>
        <v>0</v>
      </c>
      <c r="Q2024" s="10" t="b">
        <f aca="false">--(COUNTIFS(
   [1]Fichajes_Realizados!A$2:A$5000,A2024,
   [1]Fichajes_Realizados!G$2:G$5000,$X$3
)&gt;0)</f>
        <v>0</v>
      </c>
      <c r="R2024" s="5" t="n">
        <f aca="false">_xlfn.XLOOKUP(C2024, [1]Estado_Equipos!A$2:A$500, [1]Estado_Equipos!J$2:J$500, "")</f>
        <v>74</v>
      </c>
      <c r="S2024" s="5" t="n">
        <f aca="false">IF(H2024&lt;=16,1.45,
IF(H2024&gt;=41,0.3,
CHOOSE(ROUNDDOWN((H2024-16)/2,0)+1,
1.45,1.38,1.3,1.23,1.17,1.15,1.12,1.05,0.95,0.8,0.6,0.4,0.3)))</f>
        <v>1.23</v>
      </c>
      <c r="T2024" s="5" t="n">
        <f aca="false">CHOOSE(N2024+1,1.2,1,0.85,0.7)</f>
        <v>1.2</v>
      </c>
      <c r="U2024" s="5" t="n">
        <f aca="false">IF(F2024="PO",0.6,
IF(F2024="CT",0.75,
IF(F2024="LI",0.8,
IF(F2024="LD",0.8,
IF(F2024="MCD",0.85,
IF(F2024="MC",0.95,
IF(F2024="MO",1.05,
IF(F2024="EI",1.1,
IF(F2024="ED",1.1,
IF(F2024="SD",1.15,
IF(F2024="DC",1.2,0)))))))))))</f>
        <v>0.75</v>
      </c>
    </row>
    <row r="2025" customFormat="false" ht="16.4" hidden="false" customHeight="false" outlineLevel="0" collapsed="false">
      <c r="A2025" s="1" t="n">
        <v>2024</v>
      </c>
      <c r="B2025" s="5" t="str">
        <f aca="false">[1]Base_Jugadores!B2025</f>
        <v>Lovro Majer</v>
      </c>
      <c r="C2025" s="5" t="str">
        <f aca="false">IFERROR(
   _xlfn.XLOOKUP(VALUE(A2025),[1]Fichajes_Realizados!A$2:A$50000,[1]Fichajes_Realizados!D$2:D$50000,,0,-1),
   _xlfn.XLOOKUP(VALUE(A2025),[1]Base_Jugadores!A$2:A$50000,[1]Base_Jugadores!C$2:C$50000)
)</f>
        <v>VfL Wolfsburgo</v>
      </c>
      <c r="D2025" s="5" t="str">
        <f aca="false">[1]Base_Jugadores!D2025</f>
        <v>Croacia</v>
      </c>
      <c r="E2025" s="3"/>
      <c r="F2025" s="5" t="str">
        <f aca="false">[1]Base_Jugadores!E2025</f>
        <v>MO</v>
      </c>
      <c r="G2025" s="5" t="n">
        <f aca="false">[1]Base_Jugadores!F2025</f>
        <v>79</v>
      </c>
      <c r="H2025" s="5" t="n">
        <f aca="false">[1]Base_Jugadores!G2025</f>
        <v>27</v>
      </c>
      <c r="I2025" s="7" t="n">
        <f aca="false" t="array" ref="I2025:I2025">_xlfn.XLOOKUP(G2025,{55;56;57;58;59;60;61;62;63;64;65;66;67;68;69;70;71;72;73;74;75;76;77;78;79;80;81;82;83;84;85;86;87;88;89;90;91;92;93;94;95;96;97;98;99},{100000;130000;160000;190000;220000;250000;300000;350000;400000;450000;500000;600000;700000;800000;900000;1000000;1500000;2000000;3000000;4000000;5000000;6500000;8000000;10000000;12500000;15000000;20000000;25000000;30000000;35000000;40000000;55000000;70000000;80000000;90000000;110000000;130000000;160000000;190000000;220000000;250000000;280000000;310000000;340000000;400000000})</f>
        <v>12500000</v>
      </c>
      <c r="J2025" s="7" t="n">
        <f aca="false">I2025*S2025*T2025*U2025</f>
        <v>18112500</v>
      </c>
      <c r="K2025" s="3"/>
      <c r="L2025" s="3"/>
      <c r="M2025" s="3"/>
      <c r="N2025" s="9" t="n">
        <v>0</v>
      </c>
      <c r="O2025" s="4" t="n">
        <v>0</v>
      </c>
      <c r="P2025" s="5" t="n">
        <f aca="false">IF(COUNTIF([1]Base_Jugadores!J$2:J$500,B2025)&gt;0,1,0)</f>
        <v>0</v>
      </c>
      <c r="Q2025" s="10" t="b">
        <f aca="false">--(COUNTIFS(
   [1]Fichajes_Realizados!A$2:A$5000,A2025,
   [1]Fichajes_Realizados!G$2:G$5000,$X$3
)&gt;0)</f>
        <v>0</v>
      </c>
      <c r="R2025" s="5" t="n">
        <f aca="false">_xlfn.XLOOKUP(C2025, [1]Estado_Equipos!A$2:A$500, [1]Estado_Equipos!J$2:J$500, "")</f>
        <v>74</v>
      </c>
      <c r="S2025" s="5" t="n">
        <f aca="false">IF(H2025&lt;=16,1.45,
IF(H2025&gt;=41,0.3,
CHOOSE(ROUNDDOWN((H2025-16)/2,0)+1,
1.45,1.38,1.3,1.23,1.17,1.15,1.12,1.05,0.95,0.8,0.6,0.4,0.3)))</f>
        <v>1.15</v>
      </c>
      <c r="T2025" s="5" t="n">
        <f aca="false">CHOOSE(N2025+1,1.2,1,0.85,0.7)</f>
        <v>1.2</v>
      </c>
      <c r="U2025" s="5" t="n">
        <f aca="false">IF(F2025="PO",0.6,
IF(F2025="CT",0.75,
IF(F2025="LI",0.8,
IF(F2025="LD",0.8,
IF(F2025="MCD",0.85,
IF(F2025="MC",0.95,
IF(F2025="MO",1.05,
IF(F2025="EI",1.1,
IF(F2025="ED",1.1,
IF(F2025="SD",1.15,
IF(F2025="DC",1.2,0)))))))))))</f>
        <v>1.05</v>
      </c>
    </row>
    <row r="2026" customFormat="false" ht="16.4" hidden="false" customHeight="false" outlineLevel="0" collapsed="false">
      <c r="A2026" s="1" t="n">
        <v>2025</v>
      </c>
      <c r="B2026" s="5" t="str">
        <f aca="false">[1]Base_Jugadores!B2026</f>
        <v>Marius Müller</v>
      </c>
      <c r="C2026" s="5" t="str">
        <f aca="false">IFERROR(
   _xlfn.XLOOKUP(VALUE(A2026),[1]Fichajes_Realizados!A$2:A$50000,[1]Fichajes_Realizados!D$2:D$50000,,0,-1),
   _xlfn.XLOOKUP(VALUE(A2026),[1]Base_Jugadores!A$2:A$50000,[1]Base_Jugadores!C$2:C$50000)
)</f>
        <v>VfL Wolfsburgo</v>
      </c>
      <c r="D2026" s="5" t="str">
        <f aca="false">[1]Base_Jugadores!D2026</f>
        <v>Alemania</v>
      </c>
      <c r="E2026" s="3"/>
      <c r="F2026" s="5" t="str">
        <f aca="false">[1]Base_Jugadores!E2026</f>
        <v>PO</v>
      </c>
      <c r="G2026" s="5" t="n">
        <f aca="false">[1]Base_Jugadores!F2026</f>
        <v>74</v>
      </c>
      <c r="H2026" s="5" t="n">
        <f aca="false">[1]Base_Jugadores!G2026</f>
        <v>32</v>
      </c>
      <c r="I2026" s="7" t="n">
        <f aca="false" t="array" ref="I2026:I2026">_xlfn.XLOOKUP(G2026,{55;56;57;58;59;60;61;62;63;64;65;66;67;68;69;70;71;72;73;74;75;76;77;78;79;80;81;82;83;84;85;86;87;88;89;90;91;92;93;94;95;96;97;98;99},{100000;130000;160000;190000;220000;250000;300000;350000;400000;450000;500000;600000;700000;800000;900000;1000000;1500000;2000000;3000000;4000000;5000000;6500000;8000000;10000000;12500000;15000000;20000000;25000000;30000000;35000000;40000000;55000000;70000000;80000000;90000000;110000000;130000000;160000000;190000000;220000000;250000000;280000000;310000000;340000000;400000000})</f>
        <v>4000000</v>
      </c>
      <c r="J2026" s="7" t="n">
        <f aca="false">I2026*S2026*T2026*U2026</f>
        <v>2736000</v>
      </c>
      <c r="K2026" s="3"/>
      <c r="L2026" s="3"/>
      <c r="M2026" s="3"/>
      <c r="N2026" s="9" t="n">
        <v>0</v>
      </c>
      <c r="O2026" s="4" t="n">
        <v>0</v>
      </c>
      <c r="P2026" s="5" t="n">
        <f aca="false">IF(COUNTIF([1]Base_Jugadores!J$2:J$500,B2026)&gt;0,1,0)</f>
        <v>0</v>
      </c>
      <c r="Q2026" s="10" t="b">
        <f aca="false">--(COUNTIFS(
   [1]Fichajes_Realizados!A$2:A$5000,A2026,
   [1]Fichajes_Realizados!G$2:G$5000,$X$3
)&gt;0)</f>
        <v>0</v>
      </c>
      <c r="R2026" s="5" t="n">
        <f aca="false">_xlfn.XLOOKUP(C2026, [1]Estado_Equipos!A$2:A$500, [1]Estado_Equipos!J$2:J$500, "")</f>
        <v>74</v>
      </c>
      <c r="S2026" s="5" t="n">
        <f aca="false">IF(H2026&lt;=16,1.45,
IF(H2026&gt;=41,0.3,
CHOOSE(ROUNDDOWN((H2026-16)/2,0)+1,
1.45,1.38,1.3,1.23,1.17,1.15,1.12,1.05,0.95,0.8,0.6,0.4,0.3)))</f>
        <v>0.95</v>
      </c>
      <c r="T2026" s="5" t="n">
        <f aca="false">CHOOSE(N2026+1,1.2,1,0.85,0.7)</f>
        <v>1.2</v>
      </c>
      <c r="U2026" s="5" t="n">
        <f aca="false">IF(F2026="PO",0.6,
IF(F2026="CT",0.75,
IF(F2026="LI",0.8,
IF(F2026="LD",0.8,
IF(F2026="MCD",0.85,
IF(F2026="MC",0.95,
IF(F2026="MO",1.05,
IF(F2026="EI",1.1,
IF(F2026="ED",1.1,
IF(F2026="SD",1.15,
IF(F2026="DC",1.2,0)))))))))))</f>
        <v>0.6</v>
      </c>
    </row>
    <row r="2027" customFormat="false" ht="16.4" hidden="false" customHeight="false" outlineLevel="0" collapsed="false">
      <c r="A2027" s="1" t="n">
        <v>2026</v>
      </c>
      <c r="B2027" s="5" t="str">
        <f aca="false">[1]Base_Jugadores!B2027</f>
        <v>Mathys Angély</v>
      </c>
      <c r="C2027" s="5" t="str">
        <f aca="false">IFERROR(
   _xlfn.XLOOKUP(VALUE(A2027),[1]Fichajes_Realizados!A$2:A$50000,[1]Fichajes_Realizados!D$2:D$50000,,0,-1),
   _xlfn.XLOOKUP(VALUE(A2027),[1]Base_Jugadores!A$2:A$50000,[1]Base_Jugadores!C$2:C$50000)
)</f>
        <v>VfL Wolfsburgo</v>
      </c>
      <c r="D2027" s="5" t="str">
        <f aca="false">[1]Base_Jugadores!D2027</f>
        <v>Francia</v>
      </c>
      <c r="E2027" s="3"/>
      <c r="F2027" s="5" t="str">
        <f aca="false">[1]Base_Jugadores!E2027</f>
        <v>CT</v>
      </c>
      <c r="G2027" s="5" t="n">
        <f aca="false">[1]Base_Jugadores!F2027</f>
        <v>61</v>
      </c>
      <c r="H2027" s="5" t="n">
        <f aca="false">[1]Base_Jugadores!G2027</f>
        <v>18</v>
      </c>
      <c r="I2027" s="7" t="n">
        <f aca="false" t="array" ref="I2027:I2027">_xlfn.XLOOKUP(G2027,{55;56;57;58;59;60;61;62;63;64;65;66;67;68;69;70;71;72;73;74;75;76;77;78;79;80;81;82;83;84;85;86;87;88;89;90;91;92;93;94;95;96;97;98;99},{100000;130000;160000;190000;220000;250000;300000;350000;400000;450000;500000;600000;700000;800000;900000;1000000;1500000;2000000;3000000;4000000;5000000;6500000;8000000;10000000;12500000;15000000;20000000;25000000;30000000;35000000;40000000;55000000;70000000;80000000;90000000;110000000;130000000;160000000;190000000;220000000;250000000;280000000;310000000;340000000;400000000})</f>
        <v>300000</v>
      </c>
      <c r="J2027" s="7" t="n">
        <f aca="false">I2027*S2027*T2027*U2027</f>
        <v>372600</v>
      </c>
      <c r="K2027" s="3"/>
      <c r="L2027" s="3"/>
      <c r="M2027" s="3"/>
      <c r="N2027" s="9" t="n">
        <v>0</v>
      </c>
      <c r="O2027" s="4" t="n">
        <v>0</v>
      </c>
      <c r="P2027" s="5" t="n">
        <f aca="false">IF(COUNTIF([1]Base_Jugadores!J$2:J$500,B2027)&gt;0,1,0)</f>
        <v>0</v>
      </c>
      <c r="Q2027" s="10" t="b">
        <f aca="false">--(COUNTIFS(
   [1]Fichajes_Realizados!A$2:A$5000,A2027,
   [1]Fichajes_Realizados!G$2:G$5000,$X$3
)&gt;0)</f>
        <v>0</v>
      </c>
      <c r="R2027" s="5" t="n">
        <f aca="false">_xlfn.XLOOKUP(C2027, [1]Estado_Equipos!A$2:A$500, [1]Estado_Equipos!J$2:J$500, "")</f>
        <v>74</v>
      </c>
      <c r="S2027" s="5" t="n">
        <f aca="false">IF(H2027&lt;=16,1.45,
IF(H2027&gt;=41,0.3,
CHOOSE(ROUNDDOWN((H2027-16)/2,0)+1,
1.45,1.38,1.3,1.23,1.17,1.15,1.12,1.05,0.95,0.8,0.6,0.4,0.3)))</f>
        <v>1.38</v>
      </c>
      <c r="T2027" s="5" t="n">
        <f aca="false">CHOOSE(N2027+1,1.2,1,0.85,0.7)</f>
        <v>1.2</v>
      </c>
      <c r="U2027" s="5" t="n">
        <f aca="false">IF(F2027="PO",0.6,
IF(F2027="CT",0.75,
IF(F2027="LI",0.8,
IF(F2027="LD",0.8,
IF(F2027="MCD",0.85,
IF(F2027="MC",0.95,
IF(F2027="MO",1.05,
IF(F2027="EI",1.1,
IF(F2027="ED",1.1,
IF(F2027="SD",1.15,
IF(F2027="DC",1.2,0)))))))))))</f>
        <v>0.75</v>
      </c>
    </row>
    <row r="2028" customFormat="false" ht="16.4" hidden="false" customHeight="false" outlineLevel="0" collapsed="false">
      <c r="A2028" s="1" t="n">
        <v>2027</v>
      </c>
      <c r="B2028" s="5" t="str">
        <f aca="false">[1]Base_Jugadores!B2028</f>
        <v>Mattias Svanberg</v>
      </c>
      <c r="C2028" s="5" t="str">
        <f aca="false">IFERROR(
   _xlfn.XLOOKUP(VALUE(A2028),[1]Fichajes_Realizados!A$2:A$50000,[1]Fichajes_Realizados!D$2:D$50000,,0,-1),
   _xlfn.XLOOKUP(VALUE(A2028),[1]Base_Jugadores!A$2:A$50000,[1]Base_Jugadores!C$2:C$50000)
)</f>
        <v>VfL Wolfsburgo</v>
      </c>
      <c r="D2028" s="5" t="str">
        <f aca="false">[1]Base_Jugadores!D2028</f>
        <v>Suecia</v>
      </c>
      <c r="E2028" s="3"/>
      <c r="F2028" s="5" t="str">
        <f aca="false">[1]Base_Jugadores!E2028</f>
        <v>MC</v>
      </c>
      <c r="G2028" s="5" t="n">
        <f aca="false">[1]Base_Jugadores!F2028</f>
        <v>77</v>
      </c>
      <c r="H2028" s="5" t="n">
        <f aca="false">[1]Base_Jugadores!G2028</f>
        <v>26</v>
      </c>
      <c r="I2028" s="7" t="n">
        <f aca="false" t="array" ref="I2028:I2028">_xlfn.XLOOKUP(G2028,{55;56;57;58;59;60;61;62;63;64;65;66;67;68;69;70;71;72;73;74;75;76;77;78;79;80;81;82;83;84;85;86;87;88;89;90;91;92;93;94;95;96;97;98;99},{100000;130000;160000;190000;220000;250000;300000;350000;400000;450000;500000;600000;700000;800000;900000;1000000;1500000;2000000;3000000;4000000;5000000;6500000;8000000;10000000;12500000;15000000;20000000;25000000;30000000;35000000;40000000;55000000;70000000;80000000;90000000;110000000;130000000;160000000;190000000;220000000;250000000;280000000;310000000;340000000;400000000})</f>
        <v>8000000</v>
      </c>
      <c r="J2028" s="7" t="n">
        <f aca="false">I2028*S2028*T2028*U2028</f>
        <v>10488000</v>
      </c>
      <c r="K2028" s="3"/>
      <c r="L2028" s="3"/>
      <c r="M2028" s="3"/>
      <c r="N2028" s="9" t="n">
        <v>0</v>
      </c>
      <c r="O2028" s="4" t="n">
        <v>0</v>
      </c>
      <c r="P2028" s="5" t="n">
        <f aca="false">IF(COUNTIF([1]Base_Jugadores!J$2:J$500,B2028)&gt;0,1,0)</f>
        <v>0</v>
      </c>
      <c r="Q2028" s="10" t="b">
        <f aca="false">--(COUNTIFS(
   [1]Fichajes_Realizados!A$2:A$5000,A2028,
   [1]Fichajes_Realizados!G$2:G$5000,$X$3
)&gt;0)</f>
        <v>0</v>
      </c>
      <c r="R2028" s="5" t="n">
        <f aca="false">_xlfn.XLOOKUP(C2028, [1]Estado_Equipos!A$2:A$500, [1]Estado_Equipos!J$2:J$500, "")</f>
        <v>74</v>
      </c>
      <c r="S2028" s="5" t="n">
        <f aca="false">IF(H2028&lt;=16,1.45,
IF(H2028&gt;=41,0.3,
CHOOSE(ROUNDDOWN((H2028-16)/2,0)+1,
1.45,1.38,1.3,1.23,1.17,1.15,1.12,1.05,0.95,0.8,0.6,0.4,0.3)))</f>
        <v>1.15</v>
      </c>
      <c r="T2028" s="5" t="n">
        <f aca="false">CHOOSE(N2028+1,1.2,1,0.85,0.7)</f>
        <v>1.2</v>
      </c>
      <c r="U2028" s="5" t="n">
        <f aca="false">IF(F2028="PO",0.6,
IF(F2028="CT",0.75,
IF(F2028="LI",0.8,
IF(F2028="LD",0.8,
IF(F2028="MCD",0.85,
IF(F2028="MC",0.95,
IF(F2028="MO",1.05,
IF(F2028="EI",1.1,
IF(F2028="ED",1.1,
IF(F2028="SD",1.15,
IF(F2028="DC",1.2,0)))))))))))</f>
        <v>0.95</v>
      </c>
    </row>
    <row r="2029" customFormat="false" ht="16.4" hidden="false" customHeight="false" outlineLevel="0" collapsed="false">
      <c r="A2029" s="1" t="n">
        <v>2028</v>
      </c>
      <c r="B2029" s="5" t="str">
        <f aca="false">[1]Base_Jugadores!B2029</f>
        <v>Maximilian Arnold</v>
      </c>
      <c r="C2029" s="5" t="str">
        <f aca="false">IFERROR(
   _xlfn.XLOOKUP(VALUE(A2029),[1]Fichajes_Realizados!A$2:A$50000,[1]Fichajes_Realizados!D$2:D$50000,,0,-1),
   _xlfn.XLOOKUP(VALUE(A2029),[1]Base_Jugadores!A$2:A$50000,[1]Base_Jugadores!C$2:C$50000)
)</f>
        <v>VfL Wolfsburgo</v>
      </c>
      <c r="D2029" s="5" t="str">
        <f aca="false">[1]Base_Jugadores!D2029</f>
        <v>Alemania</v>
      </c>
      <c r="E2029" s="3"/>
      <c r="F2029" s="5" t="str">
        <f aca="false">[1]Base_Jugadores!E2029</f>
        <v>MC</v>
      </c>
      <c r="G2029" s="5" t="n">
        <f aca="false">[1]Base_Jugadores!F2029</f>
        <v>80</v>
      </c>
      <c r="H2029" s="5" t="n">
        <f aca="false">[1]Base_Jugadores!G2029</f>
        <v>31</v>
      </c>
      <c r="I2029" s="7" t="n">
        <f aca="false" t="array" ref="I2029:I2029">_xlfn.XLOOKUP(G2029,{55;56;57;58;59;60;61;62;63;64;65;66;67;68;69;70;71;72;73;74;75;76;77;78;79;80;81;82;83;84;85;86;87;88;89;90;91;92;93;94;95;96;97;98;99},{100000;130000;160000;190000;220000;250000;300000;350000;400000;450000;500000;600000;700000;800000;900000;1000000;1500000;2000000;3000000;4000000;5000000;6500000;8000000;10000000;12500000;15000000;20000000;25000000;30000000;35000000;40000000;55000000;70000000;80000000;90000000;110000000;130000000;160000000;190000000;220000000;250000000;280000000;310000000;340000000;400000000})</f>
        <v>15000000</v>
      </c>
      <c r="J2029" s="7" t="n">
        <f aca="false">I2029*S2029*T2029*U2029</f>
        <v>17955000</v>
      </c>
      <c r="K2029" s="3"/>
      <c r="L2029" s="3"/>
      <c r="M2029" s="3"/>
      <c r="N2029" s="9" t="n">
        <v>0</v>
      </c>
      <c r="O2029" s="4" t="n">
        <v>0</v>
      </c>
      <c r="P2029" s="5" t="n">
        <f aca="false">IF(COUNTIF([1]Base_Jugadores!J$2:J$500,B2029)&gt;0,1,0)</f>
        <v>0</v>
      </c>
      <c r="Q2029" s="10" t="b">
        <f aca="false">--(COUNTIFS(
   [1]Fichajes_Realizados!A$2:A$5000,A2029,
   [1]Fichajes_Realizados!G$2:G$5000,$X$3
)&gt;0)</f>
        <v>0</v>
      </c>
      <c r="R2029" s="5" t="n">
        <f aca="false">_xlfn.XLOOKUP(C2029, [1]Estado_Equipos!A$2:A$500, [1]Estado_Equipos!J$2:J$500, "")</f>
        <v>74</v>
      </c>
      <c r="S2029" s="5" t="n">
        <f aca="false">IF(H2029&lt;=16,1.45,
IF(H2029&gt;=41,0.3,
CHOOSE(ROUNDDOWN((H2029-16)/2,0)+1,
1.45,1.38,1.3,1.23,1.17,1.15,1.12,1.05,0.95,0.8,0.6,0.4,0.3)))</f>
        <v>1.05</v>
      </c>
      <c r="T2029" s="5" t="n">
        <f aca="false">CHOOSE(N2029+1,1.2,1,0.85,0.7)</f>
        <v>1.2</v>
      </c>
      <c r="U2029" s="5" t="n">
        <f aca="false">IF(F2029="PO",0.6,
IF(F2029="CT",0.75,
IF(F2029="LI",0.8,
IF(F2029="LD",0.8,
IF(F2029="MCD",0.85,
IF(F2029="MC",0.95,
IF(F2029="MO",1.05,
IF(F2029="EI",1.1,
IF(F2029="ED",1.1,
IF(F2029="SD",1.15,
IF(F2029="DC",1.2,0)))))))))))</f>
        <v>0.95</v>
      </c>
    </row>
    <row r="2030" customFormat="false" ht="16.4" hidden="false" customHeight="false" outlineLevel="0" collapsed="false">
      <c r="A2030" s="1" t="n">
        <v>2029</v>
      </c>
      <c r="B2030" s="5" t="str">
        <f aca="false">[1]Base_Jugadores!B2030</f>
        <v>Mohamed Amoura</v>
      </c>
      <c r="C2030" s="5" t="str">
        <f aca="false">IFERROR(
   _xlfn.XLOOKUP(VALUE(A2030),[1]Fichajes_Realizados!A$2:A$50000,[1]Fichajes_Realizados!D$2:D$50000,,0,-1),
   _xlfn.XLOOKUP(VALUE(A2030),[1]Base_Jugadores!A$2:A$50000,[1]Base_Jugadores!C$2:C$50000)
)</f>
        <v>VfL Wolfsburgo</v>
      </c>
      <c r="D2030" s="5" t="str">
        <f aca="false">[1]Base_Jugadores!D2030</f>
        <v>Argelia</v>
      </c>
      <c r="E2030" s="3"/>
      <c r="F2030" s="5" t="str">
        <f aca="false">[1]Base_Jugadores!E2030</f>
        <v>DC</v>
      </c>
      <c r="G2030" s="5" t="n">
        <f aca="false">[1]Base_Jugadores!F2030</f>
        <v>80</v>
      </c>
      <c r="H2030" s="5" t="n">
        <f aca="false">[1]Base_Jugadores!G2030</f>
        <v>25</v>
      </c>
      <c r="I2030" s="7" t="n">
        <f aca="false" t="array" ref="I2030:I2030">_xlfn.XLOOKUP(G2030,{55;56;57;58;59;60;61;62;63;64;65;66;67;68;69;70;71;72;73;74;75;76;77;78;79;80;81;82;83;84;85;86;87;88;89;90;91;92;93;94;95;96;97;98;99},{100000;130000;160000;190000;220000;250000;300000;350000;400000;450000;500000;600000;700000;800000;900000;1000000;1500000;2000000;3000000;4000000;5000000;6500000;8000000;10000000;12500000;15000000;20000000;25000000;30000000;35000000;40000000;55000000;70000000;80000000;90000000;110000000;130000000;160000000;190000000;220000000;250000000;280000000;310000000;340000000;400000000})</f>
        <v>15000000</v>
      </c>
      <c r="J2030" s="7" t="n">
        <f aca="false">I2030*S2030*T2030*U2030</f>
        <v>25272000</v>
      </c>
      <c r="K2030" s="3"/>
      <c r="L2030" s="3"/>
      <c r="M2030" s="3"/>
      <c r="N2030" s="9" t="n">
        <v>0</v>
      </c>
      <c r="O2030" s="4" t="n">
        <v>0</v>
      </c>
      <c r="P2030" s="5" t="n">
        <f aca="false">IF(COUNTIF([1]Base_Jugadores!J$2:J$500,B2030)&gt;0,1,0)</f>
        <v>0</v>
      </c>
      <c r="Q2030" s="10" t="b">
        <f aca="false">--(COUNTIFS(
   [1]Fichajes_Realizados!A$2:A$5000,A2030,
   [1]Fichajes_Realizados!G$2:G$5000,$X$3
)&gt;0)</f>
        <v>0</v>
      </c>
      <c r="R2030" s="5" t="n">
        <f aca="false">_xlfn.XLOOKUP(C2030, [1]Estado_Equipos!A$2:A$500, [1]Estado_Equipos!J$2:J$500, "")</f>
        <v>74</v>
      </c>
      <c r="S2030" s="5" t="n">
        <f aca="false">IF(H2030&lt;=16,1.45,
IF(H2030&gt;=41,0.3,
CHOOSE(ROUNDDOWN((H2030-16)/2,0)+1,
1.45,1.38,1.3,1.23,1.17,1.15,1.12,1.05,0.95,0.8,0.6,0.4,0.3)))</f>
        <v>1.17</v>
      </c>
      <c r="T2030" s="5" t="n">
        <f aca="false">CHOOSE(N2030+1,1.2,1,0.85,0.7)</f>
        <v>1.2</v>
      </c>
      <c r="U2030" s="5" t="n">
        <f aca="false">IF(F2030="PO",0.6,
IF(F2030="CT",0.75,
IF(F2030="LI",0.8,
IF(F2030="LD",0.8,
IF(F2030="MCD",0.85,
IF(F2030="MC",0.95,
IF(F2030="MO",1.05,
IF(F2030="EI",1.1,
IF(F2030="ED",1.1,
IF(F2030="SD",1.15,
IF(F2030="DC",1.2,0)))))))))))</f>
        <v>1.2</v>
      </c>
    </row>
    <row r="2031" customFormat="false" ht="16.4" hidden="false" customHeight="false" outlineLevel="0" collapsed="false">
      <c r="A2031" s="1" t="n">
        <v>2030</v>
      </c>
      <c r="B2031" s="5" t="str">
        <f aca="false">[1]Base_Jugadores!B2031</f>
        <v>Moritz Jenz</v>
      </c>
      <c r="C2031" s="5" t="str">
        <f aca="false">IFERROR(
   _xlfn.XLOOKUP(VALUE(A2031),[1]Fichajes_Realizados!A$2:A$50000,[1]Fichajes_Realizados!D$2:D$50000,,0,-1),
   _xlfn.XLOOKUP(VALUE(A2031),[1]Base_Jugadores!A$2:A$50000,[1]Base_Jugadores!C$2:C$50000)
)</f>
        <v>VfL Wolfsburgo</v>
      </c>
      <c r="D2031" s="5" t="str">
        <f aca="false">[1]Base_Jugadores!D2031</f>
        <v>Alemania</v>
      </c>
      <c r="E2031" s="3"/>
      <c r="F2031" s="5" t="str">
        <f aca="false">[1]Base_Jugadores!E2031</f>
        <v>CT</v>
      </c>
      <c r="G2031" s="5" t="n">
        <f aca="false">[1]Base_Jugadores!F2031</f>
        <v>74</v>
      </c>
      <c r="H2031" s="5" t="n">
        <f aca="false">[1]Base_Jugadores!G2031</f>
        <v>26</v>
      </c>
      <c r="I2031" s="7" t="n">
        <f aca="false" t="array" ref="I2031:I2031">_xlfn.XLOOKUP(G2031,{55;56;57;58;59;60;61;62;63;64;65;66;67;68;69;70;71;72;73;74;75;76;77;78;79;80;81;82;83;84;85;86;87;88;89;90;91;92;93;94;95;96;97;98;99},{100000;130000;160000;190000;220000;250000;300000;350000;400000;450000;500000;600000;700000;800000;900000;1000000;1500000;2000000;3000000;4000000;5000000;6500000;8000000;10000000;12500000;15000000;20000000;25000000;30000000;35000000;40000000;55000000;70000000;80000000;90000000;110000000;130000000;160000000;190000000;220000000;250000000;280000000;310000000;340000000;400000000})</f>
        <v>4000000</v>
      </c>
      <c r="J2031" s="7" t="n">
        <f aca="false">I2031*S2031*T2031*U2031</f>
        <v>4140000</v>
      </c>
      <c r="K2031" s="3"/>
      <c r="L2031" s="3"/>
      <c r="M2031" s="3"/>
      <c r="N2031" s="9" t="n">
        <v>0</v>
      </c>
      <c r="O2031" s="4" t="n">
        <v>0</v>
      </c>
      <c r="P2031" s="5" t="n">
        <f aca="false">IF(COUNTIF([1]Base_Jugadores!J$2:J$500,B2031)&gt;0,1,0)</f>
        <v>0</v>
      </c>
      <c r="Q2031" s="10" t="b">
        <f aca="false">--(COUNTIFS(
   [1]Fichajes_Realizados!A$2:A$5000,A2031,
   [1]Fichajes_Realizados!G$2:G$5000,$X$3
)&gt;0)</f>
        <v>0</v>
      </c>
      <c r="R2031" s="5" t="n">
        <f aca="false">_xlfn.XLOOKUP(C2031, [1]Estado_Equipos!A$2:A$500, [1]Estado_Equipos!J$2:J$500, "")</f>
        <v>74</v>
      </c>
      <c r="S2031" s="5" t="n">
        <f aca="false">IF(H2031&lt;=16,1.45,
IF(H2031&gt;=41,0.3,
CHOOSE(ROUNDDOWN((H2031-16)/2,0)+1,
1.45,1.38,1.3,1.23,1.17,1.15,1.12,1.05,0.95,0.8,0.6,0.4,0.3)))</f>
        <v>1.15</v>
      </c>
      <c r="T2031" s="5" t="n">
        <f aca="false">CHOOSE(N2031+1,1.2,1,0.85,0.7)</f>
        <v>1.2</v>
      </c>
      <c r="U2031" s="5" t="n">
        <f aca="false">IF(F2031="PO",0.6,
IF(F2031="CT",0.75,
IF(F2031="LI",0.8,
IF(F2031="LD",0.8,
IF(F2031="MCD",0.85,
IF(F2031="MC",0.95,
IF(F2031="MO",1.05,
IF(F2031="EI",1.1,
IF(F2031="ED",1.1,
IF(F2031="SD",1.15,
IF(F2031="DC",1.2,0)))))))))))</f>
        <v>0.75</v>
      </c>
    </row>
    <row r="2032" customFormat="false" ht="16.4" hidden="false" customHeight="false" outlineLevel="0" collapsed="false">
      <c r="A2032" s="1" t="n">
        <v>2031</v>
      </c>
      <c r="B2032" s="5" t="str">
        <f aca="false">[1]Base_Jugadores!B2032</f>
        <v>Patrick Wimmer</v>
      </c>
      <c r="C2032" s="5" t="str">
        <f aca="false">IFERROR(
   _xlfn.XLOOKUP(VALUE(A2032),[1]Fichajes_Realizados!A$2:A$50000,[1]Fichajes_Realizados!D$2:D$50000,,0,-1),
   _xlfn.XLOOKUP(VALUE(A2032),[1]Base_Jugadores!A$2:A$50000,[1]Base_Jugadores!C$2:C$50000)
)</f>
        <v>VfL Wolfsburgo</v>
      </c>
      <c r="D2032" s="5" t="str">
        <f aca="false">[1]Base_Jugadores!D2032</f>
        <v>Austria</v>
      </c>
      <c r="E2032" s="3"/>
      <c r="F2032" s="5" t="str">
        <f aca="false">[1]Base_Jugadores!E2032</f>
        <v>ED</v>
      </c>
      <c r="G2032" s="5" t="n">
        <f aca="false">[1]Base_Jugadores!F2032</f>
        <v>77</v>
      </c>
      <c r="H2032" s="5" t="n">
        <f aca="false">[1]Base_Jugadores!G2032</f>
        <v>24</v>
      </c>
      <c r="I2032" s="7" t="n">
        <f aca="false" t="array" ref="I2032:I2032">_xlfn.XLOOKUP(G2032,{55;56;57;58;59;60;61;62;63;64;65;66;67;68;69;70;71;72;73;74;75;76;77;78;79;80;81;82;83;84;85;86;87;88;89;90;91;92;93;94;95;96;97;98;99},{100000;130000;160000;190000;220000;250000;300000;350000;400000;450000;500000;600000;700000;800000;900000;1000000;1500000;2000000;3000000;4000000;5000000;6500000;8000000;10000000;12500000;15000000;20000000;25000000;30000000;35000000;40000000;55000000;70000000;80000000;90000000;110000000;130000000;160000000;190000000;220000000;250000000;280000000;310000000;340000000;400000000})</f>
        <v>8000000</v>
      </c>
      <c r="J2032" s="7" t="n">
        <f aca="false">I2032*S2032*T2032*U2032</f>
        <v>12355200</v>
      </c>
      <c r="K2032" s="3"/>
      <c r="L2032" s="3"/>
      <c r="M2032" s="3"/>
      <c r="N2032" s="9" t="n">
        <v>0</v>
      </c>
      <c r="O2032" s="4" t="n">
        <v>0</v>
      </c>
      <c r="P2032" s="5" t="n">
        <f aca="false">IF(COUNTIF([1]Base_Jugadores!J$2:J$500,B2032)&gt;0,1,0)</f>
        <v>0</v>
      </c>
      <c r="Q2032" s="10" t="b">
        <f aca="false">--(COUNTIFS(
   [1]Fichajes_Realizados!A$2:A$5000,A2032,
   [1]Fichajes_Realizados!G$2:G$5000,$X$3
)&gt;0)</f>
        <v>0</v>
      </c>
      <c r="R2032" s="5" t="n">
        <f aca="false">_xlfn.XLOOKUP(C2032, [1]Estado_Equipos!A$2:A$500, [1]Estado_Equipos!J$2:J$500, "")</f>
        <v>74</v>
      </c>
      <c r="S2032" s="5" t="n">
        <f aca="false">IF(H2032&lt;=16,1.45,
IF(H2032&gt;=41,0.3,
CHOOSE(ROUNDDOWN((H2032-16)/2,0)+1,
1.45,1.38,1.3,1.23,1.17,1.15,1.12,1.05,0.95,0.8,0.6,0.4,0.3)))</f>
        <v>1.17</v>
      </c>
      <c r="T2032" s="5" t="n">
        <f aca="false">CHOOSE(N2032+1,1.2,1,0.85,0.7)</f>
        <v>1.2</v>
      </c>
      <c r="U2032" s="5" t="n">
        <f aca="false">IF(F2032="PO",0.6,
IF(F2032="CT",0.75,
IF(F2032="LI",0.8,
IF(F2032="LD",0.8,
IF(F2032="MCD",0.85,
IF(F2032="MC",0.95,
IF(F2032="MO",1.05,
IF(F2032="EI",1.1,
IF(F2032="ED",1.1,
IF(F2032="SD",1.15,
IF(F2032="DC",1.2,0)))))))))))</f>
        <v>1.1</v>
      </c>
    </row>
    <row r="2033" customFormat="false" ht="16.4" hidden="false" customHeight="false" outlineLevel="0" collapsed="false">
      <c r="A2033" s="1" t="n">
        <v>2032</v>
      </c>
      <c r="B2033" s="5" t="str">
        <f aca="false">[1]Base_Jugadores!B2033</f>
        <v>Pavao Pervan</v>
      </c>
      <c r="C2033" s="5" t="str">
        <f aca="false">IFERROR(
   _xlfn.XLOOKUP(VALUE(A2033),[1]Fichajes_Realizados!A$2:A$50000,[1]Fichajes_Realizados!D$2:D$50000,,0,-1),
   _xlfn.XLOOKUP(VALUE(A2033),[1]Base_Jugadores!A$2:A$50000,[1]Base_Jugadores!C$2:C$50000)
)</f>
        <v>VfL Wolfsburgo</v>
      </c>
      <c r="D2033" s="5" t="str">
        <f aca="false">[1]Base_Jugadores!D2033</f>
        <v>Austria</v>
      </c>
      <c r="E2033" s="3"/>
      <c r="F2033" s="5" t="str">
        <f aca="false">[1]Base_Jugadores!E2033</f>
        <v>PO</v>
      </c>
      <c r="G2033" s="5" t="n">
        <f aca="false">[1]Base_Jugadores!F2033</f>
        <v>73</v>
      </c>
      <c r="H2033" s="5" t="n">
        <f aca="false">[1]Base_Jugadores!G2033</f>
        <v>38</v>
      </c>
      <c r="I2033" s="7" t="n">
        <f aca="false" t="array" ref="I2033:I2033">_xlfn.XLOOKUP(G2033,{55;56;57;58;59;60;61;62;63;64;65;66;67;68;69;70;71;72;73;74;75;76;77;78;79;80;81;82;83;84;85;86;87;88;89;90;91;92;93;94;95;96;97;98;99},{100000;130000;160000;190000;220000;250000;300000;350000;400000;450000;500000;600000;700000;800000;900000;1000000;1500000;2000000;3000000;4000000;5000000;6500000;8000000;10000000;12500000;15000000;20000000;25000000;30000000;35000000;40000000;55000000;70000000;80000000;90000000;110000000;130000000;160000000;190000000;220000000;250000000;280000000;310000000;340000000;400000000})</f>
        <v>3000000</v>
      </c>
      <c r="J2033" s="7" t="n">
        <f aca="false">I2033*S2033*T2033*U2033</f>
        <v>864000</v>
      </c>
      <c r="K2033" s="3"/>
      <c r="L2033" s="3"/>
      <c r="M2033" s="3"/>
      <c r="N2033" s="9" t="n">
        <v>0</v>
      </c>
      <c r="O2033" s="4" t="n">
        <v>0</v>
      </c>
      <c r="P2033" s="5" t="n">
        <f aca="false">IF(COUNTIF([1]Base_Jugadores!J$2:J$500,B2033)&gt;0,1,0)</f>
        <v>0</v>
      </c>
      <c r="Q2033" s="10" t="b">
        <f aca="false">--(COUNTIFS(
   [1]Fichajes_Realizados!A$2:A$5000,A2033,
   [1]Fichajes_Realizados!G$2:G$5000,$X$3
)&gt;0)</f>
        <v>0</v>
      </c>
      <c r="R2033" s="5" t="n">
        <f aca="false">_xlfn.XLOOKUP(C2033, [1]Estado_Equipos!A$2:A$500, [1]Estado_Equipos!J$2:J$500, "")</f>
        <v>74</v>
      </c>
      <c r="S2033" s="5" t="n">
        <f aca="false">IF(H2033&lt;=16,1.45,
IF(H2033&gt;=41,0.3,
CHOOSE(ROUNDDOWN((H2033-16)/2,0)+1,
1.45,1.38,1.3,1.23,1.17,1.15,1.12,1.05,0.95,0.8,0.6,0.4,0.3)))</f>
        <v>0.4</v>
      </c>
      <c r="T2033" s="5" t="n">
        <f aca="false">CHOOSE(N2033+1,1.2,1,0.85,0.7)</f>
        <v>1.2</v>
      </c>
      <c r="U2033" s="5" t="n">
        <f aca="false">IF(F2033="PO",0.6,
IF(F2033="CT",0.75,
IF(F2033="LI",0.8,
IF(F2033="LD",0.8,
IF(F2033="MCD",0.85,
IF(F2033="MC",0.95,
IF(F2033="MO",1.05,
IF(F2033="EI",1.1,
IF(F2033="ED",1.1,
IF(F2033="SD",1.15,
IF(F2033="DC",1.2,0)))))))))))</f>
        <v>0.6</v>
      </c>
    </row>
    <row r="2034" customFormat="false" ht="16.4" hidden="false" customHeight="false" outlineLevel="0" collapsed="false">
      <c r="A2034" s="1" t="n">
        <v>2033</v>
      </c>
      <c r="B2034" s="5" t="str">
        <f aca="false">[1]Base_Jugadores!B2034</f>
        <v>Rogério Oliveira</v>
      </c>
      <c r="C2034" s="5" t="str">
        <f aca="false">IFERROR(
   _xlfn.XLOOKUP(VALUE(A2034),[1]Fichajes_Realizados!A$2:A$50000,[1]Fichajes_Realizados!D$2:D$50000,,0,-1),
   _xlfn.XLOOKUP(VALUE(A2034),[1]Base_Jugadores!A$2:A$50000,[1]Base_Jugadores!C$2:C$50000)
)</f>
        <v>VfL Wolfsburgo</v>
      </c>
      <c r="D2034" s="5" t="str">
        <f aca="false">[1]Base_Jugadores!D2034</f>
        <v>Brasil</v>
      </c>
      <c r="E2034" s="3"/>
      <c r="F2034" s="5" t="str">
        <f aca="false">[1]Base_Jugadores!E2034</f>
        <v>LI</v>
      </c>
      <c r="G2034" s="5" t="n">
        <f aca="false">[1]Base_Jugadores!F2034</f>
        <v>75</v>
      </c>
      <c r="H2034" s="5" t="n">
        <f aca="false">[1]Base_Jugadores!G2034</f>
        <v>27</v>
      </c>
      <c r="I2034" s="7" t="n">
        <f aca="false" t="array" ref="I2034:I2034">_xlfn.XLOOKUP(G2034,{55;56;57;58;59;60;61;62;63;64;65;66;67;68;69;70;71;72;73;74;75;76;77;78;79;80;81;82;83;84;85;86;87;88;89;90;91;92;93;94;95;96;97;98;99},{100000;130000;160000;190000;220000;250000;300000;350000;400000;450000;500000;600000;700000;800000;900000;1000000;1500000;2000000;3000000;4000000;5000000;6500000;8000000;10000000;12500000;15000000;20000000;25000000;30000000;35000000;40000000;55000000;70000000;80000000;90000000;110000000;130000000;160000000;190000000;220000000;250000000;280000000;310000000;340000000;400000000})</f>
        <v>5000000</v>
      </c>
      <c r="J2034" s="7" t="n">
        <f aca="false">I2034*S2034*T2034*U2034</f>
        <v>5520000</v>
      </c>
      <c r="K2034" s="3"/>
      <c r="L2034" s="3"/>
      <c r="M2034" s="3"/>
      <c r="N2034" s="9" t="n">
        <v>0</v>
      </c>
      <c r="O2034" s="4" t="n">
        <v>0</v>
      </c>
      <c r="P2034" s="5" t="n">
        <f aca="false">IF(COUNTIF([1]Base_Jugadores!J$2:J$500,B2034)&gt;0,1,0)</f>
        <v>0</v>
      </c>
      <c r="Q2034" s="10" t="b">
        <f aca="false">--(COUNTIFS(
   [1]Fichajes_Realizados!A$2:A$5000,A2034,
   [1]Fichajes_Realizados!G$2:G$5000,$X$3
)&gt;0)</f>
        <v>0</v>
      </c>
      <c r="R2034" s="5" t="n">
        <f aca="false">_xlfn.XLOOKUP(C2034, [1]Estado_Equipos!A$2:A$500, [1]Estado_Equipos!J$2:J$500, "")</f>
        <v>74</v>
      </c>
      <c r="S2034" s="5" t="n">
        <f aca="false">IF(H2034&lt;=16,1.45,
IF(H2034&gt;=41,0.3,
CHOOSE(ROUNDDOWN((H2034-16)/2,0)+1,
1.45,1.38,1.3,1.23,1.17,1.15,1.12,1.05,0.95,0.8,0.6,0.4,0.3)))</f>
        <v>1.15</v>
      </c>
      <c r="T2034" s="5" t="n">
        <f aca="false">CHOOSE(N2034+1,1.2,1,0.85,0.7)</f>
        <v>1.2</v>
      </c>
      <c r="U2034" s="5" t="n">
        <f aca="false">IF(F2034="PO",0.6,
IF(F2034="CT",0.75,
IF(F2034="LI",0.8,
IF(F2034="LD",0.8,
IF(F2034="MCD",0.85,
IF(F2034="MC",0.95,
IF(F2034="MO",1.05,
IF(F2034="EI",1.1,
IF(F2034="ED",1.1,
IF(F2034="SD",1.15,
IF(F2034="DC",1.2,0)))))))))))</f>
        <v>0.8</v>
      </c>
    </row>
    <row r="2035" customFormat="false" ht="16.4" hidden="false" customHeight="false" outlineLevel="0" collapsed="false">
      <c r="A2035" s="1" t="n">
        <v>2034</v>
      </c>
      <c r="B2035" s="5" t="str">
        <f aca="false">[1]Base_Jugadores!B2035</f>
        <v>Saël Kumbedi</v>
      </c>
      <c r="C2035" s="5" t="str">
        <f aca="false">IFERROR(
   _xlfn.XLOOKUP(VALUE(A2035),[1]Fichajes_Realizados!A$2:A$50000,[1]Fichajes_Realizados!D$2:D$50000,,0,-1),
   _xlfn.XLOOKUP(VALUE(A2035),[1]Base_Jugadores!A$2:A$50000,[1]Base_Jugadores!C$2:C$50000)
)</f>
        <v>VfL Wolfsburgo</v>
      </c>
      <c r="D2035" s="5" t="str">
        <f aca="false">[1]Base_Jugadores!D2035</f>
        <v>Francia</v>
      </c>
      <c r="E2035" s="3"/>
      <c r="F2035" s="5" t="str">
        <f aca="false">[1]Base_Jugadores!E2035</f>
        <v>LD</v>
      </c>
      <c r="G2035" s="5" t="n">
        <f aca="false">[1]Base_Jugadores!F2035</f>
        <v>72</v>
      </c>
      <c r="H2035" s="5" t="n">
        <f aca="false">[1]Base_Jugadores!G2035</f>
        <v>20</v>
      </c>
      <c r="I2035" s="7" t="n">
        <f aca="false" t="array" ref="I2035:I2035">_xlfn.XLOOKUP(G2035,{55;56;57;58;59;60;61;62;63;64;65;66;67;68;69;70;71;72;73;74;75;76;77;78;79;80;81;82;83;84;85;86;87;88;89;90;91;92;93;94;95;96;97;98;99},{100000;130000;160000;190000;220000;250000;300000;350000;400000;450000;500000;600000;700000;800000;900000;1000000;1500000;2000000;3000000;4000000;5000000;6500000;8000000;10000000;12500000;15000000;20000000;25000000;30000000;35000000;40000000;55000000;70000000;80000000;90000000;110000000;130000000;160000000;190000000;220000000;250000000;280000000;310000000;340000000;400000000})</f>
        <v>2000000</v>
      </c>
      <c r="J2035" s="7" t="n">
        <f aca="false">I2035*S2035*T2035*U2035</f>
        <v>2496000</v>
      </c>
      <c r="K2035" s="3"/>
      <c r="L2035" s="3"/>
      <c r="M2035" s="3"/>
      <c r="N2035" s="9" t="n">
        <v>0</v>
      </c>
      <c r="O2035" s="4" t="n">
        <v>0</v>
      </c>
      <c r="P2035" s="5" t="n">
        <f aca="false">IF(COUNTIF([1]Base_Jugadores!J$2:J$500,B2035)&gt;0,1,0)</f>
        <v>0</v>
      </c>
      <c r="Q2035" s="10" t="b">
        <f aca="false">--(COUNTIFS(
   [1]Fichajes_Realizados!A$2:A$5000,A2035,
   [1]Fichajes_Realizados!G$2:G$5000,$X$3
)&gt;0)</f>
        <v>0</v>
      </c>
      <c r="R2035" s="5" t="n">
        <f aca="false">_xlfn.XLOOKUP(C2035, [1]Estado_Equipos!A$2:A$500, [1]Estado_Equipos!J$2:J$500, "")</f>
        <v>74</v>
      </c>
      <c r="S2035" s="5" t="n">
        <f aca="false">IF(H2035&lt;=16,1.45,
IF(H2035&gt;=41,0.3,
CHOOSE(ROUNDDOWN((H2035-16)/2,0)+1,
1.45,1.38,1.3,1.23,1.17,1.15,1.12,1.05,0.95,0.8,0.6,0.4,0.3)))</f>
        <v>1.3</v>
      </c>
      <c r="T2035" s="5" t="n">
        <f aca="false">CHOOSE(N2035+1,1.2,1,0.85,0.7)</f>
        <v>1.2</v>
      </c>
      <c r="U2035" s="5" t="n">
        <f aca="false">IF(F2035="PO",0.6,
IF(F2035="CT",0.75,
IF(F2035="LI",0.8,
IF(F2035="LD",0.8,
IF(F2035="MCD",0.85,
IF(F2035="MC",0.95,
IF(F2035="MO",1.05,
IF(F2035="EI",1.1,
IF(F2035="ED",1.1,
IF(F2035="SD",1.15,
IF(F2035="DC",1.2,0)))))))))))</f>
        <v>0.8</v>
      </c>
    </row>
    <row r="2036" customFormat="false" ht="16.4" hidden="false" customHeight="false" outlineLevel="0" collapsed="false">
      <c r="A2036" s="1" t="n">
        <v>2035</v>
      </c>
      <c r="B2036" s="5" t="str">
        <f aca="false">[1]Base_Jugadores!B2036</f>
        <v>Vini Souza</v>
      </c>
      <c r="C2036" s="5" t="str">
        <f aca="false">IFERROR(
   _xlfn.XLOOKUP(VALUE(A2036),[1]Fichajes_Realizados!A$2:A$50000,[1]Fichajes_Realizados!D$2:D$50000,,0,-1),
   _xlfn.XLOOKUP(VALUE(A2036),[1]Base_Jugadores!A$2:A$50000,[1]Base_Jugadores!C$2:C$50000)
)</f>
        <v>VfL Wolfsburgo</v>
      </c>
      <c r="D2036" s="5" t="str">
        <f aca="false">[1]Base_Jugadores!D2036</f>
        <v>Brasil</v>
      </c>
      <c r="E2036" s="3"/>
      <c r="F2036" s="5" t="str">
        <f aca="false">[1]Base_Jugadores!E2036</f>
        <v>MCD</v>
      </c>
      <c r="G2036" s="5" t="n">
        <f aca="false">[1]Base_Jugadores!F2036</f>
        <v>75</v>
      </c>
      <c r="H2036" s="5" t="n">
        <f aca="false">[1]Base_Jugadores!G2036</f>
        <v>26</v>
      </c>
      <c r="I2036" s="7" t="n">
        <f aca="false" t="array" ref="I2036:I2036">_xlfn.XLOOKUP(G2036,{55;56;57;58;59;60;61;62;63;64;65;66;67;68;69;70;71;72;73;74;75;76;77;78;79;80;81;82;83;84;85;86;87;88;89;90;91;92;93;94;95;96;97;98;99},{100000;130000;160000;190000;220000;250000;300000;350000;400000;450000;500000;600000;700000;800000;900000;1000000;1500000;2000000;3000000;4000000;5000000;6500000;8000000;10000000;12500000;15000000;20000000;25000000;30000000;35000000;40000000;55000000;70000000;80000000;90000000;110000000;130000000;160000000;190000000;220000000;250000000;280000000;310000000;340000000;400000000})</f>
        <v>5000000</v>
      </c>
      <c r="J2036" s="7" t="n">
        <f aca="false">I2036*S2036*T2036*U2036</f>
        <v>5865000</v>
      </c>
      <c r="K2036" s="3"/>
      <c r="L2036" s="3"/>
      <c r="M2036" s="3"/>
      <c r="N2036" s="9" t="n">
        <v>0</v>
      </c>
      <c r="O2036" s="4" t="n">
        <v>0</v>
      </c>
      <c r="P2036" s="5" t="n">
        <f aca="false">IF(COUNTIF([1]Base_Jugadores!J$2:J$500,B2036)&gt;0,1,0)</f>
        <v>0</v>
      </c>
      <c r="Q2036" s="10" t="b">
        <f aca="false">--(COUNTIFS(
   [1]Fichajes_Realizados!A$2:A$5000,A2036,
   [1]Fichajes_Realizados!G$2:G$5000,$X$3
)&gt;0)</f>
        <v>0</v>
      </c>
      <c r="R2036" s="5" t="n">
        <f aca="false">_xlfn.XLOOKUP(C2036, [1]Estado_Equipos!A$2:A$500, [1]Estado_Equipos!J$2:J$500, "")</f>
        <v>74</v>
      </c>
      <c r="S2036" s="5" t="n">
        <f aca="false">IF(H2036&lt;=16,1.45,
IF(H2036&gt;=41,0.3,
CHOOSE(ROUNDDOWN((H2036-16)/2,0)+1,
1.45,1.38,1.3,1.23,1.17,1.15,1.12,1.05,0.95,0.8,0.6,0.4,0.3)))</f>
        <v>1.15</v>
      </c>
      <c r="T2036" s="5" t="n">
        <f aca="false">CHOOSE(N2036+1,1.2,1,0.85,0.7)</f>
        <v>1.2</v>
      </c>
      <c r="U2036" s="5" t="n">
        <f aca="false">IF(F2036="PO",0.6,
IF(F2036="CT",0.75,
IF(F2036="LI",0.8,
IF(F2036="LD",0.8,
IF(F2036="MCD",0.85,
IF(F2036="MC",0.95,
IF(F2036="MO",1.05,
IF(F2036="EI",1.1,
IF(F2036="ED",1.1,
IF(F2036="SD",1.15,
IF(F2036="DC",1.2,0)))))))))))</f>
        <v>0.85</v>
      </c>
    </row>
    <row r="2037" customFormat="false" ht="16.4" hidden="false" customHeight="false" outlineLevel="0" collapsed="false">
      <c r="A2037" s="1" t="n">
        <v>2036</v>
      </c>
      <c r="B2037" s="5" t="str">
        <f aca="false">[1]Base_Jugadores!B2037</f>
        <v>Yannick Gerhardt</v>
      </c>
      <c r="C2037" s="5" t="str">
        <f aca="false">IFERROR(
   _xlfn.XLOOKUP(VALUE(A2037),[1]Fichajes_Realizados!A$2:A$50000,[1]Fichajes_Realizados!D$2:D$50000,,0,-1),
   _xlfn.XLOOKUP(VALUE(A2037),[1]Base_Jugadores!A$2:A$50000,[1]Base_Jugadores!C$2:C$50000)
)</f>
        <v>VfL Wolfsburgo</v>
      </c>
      <c r="D2037" s="5" t="str">
        <f aca="false">[1]Base_Jugadores!D2037</f>
        <v>Alemania</v>
      </c>
      <c r="E2037" s="3"/>
      <c r="F2037" s="5" t="str">
        <f aca="false">[1]Base_Jugadores!E2037</f>
        <v>MC</v>
      </c>
      <c r="G2037" s="5" t="n">
        <f aca="false">[1]Base_Jugadores!F2037</f>
        <v>77</v>
      </c>
      <c r="H2037" s="5" t="n">
        <f aca="false">[1]Base_Jugadores!G2037</f>
        <v>31</v>
      </c>
      <c r="I2037" s="7" t="n">
        <f aca="false" t="array" ref="I2037:I2037">_xlfn.XLOOKUP(G2037,{55;56;57;58;59;60;61;62;63;64;65;66;67;68;69;70;71;72;73;74;75;76;77;78;79;80;81;82;83;84;85;86;87;88;89;90;91;92;93;94;95;96;97;98;99},{100000;130000;160000;190000;220000;250000;300000;350000;400000;450000;500000;600000;700000;800000;900000;1000000;1500000;2000000;3000000;4000000;5000000;6500000;8000000;10000000;12500000;15000000;20000000;25000000;30000000;35000000;40000000;55000000;70000000;80000000;90000000;110000000;130000000;160000000;190000000;220000000;250000000;280000000;310000000;340000000;400000000})</f>
        <v>8000000</v>
      </c>
      <c r="J2037" s="7" t="n">
        <f aca="false">I2037*S2037*T2037*U2037</f>
        <v>9576000</v>
      </c>
      <c r="K2037" s="3"/>
      <c r="L2037" s="3"/>
      <c r="M2037" s="3"/>
      <c r="N2037" s="9" t="n">
        <v>0</v>
      </c>
      <c r="O2037" s="4" t="n">
        <v>0</v>
      </c>
      <c r="P2037" s="5" t="n">
        <f aca="false">IF(COUNTIF([1]Base_Jugadores!J$2:J$500,B2037)&gt;0,1,0)</f>
        <v>0</v>
      </c>
      <c r="Q2037" s="10" t="b">
        <f aca="false">--(COUNTIFS(
   [1]Fichajes_Realizados!A$2:A$5000,A2037,
   [1]Fichajes_Realizados!G$2:G$5000,$X$3
)&gt;0)</f>
        <v>0</v>
      </c>
      <c r="R2037" s="5" t="n">
        <f aca="false">_xlfn.XLOOKUP(C2037, [1]Estado_Equipos!A$2:A$500, [1]Estado_Equipos!J$2:J$500, "")</f>
        <v>74</v>
      </c>
      <c r="S2037" s="5" t="n">
        <f aca="false">IF(H2037&lt;=16,1.45,
IF(H2037&gt;=41,0.3,
CHOOSE(ROUNDDOWN((H2037-16)/2,0)+1,
1.45,1.38,1.3,1.23,1.17,1.15,1.12,1.05,0.95,0.8,0.6,0.4,0.3)))</f>
        <v>1.05</v>
      </c>
      <c r="T2037" s="5" t="n">
        <f aca="false">CHOOSE(N2037+1,1.2,1,0.85,0.7)</f>
        <v>1.2</v>
      </c>
      <c r="U2037" s="5" t="n">
        <f aca="false">IF(F2037="PO",0.6,
IF(F2037="CT",0.75,
IF(F2037="LI",0.8,
IF(F2037="LD",0.8,
IF(F2037="MCD",0.85,
IF(F2037="MC",0.95,
IF(F2037="MO",1.05,
IF(F2037="EI",1.1,
IF(F2037="ED",1.1,
IF(F2037="SD",1.15,
IF(F2037="DC",1.2,0)))))))))))</f>
        <v>0.95</v>
      </c>
    </row>
    <row r="2038" customFormat="false" ht="13.8" hidden="false" customHeight="false" outlineLevel="0" collapsed="false">
      <c r="A2038" s="1" t="n">
        <v>2037</v>
      </c>
      <c r="B2038" s="5"/>
      <c r="C2038" s="5"/>
      <c r="D2038" s="5"/>
      <c r="E2038" s="3"/>
      <c r="F2038" s="5"/>
      <c r="G2038" s="5"/>
      <c r="H2038" s="5"/>
      <c r="I2038" s="7"/>
      <c r="J2038" s="7"/>
      <c r="K2038" s="3"/>
      <c r="L2038" s="3"/>
      <c r="M2038" s="3"/>
      <c r="N2038" s="9"/>
      <c r="O2038" s="4"/>
      <c r="P2038" s="5"/>
      <c r="Q2038" s="13"/>
      <c r="R2038" s="5"/>
      <c r="S2038" s="5"/>
      <c r="T2038" s="5"/>
      <c r="U2038" s="5"/>
    </row>
  </sheetData>
  <conditionalFormatting sqref="B2:B2038">
    <cfRule type="duplicateValues" priority="2" aboveAverage="0" equalAverage="0" bottom="0" percent="0" rank="0" text="" dxfId="0"/>
  </conditionalFormatting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</TotalTime>
  <Application>LibreOffice/26.2.1.2$Linux_X86_64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2026-03-22T17:22:39Z</dcterms:created>
  <dc:creator/>
  <dc:description/>
  <dc:language>en-US</dc:language>
  <cp:lastModifiedBy/>
  <dcterms:modified xsi:type="dcterms:W3CDTF">2026-03-22T17:26:18Z</dcterms:modified>
  <cp:revision>1</cp:revision>
  <dc:subject/>
  <dc:title/>
</cp:coreProperties>
</file>